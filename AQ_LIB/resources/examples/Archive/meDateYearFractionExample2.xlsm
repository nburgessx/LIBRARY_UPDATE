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8"/>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ManualPriceIRS" sheetId="38" r:id="rId10"/>
    <sheet name="PriceOIS" sheetId="33" r:id="rId11"/>
    <sheet name="PriceIRS" sheetId="34" r:id="rId12"/>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1">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9">ManualPriceIRS!$27:$62</definedName>
    <definedName name="SwapDealInfo" localSheetId="11">PriceIRS!$8:$45</definedName>
    <definedName name="SwapDealInfo" localSheetId="10">PriceOIS!$7:$44</definedName>
    <definedName name="SwapDealInfo" localSheetId="8">SwapSchedule!$28:$63</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C25" i="38" l="1"/>
  <c r="J5" i="35"/>
  <c r="J6" i="35" s="1"/>
  <c r="J7" i="35" s="1"/>
  <c r="J8" i="35" s="1"/>
  <c r="D5" i="35"/>
  <c r="G13" i="24"/>
  <c r="G21" i="24"/>
  <c r="G22" i="24"/>
  <c r="G24" i="24"/>
  <c r="G25" i="24"/>
  <c r="C5" i="38"/>
  <c r="G23" i="24"/>
  <c r="E5" i="38" a="1"/>
  <c r="E21" i="38" l="1"/>
  <c r="G19" i="38"/>
  <c r="I17" i="38"/>
  <c r="F16" i="38"/>
  <c r="H14" i="38"/>
  <c r="E13" i="38"/>
  <c r="G11" i="38"/>
  <c r="I9" i="38"/>
  <c r="F8" i="38"/>
  <c r="H6" i="38"/>
  <c r="E5" i="38"/>
  <c r="I18" i="38"/>
  <c r="H15" i="38"/>
  <c r="I10" i="38"/>
  <c r="E6" i="38"/>
  <c r="I20" i="38"/>
  <c r="F19" i="38"/>
  <c r="H17" i="38"/>
  <c r="E16" i="38"/>
  <c r="G14" i="38"/>
  <c r="I12" i="38"/>
  <c r="F11" i="38"/>
  <c r="H9" i="38"/>
  <c r="E8" i="38"/>
  <c r="G6" i="38"/>
  <c r="G20" i="38"/>
  <c r="F17" i="38"/>
  <c r="E14" i="38"/>
  <c r="F9" i="38"/>
  <c r="H7" i="38"/>
  <c r="H20" i="38"/>
  <c r="E19" i="38"/>
  <c r="G17" i="38"/>
  <c r="I15" i="38"/>
  <c r="F14" i="38"/>
  <c r="H12" i="38"/>
  <c r="E11" i="38"/>
  <c r="G9" i="38"/>
  <c r="I7" i="38"/>
  <c r="F6" i="38"/>
  <c r="G12" i="38"/>
  <c r="H21" i="38"/>
  <c r="E20" i="38"/>
  <c r="G18" i="38"/>
  <c r="I16" i="38"/>
  <c r="F15" i="38"/>
  <c r="H13" i="38"/>
  <c r="E12" i="38"/>
  <c r="G10" i="38"/>
  <c r="I8" i="38"/>
  <c r="F7" i="38"/>
  <c r="H5" i="38"/>
  <c r="F21" i="38"/>
  <c r="H16" i="38"/>
  <c r="F12" i="38"/>
  <c r="G8" i="38"/>
  <c r="F20" i="38"/>
  <c r="G16" i="38"/>
  <c r="I11" i="38"/>
  <c r="G7" i="38"/>
  <c r="F5" i="38"/>
  <c r="E17" i="38"/>
  <c r="I19" i="38"/>
  <c r="G15" i="38"/>
  <c r="H11" i="38"/>
  <c r="E7" i="38"/>
  <c r="H19" i="38"/>
  <c r="E15" i="38"/>
  <c r="H10" i="38"/>
  <c r="I6" i="38"/>
  <c r="H18" i="38"/>
  <c r="I14" i="38"/>
  <c r="F10" i="38"/>
  <c r="I5" i="38"/>
  <c r="I21" i="38"/>
  <c r="G13" i="38"/>
  <c r="F13" i="38"/>
  <c r="F18" i="38"/>
  <c r="I13" i="38"/>
  <c r="E10" i="38"/>
  <c r="G5" i="38"/>
  <c r="E18" i="38"/>
  <c r="E9" i="38"/>
  <c r="G21" i="38"/>
  <c r="H8" i="38"/>
  <c r="C24" i="38"/>
  <c r="C26" i="37"/>
  <c r="E24" i="38" a="1"/>
  <c r="F40" i="38" l="1"/>
  <c r="H38" i="38"/>
  <c r="E37" i="38"/>
  <c r="G35" i="38"/>
  <c r="I33" i="38"/>
  <c r="F32" i="38"/>
  <c r="H30" i="38"/>
  <c r="E29" i="38"/>
  <c r="G27" i="38"/>
  <c r="I25" i="38"/>
  <c r="F24" i="38"/>
  <c r="I34" i="38"/>
  <c r="G28" i="38"/>
  <c r="E40" i="38"/>
  <c r="G38" i="38"/>
  <c r="I36" i="38"/>
  <c r="F35" i="38"/>
  <c r="H33" i="38"/>
  <c r="E32" i="38"/>
  <c r="G30" i="38"/>
  <c r="I28" i="38"/>
  <c r="F27" i="38"/>
  <c r="H25" i="38"/>
  <c r="E24" i="38"/>
  <c r="E38" i="38"/>
  <c r="F33" i="38"/>
  <c r="E30" i="38"/>
  <c r="F25" i="38"/>
  <c r="I39" i="38"/>
  <c r="F38" i="38"/>
  <c r="H36" i="38"/>
  <c r="E35" i="38"/>
  <c r="G33" i="38"/>
  <c r="I31" i="38"/>
  <c r="F30" i="38"/>
  <c r="H28" i="38"/>
  <c r="E27" i="38"/>
  <c r="G25" i="38"/>
  <c r="H39" i="38"/>
  <c r="G36" i="38"/>
  <c r="H31" i="38"/>
  <c r="I26" i="38"/>
  <c r="I40" i="38"/>
  <c r="F39" i="38"/>
  <c r="H37" i="38"/>
  <c r="E36" i="38"/>
  <c r="G34" i="38"/>
  <c r="I32" i="38"/>
  <c r="F31" i="38"/>
  <c r="H29" i="38"/>
  <c r="E28" i="38"/>
  <c r="G26" i="38"/>
  <c r="I24" i="38"/>
  <c r="H40" i="38"/>
  <c r="E39" i="38"/>
  <c r="G37" i="38"/>
  <c r="I35" i="38"/>
  <c r="F34" i="38"/>
  <c r="H32" i="38"/>
  <c r="E31" i="38"/>
  <c r="G29" i="38"/>
  <c r="I27" i="38"/>
  <c r="F26" i="38"/>
  <c r="H24" i="38"/>
  <c r="G39" i="38"/>
  <c r="E33" i="38"/>
  <c r="H26" i="38"/>
  <c r="I38" i="38"/>
  <c r="G32" i="38"/>
  <c r="E26" i="38"/>
  <c r="I37" i="38"/>
  <c r="G31" i="38"/>
  <c r="E25" i="38"/>
  <c r="F37" i="38"/>
  <c r="I30" i="38"/>
  <c r="G24" i="38"/>
  <c r="F36" i="38"/>
  <c r="I29" i="38"/>
  <c r="G40" i="38"/>
  <c r="H27" i="38"/>
  <c r="H35" i="38"/>
  <c r="F29" i="38"/>
  <c r="H34" i="38"/>
  <c r="F28" i="38"/>
  <c r="E34" i="38"/>
  <c r="Q12" i="38"/>
  <c r="P12" i="38"/>
  <c r="N12" i="38"/>
  <c r="M12" i="38"/>
  <c r="O12" i="38"/>
  <c r="K12" i="38"/>
  <c r="P8" i="38"/>
  <c r="Q8" i="38"/>
  <c r="N8" i="38"/>
  <c r="O8" i="38"/>
  <c r="M8" i="38"/>
  <c r="K8" i="38"/>
  <c r="N6" i="38"/>
  <c r="M6" i="38"/>
  <c r="M13" i="38"/>
  <c r="K13" i="38"/>
  <c r="P13" i="38"/>
  <c r="O13" i="38"/>
  <c r="Q13" i="38"/>
  <c r="N13" i="38"/>
  <c r="Q15" i="38"/>
  <c r="N15" i="38"/>
  <c r="P15" i="38"/>
  <c r="O15" i="38"/>
  <c r="K15" i="38"/>
  <c r="M15" i="38"/>
  <c r="O14" i="38"/>
  <c r="N14" i="38"/>
  <c r="K14" i="38"/>
  <c r="M14" i="38"/>
  <c r="Q14" i="38"/>
  <c r="P14" i="38"/>
  <c r="M9" i="38"/>
  <c r="K9" i="38"/>
  <c r="P9" i="38"/>
  <c r="O9" i="38"/>
  <c r="Q9" i="38"/>
  <c r="N9" i="38"/>
  <c r="Q20" i="38"/>
  <c r="P20" i="38"/>
  <c r="N20" i="38"/>
  <c r="M20" i="38"/>
  <c r="O20" i="38"/>
  <c r="K20" i="38"/>
  <c r="P16" i="38"/>
  <c r="Q16" i="38"/>
  <c r="N16" i="38"/>
  <c r="M16" i="38"/>
  <c r="O16" i="38"/>
  <c r="K16" i="38"/>
  <c r="M17" i="38"/>
  <c r="K17" i="38"/>
  <c r="P17" i="38"/>
  <c r="O17" i="38"/>
  <c r="Q17" i="38"/>
  <c r="N17" i="38"/>
  <c r="O10" i="38"/>
  <c r="N10" i="38"/>
  <c r="M10" i="38"/>
  <c r="K10" i="38"/>
  <c r="Q10" i="38"/>
  <c r="P10" i="38"/>
  <c r="Q19" i="38"/>
  <c r="P19" i="38"/>
  <c r="N19" i="38"/>
  <c r="O19" i="38"/>
  <c r="K19" i="38"/>
  <c r="M19" i="38"/>
  <c r="Q11" i="38"/>
  <c r="N11" i="38"/>
  <c r="P11" i="38"/>
  <c r="O11" i="38"/>
  <c r="K11" i="38"/>
  <c r="M11" i="38"/>
  <c r="O18" i="38"/>
  <c r="N18" i="38"/>
  <c r="M18" i="38"/>
  <c r="K18" i="38"/>
  <c r="Q18" i="38"/>
  <c r="P18" i="38"/>
  <c r="N7" i="38"/>
  <c r="M7" i="38"/>
  <c r="O7" i="38" s="1"/>
  <c r="M21" i="38"/>
  <c r="K21" i="38"/>
  <c r="P21" i="38"/>
  <c r="O21" i="38"/>
  <c r="Q21" i="38"/>
  <c r="N21" i="38"/>
  <c r="D56" i="35"/>
  <c r="J46" i="35"/>
  <c r="J47" i="35"/>
  <c r="J48" i="35"/>
  <c r="J49" i="35"/>
  <c r="D46" i="35"/>
  <c r="K49" i="35"/>
  <c r="P6" i="38"/>
  <c r="K48" i="35"/>
  <c r="P7" i="38"/>
  <c r="J67" i="35"/>
  <c r="C6" i="37"/>
  <c r="K6" i="38"/>
  <c r="K46" i="35"/>
  <c r="J57" i="35"/>
  <c r="K47" i="35"/>
  <c r="K7" i="38"/>
  <c r="O6" i="38" l="1"/>
  <c r="Q6" i="38" s="1"/>
  <c r="Q45" i="38"/>
  <c r="N45" i="38" s="1"/>
  <c r="Q7" i="38"/>
  <c r="O35" i="38"/>
  <c r="N35" i="38"/>
  <c r="K35" i="38"/>
  <c r="M35" i="38"/>
  <c r="R35" i="38"/>
  <c r="Q35" i="38"/>
  <c r="P35" i="38"/>
  <c r="O27" i="38"/>
  <c r="M27" i="38"/>
  <c r="O31" i="38"/>
  <c r="M31" i="38"/>
  <c r="M26" i="38"/>
  <c r="O26" i="38"/>
  <c r="M34" i="38"/>
  <c r="K34" i="38"/>
  <c r="Q34" i="38"/>
  <c r="P34" i="38"/>
  <c r="R34" i="38"/>
  <c r="O34" i="38"/>
  <c r="O28" i="38"/>
  <c r="M28" i="38"/>
  <c r="M30" i="38"/>
  <c r="O30" i="38"/>
  <c r="O32" i="38"/>
  <c r="M32" i="38"/>
  <c r="Q37" i="38"/>
  <c r="N37" i="38"/>
  <c r="P37" i="38"/>
  <c r="O37" i="38"/>
  <c r="K37" i="38"/>
  <c r="M37" i="38"/>
  <c r="R37" i="38"/>
  <c r="O29" i="38"/>
  <c r="M29" i="38"/>
  <c r="P36" i="38"/>
  <c r="O36" i="38"/>
  <c r="N36" i="38"/>
  <c r="M36" i="38"/>
  <c r="R36" i="38"/>
  <c r="Q36" i="38"/>
  <c r="K36" i="38"/>
  <c r="K40" i="38"/>
  <c r="Q40" i="38"/>
  <c r="R40" i="38"/>
  <c r="O40" i="38"/>
  <c r="N40" i="38"/>
  <c r="P40" i="38"/>
  <c r="M40" i="38"/>
  <c r="Q33" i="38"/>
  <c r="R33" i="38"/>
  <c r="O33" i="38"/>
  <c r="M33" i="38"/>
  <c r="P33" i="38"/>
  <c r="K33" i="38"/>
  <c r="R39" i="38"/>
  <c r="Q39" i="38"/>
  <c r="P39" i="38"/>
  <c r="N39" i="38"/>
  <c r="M39" i="38"/>
  <c r="O39" i="38"/>
  <c r="K39" i="38"/>
  <c r="M25" i="38"/>
  <c r="O25" i="38"/>
  <c r="R38" i="38"/>
  <c r="O38" i="38"/>
  <c r="Q38" i="38"/>
  <c r="P38" i="38"/>
  <c r="M38" i="38"/>
  <c r="K38" i="38"/>
  <c r="N38" i="38"/>
  <c r="C25" i="37"/>
  <c r="C28" i="34"/>
  <c r="E25" i="37" a="1"/>
  <c r="J58" i="35"/>
  <c r="Q29" i="38"/>
  <c r="K32" i="38"/>
  <c r="K28" i="38"/>
  <c r="K31" i="38"/>
  <c r="Q25" i="38" a="1"/>
  <c r="Q30" i="38"/>
  <c r="Q26" i="38"/>
  <c r="K30" i="38"/>
  <c r="Q32" i="38"/>
  <c r="J68" i="35"/>
  <c r="Q27" i="38"/>
  <c r="Q31" i="38"/>
  <c r="K27" i="38"/>
  <c r="K25" i="38"/>
  <c r="K29" i="38"/>
  <c r="K26" i="38"/>
  <c r="Q28" i="38"/>
  <c r="E6" i="37" a="1"/>
  <c r="Q43" i="38" l="1"/>
  <c r="Q25" i="38"/>
  <c r="E35" i="37"/>
  <c r="G30" i="37"/>
  <c r="I25" i="37"/>
  <c r="H38" i="37"/>
  <c r="H35" i="37"/>
  <c r="H32" i="37"/>
  <c r="H29" i="37"/>
  <c r="E25" i="37"/>
  <c r="I37" i="37"/>
  <c r="F33" i="37"/>
  <c r="H36" i="37"/>
  <c r="E32" i="37"/>
  <c r="G27" i="37"/>
  <c r="F40" i="37"/>
  <c r="F37" i="37"/>
  <c r="F34" i="37"/>
  <c r="F31" i="37"/>
  <c r="H26" i="37"/>
  <c r="G39" i="37"/>
  <c r="I34" i="37"/>
  <c r="G25" i="37"/>
  <c r="F38" i="37"/>
  <c r="H33" i="37"/>
  <c r="E29" i="37"/>
  <c r="E26" i="37"/>
  <c r="I38" i="37"/>
  <c r="I35" i="37"/>
  <c r="I32" i="37"/>
  <c r="F28" i="37"/>
  <c r="E41" i="37"/>
  <c r="G36" i="37"/>
  <c r="E27" i="37"/>
  <c r="I39" i="37"/>
  <c r="F35" i="37"/>
  <c r="H30" i="37"/>
  <c r="H27" i="37"/>
  <c r="G40" i="37"/>
  <c r="G37" i="37"/>
  <c r="G34" i="37"/>
  <c r="I29" i="37"/>
  <c r="F25" i="37"/>
  <c r="E38" i="37"/>
  <c r="K38" i="37" s="1"/>
  <c r="H28" i="37"/>
  <c r="G41" i="37"/>
  <c r="I36" i="37"/>
  <c r="F32" i="37"/>
  <c r="F29" i="37"/>
  <c r="F26" i="37"/>
  <c r="E39" i="37"/>
  <c r="K39" i="37" s="1"/>
  <c r="E36" i="37"/>
  <c r="G31" i="37"/>
  <c r="I26" i="37"/>
  <c r="H39" i="37"/>
  <c r="F30" i="37"/>
  <c r="H25" i="37"/>
  <c r="G38" i="37"/>
  <c r="I33" i="37"/>
  <c r="I30" i="37"/>
  <c r="I27" i="37"/>
  <c r="H40" i="37"/>
  <c r="H37" i="37"/>
  <c r="E33" i="37"/>
  <c r="G28" i="37"/>
  <c r="F41" i="37"/>
  <c r="I31" i="37"/>
  <c r="F27" i="37"/>
  <c r="E40" i="37"/>
  <c r="K40" i="37" s="1"/>
  <c r="G35" i="37"/>
  <c r="G32" i="37"/>
  <c r="G29" i="37"/>
  <c r="G26" i="37"/>
  <c r="F39" i="37"/>
  <c r="H34" i="37"/>
  <c r="E30" i="37"/>
  <c r="I41" i="37"/>
  <c r="G33" i="37"/>
  <c r="I28" i="37"/>
  <c r="H41" i="37"/>
  <c r="E37" i="37"/>
  <c r="K37" i="37" s="1"/>
  <c r="E34" i="37"/>
  <c r="E31" i="37"/>
  <c r="E28" i="37"/>
  <c r="I40" i="37"/>
  <c r="F36" i="37"/>
  <c r="H31" i="37"/>
  <c r="H6" i="37"/>
  <c r="I19" i="37"/>
  <c r="H10" i="37"/>
  <c r="H21" i="37"/>
  <c r="H20" i="37"/>
  <c r="F17" i="37"/>
  <c r="I10" i="37"/>
  <c r="I8" i="37"/>
  <c r="I18" i="37"/>
  <c r="E11" i="37"/>
  <c r="I6" i="37"/>
  <c r="I16" i="37"/>
  <c r="G10" i="37"/>
  <c r="G17" i="37"/>
  <c r="G11" i="37"/>
  <c r="G19" i="37"/>
  <c r="I15" i="37"/>
  <c r="H16" i="37"/>
  <c r="F20" i="37"/>
  <c r="F6" i="37"/>
  <c r="H12" i="37"/>
  <c r="G15" i="37"/>
  <c r="F14" i="37"/>
  <c r="H9" i="37"/>
  <c r="E14" i="37"/>
  <c r="K14" i="37" s="1"/>
  <c r="F12" i="37"/>
  <c r="I22" i="37"/>
  <c r="I14" i="37"/>
  <c r="I12" i="37"/>
  <c r="E19" i="37"/>
  <c r="H17" i="37"/>
  <c r="F9" i="37"/>
  <c r="E6" i="37"/>
  <c r="I11" i="37"/>
  <c r="G14" i="37"/>
  <c r="G22" i="37"/>
  <c r="E17" i="37"/>
  <c r="H15" i="37"/>
  <c r="G12" i="37"/>
  <c r="E22" i="37"/>
  <c r="F8" i="37"/>
  <c r="F10" i="37"/>
  <c r="E13" i="37"/>
  <c r="G6" i="37"/>
  <c r="E9" i="37"/>
  <c r="H8" i="37"/>
  <c r="I9" i="37"/>
  <c r="I17" i="37"/>
  <c r="H13" i="37"/>
  <c r="E7" i="37"/>
  <c r="G7" i="37"/>
  <c r="E21" i="37"/>
  <c r="K21" i="37" s="1"/>
  <c r="G21" i="37"/>
  <c r="G8" i="37"/>
  <c r="F19" i="37"/>
  <c r="E12" i="37"/>
  <c r="K12" i="37" s="1"/>
  <c r="I7" i="37"/>
  <c r="H22" i="37"/>
  <c r="F13" i="37"/>
  <c r="G13" i="37"/>
  <c r="E20" i="37"/>
  <c r="G20" i="37"/>
  <c r="G16" i="37"/>
  <c r="E16" i="37"/>
  <c r="F21" i="37"/>
  <c r="H14" i="37"/>
  <c r="G18" i="37"/>
  <c r="I20" i="37"/>
  <c r="E18" i="37"/>
  <c r="K18" i="37" s="1"/>
  <c r="H18" i="37"/>
  <c r="I21" i="37"/>
  <c r="I13" i="37"/>
  <c r="F7" i="37"/>
  <c r="H19" i="37"/>
  <c r="E15" i="37"/>
  <c r="K15" i="37" s="1"/>
  <c r="E10" i="37"/>
  <c r="K10" i="37" s="1"/>
  <c r="E8" i="37"/>
  <c r="H11" i="37"/>
  <c r="G9" i="37"/>
  <c r="F22" i="37"/>
  <c r="F15" i="37"/>
  <c r="F11" i="37"/>
  <c r="H7" i="37"/>
  <c r="F16" i="37"/>
  <c r="F18" i="37"/>
  <c r="K27" i="37"/>
  <c r="J59" i="35"/>
  <c r="K29" i="37"/>
  <c r="K7" i="37"/>
  <c r="K28" i="37"/>
  <c r="J69" i="35"/>
  <c r="K26" i="37"/>
  <c r="K30" i="37"/>
  <c r="K8" i="37"/>
  <c r="K31" i="37"/>
  <c r="K32" i="37"/>
  <c r="K33" i="37"/>
  <c r="K13" i="37" l="1"/>
  <c r="K34" i="37"/>
  <c r="K41" i="37"/>
  <c r="K16" i="37"/>
  <c r="K22" i="37"/>
  <c r="K19" i="37"/>
  <c r="K20" i="37"/>
  <c r="K9" i="37"/>
  <c r="K17" i="37"/>
  <c r="K36" i="37"/>
  <c r="K11" i="37"/>
  <c r="K35" i="37"/>
  <c r="C10" i="33"/>
  <c r="C11" i="34"/>
  <c r="E64" i="4" l="1"/>
  <c r="E64" i="27"/>
  <c r="E64" i="28"/>
  <c r="O15" i="20" l="1"/>
  <c r="L15" i="20"/>
  <c r="I15" i="20"/>
  <c r="F15" i="20"/>
  <c r="O16" i="20"/>
  <c r="I16" i="20"/>
  <c r="L16" i="20"/>
  <c r="F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I17" i="20"/>
  <c r="L17" i="20"/>
  <c r="O17" i="20"/>
  <c r="F17" i="20"/>
  <c r="F13" i="20" l="1"/>
  <c r="G9" i="20"/>
  <c r="L18" i="20"/>
  <c r="I18" i="20"/>
  <c r="O18" i="20"/>
  <c r="F18" i="20"/>
  <c r="G21" i="27" l="1"/>
  <c r="L19" i="20"/>
  <c r="I19" i="20"/>
  <c r="O19" i="20"/>
  <c r="F19" i="20"/>
  <c r="C15" i="20" l="1"/>
  <c r="G21" i="4"/>
  <c r="F22" i="3"/>
  <c r="F20" i="2"/>
  <c r="L20" i="20"/>
  <c r="F20" i="20"/>
  <c r="O20" i="20"/>
  <c r="C16" i="20"/>
  <c r="I20" i="20"/>
  <c r="K39" i="4" l="1"/>
  <c r="O21" i="20"/>
  <c r="C17" i="20"/>
  <c r="I21" i="20"/>
  <c r="F21" i="20"/>
  <c r="L21" i="20"/>
  <c r="G6" i="24" l="1"/>
  <c r="F24" i="3" s="1"/>
  <c r="C18" i="20"/>
  <c r="I22" i="20"/>
  <c r="L22" i="20"/>
  <c r="O22" i="20"/>
  <c r="F22" i="20"/>
  <c r="G23" i="4" l="1"/>
  <c r="G23" i="28"/>
  <c r="G66" i="28"/>
  <c r="G23" i="27"/>
  <c r="G66" i="4"/>
  <c r="G66" i="27"/>
  <c r="F98" i="3"/>
  <c r="F23" i="2"/>
  <c r="F22" i="2"/>
  <c r="F25" i="3"/>
  <c r="L23" i="20"/>
  <c r="F7" i="2"/>
  <c r="I23" i="20"/>
  <c r="C19" i="20"/>
  <c r="O23" i="20"/>
  <c r="F23" i="20"/>
  <c r="F8" i="2" l="1"/>
  <c r="O24" i="20"/>
  <c r="F24" i="20"/>
  <c r="I24" i="20"/>
  <c r="L24" i="20"/>
  <c r="C20" i="20"/>
  <c r="F8" i="3"/>
  <c r="L13" i="20" l="1"/>
  <c r="I13" i="20"/>
  <c r="C13" i="20"/>
  <c r="M9" i="20"/>
  <c r="J9" i="20"/>
  <c r="I18" i="35" a="1"/>
  <c r="I5" i="35" a="1"/>
  <c r="C56" i="35"/>
  <c r="C48" i="33"/>
  <c r="I31" i="35" a="1"/>
  <c r="C46" i="35"/>
  <c r="F25" i="20"/>
  <c r="C5" i="35"/>
  <c r="I25" i="20"/>
  <c r="C66" i="35"/>
  <c r="I56" i="35" a="1"/>
  <c r="C31" i="35"/>
  <c r="C18" i="35"/>
  <c r="I66" i="35" a="1"/>
  <c r="C21" i="20"/>
  <c r="O25" i="20"/>
  <c r="C47" i="33"/>
  <c r="L25" i="20"/>
  <c r="I8" i="35" l="1"/>
  <c r="I5" i="35"/>
  <c r="I6" i="35"/>
  <c r="I7" i="35"/>
  <c r="I59" i="35"/>
  <c r="I58" i="35"/>
  <c r="I57" i="35"/>
  <c r="I56" i="35"/>
  <c r="I31" i="35"/>
  <c r="I32" i="35"/>
  <c r="I33" i="35"/>
  <c r="I34" i="35"/>
  <c r="I18" i="35"/>
  <c r="I19" i="35"/>
  <c r="I21" i="35"/>
  <c r="I20" i="35"/>
  <c r="I66" i="35"/>
  <c r="I67" i="35"/>
  <c r="I68" i="35"/>
  <c r="I69" i="35"/>
  <c r="L26" i="20"/>
  <c r="O26" i="20"/>
  <c r="I26" i="20"/>
  <c r="C22" i="20"/>
  <c r="F26" i="20"/>
  <c r="F9" i="3" l="1"/>
  <c r="L27" i="20"/>
  <c r="I27" i="20"/>
  <c r="O27" i="20"/>
  <c r="C23" i="20"/>
  <c r="F27" i="20"/>
  <c r="G7" i="27"/>
  <c r="G8" i="27" l="1"/>
  <c r="L28" i="20"/>
  <c r="C24" i="20"/>
  <c r="G7" i="4"/>
  <c r="F28" i="20"/>
  <c r="O28" i="20"/>
  <c r="I28" i="20"/>
  <c r="G8" i="4" l="1"/>
  <c r="O29" i="20"/>
  <c r="F29" i="20"/>
  <c r="L29" i="20"/>
  <c r="C25" i="20"/>
  <c r="I29" i="20"/>
  <c r="G7" i="28"/>
  <c r="G8" i="28" l="1"/>
  <c r="C26" i="20"/>
  <c r="I46" i="35" a="1"/>
  <c r="O30" i="20"/>
  <c r="N25" i="38" a="1"/>
  <c r="U46" i="38"/>
  <c r="F30" i="20"/>
  <c r="L30" i="20"/>
  <c r="I30" i="20"/>
  <c r="U43" i="38"/>
  <c r="N29" i="38" l="1"/>
  <c r="P29" i="38" s="1"/>
  <c r="R29" i="38" s="1"/>
  <c r="N33" i="38"/>
  <c r="N34" i="38"/>
  <c r="N27" i="38"/>
  <c r="P27" i="38" s="1"/>
  <c r="R27" i="38" s="1"/>
  <c r="N28" i="38"/>
  <c r="P28" i="38" s="1"/>
  <c r="R28" i="38" s="1"/>
  <c r="N30" i="38"/>
  <c r="P30" i="38" s="1"/>
  <c r="R30" i="38" s="1"/>
  <c r="N32" i="38"/>
  <c r="P32" i="38" s="1"/>
  <c r="R32" i="38" s="1"/>
  <c r="N31" i="38"/>
  <c r="P31" i="38" s="1"/>
  <c r="R31" i="38" s="1"/>
  <c r="N25" i="38"/>
  <c r="P25" i="38" s="1"/>
  <c r="R25" i="38" s="1"/>
  <c r="N26" i="38"/>
  <c r="P26" i="38" s="1"/>
  <c r="R26" i="38" s="1"/>
  <c r="I49" i="35"/>
  <c r="I48" i="35"/>
  <c r="I47" i="35"/>
  <c r="I46" i="35"/>
  <c r="C48" i="34"/>
  <c r="I31" i="20"/>
  <c r="C49" i="34"/>
  <c r="F31" i="20"/>
  <c r="U45" i="38"/>
  <c r="L31" i="20"/>
  <c r="C50" i="34"/>
  <c r="C51" i="34"/>
  <c r="U44" i="38"/>
  <c r="O31" i="20"/>
  <c r="C27" i="20"/>
  <c r="Q44" i="38" l="1"/>
  <c r="L32" i="20"/>
  <c r="O32" i="20"/>
  <c r="F32" i="20"/>
  <c r="I32" i="20"/>
  <c r="C28" i="20"/>
  <c r="N43" i="38" l="1"/>
  <c r="N44" i="38"/>
  <c r="F33" i="20" l="1"/>
  <c r="F34" i="20"/>
  <c r="O33" i="20"/>
  <c r="L33" i="20"/>
  <c r="I33" i="20"/>
  <c r="I34" i="20" s="1"/>
  <c r="I35" i="20" s="1"/>
  <c r="L34" i="20"/>
  <c r="I36" i="20"/>
  <c r="I37" i="20" s="1"/>
  <c r="I38" i="20" s="1"/>
  <c r="C29" i="20"/>
  <c r="C30" i="20" s="1"/>
  <c r="C31" i="20" s="1"/>
  <c r="C32" i="20" s="1"/>
  <c r="C33" i="20" s="1"/>
  <c r="C34" i="20" s="1"/>
  <c r="C35" i="20" s="1"/>
  <c r="O34" i="20"/>
  <c r="I39" i="20"/>
  <c r="O35" i="20"/>
  <c r="O36" i="20" s="1"/>
  <c r="C36" i="20"/>
  <c r="C37" i="20" s="1"/>
  <c r="C38" i="20" s="1"/>
  <c r="L35" i="20"/>
  <c r="L36" i="20" s="1"/>
  <c r="I40" i="20"/>
  <c r="I41" i="20" s="1"/>
  <c r="I42" i="20" s="1"/>
  <c r="I43" i="20" s="1"/>
  <c r="I44" i="20" s="1"/>
  <c r="I45" i="20" s="1"/>
  <c r="I46" i="20"/>
  <c r="I47" i="20" s="1"/>
  <c r="I48" i="20" s="1"/>
  <c r="I49" i="20" s="1"/>
  <c r="F35" i="20"/>
  <c r="F36" i="20" s="1"/>
  <c r="F37" i="20"/>
  <c r="F38" i="20" s="1"/>
  <c r="F39" i="20" s="1"/>
  <c r="F40" i="20" s="1"/>
  <c r="F41" i="20" s="1"/>
  <c r="L37" i="20"/>
  <c r="L38" i="20" s="1"/>
  <c r="L39" i="20" s="1"/>
  <c r="L40" i="20"/>
  <c r="L41" i="20" s="1"/>
  <c r="L42" i="20" s="1"/>
  <c r="L43" i="20" s="1"/>
  <c r="L44" i="20" s="1"/>
  <c r="L45" i="20" s="1"/>
  <c r="L46" i="20" s="1"/>
  <c r="L47" i="20" s="1"/>
  <c r="L48" i="20" s="1"/>
  <c r="L49" i="20" s="1"/>
  <c r="L50" i="20" s="1"/>
  <c r="L51" i="20" s="1"/>
  <c r="L52" i="20" s="1"/>
  <c r="L53" i="20" s="1"/>
  <c r="L54" i="20" s="1"/>
  <c r="L55" i="20" s="1"/>
  <c r="L56" i="20" s="1"/>
  <c r="L57" i="20" s="1"/>
  <c r="L58" i="20" s="1"/>
  <c r="L59" i="20" s="1"/>
  <c r="L60" i="20" s="1"/>
  <c r="L61" i="20" s="1"/>
  <c r="O37" i="20"/>
  <c r="O38" i="20" s="1"/>
  <c r="O39" i="20" s="1"/>
  <c r="O40" i="20" s="1"/>
  <c r="O41" i="20" s="1"/>
  <c r="O42" i="20"/>
  <c r="O43" i="20" s="1"/>
  <c r="O44" i="20" s="1"/>
  <c r="O45" i="20" s="1"/>
  <c r="O46" i="20" s="1"/>
  <c r="O47" i="20" s="1"/>
  <c r="O48" i="20" s="1"/>
  <c r="O49" i="20" s="1"/>
  <c r="O50" i="20" s="1"/>
  <c r="O51" i="20" s="1"/>
  <c r="O52" i="20" s="1"/>
  <c r="O53" i="20" s="1"/>
  <c r="O54" i="20" s="1"/>
  <c r="O55" i="20" s="1"/>
  <c r="O56" i="20" s="1"/>
  <c r="O57" i="20"/>
  <c r="O58" i="20" s="1"/>
  <c r="O59" i="20" s="1"/>
  <c r="L62" i="20"/>
  <c r="L63" i="20" s="1"/>
  <c r="L64" i="20" s="1"/>
  <c r="L65" i="20" s="1"/>
  <c r="L66" i="20" s="1"/>
  <c r="L67" i="20" s="1"/>
  <c r="L68" i="20" s="1"/>
  <c r="L69" i="20" s="1"/>
  <c r="L70" i="20" s="1"/>
  <c r="L71" i="20" s="1"/>
  <c r="L72" i="20" s="1"/>
  <c r="L73" i="20" s="1"/>
  <c r="L74" i="20" s="1"/>
  <c r="L75" i="20" s="1"/>
  <c r="L76" i="20" s="1"/>
  <c r="L77" i="20" s="1"/>
  <c r="L78" i="20" s="1"/>
  <c r="L79" i="20" s="1"/>
  <c r="L80" i="20" s="1"/>
  <c r="L81" i="20" s="1"/>
  <c r="L82" i="20" s="1"/>
  <c r="F42" i="20"/>
  <c r="F43" i="20" s="1"/>
  <c r="F44" i="20" s="1"/>
  <c r="F45" i="20" s="1"/>
  <c r="F46" i="20" s="1"/>
  <c r="F47" i="20" s="1"/>
  <c r="F48" i="20" s="1"/>
  <c r="F49" i="20" s="1"/>
  <c r="F50" i="20" s="1"/>
  <c r="F51" i="20" s="1"/>
  <c r="C39" i="20"/>
  <c r="C40" i="20" s="1"/>
  <c r="C41" i="20" s="1"/>
  <c r="C42" i="20" s="1"/>
  <c r="C43" i="20" s="1"/>
  <c r="C44" i="20" s="1"/>
  <c r="C45" i="20" s="1"/>
  <c r="C46" i="20" s="1"/>
  <c r="C47" i="20" s="1"/>
  <c r="F52" i="20"/>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C48" i="20"/>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I50" i="20"/>
  <c r="I51" i="20" s="1"/>
  <c r="I52" i="20" s="1"/>
  <c r="I53" i="20" s="1"/>
  <c r="I54" i="20" s="1"/>
  <c r="I55" i="20" s="1"/>
  <c r="I56" i="20" s="1"/>
  <c r="I57" i="20" s="1"/>
  <c r="I58" i="20" s="1"/>
  <c r="I59" i="20" s="1"/>
  <c r="I60" i="20" s="1"/>
  <c r="I61" i="20" s="1"/>
  <c r="I62" i="20" s="1"/>
  <c r="O60" i="20"/>
  <c r="O61" i="20" s="1"/>
  <c r="O62" i="20"/>
  <c r="O63" i="20" s="1"/>
  <c r="O64" i="20" s="1"/>
  <c r="O65" i="20" s="1"/>
  <c r="O66" i="20" s="1"/>
  <c r="O67" i="20" s="1"/>
  <c r="O68" i="20" s="1"/>
  <c r="O69" i="20" s="1"/>
  <c r="O70" i="20" s="1"/>
  <c r="O71" i="20" s="1"/>
  <c r="O72" i="20" s="1"/>
  <c r="O73" i="20" s="1"/>
  <c r="O74" i="20" s="1"/>
  <c r="O75" i="20" s="1"/>
  <c r="O76" i="20" s="1"/>
  <c r="O77" i="20" s="1"/>
  <c r="O78" i="20" s="1"/>
  <c r="O79" i="20" s="1"/>
  <c r="O80" i="20" s="1"/>
  <c r="O81" i="20" s="1"/>
  <c r="O82" i="20" s="1"/>
  <c r="O83" i="20" s="1"/>
  <c r="O84" i="20" s="1"/>
  <c r="O85" i="20" s="1"/>
  <c r="O86" i="20" s="1"/>
  <c r="O87" i="20" s="1"/>
  <c r="O88" i="20" s="1"/>
  <c r="O89" i="20" s="1"/>
  <c r="O90" i="20" s="1"/>
  <c r="O91" i="20" s="1"/>
  <c r="O92" i="20" s="1"/>
  <c r="I63" i="20"/>
  <c r="I64" i="20" s="1"/>
  <c r="I65" i="20" s="1"/>
  <c r="I66" i="20" s="1"/>
  <c r="I67" i="20" s="1"/>
  <c r="I68" i="20" s="1"/>
  <c r="I69" i="20" s="1"/>
  <c r="I70" i="20" s="1"/>
  <c r="I71" i="20" s="1"/>
  <c r="I72" i="20" s="1"/>
  <c r="I73" i="20" s="1"/>
  <c r="I74" i="20" s="1"/>
  <c r="I75" i="20" s="1"/>
  <c r="I76" i="20" s="1"/>
  <c r="I77" i="20" s="1"/>
  <c r="I78" i="20" s="1"/>
  <c r="I79" i="20" s="1"/>
  <c r="I80" i="20" s="1"/>
  <c r="I81" i="20" s="1"/>
  <c r="I82" i="20" s="1"/>
  <c r="I83" i="20" s="1"/>
  <c r="I84" i="20" s="1"/>
  <c r="I85" i="20" s="1"/>
  <c r="I86" i="20" s="1"/>
  <c r="I87" i="20" s="1"/>
  <c r="I88" i="20" s="1"/>
  <c r="I89" i="20" s="1"/>
  <c r="I90" i="20" s="1"/>
  <c r="I91" i="20" s="1"/>
  <c r="I92" i="20" s="1"/>
  <c r="I93" i="20" s="1"/>
  <c r="I94" i="20" s="1"/>
  <c r="I95" i="20" s="1"/>
  <c r="I96" i="20" s="1"/>
  <c r="I97" i="20" s="1"/>
  <c r="I98" i="20" s="1"/>
  <c r="I99" i="20" s="1"/>
  <c r="I100" i="20" s="1"/>
  <c r="I101" i="20" s="1"/>
  <c r="I102" i="20" s="1"/>
  <c r="I103" i="20" s="1"/>
  <c r="I104" i="20" s="1"/>
  <c r="I105" i="20" s="1"/>
  <c r="I106" i="20" s="1"/>
  <c r="I107" i="20" s="1"/>
  <c r="I108" i="20" s="1"/>
  <c r="I109" i="20" s="1"/>
  <c r="I110" i="20" s="1"/>
  <c r="I111" i="20" s="1"/>
  <c r="I112" i="20" s="1"/>
  <c r="I113" i="20" s="1"/>
  <c r="I114" i="20" s="1"/>
  <c r="I115" i="20" s="1"/>
  <c r="I116" i="20" s="1"/>
  <c r="I117" i="20" s="1"/>
  <c r="I118" i="20" s="1"/>
  <c r="I119" i="20" s="1"/>
  <c r="I120" i="20" s="1"/>
  <c r="I121" i="20" s="1"/>
  <c r="I122" i="20" s="1"/>
  <c r="I123" i="20" s="1"/>
  <c r="C69" i="20"/>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L83" i="20"/>
  <c r="L84" i="20" s="1"/>
  <c r="L85" i="20" s="1"/>
  <c r="L86" i="20" s="1"/>
  <c r="L87" i="20" s="1"/>
  <c r="L88" i="20" s="1"/>
  <c r="L89" i="20" s="1"/>
  <c r="L90" i="20" s="1"/>
  <c r="L91" i="20" s="1"/>
  <c r="L92" i="20" s="1"/>
  <c r="L93" i="20" s="1"/>
  <c r="L94" i="20" s="1"/>
  <c r="L95" i="20" s="1"/>
  <c r="L96" i="20" s="1"/>
  <c r="L97" i="20" s="1"/>
  <c r="L98" i="20" s="1"/>
  <c r="L99" i="20" s="1"/>
  <c r="L100" i="20" s="1"/>
  <c r="L101" i="20" s="1"/>
  <c r="L102" i="20" s="1"/>
  <c r="L103" i="20" s="1"/>
  <c r="L104" i="20" s="1"/>
  <c r="L105" i="20" s="1"/>
  <c r="L106" i="20" s="1"/>
  <c r="L107" i="20" s="1"/>
  <c r="L108" i="20" s="1"/>
  <c r="L109" i="20" s="1"/>
  <c r="L110" i="20" s="1"/>
  <c r="L111" i="20" s="1"/>
  <c r="L112" i="20" s="1"/>
  <c r="L113" i="20" s="1"/>
  <c r="L114" i="20" s="1"/>
  <c r="L115" i="20" s="1"/>
  <c r="L116" i="20" s="1"/>
  <c r="L117" i="20" s="1"/>
  <c r="L118" i="20" s="1"/>
  <c r="L119" i="20" s="1"/>
  <c r="L120" i="20" s="1"/>
  <c r="L121" i="20" s="1"/>
  <c r="L122" i="20" s="1"/>
  <c r="L123" i="20" s="1"/>
  <c r="L124" i="20" s="1"/>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L231" i="20" s="1"/>
  <c r="L232" i="20" s="1"/>
  <c r="L233" i="20" s="1"/>
  <c r="L234" i="20" s="1"/>
  <c r="L235" i="20" s="1"/>
  <c r="L236" i="20" s="1"/>
  <c r="L237" i="20" s="1"/>
  <c r="L238" i="20" s="1"/>
  <c r="L239" i="20" s="1"/>
  <c r="L240" i="20" s="1"/>
  <c r="L241" i="20" s="1"/>
  <c r="L242" i="20" s="1"/>
  <c r="L243" i="20" s="1"/>
  <c r="L244" i="20" s="1"/>
  <c r="L245" i="20" s="1"/>
  <c r="F83" i="20"/>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O93" i="20"/>
  <c r="O94" i="20" s="1"/>
  <c r="O95" i="20" s="1"/>
  <c r="O96" i="20" s="1"/>
  <c r="O97" i="20" s="1"/>
  <c r="O98" i="20" s="1"/>
  <c r="O99" i="20" s="1"/>
  <c r="O100" i="20" s="1"/>
  <c r="O101" i="20" s="1"/>
  <c r="O102" i="20" s="1"/>
  <c r="O103" i="20" s="1"/>
  <c r="O104" i="20" s="1"/>
  <c r="O105" i="20" s="1"/>
  <c r="O106" i="20" s="1"/>
  <c r="O107" i="20" s="1"/>
  <c r="O108" i="20" s="1"/>
  <c r="O109" i="20" s="1"/>
  <c r="O110" i="20" s="1"/>
  <c r="O111" i="20" s="1"/>
  <c r="O112" i="20" s="1"/>
  <c r="O113" i="20" s="1"/>
  <c r="O114" i="20" s="1"/>
  <c r="O115" i="20" s="1"/>
  <c r="O116" i="20" s="1"/>
  <c r="O117" i="20" s="1"/>
  <c r="O118" i="20" s="1"/>
  <c r="O119" i="20" s="1"/>
  <c r="O120" i="20" s="1"/>
  <c r="O121" i="20" s="1"/>
  <c r="O122" i="20" s="1"/>
  <c r="O123" i="20" s="1"/>
  <c r="O124" i="20" s="1"/>
  <c r="O125" i="20" s="1"/>
  <c r="O126" i="20" s="1"/>
  <c r="O127" i="20" s="1"/>
  <c r="O128" i="20" s="1"/>
  <c r="O129" i="20" s="1"/>
  <c r="O130" i="20" s="1"/>
  <c r="O131" i="20" s="1"/>
  <c r="O132" i="20" s="1"/>
  <c r="O133" i="20" s="1"/>
  <c r="O134" i="20" s="1"/>
  <c r="O135" i="20" s="1"/>
  <c r="O136" i="20" s="1"/>
  <c r="O137" i="20" s="1"/>
  <c r="O138" i="20" s="1"/>
  <c r="O139" i="20" s="1"/>
  <c r="O140" i="20" s="1"/>
  <c r="O141" i="20" s="1"/>
  <c r="O142" i="20" s="1"/>
  <c r="O143" i="20" s="1"/>
  <c r="O144" i="20" s="1"/>
  <c r="O145" i="20" s="1"/>
  <c r="O146" i="20" s="1"/>
  <c r="O147" i="20" s="1"/>
  <c r="O148" i="20" s="1"/>
  <c r="O149" i="20" s="1"/>
  <c r="O150" i="20" s="1"/>
  <c r="O151" i="20" s="1"/>
  <c r="O152" i="20" s="1"/>
  <c r="O153" i="20" s="1"/>
  <c r="O154" i="20" s="1"/>
  <c r="O155" i="20" s="1"/>
  <c r="O156" i="20" s="1"/>
  <c r="O157" i="20" s="1"/>
  <c r="O158" i="20" s="1"/>
  <c r="O159" i="20" s="1"/>
  <c r="O160" i="20" s="1"/>
  <c r="O161" i="20" s="1"/>
  <c r="O162" i="20" s="1"/>
  <c r="O163" i="20" s="1"/>
  <c r="O164" i="20" s="1"/>
  <c r="O165" i="20" s="1"/>
  <c r="O166" i="20" s="1"/>
  <c r="O167" i="20" s="1"/>
  <c r="O168" i="20" s="1"/>
  <c r="O169" i="20" s="1"/>
  <c r="O170" i="20" s="1"/>
  <c r="O171" i="20" s="1"/>
  <c r="O172" i="20" s="1"/>
  <c r="O173" i="20" s="1"/>
  <c r="O174" i="20" s="1"/>
  <c r="O175" i="20" s="1"/>
  <c r="O176" i="20" s="1"/>
  <c r="O177" i="20" s="1"/>
  <c r="O178" i="20" s="1"/>
  <c r="O179" i="20" s="1"/>
  <c r="O180" i="20"/>
  <c r="O181" i="20" s="1"/>
  <c r="O182" i="20" s="1"/>
  <c r="O183" i="20" s="1"/>
  <c r="O184" i="20" s="1"/>
  <c r="O185" i="20" s="1"/>
  <c r="O186" i="20" s="1"/>
  <c r="O187" i="20" s="1"/>
  <c r="O188" i="20" s="1"/>
  <c r="O189" i="20" s="1"/>
  <c r="O190" i="20" s="1"/>
  <c r="O191" i="20" s="1"/>
  <c r="O192" i="20" s="1"/>
  <c r="O193" i="20" s="1"/>
  <c r="O194" i="20" s="1"/>
  <c r="O195" i="20" s="1"/>
  <c r="O196" i="20" s="1"/>
  <c r="O197" i="20" s="1"/>
  <c r="O198" i="20" s="1"/>
  <c r="O199" i="20" s="1"/>
  <c r="O200" i="20" s="1"/>
  <c r="O201" i="20" s="1"/>
  <c r="O202" i="20" s="1"/>
  <c r="O203" i="20" s="1"/>
  <c r="O204" i="20" s="1"/>
  <c r="O205" i="20" s="1"/>
  <c r="O206" i="20" s="1"/>
  <c r="O207" i="20" s="1"/>
  <c r="I124" i="20"/>
  <c r="I125" i="20" s="1"/>
  <c r="I126" i="20" s="1"/>
  <c r="I127" i="20" s="1"/>
  <c r="I128" i="20" s="1"/>
  <c r="I129" i="20" s="1"/>
  <c r="I130" i="20" s="1"/>
  <c r="I131" i="20" s="1"/>
  <c r="I132" i="20" s="1"/>
  <c r="I133" i="20" s="1"/>
  <c r="I134" i="20" s="1"/>
  <c r="I135" i="20" s="1"/>
  <c r="I136" i="20" s="1"/>
  <c r="I137" i="20" s="1"/>
  <c r="I138" i="20" s="1"/>
  <c r="I139" i="20" s="1"/>
  <c r="F134" i="20"/>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L246" i="20"/>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F206" i="20"/>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F353" i="20" s="1"/>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I140" i="20"/>
  <c r="I141" i="20" s="1"/>
  <c r="I142" i="20" s="1"/>
  <c r="I143" i="20" s="1"/>
  <c r="I144" i="20" s="1"/>
  <c r="I145" i="20" s="1"/>
  <c r="I146" i="20" s="1"/>
  <c r="I147" i="20" s="1"/>
  <c r="I148" i="20" s="1"/>
  <c r="I149" i="20" s="1"/>
  <c r="I150" i="20" s="1"/>
  <c r="I151" i="20" s="1"/>
  <c r="I152" i="20" s="1"/>
  <c r="I153" i="20" s="1"/>
  <c r="I154" i="20" s="1"/>
  <c r="I155" i="20" s="1"/>
  <c r="I156" i="20" s="1"/>
  <c r="I157" i="20" s="1"/>
  <c r="I158" i="20" s="1"/>
  <c r="I159" i="20" s="1"/>
  <c r="I160" i="20" s="1"/>
  <c r="I161" i="20" s="1"/>
  <c r="I162" i="20" s="1"/>
  <c r="I163" i="20" s="1"/>
  <c r="I164" i="20" s="1"/>
  <c r="I165" i="20" s="1"/>
  <c r="I166" i="20" s="1"/>
  <c r="I167" i="20" s="1"/>
  <c r="I168" i="20" s="1"/>
  <c r="I169" i="20" s="1"/>
  <c r="I170" i="20" s="1"/>
  <c r="I171" i="20" s="1"/>
  <c r="I172" i="20" s="1"/>
  <c r="I173" i="20" s="1"/>
  <c r="I174" i="20" s="1"/>
  <c r="I175" i="20" s="1"/>
  <c r="I176" i="20" s="1"/>
  <c r="I177" i="20" s="1"/>
  <c r="I178" i="20" s="1"/>
  <c r="I179" i="20" s="1"/>
  <c r="I180" i="20" s="1"/>
  <c r="I181" i="20" s="1"/>
  <c r="I182" i="20" s="1"/>
  <c r="I183" i="20" s="1"/>
  <c r="I184" i="20" s="1"/>
  <c r="I185" i="20" s="1"/>
  <c r="I186" i="20" s="1"/>
  <c r="I187" i="20" s="1"/>
  <c r="I188" i="20" s="1"/>
  <c r="I189" i="20" s="1"/>
  <c r="I190" i="20" s="1"/>
  <c r="I191" i="20" s="1"/>
  <c r="I192" i="20" s="1"/>
  <c r="I193" i="20" s="1"/>
  <c r="I194" i="20" s="1"/>
  <c r="I195" i="20" s="1"/>
  <c r="I196" i="20" s="1"/>
  <c r="I197" i="20" s="1"/>
  <c r="I198" i="20" s="1"/>
  <c r="I199" i="20" s="1"/>
  <c r="I200" i="20" s="1"/>
  <c r="I201" i="20" s="1"/>
  <c r="I202" i="20" s="1"/>
  <c r="I203" i="20" s="1"/>
  <c r="I204" i="20" s="1"/>
  <c r="I205" i="20" s="1"/>
  <c r="I206" i="20" s="1"/>
  <c r="I207" i="20" s="1"/>
  <c r="I208" i="20" s="1"/>
  <c r="I209" i="20" s="1"/>
  <c r="I210" i="20" s="1"/>
  <c r="I211" i="20" s="1"/>
  <c r="I212" i="20" s="1"/>
  <c r="I213" i="20" s="1"/>
  <c r="I214" i="20" s="1"/>
  <c r="I215" i="20" s="1"/>
  <c r="I216" i="20" s="1"/>
  <c r="I217" i="20" s="1"/>
  <c r="I218" i="20" s="1"/>
  <c r="I219" i="20" s="1"/>
  <c r="I220" i="20" s="1"/>
  <c r="I221" i="20" s="1"/>
  <c r="I222" i="20" s="1"/>
  <c r="I223" i="20" s="1"/>
  <c r="I224" i="20" s="1"/>
  <c r="I225" i="20" s="1"/>
  <c r="I226" i="20" s="1"/>
  <c r="I227" i="20" s="1"/>
  <c r="I228" i="20" s="1"/>
  <c r="I229" i="20" s="1"/>
  <c r="I230" i="20" s="1"/>
  <c r="I231" i="20" s="1"/>
  <c r="I232" i="20" s="1"/>
  <c r="I233" i="20" s="1"/>
  <c r="I234" i="20" s="1"/>
  <c r="I235" i="20" s="1"/>
  <c r="I236" i="20" s="1"/>
  <c r="I237" i="20" s="1"/>
  <c r="I238" i="20" s="1"/>
  <c r="I239" i="20" s="1"/>
  <c r="I240" i="20" s="1"/>
  <c r="I241" i="20" s="1"/>
  <c r="I242" i="20" s="1"/>
  <c r="I243" i="20" s="1"/>
  <c r="I244" i="20" s="1"/>
  <c r="I245" i="20" s="1"/>
  <c r="I246" i="20" s="1"/>
  <c r="I247" i="20" s="1"/>
  <c r="I248" i="20" s="1"/>
  <c r="I249" i="20" s="1"/>
  <c r="I250" i="20" s="1"/>
  <c r="I251" i="20" s="1"/>
  <c r="I252" i="20" s="1"/>
  <c r="I253" i="20" s="1"/>
  <c r="I254" i="20" s="1"/>
  <c r="I255" i="20" s="1"/>
  <c r="I256" i="20" s="1"/>
  <c r="I257" i="20" s="1"/>
  <c r="I258" i="20" s="1"/>
  <c r="I259" i="20" s="1"/>
  <c r="I260" i="20" s="1"/>
  <c r="I261" i="20" s="1"/>
  <c r="I262" i="20" s="1"/>
  <c r="I263" i="20" s="1"/>
  <c r="I264" i="20" s="1"/>
  <c r="I265" i="20" s="1"/>
  <c r="I266" i="20" s="1"/>
  <c r="I267" i="20" s="1"/>
  <c r="I268" i="20" s="1"/>
  <c r="I269" i="20" s="1"/>
  <c r="I270" i="20" s="1"/>
  <c r="I271" i="20" s="1"/>
  <c r="I272" i="20" s="1"/>
  <c r="I273" i="20" s="1"/>
  <c r="I274" i="20" s="1"/>
  <c r="I275" i="20" s="1"/>
  <c r="I276" i="20" s="1"/>
  <c r="L310" i="20"/>
  <c r="L311" i="20" s="1"/>
  <c r="L312" i="20" s="1"/>
  <c r="L313" i="20" s="1"/>
  <c r="L314" i="20" s="1"/>
  <c r="L315" i="20" s="1"/>
  <c r="L316" i="20" s="1"/>
  <c r="L317" i="20" s="1"/>
  <c r="L318" i="20" s="1"/>
  <c r="L319" i="20" s="1"/>
  <c r="L320" i="20" s="1"/>
  <c r="L321" i="20" s="1"/>
  <c r="L322" i="20" s="1"/>
  <c r="L323" i="20" s="1"/>
  <c r="L324" i="20" s="1"/>
  <c r="L325" i="20" s="1"/>
  <c r="L326" i="20" s="1"/>
  <c r="L327" i="20" s="1"/>
  <c r="L328" i="20" s="1"/>
  <c r="L329" i="20" s="1"/>
  <c r="L330" i="20" s="1"/>
  <c r="L331" i="20" s="1"/>
  <c r="C138" i="20"/>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C242" i="20" s="1"/>
  <c r="C243" i="20" s="1"/>
  <c r="C244" i="20" s="1"/>
  <c r="C245" i="20" s="1"/>
  <c r="C246" i="20" s="1"/>
  <c r="C247" i="20" s="1"/>
  <c r="C248" i="20" s="1"/>
  <c r="C249"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310" i="20" s="1"/>
  <c r="C311" i="20" s="1"/>
  <c r="C312" i="20" s="1"/>
  <c r="C313" i="20" s="1"/>
  <c r="C314" i="20" s="1"/>
  <c r="C315" i="20" s="1"/>
  <c r="C316" i="20" s="1"/>
  <c r="C317" i="20" s="1"/>
  <c r="C318" i="20" s="1"/>
  <c r="C319" i="20" s="1"/>
  <c r="C320" i="20" s="1"/>
  <c r="C321" i="20" s="1"/>
  <c r="C322" i="20" s="1"/>
  <c r="C323" i="20" s="1"/>
  <c r="C324" i="20" s="1"/>
  <c r="C325" i="20" s="1"/>
  <c r="C326" i="20" s="1"/>
  <c r="C327" i="20" s="1"/>
  <c r="C328" i="20" s="1"/>
  <c r="C329" i="20" s="1"/>
  <c r="C330" i="20" s="1"/>
  <c r="C331" i="20" s="1"/>
  <c r="C332" i="20" s="1"/>
  <c r="C333" i="20" s="1"/>
  <c r="C334" i="20" s="1"/>
  <c r="C335" i="20" s="1"/>
  <c r="C336" i="20" s="1"/>
  <c r="C337" i="20" s="1"/>
  <c r="C338" i="20" s="1"/>
  <c r="C339" i="20" s="1"/>
  <c r="C340" i="20" s="1"/>
  <c r="C341" i="20" s="1"/>
  <c r="C342" i="20" s="1"/>
  <c r="C343" i="20" s="1"/>
  <c r="C344" i="20" s="1"/>
  <c r="C345" i="20" s="1"/>
  <c r="C346" i="20" s="1"/>
  <c r="C347" i="20" s="1"/>
  <c r="C348" i="20" s="1"/>
  <c r="C349" i="20"/>
  <c r="C350" i="20" s="1"/>
  <c r="C351" i="20" s="1"/>
  <c r="C352" i="20" s="1"/>
  <c r="C353" i="20" s="1"/>
  <c r="C354" i="20" s="1"/>
  <c r="C355" i="20" s="1"/>
  <c r="C356" i="20" s="1"/>
  <c r="C357" i="20" s="1"/>
  <c r="C358" i="20" s="1"/>
  <c r="C359" i="20" s="1"/>
  <c r="C360" i="20" s="1"/>
  <c r="C361" i="20" s="1"/>
  <c r="C362" i="20" s="1"/>
  <c r="C363" i="20" s="1"/>
  <c r="C364" i="20" s="1"/>
  <c r="C365" i="20" s="1"/>
  <c r="C366" i="20" s="1"/>
  <c r="C367" i="20" s="1"/>
  <c r="C368" i="20" s="1"/>
  <c r="C369" i="20" s="1"/>
  <c r="C370" i="20" s="1"/>
  <c r="C371" i="20" s="1"/>
  <c r="C372" i="20" s="1"/>
  <c r="C373" i="20" s="1"/>
  <c r="C374" i="20" s="1"/>
  <c r="C375" i="20" s="1"/>
  <c r="C376" i="20" s="1"/>
  <c r="C377" i="20" s="1"/>
  <c r="C378" i="20" s="1"/>
  <c r="C379" i="20" s="1"/>
  <c r="C380" i="20" s="1"/>
  <c r="C381" i="20" s="1"/>
  <c r="C382" i="20" s="1"/>
  <c r="C383" i="20" s="1"/>
  <c r="C384" i="20" s="1"/>
  <c r="C385" i="20" s="1"/>
  <c r="C386" i="20" s="1"/>
  <c r="C387" i="20" s="1"/>
  <c r="C388" i="20" s="1"/>
  <c r="C389" i="20" s="1"/>
  <c r="C390" i="20" s="1"/>
  <c r="C391" i="20" s="1"/>
  <c r="C392" i="20" s="1"/>
  <c r="C393" i="20" s="1"/>
  <c r="C394" i="20" s="1"/>
  <c r="C395" i="20" s="1"/>
  <c r="C396" i="20" s="1"/>
  <c r="C397" i="20" s="1"/>
  <c r="C398" i="20" s="1"/>
  <c r="C399" i="20" s="1"/>
  <c r="C400" i="20" s="1"/>
  <c r="F389" i="20"/>
  <c r="F390" i="20" s="1"/>
  <c r="F391" i="20" s="1"/>
  <c r="F392" i="20" s="1"/>
  <c r="F393" i="20" s="1"/>
  <c r="F394" i="20" s="1"/>
  <c r="F395" i="20" s="1"/>
  <c r="F396" i="20" s="1"/>
  <c r="F397" i="20" s="1"/>
  <c r="F398" i="20" s="1"/>
  <c r="F399" i="20" s="1"/>
  <c r="F400" i="20" s="1"/>
  <c r="F401" i="20" s="1"/>
  <c r="I277" i="20"/>
  <c r="I278" i="20" s="1"/>
  <c r="I279" i="20" s="1"/>
  <c r="I280" i="20" s="1"/>
  <c r="I281" i="20" s="1"/>
  <c r="I282" i="20" s="1"/>
  <c r="I283" i="20" s="1"/>
  <c r="I284" i="20" s="1"/>
  <c r="I285" i="20" s="1"/>
  <c r="I286" i="20" s="1"/>
  <c r="I287" i="20" s="1"/>
  <c r="I288" i="20" s="1"/>
  <c r="I289" i="20" s="1"/>
  <c r="I290" i="20" s="1"/>
  <c r="I291" i="20" s="1"/>
  <c r="I292" i="20" s="1"/>
  <c r="I293" i="20" s="1"/>
  <c r="I294" i="20" s="1"/>
  <c r="I295" i="20" s="1"/>
  <c r="I296" i="20" s="1"/>
  <c r="I297" i="20" s="1"/>
  <c r="I298" i="20" s="1"/>
  <c r="I299" i="20" s="1"/>
  <c r="I300" i="20" s="1"/>
  <c r="I301" i="20" s="1"/>
  <c r="I302" i="20" s="1"/>
  <c r="I303" i="20" s="1"/>
  <c r="I304" i="20" s="1"/>
  <c r="I305" i="20" s="1"/>
  <c r="I306" i="20" s="1"/>
  <c r="I307" i="20" s="1"/>
  <c r="I308" i="20" s="1"/>
  <c r="I309" i="20" s="1"/>
  <c r="I310" i="20" s="1"/>
  <c r="I311" i="20" s="1"/>
  <c r="I312" i="20" s="1"/>
  <c r="I313" i="20" s="1"/>
  <c r="I314" i="20" s="1"/>
  <c r="I315" i="20" s="1"/>
  <c r="I316" i="20" s="1"/>
  <c r="I317" i="20" s="1"/>
  <c r="I318" i="20" s="1"/>
  <c r="I319" i="20" s="1"/>
  <c r="I320" i="20" s="1"/>
  <c r="I321" i="20" s="1"/>
  <c r="I322" i="20" s="1"/>
  <c r="I323" i="20" s="1"/>
  <c r="I324" i="20" s="1"/>
  <c r="I325" i="20" s="1"/>
  <c r="I326" i="20" s="1"/>
  <c r="I327" i="20" s="1"/>
  <c r="I328" i="20" s="1"/>
  <c r="I329" i="20" s="1"/>
  <c r="I330" i="20" s="1"/>
  <c r="F402" i="20"/>
  <c r="F403" i="20" s="1"/>
  <c r="F404" i="20" s="1"/>
  <c r="F405" i="20" s="1"/>
  <c r="F406" i="20" s="1"/>
  <c r="F407" i="20" s="1"/>
  <c r="F408" i="20" s="1"/>
  <c r="F409" i="20" s="1"/>
  <c r="F410" i="20" s="1"/>
  <c r="F411" i="20" s="1"/>
  <c r="F412" i="20" s="1"/>
  <c r="F413" i="20" s="1"/>
  <c r="F414" i="20" s="1"/>
  <c r="F415" i="20" s="1"/>
  <c r="F416" i="20" s="1"/>
  <c r="F417" i="20" s="1"/>
  <c r="F418" i="20" s="1"/>
  <c r="F419" i="20" s="1"/>
  <c r="F420" i="20" s="1"/>
  <c r="F421" i="20" s="1"/>
  <c r="F422" i="20" s="1"/>
  <c r="F423" i="20" s="1"/>
  <c r="F424" i="20" s="1"/>
  <c r="F425" i="20" s="1"/>
  <c r="F426" i="20" s="1"/>
  <c r="F427" i="20" s="1"/>
  <c r="F428" i="20" s="1"/>
  <c r="F429" i="20" s="1"/>
  <c r="F430" i="20" s="1"/>
  <c r="F431" i="20" s="1"/>
  <c r="F432" i="20" s="1"/>
  <c r="F433" i="20" s="1"/>
  <c r="F434" i="20" s="1"/>
  <c r="F435" i="20" s="1"/>
  <c r="F436" i="20" s="1"/>
  <c r="F437" i="20" s="1"/>
  <c r="I331" i="20"/>
  <c r="I332" i="20" s="1"/>
  <c r="L332" i="20"/>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O208" i="20"/>
  <c r="O209" i="20" s="1"/>
  <c r="O210" i="20" s="1"/>
  <c r="O211" i="20" s="1"/>
  <c r="O212" i="20" s="1"/>
  <c r="O213" i="20" s="1"/>
  <c r="O214" i="20" s="1"/>
  <c r="O215" i="20" s="1"/>
  <c r="O216" i="20" s="1"/>
  <c r="O217" i="20" s="1"/>
  <c r="O218" i="20" s="1"/>
  <c r="O219" i="20" s="1"/>
  <c r="O220" i="20" s="1"/>
  <c r="O221" i="20" s="1"/>
  <c r="O222" i="20" s="1"/>
  <c r="O223" i="20" s="1"/>
  <c r="O224" i="20" s="1"/>
  <c r="O225" i="20" s="1"/>
  <c r="O226" i="20" s="1"/>
  <c r="O227" i="20" s="1"/>
  <c r="O228" i="20" s="1"/>
  <c r="O229" i="20" s="1"/>
  <c r="O230" i="20" s="1"/>
  <c r="O231" i="20" s="1"/>
  <c r="O232" i="20" s="1"/>
  <c r="O233" i="20" s="1"/>
  <c r="O234" i="20" s="1"/>
  <c r="O235" i="20" s="1"/>
  <c r="O236" i="20" s="1"/>
  <c r="O237" i="20" s="1"/>
  <c r="O238" i="20" s="1"/>
  <c r="O239" i="20" s="1"/>
  <c r="O240" i="20" s="1"/>
  <c r="O241" i="20" s="1"/>
  <c r="O242" i="20" s="1"/>
  <c r="O243" i="20" s="1"/>
  <c r="O244" i="20" s="1"/>
  <c r="O245" i="20" s="1"/>
  <c r="O246" i="20" s="1"/>
  <c r="O247" i="20" s="1"/>
  <c r="O248" i="20" s="1"/>
  <c r="O249" i="20" s="1"/>
  <c r="O250" i="20" s="1"/>
  <c r="O251" i="20" s="1"/>
  <c r="O252" i="20" s="1"/>
  <c r="O253" i="20" s="1"/>
  <c r="O254" i="20" s="1"/>
  <c r="O255" i="20" s="1"/>
  <c r="O256" i="20" s="1"/>
  <c r="O257" i="20" s="1"/>
  <c r="O258" i="20" s="1"/>
  <c r="O259" i="20" s="1"/>
  <c r="O260" i="20" s="1"/>
  <c r="O261" i="20" s="1"/>
  <c r="O262" i="20" s="1"/>
  <c r="O263" i="20" s="1"/>
  <c r="O264" i="20" s="1"/>
  <c r="O265" i="20" s="1"/>
  <c r="O266" i="20" s="1"/>
  <c r="O267" i="20" s="1"/>
  <c r="O268" i="20" s="1"/>
  <c r="O269" i="20" s="1"/>
  <c r="O270" i="20" s="1"/>
  <c r="O271" i="20" s="1"/>
  <c r="O272" i="20" s="1"/>
  <c r="O273" i="20" s="1"/>
  <c r="O274" i="20" s="1"/>
  <c r="O275" i="20" s="1"/>
  <c r="O276" i="20" s="1"/>
  <c r="O277" i="20" s="1"/>
  <c r="O278" i="20" s="1"/>
  <c r="O279" i="20" s="1"/>
  <c r="O280" i="20" s="1"/>
  <c r="O281" i="20" s="1"/>
  <c r="O282" i="20" s="1"/>
  <c r="F438" i="20"/>
  <c r="F439" i="20" s="1"/>
  <c r="F440" i="20" s="1"/>
  <c r="F441" i="20" s="1"/>
  <c r="F442" i="20" s="1"/>
  <c r="F443" i="20" s="1"/>
  <c r="F444" i="20" s="1"/>
  <c r="F445" i="20" s="1"/>
  <c r="F446" i="20" s="1"/>
  <c r="F447" i="20" s="1"/>
  <c r="F448" i="20" s="1"/>
  <c r="F449" i="20" s="1"/>
  <c r="F450" i="20" s="1"/>
  <c r="F451" i="20" s="1"/>
  <c r="F452" i="20" s="1"/>
  <c r="F453" i="20" s="1"/>
  <c r="F454" i="20" s="1"/>
  <c r="F455" i="20" s="1"/>
  <c r="F456" i="20" s="1"/>
  <c r="F457" i="20" s="1"/>
  <c r="F458" i="20" s="1"/>
  <c r="F459" i="20" s="1"/>
  <c r="F460" i="20" s="1"/>
  <c r="O283" i="20"/>
  <c r="O284" i="20" s="1"/>
  <c r="O285" i="20" s="1"/>
  <c r="O286" i="20" s="1"/>
  <c r="O287" i="20" s="1"/>
  <c r="O288" i="20" s="1"/>
  <c r="O289" i="20" s="1"/>
  <c r="O290" i="20" s="1"/>
  <c r="O291" i="20" s="1"/>
  <c r="O292" i="20" s="1"/>
  <c r="O293" i="20" s="1"/>
  <c r="O294" i="20" s="1"/>
  <c r="O295" i="20" s="1"/>
  <c r="O296" i="20" s="1"/>
  <c r="O297" i="20" s="1"/>
  <c r="O298" i="20" s="1"/>
  <c r="O299" i="20" s="1"/>
  <c r="O300" i="20" s="1"/>
  <c r="O301" i="20" s="1"/>
  <c r="O302" i="20" s="1"/>
  <c r="O303" i="20" s="1"/>
  <c r="O304" i="20" s="1"/>
  <c r="O305" i="20" s="1"/>
  <c r="O306" i="20" s="1"/>
  <c r="O307" i="20" s="1"/>
  <c r="O308" i="20" s="1"/>
  <c r="O309" i="20" s="1"/>
  <c r="O310" i="20" s="1"/>
  <c r="O311" i="20" s="1"/>
  <c r="O312" i="20" s="1"/>
  <c r="O313" i="20" s="1"/>
  <c r="O314" i="20" s="1"/>
  <c r="O315" i="20" s="1"/>
  <c r="O316" i="20" s="1"/>
  <c r="O317" i="20" s="1"/>
  <c r="O318" i="20" s="1"/>
  <c r="O319" i="20" s="1"/>
  <c r="O320" i="20" s="1"/>
  <c r="O321" i="20" s="1"/>
  <c r="O322" i="20" s="1"/>
  <c r="O323" i="20" s="1"/>
  <c r="O324" i="20" s="1"/>
  <c r="O325" i="20" s="1"/>
  <c r="O326" i="20" s="1"/>
  <c r="O327" i="20" s="1"/>
  <c r="O328" i="20" s="1"/>
  <c r="O329" i="20" s="1"/>
  <c r="O330" i="20" s="1"/>
  <c r="O331" i="20" s="1"/>
  <c r="O332" i="20" s="1"/>
  <c r="O333" i="20" s="1"/>
  <c r="O334" i="20" s="1"/>
  <c r="O335" i="20" s="1"/>
  <c r="O336" i="20" s="1"/>
  <c r="O337" i="20" s="1"/>
  <c r="O338" i="20" s="1"/>
  <c r="O339" i="20" s="1"/>
  <c r="O340" i="20" s="1"/>
  <c r="O341" i="20" s="1"/>
  <c r="O342" i="20" s="1"/>
  <c r="O343" i="20" s="1"/>
  <c r="O344" i="20" s="1"/>
  <c r="O345" i="20" s="1"/>
  <c r="O346" i="20" s="1"/>
  <c r="O347" i="20" s="1"/>
  <c r="O348" i="20" s="1"/>
  <c r="O349" i="20" s="1"/>
  <c r="O350" i="20" s="1"/>
  <c r="O351" i="20" s="1"/>
  <c r="O352" i="20" s="1"/>
  <c r="O353" i="20" s="1"/>
  <c r="O354" i="20" s="1"/>
  <c r="O355" i="20" s="1"/>
  <c r="O356" i="20" s="1"/>
  <c r="O357" i="20" s="1"/>
  <c r="O358" i="20" s="1"/>
  <c r="O359" i="20" s="1"/>
  <c r="O360" i="20" s="1"/>
  <c r="O361" i="20" s="1"/>
  <c r="O362" i="20" s="1"/>
  <c r="O363" i="20" s="1"/>
  <c r="O364" i="20" s="1"/>
  <c r="O365" i="20" s="1"/>
  <c r="O366" i="20" s="1"/>
  <c r="O367" i="20" s="1"/>
  <c r="O368" i="20" s="1"/>
  <c r="O369" i="20" s="1"/>
  <c r="O370" i="20" s="1"/>
  <c r="O371" i="20" s="1"/>
  <c r="O372" i="20" s="1"/>
  <c r="O373" i="20" s="1"/>
  <c r="O374" i="20" s="1"/>
  <c r="O375" i="20" s="1"/>
  <c r="O376" i="20" s="1"/>
  <c r="O377" i="20" s="1"/>
  <c r="O378" i="20" s="1"/>
  <c r="O379" i="20" s="1"/>
  <c r="O380" i="20" s="1"/>
  <c r="O381" i="20" s="1"/>
  <c r="O382" i="20" s="1"/>
  <c r="O383" i="20" s="1"/>
  <c r="O384" i="20" s="1"/>
  <c r="O385" i="20" s="1"/>
  <c r="O386" i="20" s="1"/>
  <c r="O387" i="20" s="1"/>
  <c r="O388" i="20" s="1"/>
  <c r="O389" i="20" s="1"/>
  <c r="O390" i="20" s="1"/>
  <c r="O391" i="20" s="1"/>
  <c r="O392" i="20" s="1"/>
  <c r="O393" i="20" s="1"/>
  <c r="O394" i="20" s="1"/>
  <c r="O395" i="20" s="1"/>
  <c r="O396" i="20" s="1"/>
  <c r="O397" i="20" s="1"/>
  <c r="O398" i="20" s="1"/>
  <c r="O399" i="20" s="1"/>
  <c r="O400" i="20" s="1"/>
  <c r="O401" i="20" s="1"/>
  <c r="O402" i="20" s="1"/>
  <c r="O403" i="20" s="1"/>
  <c r="O404" i="20" s="1"/>
  <c r="O405" i="20" s="1"/>
  <c r="O406" i="20" s="1"/>
  <c r="O407" i="20" s="1"/>
  <c r="O408" i="20" s="1"/>
  <c r="O409" i="20" s="1"/>
  <c r="O410" i="20" s="1"/>
  <c r="O411" i="20" s="1"/>
  <c r="O412" i="20" s="1"/>
  <c r="O413" i="20" s="1"/>
  <c r="O414" i="20" s="1"/>
  <c r="O415" i="20" s="1"/>
  <c r="O416" i="20" s="1"/>
  <c r="O417" i="20" s="1"/>
  <c r="O418" i="20" s="1"/>
  <c r="O419" i="20" s="1"/>
  <c r="O420" i="20" s="1"/>
  <c r="O421" i="20" s="1"/>
  <c r="O422" i="20" s="1"/>
  <c r="O423" i="20" s="1"/>
  <c r="O424" i="20" s="1"/>
  <c r="O425" i="20" s="1"/>
  <c r="O426" i="20" s="1"/>
  <c r="O427" i="20" s="1"/>
  <c r="O428" i="20" s="1"/>
  <c r="O429" i="20" s="1"/>
  <c r="O430" i="20" s="1"/>
  <c r="O431" i="20" s="1"/>
  <c r="O432" i="20" s="1"/>
  <c r="O433" i="20" s="1"/>
  <c r="O434" i="20" s="1"/>
  <c r="O435" i="20" s="1"/>
  <c r="O436" i="20" s="1"/>
  <c r="O437" i="20" s="1"/>
  <c r="O438" i="20" s="1"/>
  <c r="O439" i="20" s="1"/>
  <c r="O440" i="20" s="1"/>
  <c r="O441" i="20" s="1"/>
  <c r="O442" i="20" s="1"/>
  <c r="O443" i="20" s="1"/>
  <c r="O444" i="20" s="1"/>
  <c r="O445" i="20" s="1"/>
  <c r="O446" i="20" s="1"/>
  <c r="O447" i="20" s="1"/>
  <c r="O448" i="20" s="1"/>
  <c r="O449" i="20" s="1"/>
  <c r="O450" i="20" s="1"/>
  <c r="O451" i="20" s="1"/>
  <c r="O452" i="20" s="1"/>
  <c r="O453" i="20" s="1"/>
  <c r="O454" i="20" s="1"/>
  <c r="O455" i="20" s="1"/>
  <c r="O456" i="20" s="1"/>
  <c r="O457" i="20" s="1"/>
  <c r="O458" i="20" s="1"/>
  <c r="O459" i="20" s="1"/>
  <c r="O460" i="20" s="1"/>
  <c r="O461" i="20" s="1"/>
  <c r="O462" i="20" s="1"/>
  <c r="O463" i="20" s="1"/>
  <c r="O464" i="20" s="1"/>
  <c r="O465" i="20" s="1"/>
  <c r="O466" i="20" s="1"/>
  <c r="O467" i="20" s="1"/>
  <c r="O468" i="20" s="1"/>
  <c r="O469" i="20" s="1"/>
  <c r="O470" i="20" s="1"/>
  <c r="O471" i="20" s="1"/>
  <c r="O472" i="20" s="1"/>
  <c r="O473" i="20" s="1"/>
  <c r="O474" i="20" s="1"/>
  <c r="O475" i="20" s="1"/>
  <c r="O476" i="20" s="1"/>
  <c r="O477" i="20" s="1"/>
  <c r="O478" i="20" s="1"/>
  <c r="O479" i="20" s="1"/>
  <c r="O480" i="20" s="1"/>
  <c r="O481" i="20" s="1"/>
  <c r="O482" i="20" s="1"/>
  <c r="O483" i="20" s="1"/>
  <c r="O484" i="20" s="1"/>
  <c r="O485" i="20" s="1"/>
  <c r="O486" i="20" s="1"/>
  <c r="O487" i="20" s="1"/>
  <c r="O488" i="20" s="1"/>
  <c r="O489" i="20" s="1"/>
  <c r="O490" i="20" s="1"/>
  <c r="O491" i="20" s="1"/>
  <c r="O492" i="20" s="1"/>
  <c r="O493" i="20" s="1"/>
  <c r="O494" i="20" s="1"/>
  <c r="O495" i="20" s="1"/>
  <c r="O496" i="20" s="1"/>
  <c r="O497" i="20" s="1"/>
  <c r="O498" i="20" s="1"/>
  <c r="O499" i="20" s="1"/>
  <c r="O500" i="20" s="1"/>
  <c r="O501" i="20" s="1"/>
  <c r="O502" i="20" s="1"/>
  <c r="O503" i="20" s="1"/>
  <c r="O504" i="20" s="1"/>
  <c r="O505" i="20" s="1"/>
  <c r="O506" i="20" s="1"/>
  <c r="O507" i="20" s="1"/>
  <c r="O508" i="20" s="1"/>
  <c r="O509" i="20" s="1"/>
  <c r="O510" i="20" s="1"/>
  <c r="O511" i="20" s="1"/>
  <c r="O512" i="20" s="1"/>
  <c r="O513" i="20" s="1"/>
  <c r="O514" i="20" s="1"/>
  <c r="O515" i="20" s="1"/>
  <c r="O516" i="20" s="1"/>
  <c r="O517" i="20" s="1"/>
  <c r="O518" i="20" s="1"/>
  <c r="O519" i="20" s="1"/>
  <c r="O520" i="20" s="1"/>
  <c r="O521" i="20" s="1"/>
  <c r="O522" i="20" s="1"/>
  <c r="O523" i="20" s="1"/>
  <c r="O524" i="20" s="1"/>
  <c r="O525" i="20" s="1"/>
  <c r="O526" i="20" s="1"/>
  <c r="O527" i="20" s="1"/>
  <c r="O528" i="20" s="1"/>
  <c r="O529" i="20" s="1"/>
  <c r="O530" i="20" s="1"/>
  <c r="O531" i="20" s="1"/>
  <c r="O532" i="20" s="1"/>
  <c r="O533" i="20" s="1"/>
  <c r="O534" i="20" s="1"/>
  <c r="I333" i="20"/>
  <c r="I334" i="20" s="1"/>
  <c r="I335" i="20" s="1"/>
  <c r="I336" i="20" s="1"/>
  <c r="I337" i="20" s="1"/>
  <c r="I338" i="20" s="1"/>
  <c r="I339" i="20" s="1"/>
  <c r="I340" i="20" s="1"/>
  <c r="I341" i="20" s="1"/>
  <c r="I342" i="20" s="1"/>
  <c r="I343" i="20" s="1"/>
  <c r="I344" i="20" s="1"/>
  <c r="I345" i="20" s="1"/>
  <c r="I346" i="20" s="1"/>
  <c r="I347" i="20" s="1"/>
  <c r="I348" i="20" s="1"/>
  <c r="I349" i="20" s="1"/>
  <c r="I350" i="20" s="1"/>
  <c r="I351" i="20" s="1"/>
  <c r="I352" i="20" s="1"/>
  <c r="I353" i="20" s="1"/>
  <c r="I354" i="20" s="1"/>
  <c r="I355" i="20" s="1"/>
  <c r="I356" i="20" s="1"/>
  <c r="I357" i="20" s="1"/>
  <c r="I358" i="20" s="1"/>
  <c r="I359" i="20" s="1"/>
  <c r="I360" i="20" s="1"/>
  <c r="I361" i="20" s="1"/>
  <c r="I362" i="20" s="1"/>
  <c r="I363" i="20" s="1"/>
  <c r="I364" i="20" s="1"/>
  <c r="I365" i="20" s="1"/>
  <c r="I366" i="20" s="1"/>
  <c r="I367" i="20" s="1"/>
  <c r="I368" i="20" s="1"/>
  <c r="I369" i="20" s="1"/>
  <c r="I370" i="20" s="1"/>
  <c r="I371" i="20" s="1"/>
  <c r="I372" i="20" s="1"/>
  <c r="I373" i="20" s="1"/>
  <c r="I374" i="20" s="1"/>
  <c r="I375" i="20" s="1"/>
  <c r="I376" i="20" s="1"/>
  <c r="I377" i="20" s="1"/>
  <c r="I378" i="20" s="1"/>
  <c r="I379" i="20" s="1"/>
  <c r="I380" i="20" s="1"/>
  <c r="I381" i="20" s="1"/>
  <c r="I382" i="20" s="1"/>
  <c r="I383" i="20" s="1"/>
  <c r="I384" i="20" s="1"/>
  <c r="I385" i="20" s="1"/>
  <c r="I386" i="20" s="1"/>
  <c r="I387" i="20" s="1"/>
  <c r="I388" i="20" s="1"/>
  <c r="I389" i="20" s="1"/>
  <c r="I390" i="20" s="1"/>
  <c r="I391" i="20" s="1"/>
  <c r="I392" i="20" s="1"/>
  <c r="I393" i="20" s="1"/>
  <c r="I394" i="20" s="1"/>
  <c r="I395" i="20" s="1"/>
  <c r="I396" i="20" s="1"/>
  <c r="I397" i="20" s="1"/>
  <c r="I398" i="20" s="1"/>
  <c r="I399" i="20" s="1"/>
  <c r="I400" i="20" s="1"/>
  <c r="I401" i="20" s="1"/>
  <c r="I402" i="20" s="1"/>
  <c r="I403" i="20" s="1"/>
  <c r="I404" i="20" s="1"/>
  <c r="I405" i="20" s="1"/>
  <c r="I406" i="20" s="1"/>
  <c r="I407" i="20" s="1"/>
  <c r="I408" i="20" s="1"/>
  <c r="I409" i="20" s="1"/>
  <c r="I410" i="20" s="1"/>
  <c r="I411" i="20" s="1"/>
  <c r="I412" i="20" s="1"/>
  <c r="I413" i="20" s="1"/>
  <c r="I414" i="20" s="1"/>
  <c r="I415" i="20" s="1"/>
  <c r="I416" i="20" s="1"/>
  <c r="I417" i="20" s="1"/>
  <c r="I418" i="20" s="1"/>
  <c r="I419" i="20" s="1"/>
  <c r="I420" i="20" s="1"/>
  <c r="I421" i="20" s="1"/>
  <c r="I422" i="20" s="1"/>
  <c r="I423" i="20" s="1"/>
  <c r="I424" i="20" s="1"/>
  <c r="I425" i="20" s="1"/>
  <c r="I426" i="20" s="1"/>
  <c r="I427" i="20" s="1"/>
  <c r="I428" i="20" s="1"/>
  <c r="I429" i="20" s="1"/>
  <c r="I430" i="20" s="1"/>
  <c r="I431" i="20" s="1"/>
  <c r="I432" i="20" s="1"/>
  <c r="I433" i="20" s="1"/>
  <c r="I434" i="20" s="1"/>
  <c r="I435" i="20" s="1"/>
  <c r="I436" i="20" s="1"/>
  <c r="I437" i="20" s="1"/>
  <c r="I438" i="20" s="1"/>
  <c r="I439" i="20" s="1"/>
  <c r="I440" i="20" s="1"/>
  <c r="I441" i="20" s="1"/>
  <c r="I442" i="20" s="1"/>
  <c r="I443" i="20" s="1"/>
  <c r="I444" i="20" s="1"/>
  <c r="I445" i="20" s="1"/>
  <c r="I446" i="20" s="1"/>
  <c r="I447" i="20" s="1"/>
  <c r="I448" i="20" s="1"/>
  <c r="I449" i="20" s="1"/>
  <c r="I450" i="20" s="1"/>
  <c r="I451" i="20" s="1"/>
  <c r="I452" i="20" s="1"/>
  <c r="I453" i="20" s="1"/>
  <c r="I454" i="20" s="1"/>
  <c r="I455" i="20" s="1"/>
  <c r="I456" i="20" s="1"/>
  <c r="I457" i="20" s="1"/>
  <c r="I458" i="20" s="1"/>
  <c r="I459" i="20" s="1"/>
  <c r="I460" i="20" s="1"/>
  <c r="I461" i="20" s="1"/>
  <c r="I462" i="20" s="1"/>
  <c r="I463" i="20" s="1"/>
  <c r="I464" i="20" s="1"/>
  <c r="I465" i="20" s="1"/>
  <c r="I466" i="20" s="1"/>
  <c r="I467" i="20" s="1"/>
  <c r="I468" i="20" s="1"/>
  <c r="I469" i="20" s="1"/>
  <c r="I470" i="20" s="1"/>
  <c r="I471" i="20" s="1"/>
  <c r="I472" i="20" s="1"/>
  <c r="I473" i="20" s="1"/>
  <c r="I474" i="20" s="1"/>
  <c r="I475" i="20" s="1"/>
  <c r="I476" i="20" s="1"/>
  <c r="I477" i="20" s="1"/>
  <c r="I478" i="20" s="1"/>
  <c r="I479" i="20" s="1"/>
  <c r="I480" i="20" s="1"/>
  <c r="I481" i="20" s="1"/>
  <c r="I482" i="20" s="1"/>
  <c r="I483" i="20" s="1"/>
  <c r="I484" i="20" s="1"/>
  <c r="I485" i="20" s="1"/>
  <c r="I486" i="20" s="1"/>
  <c r="I487" i="20" s="1"/>
  <c r="I488" i="20" s="1"/>
  <c r="I489" i="20" s="1"/>
  <c r="I490" i="20" s="1"/>
  <c r="I491" i="20" s="1"/>
  <c r="I492" i="20" s="1"/>
  <c r="I493" i="20" s="1"/>
  <c r="I494" i="20" s="1"/>
  <c r="I495" i="20" s="1"/>
  <c r="I496" i="20" s="1"/>
  <c r="I497" i="20" s="1"/>
  <c r="I498" i="20" s="1"/>
  <c r="I499" i="20" s="1"/>
  <c r="I500" i="20" s="1"/>
  <c r="I501" i="20" s="1"/>
  <c r="I502" i="20" s="1"/>
  <c r="I503" i="20" s="1"/>
  <c r="I504" i="20" s="1"/>
  <c r="I505" i="20" s="1"/>
  <c r="I506" i="20" s="1"/>
  <c r="I507" i="20" s="1"/>
  <c r="I508" i="20" s="1"/>
  <c r="I509" i="20" s="1"/>
  <c r="I510" i="20" s="1"/>
  <c r="I511" i="20" s="1"/>
  <c r="I512" i="20" s="1"/>
  <c r="I513" i="20" s="1"/>
  <c r="I514" i="20" s="1"/>
  <c r="I515" i="20" s="1"/>
  <c r="I516" i="20" s="1"/>
  <c r="I517" i="20" s="1"/>
  <c r="I518" i="20" s="1"/>
  <c r="I519" i="20" s="1"/>
  <c r="I520" i="20" s="1"/>
  <c r="I521" i="20" s="1"/>
  <c r="I522" i="20" s="1"/>
  <c r="I523" i="20" s="1"/>
  <c r="I524" i="20" s="1"/>
  <c r="I525" i="20" s="1"/>
  <c r="I526" i="20" s="1"/>
  <c r="I527" i="20" s="1"/>
  <c r="I528" i="20" s="1"/>
  <c r="I529" i="20" s="1"/>
  <c r="I530" i="20" s="1"/>
  <c r="I531" i="20" s="1"/>
  <c r="I532" i="20" s="1"/>
  <c r="I533" i="20" s="1"/>
  <c r="I534" i="20" s="1"/>
  <c r="I535" i="20" s="1"/>
  <c r="I536" i="20" s="1"/>
  <c r="I537" i="20" s="1"/>
  <c r="I538" i="20" s="1"/>
  <c r="I539" i="20" s="1"/>
  <c r="I540" i="20" s="1"/>
  <c r="I541" i="20" s="1"/>
  <c r="I542" i="20" s="1"/>
  <c r="I543" i="20" s="1"/>
  <c r="I544" i="20" s="1"/>
  <c r="I545" i="20" s="1"/>
  <c r="I546" i="20" s="1"/>
  <c r="I547" i="20" s="1"/>
  <c r="I548" i="20" s="1"/>
  <c r="I549" i="20" s="1"/>
  <c r="I550" i="20" s="1"/>
  <c r="I551" i="20" s="1"/>
  <c r="I552" i="20" s="1"/>
  <c r="I553" i="20" s="1"/>
  <c r="I554" i="20" s="1"/>
  <c r="I555" i="20" s="1"/>
  <c r="I556" i="20" s="1"/>
  <c r="I557" i="20" s="1"/>
  <c r="I558" i="20" s="1"/>
  <c r="I559" i="20" s="1"/>
  <c r="I560" i="20" s="1"/>
  <c r="I561" i="20" s="1"/>
  <c r="I562" i="20" s="1"/>
  <c r="I563" i="20" s="1"/>
  <c r="I564" i="20" s="1"/>
  <c r="I565" i="20" s="1"/>
  <c r="I566" i="20" s="1"/>
  <c r="I567" i="20" s="1"/>
  <c r="I568" i="20" s="1"/>
  <c r="I569" i="20" s="1"/>
  <c r="I570" i="20" s="1"/>
  <c r="I571" i="20" s="1"/>
  <c r="I572" i="20" s="1"/>
  <c r="I573" i="20" s="1"/>
  <c r="I574" i="20" s="1"/>
  <c r="I575" i="20" s="1"/>
  <c r="I576" i="20" s="1"/>
  <c r="I577" i="20" s="1"/>
  <c r="I578" i="20" s="1"/>
  <c r="I579" i="20" s="1"/>
  <c r="I580" i="20" s="1"/>
  <c r="I581" i="20" s="1"/>
  <c r="I582" i="20" s="1"/>
  <c r="I583" i="20" s="1"/>
  <c r="I584" i="20" s="1"/>
  <c r="I585" i="20" s="1"/>
  <c r="I586" i="20" s="1"/>
  <c r="I587" i="20" s="1"/>
  <c r="I588" i="20" s="1"/>
  <c r="I589" i="20" s="1"/>
  <c r="I590" i="20" s="1"/>
  <c r="I591" i="20" s="1"/>
  <c r="I592" i="20" s="1"/>
  <c r="I593" i="20" s="1"/>
  <c r="I594" i="20" s="1"/>
  <c r="I595" i="20" s="1"/>
  <c r="I596" i="20" s="1"/>
  <c r="I597" i="20" s="1"/>
  <c r="I598" i="20" s="1"/>
  <c r="I599" i="20" s="1"/>
  <c r="I600" i="20" s="1"/>
  <c r="I601" i="20" s="1"/>
  <c r="I602" i="20" s="1"/>
  <c r="I603" i="20" s="1"/>
  <c r="I604" i="20" s="1"/>
  <c r="I605" i="20" s="1"/>
  <c r="I606" i="20" s="1"/>
  <c r="I607" i="20" s="1"/>
  <c r="I608" i="20" s="1"/>
  <c r="I609" i="20" s="1"/>
  <c r="I610" i="20" s="1"/>
  <c r="I611" i="20" s="1"/>
  <c r="I612" i="20" s="1"/>
  <c r="I613" i="20" s="1"/>
  <c r="I614" i="20" s="1"/>
  <c r="I615" i="20" s="1"/>
  <c r="I616" i="20" s="1"/>
  <c r="I617" i="20" s="1"/>
  <c r="I618" i="20" s="1"/>
  <c r="I619" i="20" s="1"/>
  <c r="I620" i="20" s="1"/>
  <c r="I621" i="20" s="1"/>
  <c r="I622" i="20" s="1"/>
  <c r="I623" i="20" s="1"/>
  <c r="I624" i="20" s="1"/>
  <c r="I625" i="20" s="1"/>
  <c r="I626" i="20" s="1"/>
  <c r="I627" i="20" s="1"/>
  <c r="I628" i="20" s="1"/>
  <c r="I629" i="20" s="1"/>
  <c r="I630" i="20" s="1"/>
  <c r="I631" i="20" s="1"/>
  <c r="I632" i="20" s="1"/>
  <c r="I633" i="20" s="1"/>
  <c r="I634" i="20" s="1"/>
  <c r="I635" i="20" s="1"/>
  <c r="I636" i="20" s="1"/>
  <c r="I637" i="20" s="1"/>
  <c r="I638" i="20" s="1"/>
  <c r="I639" i="20" s="1"/>
  <c r="I640" i="20" s="1"/>
  <c r="I641" i="20" s="1"/>
  <c r="I642" i="20" s="1"/>
  <c r="I643" i="20" s="1"/>
  <c r="I644" i="20" s="1"/>
  <c r="I645" i="20" s="1"/>
  <c r="I646" i="20" s="1"/>
  <c r="I647" i="20" s="1"/>
  <c r="I648" i="20" s="1"/>
  <c r="I649" i="20" s="1"/>
  <c r="I650" i="20" s="1"/>
  <c r="I651" i="20" s="1"/>
  <c r="I652" i="20" s="1"/>
  <c r="I653" i="20" s="1"/>
  <c r="I654" i="20" s="1"/>
  <c r="I655" i="20" s="1"/>
  <c r="I656" i="20" s="1"/>
  <c r="I657" i="20" s="1"/>
  <c r="I658" i="20" s="1"/>
  <c r="I659" i="20" s="1"/>
  <c r="I660" i="20" s="1"/>
  <c r="I661" i="20" s="1"/>
  <c r="I662" i="20" s="1"/>
  <c r="I663" i="20" s="1"/>
  <c r="I664" i="20" s="1"/>
  <c r="I665" i="20" s="1"/>
  <c r="I666" i="20" s="1"/>
  <c r="I667" i="20" s="1"/>
  <c r="I668" i="20" s="1"/>
  <c r="I669" i="20" s="1"/>
  <c r="I670" i="20" s="1"/>
  <c r="I671" i="20" s="1"/>
  <c r="I672" i="20" s="1"/>
  <c r="I673" i="20" s="1"/>
  <c r="I674" i="20" s="1"/>
  <c r="I675" i="20" s="1"/>
  <c r="I676" i="20" s="1"/>
  <c r="I677" i="20" s="1"/>
  <c r="I678" i="20" s="1"/>
  <c r="I679" i="20" s="1"/>
  <c r="I680" i="20" s="1"/>
  <c r="I681" i="20" s="1"/>
  <c r="I682" i="20" s="1"/>
  <c r="I683" i="20" s="1"/>
  <c r="I684" i="20" s="1"/>
  <c r="I685" i="20" s="1"/>
  <c r="I686" i="20" s="1"/>
  <c r="I687" i="20" s="1"/>
  <c r="I688" i="20" s="1"/>
  <c r="I689" i="20" s="1"/>
  <c r="I690" i="20" s="1"/>
  <c r="I691" i="20" s="1"/>
  <c r="I692" i="20" s="1"/>
  <c r="I693" i="20" s="1"/>
  <c r="I694" i="20" s="1"/>
  <c r="I695" i="20" s="1"/>
  <c r="I696" i="20" s="1"/>
  <c r="I697" i="20" s="1"/>
  <c r="I698" i="20" s="1"/>
  <c r="I699" i="20" s="1"/>
  <c r="I700" i="20" s="1"/>
  <c r="I701" i="20" s="1"/>
  <c r="O535" i="20"/>
  <c r="O536" i="20" s="1"/>
  <c r="O537" i="20" s="1"/>
  <c r="O538" i="20" s="1"/>
  <c r="O539" i="20" s="1"/>
  <c r="O540" i="20" s="1"/>
  <c r="O541" i="20" s="1"/>
  <c r="O542" i="20" s="1"/>
  <c r="O543" i="20" s="1"/>
  <c r="O544" i="20" s="1"/>
  <c r="O545" i="20" s="1"/>
  <c r="O546" i="20" s="1"/>
  <c r="O547" i="20" s="1"/>
  <c r="O548" i="20" s="1"/>
  <c r="O549" i="20" s="1"/>
  <c r="O550" i="20" s="1"/>
  <c r="O551" i="20" s="1"/>
  <c r="O552" i="20" s="1"/>
  <c r="O553" i="20" s="1"/>
  <c r="O554" i="20" s="1"/>
  <c r="O555" i="20" s="1"/>
  <c r="O556" i="20" s="1"/>
  <c r="O557" i="20" s="1"/>
  <c r="O558" i="20" s="1"/>
  <c r="O559" i="20" s="1"/>
  <c r="O560" i="20" s="1"/>
  <c r="O561" i="20" s="1"/>
  <c r="O562" i="20" s="1"/>
  <c r="O563" i="20" s="1"/>
  <c r="O564" i="20" s="1"/>
  <c r="O565" i="20" s="1"/>
  <c r="O566" i="20" s="1"/>
  <c r="O567" i="20" s="1"/>
  <c r="O568" i="20" s="1"/>
  <c r="O569" i="20" s="1"/>
  <c r="O570" i="20" s="1"/>
  <c r="O571" i="20" s="1"/>
  <c r="O572" i="20" s="1"/>
  <c r="O573" i="20" s="1"/>
  <c r="O574" i="20" s="1"/>
  <c r="O575" i="20" s="1"/>
  <c r="O576" i="20" s="1"/>
  <c r="O577" i="20" s="1"/>
  <c r="O578" i="20" s="1"/>
  <c r="O579" i="20" s="1"/>
  <c r="O580" i="20" s="1"/>
  <c r="O581" i="20" s="1"/>
  <c r="O582" i="20" s="1"/>
  <c r="O583" i="20" s="1"/>
  <c r="O584" i="20" s="1"/>
  <c r="O585" i="20" s="1"/>
  <c r="O586" i="20" s="1"/>
  <c r="O587" i="20" s="1"/>
  <c r="O588" i="20" s="1"/>
  <c r="O589" i="20" s="1"/>
  <c r="O590" i="20" s="1"/>
  <c r="O591" i="20" s="1"/>
  <c r="O592" i="20" s="1"/>
  <c r="O593" i="20" s="1"/>
  <c r="O594" i="20" s="1"/>
  <c r="O595" i="20" s="1"/>
  <c r="O596" i="20" s="1"/>
  <c r="O597" i="20" s="1"/>
  <c r="O598" i="20" s="1"/>
  <c r="O599" i="20" s="1"/>
  <c r="O600" i="20" s="1"/>
  <c r="O601" i="20" s="1"/>
  <c r="O602" i="20" s="1"/>
  <c r="O603" i="20" s="1"/>
  <c r="O604" i="20" s="1"/>
  <c r="O605" i="20" s="1"/>
  <c r="O606" i="20" s="1"/>
  <c r="O607" i="20" s="1"/>
  <c r="O608" i="20" s="1"/>
  <c r="O609" i="20" s="1"/>
  <c r="O610" i="20" s="1"/>
  <c r="O611" i="20" s="1"/>
  <c r="O612" i="20" s="1"/>
  <c r="O613" i="20" s="1"/>
  <c r="O614" i="20" s="1"/>
  <c r="O615" i="20" s="1"/>
  <c r="O616" i="20" s="1"/>
  <c r="O617" i="20" s="1"/>
  <c r="O618" i="20" s="1"/>
  <c r="O619" i="20" s="1"/>
  <c r="O620" i="20" s="1"/>
  <c r="O621" i="20" s="1"/>
  <c r="O622" i="20" s="1"/>
  <c r="O623" i="20" s="1"/>
  <c r="O624" i="20" s="1"/>
  <c r="O625" i="20" s="1"/>
  <c r="O626" i="20" s="1"/>
  <c r="O627" i="20" s="1"/>
  <c r="O628" i="20" s="1"/>
  <c r="O629" i="20" s="1"/>
  <c r="O630" i="20" s="1"/>
  <c r="O631" i="20" s="1"/>
  <c r="O632" i="20" s="1"/>
  <c r="O633" i="20" s="1"/>
  <c r="O634" i="20" s="1"/>
  <c r="O635" i="20" s="1"/>
  <c r="O636" i="20" s="1"/>
  <c r="O637" i="20" s="1"/>
  <c r="O638" i="20"/>
  <c r="O639" i="20" s="1"/>
  <c r="O640" i="20" s="1"/>
  <c r="O641" i="20" s="1"/>
  <c r="O642" i="20" s="1"/>
  <c r="O643" i="20" s="1"/>
  <c r="O644" i="20" s="1"/>
  <c r="O645" i="20" s="1"/>
  <c r="O646" i="20" s="1"/>
  <c r="O647" i="20" s="1"/>
  <c r="O648" i="20" s="1"/>
  <c r="O649" i="20" s="1"/>
  <c r="O650" i="20" s="1"/>
  <c r="O651" i="20" s="1"/>
  <c r="O652" i="20" s="1"/>
  <c r="O653" i="20" s="1"/>
  <c r="O654" i="20" s="1"/>
  <c r="O655" i="20" s="1"/>
  <c r="O656" i="20" s="1"/>
  <c r="O657" i="20" s="1"/>
  <c r="O658" i="20" s="1"/>
  <c r="O659" i="20" s="1"/>
  <c r="O660" i="20" s="1"/>
  <c r="O661" i="20" s="1"/>
  <c r="O662" i="20" s="1"/>
  <c r="L372" i="20"/>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L412" i="20" s="1"/>
  <c r="L413" i="20" s="1"/>
  <c r="L414" i="20" s="1"/>
  <c r="L415" i="20" s="1"/>
  <c r="L416" i="20" s="1"/>
  <c r="L417" i="20" s="1"/>
  <c r="L418" i="20" s="1"/>
  <c r="L419" i="20" s="1"/>
  <c r="L420" i="20" s="1"/>
  <c r="L421" i="20" s="1"/>
  <c r="L422" i="20" s="1"/>
  <c r="L423" i="20" s="1"/>
  <c r="L424" i="20" s="1"/>
  <c r="L425" i="20" s="1"/>
  <c r="L426" i="20" s="1"/>
  <c r="L427" i="20" s="1"/>
  <c r="L428" i="20" s="1"/>
  <c r="L429" i="20" s="1"/>
  <c r="L430" i="20" s="1"/>
  <c r="L431" i="20" s="1"/>
  <c r="L432" i="20" s="1"/>
  <c r="L433" i="20" s="1"/>
  <c r="L434" i="20" s="1"/>
  <c r="L435" i="20" s="1"/>
  <c r="L436" i="20" s="1"/>
  <c r="L437" i="20" s="1"/>
  <c r="L438" i="20" s="1"/>
  <c r="L439" i="20" s="1"/>
  <c r="L440" i="20" s="1"/>
  <c r="L441" i="20" s="1"/>
  <c r="L442" i="20" s="1"/>
  <c r="L443" i="20" s="1"/>
  <c r="L444" i="20" s="1"/>
  <c r="L445" i="20" s="1"/>
  <c r="L446" i="20" s="1"/>
  <c r="L447" i="20" s="1"/>
  <c r="L448" i="20" s="1"/>
  <c r="L449" i="20" s="1"/>
  <c r="L450" i="20" s="1"/>
  <c r="L451" i="20" s="1"/>
  <c r="L452" i="20" s="1"/>
  <c r="L453" i="20" s="1"/>
  <c r="L454" i="20" s="1"/>
  <c r="L455" i="20" s="1"/>
  <c r="L456" i="20" s="1"/>
  <c r="L457" i="20" s="1"/>
  <c r="L458" i="20" s="1"/>
  <c r="L459" i="20" s="1"/>
  <c r="L460" i="20" s="1"/>
  <c r="L461" i="20" s="1"/>
  <c r="L462" i="20" s="1"/>
  <c r="L463" i="20" s="1"/>
  <c r="L464" i="20" s="1"/>
  <c r="L465" i="20" s="1"/>
  <c r="L466" i="20" s="1"/>
  <c r="L467" i="20" s="1"/>
  <c r="L468" i="20" s="1"/>
  <c r="L469" i="20" s="1"/>
  <c r="L470" i="20" s="1"/>
  <c r="L471" i="20" s="1"/>
  <c r="L472" i="20" s="1"/>
  <c r="L473" i="20" s="1"/>
  <c r="L474" i="20" s="1"/>
  <c r="L475" i="20" s="1"/>
  <c r="L476" i="20" s="1"/>
  <c r="L477" i="20" s="1"/>
  <c r="L478" i="20" s="1"/>
  <c r="L479" i="20" s="1"/>
  <c r="L480" i="20" s="1"/>
  <c r="L481" i="20" s="1"/>
  <c r="L482" i="20" s="1"/>
  <c r="L483" i="20" s="1"/>
  <c r="L484" i="20" s="1"/>
  <c r="L485" i="20" s="1"/>
  <c r="L486" i="20" s="1"/>
  <c r="L487" i="20" s="1"/>
  <c r="L488" i="20" s="1"/>
  <c r="L489" i="20" s="1"/>
  <c r="L490" i="20" s="1"/>
  <c r="L491" i="20" s="1"/>
  <c r="L492" i="20" s="1"/>
  <c r="L493" i="20" s="1"/>
  <c r="L494" i="20" s="1"/>
  <c r="L495" i="20" s="1"/>
  <c r="L496" i="20" s="1"/>
  <c r="L497" i="20" s="1"/>
  <c r="L498" i="20" s="1"/>
  <c r="L499" i="20" s="1"/>
  <c r="L500" i="20" s="1"/>
  <c r="L501" i="20" s="1"/>
  <c r="L502" i="20" s="1"/>
  <c r="L503" i="20" s="1"/>
  <c r="L504" i="20" s="1"/>
  <c r="L505" i="20" s="1"/>
  <c r="L506" i="20" s="1"/>
  <c r="L507" i="20" s="1"/>
  <c r="L508" i="20" s="1"/>
  <c r="L509" i="20" s="1"/>
  <c r="L510" i="20" s="1"/>
  <c r="L511" i="20" s="1"/>
  <c r="L512" i="20" s="1"/>
  <c r="L513" i="20" s="1"/>
  <c r="L514" i="20" s="1"/>
  <c r="L515" i="20" s="1"/>
  <c r="L516" i="20" s="1"/>
  <c r="L517" i="20" s="1"/>
  <c r="L518" i="20" s="1"/>
  <c r="L519" i="20" s="1"/>
  <c r="L520" i="20" s="1"/>
  <c r="L521" i="20" s="1"/>
  <c r="L522" i="20" s="1"/>
  <c r="L523" i="20" s="1"/>
  <c r="L524" i="20" s="1"/>
  <c r="L525" i="20" s="1"/>
  <c r="L526" i="20" s="1"/>
  <c r="L527" i="20" s="1"/>
  <c r="L528" i="20" s="1"/>
  <c r="L529" i="20" s="1"/>
  <c r="L530" i="20" s="1"/>
  <c r="L531" i="20" s="1"/>
  <c r="L532" i="20" s="1"/>
  <c r="L533" i="20" s="1"/>
  <c r="L534" i="20" s="1"/>
  <c r="L535" i="20" s="1"/>
  <c r="L536" i="20" s="1"/>
  <c r="L537" i="20" s="1"/>
  <c r="L538" i="20" s="1"/>
  <c r="L539" i="20" s="1"/>
  <c r="L540" i="20" s="1"/>
  <c r="L541" i="20" s="1"/>
  <c r="L542" i="20" s="1"/>
  <c r="L543" i="20" s="1"/>
  <c r="L544" i="20" s="1"/>
  <c r="L545" i="20" s="1"/>
  <c r="L546" i="20" s="1"/>
  <c r="L547" i="20" s="1"/>
  <c r="L548" i="20" s="1"/>
  <c r="L549" i="20" s="1"/>
  <c r="L550" i="20" s="1"/>
  <c r="L551" i="20" s="1"/>
  <c r="L552" i="20" s="1"/>
  <c r="L553" i="20" s="1"/>
  <c r="L554" i="20" s="1"/>
  <c r="L555" i="20" s="1"/>
  <c r="L556" i="20" s="1"/>
  <c r="L557" i="20" s="1"/>
  <c r="L558" i="20" s="1"/>
  <c r="L559" i="20" s="1"/>
  <c r="L560" i="20" s="1"/>
  <c r="L561" i="20" s="1"/>
  <c r="L562" i="20" s="1"/>
  <c r="L563" i="20" s="1"/>
  <c r="L564" i="20" s="1"/>
  <c r="L565" i="20" s="1"/>
  <c r="L566" i="20" s="1"/>
  <c r="L567" i="20" s="1"/>
  <c r="L568" i="20" s="1"/>
  <c r="L569" i="20" s="1"/>
  <c r="L570" i="20" s="1"/>
  <c r="L571" i="20" s="1"/>
  <c r="L572" i="20" s="1"/>
  <c r="L573" i="20" s="1"/>
  <c r="L574" i="20" s="1"/>
  <c r="L575" i="20" s="1"/>
  <c r="L576" i="20" s="1"/>
  <c r="L577" i="20" s="1"/>
  <c r="L578" i="20" s="1"/>
  <c r="L579" i="20" s="1"/>
  <c r="L580" i="20" s="1"/>
  <c r="L581" i="20" s="1"/>
  <c r="L582" i="20" s="1"/>
  <c r="L583" i="20" s="1"/>
  <c r="L584" i="20" s="1"/>
  <c r="L585" i="20" s="1"/>
  <c r="L586" i="20" s="1"/>
  <c r="L587" i="20" s="1"/>
  <c r="L588" i="20" s="1"/>
  <c r="L589" i="20" s="1"/>
  <c r="L590" i="20" s="1"/>
  <c r="L591" i="20" s="1"/>
  <c r="L592" i="20" s="1"/>
  <c r="L593" i="20" s="1"/>
  <c r="L594" i="20" s="1"/>
  <c r="L595" i="20" s="1"/>
  <c r="L596" i="20" s="1"/>
  <c r="L597" i="20" s="1"/>
  <c r="L598" i="20" s="1"/>
  <c r="L599" i="20" s="1"/>
  <c r="L600" i="20" s="1"/>
  <c r="L601" i="20" s="1"/>
  <c r="L602" i="20" s="1"/>
  <c r="L603" i="20" s="1"/>
  <c r="L604" i="20" s="1"/>
  <c r="L605" i="20" s="1"/>
  <c r="L606" i="20" s="1"/>
  <c r="L607" i="20" s="1"/>
  <c r="L608" i="20" s="1"/>
  <c r="L609" i="20" s="1"/>
  <c r="L610" i="20" s="1"/>
  <c r="L611" i="20" s="1"/>
  <c r="L612" i="20" s="1"/>
  <c r="L613" i="20" s="1"/>
  <c r="L614" i="20" s="1"/>
  <c r="L615" i="20" s="1"/>
  <c r="L616" i="20" s="1"/>
  <c r="L617" i="20" s="1"/>
  <c r="L618" i="20" s="1"/>
  <c r="L619" i="20" s="1"/>
  <c r="L620" i="20" s="1"/>
  <c r="L621" i="20" s="1"/>
  <c r="L622" i="20" s="1"/>
  <c r="L623" i="20" s="1"/>
  <c r="L624" i="20" s="1"/>
  <c r="L625" i="20" s="1"/>
  <c r="L626" i="20" s="1"/>
  <c r="L627" i="20" s="1"/>
  <c r="L628" i="20" s="1"/>
  <c r="L629" i="20" s="1"/>
  <c r="L630" i="20" s="1"/>
  <c r="L631" i="20" s="1"/>
  <c r="L632" i="20" s="1"/>
  <c r="L633" i="20" s="1"/>
  <c r="L634" i="20" s="1"/>
  <c r="L635" i="20" s="1"/>
  <c r="L636" i="20" s="1"/>
  <c r="L637" i="20" s="1"/>
  <c r="L638" i="20" s="1"/>
  <c r="L639" i="20" s="1"/>
  <c r="L640" i="20" s="1"/>
  <c r="L641" i="20" s="1"/>
  <c r="L642" i="20" s="1"/>
  <c r="L643" i="20" s="1"/>
  <c r="L644" i="20" s="1"/>
  <c r="L645" i="20" s="1"/>
  <c r="L646" i="20" s="1"/>
  <c r="L647" i="20" s="1"/>
  <c r="L648" i="20" s="1"/>
  <c r="L649" i="20" s="1"/>
  <c r="L650" i="20" s="1"/>
  <c r="L651" i="20" s="1"/>
  <c r="L652" i="20" s="1"/>
  <c r="L653" i="20" s="1"/>
  <c r="L654" i="20" s="1"/>
  <c r="L655" i="20" s="1"/>
  <c r="L656" i="20" s="1"/>
  <c r="L657" i="20" s="1"/>
  <c r="L658" i="20" s="1"/>
  <c r="L659" i="20" s="1"/>
  <c r="L660" i="20" s="1"/>
  <c r="L661" i="20" s="1"/>
  <c r="L662" i="20" s="1"/>
  <c r="L663" i="20" s="1"/>
  <c r="L664" i="20" s="1"/>
  <c r="L665" i="20" s="1"/>
  <c r="L666" i="20" s="1"/>
  <c r="L667" i="20" s="1"/>
  <c r="L668" i="20" s="1"/>
  <c r="L669" i="20" s="1"/>
  <c r="L670" i="20" s="1"/>
  <c r="L671" i="20" s="1"/>
  <c r="L672" i="20" s="1"/>
  <c r="L673" i="20" s="1"/>
  <c r="L674" i="20" s="1"/>
  <c r="L675" i="20" s="1"/>
  <c r="L676" i="20" s="1"/>
  <c r="L677" i="20" s="1"/>
  <c r="L678" i="20" s="1"/>
  <c r="L679" i="20" s="1"/>
  <c r="L680" i="20" s="1"/>
  <c r="L681" i="20" s="1"/>
  <c r="L682" i="20" s="1"/>
  <c r="L683" i="20" s="1"/>
  <c r="L684" i="20" s="1"/>
  <c r="L685" i="20" s="1"/>
  <c r="L686" i="20" s="1"/>
  <c r="L687" i="20" s="1"/>
  <c r="L688" i="20" s="1"/>
  <c r="L689" i="20" s="1"/>
  <c r="L690" i="20" s="1"/>
  <c r="L691" i="20" s="1"/>
  <c r="L692" i="20" s="1"/>
  <c r="L693" i="20" s="1"/>
  <c r="L694" i="20" s="1"/>
  <c r="L695" i="20" s="1"/>
  <c r="L696" i="20" s="1"/>
  <c r="L697" i="20" s="1"/>
  <c r="L698" i="20" s="1"/>
  <c r="L699" i="20" s="1"/>
  <c r="L700" i="20" s="1"/>
  <c r="L701" i="20" s="1"/>
  <c r="L702" i="20" s="1"/>
  <c r="L703" i="20" s="1"/>
  <c r="L704" i="20" s="1"/>
  <c r="L705" i="20" s="1"/>
  <c r="L706" i="20" s="1"/>
  <c r="L707" i="20" s="1"/>
  <c r="L708" i="20" s="1"/>
  <c r="L709" i="20" s="1"/>
  <c r="L710" i="20" s="1"/>
  <c r="L711" i="20" s="1"/>
  <c r="L712" i="20" s="1"/>
  <c r="L713" i="20" s="1"/>
  <c r="L714" i="20" s="1"/>
  <c r="L715" i="20" s="1"/>
  <c r="L716" i="20" s="1"/>
  <c r="L717" i="20" s="1"/>
  <c r="L718" i="20" s="1"/>
  <c r="L719" i="20" s="1"/>
  <c r="L720" i="20" s="1"/>
  <c r="L721" i="20" s="1"/>
  <c r="L722" i="20" s="1"/>
  <c r="L723" i="20" s="1"/>
  <c r="L724" i="20" s="1"/>
  <c r="L725" i="20" s="1"/>
  <c r="L726" i="20" s="1"/>
  <c r="L727" i="20" s="1"/>
  <c r="L728" i="20" s="1"/>
  <c r="L729" i="20" s="1"/>
  <c r="L730" i="20" s="1"/>
  <c r="L731" i="20" s="1"/>
  <c r="L732" i="20" s="1"/>
  <c r="L733" i="20" s="1"/>
  <c r="L734" i="20" s="1"/>
  <c r="L735" i="20" s="1"/>
  <c r="L736" i="20" s="1"/>
  <c r="L737" i="20" s="1"/>
  <c r="L738" i="20" s="1"/>
  <c r="L739" i="20" s="1"/>
  <c r="L740" i="20" s="1"/>
  <c r="L741" i="20" s="1"/>
  <c r="L742" i="20" s="1"/>
  <c r="L743" i="20" s="1"/>
  <c r="L744" i="20" s="1"/>
  <c r="L745" i="20" s="1"/>
  <c r="L746" i="20" s="1"/>
  <c r="L747" i="20" s="1"/>
  <c r="L748" i="20" s="1"/>
  <c r="L749" i="20" s="1"/>
  <c r="L750" i="20" s="1"/>
  <c r="L751" i="20" s="1"/>
  <c r="L752" i="20" s="1"/>
  <c r="L753" i="20" s="1"/>
  <c r="L754" i="20" s="1"/>
  <c r="L755" i="20" s="1"/>
  <c r="L756" i="20" s="1"/>
  <c r="L757" i="20" s="1"/>
  <c r="L758" i="20" s="1"/>
  <c r="L759" i="20" s="1"/>
  <c r="L760" i="20" s="1"/>
  <c r="L761" i="20" s="1"/>
  <c r="L762" i="20" s="1"/>
  <c r="L763" i="20" s="1"/>
  <c r="L764" i="20" s="1"/>
  <c r="L765" i="20" s="1"/>
  <c r="L766" i="20" s="1"/>
  <c r="L767" i="20" s="1"/>
  <c r="L768" i="20" s="1"/>
  <c r="L769" i="20" s="1"/>
  <c r="L770" i="20" s="1"/>
  <c r="L771" i="20" s="1"/>
  <c r="L772" i="20" s="1"/>
  <c r="L773" i="20" s="1"/>
  <c r="L774" i="20" s="1"/>
  <c r="L775" i="20" s="1"/>
  <c r="L776" i="20" s="1"/>
  <c r="L777" i="20" s="1"/>
  <c r="L778" i="20" s="1"/>
  <c r="L779" i="20" s="1"/>
  <c r="L780" i="20" s="1"/>
  <c r="L781" i="20" s="1"/>
  <c r="L782" i="20" s="1"/>
  <c r="L783" i="20" s="1"/>
  <c r="L784" i="20" s="1"/>
  <c r="L785" i="20" s="1"/>
  <c r="L786" i="20" s="1"/>
  <c r="L787" i="20" s="1"/>
  <c r="L788" i="20" s="1"/>
  <c r="L789" i="20" s="1"/>
  <c r="L790" i="20" s="1"/>
  <c r="L791" i="20" s="1"/>
  <c r="L792" i="20" s="1"/>
  <c r="L793" i="20" s="1"/>
  <c r="L794" i="20" s="1"/>
  <c r="L795" i="20" s="1"/>
  <c r="L796" i="20" s="1"/>
  <c r="L797" i="20" s="1"/>
  <c r="L798" i="20" s="1"/>
  <c r="L799" i="20" s="1"/>
  <c r="L800" i="20" s="1"/>
  <c r="L801" i="20" s="1"/>
  <c r="L802" i="20" s="1"/>
  <c r="L803" i="20" s="1"/>
  <c r="L804" i="20" s="1"/>
  <c r="L805" i="20" s="1"/>
  <c r="L806" i="20" s="1"/>
  <c r="L807" i="20" s="1"/>
  <c r="L808" i="20" s="1"/>
  <c r="L809" i="20" s="1"/>
  <c r="L810" i="20" s="1"/>
  <c r="L811" i="20" s="1"/>
  <c r="L812" i="20" s="1"/>
  <c r="L813" i="20" s="1"/>
  <c r="L814" i="20" s="1"/>
  <c r="L815" i="20" s="1"/>
  <c r="L816" i="20" s="1"/>
  <c r="L817" i="20" s="1"/>
  <c r="L818" i="20" s="1"/>
  <c r="L819" i="20" s="1"/>
  <c r="L820" i="20" s="1"/>
  <c r="L821" i="20" s="1"/>
  <c r="L822" i="20" s="1"/>
  <c r="L823" i="20" s="1"/>
  <c r="L824" i="20" s="1"/>
  <c r="L825" i="20" s="1"/>
  <c r="L826" i="20" s="1"/>
  <c r="L827" i="20" s="1"/>
  <c r="L828" i="20" s="1"/>
  <c r="L829" i="20" s="1"/>
  <c r="L830" i="20" s="1"/>
  <c r="L831" i="20" s="1"/>
  <c r="L832" i="20" s="1"/>
  <c r="L833" i="20" s="1"/>
  <c r="L834" i="20" s="1"/>
  <c r="L835" i="20" s="1"/>
  <c r="L836" i="20" s="1"/>
  <c r="L837" i="20" s="1"/>
  <c r="L838" i="20" s="1"/>
  <c r="L839" i="20" s="1"/>
  <c r="L840" i="20" s="1"/>
  <c r="L841" i="20" s="1"/>
  <c r="L842" i="20" s="1"/>
  <c r="L843" i="20" s="1"/>
  <c r="L844" i="20" s="1"/>
  <c r="L845" i="20" s="1"/>
  <c r="L846" i="20" s="1"/>
  <c r="L847" i="20" s="1"/>
  <c r="L848" i="20" s="1"/>
  <c r="L849" i="20" s="1"/>
  <c r="L850" i="20" s="1"/>
  <c r="L851" i="20" s="1"/>
  <c r="L852" i="20" s="1"/>
  <c r="L853" i="20" s="1"/>
  <c r="L854" i="20" s="1"/>
  <c r="L855" i="20" s="1"/>
  <c r="L856" i="20" s="1"/>
  <c r="L857" i="20" s="1"/>
  <c r="L858" i="20" s="1"/>
  <c r="L859" i="20" s="1"/>
  <c r="L860" i="20" s="1"/>
  <c r="L861" i="20" s="1"/>
  <c r="L862" i="20" s="1"/>
  <c r="L863" i="20" s="1"/>
  <c r="L864" i="20" s="1"/>
  <c r="L865" i="20" s="1"/>
  <c r="L866" i="20" s="1"/>
  <c r="L867" i="20" s="1"/>
  <c r="L868" i="20" s="1"/>
  <c r="L869" i="20" s="1"/>
  <c r="L870" i="20" s="1"/>
  <c r="L871" i="20" s="1"/>
  <c r="L872" i="20" s="1"/>
  <c r="L873" i="20" s="1"/>
  <c r="L874" i="20" s="1"/>
  <c r="L875" i="20" s="1"/>
  <c r="L876" i="20" s="1"/>
  <c r="L877" i="20" s="1"/>
  <c r="L878" i="20" s="1"/>
  <c r="L879" i="20" s="1"/>
  <c r="L880" i="20"/>
  <c r="L881" i="20" s="1"/>
  <c r="L882" i="20" s="1"/>
  <c r="L883" i="20" s="1"/>
  <c r="L884" i="20" s="1"/>
  <c r="L885" i="20" s="1"/>
  <c r="L886" i="20" s="1"/>
  <c r="L887" i="20" s="1"/>
  <c r="L888" i="20" s="1"/>
  <c r="L889" i="20" s="1"/>
  <c r="L890" i="20" s="1"/>
  <c r="L891" i="20" s="1"/>
  <c r="L892" i="20" s="1"/>
  <c r="L893" i="20" s="1"/>
  <c r="L894" i="20" s="1"/>
  <c r="L895" i="20" s="1"/>
  <c r="L896" i="20" s="1"/>
  <c r="L897" i="20" s="1"/>
  <c r="L898" i="20" s="1"/>
  <c r="L899" i="20" s="1"/>
  <c r="L900" i="20" s="1"/>
  <c r="L901" i="20" s="1"/>
  <c r="L902" i="20" s="1"/>
  <c r="L903" i="20" s="1"/>
  <c r="L904" i="20" s="1"/>
  <c r="L905" i="20" s="1"/>
  <c r="L906" i="20" s="1"/>
  <c r="L907" i="20" s="1"/>
  <c r="L908" i="20" s="1"/>
  <c r="L909" i="20" s="1"/>
  <c r="L910" i="20" s="1"/>
  <c r="L911" i="20" s="1"/>
  <c r="L912" i="20" s="1"/>
  <c r="L913" i="20" s="1"/>
  <c r="L914" i="20" s="1"/>
  <c r="L915" i="20" s="1"/>
  <c r="L916" i="20" s="1"/>
  <c r="L917" i="20" s="1"/>
  <c r="L918" i="20" s="1"/>
  <c r="L919" i="20" s="1"/>
  <c r="L920" i="20" s="1"/>
  <c r="L921" i="20" s="1"/>
  <c r="L922" i="20" s="1"/>
  <c r="L923" i="20" s="1"/>
  <c r="L924" i="20" s="1"/>
  <c r="L925" i="20" s="1"/>
  <c r="L926" i="20" s="1"/>
  <c r="L927" i="20" s="1"/>
  <c r="L928" i="20" s="1"/>
  <c r="L929" i="20" s="1"/>
  <c r="L930" i="20" s="1"/>
  <c r="L931" i="20"/>
  <c r="L932" i="20" s="1"/>
  <c r="L933" i="20" s="1"/>
  <c r="L934" i="20" s="1"/>
  <c r="L935" i="20" s="1"/>
  <c r="L936" i="20" s="1"/>
  <c r="L937" i="20" s="1"/>
  <c r="L938" i="20" s="1"/>
  <c r="L939" i="20" s="1"/>
  <c r="L940" i="20" s="1"/>
  <c r="L941" i="20" s="1"/>
  <c r="L942" i="20" s="1"/>
  <c r="L943" i="20" s="1"/>
  <c r="L944" i="20" s="1"/>
  <c r="L945" i="20" s="1"/>
  <c r="L946" i="20" s="1"/>
  <c r="L947" i="20" s="1"/>
  <c r="L948" i="20" s="1"/>
  <c r="L949" i="20" s="1"/>
  <c r="L950" i="20" s="1"/>
  <c r="L951" i="20" s="1"/>
  <c r="L952" i="20" s="1"/>
  <c r="L953" i="20" s="1"/>
  <c r="L954" i="20" s="1"/>
  <c r="L955" i="20" s="1"/>
  <c r="L956" i="20" s="1"/>
  <c r="L957" i="20" s="1"/>
  <c r="L958" i="20" s="1"/>
  <c r="L959" i="20" s="1"/>
  <c r="L960" i="20" s="1"/>
  <c r="L961" i="20" s="1"/>
  <c r="L962" i="20" s="1"/>
  <c r="L963" i="20" s="1"/>
  <c r="L964" i="20" s="1"/>
  <c r="L965" i="20" s="1"/>
  <c r="L966" i="20" s="1"/>
  <c r="L967" i="20" s="1"/>
  <c r="L968" i="20" s="1"/>
  <c r="L969" i="20" s="1"/>
  <c r="L970" i="20" s="1"/>
  <c r="L971" i="20" s="1"/>
  <c r="L972" i="20" s="1"/>
  <c r="L973" i="20" s="1"/>
  <c r="L974" i="20" s="1"/>
  <c r="L975" i="20" s="1"/>
  <c r="L976" i="20" s="1"/>
  <c r="L977" i="20" s="1"/>
  <c r="L978" i="20" s="1"/>
  <c r="L979" i="20" s="1"/>
  <c r="L980" i="20" s="1"/>
  <c r="L981" i="20" s="1"/>
  <c r="L982" i="20" s="1"/>
  <c r="L983" i="20" s="1"/>
  <c r="L984" i="20" s="1"/>
  <c r="L985" i="20" s="1"/>
  <c r="L986" i="20" s="1"/>
  <c r="L987" i="20" s="1"/>
  <c r="L988" i="20" s="1"/>
  <c r="L989" i="20" s="1"/>
  <c r="L990" i="20" s="1"/>
  <c r="L991" i="20" s="1"/>
  <c r="L992" i="20" s="1"/>
  <c r="L993" i="20" s="1"/>
  <c r="L994" i="20" s="1"/>
  <c r="L995" i="20" s="1"/>
  <c r="L996" i="20" s="1"/>
  <c r="L997" i="20" s="1"/>
  <c r="L998" i="20" s="1"/>
  <c r="L999" i="20" s="1"/>
  <c r="L1000" i="20" s="1"/>
  <c r="L1001" i="20" s="1"/>
  <c r="L1002" i="20" s="1"/>
  <c r="L1003" i="20" s="1"/>
  <c r="L1004" i="20" s="1"/>
  <c r="L1005" i="20" s="1"/>
  <c r="L1006" i="20" s="1"/>
  <c r="L1007" i="20" s="1"/>
  <c r="L1008" i="20" s="1"/>
  <c r="L1009" i="20" s="1"/>
  <c r="L1010" i="20" s="1"/>
  <c r="L1011" i="20" s="1"/>
  <c r="L1012" i="20" s="1"/>
  <c r="L1013" i="20" s="1"/>
  <c r="L1014" i="20" s="1"/>
  <c r="L1015" i="20" s="1"/>
  <c r="L1016" i="20" s="1"/>
  <c r="L1017" i="20" s="1"/>
  <c r="L1018" i="20" s="1"/>
  <c r="L1019" i="20" s="1"/>
  <c r="L1020" i="20" s="1"/>
  <c r="L1021" i="20" s="1"/>
  <c r="L1022" i="20" s="1"/>
  <c r="L1023" i="20" s="1"/>
  <c r="L1024" i="20" s="1"/>
  <c r="L1025" i="20" s="1"/>
  <c r="L1026" i="20" s="1"/>
  <c r="L1027" i="20" s="1"/>
  <c r="L1028" i="20" s="1"/>
  <c r="L1029" i="20" s="1"/>
  <c r="L1030" i="20" s="1"/>
  <c r="L1031" i="20" s="1"/>
  <c r="L1032" i="20" s="1"/>
  <c r="L1033" i="20" s="1"/>
  <c r="L1034" i="20" s="1"/>
  <c r="L1035" i="20" s="1"/>
  <c r="L1036" i="20" s="1"/>
  <c r="L1037" i="20" s="1"/>
  <c r="L1038" i="20" s="1"/>
  <c r="L1039" i="20" s="1"/>
  <c r="L1040" i="20" s="1"/>
  <c r="L1041" i="20" s="1"/>
  <c r="L1042" i="20" s="1"/>
  <c r="L1043" i="20" s="1"/>
  <c r="L1044" i="20" s="1"/>
  <c r="L1045" i="20" s="1"/>
  <c r="L1046" i="20"/>
  <c r="L1047" i="20" s="1"/>
  <c r="L1048" i="20" s="1"/>
  <c r="C401" i="20"/>
  <c r="C402" i="20" s="1"/>
  <c r="C403" i="20" s="1"/>
  <c r="C404" i="20" s="1"/>
  <c r="C405" i="20" s="1"/>
  <c r="C406" i="20" s="1"/>
  <c r="C407" i="20" s="1"/>
  <c r="C408" i="20" s="1"/>
  <c r="C409" i="20" s="1"/>
  <c r="C410" i="20" s="1"/>
  <c r="C411" i="20" s="1"/>
  <c r="C412" i="20" s="1"/>
  <c r="C413" i="20" s="1"/>
  <c r="C414" i="20" s="1"/>
  <c r="C415" i="20" s="1"/>
  <c r="C416" i="20" s="1"/>
  <c r="C417" i="20" s="1"/>
  <c r="C418" i="20" s="1"/>
  <c r="C419" i="20" s="1"/>
  <c r="C420" i="20" s="1"/>
  <c r="C421" i="20" s="1"/>
  <c r="C422" i="20" s="1"/>
  <c r="C423" i="20" s="1"/>
  <c r="C424" i="20" s="1"/>
  <c r="C425" i="20" s="1"/>
  <c r="C426" i="20" s="1"/>
  <c r="C427" i="20" s="1"/>
  <c r="C428" i="20" s="1"/>
  <c r="C429" i="20" s="1"/>
  <c r="C430" i="20" s="1"/>
  <c r="C431" i="20" s="1"/>
  <c r="C432" i="20" s="1"/>
  <c r="C433" i="20" s="1"/>
  <c r="C434" i="20" s="1"/>
  <c r="C435" i="20" s="1"/>
  <c r="C436" i="20" s="1"/>
  <c r="C437" i="20" s="1"/>
  <c r="C438" i="20" s="1"/>
  <c r="C439" i="20" s="1"/>
  <c r="C440" i="20" s="1"/>
  <c r="C441" i="20" s="1"/>
  <c r="C442" i="20" s="1"/>
  <c r="C443" i="20" s="1"/>
  <c r="C444" i="20" s="1"/>
  <c r="C445" i="20" s="1"/>
  <c r="C446" i="20" s="1"/>
  <c r="C447" i="20" s="1"/>
  <c r="C448" i="20" s="1"/>
  <c r="C449" i="20" s="1"/>
  <c r="C450" i="20" s="1"/>
  <c r="C451" i="20" s="1"/>
  <c r="C452" i="20" s="1"/>
  <c r="C453" i="20" s="1"/>
  <c r="C454" i="20" s="1"/>
  <c r="C455" i="20" s="1"/>
  <c r="C456" i="20" s="1"/>
  <c r="C457" i="20" s="1"/>
  <c r="C458" i="20" s="1"/>
  <c r="C459" i="20" s="1"/>
  <c r="C460" i="20" s="1"/>
  <c r="C461" i="20" s="1"/>
  <c r="C462" i="20" s="1"/>
  <c r="C463" i="20" s="1"/>
  <c r="C464" i="20" s="1"/>
  <c r="C465" i="20" s="1"/>
  <c r="C466" i="20" s="1"/>
  <c r="C467" i="20" s="1"/>
  <c r="C468" i="20" s="1"/>
  <c r="C469" i="20" s="1"/>
  <c r="C470" i="20" s="1"/>
  <c r="C471" i="20" s="1"/>
  <c r="C472" i="20" s="1"/>
  <c r="C473" i="20" s="1"/>
  <c r="C474" i="20" s="1"/>
  <c r="C475" i="20" s="1"/>
  <c r="C476" i="20" s="1"/>
  <c r="C477" i="20" s="1"/>
  <c r="C478" i="20" s="1"/>
  <c r="C479" i="20" s="1"/>
  <c r="C480" i="20" s="1"/>
  <c r="C481" i="20" s="1"/>
  <c r="C482" i="20" s="1"/>
  <c r="C483" i="20" s="1"/>
  <c r="C484" i="20" s="1"/>
  <c r="C485" i="20" s="1"/>
  <c r="C486" i="20" s="1"/>
  <c r="C487" i="20" s="1"/>
  <c r="C488" i="20" s="1"/>
  <c r="C489" i="20" s="1"/>
  <c r="C490" i="20" s="1"/>
  <c r="C491" i="20" s="1"/>
  <c r="C492" i="20" s="1"/>
  <c r="C493" i="20" s="1"/>
  <c r="C494" i="20" s="1"/>
  <c r="C495" i="20" s="1"/>
  <c r="C496" i="20" s="1"/>
  <c r="C497" i="20" s="1"/>
  <c r="C498" i="20" s="1"/>
  <c r="C499" i="20" s="1"/>
  <c r="C500" i="20" s="1"/>
  <c r="C501" i="20" s="1"/>
  <c r="C502" i="20" s="1"/>
  <c r="C503" i="20" s="1"/>
  <c r="C504" i="20" s="1"/>
  <c r="C505" i="20" s="1"/>
  <c r="C506" i="20" s="1"/>
  <c r="C507" i="20" s="1"/>
  <c r="C508" i="20" s="1"/>
  <c r="C509" i="20" s="1"/>
  <c r="C510" i="20" s="1"/>
  <c r="C511" i="20" s="1"/>
  <c r="C512" i="20" s="1"/>
  <c r="C513" i="20" s="1"/>
  <c r="C514" i="20" s="1"/>
  <c r="C515" i="20" s="1"/>
  <c r="C516" i="20" s="1"/>
  <c r="C517" i="20" s="1"/>
  <c r="C518" i="20" s="1"/>
  <c r="C519" i="20" s="1"/>
  <c r="C520" i="20" s="1"/>
  <c r="C521" i="20" s="1"/>
  <c r="C522" i="20" s="1"/>
  <c r="C523" i="20" s="1"/>
  <c r="C524" i="20" s="1"/>
  <c r="C525" i="20" s="1"/>
  <c r="C526" i="20" s="1"/>
  <c r="C527" i="20" s="1"/>
  <c r="C528" i="20" s="1"/>
  <c r="C529" i="20" s="1"/>
  <c r="C530" i="20" s="1"/>
  <c r="C531" i="20" s="1"/>
  <c r="C532" i="20" s="1"/>
  <c r="C533" i="20" s="1"/>
  <c r="C534" i="20" s="1"/>
  <c r="C535" i="20" s="1"/>
  <c r="C536" i="20" s="1"/>
  <c r="C537" i="20" s="1"/>
  <c r="C538" i="20" s="1"/>
  <c r="C539" i="20" s="1"/>
  <c r="C540" i="20" s="1"/>
  <c r="C541" i="20" s="1"/>
  <c r="C542" i="20" s="1"/>
  <c r="C543" i="20" s="1"/>
  <c r="C544" i="20" s="1"/>
  <c r="C545" i="20" s="1"/>
  <c r="C546" i="20" s="1"/>
  <c r="C547" i="20" s="1"/>
  <c r="C548" i="20" s="1"/>
  <c r="C549" i="20" s="1"/>
  <c r="C550" i="20" s="1"/>
  <c r="C551" i="20" s="1"/>
  <c r="C552" i="20" s="1"/>
  <c r="C553" i="20" s="1"/>
  <c r="C554" i="20" s="1"/>
  <c r="C555" i="20" s="1"/>
  <c r="C556" i="20" s="1"/>
  <c r="C557" i="20" s="1"/>
  <c r="C558" i="20" s="1"/>
  <c r="C559" i="20" s="1"/>
  <c r="C560" i="20" s="1"/>
  <c r="C561" i="20" s="1"/>
  <c r="C562" i="20" s="1"/>
  <c r="C563" i="20" s="1"/>
  <c r="C564" i="20" s="1"/>
  <c r="C565" i="20" s="1"/>
  <c r="C566" i="20" s="1"/>
  <c r="C567" i="20" s="1"/>
  <c r="C568" i="20" s="1"/>
  <c r="C569" i="20" s="1"/>
  <c r="C570" i="20" s="1"/>
  <c r="C571" i="20" s="1"/>
  <c r="C572" i="20" s="1"/>
  <c r="C573" i="20" s="1"/>
  <c r="C574" i="20" s="1"/>
  <c r="C575" i="20" s="1"/>
  <c r="C576" i="20" s="1"/>
  <c r="C577" i="20" s="1"/>
  <c r="C578" i="20" s="1"/>
  <c r="C579" i="20" s="1"/>
  <c r="C580" i="20" s="1"/>
  <c r="C581" i="20" s="1"/>
  <c r="C582" i="20" s="1"/>
  <c r="C583" i="20" s="1"/>
  <c r="C584" i="20" s="1"/>
  <c r="C585" i="20" s="1"/>
  <c r="C586" i="20" s="1"/>
  <c r="C587" i="20" s="1"/>
  <c r="C588" i="20" s="1"/>
  <c r="C589" i="20" s="1"/>
  <c r="C590" i="20" s="1"/>
  <c r="C591" i="20" s="1"/>
  <c r="C592" i="20" s="1"/>
  <c r="C593" i="20" s="1"/>
  <c r="C594" i="20" s="1"/>
  <c r="C595" i="20" s="1"/>
  <c r="C596" i="20" s="1"/>
  <c r="C597" i="20" s="1"/>
  <c r="C598" i="20" s="1"/>
  <c r="C599" i="20" s="1"/>
  <c r="C600" i="20" s="1"/>
  <c r="C601" i="20" s="1"/>
  <c r="C602" i="20" s="1"/>
  <c r="C603" i="20" s="1"/>
  <c r="C604" i="20" s="1"/>
  <c r="C605" i="20" s="1"/>
  <c r="C606" i="20" s="1"/>
  <c r="C607" i="20" s="1"/>
  <c r="C608" i="20" s="1"/>
  <c r="C609" i="20" s="1"/>
  <c r="C610" i="20" s="1"/>
  <c r="C611" i="20" s="1"/>
  <c r="C612" i="20" s="1"/>
  <c r="C613" i="20" s="1"/>
  <c r="C614" i="20" s="1"/>
  <c r="C615" i="20" s="1"/>
  <c r="C616" i="20" s="1"/>
  <c r="C617" i="20" s="1"/>
  <c r="C618" i="20" s="1"/>
  <c r="C619" i="20" s="1"/>
  <c r="C620" i="20" s="1"/>
  <c r="C621" i="20" s="1"/>
  <c r="C622" i="20" s="1"/>
  <c r="C623" i="20" s="1"/>
  <c r="C624" i="20" s="1"/>
  <c r="C625" i="20" s="1"/>
  <c r="C626" i="20" s="1"/>
  <c r="C627" i="20" s="1"/>
  <c r="C628" i="20" s="1"/>
  <c r="C629" i="20" s="1"/>
  <c r="C630" i="20" s="1"/>
  <c r="C631" i="20" s="1"/>
  <c r="C632" i="20" s="1"/>
  <c r="C633" i="20" s="1"/>
  <c r="C634" i="20" s="1"/>
  <c r="C635" i="20" s="1"/>
  <c r="C636" i="20" s="1"/>
  <c r="C637" i="20" s="1"/>
  <c r="C638" i="20" s="1"/>
  <c r="C639" i="20" s="1"/>
  <c r="C640" i="20" s="1"/>
  <c r="C641" i="20" s="1"/>
  <c r="C642" i="20" s="1"/>
  <c r="C643" i="20" s="1"/>
  <c r="C644" i="20" s="1"/>
  <c r="C645" i="20" s="1"/>
  <c r="C646" i="20" s="1"/>
  <c r="C647" i="20" s="1"/>
  <c r="C648" i="20" s="1"/>
  <c r="C649" i="20" s="1"/>
  <c r="C650" i="20" s="1"/>
  <c r="C651" i="20" s="1"/>
  <c r="C652" i="20" s="1"/>
  <c r="C653" i="20" s="1"/>
  <c r="C654" i="20" s="1"/>
  <c r="C655" i="20" s="1"/>
  <c r="C656" i="20" s="1"/>
  <c r="C657" i="20" s="1"/>
  <c r="C658" i="20" s="1"/>
  <c r="C659" i="20" s="1"/>
  <c r="C660" i="20" s="1"/>
  <c r="C661" i="20" s="1"/>
  <c r="C662" i="20" s="1"/>
  <c r="C663" i="20" s="1"/>
  <c r="C664" i="20" s="1"/>
  <c r="C665" i="20" s="1"/>
  <c r="C666" i="20" s="1"/>
  <c r="C667" i="20" s="1"/>
  <c r="C668" i="20" s="1"/>
  <c r="C669" i="20" s="1"/>
  <c r="C670" i="20" s="1"/>
  <c r="C671" i="20" s="1"/>
  <c r="C672" i="20" s="1"/>
  <c r="C673" i="20" s="1"/>
  <c r="C674" i="20" s="1"/>
  <c r="C675" i="20" s="1"/>
  <c r="C676" i="20" s="1"/>
  <c r="C677" i="20" s="1"/>
  <c r="C678" i="20" s="1"/>
  <c r="C679" i="20" s="1"/>
  <c r="C680" i="20" s="1"/>
  <c r="C681" i="20" s="1"/>
  <c r="C682" i="20" s="1"/>
  <c r="C683" i="20" s="1"/>
  <c r="C684" i="20" s="1"/>
  <c r="C685" i="20" s="1"/>
  <c r="C686" i="20" s="1"/>
  <c r="C687" i="20" s="1"/>
  <c r="C688" i="20" s="1"/>
  <c r="C689" i="20" s="1"/>
  <c r="C690" i="20" s="1"/>
  <c r="C691" i="20" s="1"/>
  <c r="C692" i="20" s="1"/>
  <c r="C693" i="20" s="1"/>
  <c r="C694" i="20" s="1"/>
  <c r="C695" i="20" s="1"/>
  <c r="C696" i="20" s="1"/>
  <c r="C697" i="20" s="1"/>
  <c r="C698" i="20" s="1"/>
  <c r="C699" i="20" s="1"/>
  <c r="C700" i="20" s="1"/>
  <c r="C701" i="20" s="1"/>
  <c r="C702" i="20" s="1"/>
  <c r="C703" i="20" s="1"/>
  <c r="C704" i="20" s="1"/>
  <c r="C705" i="20" s="1"/>
  <c r="C706" i="20" s="1"/>
  <c r="C707" i="20" s="1"/>
  <c r="C708" i="20" s="1"/>
  <c r="C709" i="20" s="1"/>
  <c r="C710" i="20" s="1"/>
  <c r="C711" i="20" s="1"/>
  <c r="C712" i="20" s="1"/>
  <c r="C713" i="20" s="1"/>
  <c r="C714" i="20" s="1"/>
  <c r="C715" i="20" s="1"/>
  <c r="C716" i="20" s="1"/>
  <c r="C717" i="20" s="1"/>
  <c r="C718" i="20" s="1"/>
  <c r="C719" i="20" s="1"/>
  <c r="C720" i="20" s="1"/>
  <c r="C721" i="20" s="1"/>
  <c r="C722" i="20" s="1"/>
  <c r="C723" i="20" s="1"/>
  <c r="C724" i="20" s="1"/>
  <c r="C725" i="20" s="1"/>
  <c r="C726" i="20" s="1"/>
  <c r="C727" i="20" s="1"/>
  <c r="C728" i="20" s="1"/>
  <c r="C729" i="20" s="1"/>
  <c r="C730" i="20" s="1"/>
  <c r="C731" i="20" s="1"/>
  <c r="C732" i="20" s="1"/>
  <c r="C733" i="20" s="1"/>
  <c r="C734" i="20" s="1"/>
  <c r="C735" i="20" s="1"/>
  <c r="C736" i="20" s="1"/>
  <c r="C737" i="20" s="1"/>
  <c r="C738" i="20" s="1"/>
  <c r="C739" i="20" s="1"/>
  <c r="C740" i="20" s="1"/>
  <c r="C741" i="20" s="1"/>
  <c r="C742" i="20" s="1"/>
  <c r="C743" i="20" s="1"/>
  <c r="C744" i="20" s="1"/>
  <c r="C745" i="20" s="1"/>
  <c r="C746" i="20" s="1"/>
  <c r="C747" i="20" s="1"/>
  <c r="C748" i="20" s="1"/>
  <c r="C749" i="20" s="1"/>
  <c r="C750" i="20" s="1"/>
  <c r="C751" i="20" s="1"/>
  <c r="C752" i="20" s="1"/>
  <c r="C753" i="20" s="1"/>
  <c r="C754" i="20" s="1"/>
  <c r="C755" i="20" s="1"/>
  <c r="C756" i="20" s="1"/>
  <c r="C757" i="20" s="1"/>
  <c r="C758" i="20" s="1"/>
  <c r="C759" i="20" s="1"/>
  <c r="C760" i="20" s="1"/>
  <c r="C761" i="20" s="1"/>
  <c r="C762" i="20" s="1"/>
  <c r="C763" i="20" s="1"/>
  <c r="C764" i="20" s="1"/>
  <c r="C765" i="20" s="1"/>
  <c r="C766" i="20" s="1"/>
  <c r="C767" i="20" s="1"/>
  <c r="C768" i="20" s="1"/>
  <c r="C769" i="20" s="1"/>
  <c r="C770" i="20" s="1"/>
  <c r="C771" i="20" s="1"/>
  <c r="C772" i="20" s="1"/>
  <c r="C773" i="20" s="1"/>
  <c r="C774" i="20" s="1"/>
  <c r="C775" i="20" s="1"/>
  <c r="C776" i="20" s="1"/>
  <c r="C777" i="20" s="1"/>
  <c r="C778" i="20" s="1"/>
  <c r="C779" i="20" s="1"/>
  <c r="C780" i="20" s="1"/>
  <c r="C781" i="20" s="1"/>
  <c r="C782" i="20" s="1"/>
  <c r="C783" i="20" s="1"/>
  <c r="C784" i="20" s="1"/>
  <c r="C785" i="20" s="1"/>
  <c r="C786" i="20" s="1"/>
  <c r="C787" i="20" s="1"/>
  <c r="C788" i="20" s="1"/>
  <c r="C789" i="20" s="1"/>
  <c r="C790" i="20" s="1"/>
  <c r="C791" i="20" s="1"/>
  <c r="C792" i="20" s="1"/>
  <c r="C793" i="20" s="1"/>
  <c r="C794" i="20" s="1"/>
  <c r="C795" i="20" s="1"/>
  <c r="C796" i="20" s="1"/>
  <c r="C797" i="20" s="1"/>
  <c r="C798" i="20" s="1"/>
  <c r="C799" i="20" s="1"/>
  <c r="C800" i="20" s="1"/>
  <c r="C801" i="20" s="1"/>
  <c r="C802" i="20" s="1"/>
  <c r="C803" i="20" s="1"/>
  <c r="C804" i="20" s="1"/>
  <c r="C805" i="20" s="1"/>
  <c r="C806" i="20" s="1"/>
  <c r="C807" i="20" s="1"/>
  <c r="C808" i="20" s="1"/>
  <c r="C809" i="20" s="1"/>
  <c r="C810" i="20" s="1"/>
  <c r="C811" i="20" s="1"/>
  <c r="C812" i="20" s="1"/>
  <c r="C813" i="20" s="1"/>
  <c r="C814" i="20" s="1"/>
  <c r="C815" i="20" s="1"/>
  <c r="C816" i="20" s="1"/>
  <c r="C817" i="20" s="1"/>
  <c r="C818" i="20" s="1"/>
  <c r="C819" i="20" s="1"/>
  <c r="C820" i="20" s="1"/>
  <c r="C821" i="20" s="1"/>
  <c r="C822" i="20" s="1"/>
  <c r="C823" i="20" s="1"/>
  <c r="C824" i="20" s="1"/>
  <c r="C825" i="20" s="1"/>
  <c r="C826" i="20" s="1"/>
  <c r="C827" i="20" s="1"/>
  <c r="C828" i="20" s="1"/>
  <c r="C829" i="20" s="1"/>
  <c r="C830" i="20" s="1"/>
  <c r="C831" i="20" s="1"/>
  <c r="C832" i="20" s="1"/>
  <c r="C833" i="20" s="1"/>
  <c r="C834" i="20" s="1"/>
  <c r="C835" i="20" s="1"/>
  <c r="C836" i="20" s="1"/>
  <c r="C837" i="20" s="1"/>
  <c r="C838" i="20" s="1"/>
  <c r="C839" i="20" s="1"/>
  <c r="C840" i="20" s="1"/>
  <c r="C841" i="20" s="1"/>
  <c r="C842" i="20" s="1"/>
  <c r="C843" i="20" s="1"/>
  <c r="C844" i="20" s="1"/>
  <c r="C845" i="20" s="1"/>
  <c r="C846" i="20" s="1"/>
  <c r="C847" i="20" s="1"/>
  <c r="C848" i="20" s="1"/>
  <c r="C849" i="20" s="1"/>
  <c r="C850" i="20" s="1"/>
  <c r="C851" i="20" s="1"/>
  <c r="C852" i="20" s="1"/>
  <c r="C853" i="20" s="1"/>
  <c r="C854" i="20" s="1"/>
  <c r="C855" i="20" s="1"/>
  <c r="C856" i="20" s="1"/>
  <c r="C857" i="20" s="1"/>
  <c r="C858" i="20" s="1"/>
  <c r="C859" i="20" s="1"/>
  <c r="C860" i="20" s="1"/>
  <c r="C861" i="20" s="1"/>
  <c r="C862" i="20" s="1"/>
  <c r="C863" i="20" s="1"/>
  <c r="C864" i="20" s="1"/>
  <c r="C865" i="20" s="1"/>
  <c r="C866" i="20" s="1"/>
  <c r="C867" i="20" s="1"/>
  <c r="C868" i="20" s="1"/>
  <c r="C869" i="20" s="1"/>
  <c r="C870" i="20" s="1"/>
  <c r="C871" i="20" s="1"/>
  <c r="C872" i="20" s="1"/>
  <c r="C873" i="20" s="1"/>
  <c r="C874" i="20" s="1"/>
  <c r="C875" i="20" s="1"/>
  <c r="C876" i="20" s="1"/>
  <c r="C877" i="20" s="1"/>
  <c r="C878" i="20" s="1"/>
  <c r="C879" i="20" s="1"/>
  <c r="C880" i="20" s="1"/>
  <c r="C881" i="20" s="1"/>
  <c r="C882" i="20" s="1"/>
  <c r="C883" i="20" s="1"/>
  <c r="C884" i="20" s="1"/>
  <c r="C885" i="20" s="1"/>
  <c r="C886" i="20" s="1"/>
  <c r="C887" i="20" s="1"/>
  <c r="C888" i="20" s="1"/>
  <c r="C889" i="20" s="1"/>
  <c r="C890" i="20" s="1"/>
  <c r="C891" i="20" s="1"/>
  <c r="C892" i="20" s="1"/>
  <c r="C893" i="20" s="1"/>
  <c r="C894" i="20" s="1"/>
  <c r="C895" i="20" s="1"/>
  <c r="C896" i="20" s="1"/>
  <c r="C897" i="20" s="1"/>
  <c r="C898" i="20" s="1"/>
  <c r="C899" i="20" s="1"/>
  <c r="C900" i="20" s="1"/>
  <c r="C901" i="20" s="1"/>
  <c r="C902" i="20" s="1"/>
  <c r="C903" i="20" s="1"/>
  <c r="C904" i="20" s="1"/>
  <c r="C905" i="20" s="1"/>
  <c r="C906" i="20" s="1"/>
  <c r="C907" i="20" s="1"/>
  <c r="C908" i="20" s="1"/>
  <c r="C909" i="20" s="1"/>
  <c r="C910" i="20" s="1"/>
  <c r="C911" i="20" s="1"/>
  <c r="C912" i="20" s="1"/>
  <c r="C913" i="20" s="1"/>
  <c r="C914" i="20" s="1"/>
  <c r="C915" i="20" s="1"/>
  <c r="C916" i="20" s="1"/>
  <c r="C917" i="20" s="1"/>
  <c r="C918" i="20" s="1"/>
  <c r="C919" i="20" s="1"/>
  <c r="C920" i="20" s="1"/>
  <c r="C921" i="20" s="1"/>
  <c r="C922" i="20" s="1"/>
  <c r="C923" i="20" s="1"/>
  <c r="C924" i="20" s="1"/>
  <c r="C925" i="20" s="1"/>
  <c r="C926" i="20" s="1"/>
  <c r="C927" i="20" s="1"/>
  <c r="C928" i="20" s="1"/>
  <c r="C929" i="20" s="1"/>
  <c r="C930" i="20" s="1"/>
  <c r="C931" i="20" s="1"/>
  <c r="C932" i="20" s="1"/>
  <c r="C933" i="20" s="1"/>
  <c r="C934" i="20" s="1"/>
  <c r="C935" i="20" s="1"/>
  <c r="C936" i="20" s="1"/>
  <c r="C937" i="20" s="1"/>
  <c r="C938" i="20" s="1"/>
  <c r="C939" i="20" s="1"/>
  <c r="C940" i="20" s="1"/>
  <c r="C941" i="20" s="1"/>
  <c r="C942" i="20" s="1"/>
  <c r="C943" i="20" s="1"/>
  <c r="C944" i="20" s="1"/>
  <c r="C945" i="20" s="1"/>
  <c r="C946" i="20" s="1"/>
  <c r="C947" i="20" s="1"/>
  <c r="C948" i="20" s="1"/>
  <c r="C949" i="20" s="1"/>
  <c r="C950" i="20" s="1"/>
  <c r="C951" i="20" s="1"/>
  <c r="C952" i="20" s="1"/>
  <c r="C953" i="20" s="1"/>
  <c r="C954" i="20" s="1"/>
  <c r="C955" i="20" s="1"/>
  <c r="C956" i="20" s="1"/>
  <c r="C957" i="20" s="1"/>
  <c r="C958" i="20" s="1"/>
  <c r="C959" i="20" s="1"/>
  <c r="C960" i="20" s="1"/>
  <c r="C961" i="20" s="1"/>
  <c r="C962" i="20" s="1"/>
  <c r="C963" i="20" s="1"/>
  <c r="C964" i="20" s="1"/>
  <c r="C965" i="20" s="1"/>
  <c r="C966" i="20" s="1"/>
  <c r="C967" i="20" s="1"/>
  <c r="C968" i="20" s="1"/>
  <c r="C969" i="20" s="1"/>
  <c r="C970" i="20" s="1"/>
  <c r="C971" i="20" s="1"/>
  <c r="C972" i="20" s="1"/>
  <c r="C973" i="20" s="1"/>
  <c r="C974" i="20" s="1"/>
  <c r="C975" i="20" s="1"/>
  <c r="C976" i="20" s="1"/>
  <c r="C977" i="20" s="1"/>
  <c r="C978" i="20" s="1"/>
  <c r="C979" i="20" s="1"/>
  <c r="C980" i="20" s="1"/>
  <c r="C981" i="20" s="1"/>
  <c r="C982" i="20" s="1"/>
  <c r="C983" i="20" s="1"/>
  <c r="C984" i="20" s="1"/>
  <c r="O663" i="20"/>
  <c r="O664" i="20" s="1"/>
  <c r="O665" i="20" s="1"/>
  <c r="O666" i="20" s="1"/>
  <c r="O667" i="20" s="1"/>
  <c r="O668" i="20" s="1"/>
  <c r="O669" i="20" s="1"/>
  <c r="O670" i="20" s="1"/>
  <c r="O671" i="20" s="1"/>
  <c r="O672" i="20" s="1"/>
  <c r="O673" i="20" s="1"/>
  <c r="O674" i="20" s="1"/>
  <c r="O675" i="20" s="1"/>
  <c r="O676" i="20" s="1"/>
  <c r="O677" i="20" s="1"/>
  <c r="O678" i="20" s="1"/>
  <c r="O679" i="20" s="1"/>
  <c r="O680" i="20" s="1"/>
  <c r="O681" i="20" s="1"/>
  <c r="O682" i="20" s="1"/>
  <c r="O683" i="20" s="1"/>
  <c r="O684" i="20" s="1"/>
  <c r="O685" i="20" s="1"/>
  <c r="O686" i="20" s="1"/>
  <c r="O687" i="20" s="1"/>
  <c r="O688" i="20" s="1"/>
  <c r="O689" i="20" s="1"/>
  <c r="O690" i="20" s="1"/>
  <c r="O691" i="20" s="1"/>
  <c r="O692" i="20" s="1"/>
  <c r="O693" i="20" s="1"/>
  <c r="O694" i="20" s="1"/>
  <c r="O695" i="20" s="1"/>
  <c r="O696" i="20" s="1"/>
  <c r="O697" i="20" s="1"/>
  <c r="O698" i="20" s="1"/>
  <c r="O699" i="20" s="1"/>
  <c r="O700" i="20" s="1"/>
  <c r="O701" i="20" s="1"/>
  <c r="O702" i="20" s="1"/>
  <c r="O703" i="20" s="1"/>
  <c r="O704" i="20" s="1"/>
  <c r="O705" i="20" s="1"/>
  <c r="O706" i="20" s="1"/>
  <c r="O707" i="20" s="1"/>
  <c r="O708" i="20" s="1"/>
  <c r="O709" i="20" s="1"/>
  <c r="O710" i="20" s="1"/>
  <c r="O711" i="20" s="1"/>
  <c r="O712" i="20" s="1"/>
  <c r="O713" i="20" s="1"/>
  <c r="O714" i="20" s="1"/>
  <c r="O715" i="20" s="1"/>
  <c r="O716" i="20" s="1"/>
  <c r="O717" i="20" s="1"/>
  <c r="O718" i="20" s="1"/>
  <c r="O719" i="20" s="1"/>
  <c r="O720" i="20" s="1"/>
  <c r="O721" i="20" s="1"/>
  <c r="O722" i="20" s="1"/>
  <c r="O723" i="20" s="1"/>
  <c r="O724" i="20" s="1"/>
  <c r="O725" i="20" s="1"/>
  <c r="O726" i="20" s="1"/>
  <c r="O727" i="20" s="1"/>
  <c r="O728" i="20" s="1"/>
  <c r="O729" i="20" s="1"/>
  <c r="O730" i="20" s="1"/>
  <c r="O731" i="20" s="1"/>
  <c r="O732" i="20" s="1"/>
  <c r="O733" i="20" s="1"/>
  <c r="O734" i="20" s="1"/>
  <c r="O735" i="20" s="1"/>
  <c r="O736" i="20" s="1"/>
  <c r="O737" i="20" s="1"/>
  <c r="O738" i="20" s="1"/>
  <c r="O739" i="20" s="1"/>
  <c r="O740" i="20" s="1"/>
  <c r="O741" i="20" s="1"/>
  <c r="O742" i="20" s="1"/>
  <c r="O743" i="20" s="1"/>
  <c r="O744" i="20" s="1"/>
  <c r="O745" i="20" s="1"/>
  <c r="O746" i="20" s="1"/>
  <c r="O747" i="20" s="1"/>
  <c r="O748" i="20" s="1"/>
  <c r="O749" i="20" s="1"/>
  <c r="O750" i="20" s="1"/>
  <c r="O751" i="20" s="1"/>
  <c r="O752" i="20" s="1"/>
  <c r="O753" i="20" s="1"/>
  <c r="O754" i="20" s="1"/>
  <c r="O755" i="20" s="1"/>
  <c r="O756" i="20" s="1"/>
  <c r="O757" i="20" s="1"/>
  <c r="O758" i="20" s="1"/>
  <c r="O759" i="20" s="1"/>
  <c r="O760" i="20" s="1"/>
  <c r="O761" i="20" s="1"/>
  <c r="O762" i="20" s="1"/>
  <c r="O763" i="20" s="1"/>
  <c r="O764" i="20" s="1"/>
  <c r="O765" i="20" s="1"/>
  <c r="O766" i="20" s="1"/>
  <c r="O767" i="20" s="1"/>
  <c r="O768" i="20" s="1"/>
  <c r="O769" i="20" s="1"/>
  <c r="O770" i="20" s="1"/>
  <c r="O771" i="20" s="1"/>
  <c r="O772" i="20" s="1"/>
  <c r="O773" i="20" s="1"/>
  <c r="O774" i="20" s="1"/>
  <c r="O775" i="20" s="1"/>
  <c r="O776" i="20" s="1"/>
  <c r="O777" i="20" s="1"/>
  <c r="O778" i="20" s="1"/>
  <c r="O779" i="20" s="1"/>
  <c r="O780" i="20" s="1"/>
  <c r="O781" i="20" s="1"/>
  <c r="O782" i="20" s="1"/>
  <c r="O783" i="20" s="1"/>
  <c r="O784" i="20" s="1"/>
  <c r="O785" i="20" s="1"/>
  <c r="O786" i="20" s="1"/>
  <c r="O787" i="20" s="1"/>
  <c r="O788" i="20" s="1"/>
  <c r="O789" i="20" s="1"/>
  <c r="O790" i="20" s="1"/>
  <c r="O791" i="20" s="1"/>
  <c r="O792" i="20" s="1"/>
  <c r="O793" i="20" s="1"/>
  <c r="O794" i="20" s="1"/>
  <c r="O795" i="20" s="1"/>
  <c r="O796" i="20" s="1"/>
  <c r="O797" i="20" s="1"/>
  <c r="O798" i="20" s="1"/>
  <c r="O799" i="20" s="1"/>
  <c r="O800" i="20" s="1"/>
  <c r="O801" i="20" s="1"/>
  <c r="O802" i="20" s="1"/>
  <c r="O803" i="20" s="1"/>
  <c r="O804" i="20" s="1"/>
  <c r="O805" i="20" s="1"/>
  <c r="O806" i="20" s="1"/>
  <c r="O807" i="20" s="1"/>
  <c r="O808" i="20" s="1"/>
  <c r="O809" i="20" s="1"/>
  <c r="O810" i="20" s="1"/>
  <c r="O811" i="20" s="1"/>
  <c r="O812" i="20" s="1"/>
  <c r="O813" i="20" s="1"/>
  <c r="O814" i="20" s="1"/>
  <c r="O815" i="20" s="1"/>
  <c r="O816" i="20" s="1"/>
  <c r="O817" i="20" s="1"/>
  <c r="O818" i="20" s="1"/>
  <c r="O819" i="20" s="1"/>
  <c r="O820" i="20" s="1"/>
  <c r="O821" i="20" s="1"/>
  <c r="O822" i="20" s="1"/>
  <c r="O823" i="20" s="1"/>
  <c r="O824" i="20" s="1"/>
  <c r="O825" i="20" s="1"/>
  <c r="O826" i="20" s="1"/>
  <c r="O827" i="20" s="1"/>
  <c r="O828" i="20" s="1"/>
  <c r="O829" i="20" s="1"/>
  <c r="O830" i="20" s="1"/>
  <c r="O831" i="20" s="1"/>
  <c r="O832" i="20" s="1"/>
  <c r="O833" i="20" s="1"/>
  <c r="O834" i="20" s="1"/>
  <c r="O835" i="20" s="1"/>
  <c r="O836" i="20" s="1"/>
  <c r="O837" i="20" s="1"/>
  <c r="O838" i="20" s="1"/>
  <c r="O839" i="20" s="1"/>
  <c r="O840" i="20" s="1"/>
  <c r="O841" i="20" s="1"/>
  <c r="O842" i="20" s="1"/>
  <c r="O843" i="20" s="1"/>
  <c r="O844" i="20" s="1"/>
  <c r="O845" i="20" s="1"/>
  <c r="O846" i="20" s="1"/>
  <c r="O847" i="20" s="1"/>
  <c r="O848" i="20" s="1"/>
  <c r="O849" i="20" s="1"/>
  <c r="O850" i="20" s="1"/>
  <c r="O851" i="20" s="1"/>
  <c r="O852" i="20" s="1"/>
  <c r="O853" i="20" s="1"/>
  <c r="O854" i="20" s="1"/>
  <c r="O855" i="20" s="1"/>
  <c r="O856" i="20" s="1"/>
  <c r="O857" i="20" s="1"/>
  <c r="O858" i="20" s="1"/>
  <c r="O859" i="20" s="1"/>
  <c r="O860" i="20" s="1"/>
  <c r="O861" i="20" s="1"/>
  <c r="O862" i="20" s="1"/>
  <c r="O863" i="20" s="1"/>
  <c r="O864" i="20" s="1"/>
  <c r="O865" i="20" s="1"/>
  <c r="O866" i="20" s="1"/>
  <c r="O867" i="20" s="1"/>
  <c r="O868" i="20" s="1"/>
  <c r="O869" i="20" s="1"/>
  <c r="O870" i="20" s="1"/>
  <c r="O871" i="20" s="1"/>
  <c r="O872" i="20" s="1"/>
  <c r="O873" i="20" s="1"/>
  <c r="O874" i="20" s="1"/>
  <c r="O875" i="20" s="1"/>
  <c r="O876" i="20" s="1"/>
  <c r="O877" i="20" s="1"/>
  <c r="O878" i="20" s="1"/>
  <c r="O879" i="20" s="1"/>
  <c r="O880" i="20" s="1"/>
  <c r="O881" i="20" s="1"/>
  <c r="O882" i="20" s="1"/>
  <c r="O883" i="20" s="1"/>
  <c r="O884" i="20" s="1"/>
  <c r="O885" i="20" s="1"/>
  <c r="O886" i="20" s="1"/>
  <c r="O887" i="20" s="1"/>
  <c r="O888" i="20" s="1"/>
  <c r="O889" i="20" s="1"/>
  <c r="O890" i="20" s="1"/>
  <c r="O891" i="20" s="1"/>
  <c r="O892" i="20" s="1"/>
  <c r="O893" i="20" s="1"/>
  <c r="O894" i="20" s="1"/>
  <c r="O895" i="20" s="1"/>
  <c r="O896" i="20" s="1"/>
  <c r="O897" i="20" s="1"/>
  <c r="O898" i="20" s="1"/>
  <c r="O899" i="20" s="1"/>
  <c r="O900" i="20" s="1"/>
  <c r="O901" i="20" s="1"/>
  <c r="O902" i="20" s="1"/>
  <c r="O903" i="20" s="1"/>
  <c r="O904" i="20" s="1"/>
  <c r="O905" i="20" s="1"/>
  <c r="O906" i="20" s="1"/>
  <c r="O907" i="20" s="1"/>
  <c r="O908" i="20" s="1"/>
  <c r="O909" i="20" s="1"/>
  <c r="O910" i="20" s="1"/>
  <c r="O911" i="20" s="1"/>
  <c r="O912" i="20" s="1"/>
  <c r="O913" i="20" s="1"/>
  <c r="O914" i="20" s="1"/>
  <c r="O915" i="20" s="1"/>
  <c r="O916" i="20" s="1"/>
  <c r="O917" i="20" s="1"/>
  <c r="O918" i="20" s="1"/>
  <c r="O919" i="20" s="1"/>
  <c r="O920" i="20" s="1"/>
  <c r="O921" i="20" s="1"/>
  <c r="O922" i="20" s="1"/>
  <c r="O923" i="20" s="1"/>
  <c r="O924" i="20" s="1"/>
  <c r="O925" i="20" s="1"/>
  <c r="O926" i="20" s="1"/>
  <c r="O927" i="20" s="1"/>
  <c r="O928" i="20" s="1"/>
  <c r="O929" i="20" s="1"/>
  <c r="O930" i="20" s="1"/>
  <c r="O931" i="20" s="1"/>
  <c r="O932" i="20" s="1"/>
  <c r="O933" i="20" s="1"/>
  <c r="O934" i="20" s="1"/>
  <c r="O935" i="20" s="1"/>
  <c r="O936" i="20" s="1"/>
  <c r="O937" i="20" s="1"/>
  <c r="O938" i="20" s="1"/>
  <c r="O939" i="20" s="1"/>
  <c r="O940" i="20" s="1"/>
  <c r="O941" i="20" s="1"/>
  <c r="O942" i="20" s="1"/>
  <c r="O943" i="20" s="1"/>
  <c r="O944" i="20" s="1"/>
  <c r="O945" i="20" s="1"/>
  <c r="O946" i="20" s="1"/>
  <c r="O947" i="20" s="1"/>
  <c r="O948" i="20" s="1"/>
  <c r="O949" i="20" s="1"/>
  <c r="O950" i="20" s="1"/>
  <c r="O951" i="20" s="1"/>
  <c r="O952" i="20" s="1"/>
  <c r="O953" i="20" s="1"/>
  <c r="O954" i="20" s="1"/>
  <c r="O955" i="20" s="1"/>
  <c r="O956" i="20" s="1"/>
  <c r="O957" i="20" s="1"/>
  <c r="O958" i="20" s="1"/>
  <c r="O959" i="20" s="1"/>
  <c r="O960" i="20" s="1"/>
  <c r="O961" i="20" s="1"/>
  <c r="O962" i="20" s="1"/>
  <c r="O963" i="20" s="1"/>
  <c r="O964" i="20" s="1"/>
  <c r="O965" i="20" s="1"/>
  <c r="O966" i="20" s="1"/>
  <c r="O967" i="20" s="1"/>
  <c r="O968" i="20" s="1"/>
  <c r="O969" i="20" s="1"/>
  <c r="O970" i="20" s="1"/>
  <c r="O971" i="20" s="1"/>
  <c r="O972" i="20" s="1"/>
  <c r="O973" i="20" s="1"/>
  <c r="O974" i="20" s="1"/>
  <c r="O975" i="20" s="1"/>
  <c r="O976" i="20" s="1"/>
  <c r="O977" i="20" s="1"/>
  <c r="O978" i="20" s="1"/>
  <c r="O979" i="20" s="1"/>
  <c r="O980" i="20" s="1"/>
  <c r="O981" i="20" s="1"/>
  <c r="O982" i="20" s="1"/>
  <c r="O983" i="20" s="1"/>
  <c r="O984" i="20" s="1"/>
  <c r="O985" i="20" s="1"/>
  <c r="O986" i="20" s="1"/>
  <c r="O987" i="20" s="1"/>
  <c r="O988" i="20" s="1"/>
  <c r="O989" i="20" s="1"/>
  <c r="O990" i="20" s="1"/>
  <c r="O991" i="20" s="1"/>
  <c r="O992" i="20" s="1"/>
  <c r="O993" i="20" s="1"/>
  <c r="O994" i="20" s="1"/>
  <c r="O995" i="20" s="1"/>
  <c r="O996" i="20" s="1"/>
  <c r="O997" i="20" s="1"/>
  <c r="O998" i="20" s="1"/>
  <c r="O999" i="20" s="1"/>
  <c r="O1000" i="20" s="1"/>
  <c r="O1001" i="20" s="1"/>
  <c r="O1002" i="20" s="1"/>
  <c r="O1003" i="20" s="1"/>
  <c r="O1004" i="20" s="1"/>
  <c r="O1005" i="20" s="1"/>
  <c r="O1006" i="20" s="1"/>
  <c r="O1007" i="20" s="1"/>
  <c r="O1008" i="20" s="1"/>
  <c r="O1009" i="20" s="1"/>
  <c r="O1010" i="20" s="1"/>
  <c r="O1011" i="20" s="1"/>
  <c r="O1012" i="20" s="1"/>
  <c r="O1013" i="20" s="1"/>
  <c r="O1014" i="20" s="1"/>
  <c r="O1015" i="20" s="1"/>
  <c r="O1016" i="20" s="1"/>
  <c r="O1017" i="20" s="1"/>
  <c r="O1018" i="20" s="1"/>
  <c r="O1019" i="20" s="1"/>
  <c r="O1020" i="20" s="1"/>
  <c r="O1021" i="20" s="1"/>
  <c r="O1022" i="20" s="1"/>
  <c r="O1023" i="20" s="1"/>
  <c r="O1024" i="20" s="1"/>
  <c r="O1025" i="20" s="1"/>
  <c r="O1026" i="20" s="1"/>
  <c r="O1027" i="20" s="1"/>
  <c r="O1028" i="20" s="1"/>
  <c r="O1029" i="20" s="1"/>
  <c r="O1030" i="20" s="1"/>
  <c r="O1031" i="20" s="1"/>
  <c r="O1032" i="20" s="1"/>
  <c r="C985" i="20"/>
  <c r="C986" i="20" s="1"/>
  <c r="C987" i="20" s="1"/>
  <c r="C988" i="20" s="1"/>
  <c r="C989" i="20" s="1"/>
  <c r="C990" i="20" s="1"/>
  <c r="C991" i="20" s="1"/>
  <c r="C992" i="20" s="1"/>
  <c r="C993" i="20" s="1"/>
  <c r="C994" i="20" s="1"/>
  <c r="C995" i="20" s="1"/>
  <c r="C996" i="20" s="1"/>
  <c r="C997" i="20" s="1"/>
  <c r="C998" i="20" s="1"/>
  <c r="C999" i="20" s="1"/>
  <c r="C1000" i="20" s="1"/>
  <c r="C1001" i="20" s="1"/>
  <c r="C1002" i="20" s="1"/>
  <c r="C1003" i="20" s="1"/>
  <c r="C1004" i="20" s="1"/>
  <c r="C1005" i="20" s="1"/>
  <c r="C1006" i="20" s="1"/>
  <c r="C1007" i="20" s="1"/>
  <c r="C1008" i="20" s="1"/>
  <c r="C1009" i="20" s="1"/>
  <c r="C1010" i="20" s="1"/>
  <c r="C1011" i="20" s="1"/>
  <c r="C1012" i="20" s="1"/>
  <c r="C1013" i="20" s="1"/>
  <c r="C1014" i="20" s="1"/>
  <c r="C1015" i="20" s="1"/>
  <c r="C1016" i="20" s="1"/>
  <c r="C1017" i="20" s="1"/>
  <c r="C1018" i="20" s="1"/>
  <c r="C1019" i="20" s="1"/>
  <c r="C1020" i="20" s="1"/>
  <c r="C1021" i="20" s="1"/>
  <c r="C1022" i="20" s="1"/>
  <c r="C1023" i="20" s="1"/>
  <c r="C1024" i="20" s="1"/>
  <c r="C1025" i="20" s="1"/>
  <c r="C1026" i="20" s="1"/>
  <c r="C1027" i="20" s="1"/>
  <c r="C1028" i="20" s="1"/>
  <c r="C1029" i="20" s="1"/>
  <c r="C1030" i="20" s="1"/>
  <c r="C1031" i="20" s="1"/>
  <c r="C1032" i="20" s="1"/>
  <c r="C1033" i="20" s="1"/>
  <c r="C1034" i="20" s="1"/>
  <c r="C1035" i="20" s="1"/>
  <c r="C1036" i="20" s="1"/>
  <c r="C1037" i="20" s="1"/>
  <c r="C1038" i="20" s="1"/>
  <c r="C1039" i="20" s="1"/>
  <c r="C1040" i="20" s="1"/>
  <c r="C1041" i="20" s="1"/>
  <c r="C1042" i="20" s="1"/>
  <c r="C1043" i="20" s="1"/>
  <c r="C1044" i="20" s="1"/>
  <c r="C1045" i="20" s="1"/>
  <c r="C1046" i="20" s="1"/>
  <c r="C1047" i="20" s="1"/>
  <c r="C1048" i="20" s="1"/>
  <c r="C1049" i="20" s="1"/>
  <c r="C1050" i="20" s="1"/>
  <c r="C1051" i="20" s="1"/>
  <c r="C1052" i="20" s="1"/>
  <c r="C1053" i="20" s="1"/>
  <c r="C1054" i="20" s="1"/>
  <c r="C1055" i="20" s="1"/>
  <c r="C1056" i="20" s="1"/>
  <c r="C1057" i="20" s="1"/>
  <c r="C1058" i="20" s="1"/>
  <c r="C1059" i="20" s="1"/>
  <c r="C1060" i="20" s="1"/>
  <c r="C1061" i="20" s="1"/>
  <c r="C1062" i="20" s="1"/>
  <c r="C1063" i="20" s="1"/>
  <c r="C1064" i="20" s="1"/>
  <c r="C1065" i="20" s="1"/>
  <c r="C1066" i="20" s="1"/>
  <c r="C1067" i="20" s="1"/>
  <c r="C1068" i="20" s="1"/>
  <c r="C1069" i="20" s="1"/>
  <c r="C1070" i="20" s="1"/>
  <c r="C1071" i="20" s="1"/>
  <c r="C1072" i="20" s="1"/>
  <c r="C1073" i="20" s="1"/>
  <c r="C1074" i="20" s="1"/>
  <c r="C1075" i="20" s="1"/>
  <c r="C1076" i="20" s="1"/>
  <c r="C1077" i="20" s="1"/>
  <c r="C1078" i="20" s="1"/>
  <c r="C1079" i="20" s="1"/>
  <c r="C1080" i="20" s="1"/>
  <c r="C1081" i="20" s="1"/>
  <c r="C1082" i="20" s="1"/>
  <c r="C1083" i="20" s="1"/>
  <c r="C1084" i="20" s="1"/>
  <c r="C1085" i="20" s="1"/>
  <c r="C1086" i="20" s="1"/>
  <c r="C1087" i="20" s="1"/>
  <c r="C1088" i="20" s="1"/>
  <c r="C1089" i="20" s="1"/>
  <c r="C1090" i="20" s="1"/>
  <c r="C1091" i="20" s="1"/>
  <c r="C1092" i="20" s="1"/>
  <c r="C1093" i="20" s="1"/>
  <c r="C1094" i="20" s="1"/>
  <c r="C1095" i="20" s="1"/>
  <c r="C1096" i="20" s="1"/>
  <c r="C1097" i="20" s="1"/>
  <c r="C1098" i="20" s="1"/>
  <c r="C1099" i="20" s="1"/>
  <c r="C1100" i="20" s="1"/>
  <c r="C1101" i="20" s="1"/>
  <c r="C1102" i="20" s="1"/>
  <c r="C1103" i="20" s="1"/>
  <c r="C1104" i="20" s="1"/>
  <c r="C1105" i="20" s="1"/>
  <c r="C1106" i="20" s="1"/>
  <c r="C1107" i="20" s="1"/>
  <c r="C1108" i="20" s="1"/>
  <c r="C1109" i="20" s="1"/>
  <c r="C1110" i="20" s="1"/>
  <c r="C1111" i="20" s="1"/>
  <c r="C1112" i="20" s="1"/>
  <c r="C1113" i="20" s="1"/>
  <c r="C1114" i="20" s="1"/>
  <c r="C1115" i="20" s="1"/>
  <c r="C1116" i="20" s="1"/>
  <c r="C1117" i="20" s="1"/>
  <c r="C1118" i="20" s="1"/>
  <c r="C1119" i="20" s="1"/>
  <c r="C1120" i="20" s="1"/>
  <c r="C1121" i="20" s="1"/>
  <c r="C1122" i="20" s="1"/>
  <c r="C1123" i="20" s="1"/>
  <c r="C1124" i="20" s="1"/>
  <c r="C1125" i="20" s="1"/>
  <c r="C1126" i="20" s="1"/>
  <c r="C1127" i="20" s="1"/>
  <c r="C1128" i="20" s="1"/>
  <c r="C1129" i="20" s="1"/>
  <c r="C1130" i="20" s="1"/>
  <c r="C1131" i="20" s="1"/>
  <c r="C1132" i="20" s="1"/>
  <c r="C1133" i="20" s="1"/>
  <c r="C1134" i="20" s="1"/>
  <c r="C1135" i="20" s="1"/>
  <c r="C1136" i="20" s="1"/>
  <c r="C1137" i="20" s="1"/>
  <c r="C1138" i="20" s="1"/>
  <c r="C1139" i="20" s="1"/>
  <c r="C1140" i="20" s="1"/>
  <c r="C1141" i="20" s="1"/>
  <c r="C1142" i="20" s="1"/>
  <c r="C1143" i="20" s="1"/>
  <c r="C1144" i="20" s="1"/>
  <c r="C1145" i="20" s="1"/>
  <c r="C1146" i="20" s="1"/>
  <c r="C1147" i="20" s="1"/>
  <c r="C1148" i="20" s="1"/>
  <c r="C1149" i="20" s="1"/>
  <c r="C1150" i="20" s="1"/>
  <c r="C1151" i="20" s="1"/>
  <c r="C1152" i="20" s="1"/>
  <c r="C1153" i="20" s="1"/>
  <c r="C1154" i="20" s="1"/>
  <c r="C1155" i="20" s="1"/>
  <c r="C1156" i="20" s="1"/>
  <c r="C1157" i="20" s="1"/>
  <c r="C1158" i="20" s="1"/>
  <c r="C1159" i="20" s="1"/>
  <c r="C1160" i="20" s="1"/>
  <c r="C1161" i="20" s="1"/>
  <c r="C1162" i="20" s="1"/>
  <c r="C1163" i="20" s="1"/>
  <c r="C1164" i="20" s="1"/>
  <c r="C1165" i="20" s="1"/>
  <c r="C1166" i="20" s="1"/>
  <c r="C1167" i="20" s="1"/>
  <c r="C1168" i="20" s="1"/>
  <c r="C1169" i="20" s="1"/>
  <c r="C1170" i="20" s="1"/>
  <c r="C1171" i="20" s="1"/>
  <c r="C1172" i="20" s="1"/>
  <c r="C1173" i="20" s="1"/>
  <c r="C1174" i="20" s="1"/>
  <c r="C1175" i="20" s="1"/>
  <c r="C1176" i="20" s="1"/>
  <c r="C1177" i="20" s="1"/>
  <c r="C1178" i="20" s="1"/>
  <c r="C1179" i="20" s="1"/>
  <c r="C1180" i="20" s="1"/>
  <c r="C1181" i="20" s="1"/>
  <c r="C1182" i="20" s="1"/>
  <c r="C1183" i="20" s="1"/>
  <c r="C1184" i="20" s="1"/>
  <c r="C1185" i="20" s="1"/>
  <c r="C1186" i="20" s="1"/>
  <c r="C1187" i="20" s="1"/>
  <c r="C1188" i="20" s="1"/>
  <c r="L1049" i="20"/>
  <c r="L1050" i="20" s="1"/>
  <c r="L1051" i="20" s="1"/>
  <c r="L1052" i="20" s="1"/>
  <c r="L1053" i="20" s="1"/>
  <c r="L1054" i="20" s="1"/>
  <c r="L1055" i="20" s="1"/>
  <c r="L1056" i="20" s="1"/>
  <c r="L1057" i="20" s="1"/>
  <c r="L1058" i="20" s="1"/>
  <c r="L1059" i="20" s="1"/>
  <c r="L1060" i="20" s="1"/>
  <c r="L1061" i="20" s="1"/>
  <c r="L1062" i="20" s="1"/>
  <c r="L1063" i="20" s="1"/>
  <c r="L1064" i="20" s="1"/>
  <c r="L1065" i="20" s="1"/>
  <c r="L1066" i="20" s="1"/>
  <c r="L1067" i="20" s="1"/>
  <c r="L1068" i="20" s="1"/>
  <c r="L1069" i="20" s="1"/>
  <c r="L1070" i="20" s="1"/>
  <c r="L1071" i="20" s="1"/>
  <c r="L1072" i="20" s="1"/>
  <c r="L1073" i="20" s="1"/>
  <c r="L1074" i="20" s="1"/>
  <c r="L1075" i="20"/>
  <c r="L1076" i="20" s="1"/>
  <c r="L1077" i="20" s="1"/>
  <c r="L1078" i="20" s="1"/>
  <c r="L1079" i="20" s="1"/>
  <c r="L1080" i="20" s="1"/>
  <c r="F461" i="20"/>
  <c r="F462" i="20" s="1"/>
  <c r="F463" i="20" s="1"/>
  <c r="F464" i="20" s="1"/>
  <c r="F465" i="20" s="1"/>
  <c r="F466" i="20" s="1"/>
  <c r="F467" i="20" s="1"/>
  <c r="F468" i="20" s="1"/>
  <c r="F469" i="20" s="1"/>
  <c r="F470" i="20" s="1"/>
  <c r="F471" i="20" s="1"/>
  <c r="F472" i="20" s="1"/>
  <c r="F473" i="20" s="1"/>
  <c r="F474" i="20" s="1"/>
  <c r="F475" i="20" s="1"/>
  <c r="F476" i="20" s="1"/>
  <c r="F477" i="20" s="1"/>
  <c r="F478" i="20" s="1"/>
  <c r="F479" i="20" s="1"/>
  <c r="F480" i="20" s="1"/>
  <c r="F481" i="20" s="1"/>
  <c r="F482" i="20" s="1"/>
  <c r="F483" i="20" s="1"/>
  <c r="F484" i="20" s="1"/>
  <c r="F485" i="20" s="1"/>
  <c r="F486" i="20" s="1"/>
  <c r="F487" i="20" s="1"/>
  <c r="F488" i="20" s="1"/>
  <c r="F489" i="20" s="1"/>
  <c r="F490" i="20" s="1"/>
  <c r="F491" i="20" s="1"/>
  <c r="F492" i="20" s="1"/>
  <c r="F493" i="20" s="1"/>
  <c r="F494" i="20" s="1"/>
  <c r="F495" i="20" s="1"/>
  <c r="F496" i="20" s="1"/>
  <c r="F497" i="20" s="1"/>
  <c r="F498" i="20" s="1"/>
  <c r="F499" i="20" s="1"/>
  <c r="F500" i="20" s="1"/>
  <c r="F501" i="20" s="1"/>
  <c r="F502" i="20" s="1"/>
  <c r="F503" i="20" s="1"/>
  <c r="F504" i="20" s="1"/>
  <c r="F505" i="20" s="1"/>
  <c r="F506" i="20" s="1"/>
  <c r="F507" i="20" s="1"/>
  <c r="F508" i="20" s="1"/>
  <c r="F509" i="20" s="1"/>
  <c r="F510" i="20" s="1"/>
  <c r="F511" i="20" s="1"/>
  <c r="F512" i="20" s="1"/>
  <c r="F513" i="20" s="1"/>
  <c r="F514" i="20" s="1"/>
  <c r="F515" i="20" s="1"/>
  <c r="F516" i="20" s="1"/>
  <c r="F517" i="20" s="1"/>
  <c r="F518" i="20" s="1"/>
  <c r="F519" i="20" s="1"/>
  <c r="F520" i="20" s="1"/>
  <c r="F521" i="20" s="1"/>
  <c r="F522" i="20" s="1"/>
  <c r="F523" i="20" s="1"/>
  <c r="F524" i="20" s="1"/>
  <c r="F525" i="20" s="1"/>
  <c r="F526" i="20" s="1"/>
  <c r="F527" i="20" s="1"/>
  <c r="F528" i="20" s="1"/>
  <c r="F529" i="20" s="1"/>
  <c r="F530" i="20" s="1"/>
  <c r="F531" i="20" s="1"/>
  <c r="F532" i="20" s="1"/>
  <c r="F533" i="20" s="1"/>
  <c r="F534" i="20" s="1"/>
  <c r="F535" i="20" s="1"/>
  <c r="F536" i="20" s="1"/>
  <c r="F537" i="20" s="1"/>
  <c r="F538" i="20" s="1"/>
  <c r="F539" i="20" s="1"/>
  <c r="F540" i="20" s="1"/>
  <c r="F541" i="20" s="1"/>
  <c r="F542" i="20" s="1"/>
  <c r="F543" i="20" s="1"/>
  <c r="F544" i="20" s="1"/>
  <c r="F545" i="20" s="1"/>
  <c r="F546" i="20" s="1"/>
  <c r="F547" i="20" s="1"/>
  <c r="F548" i="20" s="1"/>
  <c r="F549" i="20" s="1"/>
  <c r="F550" i="20" s="1"/>
  <c r="F551" i="20" s="1"/>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s="1"/>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F631" i="20" s="1"/>
  <c r="F632" i="20" s="1"/>
  <c r="F633" i="20" s="1"/>
  <c r="F634" i="20" s="1"/>
  <c r="F635" i="20" s="1"/>
  <c r="F636" i="20" s="1"/>
  <c r="F637" i="20" s="1"/>
  <c r="F638" i="20" s="1"/>
  <c r="F639" i="20" s="1"/>
  <c r="F640" i="20" s="1"/>
  <c r="F641" i="20" s="1"/>
  <c r="F642" i="20" s="1"/>
  <c r="F643" i="20" s="1"/>
  <c r="F644" i="20" s="1"/>
  <c r="F645" i="20" s="1"/>
  <c r="F646" i="20" s="1"/>
  <c r="F647" i="20" s="1"/>
  <c r="F648" i="20" s="1"/>
  <c r="F649" i="20" s="1"/>
  <c r="F650" i="20" s="1"/>
  <c r="F651" i="20" s="1"/>
  <c r="F652" i="20" s="1"/>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F689" i="20" s="1"/>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F731" i="20" s="1"/>
  <c r="F732" i="20" s="1"/>
  <c r="F733" i="20" s="1"/>
  <c r="F734" i="20" s="1"/>
  <c r="F735" i="20" s="1"/>
  <c r="F736" i="20" s="1"/>
  <c r="F737" i="20" s="1"/>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F801" i="20" s="1"/>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s="1"/>
  <c r="F836" i="20" s="1"/>
  <c r="F837" i="20" s="1"/>
  <c r="F838" i="20" s="1"/>
  <c r="F839" i="20" s="1"/>
  <c r="F840" i="20" s="1"/>
  <c r="F841" i="20" s="1"/>
  <c r="F842" i="20" s="1"/>
  <c r="F843" i="20" s="1"/>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L1081" i="20"/>
  <c r="L1082" i="20" s="1"/>
  <c r="L1083" i="20" s="1"/>
  <c r="L1084" i="20" s="1"/>
  <c r="L1085" i="20" s="1"/>
  <c r="L1086" i="20" s="1"/>
  <c r="L1087" i="20" s="1"/>
  <c r="L1088" i="20" s="1"/>
  <c r="L1089" i="20" s="1"/>
  <c r="L1090" i="20" s="1"/>
  <c r="L1091" i="20" s="1"/>
  <c r="L1092" i="20" s="1"/>
  <c r="L1093" i="20" s="1"/>
  <c r="L1094" i="20" s="1"/>
  <c r="L1095" i="20" s="1"/>
  <c r="L1096" i="20" s="1"/>
  <c r="L1097" i="20" s="1"/>
  <c r="L1098" i="20" s="1"/>
  <c r="L1099" i="20" s="1"/>
  <c r="L1100" i="20" s="1"/>
  <c r="L1101" i="20" s="1"/>
  <c r="L1102" i="20" s="1"/>
  <c r="L1103" i="20" s="1"/>
  <c r="L1104" i="20" s="1"/>
  <c r="L1105" i="20" s="1"/>
  <c r="L1106" i="20" s="1"/>
  <c r="L1107" i="20" s="1"/>
  <c r="L1108" i="20" s="1"/>
  <c r="L1109" i="20" s="1"/>
  <c r="L1110" i="20" s="1"/>
  <c r="L1111" i="20" s="1"/>
  <c r="L1112" i="20" s="1"/>
  <c r="L1113" i="20" s="1"/>
  <c r="L1114" i="20" s="1"/>
  <c r="L1115" i="20" s="1"/>
  <c r="L1116" i="20" s="1"/>
  <c r="L1117" i="20" s="1"/>
  <c r="L1118" i="20" s="1"/>
  <c r="L1119" i="20" s="1"/>
  <c r="L1120" i="20" s="1"/>
  <c r="L1121" i="20" s="1"/>
  <c r="L1122" i="20" s="1"/>
  <c r="L1123" i="20" s="1"/>
  <c r="L1124" i="20" s="1"/>
  <c r="L1125" i="20" s="1"/>
  <c r="L1126" i="20" s="1"/>
  <c r="L1127" i="20" s="1"/>
  <c r="L1128" i="20" s="1"/>
  <c r="L1129" i="20" s="1"/>
  <c r="L1130" i="20" s="1"/>
  <c r="L1131" i="20" s="1"/>
  <c r="L1132" i="20" s="1"/>
  <c r="L1133" i="20" s="1"/>
  <c r="L1134" i="20" s="1"/>
  <c r="L1135" i="20" s="1"/>
  <c r="L1136" i="20" s="1"/>
  <c r="L1137" i="20" s="1"/>
  <c r="L1138" i="20" s="1"/>
  <c r="L1139" i="20" s="1"/>
  <c r="L1140" i="20" s="1"/>
  <c r="L1141" i="20" s="1"/>
  <c r="L1142" i="20" s="1"/>
  <c r="L1143" i="20" s="1"/>
  <c r="L1144" i="20" s="1"/>
  <c r="L1145" i="20" s="1"/>
  <c r="L1146" i="20" s="1"/>
  <c r="L1147" i="20" s="1"/>
  <c r="L1148" i="20" s="1"/>
  <c r="L1149" i="20" s="1"/>
  <c r="L1150" i="20" s="1"/>
  <c r="L1151" i="20" s="1"/>
  <c r="L1152" i="20" s="1"/>
  <c r="L1153" i="20" s="1"/>
  <c r="L1154" i="20" s="1"/>
  <c r="L1155" i="20" s="1"/>
  <c r="L1156" i="20" s="1"/>
  <c r="L1157" i="20" s="1"/>
  <c r="L1158" i="20" s="1"/>
  <c r="L1159" i="20" s="1"/>
  <c r="L1160" i="20" s="1"/>
  <c r="L1161" i="20" s="1"/>
  <c r="L1162" i="20" s="1"/>
  <c r="L1163" i="20" s="1"/>
  <c r="L1164" i="20" s="1"/>
  <c r="L1165" i="20" s="1"/>
  <c r="L1166" i="20" s="1"/>
  <c r="L1167" i="20" s="1"/>
  <c r="L1168" i="20" s="1"/>
  <c r="L1169" i="20" s="1"/>
  <c r="L1170" i="20" s="1"/>
  <c r="L1171" i="20" s="1"/>
  <c r="L1172" i="20" s="1"/>
  <c r="L1173" i="20" s="1"/>
  <c r="L1174" i="20" s="1"/>
  <c r="L1175" i="20" s="1"/>
  <c r="L1176" i="20" s="1"/>
  <c r="L1177" i="20" s="1"/>
  <c r="L1178" i="20" s="1"/>
  <c r="L1179" i="20" s="1"/>
  <c r="L1180" i="20" s="1"/>
  <c r="L1181" i="20" s="1"/>
  <c r="L1182" i="20" s="1"/>
  <c r="L1183" i="20" s="1"/>
  <c r="L1184" i="20" s="1"/>
  <c r="L1185" i="20" s="1"/>
  <c r="L1186" i="20" s="1"/>
  <c r="L1187" i="20" s="1"/>
  <c r="L1188" i="20" s="1"/>
  <c r="L1189" i="20" s="1"/>
  <c r="L1190" i="20" s="1"/>
  <c r="L1191" i="20" s="1"/>
  <c r="L1192" i="20" s="1"/>
  <c r="L1193" i="20" s="1"/>
  <c r="L1194" i="20" s="1"/>
  <c r="L1195" i="20" s="1"/>
  <c r="L1196" i="20" s="1"/>
  <c r="L1197" i="20" s="1"/>
  <c r="L1198" i="20" s="1"/>
  <c r="L1199" i="20" s="1"/>
  <c r="L1200" i="20" s="1"/>
  <c r="L1201" i="20" s="1"/>
  <c r="L1202" i="20" s="1"/>
  <c r="L1203" i="20" s="1"/>
  <c r="L1204" i="20" s="1"/>
  <c r="L1205" i="20" s="1"/>
  <c r="L1206" i="20" s="1"/>
  <c r="L1207" i="20" s="1"/>
  <c r="L1208" i="20" s="1"/>
  <c r="L1209" i="20" s="1"/>
  <c r="L1210" i="20" s="1"/>
  <c r="L1211" i="20" s="1"/>
  <c r="L1212" i="20" s="1"/>
  <c r="L1213" i="20" s="1"/>
  <c r="L1214" i="20" s="1"/>
  <c r="L1215" i="20" s="1"/>
  <c r="L1216" i="20" s="1"/>
  <c r="L1217" i="20" s="1"/>
  <c r="L1218" i="20" s="1"/>
  <c r="L1219" i="20" s="1"/>
  <c r="L1220" i="20" s="1"/>
  <c r="L1221" i="20" s="1"/>
  <c r="L1222" i="20" s="1"/>
  <c r="L1223" i="20" s="1"/>
  <c r="L1224" i="20" s="1"/>
  <c r="L1225" i="20" s="1"/>
  <c r="L1226" i="20" s="1"/>
  <c r="L1227" i="20" s="1"/>
  <c r="I702" i="20"/>
  <c r="I703" i="20" s="1"/>
  <c r="I704" i="20" s="1"/>
  <c r="I705" i="20" s="1"/>
  <c r="I706" i="20" s="1"/>
  <c r="I707" i="20" s="1"/>
  <c r="I708" i="20" s="1"/>
  <c r="I709" i="20" s="1"/>
  <c r="I710" i="20" s="1"/>
  <c r="I711" i="20" s="1"/>
  <c r="I712" i="20" s="1"/>
  <c r="I713" i="20" s="1"/>
  <c r="I714" i="20" s="1"/>
  <c r="I715" i="20" s="1"/>
  <c r="I716" i="20" s="1"/>
  <c r="I717" i="20" s="1"/>
  <c r="I718" i="20" s="1"/>
  <c r="I719" i="20" s="1"/>
  <c r="I720" i="20" s="1"/>
  <c r="I721" i="20" s="1"/>
  <c r="I722" i="20" s="1"/>
  <c r="I723" i="20" s="1"/>
  <c r="I724" i="20" s="1"/>
  <c r="I725" i="20" s="1"/>
  <c r="I726" i="20" s="1"/>
  <c r="I727" i="20" s="1"/>
  <c r="I728" i="20" s="1"/>
  <c r="I729" i="20" s="1"/>
  <c r="I730" i="20" s="1"/>
  <c r="I731" i="20" s="1"/>
  <c r="I732" i="20" s="1"/>
  <c r="I733" i="20" s="1"/>
  <c r="I734" i="20" s="1"/>
  <c r="I735" i="20" s="1"/>
  <c r="I736" i="20" s="1"/>
  <c r="I737" i="20" s="1"/>
  <c r="I738" i="20" s="1"/>
  <c r="I739" i="20" s="1"/>
  <c r="I740" i="20" s="1"/>
  <c r="I741" i="20" s="1"/>
  <c r="I742" i="20" s="1"/>
  <c r="I743" i="20" s="1"/>
  <c r="I744" i="20" s="1"/>
  <c r="I745" i="20" s="1"/>
  <c r="I746" i="20" s="1"/>
  <c r="I747" i="20" s="1"/>
  <c r="I748" i="20" s="1"/>
  <c r="I749" i="20" s="1"/>
  <c r="I750" i="20" s="1"/>
  <c r="I751" i="20" s="1"/>
  <c r="I752" i="20" s="1"/>
  <c r="I753" i="20" s="1"/>
  <c r="I754" i="20" s="1"/>
  <c r="I755" i="20" s="1"/>
  <c r="I756" i="20" s="1"/>
  <c r="I757" i="20" s="1"/>
  <c r="I758" i="20" s="1"/>
  <c r="I759" i="20" s="1"/>
  <c r="I760" i="20" s="1"/>
  <c r="I761" i="20" s="1"/>
  <c r="I762" i="20" s="1"/>
  <c r="I763" i="20" s="1"/>
  <c r="I764" i="20" s="1"/>
  <c r="I765" i="20" s="1"/>
  <c r="I766" i="20" s="1"/>
  <c r="I767" i="20" s="1"/>
  <c r="I768" i="20" s="1"/>
  <c r="I769" i="20" s="1"/>
  <c r="I770" i="20" s="1"/>
  <c r="I771" i="20" s="1"/>
  <c r="I772" i="20" s="1"/>
  <c r="I773" i="20" s="1"/>
  <c r="I774" i="20" s="1"/>
  <c r="I775" i="20" s="1"/>
  <c r="I776" i="20" s="1"/>
  <c r="I777" i="20" s="1"/>
  <c r="I778" i="20" s="1"/>
  <c r="I779" i="20" s="1"/>
  <c r="I780" i="20" s="1"/>
  <c r="I781" i="20" s="1"/>
  <c r="I782" i="20" s="1"/>
  <c r="I783" i="20" s="1"/>
  <c r="I784" i="20" s="1"/>
  <c r="I785" i="20" s="1"/>
  <c r="I786" i="20" s="1"/>
  <c r="I787" i="20" s="1"/>
  <c r="I788" i="20" s="1"/>
  <c r="I789" i="20" s="1"/>
  <c r="I790" i="20" s="1"/>
  <c r="I791" i="20" s="1"/>
  <c r="I792" i="20" s="1"/>
  <c r="I793" i="20" s="1"/>
  <c r="I794" i="20" s="1"/>
  <c r="I795" i="20" s="1"/>
  <c r="I796" i="20" s="1"/>
  <c r="I797" i="20" s="1"/>
  <c r="I798" i="20" s="1"/>
  <c r="I799" i="20" s="1"/>
  <c r="I800" i="20" s="1"/>
  <c r="I801" i="20" s="1"/>
  <c r="I802" i="20" s="1"/>
  <c r="I803" i="20" s="1"/>
  <c r="I804" i="20" s="1"/>
  <c r="I805" i="20" s="1"/>
  <c r="I806" i="20" s="1"/>
  <c r="I807" i="20" s="1"/>
  <c r="I808" i="20" s="1"/>
  <c r="I809" i="20" s="1"/>
  <c r="I810" i="20" s="1"/>
  <c r="I811" i="20" s="1"/>
  <c r="I812" i="20" s="1"/>
  <c r="I813" i="20" s="1"/>
  <c r="I814" i="20" s="1"/>
  <c r="I815" i="20" s="1"/>
  <c r="I816" i="20" s="1"/>
  <c r="I817" i="20" s="1"/>
  <c r="I818" i="20" s="1"/>
  <c r="I819" i="20" s="1"/>
  <c r="I820" i="20" s="1"/>
  <c r="I821" i="20" s="1"/>
  <c r="I822" i="20" s="1"/>
  <c r="I823" i="20" s="1"/>
  <c r="I824" i="20" s="1"/>
  <c r="I825" i="20" s="1"/>
  <c r="I826" i="20" s="1"/>
  <c r="I827" i="20" s="1"/>
  <c r="I828" i="20" s="1"/>
  <c r="I829" i="20" s="1"/>
  <c r="I830" i="20" s="1"/>
  <c r="I831" i="20" s="1"/>
  <c r="I832" i="20" s="1"/>
  <c r="I833" i="20" s="1"/>
  <c r="I834" i="20" s="1"/>
  <c r="I835" i="20" s="1"/>
  <c r="I836" i="20" s="1"/>
  <c r="I837" i="20" s="1"/>
  <c r="I838" i="20" s="1"/>
  <c r="I839" i="20" s="1"/>
  <c r="I840" i="20" s="1"/>
  <c r="I841" i="20" s="1"/>
  <c r="I842" i="20" s="1"/>
  <c r="I843" i="20" s="1"/>
  <c r="I844" i="20" s="1"/>
  <c r="I845" i="20" s="1"/>
  <c r="I846" i="20" s="1"/>
  <c r="I847" i="20" s="1"/>
  <c r="I848" i="20" s="1"/>
  <c r="I849" i="20" s="1"/>
  <c r="I850" i="20" s="1"/>
  <c r="I851" i="20" s="1"/>
  <c r="I852" i="20" s="1"/>
  <c r="I853" i="20" s="1"/>
  <c r="I854" i="20" s="1"/>
  <c r="I855" i="20" s="1"/>
  <c r="I856" i="20" s="1"/>
  <c r="I857" i="20" s="1"/>
  <c r="I858" i="20" s="1"/>
  <c r="I859" i="20" s="1"/>
  <c r="I860" i="20" s="1"/>
  <c r="I861" i="20" s="1"/>
  <c r="I862" i="20" s="1"/>
  <c r="I863" i="20" s="1"/>
  <c r="I864" i="20" s="1"/>
  <c r="I865" i="20" s="1"/>
  <c r="I866" i="20" s="1"/>
  <c r="I867" i="20" s="1"/>
  <c r="I868" i="20" s="1"/>
  <c r="I869" i="20" s="1"/>
  <c r="I870" i="20" s="1"/>
  <c r="I871" i="20" s="1"/>
  <c r="I872" i="20" s="1"/>
  <c r="I873" i="20" s="1"/>
  <c r="I874" i="20" s="1"/>
  <c r="I875" i="20" s="1"/>
  <c r="I876" i="20" s="1"/>
  <c r="I877" i="20" s="1"/>
  <c r="I878" i="20" s="1"/>
  <c r="I879" i="20" s="1"/>
  <c r="I880" i="20" s="1"/>
  <c r="I881" i="20" s="1"/>
  <c r="I882" i="20" s="1"/>
  <c r="I883" i="20" s="1"/>
  <c r="I884" i="20" s="1"/>
  <c r="I885" i="20" s="1"/>
  <c r="I886" i="20" s="1"/>
  <c r="I887" i="20" s="1"/>
  <c r="I888" i="20" s="1"/>
  <c r="I889" i="20" s="1"/>
  <c r="I890" i="20" s="1"/>
  <c r="I891" i="20" s="1"/>
  <c r="I892" i="20" s="1"/>
  <c r="I893" i="20" s="1"/>
  <c r="I894" i="20" s="1"/>
  <c r="I895" i="20" s="1"/>
  <c r="I896" i="20" s="1"/>
  <c r="I897" i="20" s="1"/>
  <c r="I898" i="20" s="1"/>
  <c r="I899" i="20" s="1"/>
  <c r="I900" i="20" s="1"/>
  <c r="I901" i="20" s="1"/>
  <c r="I902" i="20" s="1"/>
  <c r="I903" i="20" s="1"/>
  <c r="I904" i="20" s="1"/>
  <c r="I905" i="20" s="1"/>
  <c r="I906" i="20" s="1"/>
  <c r="I907" i="20" s="1"/>
  <c r="I908" i="20" s="1"/>
  <c r="I909" i="20" s="1"/>
  <c r="I910" i="20" s="1"/>
  <c r="I911" i="20" s="1"/>
  <c r="I912" i="20" s="1"/>
  <c r="I913" i="20" s="1"/>
  <c r="I914" i="20" s="1"/>
  <c r="I915" i="20" s="1"/>
  <c r="I916" i="20" s="1"/>
  <c r="I917" i="20" s="1"/>
  <c r="I918" i="20" s="1"/>
  <c r="I919" i="20" s="1"/>
  <c r="I920" i="20" s="1"/>
  <c r="I921" i="20" s="1"/>
  <c r="I922" i="20" s="1"/>
  <c r="I923" i="20" s="1"/>
  <c r="I924" i="20" s="1"/>
  <c r="I925" i="20" s="1"/>
  <c r="I926" i="20" s="1"/>
  <c r="I927" i="20" s="1"/>
  <c r="I928" i="20" s="1"/>
  <c r="I929" i="20" s="1"/>
  <c r="I930" i="20" s="1"/>
  <c r="I931" i="20" s="1"/>
  <c r="I932" i="20" s="1"/>
  <c r="I933" i="20" s="1"/>
  <c r="I934" i="20" s="1"/>
  <c r="I935" i="20" s="1"/>
  <c r="I936" i="20" s="1"/>
  <c r="I937" i="20" s="1"/>
  <c r="I938" i="20" s="1"/>
  <c r="I939" i="20" s="1"/>
  <c r="I940" i="20" s="1"/>
  <c r="I941" i="20" s="1"/>
  <c r="I942" i="20" s="1"/>
  <c r="I943" i="20" s="1"/>
  <c r="I944" i="20" s="1"/>
  <c r="I945" i="20" s="1"/>
  <c r="I946" i="20" s="1"/>
  <c r="I947" i="20" s="1"/>
  <c r="I948" i="20" s="1"/>
  <c r="I949" i="20" s="1"/>
  <c r="I950" i="20" s="1"/>
  <c r="I951" i="20" s="1"/>
  <c r="I952" i="20" s="1"/>
  <c r="I953" i="20" s="1"/>
  <c r="I954" i="20" s="1"/>
  <c r="I955" i="20" s="1"/>
  <c r="I956" i="20" s="1"/>
  <c r="I957" i="20" s="1"/>
  <c r="I958" i="20" s="1"/>
  <c r="I959" i="20" s="1"/>
  <c r="I960" i="20" s="1"/>
  <c r="I961" i="20" s="1"/>
  <c r="I962" i="20" s="1"/>
  <c r="I963" i="20" s="1"/>
  <c r="I964" i="20" s="1"/>
  <c r="I965" i="20" s="1"/>
  <c r="I966" i="20" s="1"/>
  <c r="I967" i="20" s="1"/>
  <c r="I968" i="20" s="1"/>
  <c r="I969" i="20" s="1"/>
  <c r="I970" i="20" s="1"/>
  <c r="I971" i="20" s="1"/>
  <c r="I972" i="20" s="1"/>
  <c r="I973" i="20" s="1"/>
  <c r="I974" i="20" s="1"/>
  <c r="I975" i="20" s="1"/>
  <c r="I976" i="20" s="1"/>
  <c r="I977" i="20" s="1"/>
  <c r="I978" i="20" s="1"/>
  <c r="I979" i="20" s="1"/>
  <c r="I980" i="20" s="1"/>
  <c r="I981" i="20" s="1"/>
  <c r="I982" i="20" s="1"/>
  <c r="I983" i="20" s="1"/>
  <c r="I984" i="20" s="1"/>
  <c r="I985" i="20" s="1"/>
  <c r="I986" i="20" s="1"/>
  <c r="I987" i="20" s="1"/>
  <c r="I988" i="20" s="1"/>
  <c r="I989" i="20" s="1"/>
  <c r="I990" i="20" s="1"/>
  <c r="I991" i="20" s="1"/>
  <c r="I992" i="20" s="1"/>
  <c r="I993" i="20" s="1"/>
  <c r="I994" i="20" s="1"/>
  <c r="I995" i="20" s="1"/>
  <c r="I996" i="20" s="1"/>
  <c r="I997" i="20" s="1"/>
  <c r="I998" i="20" s="1"/>
  <c r="I999" i="20" s="1"/>
  <c r="I1000" i="20" s="1"/>
  <c r="I1001" i="20" s="1"/>
  <c r="I1002" i="20" s="1"/>
  <c r="I1003" i="20" s="1"/>
  <c r="I1004" i="20" s="1"/>
  <c r="I1005" i="20" s="1"/>
  <c r="I1006" i="20" s="1"/>
  <c r="I1007" i="20" s="1"/>
  <c r="I1008" i="20" s="1"/>
  <c r="I1009" i="20" s="1"/>
  <c r="I1010" i="20" s="1"/>
  <c r="I1011" i="20" s="1"/>
  <c r="I1012" i="20" s="1"/>
  <c r="I1013" i="20" s="1"/>
  <c r="I1014" i="20" s="1"/>
  <c r="I1015" i="20" s="1"/>
  <c r="I1016" i="20" s="1"/>
  <c r="I1017" i="20" s="1"/>
  <c r="I1018" i="20" s="1"/>
  <c r="I1019" i="20" s="1"/>
  <c r="I1020" i="20" s="1"/>
  <c r="I1021" i="20" s="1"/>
  <c r="I1022" i="20" s="1"/>
  <c r="I1023" i="20" s="1"/>
  <c r="I1024" i="20" s="1"/>
  <c r="I1025" i="20" s="1"/>
  <c r="I1026" i="20" s="1"/>
  <c r="I1027" i="20" s="1"/>
  <c r="I1028" i="20" s="1"/>
  <c r="I1029" i="20" s="1"/>
  <c r="I1030" i="20" s="1"/>
  <c r="I1031" i="20" s="1"/>
  <c r="I1032" i="20" s="1"/>
  <c r="I1033" i="20" s="1"/>
  <c r="I1034" i="20" s="1"/>
  <c r="I1035" i="20" s="1"/>
  <c r="I1036" i="20" s="1"/>
  <c r="I1037" i="20" s="1"/>
  <c r="I1038" i="20" s="1"/>
  <c r="I1039" i="20" s="1"/>
  <c r="I1040" i="20" s="1"/>
  <c r="I1041" i="20" s="1"/>
  <c r="I1042" i="20" s="1"/>
  <c r="I1043" i="20" s="1"/>
  <c r="I1044" i="20" s="1"/>
  <c r="I1045" i="20" s="1"/>
  <c r="I1046" i="20" s="1"/>
  <c r="I1047" i="20" s="1"/>
  <c r="I1048" i="20" s="1"/>
  <c r="I1049" i="20" s="1"/>
  <c r="I1050" i="20" s="1"/>
  <c r="I1051" i="20" s="1"/>
  <c r="I1052" i="20" s="1"/>
  <c r="I1053" i="20" s="1"/>
  <c r="I1054" i="20" s="1"/>
  <c r="I1055" i="20" s="1"/>
  <c r="I1056" i="20" s="1"/>
  <c r="I1057" i="20" s="1"/>
  <c r="I1058" i="20" s="1"/>
  <c r="I1059" i="20" s="1"/>
  <c r="I1060" i="20" s="1"/>
  <c r="I1061" i="20" s="1"/>
  <c r="I1062" i="20" s="1"/>
  <c r="I1063" i="20" s="1"/>
  <c r="I1064" i="20" s="1"/>
  <c r="I1065" i="20" s="1"/>
  <c r="I1066" i="20" s="1"/>
  <c r="I1067" i="20" s="1"/>
  <c r="I1068" i="20" s="1"/>
  <c r="I1069" i="20" s="1"/>
  <c r="I1070" i="20" s="1"/>
  <c r="I1071" i="20" s="1"/>
  <c r="I1072" i="20" s="1"/>
  <c r="I1073" i="20" s="1"/>
  <c r="I1074" i="20" s="1"/>
  <c r="I1075" i="20" s="1"/>
  <c r="I1076" i="20" s="1"/>
  <c r="I1077" i="20" s="1"/>
  <c r="I1078" i="20" s="1"/>
  <c r="I1079" i="20" s="1"/>
  <c r="I1080" i="20" s="1"/>
  <c r="I1081" i="20" s="1"/>
  <c r="I1082" i="20" s="1"/>
  <c r="I1083" i="20" s="1"/>
  <c r="I1084" i="20" s="1"/>
  <c r="I1085" i="20" s="1"/>
  <c r="I1086" i="20" s="1"/>
  <c r="I1087" i="20" s="1"/>
  <c r="I1088" i="20" s="1"/>
  <c r="I1089" i="20" s="1"/>
  <c r="I1090" i="20" s="1"/>
  <c r="I1091" i="20" s="1"/>
  <c r="I1092" i="20" s="1"/>
  <c r="I1093" i="20" s="1"/>
  <c r="I1094" i="20" s="1"/>
  <c r="I1095" i="20" s="1"/>
  <c r="I1096" i="20" s="1"/>
  <c r="I1097" i="20" s="1"/>
  <c r="I1098" i="20" s="1"/>
  <c r="I1099" i="20" s="1"/>
  <c r="I1100" i="20" s="1"/>
  <c r="I1101" i="20" s="1"/>
  <c r="I1102" i="20" s="1"/>
  <c r="I1103" i="20" s="1"/>
  <c r="I1104" i="20" s="1"/>
  <c r="I1105" i="20" s="1"/>
  <c r="I1106" i="20" s="1"/>
  <c r="I1107" i="20" s="1"/>
  <c r="I1108" i="20" s="1"/>
  <c r="I1109" i="20" s="1"/>
  <c r="I1110" i="20" s="1"/>
  <c r="I1111" i="20" s="1"/>
  <c r="I1112" i="20" s="1"/>
  <c r="I1113" i="20" s="1"/>
  <c r="I1114" i="20" s="1"/>
  <c r="I1115" i="20" s="1"/>
  <c r="I1116" i="20" s="1"/>
  <c r="I1117" i="20" s="1"/>
  <c r="I1118" i="20" s="1"/>
  <c r="I1119" i="20" s="1"/>
  <c r="I1120" i="20" s="1"/>
  <c r="I1121" i="20" s="1"/>
  <c r="I1122" i="20" s="1"/>
  <c r="I1123" i="20" s="1"/>
  <c r="I1124" i="20" s="1"/>
  <c r="I1125" i="20" s="1"/>
  <c r="I1126" i="20" s="1"/>
  <c r="I1127" i="20" s="1"/>
  <c r="I1128" i="20" s="1"/>
  <c r="I1129" i="20" s="1"/>
  <c r="I1130" i="20" s="1"/>
  <c r="I1131" i="20" s="1"/>
  <c r="I1132" i="20" s="1"/>
  <c r="I1133" i="20" s="1"/>
  <c r="I1134" i="20" s="1"/>
  <c r="I1135" i="20" s="1"/>
  <c r="I1136" i="20" s="1"/>
  <c r="I1137" i="20" s="1"/>
  <c r="I1138" i="20" s="1"/>
  <c r="I1139" i="20" s="1"/>
  <c r="I1140" i="20" s="1"/>
  <c r="I1141" i="20" s="1"/>
  <c r="I1142" i="20" s="1"/>
  <c r="I1143" i="20" s="1"/>
  <c r="I1144" i="20" s="1"/>
  <c r="I1145" i="20" s="1"/>
  <c r="I1146" i="20" s="1"/>
  <c r="I1147" i="20" s="1"/>
  <c r="I1148" i="20" s="1"/>
  <c r="I1149" i="20" s="1"/>
  <c r="I1150" i="20" s="1"/>
  <c r="I1151" i="20" s="1"/>
  <c r="I1152" i="20" s="1"/>
  <c r="I1153" i="20" s="1"/>
  <c r="I1154" i="20" s="1"/>
  <c r="I1155" i="20" s="1"/>
  <c r="I1156" i="20" s="1"/>
  <c r="I1157" i="20" s="1"/>
  <c r="I1158" i="20" s="1"/>
  <c r="I1159" i="20" s="1"/>
  <c r="I1160" i="20" s="1"/>
  <c r="I1161" i="20" s="1"/>
  <c r="I1162" i="20" s="1"/>
  <c r="I1163" i="20" s="1"/>
  <c r="I1164" i="20" s="1"/>
  <c r="I1165" i="20" s="1"/>
  <c r="I1166" i="20" s="1"/>
  <c r="I1167" i="20" s="1"/>
  <c r="I1168" i="20" s="1"/>
  <c r="I1169" i="20" s="1"/>
  <c r="I1170" i="20" s="1"/>
  <c r="I1171" i="20" s="1"/>
  <c r="I1172" i="20" s="1"/>
  <c r="I1173" i="20" s="1"/>
  <c r="I1174" i="20" s="1"/>
  <c r="I1175" i="20" s="1"/>
  <c r="I1176" i="20" s="1"/>
  <c r="I1177" i="20" s="1"/>
  <c r="I1178" i="20" s="1"/>
  <c r="I1179" i="20" s="1"/>
  <c r="I1180" i="20" s="1"/>
  <c r="I1181" i="20" s="1"/>
  <c r="I1182" i="20" s="1"/>
  <c r="I1183" i="20" s="1"/>
  <c r="I1184" i="20" s="1"/>
  <c r="I1185" i="20" s="1"/>
  <c r="I1186" i="20" s="1"/>
  <c r="I1187" i="20" s="1"/>
  <c r="I1188" i="20" s="1"/>
  <c r="I1189" i="20" s="1"/>
  <c r="I1190" i="20" s="1"/>
  <c r="I1191" i="20" s="1"/>
  <c r="I1192" i="20" s="1"/>
  <c r="I1193" i="20" s="1"/>
  <c r="I1194" i="20" s="1"/>
  <c r="I1195" i="20" s="1"/>
  <c r="I1196" i="20" s="1"/>
  <c r="I1197" i="20" s="1"/>
  <c r="I1198" i="20" s="1"/>
  <c r="I1199" i="20" s="1"/>
  <c r="I1200" i="20" s="1"/>
  <c r="I1201" i="20" s="1"/>
  <c r="I1202" i="20" s="1"/>
  <c r="I1203" i="20" s="1"/>
  <c r="I1204" i="20" s="1"/>
  <c r="I1205" i="20" s="1"/>
  <c r="I1206" i="20" s="1"/>
  <c r="I1207" i="20" s="1"/>
  <c r="I1208" i="20" s="1"/>
  <c r="I1209" i="20" s="1"/>
  <c r="I1210" i="20" s="1"/>
  <c r="I1211" i="20" s="1"/>
  <c r="I1212" i="20" s="1"/>
  <c r="I1213" i="20" s="1"/>
  <c r="I1214" i="20" s="1"/>
  <c r="I1215" i="20" s="1"/>
  <c r="I1216" i="20" s="1"/>
  <c r="I1217" i="20" s="1"/>
  <c r="I1218" i="20" s="1"/>
  <c r="I1219" i="20" s="1"/>
  <c r="I1220" i="20" s="1"/>
  <c r="I1221" i="20" s="1"/>
  <c r="I1222" i="20" s="1"/>
  <c r="I1223" i="20" s="1"/>
  <c r="I1224" i="20" s="1"/>
  <c r="I1225" i="20" s="1"/>
  <c r="I1226" i="20" s="1"/>
  <c r="I1227" i="20" s="1"/>
  <c r="I1228" i="20" s="1"/>
  <c r="I1229" i="20" s="1"/>
  <c r="I1230" i="20" s="1"/>
  <c r="I1231" i="20" s="1"/>
  <c r="I1232" i="20" s="1"/>
  <c r="I1233" i="20" s="1"/>
  <c r="I1234" i="20" s="1"/>
  <c r="I1235" i="20" s="1"/>
  <c r="I1236" i="20" s="1"/>
  <c r="I1237" i="20" s="1"/>
  <c r="I1238" i="20" s="1"/>
  <c r="I1239" i="20" s="1"/>
  <c r="I1240" i="20" s="1"/>
  <c r="I1241" i="20" s="1"/>
  <c r="I1242" i="20" s="1"/>
  <c r="I1243" i="20" s="1"/>
  <c r="I1244" i="20" s="1"/>
  <c r="I1245" i="20" s="1"/>
  <c r="I1246" i="20" s="1"/>
  <c r="I1247" i="20" s="1"/>
  <c r="I1248" i="20" s="1"/>
  <c r="I1249" i="20" s="1"/>
  <c r="I1250" i="20" s="1"/>
  <c r="I1251" i="20" s="1"/>
  <c r="I1252" i="20" s="1"/>
  <c r="I1253" i="20" s="1"/>
  <c r="I1254" i="20" s="1"/>
  <c r="I1255" i="20" s="1"/>
  <c r="I1256" i="20" s="1"/>
  <c r="I1257" i="20" s="1"/>
  <c r="I1258" i="20" s="1"/>
  <c r="I1259" i="20" s="1"/>
  <c r="I1260" i="20" s="1"/>
  <c r="I1261" i="20" s="1"/>
  <c r="I1262" i="20" s="1"/>
  <c r="I1263" i="20" s="1"/>
  <c r="I1264" i="20" s="1"/>
  <c r="I1265" i="20" s="1"/>
  <c r="I1266" i="20" s="1"/>
  <c r="I1267" i="20" s="1"/>
  <c r="I1268" i="20" s="1"/>
  <c r="I1269" i="20" s="1"/>
  <c r="I1270" i="20" s="1"/>
  <c r="I1271" i="20" s="1"/>
  <c r="I1272" i="20" s="1"/>
  <c r="I1273" i="20" s="1"/>
  <c r="I1274" i="20" s="1"/>
  <c r="I1275" i="20" s="1"/>
  <c r="I1276" i="20" s="1"/>
  <c r="I1277" i="20" s="1"/>
  <c r="I1278" i="20" s="1"/>
  <c r="I1279" i="20" s="1"/>
  <c r="I1280" i="20" s="1"/>
  <c r="I1281" i="20" s="1"/>
  <c r="I1282" i="20" s="1"/>
  <c r="I1283" i="20" s="1"/>
  <c r="I1284" i="20" s="1"/>
  <c r="I1285" i="20" s="1"/>
  <c r="I1286" i="20" s="1"/>
  <c r="I1287" i="20" s="1"/>
  <c r="I1288" i="20" s="1"/>
  <c r="I1289" i="20" s="1"/>
  <c r="I1290" i="20" s="1"/>
  <c r="I1291" i="20" s="1"/>
  <c r="I1292" i="20" s="1"/>
  <c r="I1293" i="20" s="1"/>
  <c r="I1294" i="20" s="1"/>
  <c r="I1295" i="20" s="1"/>
  <c r="I1296" i="20" s="1"/>
  <c r="I1297" i="20" s="1"/>
  <c r="I1298" i="20" s="1"/>
  <c r="I1299" i="20" s="1"/>
  <c r="I1300" i="20" s="1"/>
  <c r="I1301" i="20" s="1"/>
  <c r="I1302" i="20" s="1"/>
  <c r="I1303" i="20" s="1"/>
  <c r="I1304" i="20" s="1"/>
  <c r="I1305" i="20" s="1"/>
  <c r="I1306" i="20" s="1"/>
  <c r="I1307" i="20" s="1"/>
  <c r="I1308" i="20" s="1"/>
  <c r="I1309" i="20" s="1"/>
  <c r="I1310" i="20" s="1"/>
  <c r="I1311" i="20" s="1"/>
  <c r="I1312" i="20" s="1"/>
  <c r="I1313" i="20" s="1"/>
  <c r="I1314" i="20" s="1"/>
  <c r="I1315" i="20" s="1"/>
  <c r="I1316" i="20" s="1"/>
  <c r="I1317" i="20" s="1"/>
  <c r="I1318" i="20" s="1"/>
  <c r="I1319" i="20" s="1"/>
  <c r="I1320" i="20" s="1"/>
  <c r="I1321" i="20" s="1"/>
  <c r="I1322" i="20" s="1"/>
  <c r="I1323" i="20" s="1"/>
  <c r="I1324" i="20" s="1"/>
  <c r="I1325" i="20" s="1"/>
  <c r="I1326" i="20" s="1"/>
  <c r="I1327" i="20" s="1"/>
  <c r="I1328" i="20" s="1"/>
  <c r="I1329" i="20" s="1"/>
  <c r="F906" i="20"/>
  <c r="F907" i="20" s="1"/>
  <c r="F908" i="20" s="1"/>
  <c r="F909" i="20" s="1"/>
  <c r="F910" i="20" s="1"/>
  <c r="F911" i="20" s="1"/>
  <c r="F912" i="20" s="1"/>
  <c r="F913" i="20" s="1"/>
  <c r="F914" i="20" s="1"/>
  <c r="F915" i="20" s="1"/>
  <c r="F916" i="20" s="1"/>
  <c r="F917" i="20" s="1"/>
  <c r="F918" i="20" s="1"/>
  <c r="F919" i="20" s="1"/>
  <c r="F920" i="20" s="1"/>
  <c r="F921" i="20" s="1"/>
  <c r="F922" i="20" s="1"/>
  <c r="F923" i="20" s="1"/>
  <c r="F924" i="20" s="1"/>
  <c r="F925" i="20" s="1"/>
  <c r="F926" i="20" s="1"/>
  <c r="F927" i="20" s="1"/>
  <c r="F928" i="20" s="1"/>
  <c r="F929" i="20" s="1"/>
  <c r="F930" i="20" s="1"/>
  <c r="F931" i="20" s="1"/>
  <c r="F932" i="20" s="1"/>
  <c r="F933" i="20" s="1"/>
  <c r="F934" i="20" s="1"/>
  <c r="F935" i="20" s="1"/>
  <c r="F936" i="20" s="1"/>
  <c r="F937" i="20" s="1"/>
  <c r="F938" i="20" s="1"/>
  <c r="F939" i="20" s="1"/>
  <c r="F940" i="20" s="1"/>
  <c r="F941" i="20" s="1"/>
  <c r="F942" i="20" s="1"/>
  <c r="F943" i="20" s="1"/>
  <c r="F944" i="20" s="1"/>
  <c r="F945" i="20" s="1"/>
  <c r="F946" i="20" s="1"/>
  <c r="F947" i="20" s="1"/>
  <c r="F948" i="20" s="1"/>
  <c r="F949" i="20" s="1"/>
  <c r="F950" i="20" s="1"/>
  <c r="F951" i="20" s="1"/>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F996" i="20" s="1"/>
  <c r="F997" i="20" s="1"/>
  <c r="F998" i="20" s="1"/>
  <c r="F999" i="20" s="1"/>
  <c r="F1000" i="20" s="1"/>
  <c r="F1001" i="20" s="1"/>
  <c r="F1002" i="20" s="1"/>
  <c r="F1003" i="20" s="1"/>
  <c r="F1004" i="20" s="1"/>
  <c r="F1005" i="20" s="1"/>
  <c r="F1006" i="20" s="1"/>
  <c r="F1007" i="20" s="1"/>
  <c r="F1008" i="20" s="1"/>
  <c r="F1009" i="20" s="1"/>
  <c r="F1010" i="20" s="1"/>
  <c r="F1011" i="20" s="1"/>
  <c r="F1012" i="20" s="1"/>
  <c r="F1013" i="20" s="1"/>
  <c r="F1014" i="20" s="1"/>
  <c r="F1015" i="20" s="1"/>
  <c r="F1016" i="20" s="1"/>
  <c r="F1017" i="20" s="1"/>
  <c r="F1018" i="20" s="1"/>
  <c r="F1019" i="20" s="1"/>
  <c r="F1020" i="20" s="1"/>
  <c r="F1021" i="20" s="1"/>
  <c r="F1022" i="20" s="1"/>
  <c r="F1023" i="20" s="1"/>
  <c r="F1024" i="20" s="1"/>
  <c r="F1025" i="20" s="1"/>
  <c r="F1026" i="20" s="1"/>
  <c r="F1027" i="20" s="1"/>
  <c r="F1028" i="20" s="1"/>
  <c r="F1029" i="20" s="1"/>
  <c r="F1030" i="20" s="1"/>
  <c r="F1031" i="20" s="1"/>
  <c r="F1032" i="20" s="1"/>
  <c r="F1033" i="20" s="1"/>
  <c r="F1034" i="20" s="1"/>
  <c r="F1035" i="20" s="1"/>
  <c r="F1036" i="20" s="1"/>
  <c r="F1037" i="20" s="1"/>
  <c r="F1038" i="20" s="1"/>
  <c r="F1039" i="20" s="1"/>
  <c r="F1040" i="20" s="1"/>
  <c r="F1041" i="20" s="1"/>
  <c r="F1042" i="20" s="1"/>
  <c r="F1043" i="20" s="1"/>
  <c r="F1044" i="20" s="1"/>
  <c r="F1045" i="20" s="1"/>
  <c r="F1046" i="20" s="1"/>
  <c r="F1047" i="20" s="1"/>
  <c r="F1048" i="20" s="1"/>
  <c r="F1049" i="20" s="1"/>
  <c r="F1050" i="20" s="1"/>
  <c r="F1051" i="20" s="1"/>
  <c r="F1052" i="20" s="1"/>
  <c r="F1053" i="20" s="1"/>
  <c r="F1054" i="20" s="1"/>
  <c r="F1055" i="20" s="1"/>
  <c r="F1056" i="20" s="1"/>
  <c r="F1057" i="20" s="1"/>
  <c r="F1058" i="20" s="1"/>
  <c r="F1059" i="20" s="1"/>
  <c r="F1060" i="20" s="1"/>
  <c r="F1061" i="20" s="1"/>
  <c r="F1062" i="20" s="1"/>
  <c r="F1063" i="20" s="1"/>
  <c r="F1064" i="20" s="1"/>
  <c r="F1065" i="20" s="1"/>
  <c r="F1066" i="20" s="1"/>
  <c r="F1067" i="20" s="1"/>
  <c r="F1068" i="20" s="1"/>
  <c r="F1069" i="20" s="1"/>
  <c r="F1070" i="20" s="1"/>
  <c r="F1071" i="20" s="1"/>
  <c r="F1072" i="20" s="1"/>
  <c r="F1073" i="20" s="1"/>
  <c r="F1074" i="20" s="1"/>
  <c r="F1075" i="20" s="1"/>
  <c r="F1076" i="20" s="1"/>
  <c r="F1077" i="20" s="1"/>
  <c r="F1078" i="20" s="1"/>
  <c r="F1079" i="20" s="1"/>
  <c r="F1080" i="20" s="1"/>
  <c r="F1081" i="20" s="1"/>
  <c r="F1082" i="20" s="1"/>
  <c r="F1083" i="20" s="1"/>
  <c r="F1084" i="20" s="1"/>
  <c r="F1085" i="20" s="1"/>
  <c r="F1086" i="20" s="1"/>
  <c r="F1087" i="20" s="1"/>
  <c r="F1088" i="20" s="1"/>
  <c r="F1089" i="20" s="1"/>
  <c r="F1090" i="20" s="1"/>
  <c r="F1091" i="20" s="1"/>
  <c r="F1092" i="20" s="1"/>
  <c r="F1093" i="20" s="1"/>
  <c r="F1094" i="20" s="1"/>
  <c r="F1095" i="20" s="1"/>
  <c r="F1096" i="20" s="1"/>
  <c r="F1097" i="20" s="1"/>
  <c r="F1098" i="20" s="1"/>
  <c r="F1099" i="20" s="1"/>
  <c r="F1100" i="20" s="1"/>
  <c r="F1101" i="20" s="1"/>
  <c r="F1102" i="20" s="1"/>
  <c r="F1103" i="20" s="1"/>
  <c r="F1104" i="20" s="1"/>
  <c r="F1105" i="20" s="1"/>
  <c r="F1106" i="20" s="1"/>
  <c r="F1107" i="20" s="1"/>
  <c r="F1108" i="20" s="1"/>
  <c r="F1109" i="20" s="1"/>
  <c r="F1110" i="20" s="1"/>
  <c r="F1111" i="20" s="1"/>
  <c r="F1112" i="20" s="1"/>
  <c r="F1113" i="20" s="1"/>
  <c r="F1114" i="20" s="1"/>
  <c r="F1115" i="20" s="1"/>
  <c r="F1116" i="20" s="1"/>
  <c r="F1117" i="20" s="1"/>
  <c r="F1118" i="20" s="1"/>
  <c r="F1119" i="20" s="1"/>
  <c r="F1120" i="20" s="1"/>
  <c r="F1121" i="20" s="1"/>
  <c r="F1122" i="20" s="1"/>
  <c r="F1123" i="20" s="1"/>
  <c r="F1124" i="20" s="1"/>
  <c r="F1125" i="20" s="1"/>
  <c r="F1126" i="20" s="1"/>
  <c r="F1127" i="20" s="1"/>
  <c r="F1128" i="20" s="1"/>
  <c r="F1129" i="20" s="1"/>
  <c r="F1130" i="20" s="1"/>
  <c r="F1131" i="20" s="1"/>
  <c r="F1132" i="20" s="1"/>
  <c r="F1133" i="20" s="1"/>
  <c r="F1134" i="20" s="1"/>
  <c r="O1033" i="20"/>
  <c r="O1034" i="20" s="1"/>
  <c r="O1035" i="20" s="1"/>
  <c r="O1036" i="20" s="1"/>
  <c r="O1037" i="20" s="1"/>
  <c r="O1038" i="20" s="1"/>
  <c r="O1039" i="20" s="1"/>
  <c r="O1040" i="20" s="1"/>
  <c r="O1041" i="20" s="1"/>
  <c r="O1042" i="20" s="1"/>
  <c r="O1043" i="20" s="1"/>
  <c r="O1044" i="20" s="1"/>
  <c r="O1045" i="20" s="1"/>
  <c r="O1046" i="20" s="1"/>
  <c r="O1047" i="20" s="1"/>
  <c r="O1048" i="20" s="1"/>
  <c r="O1049" i="20" s="1"/>
  <c r="O1050" i="20" s="1"/>
  <c r="O1051" i="20" s="1"/>
  <c r="O1052" i="20" s="1"/>
  <c r="O1053" i="20" s="1"/>
  <c r="O1054" i="20" s="1"/>
  <c r="O1055" i="20" s="1"/>
  <c r="O1056" i="20" s="1"/>
  <c r="O1057" i="20" s="1"/>
  <c r="O1058" i="20" s="1"/>
  <c r="O1059" i="20" s="1"/>
  <c r="O1060" i="20" s="1"/>
  <c r="O1061" i="20" s="1"/>
  <c r="O1062" i="20" s="1"/>
  <c r="O1063" i="20" s="1"/>
  <c r="O1064" i="20" s="1"/>
  <c r="O1065" i="20" s="1"/>
  <c r="O1066" i="20" s="1"/>
  <c r="O1067" i="20" s="1"/>
  <c r="O1068" i="20" s="1"/>
  <c r="O1069" i="20" s="1"/>
  <c r="O1070" i="20" s="1"/>
  <c r="O1071" i="20" s="1"/>
  <c r="O1072" i="20" s="1"/>
  <c r="O1073" i="20" s="1"/>
  <c r="O1074" i="20" s="1"/>
  <c r="O1075" i="20" s="1"/>
  <c r="O1076" i="20" s="1"/>
  <c r="O1077" i="20" s="1"/>
  <c r="O1078" i="20" s="1"/>
  <c r="O1079" i="20" s="1"/>
  <c r="O1080" i="20" s="1"/>
  <c r="O1081" i="20" s="1"/>
  <c r="O1082" i="20" s="1"/>
  <c r="O1083" i="20" s="1"/>
  <c r="O1084" i="20" s="1"/>
  <c r="O1085" i="20" s="1"/>
  <c r="O1086" i="20" s="1"/>
  <c r="O1087" i="20" s="1"/>
  <c r="O1088" i="20" s="1"/>
  <c r="O1089" i="20" s="1"/>
  <c r="O1090" i="20" s="1"/>
  <c r="O1091" i="20" s="1"/>
  <c r="O1092" i="20" s="1"/>
  <c r="O1093" i="20" s="1"/>
  <c r="O1094" i="20" s="1"/>
  <c r="O1095" i="20" s="1"/>
  <c r="O1096" i="20" s="1"/>
  <c r="O1097" i="20" s="1"/>
  <c r="O1098" i="20" s="1"/>
  <c r="O1099" i="20" s="1"/>
  <c r="O1100" i="20" s="1"/>
  <c r="O1101" i="20" s="1"/>
  <c r="O1102" i="20" s="1"/>
  <c r="O1103" i="20" s="1"/>
  <c r="O1104" i="20" s="1"/>
  <c r="O1105" i="20" s="1"/>
  <c r="O1106" i="20" s="1"/>
  <c r="O1107" i="20" s="1"/>
  <c r="O1108" i="20" s="1"/>
  <c r="O1109" i="20" s="1"/>
  <c r="O1110" i="20" s="1"/>
  <c r="O1111" i="20" s="1"/>
  <c r="O1112" i="20" s="1"/>
  <c r="O1113" i="20" s="1"/>
  <c r="O1114" i="20" s="1"/>
  <c r="O1115" i="20" s="1"/>
  <c r="O1116" i="20" s="1"/>
  <c r="O1117" i="20" s="1"/>
  <c r="O1118" i="20" s="1"/>
  <c r="O1119" i="20" s="1"/>
  <c r="O1120" i="20" s="1"/>
  <c r="O1121" i="20" s="1"/>
  <c r="O1122" i="20" s="1"/>
  <c r="O1123" i="20" s="1"/>
  <c r="O1124" i="20" s="1"/>
  <c r="O1125" i="20" s="1"/>
  <c r="O1126" i="20" s="1"/>
  <c r="O1127" i="20" s="1"/>
  <c r="O1128" i="20" s="1"/>
  <c r="O1129" i="20" s="1"/>
  <c r="O1130" i="20" s="1"/>
  <c r="O1131" i="20" s="1"/>
  <c r="O1132" i="20" s="1"/>
  <c r="O1133" i="20" s="1"/>
  <c r="O1134" i="20" s="1"/>
  <c r="O1135" i="20" s="1"/>
  <c r="O1136" i="20" s="1"/>
  <c r="O1137" i="20" s="1"/>
  <c r="O1138" i="20" s="1"/>
  <c r="O1139" i="20" s="1"/>
  <c r="O1140" i="20" s="1"/>
  <c r="O1141" i="20" s="1"/>
  <c r="O1142" i="20" s="1"/>
  <c r="O1143" i="20" s="1"/>
  <c r="O1144" i="20" s="1"/>
  <c r="O1145" i="20" s="1"/>
  <c r="O1146" i="20" s="1"/>
  <c r="O1147" i="20" s="1"/>
  <c r="O1148" i="20" s="1"/>
  <c r="O1149" i="20" s="1"/>
  <c r="O1150" i="20" s="1"/>
  <c r="O1151" i="20" s="1"/>
  <c r="O1152" i="20" s="1"/>
  <c r="O1153" i="20" s="1"/>
  <c r="O1154" i="20" s="1"/>
  <c r="O1155" i="20" s="1"/>
  <c r="O1156" i="20" s="1"/>
  <c r="O1157" i="20" s="1"/>
  <c r="O1158" i="20" s="1"/>
  <c r="O1159" i="20" s="1"/>
  <c r="O1160" i="20" s="1"/>
  <c r="O1161" i="20" s="1"/>
  <c r="O1162" i="20" s="1"/>
  <c r="O1163" i="20" s="1"/>
  <c r="O1164" i="20" s="1"/>
  <c r="O1165" i="20" s="1"/>
  <c r="O1166" i="20" s="1"/>
  <c r="O1167" i="20" s="1"/>
  <c r="O1168" i="20" s="1"/>
  <c r="O1169" i="20" s="1"/>
  <c r="O1170" i="20" s="1"/>
  <c r="O1171" i="20" s="1"/>
  <c r="O1172" i="20" s="1"/>
  <c r="O1173" i="20" s="1"/>
  <c r="O1174" i="20" s="1"/>
  <c r="O1175" i="20" s="1"/>
  <c r="O1176" i="20" s="1"/>
  <c r="O1177" i="20" s="1"/>
  <c r="O1178" i="20" s="1"/>
  <c r="O1179" i="20" s="1"/>
  <c r="O1180" i="20" s="1"/>
  <c r="O1181" i="20" s="1"/>
  <c r="O1182" i="20" s="1"/>
  <c r="O1183" i="20" s="1"/>
  <c r="O1184" i="20" s="1"/>
  <c r="O1185" i="20" s="1"/>
  <c r="O1186" i="20" s="1"/>
  <c r="O1187" i="20" s="1"/>
  <c r="O1188" i="20" s="1"/>
  <c r="O1189" i="20" s="1"/>
  <c r="O1190" i="20" s="1"/>
  <c r="O1191" i="20" s="1"/>
  <c r="O1192" i="20" s="1"/>
  <c r="O1193" i="20" s="1"/>
  <c r="O1194" i="20" s="1"/>
  <c r="O1195" i="20" s="1"/>
  <c r="O1196" i="20" s="1"/>
  <c r="O1197" i="20" s="1"/>
  <c r="O1198" i="20" s="1"/>
  <c r="O1199" i="20" s="1"/>
  <c r="O1200" i="20" s="1"/>
  <c r="O1201" i="20" s="1"/>
  <c r="O1202" i="20" s="1"/>
  <c r="O1203" i="20" s="1"/>
  <c r="O1204" i="20" s="1"/>
  <c r="O1205" i="20" s="1"/>
  <c r="O1206" i="20" s="1"/>
  <c r="O1207" i="20" s="1"/>
  <c r="O1208" i="20" s="1"/>
  <c r="O1209" i="20" s="1"/>
  <c r="O1210" i="20" s="1"/>
  <c r="O1211" i="20" s="1"/>
  <c r="O1212" i="20" s="1"/>
  <c r="O1213" i="20" s="1"/>
  <c r="O1214" i="20" s="1"/>
  <c r="O1215" i="20" s="1"/>
  <c r="O1216" i="20" s="1"/>
  <c r="O1217" i="20" s="1"/>
  <c r="O1218" i="20" s="1"/>
  <c r="O1219" i="20" s="1"/>
  <c r="O1220" i="20" s="1"/>
  <c r="O1221" i="20" s="1"/>
  <c r="O1222" i="20" s="1"/>
  <c r="O1223" i="20" s="1"/>
  <c r="O1224" i="20" s="1"/>
  <c r="O1225" i="20" s="1"/>
  <c r="O1226" i="20" s="1"/>
  <c r="O1227" i="20" s="1"/>
  <c r="O1228" i="20" s="1"/>
  <c r="O1229" i="20" s="1"/>
  <c r="O1230" i="20" s="1"/>
  <c r="O1231" i="20" s="1"/>
  <c r="O1232" i="20" s="1"/>
  <c r="O1233" i="20" s="1"/>
  <c r="O1234" i="20" s="1"/>
  <c r="O1235" i="20" s="1"/>
  <c r="O1236" i="20" s="1"/>
  <c r="O1237" i="20" s="1"/>
  <c r="O1238" i="20" s="1"/>
  <c r="O1239" i="20" s="1"/>
  <c r="O1240" i="20" s="1"/>
  <c r="O1241" i="20" s="1"/>
  <c r="O1242" i="20" s="1"/>
  <c r="O1243" i="20" s="1"/>
  <c r="O1244" i="20" s="1"/>
  <c r="O1245" i="20" s="1"/>
  <c r="O1246" i="20" s="1"/>
  <c r="O1247" i="20" s="1"/>
  <c r="O1248" i="20" s="1"/>
  <c r="O1249" i="20" s="1"/>
  <c r="O1250" i="20" s="1"/>
  <c r="O1251" i="20" s="1"/>
  <c r="O1252" i="20" s="1"/>
  <c r="O1253" i="20" s="1"/>
  <c r="O1254" i="20" s="1"/>
  <c r="O1255" i="20" s="1"/>
  <c r="O1256" i="20" s="1"/>
  <c r="O1257" i="20" s="1"/>
  <c r="O1258" i="20" s="1"/>
  <c r="O1259" i="20" s="1"/>
  <c r="O1260" i="20" s="1"/>
  <c r="O1261" i="20" s="1"/>
  <c r="O1262" i="20" s="1"/>
  <c r="O1263" i="20" s="1"/>
  <c r="O1264" i="20" s="1"/>
  <c r="O1265" i="20" s="1"/>
  <c r="O1266" i="20" s="1"/>
  <c r="O1267" i="20" s="1"/>
  <c r="O1268" i="20" s="1"/>
  <c r="O1269" i="20" s="1"/>
  <c r="O1270" i="20" s="1"/>
  <c r="O1271" i="20" s="1"/>
  <c r="O1272" i="20" s="1"/>
  <c r="O1273" i="20" s="1"/>
  <c r="O1274" i="20" s="1"/>
  <c r="O1275" i="20" s="1"/>
  <c r="O1276" i="20" s="1"/>
  <c r="O1277" i="20" s="1"/>
  <c r="O1278" i="20" s="1"/>
  <c r="F1135" i="20"/>
  <c r="F1136" i="20" s="1"/>
  <c r="F1137" i="20" s="1"/>
  <c r="F1138" i="20" s="1"/>
  <c r="F1139" i="20" s="1"/>
  <c r="F1140" i="20" s="1"/>
  <c r="F1141" i="20" s="1"/>
  <c r="F1142" i="20" s="1"/>
  <c r="F1143" i="20" s="1"/>
  <c r="F1144" i="20" s="1"/>
  <c r="F1145" i="20" s="1"/>
  <c r="F1146" i="20" s="1"/>
  <c r="F1147" i="20" s="1"/>
  <c r="F1148" i="20" s="1"/>
  <c r="F1149" i="20" s="1"/>
  <c r="F1150" i="20" s="1"/>
  <c r="F1151" i="20" s="1"/>
  <c r="F1152" i="20" s="1"/>
  <c r="F1153" i="20" s="1"/>
  <c r="F1154" i="20" s="1"/>
  <c r="F1155" i="20" s="1"/>
  <c r="F1156" i="20" s="1"/>
  <c r="F1157" i="20" s="1"/>
  <c r="F1158" i="20" s="1"/>
  <c r="F1159" i="20" s="1"/>
  <c r="F1160" i="20" s="1"/>
  <c r="F1161" i="20" s="1"/>
  <c r="F1162" i="20" s="1"/>
  <c r="F1163" i="20" s="1"/>
  <c r="F1164" i="20" s="1"/>
  <c r="F1165" i="20" s="1"/>
  <c r="F1166" i="20" s="1"/>
  <c r="F1167" i="20" s="1"/>
  <c r="F1168" i="20" s="1"/>
  <c r="F1169" i="20" s="1"/>
  <c r="F1170" i="20" s="1"/>
  <c r="F1171" i="20" s="1"/>
  <c r="F1172" i="20" s="1"/>
  <c r="F1173" i="20" s="1"/>
  <c r="F1174" i="20" s="1"/>
  <c r="F1175" i="20" s="1"/>
  <c r="F1176" i="20" s="1"/>
  <c r="F1177" i="20" s="1"/>
  <c r="F1178" i="20" s="1"/>
  <c r="F1179" i="20" s="1"/>
  <c r="F1180" i="20" s="1"/>
  <c r="F1181" i="20" s="1"/>
  <c r="F1182" i="20" s="1"/>
  <c r="F1183" i="20" s="1"/>
  <c r="F1184" i="20" s="1"/>
  <c r="F1185" i="20" s="1"/>
  <c r="F1186" i="20" s="1"/>
  <c r="F1187" i="20" s="1"/>
  <c r="F1188" i="20" s="1"/>
  <c r="F1189" i="20" s="1"/>
  <c r="F1190" i="20" s="1"/>
  <c r="F1191" i="20" s="1"/>
  <c r="F1192" i="20" s="1"/>
  <c r="F1193" i="20" s="1"/>
  <c r="F1194" i="20" s="1"/>
  <c r="F1195" i="20" s="1"/>
  <c r="F1196" i="20" s="1"/>
  <c r="F1197" i="20" s="1"/>
  <c r="F1198" i="20" s="1"/>
  <c r="F1199" i="20" s="1"/>
  <c r="F1200" i="20" s="1"/>
  <c r="F1201" i="20" s="1"/>
  <c r="F1202" i="20" s="1"/>
  <c r="F1203" i="20" s="1"/>
  <c r="F1204" i="20" s="1"/>
  <c r="F1205" i="20" s="1"/>
  <c r="F1206" i="20" s="1"/>
  <c r="F1207" i="20" s="1"/>
  <c r="F1208" i="20" s="1"/>
  <c r="F1209" i="20" s="1"/>
  <c r="F1210" i="20" s="1"/>
  <c r="F1211" i="20" s="1"/>
  <c r="F1212" i="20" s="1"/>
  <c r="F1213" i="20" s="1"/>
  <c r="F1214" i="20" s="1"/>
  <c r="F1215" i="20" s="1"/>
  <c r="F1216" i="20" s="1"/>
  <c r="F1217" i="20" s="1"/>
  <c r="F1218" i="20" s="1"/>
  <c r="F1219" i="20" s="1"/>
  <c r="F1220" i="20" s="1"/>
  <c r="F1221" i="20" s="1"/>
  <c r="F1222" i="20" s="1"/>
  <c r="F1223" i="20" s="1"/>
  <c r="F1224" i="20" s="1"/>
  <c r="F1225" i="20" s="1"/>
  <c r="F1226" i="20" s="1"/>
  <c r="F1227" i="20" s="1"/>
  <c r="F1228" i="20" s="1"/>
  <c r="F1229" i="20" s="1"/>
  <c r="F1230" i="20" s="1"/>
  <c r="F1231" i="20" s="1"/>
  <c r="F1232" i="20" s="1"/>
  <c r="F1233" i="20" s="1"/>
  <c r="F1234" i="20" s="1"/>
  <c r="F1235" i="20" s="1"/>
  <c r="F1236" i="20" s="1"/>
  <c r="F1237" i="20" s="1"/>
  <c r="F1238" i="20" s="1"/>
  <c r="F1239" i="20" s="1"/>
  <c r="F1240" i="20" s="1"/>
  <c r="F1241" i="20" s="1"/>
  <c r="F1242" i="20" s="1"/>
  <c r="F1243" i="20" s="1"/>
  <c r="F1244" i="20" s="1"/>
  <c r="F1245" i="20" s="1"/>
  <c r="F1246" i="20" s="1"/>
  <c r="F1247" i="20" s="1"/>
  <c r="F1248" i="20" s="1"/>
  <c r="F1249" i="20" s="1"/>
  <c r="F1250" i="20" s="1"/>
  <c r="F1251" i="20" s="1"/>
  <c r="F1252" i="20" s="1"/>
  <c r="F1253" i="20" s="1"/>
  <c r="F1254" i="20" s="1"/>
  <c r="F1255" i="20" s="1"/>
  <c r="F1256" i="20" s="1"/>
  <c r="F1257" i="20" s="1"/>
  <c r="F1258" i="20" s="1"/>
  <c r="F1259" i="20" s="1"/>
  <c r="F1260" i="20" s="1"/>
  <c r="F1261" i="20" s="1"/>
  <c r="F1262" i="20" s="1"/>
  <c r="F1263" i="20" s="1"/>
  <c r="F1264" i="20" s="1"/>
  <c r="F1265" i="20" s="1"/>
  <c r="F1266" i="20" s="1"/>
  <c r="F1267" i="20" s="1"/>
  <c r="F1268" i="20" s="1"/>
  <c r="F1269" i="20" s="1"/>
  <c r="F1270" i="20" s="1"/>
  <c r="F1271" i="20" s="1"/>
  <c r="F1272" i="20" s="1"/>
  <c r="F1273" i="20" s="1"/>
  <c r="F1274" i="20" s="1"/>
  <c r="F1275" i="20" s="1"/>
  <c r="F1276" i="20" s="1"/>
  <c r="F1277" i="20" s="1"/>
  <c r="F1278" i="20" s="1"/>
  <c r="F1279" i="20" s="1"/>
  <c r="F1280" i="20" s="1"/>
  <c r="F1281" i="20" s="1"/>
  <c r="F1282" i="20" s="1"/>
  <c r="F1283" i="20" s="1"/>
  <c r="F1284" i="20" s="1"/>
  <c r="F1285" i="20" s="1"/>
  <c r="F1286" i="20" s="1"/>
  <c r="F1287" i="20" s="1"/>
  <c r="F1288" i="20" s="1"/>
  <c r="F1289" i="20" s="1"/>
  <c r="F1290" i="20" s="1"/>
  <c r="F1291" i="20" s="1"/>
  <c r="F1292" i="20" s="1"/>
  <c r="F1293" i="20" s="1"/>
  <c r="F1294" i="20" s="1"/>
  <c r="F1295" i="20" s="1"/>
  <c r="F1296" i="20" s="1"/>
  <c r="F1297" i="20" s="1"/>
  <c r="F1298" i="20" s="1"/>
  <c r="F1299" i="20" s="1"/>
  <c r="F1300" i="20" s="1"/>
  <c r="F1301" i="20" s="1"/>
  <c r="F1302" i="20" s="1"/>
  <c r="F1303" i="20" s="1"/>
  <c r="F1304" i="20" s="1"/>
  <c r="F1305" i="20" s="1"/>
  <c r="F1306" i="20" s="1"/>
  <c r="F1307" i="20" s="1"/>
  <c r="F1308" i="20" s="1"/>
  <c r="F1309" i="20" s="1"/>
  <c r="F1310" i="20" s="1"/>
  <c r="F1311" i="20" s="1"/>
  <c r="F1312" i="20" s="1"/>
  <c r="F1313" i="20" s="1"/>
  <c r="F1314" i="20" s="1"/>
  <c r="F1315" i="20" s="1"/>
  <c r="F1316" i="20" s="1"/>
  <c r="F1317" i="20" s="1"/>
  <c r="F1318" i="20" s="1"/>
  <c r="F1319" i="20" s="1"/>
  <c r="F1320" i="20" s="1"/>
  <c r="F1321" i="20" s="1"/>
  <c r="F1322" i="20" s="1"/>
  <c r="F1323" i="20" s="1"/>
  <c r="F1324" i="20" s="1"/>
  <c r="F1325" i="20" s="1"/>
  <c r="F1326" i="20" s="1"/>
  <c r="F1327" i="20" s="1"/>
  <c r="F1328" i="20" s="1"/>
  <c r="F1329" i="20" s="1"/>
  <c r="F1330" i="20" s="1"/>
  <c r="F1331" i="20" s="1"/>
  <c r="F1332" i="20" s="1"/>
  <c r="F1333" i="20" s="1"/>
  <c r="F1334" i="20" s="1"/>
  <c r="F1335" i="20" s="1"/>
  <c r="F1336" i="20" s="1"/>
  <c r="F1337" i="20" s="1"/>
  <c r="F1338" i="20" s="1"/>
  <c r="F1339" i="20" s="1"/>
  <c r="F1340" i="20" s="1"/>
  <c r="F1341" i="20" s="1"/>
  <c r="F1342" i="20" s="1"/>
  <c r="F1343" i="20" s="1"/>
  <c r="F1344" i="20" s="1"/>
  <c r="F1345" i="20" s="1"/>
  <c r="F1346" i="20" s="1"/>
  <c r="F1347" i="20" s="1"/>
  <c r="F1348" i="20" s="1"/>
  <c r="F1349" i="20" s="1"/>
  <c r="F1350" i="20" s="1"/>
  <c r="F1351" i="20" s="1"/>
  <c r="F1352" i="20" s="1"/>
  <c r="F1353" i="20" s="1"/>
  <c r="F1354" i="20" s="1"/>
  <c r="F1355" i="20" s="1"/>
  <c r="F1356" i="20" s="1"/>
  <c r="F1357" i="20" s="1"/>
  <c r="F1358" i="20" s="1"/>
  <c r="F1359" i="20" s="1"/>
  <c r="F1360" i="20" s="1"/>
  <c r="F1361" i="20" s="1"/>
  <c r="F1362" i="20" s="1"/>
  <c r="F1363" i="20" s="1"/>
  <c r="F1364" i="20" s="1"/>
  <c r="F1365" i="20" s="1"/>
  <c r="F1366" i="20" s="1"/>
  <c r="F1367" i="20" s="1"/>
  <c r="F1368" i="20" s="1"/>
  <c r="C1189" i="20"/>
  <c r="C1190" i="20" s="1"/>
  <c r="C1191" i="20" s="1"/>
  <c r="C1192" i="20" s="1"/>
  <c r="C1193" i="20" s="1"/>
  <c r="C1194" i="20" s="1"/>
  <c r="C1195" i="20" s="1"/>
  <c r="C1196" i="20" s="1"/>
  <c r="C1197" i="20" s="1"/>
  <c r="C1198" i="20" s="1"/>
  <c r="C1199" i="20" s="1"/>
  <c r="C1200" i="20" s="1"/>
  <c r="C1201" i="20" s="1"/>
  <c r="C1202" i="20" s="1"/>
  <c r="C1203" i="20" s="1"/>
  <c r="C1204" i="20" s="1"/>
  <c r="C1205" i="20" s="1"/>
  <c r="C1206" i="20" s="1"/>
  <c r="C1207" i="20" s="1"/>
  <c r="C1208" i="20" s="1"/>
  <c r="C1209" i="20" s="1"/>
  <c r="C1210" i="20" s="1"/>
  <c r="C1211" i="20" s="1"/>
  <c r="C1212" i="20" s="1"/>
  <c r="C1213" i="20" s="1"/>
  <c r="C1214" i="20" s="1"/>
  <c r="C1215" i="20" s="1"/>
  <c r="C1216" i="20" s="1"/>
  <c r="C1217" i="20" s="1"/>
  <c r="C1218" i="20" s="1"/>
  <c r="C1219" i="20" s="1"/>
  <c r="C1220" i="20" s="1"/>
  <c r="C1221" i="20" s="1"/>
  <c r="C1222" i="20" s="1"/>
  <c r="C1223" i="20" s="1"/>
  <c r="C1224" i="20" s="1"/>
  <c r="C1225" i="20" s="1"/>
  <c r="C1226" i="20" s="1"/>
  <c r="C1227" i="20" s="1"/>
  <c r="C1228" i="20" s="1"/>
  <c r="C1229" i="20" s="1"/>
  <c r="C1230" i="20" s="1"/>
  <c r="C1231" i="20" s="1"/>
  <c r="C1232" i="20" s="1"/>
  <c r="C1233" i="20" s="1"/>
  <c r="C1234" i="20" s="1"/>
  <c r="C1235" i="20" s="1"/>
  <c r="C1236" i="20" s="1"/>
  <c r="C1237" i="20" s="1"/>
  <c r="C1238" i="20" s="1"/>
  <c r="C1239" i="20" s="1"/>
  <c r="C1240" i="20" s="1"/>
  <c r="C1241" i="20" s="1"/>
  <c r="C1242" i="20" s="1"/>
  <c r="C1243" i="20" s="1"/>
  <c r="C1244" i="20" s="1"/>
  <c r="C1245" i="20" s="1"/>
  <c r="C1246" i="20" s="1"/>
  <c r="C1247" i="20" s="1"/>
  <c r="C1248" i="20" s="1"/>
  <c r="C1249" i="20" s="1"/>
  <c r="L1228" i="20"/>
  <c r="L1229" i="20" s="1"/>
  <c r="L1230" i="20" s="1"/>
  <c r="L1231" i="20" s="1"/>
  <c r="L1232" i="20" s="1"/>
  <c r="L1233" i="20" s="1"/>
  <c r="L1234" i="20" s="1"/>
  <c r="L1235" i="20" s="1"/>
  <c r="L1236" i="20" s="1"/>
  <c r="L1237" i="20" s="1"/>
  <c r="L1238" i="20" s="1"/>
  <c r="L1239" i="20" s="1"/>
  <c r="L1240" i="20" s="1"/>
  <c r="L1241" i="20" s="1"/>
  <c r="L1242" i="20" s="1"/>
  <c r="L1243" i="20" s="1"/>
  <c r="L1244" i="20" s="1"/>
  <c r="L1245" i="20" s="1"/>
  <c r="L1246" i="20" s="1"/>
  <c r="L1247" i="20" s="1"/>
  <c r="L1248" i="20" s="1"/>
  <c r="L1249" i="20" s="1"/>
  <c r="L1250" i="20" s="1"/>
  <c r="L1251" i="20" s="1"/>
  <c r="L1252" i="20" s="1"/>
  <c r="L1253" i="20" s="1"/>
  <c r="L1254" i="20" s="1"/>
  <c r="L1255" i="20" s="1"/>
  <c r="L1256" i="20" s="1"/>
  <c r="L1257" i="20" s="1"/>
  <c r="L1258" i="20" s="1"/>
  <c r="L1259" i="20" s="1"/>
  <c r="L1260" i="20" s="1"/>
  <c r="L1261" i="20" s="1"/>
  <c r="L1262" i="20" s="1"/>
  <c r="L1263" i="20" s="1"/>
  <c r="L1264" i="20" s="1"/>
  <c r="L1265" i="20" s="1"/>
  <c r="L1266" i="20" s="1"/>
  <c r="L1267" i="20" s="1"/>
  <c r="L1268" i="20" s="1"/>
  <c r="L1269" i="20" s="1"/>
  <c r="L1270" i="20" s="1"/>
  <c r="L1271" i="20" s="1"/>
  <c r="L1272" i="20" s="1"/>
  <c r="L1273" i="20" s="1"/>
  <c r="L1274" i="20" s="1"/>
  <c r="L1275" i="20" s="1"/>
  <c r="L1276" i="20" s="1"/>
  <c r="L1277" i="20" s="1"/>
  <c r="L1278" i="20" s="1"/>
  <c r="L1279" i="20" s="1"/>
  <c r="L1280" i="20" s="1"/>
  <c r="L1281" i="20" s="1"/>
  <c r="L1282" i="20" s="1"/>
  <c r="L1283" i="20" s="1"/>
  <c r="L1284" i="20" s="1"/>
  <c r="L1285" i="20" s="1"/>
  <c r="L1286" i="20" s="1"/>
  <c r="L1287" i="20" s="1"/>
  <c r="L1288" i="20" s="1"/>
  <c r="L1289" i="20" s="1"/>
  <c r="L1290" i="20" s="1"/>
  <c r="L1291" i="20" s="1"/>
  <c r="L1292" i="20" s="1"/>
  <c r="L1293" i="20" s="1"/>
  <c r="L1294" i="20" s="1"/>
  <c r="L1295" i="20" s="1"/>
  <c r="L1296" i="20" s="1"/>
  <c r="L1297" i="20" s="1"/>
  <c r="L1298" i="20" s="1"/>
  <c r="L1299" i="20" s="1"/>
  <c r="L1300" i="20" s="1"/>
  <c r="L1301" i="20" s="1"/>
  <c r="L1302" i="20" s="1"/>
  <c r="L1303" i="20" s="1"/>
  <c r="L1304" i="20" s="1"/>
  <c r="L1305" i="20" s="1"/>
  <c r="L1306" i="20" s="1"/>
  <c r="L1307" i="20" s="1"/>
  <c r="L1308" i="20" s="1"/>
  <c r="L1309" i="20" s="1"/>
  <c r="L1310" i="20" s="1"/>
  <c r="L1311" i="20" s="1"/>
  <c r="L1312" i="20" s="1"/>
  <c r="L1313" i="20" s="1"/>
  <c r="L1314" i="20" s="1"/>
  <c r="L1315" i="20" s="1"/>
  <c r="L1316" i="20" s="1"/>
  <c r="L1317" i="20" s="1"/>
  <c r="L1318" i="20" s="1"/>
  <c r="L1319" i="20" s="1"/>
  <c r="L1320" i="20" s="1"/>
  <c r="L1321" i="20" s="1"/>
  <c r="L1322" i="20" s="1"/>
  <c r="L1323" i="20" s="1"/>
  <c r="L1324" i="20" s="1"/>
  <c r="L1325" i="20" s="1"/>
  <c r="L1326" i="20" s="1"/>
  <c r="L1327" i="20" s="1"/>
  <c r="L1328" i="20" s="1"/>
  <c r="L1329" i="20" s="1"/>
  <c r="L1330" i="20" s="1"/>
  <c r="L1331" i="20" s="1"/>
  <c r="L1332" i="20" s="1"/>
  <c r="L1333" i="20" s="1"/>
  <c r="L1334" i="20" s="1"/>
  <c r="L1335" i="20" s="1"/>
  <c r="L1336" i="20" s="1"/>
  <c r="L1337" i="20" s="1"/>
  <c r="L1338" i="20" s="1"/>
  <c r="L1339" i="20" s="1"/>
  <c r="L1340" i="20" s="1"/>
  <c r="L1341" i="20" s="1"/>
  <c r="L1342" i="20" s="1"/>
  <c r="L1343" i="20" s="1"/>
  <c r="L1344" i="20" s="1"/>
  <c r="L1345" i="20" s="1"/>
  <c r="L1346" i="20" s="1"/>
  <c r="L1347" i="20" s="1"/>
  <c r="L1348" i="20" s="1"/>
  <c r="L1349" i="20" s="1"/>
  <c r="L1350" i="20" s="1"/>
  <c r="L1351" i="20" s="1"/>
  <c r="L1352" i="20" s="1"/>
  <c r="L1353" i="20" s="1"/>
  <c r="L1354" i="20" s="1"/>
  <c r="L1355" i="20" s="1"/>
  <c r="L1356" i="20" s="1"/>
  <c r="L1357" i="20" s="1"/>
  <c r="L1358" i="20" s="1"/>
  <c r="L1359" i="20" s="1"/>
  <c r="L1360" i="20" s="1"/>
  <c r="L1361" i="20" s="1"/>
  <c r="L1362" i="20" s="1"/>
  <c r="L1363" i="20" s="1"/>
  <c r="L1364" i="20" s="1"/>
  <c r="L1365" i="20" s="1"/>
  <c r="L1366" i="20" s="1"/>
  <c r="L1367" i="20" s="1"/>
  <c r="L1368" i="20" s="1"/>
  <c r="L1369" i="20" s="1"/>
  <c r="L1370" i="20" s="1"/>
  <c r="L1371" i="20" s="1"/>
  <c r="L1372" i="20" s="1"/>
  <c r="L1373" i="20" s="1"/>
  <c r="L1374" i="20" s="1"/>
  <c r="L1375" i="20" s="1"/>
  <c r="L1376" i="20" s="1"/>
  <c r="L1377" i="20" s="1"/>
  <c r="L1378" i="20" s="1"/>
  <c r="L1379" i="20" s="1"/>
  <c r="L1380" i="20" s="1"/>
  <c r="L1381" i="20" s="1"/>
  <c r="L1382" i="20" s="1"/>
  <c r="L1383" i="20" s="1"/>
  <c r="L1384" i="20" s="1"/>
  <c r="L1385" i="20" s="1"/>
  <c r="L1386" i="20" s="1"/>
  <c r="L1387" i="20" s="1"/>
  <c r="L1388" i="20" s="1"/>
  <c r="L1389" i="20" s="1"/>
  <c r="L1390" i="20" s="1"/>
  <c r="L1391" i="20" s="1"/>
  <c r="L1392" i="20" s="1"/>
  <c r="L1393" i="20" s="1"/>
  <c r="L1394" i="20" s="1"/>
  <c r="L1395" i="20" s="1"/>
  <c r="L1396" i="20" s="1"/>
  <c r="L1397" i="20" s="1"/>
  <c r="L1398" i="20" s="1"/>
  <c r="L1399" i="20" s="1"/>
  <c r="L1400" i="20" s="1"/>
  <c r="L1401" i="20" s="1"/>
  <c r="L1402" i="20" s="1"/>
  <c r="L1403" i="20" s="1"/>
  <c r="L1404" i="20" s="1"/>
  <c r="L1405" i="20" s="1"/>
  <c r="L1406" i="20" s="1"/>
  <c r="L1407" i="20" s="1"/>
  <c r="L1408" i="20" s="1"/>
  <c r="L1409" i="20" s="1"/>
  <c r="L1410" i="20" s="1"/>
  <c r="L1411" i="20" s="1"/>
  <c r="L1412" i="20" s="1"/>
  <c r="L1413" i="20" s="1"/>
  <c r="L1414" i="20" s="1"/>
  <c r="L1415" i="20" s="1"/>
  <c r="L1416" i="20" s="1"/>
  <c r="L1417" i="20" s="1"/>
  <c r="L1418" i="20" s="1"/>
  <c r="L1419" i="20" s="1"/>
  <c r="L1420" i="20" s="1"/>
  <c r="L1421" i="20" s="1"/>
  <c r="L1422" i="20" s="1"/>
  <c r="L1423" i="20" s="1"/>
  <c r="L1424" i="20" s="1"/>
  <c r="L1425" i="20" s="1"/>
  <c r="L1426" i="20" s="1"/>
  <c r="L1427" i="20" s="1"/>
  <c r="L1428" i="20" s="1"/>
  <c r="L1429" i="20" s="1"/>
  <c r="L1430" i="20" s="1"/>
  <c r="L1431" i="20" s="1"/>
  <c r="L1432" i="20" s="1"/>
  <c r="L1433" i="20" s="1"/>
  <c r="L1434" i="20" s="1"/>
  <c r="L1435" i="20" s="1"/>
  <c r="L1436" i="20" s="1"/>
  <c r="L1437" i="20" s="1"/>
  <c r="L1438" i="20" s="1"/>
  <c r="L1439" i="20" s="1"/>
  <c r="L1440" i="20" s="1"/>
  <c r="L1441" i="20" s="1"/>
  <c r="L1442" i="20" s="1"/>
  <c r="L1443" i="20" s="1"/>
  <c r="L1444" i="20" s="1"/>
  <c r="L1445" i="20" s="1"/>
  <c r="L1446" i="20" s="1"/>
  <c r="L1447" i="20" s="1"/>
  <c r="L1448" i="20" s="1"/>
  <c r="L1449" i="20" s="1"/>
  <c r="L1450" i="20" s="1"/>
  <c r="L1451" i="20" s="1"/>
  <c r="C1250" i="20"/>
  <c r="C1251" i="20" s="1"/>
  <c r="C1252" i="20" s="1"/>
  <c r="C1253" i="20" s="1"/>
  <c r="C1254" i="20" s="1"/>
  <c r="C1255" i="20" s="1"/>
  <c r="C1256" i="20" s="1"/>
  <c r="C1257" i="20" s="1"/>
  <c r="C1258" i="20" s="1"/>
  <c r="C1259" i="20" s="1"/>
  <c r="C1260" i="20" s="1"/>
  <c r="C1261" i="20" s="1"/>
  <c r="C1262" i="20" s="1"/>
  <c r="C1263" i="20" s="1"/>
  <c r="C1264" i="20" s="1"/>
  <c r="C1265" i="20" s="1"/>
  <c r="C1266" i="20" s="1"/>
  <c r="C1267" i="20" s="1"/>
  <c r="C1268" i="20" s="1"/>
  <c r="C1269" i="20" s="1"/>
  <c r="C1270" i="20" s="1"/>
  <c r="C1271" i="20" s="1"/>
  <c r="C1272" i="20" s="1"/>
  <c r="C1273" i="20" s="1"/>
  <c r="C1274" i="20" s="1"/>
  <c r="C1275" i="20" s="1"/>
  <c r="C1276" i="20" s="1"/>
  <c r="C1277" i="20" s="1"/>
  <c r="C1278" i="20" s="1"/>
  <c r="C1279" i="20" s="1"/>
  <c r="C1280" i="20" s="1"/>
  <c r="C1281" i="20" s="1"/>
  <c r="C1282" i="20" s="1"/>
  <c r="C1283" i="20" s="1"/>
  <c r="C1284" i="20" s="1"/>
  <c r="C1285" i="20" s="1"/>
  <c r="C1286" i="20" s="1"/>
  <c r="C1287" i="20" s="1"/>
  <c r="C1288" i="20" s="1"/>
  <c r="C1289" i="20" s="1"/>
  <c r="C1290" i="20" s="1"/>
  <c r="C1291" i="20" s="1"/>
  <c r="C1292" i="20" s="1"/>
  <c r="C1293" i="20" s="1"/>
  <c r="C1294" i="20" s="1"/>
  <c r="C1295" i="20" s="1"/>
  <c r="C1296" i="20" s="1"/>
  <c r="C1297" i="20" s="1"/>
  <c r="C1298" i="20" s="1"/>
  <c r="C1299" i="20" s="1"/>
  <c r="C1300" i="20" s="1"/>
  <c r="C1301" i="20" s="1"/>
  <c r="C1302" i="20" s="1"/>
  <c r="C1303" i="20" s="1"/>
  <c r="C1304" i="20" s="1"/>
  <c r="C1305" i="20" s="1"/>
  <c r="C1306" i="20" s="1"/>
  <c r="C1307" i="20" s="1"/>
  <c r="C1308" i="20" s="1"/>
  <c r="C1309" i="20" s="1"/>
  <c r="C1310" i="20" s="1"/>
  <c r="C1311" i="20" s="1"/>
  <c r="C1312" i="20" s="1"/>
  <c r="C1313" i="20" s="1"/>
  <c r="C1314" i="20" s="1"/>
  <c r="C1315" i="20" s="1"/>
  <c r="C1316" i="20" s="1"/>
  <c r="C1317" i="20" s="1"/>
  <c r="C1318" i="20" s="1"/>
  <c r="C1319" i="20" s="1"/>
  <c r="C1320" i="20" s="1"/>
  <c r="C1321" i="20" s="1"/>
  <c r="C1322" i="20" s="1"/>
  <c r="C1323" i="20" s="1"/>
  <c r="C1324" i="20" s="1"/>
  <c r="C1325" i="20" s="1"/>
  <c r="C1326" i="20" s="1"/>
  <c r="C1327" i="20" s="1"/>
  <c r="C1328" i="20" s="1"/>
  <c r="C1329" i="20" s="1"/>
  <c r="C1330" i="20" s="1"/>
  <c r="C1331" i="20" s="1"/>
  <c r="C1332" i="20" s="1"/>
  <c r="C1333" i="20" s="1"/>
  <c r="C1334" i="20" s="1"/>
  <c r="C1335" i="20" s="1"/>
  <c r="C1336" i="20" s="1"/>
  <c r="C1337" i="20" s="1"/>
  <c r="C1338" i="20" s="1"/>
  <c r="C1339" i="20" s="1"/>
  <c r="C1340" i="20" s="1"/>
  <c r="C1341" i="20" s="1"/>
  <c r="C1342" i="20" s="1"/>
  <c r="C1343" i="20" s="1"/>
  <c r="C1344" i="20" s="1"/>
  <c r="C1345" i="20" s="1"/>
  <c r="C1346" i="20" s="1"/>
  <c r="C1347" i="20" s="1"/>
  <c r="C1348" i="20" s="1"/>
  <c r="C1349" i="20" s="1"/>
  <c r="C1350" i="20" s="1"/>
  <c r="C1351" i="20" s="1"/>
  <c r="O1279" i="20"/>
  <c r="O1280" i="20" s="1"/>
  <c r="O1281" i="20" s="1"/>
  <c r="O1282" i="20" s="1"/>
  <c r="O1283" i="20" s="1"/>
  <c r="O1284" i="20" s="1"/>
  <c r="O1285" i="20" s="1"/>
  <c r="O1286" i="20" s="1"/>
  <c r="O1287" i="20" s="1"/>
  <c r="O1288" i="20" s="1"/>
  <c r="O1289" i="20" s="1"/>
  <c r="O1290" i="20" s="1"/>
  <c r="O1291" i="20" s="1"/>
  <c r="O1292" i="20" s="1"/>
  <c r="O1293" i="20" s="1"/>
  <c r="O1294" i="20" s="1"/>
  <c r="O1295" i="20" s="1"/>
  <c r="O1296" i="20" s="1"/>
  <c r="O1297" i="20" s="1"/>
  <c r="O1298" i="20" s="1"/>
  <c r="O1299" i="20" s="1"/>
  <c r="O1300" i="20" s="1"/>
  <c r="O1301" i="20" s="1"/>
  <c r="O1302" i="20" s="1"/>
  <c r="O1303" i="20" s="1"/>
  <c r="O1304" i="20" s="1"/>
  <c r="O1305" i="20"/>
  <c r="O1306" i="20" s="1"/>
  <c r="O1307" i="20" s="1"/>
  <c r="O1308" i="20" s="1"/>
  <c r="O1309" i="20" s="1"/>
  <c r="O1310" i="20" s="1"/>
  <c r="O1311" i="20" s="1"/>
  <c r="O1312" i="20" s="1"/>
  <c r="O1313" i="20" s="1"/>
  <c r="O1314" i="20" s="1"/>
  <c r="O1315" i="20" s="1"/>
  <c r="O1316" i="20" s="1"/>
  <c r="O1317" i="20" s="1"/>
  <c r="O1318" i="20" s="1"/>
  <c r="O1319" i="20" s="1"/>
  <c r="O1320" i="20" s="1"/>
  <c r="O1321" i="20" s="1"/>
  <c r="O1322" i="20" s="1"/>
  <c r="O1323" i="20" s="1"/>
  <c r="O1324" i="20" s="1"/>
  <c r="O1325" i="20" s="1"/>
  <c r="O1326" i="20" s="1"/>
  <c r="O1327" i="20" s="1"/>
  <c r="O1328" i="20" s="1"/>
  <c r="O1329" i="20" s="1"/>
  <c r="O1330" i="20" s="1"/>
  <c r="O1331" i="20" s="1"/>
  <c r="O1332" i="20" s="1"/>
  <c r="O1333" i="20" s="1"/>
  <c r="O1334" i="20" s="1"/>
  <c r="O1335" i="20" s="1"/>
  <c r="O1336" i="20" s="1"/>
  <c r="O1337" i="20" s="1"/>
  <c r="O1338" i="20" s="1"/>
  <c r="O1339" i="20" s="1"/>
  <c r="O1340" i="20" s="1"/>
  <c r="O1341" i="20" s="1"/>
  <c r="O1342" i="20" s="1"/>
  <c r="O1343" i="20" s="1"/>
  <c r="O1344" i="20" s="1"/>
  <c r="O1345" i="20" s="1"/>
  <c r="O1346" i="20" s="1"/>
  <c r="O1347" i="20" s="1"/>
  <c r="O1348" i="20" s="1"/>
  <c r="O1349" i="20" s="1"/>
  <c r="O1350" i="20" s="1"/>
  <c r="O1351" i="20" s="1"/>
  <c r="O1352" i="20" s="1"/>
  <c r="O1353" i="20" s="1"/>
  <c r="O1354" i="20" s="1"/>
  <c r="O1355" i="20" s="1"/>
  <c r="O1356" i="20" s="1"/>
  <c r="O1357" i="20" s="1"/>
  <c r="O1358" i="20" s="1"/>
  <c r="O1359" i="20" s="1"/>
  <c r="O1360" i="20" s="1"/>
  <c r="O1361" i="20" s="1"/>
  <c r="O1362" i="20" s="1"/>
  <c r="O1363" i="20" s="1"/>
  <c r="O1364" i="20" s="1"/>
  <c r="O1365" i="20" s="1"/>
  <c r="O1366" i="20" s="1"/>
  <c r="O1367" i="20" s="1"/>
  <c r="O1368" i="20" s="1"/>
  <c r="O1369" i="20" s="1"/>
  <c r="O1370" i="20" s="1"/>
  <c r="O1371" i="20" s="1"/>
  <c r="O1372" i="20" s="1"/>
  <c r="O1373" i="20" s="1"/>
  <c r="O1374" i="20" s="1"/>
  <c r="O1375" i="20" s="1"/>
  <c r="O1376" i="20" s="1"/>
  <c r="O1377" i="20" s="1"/>
  <c r="O1378" i="20" s="1"/>
  <c r="O1379" i="20" s="1"/>
  <c r="O1380" i="20" s="1"/>
  <c r="O1381" i="20" s="1"/>
  <c r="O1382" i="20" s="1"/>
  <c r="O1383" i="20" s="1"/>
  <c r="O1384" i="20" s="1"/>
  <c r="O1385" i="20" s="1"/>
  <c r="O1386" i="20" s="1"/>
  <c r="O1387" i="20" s="1"/>
  <c r="O1388" i="20" s="1"/>
  <c r="O1389" i="20" s="1"/>
  <c r="O1390" i="20" s="1"/>
  <c r="O1391" i="20" s="1"/>
  <c r="O1392" i="20" s="1"/>
  <c r="O1393" i="20" s="1"/>
  <c r="O1394" i="20" s="1"/>
  <c r="O1395" i="20" s="1"/>
  <c r="O1396" i="20" s="1"/>
  <c r="O1397" i="20" s="1"/>
  <c r="O1398" i="20" s="1"/>
  <c r="O1399" i="20" s="1"/>
  <c r="O1400" i="20" s="1"/>
  <c r="O1401" i="20" s="1"/>
  <c r="O1402" i="20" s="1"/>
  <c r="O1403" i="20" s="1"/>
  <c r="O1404" i="20" s="1"/>
  <c r="O1405" i="20" s="1"/>
  <c r="O1406" i="20" s="1"/>
  <c r="O1407" i="20" s="1"/>
  <c r="O1408" i="20" s="1"/>
  <c r="O1409" i="20" s="1"/>
  <c r="O1410" i="20" s="1"/>
  <c r="O1411" i="20" s="1"/>
  <c r="O1412" i="20" s="1"/>
  <c r="O1413" i="20" s="1"/>
  <c r="O1414" i="20" s="1"/>
  <c r="O1415" i="20" s="1"/>
  <c r="O1416" i="20" s="1"/>
  <c r="O1417" i="20" s="1"/>
  <c r="O1418" i="20" s="1"/>
  <c r="O1419" i="20" s="1"/>
  <c r="O1420" i="20" s="1"/>
  <c r="O1421" i="20" s="1"/>
  <c r="O1422" i="20" s="1"/>
  <c r="O1423" i="20" s="1"/>
  <c r="O1424" i="20" s="1"/>
  <c r="O1425" i="20" s="1"/>
  <c r="I1330" i="20"/>
  <c r="I1331" i="20" s="1"/>
  <c r="I1332" i="20" s="1"/>
  <c r="I1333" i="20" s="1"/>
  <c r="I1334" i="20" s="1"/>
  <c r="I1335" i="20" s="1"/>
  <c r="I1336" i="20" s="1"/>
  <c r="I1337" i="20" s="1"/>
  <c r="I1338" i="20" s="1"/>
  <c r="I1339" i="20" s="1"/>
  <c r="I1340" i="20" s="1"/>
  <c r="I1341" i="20" s="1"/>
  <c r="I1342" i="20" s="1"/>
  <c r="I1343" i="20" s="1"/>
  <c r="I1344" i="20" s="1"/>
  <c r="I1345" i="20" s="1"/>
  <c r="I1346" i="20" s="1"/>
  <c r="I1347" i="20" s="1"/>
  <c r="I1348" i="20" s="1"/>
  <c r="I1349" i="20" s="1"/>
  <c r="I1350" i="20" s="1"/>
  <c r="I1351" i="20" s="1"/>
  <c r="I1352" i="20" s="1"/>
  <c r="I1353" i="20" s="1"/>
  <c r="I1354" i="20" s="1"/>
  <c r="I1355" i="20" s="1"/>
  <c r="I1356" i="20" s="1"/>
  <c r="I1357" i="20" s="1"/>
  <c r="I1358" i="20" s="1"/>
  <c r="I1359" i="20" s="1"/>
  <c r="I1360" i="20" s="1"/>
  <c r="I1361" i="20" s="1"/>
  <c r="I1362" i="20" s="1"/>
  <c r="I1363" i="20" s="1"/>
  <c r="I1364" i="20" s="1"/>
  <c r="I1365" i="20" s="1"/>
  <c r="I1366" i="20" s="1"/>
  <c r="I1367" i="20" s="1"/>
  <c r="I1368" i="20" s="1"/>
  <c r="I1369" i="20" s="1"/>
  <c r="I1370" i="20" s="1"/>
  <c r="I1371" i="20" s="1"/>
  <c r="I1372" i="20" s="1"/>
  <c r="I1373" i="20" s="1"/>
  <c r="I1374" i="20" s="1"/>
  <c r="I1375" i="20" s="1"/>
  <c r="I1376" i="20" s="1"/>
  <c r="I1377" i="20" s="1"/>
  <c r="I1378" i="20" s="1"/>
  <c r="I1379" i="20" s="1"/>
  <c r="I1380" i="20" s="1"/>
  <c r="I1381" i="20" s="1"/>
  <c r="I1382" i="20" s="1"/>
  <c r="I1383" i="20" s="1"/>
  <c r="I1384" i="20" s="1"/>
  <c r="I1385" i="20" s="1"/>
  <c r="I1386" i="20" s="1"/>
  <c r="I1387" i="20" s="1"/>
  <c r="I1388" i="20" s="1"/>
  <c r="I1389" i="20" s="1"/>
  <c r="I1390" i="20" s="1"/>
  <c r="I1391" i="20" s="1"/>
  <c r="I1392" i="20" s="1"/>
  <c r="I1393" i="20" s="1"/>
  <c r="I1394" i="20" s="1"/>
  <c r="I1395" i="20" s="1"/>
  <c r="I1396" i="20" s="1"/>
  <c r="I1397" i="20" s="1"/>
  <c r="I1398" i="20" s="1"/>
  <c r="I1399" i="20" s="1"/>
  <c r="I1400" i="20" s="1"/>
  <c r="I1401" i="20" s="1"/>
  <c r="I1402" i="20" s="1"/>
  <c r="I1403" i="20" s="1"/>
  <c r="I1404" i="20" s="1"/>
  <c r="I1405" i="20" s="1"/>
  <c r="I1406" i="20" s="1"/>
  <c r="I1407" i="20" s="1"/>
  <c r="I1408" i="20" s="1"/>
  <c r="I1409" i="20" s="1"/>
  <c r="I1410" i="20" s="1"/>
  <c r="I1411" i="20" s="1"/>
  <c r="I1412" i="20" s="1"/>
  <c r="I1413" i="20" s="1"/>
  <c r="I1414" i="20" s="1"/>
  <c r="I1415" i="20" s="1"/>
  <c r="I1416" i="20" s="1"/>
  <c r="I1417" i="20" s="1"/>
  <c r="I1418" i="20" s="1"/>
  <c r="I1419" i="20" s="1"/>
  <c r="I1420" i="20" s="1"/>
  <c r="I1421" i="20" s="1"/>
  <c r="I1422" i="20" s="1"/>
  <c r="I1423" i="20" s="1"/>
  <c r="I1424" i="20" s="1"/>
  <c r="I1425" i="20" s="1"/>
  <c r="I1426" i="20" s="1"/>
  <c r="I1427" i="20" s="1"/>
  <c r="I1428" i="20" s="1"/>
  <c r="I1429" i="20" s="1"/>
  <c r="I1430" i="20" s="1"/>
  <c r="I1431" i="20" s="1"/>
  <c r="I1432" i="20" s="1"/>
  <c r="I1433" i="20" s="1"/>
  <c r="I1434" i="20" s="1"/>
  <c r="I1435" i="20" s="1"/>
  <c r="I1436" i="20" s="1"/>
  <c r="I1437" i="20" s="1"/>
  <c r="I1438" i="20" s="1"/>
  <c r="I1439" i="20" s="1"/>
  <c r="I1440" i="20" s="1"/>
  <c r="I1441" i="20" s="1"/>
  <c r="I1442" i="20" s="1"/>
  <c r="I1443" i="20" s="1"/>
  <c r="I1444" i="20" s="1"/>
  <c r="I1445" i="20" s="1"/>
  <c r="I1446" i="20" s="1"/>
  <c r="I1447" i="20" s="1"/>
  <c r="I1448" i="20" s="1"/>
  <c r="I1449" i="20" s="1"/>
  <c r="I1450" i="20" s="1"/>
  <c r="I1451" i="20" s="1"/>
  <c r="I1452" i="20" s="1"/>
  <c r="I1453" i="20" s="1"/>
  <c r="I1454" i="20" s="1"/>
  <c r="I1455" i="20" s="1"/>
  <c r="I1456" i="20" s="1"/>
  <c r="I1457" i="20" s="1"/>
  <c r="I1458" i="20" s="1"/>
  <c r="I1459" i="20" s="1"/>
  <c r="I1460" i="20" s="1"/>
  <c r="I1461" i="20" s="1"/>
  <c r="I1462" i="20" s="1"/>
  <c r="I1463" i="20" s="1"/>
  <c r="I1464" i="20" s="1"/>
  <c r="I1465" i="20" s="1"/>
  <c r="I1466" i="20" s="1"/>
  <c r="I1467" i="20" s="1"/>
  <c r="I1468" i="20" s="1"/>
  <c r="I1469" i="20" s="1"/>
  <c r="I1470" i="20" s="1"/>
  <c r="I1471" i="20" s="1"/>
  <c r="I1472" i="20" s="1"/>
  <c r="I1473" i="20" s="1"/>
  <c r="I1474" i="20" s="1"/>
  <c r="I1475" i="20" s="1"/>
  <c r="I1476" i="20" s="1"/>
  <c r="I1477" i="20" s="1"/>
  <c r="I1478" i="20" s="1"/>
  <c r="I1479" i="20" s="1"/>
  <c r="I1480" i="20" s="1"/>
  <c r="I1481" i="20" s="1"/>
  <c r="I1482" i="20" s="1"/>
  <c r="I1483" i="20" s="1"/>
  <c r="I1484" i="20" s="1"/>
  <c r="I1485" i="20" s="1"/>
  <c r="I1486" i="20" s="1"/>
  <c r="I1487" i="20" s="1"/>
  <c r="I1488" i="20" s="1"/>
  <c r="I1489" i="20" s="1"/>
  <c r="I1490" i="20" s="1"/>
  <c r="I1491" i="20" s="1"/>
  <c r="I1492" i="20" s="1"/>
  <c r="I1493" i="20" s="1"/>
  <c r="I1494" i="20" s="1"/>
  <c r="I1495" i="20" s="1"/>
  <c r="I1496" i="20" s="1"/>
  <c r="I1497" i="20" s="1"/>
  <c r="I1498" i="20" s="1"/>
  <c r="I1499" i="20" s="1"/>
  <c r="I1500" i="20" s="1"/>
  <c r="I1501" i="20" s="1"/>
  <c r="I1502" i="20" s="1"/>
  <c r="I1503" i="20" s="1"/>
  <c r="I1504" i="20" s="1"/>
  <c r="I1505" i="20" s="1"/>
  <c r="I1506" i="20" s="1"/>
  <c r="I1507" i="20" s="1"/>
  <c r="I1508" i="20" s="1"/>
  <c r="I1509" i="20" s="1"/>
  <c r="I1510" i="20" s="1"/>
  <c r="I1511" i="20" s="1"/>
  <c r="I1512" i="20" s="1"/>
  <c r="I1513" i="20" s="1"/>
  <c r="I1514" i="20" s="1"/>
  <c r="C1352" i="20"/>
  <c r="C1353" i="20" s="1"/>
  <c r="C1354" i="20" s="1"/>
  <c r="C1355" i="20" s="1"/>
  <c r="C1356" i="20" s="1"/>
  <c r="C1357" i="20" s="1"/>
  <c r="C1358" i="20" s="1"/>
  <c r="C1359" i="20" s="1"/>
  <c r="C1360" i="20" s="1"/>
  <c r="C1361" i="20" s="1"/>
  <c r="C1362" i="20" s="1"/>
  <c r="C1363" i="20" s="1"/>
  <c r="C1364" i="20" s="1"/>
  <c r="C1365" i="20" s="1"/>
  <c r="C1366" i="20" s="1"/>
  <c r="C1367" i="20" s="1"/>
  <c r="C1368" i="20" s="1"/>
  <c r="C1369" i="20" s="1"/>
  <c r="C1370" i="20" s="1"/>
  <c r="C1371" i="20" s="1"/>
  <c r="C1372" i="20" s="1"/>
  <c r="C1373" i="20" s="1"/>
  <c r="C1374" i="20" s="1"/>
  <c r="C1375" i="20" s="1"/>
  <c r="C1376" i="20" s="1"/>
  <c r="C1377" i="20" s="1"/>
  <c r="C1378" i="20" s="1"/>
  <c r="C1379" i="20" s="1"/>
  <c r="C1380" i="20" s="1"/>
  <c r="C1381" i="20" s="1"/>
  <c r="C1382" i="20" s="1"/>
  <c r="C1383" i="20" s="1"/>
  <c r="C1384" i="20" s="1"/>
  <c r="C1385" i="20" s="1"/>
  <c r="C1386" i="20" s="1"/>
  <c r="C1387" i="20" s="1"/>
  <c r="C1388" i="20" s="1"/>
  <c r="C1389" i="20" s="1"/>
  <c r="C1390" i="20" s="1"/>
  <c r="C1391" i="20" s="1"/>
  <c r="C1392" i="20" s="1"/>
  <c r="C1393" i="20" s="1"/>
  <c r="C1394" i="20" s="1"/>
  <c r="C1395" i="20" s="1"/>
  <c r="C1396" i="20" s="1"/>
  <c r="C1397" i="20" s="1"/>
  <c r="C1398" i="20" s="1"/>
  <c r="C1399" i="20" s="1"/>
  <c r="C1400" i="20" s="1"/>
  <c r="C1401" i="20" s="1"/>
  <c r="C1402" i="20" s="1"/>
  <c r="C1403" i="20" s="1"/>
  <c r="C1404" i="20" s="1"/>
  <c r="C1405" i="20" s="1"/>
  <c r="C1406" i="20" s="1"/>
  <c r="C1407" i="20" s="1"/>
  <c r="C1408" i="20" s="1"/>
  <c r="C1409" i="20" s="1"/>
  <c r="C1410" i="20" s="1"/>
  <c r="C1411" i="20" s="1"/>
  <c r="C1412" i="20" s="1"/>
  <c r="C1413" i="20" s="1"/>
  <c r="C1414" i="20" s="1"/>
  <c r="C1415" i="20" s="1"/>
  <c r="C1416" i="20" s="1"/>
  <c r="C1417" i="20" s="1"/>
  <c r="C1418" i="20" s="1"/>
  <c r="C1419" i="20" s="1"/>
  <c r="C1420" i="20" s="1"/>
  <c r="C1421" i="20" s="1"/>
  <c r="C1422" i="20" s="1"/>
  <c r="C1423" i="20" s="1"/>
  <c r="C1424" i="20" s="1"/>
  <c r="C1425" i="20" s="1"/>
  <c r="C1426" i="20" s="1"/>
  <c r="C1427" i="20" s="1"/>
  <c r="C1428" i="20" s="1"/>
  <c r="C1429" i="20" s="1"/>
  <c r="C1430" i="20" s="1"/>
  <c r="C1431" i="20" s="1"/>
  <c r="C1432" i="20" s="1"/>
  <c r="C1433" i="20" s="1"/>
  <c r="C1434" i="20" s="1"/>
  <c r="C1435" i="20" s="1"/>
  <c r="C1436" i="20" s="1"/>
  <c r="C1437" i="20" s="1"/>
  <c r="C1438" i="20" s="1"/>
  <c r="C1439" i="20" s="1"/>
  <c r="C1440" i="20" s="1"/>
  <c r="C1441" i="20" s="1"/>
  <c r="C1442" i="20" s="1"/>
  <c r="C1443" i="20" s="1"/>
  <c r="C1444" i="20" s="1"/>
  <c r="C1445" i="20" s="1"/>
  <c r="C1446" i="20" s="1"/>
  <c r="C1447" i="20" s="1"/>
  <c r="C1448" i="20" s="1"/>
  <c r="C1449" i="20" s="1"/>
  <c r="C1450" i="20" s="1"/>
  <c r="C1451" i="20" s="1"/>
  <c r="C1452" i="20" s="1"/>
  <c r="C1453" i="20" s="1"/>
  <c r="C1454" i="20" s="1"/>
  <c r="C1455" i="20" s="1"/>
  <c r="C1456" i="20" s="1"/>
  <c r="C1457" i="20" s="1"/>
  <c r="C1458" i="20" s="1"/>
  <c r="C1459" i="20" s="1"/>
  <c r="C1460" i="20" s="1"/>
  <c r="C1461" i="20" s="1"/>
  <c r="C1462" i="20" s="1"/>
  <c r="C1463" i="20" s="1"/>
  <c r="C1464" i="20" s="1"/>
  <c r="C1465" i="20" s="1"/>
  <c r="C1466" i="20" s="1"/>
  <c r="C1467" i="20" s="1"/>
  <c r="C1468" i="20" s="1"/>
  <c r="C1469" i="20" s="1"/>
  <c r="C1470" i="20" s="1"/>
  <c r="C1471" i="20" s="1"/>
  <c r="C1472" i="20" s="1"/>
  <c r="C1473" i="20" s="1"/>
  <c r="F1369" i="20"/>
  <c r="F1370" i="20" s="1"/>
  <c r="F1371" i="20" s="1"/>
  <c r="F1372" i="20" s="1"/>
  <c r="F1373" i="20" s="1"/>
  <c r="F1374" i="20" s="1"/>
  <c r="F1375" i="20" s="1"/>
  <c r="F1376" i="20" s="1"/>
  <c r="F1377" i="20" s="1"/>
  <c r="F1378" i="20" s="1"/>
  <c r="F1379" i="20" s="1"/>
  <c r="F1380" i="20" s="1"/>
  <c r="F1381" i="20" s="1"/>
  <c r="F1382" i="20" s="1"/>
  <c r="F1383" i="20" s="1"/>
  <c r="F1384" i="20" s="1"/>
  <c r="F1385" i="20" s="1"/>
  <c r="F1386" i="20" s="1"/>
  <c r="F1387" i="20" s="1"/>
  <c r="F1388" i="20" s="1"/>
  <c r="F1389" i="20" s="1"/>
  <c r="F1390" i="20" s="1"/>
  <c r="F1391" i="20" s="1"/>
  <c r="F1392" i="20" s="1"/>
  <c r="F1393" i="20" s="1"/>
  <c r="F1394" i="20"/>
  <c r="F1395" i="20" s="1"/>
  <c r="F1396" i="20" s="1"/>
  <c r="F1397" i="20" s="1"/>
  <c r="F1398" i="20" s="1"/>
  <c r="F1399" i="20" s="1"/>
  <c r="F1400" i="20" s="1"/>
  <c r="F1401" i="20" s="1"/>
  <c r="F1402" i="20" s="1"/>
  <c r="F1403" i="20" s="1"/>
  <c r="F1404" i="20" s="1"/>
  <c r="F1405" i="20" s="1"/>
  <c r="F1406" i="20" s="1"/>
  <c r="F1407" i="20" s="1"/>
  <c r="F1408" i="20" s="1"/>
  <c r="F1409" i="20" s="1"/>
  <c r="F1410" i="20" s="1"/>
  <c r="F1411" i="20" s="1"/>
  <c r="F1412" i="20" s="1"/>
  <c r="F1413" i="20" s="1"/>
  <c r="F1414" i="20" s="1"/>
  <c r="F1415" i="20" s="1"/>
  <c r="F1416" i="20" s="1"/>
  <c r="F1417" i="20" s="1"/>
  <c r="F1418" i="20" s="1"/>
  <c r="F1419" i="20" s="1"/>
  <c r="F1420" i="20" s="1"/>
  <c r="F1421" i="20" s="1"/>
  <c r="F1422" i="20" s="1"/>
  <c r="F1423" i="20" s="1"/>
  <c r="F1424" i="20" s="1"/>
  <c r="F1425" i="20" s="1"/>
  <c r="F1426" i="20" s="1"/>
  <c r="F1427" i="20" s="1"/>
  <c r="F1428" i="20" s="1"/>
  <c r="F1429" i="20" s="1"/>
  <c r="F1430" i="20" s="1"/>
  <c r="F1431" i="20" s="1"/>
  <c r="F1432" i="20" s="1"/>
  <c r="F1433" i="20" s="1"/>
  <c r="F1434" i="20" s="1"/>
  <c r="F1435" i="20" s="1"/>
  <c r="F1436" i="20" s="1"/>
  <c r="F1437" i="20" s="1"/>
  <c r="F1438" i="20" s="1"/>
  <c r="F1439" i="20" s="1"/>
  <c r="F1440" i="20" s="1"/>
  <c r="F1441" i="20" s="1"/>
  <c r="F1442" i="20" s="1"/>
  <c r="F1443" i="20" s="1"/>
  <c r="F1444" i="20" s="1"/>
  <c r="F1445" i="20" s="1"/>
  <c r="F1446" i="20" s="1"/>
  <c r="F1447" i="20" s="1"/>
  <c r="F1448" i="20" s="1"/>
  <c r="F1449" i="20" s="1"/>
  <c r="F1450" i="20" s="1"/>
  <c r="F1451" i="20" s="1"/>
  <c r="F1452" i="20" s="1"/>
  <c r="F1453" i="20" s="1"/>
  <c r="F1454" i="20" s="1"/>
  <c r="F1455" i="20" s="1"/>
  <c r="F1456" i="20" s="1"/>
  <c r="F1457" i="20" s="1"/>
  <c r="F1458" i="20" s="1"/>
  <c r="F1459" i="20" s="1"/>
  <c r="F1460" i="20" s="1"/>
  <c r="F1461" i="20" s="1"/>
  <c r="F1462" i="20" s="1"/>
  <c r="F1463" i="20" s="1"/>
  <c r="F1464" i="20" s="1"/>
  <c r="F1465" i="20" s="1"/>
  <c r="F1466" i="20" s="1"/>
  <c r="F1467" i="20" s="1"/>
  <c r="F1468" i="20" s="1"/>
  <c r="F1469" i="20" s="1"/>
  <c r="F1470" i="20" s="1"/>
  <c r="F1471" i="20" s="1"/>
  <c r="F1472" i="20" s="1"/>
  <c r="F1473" i="20" s="1"/>
  <c r="F1474" i="20" s="1"/>
  <c r="F1475" i="20" s="1"/>
  <c r="F1476" i="20" s="1"/>
  <c r="F1477" i="20" s="1"/>
  <c r="F1478" i="20" s="1"/>
  <c r="F1479" i="20" s="1"/>
  <c r="F1480" i="20" s="1"/>
  <c r="F1481" i="20" s="1"/>
  <c r="F1482" i="20" s="1"/>
  <c r="F1483" i="20" s="1"/>
  <c r="F1484" i="20" s="1"/>
  <c r="F1485" i="20" s="1"/>
  <c r="F1486" i="20" s="1"/>
  <c r="F1487" i="20" s="1"/>
  <c r="F1488" i="20" s="1"/>
  <c r="F1489" i="20" s="1"/>
  <c r="F1490" i="20" s="1"/>
  <c r="F1491" i="20" s="1"/>
  <c r="F1492" i="20" s="1"/>
  <c r="F1493" i="20" s="1"/>
  <c r="F1494" i="20" s="1"/>
  <c r="F1495" i="20" s="1"/>
  <c r="F1496" i="20" s="1"/>
  <c r="F1497" i="20" s="1"/>
  <c r="F1498" i="20" s="1"/>
  <c r="F1499" i="20" s="1"/>
  <c r="F1500" i="20" s="1"/>
  <c r="F1501" i="20" s="1"/>
  <c r="F1502" i="20" s="1"/>
  <c r="O1426" i="20"/>
  <c r="O1427" i="20" s="1"/>
  <c r="O1428" i="20" s="1"/>
  <c r="O1429" i="20" s="1"/>
  <c r="O1430" i="20" s="1"/>
  <c r="O1431" i="20" s="1"/>
  <c r="O1432" i="20" s="1"/>
  <c r="O1433" i="20" s="1"/>
  <c r="O1434" i="20" s="1"/>
  <c r="O1435" i="20" s="1"/>
  <c r="O1436" i="20" s="1"/>
  <c r="O1437" i="20" s="1"/>
  <c r="O1438" i="20" s="1"/>
  <c r="O1439" i="20" s="1"/>
  <c r="O1440" i="20" s="1"/>
  <c r="O1441" i="20" s="1"/>
  <c r="O1442" i="20" s="1"/>
  <c r="O1443" i="20" s="1"/>
  <c r="O1444" i="20" s="1"/>
  <c r="O1445" i="20" s="1"/>
  <c r="O1446" i="20" s="1"/>
  <c r="O1447" i="20" s="1"/>
  <c r="O1448" i="20" s="1"/>
  <c r="O1449" i="20" s="1"/>
  <c r="O1450" i="20" s="1"/>
  <c r="O1451" i="20" s="1"/>
  <c r="O1452" i="20" s="1"/>
  <c r="O1453" i="20" s="1"/>
  <c r="O1454" i="20" s="1"/>
  <c r="O1455" i="20" s="1"/>
  <c r="O1456" i="20" s="1"/>
  <c r="O1457" i="20" s="1"/>
  <c r="O1458" i="20" s="1"/>
  <c r="O1459" i="20" s="1"/>
  <c r="O1460" i="20" s="1"/>
  <c r="O1461" i="20" s="1"/>
  <c r="O1462" i="20" s="1"/>
  <c r="O1463" i="20" s="1"/>
  <c r="O1464" i="20" s="1"/>
  <c r="O1465" i="20" s="1"/>
  <c r="O1466" i="20" s="1"/>
  <c r="O1467" i="20" s="1"/>
  <c r="O1468" i="20" s="1"/>
  <c r="O1469" i="20" s="1"/>
  <c r="O1470" i="20" s="1"/>
  <c r="O1471" i="20" s="1"/>
  <c r="O1472" i="20" s="1"/>
  <c r="O1473" i="20" s="1"/>
  <c r="O1474" i="20" s="1"/>
  <c r="O1475" i="20" s="1"/>
  <c r="O1476" i="20" s="1"/>
  <c r="O1477" i="20" s="1"/>
  <c r="O1478" i="20" s="1"/>
  <c r="O1479" i="20" s="1"/>
  <c r="O1480" i="20" s="1"/>
  <c r="O1481" i="20" s="1"/>
  <c r="O1482" i="20" s="1"/>
  <c r="O1483" i="20" s="1"/>
  <c r="O1484" i="20" s="1"/>
  <c r="O1485" i="20" s="1"/>
  <c r="O1486" i="20" s="1"/>
  <c r="O1487" i="20" s="1"/>
  <c r="O1488" i="20" s="1"/>
  <c r="O1489" i="20" s="1"/>
  <c r="O1490" i="20" s="1"/>
  <c r="O1491" i="20" s="1"/>
  <c r="O1492" i="20" s="1"/>
  <c r="O1493" i="20" s="1"/>
  <c r="O1494" i="20" s="1"/>
  <c r="O1495" i="20" s="1"/>
  <c r="O1496" i="20" s="1"/>
  <c r="O1497" i="20" s="1"/>
  <c r="O1498" i="20" s="1"/>
  <c r="O1499" i="20" s="1"/>
  <c r="O1500" i="20" s="1"/>
  <c r="O1501" i="20" s="1"/>
  <c r="O1502" i="20" s="1"/>
  <c r="O1503" i="20" s="1"/>
  <c r="O1504" i="20" s="1"/>
  <c r="O1505" i="20" s="1"/>
  <c r="O1506" i="20" s="1"/>
  <c r="O1507" i="20" s="1"/>
  <c r="O1508" i="20" s="1"/>
  <c r="O1509" i="20" s="1"/>
  <c r="O1510" i="20" s="1"/>
  <c r="O1511" i="20" s="1"/>
  <c r="O1512" i="20" s="1"/>
  <c r="O1513" i="20" s="1"/>
  <c r="O1514" i="20" s="1"/>
  <c r="L1452" i="20"/>
  <c r="L1453" i="20" s="1"/>
  <c r="L1454" i="20" s="1"/>
  <c r="L1455" i="20" s="1"/>
  <c r="L1456" i="20" s="1"/>
  <c r="L1457" i="20" s="1"/>
  <c r="L1458" i="20" s="1"/>
  <c r="L1459" i="20" s="1"/>
  <c r="L1460" i="20" s="1"/>
  <c r="L1461" i="20" s="1"/>
  <c r="L1462" i="20" s="1"/>
  <c r="L1463" i="20" s="1"/>
  <c r="L1464" i="20" s="1"/>
  <c r="L1465" i="20" s="1"/>
  <c r="L1466" i="20" s="1"/>
  <c r="L1467" i="20" s="1"/>
  <c r="L1468" i="20" s="1"/>
  <c r="L1469" i="20" s="1"/>
  <c r="L1470" i="20" s="1"/>
  <c r="L1471" i="20" s="1"/>
  <c r="L1472" i="20" s="1"/>
  <c r="L1473" i="20" s="1"/>
  <c r="L1474" i="20" s="1"/>
  <c r="L1475" i="20" s="1"/>
  <c r="L1476" i="20" s="1"/>
  <c r="L1477" i="20" s="1"/>
  <c r="L1478" i="20" s="1"/>
  <c r="L1479" i="20" s="1"/>
  <c r="L1480" i="20" s="1"/>
  <c r="L1481" i="20" s="1"/>
  <c r="L1482" i="20" s="1"/>
  <c r="L1483" i="20" s="1"/>
  <c r="L1484" i="20" s="1"/>
  <c r="L1485" i="20" s="1"/>
  <c r="L1486" i="20" s="1"/>
  <c r="L1487" i="20" s="1"/>
  <c r="L1488" i="20" s="1"/>
  <c r="L1489" i="20" s="1"/>
  <c r="L1490" i="20" s="1"/>
  <c r="L1491" i="20" s="1"/>
  <c r="L1492" i="20" s="1"/>
  <c r="L1493" i="20" s="1"/>
  <c r="L1494" i="20" s="1"/>
  <c r="L1495" i="20" s="1"/>
  <c r="L1496" i="20" s="1"/>
  <c r="L1497" i="20" s="1"/>
  <c r="L1498" i="20" s="1"/>
  <c r="L1499" i="20" s="1"/>
  <c r="L1500" i="20" s="1"/>
  <c r="L1501" i="20" s="1"/>
  <c r="L1502" i="20" s="1"/>
  <c r="L1503" i="20" s="1"/>
  <c r="L1504" i="20" s="1"/>
  <c r="L1505" i="20" s="1"/>
  <c r="L1506" i="20" s="1"/>
  <c r="L1507" i="20" s="1"/>
  <c r="L1508" i="20" s="1"/>
  <c r="L1509" i="20" s="1"/>
  <c r="L1510" i="20" s="1"/>
  <c r="L1511" i="20" s="1"/>
  <c r="L1512" i="20" s="1"/>
  <c r="L1513" i="20" s="1"/>
  <c r="L1514" i="20" s="1"/>
  <c r="C1474" i="20"/>
  <c r="C1475" i="20" s="1"/>
  <c r="C1476" i="20" s="1"/>
  <c r="C1477" i="20" s="1"/>
  <c r="C1478" i="20" s="1"/>
  <c r="C1479" i="20" s="1"/>
  <c r="C1480" i="20" s="1"/>
  <c r="C1481" i="20" s="1"/>
  <c r="C1482" i="20" s="1"/>
  <c r="C1483" i="20" s="1"/>
  <c r="C1484" i="20" s="1"/>
  <c r="C1485" i="20" s="1"/>
  <c r="C1486" i="20" s="1"/>
  <c r="C1487" i="20" s="1"/>
  <c r="C1488" i="20" s="1"/>
  <c r="C1489" i="20" s="1"/>
  <c r="C1490" i="20" s="1"/>
  <c r="C1491" i="20" s="1"/>
  <c r="C1492" i="20" s="1"/>
  <c r="C1493" i="20" s="1"/>
  <c r="C1494" i="20" s="1"/>
  <c r="C1495" i="20" s="1"/>
  <c r="C1496" i="20" s="1"/>
  <c r="C1497" i="20" s="1"/>
  <c r="C1498" i="20" s="1"/>
  <c r="C1499" i="20" s="1"/>
  <c r="C1500" i="20" s="1"/>
  <c r="C1501" i="20" s="1"/>
  <c r="C1502" i="20" s="1"/>
  <c r="C1503" i="20" s="1"/>
  <c r="C1504" i="20" s="1"/>
  <c r="C1505" i="20" s="1"/>
  <c r="C1506" i="20" s="1"/>
  <c r="C1507" i="20" s="1"/>
  <c r="C1508" i="20" s="1"/>
  <c r="C1509" i="20" s="1"/>
  <c r="C1510" i="20" s="1"/>
  <c r="F1503" i="20"/>
  <c r="F1504" i="20" s="1"/>
  <c r="F1505" i="20" s="1"/>
  <c r="F1506" i="20" s="1"/>
  <c r="F1507" i="20" s="1"/>
  <c r="F1508" i="20" s="1"/>
  <c r="F1509" i="20" s="1"/>
  <c r="F1510" i="20" s="1"/>
  <c r="F1511" i="20" s="1"/>
  <c r="F1512" i="20" s="1"/>
  <c r="F1513" i="20" s="1"/>
  <c r="F1514" i="20" s="1"/>
  <c r="C1511" i="20"/>
  <c r="C1512" i="20" s="1"/>
  <c r="C1513" i="20" s="1"/>
  <c r="C1514" i="20" s="1"/>
  <c r="J15" i="20" a="1"/>
  <c r="D15" i="20" a="1"/>
  <c r="G15" i="20" a="1"/>
  <c r="M15" i="20" a="1"/>
  <c r="P15" i="20" a="1"/>
  <c r="P261" i="20" l="1"/>
  <c r="P519" i="20"/>
  <c r="P444" i="20"/>
  <c r="P152" i="20"/>
  <c r="P1108" i="20"/>
  <c r="P897" i="20"/>
  <c r="P658" i="20"/>
  <c r="P464" i="20"/>
  <c r="P306" i="20"/>
  <c r="P232" i="20"/>
  <c r="P724" i="20"/>
  <c r="P860" i="20"/>
  <c r="P271" i="20"/>
  <c r="P322" i="20"/>
  <c r="P42" i="20"/>
  <c r="P338" i="20"/>
  <c r="P205" i="20"/>
  <c r="P77" i="20"/>
  <c r="P1307" i="20"/>
  <c r="P873" i="20"/>
  <c r="P607" i="20"/>
  <c r="P283" i="20"/>
  <c r="P197" i="20"/>
  <c r="P288" i="20"/>
  <c r="P19" i="20"/>
  <c r="P750" i="20"/>
  <c r="P751" i="20"/>
  <c r="P547" i="20"/>
  <c r="P379" i="20"/>
  <c r="P234" i="20"/>
  <c r="P168" i="20"/>
  <c r="P469" i="20"/>
  <c r="P213" i="20"/>
  <c r="P37" i="20"/>
  <c r="P199" i="20"/>
  <c r="P1249" i="20"/>
  <c r="P277" i="20"/>
  <c r="P144" i="20"/>
  <c r="P24" i="20"/>
  <c r="P1124" i="20"/>
  <c r="P760" i="20"/>
  <c r="P541" i="20"/>
  <c r="P1432" i="20"/>
  <c r="P370" i="20"/>
  <c r="P363" i="20"/>
  <c r="P99" i="20"/>
  <c r="P948" i="20"/>
  <c r="P415" i="20"/>
  <c r="P78" i="20"/>
  <c r="P93" i="20"/>
  <c r="P428" i="20"/>
  <c r="P389" i="20"/>
  <c r="P122" i="20"/>
  <c r="P1020" i="20"/>
  <c r="P426" i="20"/>
  <c r="P86" i="20"/>
  <c r="P116" i="20"/>
  <c r="P175" i="20"/>
  <c r="P266" i="20"/>
  <c r="P1483" i="20"/>
  <c r="P737" i="20"/>
  <c r="P372" i="20"/>
  <c r="P46" i="20"/>
  <c r="P558" i="20"/>
  <c r="P1401" i="20"/>
  <c r="P1115" i="20"/>
  <c r="P337" i="20"/>
  <c r="P272" i="20"/>
  <c r="P364" i="20"/>
  <c r="P200" i="20"/>
  <c r="P1368" i="20"/>
  <c r="P663" i="20"/>
  <c r="P592" i="20"/>
  <c r="P65" i="20"/>
  <c r="P621" i="20"/>
  <c r="P1508" i="20"/>
  <c r="P619" i="20"/>
  <c r="P397" i="20"/>
  <c r="P96" i="20"/>
  <c r="P941" i="20"/>
  <c r="P436" i="20"/>
  <c r="P374" i="20"/>
  <c r="P1161" i="20"/>
  <c r="P1029" i="20"/>
  <c r="P369" i="20"/>
  <c r="P996" i="20"/>
  <c r="P1164" i="20"/>
  <c r="P899" i="20"/>
  <c r="P60" i="20"/>
  <c r="P181" i="20"/>
  <c r="P1348" i="20"/>
  <c r="P1208" i="20"/>
  <c r="P617" i="20"/>
  <c r="P560" i="20"/>
  <c r="P33" i="20"/>
  <c r="P585" i="20"/>
  <c r="P1457" i="20"/>
  <c r="P1509" i="20"/>
  <c r="P1244" i="20"/>
  <c r="P1238" i="20"/>
  <c r="P1071" i="20"/>
  <c r="P906" i="20"/>
  <c r="P1418" i="20"/>
  <c r="P523" i="20"/>
  <c r="P661" i="20"/>
  <c r="P318" i="20"/>
  <c r="P610" i="20"/>
  <c r="P417" i="20"/>
  <c r="P921" i="20"/>
  <c r="P1091" i="20"/>
  <c r="P1214" i="20"/>
  <c r="P1291" i="20"/>
  <c r="P1409" i="20"/>
  <c r="P1501" i="20"/>
  <c r="P690" i="20"/>
  <c r="P1200" i="20"/>
  <c r="P758" i="20"/>
  <c r="P1433" i="20"/>
  <c r="P1461" i="20"/>
  <c r="P187" i="20"/>
  <c r="P1387" i="20"/>
  <c r="P732" i="20"/>
  <c r="P347" i="20"/>
  <c r="P43" i="20"/>
  <c r="P1188" i="20"/>
  <c r="P814" i="20"/>
  <c r="P600" i="20"/>
  <c r="P410" i="20"/>
  <c r="P317" i="20"/>
  <c r="P917" i="20"/>
  <c r="P287" i="20"/>
  <c r="P780" i="20"/>
  <c r="P554" i="20"/>
  <c r="P227" i="20"/>
  <c r="P448" i="20"/>
  <c r="P303" i="20"/>
  <c r="P171" i="20"/>
  <c r="P36" i="20"/>
  <c r="P1163" i="20"/>
  <c r="P725" i="20"/>
  <c r="P472" i="20"/>
  <c r="P662" i="20"/>
  <c r="P508" i="20"/>
  <c r="P202" i="20"/>
  <c r="P1256" i="20"/>
  <c r="P969" i="20"/>
  <c r="P695" i="20"/>
  <c r="P498" i="20"/>
  <c r="P331" i="20"/>
  <c r="P253" i="20"/>
  <c r="P69" i="20"/>
  <c r="P51" i="20"/>
  <c r="P427" i="20"/>
  <c r="P399" i="20"/>
  <c r="P106" i="20"/>
  <c r="P376" i="20"/>
  <c r="P242" i="20"/>
  <c r="P109" i="20"/>
  <c r="P1413" i="20"/>
  <c r="P981" i="20"/>
  <c r="P652" i="20"/>
  <c r="P1072" i="20"/>
  <c r="P1028" i="20"/>
  <c r="P615" i="20"/>
  <c r="P292" i="20"/>
  <c r="P1493" i="20"/>
  <c r="P506" i="20"/>
  <c r="P142" i="20"/>
  <c r="P1361" i="20"/>
  <c r="P1172" i="20"/>
  <c r="P655" i="20"/>
  <c r="P316" i="20"/>
  <c r="P115" i="20"/>
  <c r="P517" i="20"/>
  <c r="P150" i="20"/>
  <c r="P387" i="20"/>
  <c r="P628" i="20"/>
  <c r="P475" i="20"/>
  <c r="P195" i="20"/>
  <c r="P1240" i="20"/>
  <c r="P458" i="20"/>
  <c r="P110" i="20"/>
  <c r="P626" i="20"/>
  <c r="P488" i="20"/>
  <c r="P1251" i="20"/>
  <c r="P572" i="20"/>
  <c r="P83" i="20"/>
  <c r="P792" i="20"/>
  <c r="P467" i="20"/>
  <c r="P70" i="20"/>
  <c r="P745" i="20"/>
  <c r="P674" i="20"/>
  <c r="P137" i="20"/>
  <c r="P694" i="20"/>
  <c r="P853" i="20"/>
  <c r="P683" i="20"/>
  <c r="P854" i="20"/>
  <c r="P405" i="20"/>
  <c r="P100" i="20"/>
  <c r="P581" i="20"/>
  <c r="P446" i="20"/>
  <c r="P1315" i="20"/>
  <c r="P1184" i="20"/>
  <c r="P433" i="20"/>
  <c r="P1133" i="20"/>
  <c r="P1267" i="20"/>
  <c r="P761" i="20"/>
  <c r="P744" i="20"/>
  <c r="P598" i="20"/>
  <c r="P307" i="20"/>
  <c r="P30" i="20"/>
  <c r="P709" i="20"/>
  <c r="P638" i="20"/>
  <c r="P105" i="20"/>
  <c r="P657" i="20"/>
  <c r="P817" i="20"/>
  <c r="P651" i="20"/>
  <c r="P1347" i="20"/>
  <c r="P1302" i="20"/>
  <c r="P1135" i="20"/>
  <c r="P970" i="20"/>
  <c r="P1482" i="20"/>
  <c r="P632" i="20"/>
  <c r="P221" i="20"/>
  <c r="P422" i="20"/>
  <c r="P738" i="20"/>
  <c r="P529" i="20"/>
  <c r="P1088" i="20"/>
  <c r="P1205" i="20"/>
  <c r="P1286" i="20"/>
  <c r="P649" i="20"/>
  <c r="P495" i="20"/>
  <c r="P596" i="20"/>
  <c r="P823" i="20"/>
  <c r="P1440" i="20"/>
  <c r="P929" i="20"/>
  <c r="P643" i="20"/>
  <c r="P934" i="20"/>
  <c r="P27" i="20"/>
  <c r="P357" i="20"/>
  <c r="P1221" i="20"/>
  <c r="P589" i="20"/>
  <c r="P131" i="20"/>
  <c r="P1481" i="20"/>
  <c r="P1084" i="20"/>
  <c r="P759" i="20"/>
  <c r="P533" i="20"/>
  <c r="P403" i="20"/>
  <c r="P384" i="20"/>
  <c r="P808" i="20"/>
  <c r="P74" i="20"/>
  <c r="P886" i="20"/>
  <c r="P431" i="20"/>
  <c r="P578" i="20"/>
  <c r="P407" i="20"/>
  <c r="P268" i="20"/>
  <c r="P123" i="20"/>
  <c r="P1460" i="20"/>
  <c r="P857" i="20"/>
  <c r="P386" i="20"/>
  <c r="P71" i="20"/>
  <c r="P810" i="20"/>
  <c r="P400" i="20"/>
  <c r="P64" i="20"/>
  <c r="P1261" i="20"/>
  <c r="P870" i="20"/>
  <c r="P641" i="20"/>
  <c r="P439" i="20"/>
  <c r="P339" i="20"/>
  <c r="P1211" i="20"/>
  <c r="P443" i="20"/>
  <c r="P1171" i="20"/>
  <c r="P664" i="20"/>
  <c r="P300" i="20"/>
  <c r="P493" i="20"/>
  <c r="P340" i="20"/>
  <c r="P207" i="20"/>
  <c r="P68" i="20"/>
  <c r="P1275" i="20"/>
  <c r="P769" i="20"/>
  <c r="P743" i="20"/>
  <c r="P226" i="20"/>
  <c r="P1004" i="20"/>
  <c r="P514" i="20"/>
  <c r="P264" i="20"/>
  <c r="P609" i="20"/>
  <c r="P206" i="20"/>
  <c r="P952" i="20"/>
  <c r="P274" i="20"/>
  <c r="P1080" i="20"/>
  <c r="P548" i="20"/>
  <c r="P285" i="20"/>
  <c r="P624" i="20"/>
  <c r="P214" i="20"/>
  <c r="P247" i="20"/>
  <c r="P40" i="20"/>
  <c r="P772" i="20"/>
  <c r="P395" i="20"/>
  <c r="P179" i="20"/>
  <c r="P556" i="20"/>
  <c r="P174" i="20"/>
  <c r="P700" i="20"/>
  <c r="P552" i="20"/>
  <c r="P1388" i="20"/>
  <c r="P92" i="20"/>
  <c r="P830" i="20"/>
  <c r="P56" i="20"/>
  <c r="P799" i="20"/>
  <c r="P182" i="20"/>
  <c r="P834" i="20"/>
  <c r="P757" i="20"/>
  <c r="P217" i="20"/>
  <c r="P767" i="20"/>
  <c r="P947" i="20"/>
  <c r="P747" i="20"/>
  <c r="P31" i="20"/>
  <c r="P840" i="20"/>
  <c r="P483" i="20"/>
  <c r="P770" i="20"/>
  <c r="P518" i="20"/>
  <c r="P1468" i="20"/>
  <c r="P1337" i="20"/>
  <c r="P497" i="20"/>
  <c r="P1272" i="20"/>
  <c r="P1369" i="20"/>
  <c r="P1352" i="20"/>
  <c r="P323" i="20"/>
  <c r="P1300" i="20"/>
  <c r="P580" i="20"/>
  <c r="P126" i="20"/>
  <c r="P791" i="20"/>
  <c r="P720" i="20"/>
  <c r="P177" i="20"/>
  <c r="P730" i="20"/>
  <c r="P896" i="20"/>
  <c r="P715" i="20"/>
  <c r="P1449" i="20"/>
  <c r="P1366" i="20"/>
  <c r="P1199" i="20"/>
  <c r="P1034" i="20"/>
  <c r="P332" i="20"/>
  <c r="P301" i="20"/>
  <c r="P696" i="20"/>
  <c r="P550" i="20"/>
  <c r="P909" i="20"/>
  <c r="P639" i="20"/>
  <c r="P1241" i="20"/>
  <c r="P1321" i="20"/>
  <c r="P1358" i="20"/>
  <c r="P80" i="20"/>
  <c r="P45" i="20"/>
  <c r="P932" i="20"/>
  <c r="P1076" i="20"/>
  <c r="P97" i="20"/>
  <c r="P1149" i="20"/>
  <c r="P739" i="20"/>
  <c r="P1006" i="20"/>
  <c r="P1136" i="20"/>
  <c r="P993" i="20"/>
  <c r="P103" i="20"/>
  <c r="P965" i="20"/>
  <c r="P228" i="20"/>
  <c r="P98" i="20"/>
  <c r="P1377" i="20"/>
  <c r="P977" i="20"/>
  <c r="P679" i="20"/>
  <c r="P491" i="20"/>
  <c r="P91" i="20"/>
  <c r="P149" i="20"/>
  <c r="P263" i="20"/>
  <c r="P1465" i="20"/>
  <c r="P708" i="20"/>
  <c r="P733" i="20"/>
  <c r="P527" i="20"/>
  <c r="P365" i="20"/>
  <c r="P220" i="20"/>
  <c r="P157" i="20"/>
  <c r="P1068" i="20"/>
  <c r="P210" i="20"/>
  <c r="P471" i="20"/>
  <c r="P1363" i="20"/>
  <c r="P670" i="20"/>
  <c r="P155" i="20"/>
  <c r="P34" i="20"/>
  <c r="P1157" i="20"/>
  <c r="P797" i="20"/>
  <c r="P565" i="20"/>
  <c r="P424" i="20"/>
  <c r="P48" i="20"/>
  <c r="P1213" i="20"/>
  <c r="P141" i="20"/>
  <c r="P1105" i="20"/>
  <c r="P524" i="20"/>
  <c r="P633" i="20"/>
  <c r="P450" i="20"/>
  <c r="P304" i="20"/>
  <c r="P160" i="20"/>
  <c r="P1496" i="20"/>
  <c r="P931" i="20"/>
  <c r="P538" i="20"/>
  <c r="P706" i="20"/>
  <c r="P44" i="20"/>
  <c r="P821" i="20"/>
  <c r="P435" i="20"/>
  <c r="P726" i="20"/>
  <c r="P270" i="20"/>
  <c r="P687" i="20"/>
  <c r="P788" i="20"/>
  <c r="P66" i="20"/>
  <c r="P872" i="20"/>
  <c r="P456" i="20"/>
  <c r="P742" i="20"/>
  <c r="P278" i="20"/>
  <c r="P114" i="20"/>
  <c r="P429" i="20"/>
  <c r="P1297" i="20"/>
  <c r="P660" i="20"/>
  <c r="P349" i="20"/>
  <c r="P669" i="20"/>
  <c r="P238" i="20"/>
  <c r="P773" i="20"/>
  <c r="P620" i="20"/>
  <c r="P17" i="20"/>
  <c r="P539" i="20"/>
  <c r="P348" i="20"/>
  <c r="P421" i="20"/>
  <c r="P1284" i="20"/>
  <c r="P286" i="20"/>
  <c r="P973" i="20"/>
  <c r="P865" i="20"/>
  <c r="P289" i="20"/>
  <c r="P852" i="20"/>
  <c r="P1049" i="20"/>
  <c r="P811" i="20"/>
  <c r="P1003" i="20"/>
  <c r="P87" i="20"/>
  <c r="P1056" i="20"/>
  <c r="P1041" i="20"/>
  <c r="P590" i="20"/>
  <c r="P528" i="20"/>
  <c r="P1491" i="20"/>
  <c r="P561" i="20"/>
  <c r="P1405" i="20"/>
  <c r="P1472" i="20"/>
  <c r="P686" i="20"/>
  <c r="P1467" i="20"/>
  <c r="P231" i="20"/>
  <c r="P1121" i="20"/>
  <c r="P230" i="20"/>
  <c r="P905" i="20"/>
  <c r="P805" i="20"/>
  <c r="P249" i="20"/>
  <c r="P806" i="20"/>
  <c r="P997" i="20"/>
  <c r="P779" i="20"/>
  <c r="P918" i="20"/>
  <c r="P1430" i="20"/>
  <c r="P1263" i="20"/>
  <c r="P1098" i="20"/>
  <c r="P164" i="20"/>
  <c r="P1376" i="20"/>
  <c r="P1393" i="20"/>
  <c r="P681" i="20"/>
  <c r="P1148" i="20"/>
  <c r="P749" i="20"/>
  <c r="P1420" i="20"/>
  <c r="P1436" i="20"/>
  <c r="P1438" i="20"/>
  <c r="P418" i="20"/>
  <c r="P698" i="20"/>
  <c r="P1480" i="20"/>
  <c r="P1332" i="20"/>
  <c r="P201" i="20"/>
  <c r="P1355" i="20"/>
  <c r="P856" i="20"/>
  <c r="P1078" i="20"/>
  <c r="P688" i="20"/>
  <c r="P298" i="20"/>
  <c r="P325" i="20"/>
  <c r="P67" i="20"/>
  <c r="P846" i="20"/>
  <c r="P359" i="20"/>
  <c r="P474" i="20"/>
  <c r="P1187" i="20"/>
  <c r="P677" i="20"/>
  <c r="P319" i="20"/>
  <c r="P50" i="20"/>
  <c r="P1277" i="20"/>
  <c r="P1107" i="20"/>
  <c r="P120" i="20"/>
  <c r="P1053" i="20"/>
  <c r="P516" i="20"/>
  <c r="P295" i="20"/>
  <c r="P61" i="20"/>
  <c r="P790" i="20"/>
  <c r="P408" i="20"/>
  <c r="P189" i="20"/>
  <c r="P368" i="20"/>
  <c r="P229" i="20"/>
  <c r="P637" i="20"/>
  <c r="P356" i="20"/>
  <c r="P130" i="20"/>
  <c r="P1453" i="20"/>
  <c r="P883" i="20"/>
  <c r="P1429" i="20"/>
  <c r="P132" i="20"/>
  <c r="P530" i="20"/>
  <c r="P302" i="20"/>
  <c r="P693" i="20"/>
  <c r="P344" i="20"/>
  <c r="P907" i="20"/>
  <c r="P358" i="20"/>
  <c r="P1012" i="20"/>
  <c r="P980" i="20"/>
  <c r="P888" i="20"/>
  <c r="P378" i="20"/>
  <c r="P1427" i="20"/>
  <c r="P601" i="20"/>
  <c r="P630" i="20"/>
  <c r="P627" i="20"/>
  <c r="P892" i="20"/>
  <c r="P1477" i="20"/>
  <c r="P1059" i="20"/>
  <c r="P321" i="20"/>
  <c r="P1100" i="20"/>
  <c r="P982" i="20"/>
  <c r="P1327" i="20"/>
  <c r="P507" i="20"/>
  <c r="P543" i="20"/>
  <c r="P1421" i="20"/>
  <c r="P635" i="20"/>
  <c r="P1510" i="20"/>
  <c r="P184" i="20"/>
  <c r="P504" i="20"/>
  <c r="P809" i="20"/>
  <c r="P1150" i="20"/>
  <c r="P1055" i="20"/>
  <c r="P962" i="20"/>
  <c r="P16" i="20"/>
  <c r="P616" i="20"/>
  <c r="P640" i="20"/>
  <c r="P876" i="20"/>
  <c r="P1456" i="20"/>
  <c r="P945" i="20"/>
  <c r="P659" i="20"/>
  <c r="P942" i="20"/>
  <c r="P847" i="20"/>
  <c r="P1431" i="20"/>
  <c r="P1338" i="20"/>
  <c r="P1324" i="20"/>
  <c r="P293" i="20"/>
  <c r="P246" i="20"/>
  <c r="P544" i="20"/>
  <c r="P377" i="20"/>
  <c r="P843" i="20"/>
  <c r="P1027" i="20"/>
  <c r="P1182" i="20"/>
  <c r="P1087" i="20"/>
  <c r="P994" i="20"/>
  <c r="P138" i="20"/>
  <c r="P1009" i="20"/>
  <c r="P995" i="20"/>
  <c r="P1317" i="20"/>
  <c r="P1390" i="20"/>
  <c r="P1018" i="20"/>
  <c r="P178" i="20"/>
  <c r="P390" i="20"/>
  <c r="P481" i="20"/>
  <c r="P1168" i="20"/>
  <c r="P1119" i="20"/>
  <c r="P1386" i="20"/>
  <c r="P1489" i="20"/>
  <c r="P1485" i="20"/>
  <c r="P1492" i="20"/>
  <c r="P1126" i="20"/>
  <c r="P1487" i="20"/>
  <c r="P551" i="20"/>
  <c r="P1123" i="20"/>
  <c r="P121" i="20"/>
  <c r="P771" i="20"/>
  <c r="P927" i="20"/>
  <c r="P1202" i="20"/>
  <c r="P254" i="20"/>
  <c r="P1052" i="20"/>
  <c r="P1322" i="20"/>
  <c r="P826" i="20"/>
  <c r="P1334" i="20"/>
  <c r="P591" i="20"/>
  <c r="P603" i="20"/>
  <c r="P188" i="20"/>
  <c r="P1512" i="20"/>
  <c r="P1450" i="20"/>
  <c r="P838" i="20"/>
  <c r="P1242" i="20"/>
  <c r="P1206" i="20"/>
  <c r="P401" i="20"/>
  <c r="P567" i="20"/>
  <c r="P1234" i="20"/>
  <c r="P299" i="20"/>
  <c r="P262" i="20"/>
  <c r="P1039" i="20"/>
  <c r="P874" i="20"/>
  <c r="P1350" i="20"/>
  <c r="P1083" i="20"/>
  <c r="P336" i="20"/>
  <c r="P705" i="20"/>
  <c r="P599" i="20"/>
  <c r="P385" i="20"/>
  <c r="P1054" i="20"/>
  <c r="P704" i="20"/>
  <c r="P26" i="20"/>
  <c r="P373" i="20"/>
  <c r="P328" i="20"/>
  <c r="P346" i="20"/>
  <c r="P915" i="20"/>
  <c r="P1403" i="20"/>
  <c r="P1057" i="20"/>
  <c r="P1069" i="20"/>
  <c r="P165" i="20"/>
  <c r="P276" i="20"/>
  <c r="P957" i="20"/>
  <c r="P570" i="20"/>
  <c r="P1299" i="20"/>
  <c r="P477" i="20"/>
  <c r="P153" i="20"/>
  <c r="P1243" i="20"/>
  <c r="P1081" i="20"/>
  <c r="P879" i="20"/>
  <c r="P1043" i="20"/>
  <c r="P998" i="20"/>
  <c r="P441" i="20"/>
  <c r="P1423" i="20"/>
  <c r="P462" i="20"/>
  <c r="P1125" i="20"/>
  <c r="P1215" i="20"/>
  <c r="P697" i="20"/>
  <c r="P1016" i="20"/>
  <c r="P863" i="20"/>
  <c r="P634" i="20"/>
  <c r="P964" i="20"/>
  <c r="P1173" i="20"/>
  <c r="P1344" i="20"/>
  <c r="P324" i="20"/>
  <c r="P1180" i="20"/>
  <c r="P282" i="20"/>
  <c r="P1166" i="20"/>
  <c r="P267" i="20"/>
  <c r="P1233" i="20"/>
  <c r="P1353" i="20"/>
  <c r="P1504" i="20"/>
  <c r="P967" i="20"/>
  <c r="P341" i="20"/>
  <c r="P990" i="20"/>
  <c r="P352" i="20"/>
  <c r="P402" i="20"/>
  <c r="P832" i="20"/>
  <c r="P777" i="20"/>
  <c r="P335" i="20"/>
  <c r="P183" i="20"/>
  <c r="P85" i="20"/>
  <c r="P613" i="20"/>
  <c r="P1289" i="20"/>
  <c r="P1227" i="20"/>
  <c r="P1176" i="20"/>
  <c r="P812" i="20"/>
  <c r="P489" i="20"/>
  <c r="P818" i="20"/>
  <c r="P269" i="20"/>
  <c r="P1040" i="20"/>
  <c r="P1290" i="20"/>
  <c r="P1070" i="20"/>
  <c r="P537" i="20"/>
  <c r="P1495" i="20"/>
  <c r="P984" i="20"/>
  <c r="P666" i="20"/>
  <c r="P1287" i="20"/>
  <c r="P244" i="20"/>
  <c r="P129" i="20"/>
  <c r="P1030" i="20"/>
  <c r="P850" i="20"/>
  <c r="P1384" i="20"/>
  <c r="P1101" i="20"/>
  <c r="P41" i="20"/>
  <c r="P1154" i="20"/>
  <c r="P1411" i="20"/>
  <c r="P794" i="20"/>
  <c r="P380" i="20"/>
  <c r="P1283" i="20"/>
  <c r="P1371" i="20"/>
  <c r="P885" i="20"/>
  <c r="P1271" i="20"/>
  <c r="P584" i="20"/>
  <c r="P1137" i="20"/>
  <c r="P597" i="20"/>
  <c r="P1225" i="20"/>
  <c r="P1448" i="20"/>
  <c r="P76" i="20"/>
  <c r="P1340" i="20"/>
  <c r="P1404" i="20"/>
  <c r="P801" i="20"/>
  <c r="P890" i="20"/>
  <c r="P785" i="20"/>
  <c r="P1266" i="20"/>
  <c r="P257" i="20"/>
  <c r="P1506" i="20"/>
  <c r="P914" i="20"/>
  <c r="P924" i="20"/>
  <c r="P974" i="20"/>
  <c r="P1484" i="20"/>
  <c r="P595" i="20"/>
  <c r="P1038" i="20"/>
  <c r="P602" i="20"/>
  <c r="P946" i="20"/>
  <c r="P1399" i="20"/>
  <c r="P723" i="20"/>
  <c r="P881" i="20"/>
  <c r="P237" i="20"/>
  <c r="P522" i="20"/>
  <c r="P432" i="20"/>
  <c r="P159" i="20"/>
  <c r="P1131" i="20"/>
  <c r="P284" i="20"/>
  <c r="P768" i="20"/>
  <c r="P53" i="20"/>
  <c r="P841" i="20"/>
  <c r="P423" i="20"/>
  <c r="P139" i="20"/>
  <c r="P320" i="20"/>
  <c r="P63" i="20"/>
  <c r="P218" i="20"/>
  <c r="P1345" i="20"/>
  <c r="P623" i="20"/>
  <c r="P824" i="20"/>
  <c r="P250" i="20"/>
  <c r="P1044" i="20"/>
  <c r="P532" i="20"/>
  <c r="P275" i="20"/>
  <c r="P117" i="20"/>
  <c r="P434" i="20"/>
  <c r="P901" i="20"/>
  <c r="P235" i="20"/>
  <c r="P559" i="20"/>
  <c r="P172" i="20"/>
  <c r="P1096" i="20"/>
  <c r="P1021" i="20"/>
  <c r="P327" i="20"/>
  <c r="P753" i="20"/>
  <c r="P366" i="20"/>
  <c r="P766" i="20"/>
  <c r="P762" i="20"/>
  <c r="P90" i="20"/>
  <c r="P438" i="20"/>
  <c r="P1165" i="20"/>
  <c r="P1117" i="20"/>
  <c r="P1276" i="20"/>
  <c r="P971" i="20"/>
  <c r="P94" i="20"/>
  <c r="P684" i="20"/>
  <c r="P703" i="20"/>
  <c r="P691" i="20"/>
  <c r="P204" i="20"/>
  <c r="P479" i="20"/>
  <c r="P1212" i="20"/>
  <c r="P393" i="20"/>
  <c r="P1203" i="20"/>
  <c r="P1046" i="20"/>
  <c r="P1391" i="20"/>
  <c r="P309" i="20"/>
  <c r="P904" i="20"/>
  <c r="P89" i="20"/>
  <c r="P731" i="20"/>
  <c r="P903" i="20"/>
  <c r="P778" i="20"/>
  <c r="P629" i="20"/>
  <c r="P933" i="20"/>
  <c r="P1222" i="20"/>
  <c r="P1127" i="20"/>
  <c r="P1042" i="20"/>
  <c r="P124" i="20"/>
  <c r="P146" i="20"/>
  <c r="P987" i="20"/>
  <c r="P1093" i="20"/>
  <c r="P113" i="20"/>
  <c r="P1169" i="20"/>
  <c r="P763" i="20"/>
  <c r="P1014" i="20"/>
  <c r="P919" i="20"/>
  <c r="P1503" i="20"/>
  <c r="P1410" i="20"/>
  <c r="P154" i="20"/>
  <c r="P1309" i="20"/>
  <c r="P382" i="20"/>
  <c r="P665" i="20"/>
  <c r="P473" i="20"/>
  <c r="P1011" i="20"/>
  <c r="P1155" i="20"/>
  <c r="P1254" i="20"/>
  <c r="P1159" i="20"/>
  <c r="P1066" i="20"/>
  <c r="P59" i="20"/>
  <c r="P682" i="20"/>
  <c r="P1507" i="20"/>
  <c r="P667" i="20"/>
  <c r="P855" i="20"/>
  <c r="P1146" i="20"/>
  <c r="P692" i="20"/>
  <c r="P636" i="20"/>
  <c r="P712" i="20"/>
  <c r="P1397" i="20"/>
  <c r="P1247" i="20"/>
  <c r="P1474" i="20"/>
  <c r="P125" i="20"/>
  <c r="P711" i="20"/>
  <c r="P1036" i="20"/>
  <c r="P1270" i="20"/>
  <c r="P938" i="20"/>
  <c r="P1245" i="20"/>
  <c r="P222" i="20"/>
  <c r="P353" i="20"/>
  <c r="P1013" i="20"/>
  <c r="P1047" i="20"/>
  <c r="P1314" i="20"/>
  <c r="P764" i="20"/>
  <c r="P1513" i="20"/>
  <c r="P1316" i="20"/>
  <c r="P161" i="20"/>
  <c r="P951" i="20"/>
  <c r="P451" i="20"/>
  <c r="P1193" i="20"/>
  <c r="P216" i="20"/>
  <c r="P611" i="20"/>
  <c r="P215" i="20"/>
  <c r="P1075" i="20"/>
  <c r="P260" i="20"/>
  <c r="P1103" i="20"/>
  <c r="P908" i="20"/>
  <c r="P534" i="20"/>
  <c r="P248" i="20"/>
  <c r="P820" i="20"/>
  <c r="P57" i="20"/>
  <c r="P1112" i="20"/>
  <c r="P499" i="20"/>
  <c r="P310" i="20"/>
  <c r="P1074" i="20"/>
  <c r="P1178" i="20"/>
  <c r="P719" i="20"/>
  <c r="P813" i="20"/>
  <c r="P1470" i="20"/>
  <c r="P1109" i="20"/>
  <c r="P1229" i="20"/>
  <c r="P203" i="20"/>
  <c r="P28" i="20"/>
  <c r="P1140" i="20"/>
  <c r="P765" i="20"/>
  <c r="P734" i="20"/>
  <c r="P148" i="20"/>
  <c r="P955" i="20"/>
  <c r="P58" i="20"/>
  <c r="P314" i="20"/>
  <c r="P425" i="20"/>
  <c r="P754" i="20"/>
  <c r="P1237" i="20"/>
  <c r="P937" i="20"/>
  <c r="P35" i="20"/>
  <c r="P557" i="20"/>
  <c r="P839" i="20"/>
  <c r="P1035" i="20"/>
  <c r="P784" i="20"/>
  <c r="P1310" i="20"/>
  <c r="P453" i="20"/>
  <c r="P25" i="20"/>
  <c r="P958" i="20"/>
  <c r="P891" i="20"/>
  <c r="P440" i="20"/>
  <c r="P1026" i="20"/>
  <c r="P1151" i="20"/>
  <c r="P833" i="20"/>
  <c r="P828" i="20"/>
  <c r="P1218" i="20"/>
  <c r="P782" i="20"/>
  <c r="P1010" i="20"/>
  <c r="P72" i="20"/>
  <c r="P631" i="20"/>
  <c r="P1197" i="20"/>
  <c r="P1328" i="20"/>
  <c r="P245" i="20"/>
  <c r="P1452" i="20"/>
  <c r="P225" i="20"/>
  <c r="P1235" i="20"/>
  <c r="P564" i="20"/>
  <c r="P454" i="20"/>
  <c r="P916" i="20"/>
  <c r="P1292" i="20"/>
  <c r="P625" i="20"/>
  <c r="P1220" i="20"/>
  <c r="P1434" i="20"/>
  <c r="P1094" i="20"/>
  <c r="P699" i="20"/>
  <c r="P645" i="20"/>
  <c r="P1498" i="20"/>
  <c r="P1318" i="20"/>
  <c r="P866" i="20"/>
  <c r="P513" i="20"/>
  <c r="P729" i="20"/>
  <c r="P1514" i="20"/>
  <c r="P802" i="20"/>
  <c r="P239" i="20"/>
  <c r="P208" i="20"/>
  <c r="P108" i="20"/>
  <c r="P920" i="20"/>
  <c r="P1499" i="20"/>
  <c r="P18" i="20"/>
  <c r="P604" i="20"/>
  <c r="P586" i="20"/>
  <c r="P1265" i="20"/>
  <c r="P452" i="20"/>
  <c r="P273" i="20"/>
  <c r="P520" i="20"/>
  <c r="P375" i="20"/>
  <c r="P1061" i="20"/>
  <c r="P542" i="20"/>
  <c r="P1007" i="20"/>
  <c r="P496" i="20"/>
  <c r="P566" i="20"/>
  <c r="P1333" i="20"/>
  <c r="P1443" i="20"/>
  <c r="P718" i="20"/>
  <c r="P1475" i="20"/>
  <c r="P1144" i="20"/>
  <c r="P1417" i="20"/>
  <c r="P912" i="20"/>
  <c r="P1015" i="20"/>
  <c r="P656" i="20"/>
  <c r="P1246" i="20"/>
  <c r="P265" i="20"/>
  <c r="P1274" i="20"/>
  <c r="P956" i="20"/>
  <c r="P1383" i="20"/>
  <c r="P1268" i="20"/>
  <c r="P1082" i="20"/>
  <c r="P1196" i="20"/>
  <c r="P1304" i="20"/>
  <c r="P185" i="20"/>
  <c r="P1065" i="20"/>
  <c r="P1346" i="20"/>
  <c r="P680" i="20"/>
  <c r="P728" i="20"/>
  <c r="P829" i="20"/>
  <c r="P562" i="20"/>
  <c r="P256" i="20"/>
  <c r="P1416" i="20"/>
  <c r="P112" i="20"/>
  <c r="P1293" i="20"/>
  <c r="P143" i="20"/>
  <c r="P1120" i="20"/>
  <c r="P549" i="20"/>
  <c r="P162" i="20"/>
  <c r="P884" i="20"/>
  <c r="P251" i="20"/>
  <c r="P315" i="20"/>
  <c r="P47" i="20"/>
  <c r="P741" i="20"/>
  <c r="P163" i="20"/>
  <c r="P459" i="20"/>
  <c r="P1329" i="20"/>
  <c r="P678" i="20"/>
  <c r="P360" i="20"/>
  <c r="P540" i="20"/>
  <c r="P716" i="20"/>
  <c r="P1204" i="20"/>
  <c r="P1000" i="20"/>
  <c r="P1469" i="20"/>
  <c r="P367" i="20"/>
  <c r="P1313" i="20"/>
  <c r="P312" i="20"/>
  <c r="P563" i="20"/>
  <c r="P1092" i="20"/>
  <c r="P430" i="20"/>
  <c r="P851" i="20"/>
  <c r="P1464" i="20"/>
  <c r="P396" i="20"/>
  <c r="P510" i="20"/>
  <c r="P1320" i="20"/>
  <c r="P1252" i="20"/>
  <c r="P807" i="20"/>
  <c r="P133" i="20"/>
  <c r="P190" i="20"/>
  <c r="P775" i="20"/>
  <c r="P776" i="20"/>
  <c r="P755" i="20"/>
  <c r="P525" i="20"/>
  <c r="P653" i="20"/>
  <c r="P1365" i="20"/>
  <c r="P457" i="20"/>
  <c r="P1305" i="20"/>
  <c r="P1110" i="20"/>
  <c r="P1455" i="20"/>
  <c r="P388" i="20"/>
  <c r="P1451" i="20"/>
  <c r="P193" i="20"/>
  <c r="P835" i="20"/>
  <c r="P975" i="20"/>
  <c r="P296" i="20"/>
  <c r="P748" i="20"/>
  <c r="P1113" i="20"/>
  <c r="P1294" i="20"/>
  <c r="P1207" i="20"/>
  <c r="P1114" i="20"/>
  <c r="P650" i="20"/>
  <c r="P717" i="20"/>
  <c r="P38" i="20"/>
  <c r="P1349" i="20"/>
  <c r="P233" i="20"/>
  <c r="P1373" i="20"/>
  <c r="P867" i="20"/>
  <c r="P1086" i="20"/>
  <c r="P991" i="20"/>
  <c r="P898" i="20"/>
  <c r="P1490" i="20"/>
  <c r="P107" i="20"/>
  <c r="P392" i="20"/>
  <c r="P486" i="20"/>
  <c r="P815" i="20"/>
  <c r="P577" i="20"/>
  <c r="P1177" i="20"/>
  <c r="P1269" i="20"/>
  <c r="P1326" i="20"/>
  <c r="P1231" i="20"/>
  <c r="P1138" i="20"/>
  <c r="P1073" i="20"/>
  <c r="P54" i="20"/>
  <c r="P241" i="20"/>
  <c r="P877" i="20"/>
  <c r="P999" i="20"/>
  <c r="P1250" i="20"/>
  <c r="P1005" i="20"/>
  <c r="P940" i="20"/>
  <c r="P1032" i="20"/>
  <c r="P966" i="20"/>
  <c r="P1367" i="20"/>
  <c r="P722" i="20"/>
  <c r="P1259" i="20"/>
  <c r="P1097" i="20"/>
  <c r="P1381" i="20"/>
  <c r="P1414" i="20"/>
  <c r="P1058" i="20"/>
  <c r="P21" i="20"/>
  <c r="P478" i="20"/>
  <c r="P569" i="20"/>
  <c r="P1257" i="20"/>
  <c r="P1175" i="20"/>
  <c r="P1426" i="20"/>
  <c r="P568" i="20"/>
  <c r="P1190" i="20"/>
  <c r="P119" i="20"/>
  <c r="P593" i="20"/>
  <c r="P1183" i="20"/>
  <c r="P492" i="20"/>
  <c r="P1062" i="20"/>
  <c r="P15" i="20"/>
  <c r="P1296" i="20"/>
  <c r="P279" i="20"/>
  <c r="P827" i="20"/>
  <c r="P1336" i="20"/>
  <c r="P1002" i="20"/>
  <c r="P1077" i="20"/>
  <c r="P893" i="20"/>
  <c r="P1364" i="20"/>
  <c r="P1132" i="20"/>
  <c r="P1228" i="20"/>
  <c r="P1025" i="20"/>
  <c r="P169" i="20"/>
  <c r="P1422" i="20"/>
  <c r="P1444" i="20"/>
  <c r="P1494" i="20"/>
  <c r="P1285" i="20"/>
  <c r="P281" i="20"/>
  <c r="P1248" i="20"/>
  <c r="P1439" i="20"/>
  <c r="P442" i="20"/>
  <c r="P710" i="20"/>
  <c r="P618" i="20"/>
  <c r="P351" i="20"/>
  <c r="P575" i="20"/>
  <c r="P490" i="20"/>
  <c r="P571" i="20"/>
  <c r="P145" i="20"/>
  <c r="P1253" i="20"/>
  <c r="P864" i="20"/>
  <c r="P1048" i="20"/>
  <c r="P1099" i="20"/>
  <c r="P1104" i="20"/>
  <c r="P371" i="20"/>
  <c r="P1232" i="20"/>
  <c r="P774" i="20"/>
  <c r="P675" i="20"/>
  <c r="P1362" i="20"/>
  <c r="P1343" i="20"/>
  <c r="P1406" i="20"/>
  <c r="P505" i="20"/>
  <c r="P536" i="20"/>
  <c r="P1311" i="20"/>
  <c r="P1463" i="20"/>
  <c r="P305" i="20"/>
  <c r="P1335" i="20"/>
  <c r="P409" i="20"/>
  <c r="P186" i="20"/>
  <c r="P391" i="20"/>
  <c r="P23" i="20"/>
  <c r="P588" i="20"/>
  <c r="P646" i="20"/>
  <c r="P466" i="20"/>
  <c r="P614" i="20"/>
  <c r="P789" i="20"/>
  <c r="P209" i="20"/>
  <c r="P1356" i="20"/>
  <c r="P960" i="20"/>
  <c r="P1185" i="20"/>
  <c r="P1339" i="20"/>
  <c r="P911" i="20"/>
  <c r="P574" i="20"/>
  <c r="P1382" i="20"/>
  <c r="P1179" i="20"/>
  <c r="P935" i="20"/>
  <c r="P1425" i="20"/>
  <c r="P713" i="20"/>
  <c r="P869" i="20"/>
  <c r="P1255" i="20"/>
  <c r="P1139" i="20"/>
  <c r="P875" i="20"/>
  <c r="P1442" i="20"/>
  <c r="P1511" i="20"/>
  <c r="P134" i="20"/>
  <c r="P1370" i="20"/>
  <c r="P612" i="20"/>
  <c r="P671" i="20"/>
  <c r="P1037" i="20"/>
  <c r="P1019" i="20"/>
  <c r="P953" i="20"/>
  <c r="P411" i="20"/>
  <c r="P308" i="20"/>
  <c r="P1505" i="20"/>
  <c r="P501" i="20"/>
  <c r="P1264" i="20"/>
  <c r="P553" i="20"/>
  <c r="P1008" i="20"/>
  <c r="P362" i="20"/>
  <c r="P1323" i="20"/>
  <c r="P1354" i="20"/>
  <c r="P1142" i="20"/>
  <c r="P648" i="20"/>
  <c r="P1060" i="20"/>
  <c r="P1217" i="20"/>
  <c r="P1454" i="20"/>
  <c r="P62" i="20"/>
  <c r="P1102" i="20"/>
  <c r="P1089" i="20"/>
  <c r="P82" i="20"/>
  <c r="P1051" i="20"/>
  <c r="P1357" i="20"/>
  <c r="P468" i="20"/>
  <c r="P1402" i="20"/>
  <c r="P576" i="20"/>
  <c r="P290" i="20"/>
  <c r="P101" i="20"/>
  <c r="P1392" i="20"/>
  <c r="P714" i="20"/>
  <c r="P354" i="20"/>
  <c r="P147" i="20"/>
  <c r="P1428" i="20"/>
  <c r="P127" i="20"/>
  <c r="P240" i="20"/>
  <c r="P1412" i="20"/>
  <c r="P701" i="20"/>
  <c r="P644" i="20"/>
  <c r="P95" i="20"/>
  <c r="P460" i="20"/>
  <c r="P420" i="20"/>
  <c r="P135" i="20"/>
  <c r="P878" i="20"/>
  <c r="P606" i="20"/>
  <c r="P746" i="20"/>
  <c r="P55" i="20"/>
  <c r="P844" i="20"/>
  <c r="P445" i="20"/>
  <c r="P1437" i="20"/>
  <c r="P1192" i="20"/>
  <c r="P1419" i="20"/>
  <c r="P535" i="20"/>
  <c r="P192" i="20"/>
  <c r="P622" i="20"/>
  <c r="P22" i="20"/>
  <c r="P862" i="20"/>
  <c r="P900" i="20"/>
  <c r="P1312" i="20"/>
  <c r="P494" i="20"/>
  <c r="P979" i="20"/>
  <c r="P689" i="20"/>
  <c r="P822" i="20"/>
  <c r="P582" i="20"/>
  <c r="P1473" i="20"/>
  <c r="P1389" i="20"/>
  <c r="P140" i="20"/>
  <c r="P437" i="20"/>
  <c r="P294" i="20"/>
  <c r="P880" i="20"/>
  <c r="P868" i="20"/>
  <c r="P819" i="20"/>
  <c r="P1156" i="20"/>
  <c r="P836" i="20"/>
  <c r="P480" i="20"/>
  <c r="P521" i="20"/>
  <c r="P1408" i="20"/>
  <c r="P1174" i="20"/>
  <c r="P842" i="20"/>
  <c r="P485" i="20"/>
  <c r="P158" i="20"/>
  <c r="P313" i="20"/>
  <c r="P976" i="20"/>
  <c r="P333" i="20"/>
  <c r="P783" i="20"/>
  <c r="P944" i="20"/>
  <c r="P1280" i="20"/>
  <c r="P1374" i="20"/>
  <c r="P1279" i="20"/>
  <c r="P1186" i="20"/>
  <c r="P781" i="20"/>
  <c r="P196" i="20"/>
  <c r="P198" i="20"/>
  <c r="P512" i="20"/>
  <c r="P345" i="20"/>
  <c r="P825" i="20"/>
  <c r="P1001" i="20"/>
  <c r="P1158" i="20"/>
  <c r="P1063" i="20"/>
  <c r="P978" i="20"/>
  <c r="P236" i="20"/>
  <c r="P673" i="20"/>
  <c r="P1147" i="20"/>
  <c r="P608" i="20"/>
  <c r="P1045" i="20"/>
  <c r="P685" i="20"/>
  <c r="P1331" i="20"/>
  <c r="P1385" i="20"/>
  <c r="P1398" i="20"/>
  <c r="P1303" i="20"/>
  <c r="P1210" i="20"/>
  <c r="P1400" i="20"/>
  <c r="P350" i="20"/>
  <c r="P465" i="20"/>
  <c r="P1129" i="20"/>
  <c r="P1111" i="20"/>
  <c r="P1378" i="20"/>
  <c r="P1195" i="20"/>
  <c r="P1435" i="20"/>
  <c r="P1476" i="20"/>
  <c r="P1118" i="20"/>
  <c r="P1479" i="20"/>
  <c r="P212" i="20"/>
  <c r="P800" i="20"/>
  <c r="P49" i="20"/>
  <c r="P707" i="20"/>
  <c r="P887" i="20"/>
  <c r="P1170" i="20"/>
  <c r="P156" i="20"/>
  <c r="P727" i="20"/>
  <c r="P796" i="20"/>
  <c r="P1488" i="20"/>
  <c r="P1295" i="20"/>
  <c r="P311" i="20"/>
  <c r="P1301" i="20"/>
  <c r="P1478" i="20"/>
  <c r="P330" i="20"/>
  <c r="P1236" i="20"/>
  <c r="P1415" i="20"/>
  <c r="P414" i="20"/>
  <c r="P1486" i="20"/>
  <c r="P531" i="20"/>
  <c r="P1134" i="20"/>
  <c r="P136" i="20"/>
  <c r="P902" i="20"/>
  <c r="P1260" i="20"/>
  <c r="P1458" i="20"/>
  <c r="P1342" i="20"/>
  <c r="P740" i="20"/>
  <c r="P837" i="20"/>
  <c r="P1216" i="20"/>
  <c r="P1198" i="20"/>
  <c r="P803" i="20"/>
  <c r="P1308" i="20"/>
  <c r="P654" i="20"/>
  <c r="P1306" i="20"/>
  <c r="P605" i="20"/>
  <c r="P223" i="20"/>
  <c r="P20" i="20"/>
  <c r="P194" i="20"/>
  <c r="P1273" i="20"/>
  <c r="P594" i="20"/>
  <c r="P587" i="20"/>
  <c r="P176" i="20"/>
  <c r="P936" i="20"/>
  <c r="P482" i="20"/>
  <c r="P243" i="20"/>
  <c r="P29" i="20"/>
  <c r="P151" i="20"/>
  <c r="P252" i="20"/>
  <c r="P804" i="20"/>
  <c r="P831" i="20"/>
  <c r="P579" i="20"/>
  <c r="P258" i="20"/>
  <c r="P989" i="20"/>
  <c r="P84" i="20"/>
  <c r="P1379" i="20"/>
  <c r="P859" i="20"/>
  <c r="P484" i="20"/>
  <c r="P255" i="20"/>
  <c r="P668" i="20"/>
  <c r="P259" i="20"/>
  <c r="P1181" i="20"/>
  <c r="P1085" i="20"/>
  <c r="P786" i="20"/>
  <c r="P861" i="20"/>
  <c r="P81" i="20"/>
  <c r="P32" i="20"/>
  <c r="P404" i="20"/>
  <c r="P1145" i="20"/>
  <c r="P361" i="20"/>
  <c r="P1152" i="20"/>
  <c r="P455" i="20"/>
  <c r="P211" i="20"/>
  <c r="P672" i="20"/>
  <c r="P73" i="20"/>
  <c r="P793" i="20"/>
  <c r="P573" i="20"/>
  <c r="P583" i="20"/>
  <c r="P326" i="20"/>
  <c r="P928" i="20"/>
  <c r="P913" i="20"/>
  <c r="P845" i="20"/>
  <c r="P1162" i="20"/>
  <c r="P476" i="20"/>
  <c r="P894" i="20"/>
  <c r="P926" i="20"/>
  <c r="P166" i="20"/>
  <c r="P329" i="20"/>
  <c r="P988" i="20"/>
  <c r="P1446" i="20"/>
  <c r="P1351" i="20"/>
  <c r="P1258" i="20"/>
  <c r="P1325" i="20"/>
  <c r="P798" i="20"/>
  <c r="P342" i="20"/>
  <c r="P647" i="20"/>
  <c r="P449" i="20"/>
  <c r="P972" i="20"/>
  <c r="P1116" i="20"/>
  <c r="P1230" i="20"/>
  <c r="P1143" i="20"/>
  <c r="P1050" i="20"/>
  <c r="P849" i="20"/>
  <c r="P170" i="20"/>
  <c r="P447" i="20"/>
  <c r="P736" i="20"/>
  <c r="P816" i="20"/>
  <c r="P1497" i="20"/>
  <c r="P1500" i="20"/>
  <c r="P1375" i="20"/>
  <c r="P1282" i="20"/>
  <c r="P546" i="20"/>
  <c r="P676" i="20"/>
  <c r="P1372" i="20"/>
  <c r="P1239" i="20"/>
  <c r="P1466" i="20"/>
  <c r="P1380" i="20"/>
  <c r="P702" i="20"/>
  <c r="P1024" i="20"/>
  <c r="P1262" i="20"/>
  <c r="P930" i="20"/>
  <c r="P224" i="20"/>
  <c r="P118" i="20"/>
  <c r="P949" i="20"/>
  <c r="P1031" i="20"/>
  <c r="P1298" i="20"/>
  <c r="P219" i="20"/>
  <c r="P1201" i="20"/>
  <c r="P1022" i="20"/>
  <c r="P1407" i="20"/>
  <c r="P128" i="20"/>
  <c r="P1079" i="20"/>
  <c r="P555" i="20"/>
  <c r="P1189" i="20"/>
  <c r="P986" i="20"/>
  <c r="P1167" i="20"/>
  <c r="P526" i="20"/>
  <c r="P1502" i="20"/>
  <c r="P1341" i="20"/>
  <c r="P1278" i="20"/>
  <c r="P191" i="20"/>
  <c r="P1223" i="20"/>
  <c r="P1395" i="20"/>
  <c r="P1288" i="20"/>
  <c r="P1095" i="20"/>
  <c r="P882" i="20"/>
  <c r="P959" i="20"/>
  <c r="P291" i="20"/>
  <c r="P1224" i="20"/>
  <c r="P88" i="20"/>
  <c r="P355" i="20"/>
  <c r="P463" i="20"/>
  <c r="P992" i="20"/>
  <c r="P104" i="20"/>
  <c r="P398" i="20"/>
  <c r="P1226" i="20"/>
  <c r="P334" i="20"/>
  <c r="P1330" i="20"/>
  <c r="P545" i="20"/>
  <c r="P1122" i="20"/>
  <c r="P923" i="20"/>
  <c r="P1447" i="20"/>
  <c r="P950" i="20"/>
  <c r="P1064" i="20"/>
  <c r="P406" i="20"/>
  <c r="P1394" i="20"/>
  <c r="P858" i="20"/>
  <c r="P795" i="20"/>
  <c r="P1191" i="20"/>
  <c r="P910" i="20"/>
  <c r="P515" i="20"/>
  <c r="P52" i="20"/>
  <c r="P111" i="20"/>
  <c r="P412" i="20"/>
  <c r="P413" i="20"/>
  <c r="P461" i="20"/>
  <c r="P925" i="20"/>
  <c r="P939" i="20"/>
  <c r="P343" i="20"/>
  <c r="P752" i="20"/>
  <c r="P500" i="20"/>
  <c r="P1128" i="20"/>
  <c r="P756" i="20"/>
  <c r="P889" i="20"/>
  <c r="P848" i="20"/>
  <c r="P173" i="20"/>
  <c r="P470" i="20"/>
  <c r="P943" i="20"/>
  <c r="P1281" i="20"/>
  <c r="P968" i="20"/>
  <c r="P1219" i="20"/>
  <c r="P509" i="20"/>
  <c r="P961" i="20"/>
  <c r="P1360" i="20"/>
  <c r="P1194" i="20"/>
  <c r="P1153" i="20"/>
  <c r="P787" i="20"/>
  <c r="P735" i="20"/>
  <c r="P1471" i="20"/>
  <c r="P871" i="20"/>
  <c r="P721" i="20"/>
  <c r="P381" i="20"/>
  <c r="P954" i="20"/>
  <c r="P502" i="20"/>
  <c r="P1106" i="20"/>
  <c r="P1319" i="20"/>
  <c r="P895" i="20"/>
  <c r="P1424" i="20"/>
  <c r="P1209" i="20"/>
  <c r="P511" i="20"/>
  <c r="P1033" i="20"/>
  <c r="P503" i="20"/>
  <c r="P280" i="20"/>
  <c r="P180" i="20"/>
  <c r="P167" i="20"/>
  <c r="P39" i="20"/>
  <c r="P75" i="20"/>
  <c r="P1396" i="20"/>
  <c r="P1017" i="20"/>
  <c r="P1459" i="20"/>
  <c r="P297" i="20"/>
  <c r="P642" i="20"/>
  <c r="P1141" i="20"/>
  <c r="P79" i="20"/>
  <c r="P419" i="20"/>
  <c r="P983" i="20"/>
  <c r="P383" i="20"/>
  <c r="P1445" i="20"/>
  <c r="P1359" i="20"/>
  <c r="P1160" i="20"/>
  <c r="P1441" i="20"/>
  <c r="P922" i="20"/>
  <c r="P985" i="20"/>
  <c r="P102" i="20"/>
  <c r="P1023" i="20"/>
  <c r="P1067" i="20"/>
  <c r="P394" i="20"/>
  <c r="P1462" i="20"/>
  <c r="P1090" i="20"/>
  <c r="P416" i="20"/>
  <c r="P1130" i="20"/>
  <c r="P487" i="20"/>
  <c r="P963" i="20"/>
  <c r="M40" i="20"/>
  <c r="M278" i="20"/>
  <c r="M626" i="20"/>
  <c r="M702" i="20"/>
  <c r="M419" i="20"/>
  <c r="M15" i="20"/>
  <c r="M717" i="20"/>
  <c r="M223" i="20"/>
  <c r="M290" i="20"/>
  <c r="M389" i="20"/>
  <c r="M382" i="20"/>
  <c r="M698" i="20"/>
  <c r="M86" i="20"/>
  <c r="M884" i="20"/>
  <c r="M272" i="20"/>
  <c r="M360" i="20"/>
  <c r="M465" i="20"/>
  <c r="M243" i="20"/>
  <c r="M178" i="20"/>
  <c r="M1303" i="20"/>
  <c r="M1017" i="20"/>
  <c r="M207" i="20"/>
  <c r="M289" i="20"/>
  <c r="M846" i="20"/>
  <c r="M1114" i="20"/>
  <c r="M1158" i="20"/>
  <c r="M620" i="20"/>
  <c r="M340" i="20"/>
  <c r="M600" i="20"/>
  <c r="M267" i="20"/>
  <c r="M843" i="20"/>
  <c r="M269" i="20"/>
  <c r="M845" i="20"/>
  <c r="M1262" i="20"/>
  <c r="M513" i="20"/>
  <c r="M524" i="20"/>
  <c r="M1039" i="20"/>
  <c r="M745" i="20"/>
  <c r="M168" i="20"/>
  <c r="M372" i="20"/>
  <c r="M99" i="20"/>
  <c r="M876" i="20"/>
  <c r="M549" i="20"/>
  <c r="M755" i="20"/>
  <c r="M411" i="20"/>
  <c r="M1082" i="20"/>
  <c r="M413" i="20"/>
  <c r="M1087" i="20"/>
  <c r="M1056" i="20"/>
  <c r="M741" i="20"/>
  <c r="M555" i="20"/>
  <c r="M1141" i="20"/>
  <c r="M790" i="20"/>
  <c r="M179" i="20"/>
  <c r="M385" i="20"/>
  <c r="M108" i="20"/>
  <c r="M893" i="20"/>
  <c r="M564" i="20"/>
  <c r="M764" i="20"/>
  <c r="M420" i="20"/>
  <c r="M1104" i="20"/>
  <c r="M422" i="20"/>
  <c r="M659" i="20"/>
  <c r="M62" i="20"/>
  <c r="M292" i="20"/>
  <c r="M357" i="20"/>
  <c r="M1009" i="20"/>
  <c r="M1231" i="20"/>
  <c r="M1284" i="20"/>
  <c r="M665" i="20"/>
  <c r="M376" i="20"/>
  <c r="M627" i="20"/>
  <c r="M291" i="20"/>
  <c r="M875" i="20"/>
  <c r="M293" i="20"/>
  <c r="M877" i="20"/>
  <c r="M1306" i="20"/>
  <c r="M763" i="20"/>
  <c r="M506" i="20"/>
  <c r="M595" i="20"/>
  <c r="M274" i="20"/>
  <c r="M827" i="20"/>
  <c r="M585" i="20"/>
  <c r="M587" i="20"/>
  <c r="M1492" i="20"/>
  <c r="M687" i="20"/>
  <c r="M1309" i="20"/>
  <c r="M1385" i="20"/>
  <c r="M1003" i="20"/>
  <c r="M980" i="20"/>
  <c r="M1278" i="20"/>
  <c r="M122" i="20"/>
  <c r="M396" i="20"/>
  <c r="M1316" i="20"/>
  <c r="M693" i="20"/>
  <c r="M645" i="20"/>
  <c r="M897" i="20"/>
  <c r="M899" i="20"/>
  <c r="M1397" i="20"/>
  <c r="M823" i="20"/>
  <c r="M864" i="20"/>
  <c r="M1241" i="20"/>
  <c r="M1139" i="20"/>
  <c r="M1116" i="20"/>
  <c r="M1414" i="20"/>
  <c r="M262" i="20"/>
  <c r="M176" i="20"/>
  <c r="M648" i="20"/>
  <c r="M91" i="20"/>
  <c r="M985" i="20"/>
  <c r="M61" i="20"/>
  <c r="M1461" i="20"/>
  <c r="M447" i="20"/>
  <c r="M961" i="20"/>
  <c r="M1016" i="20"/>
  <c r="M1393" i="20"/>
  <c r="M1276" i="20"/>
  <c r="M1252" i="20"/>
  <c r="M232" i="20"/>
  <c r="M469" i="20"/>
  <c r="M1401" i="20"/>
  <c r="M1508" i="20"/>
  <c r="M425" i="20"/>
  <c r="M323" i="20"/>
  <c r="M325" i="20"/>
  <c r="M1210" i="20"/>
  <c r="M583" i="20"/>
  <c r="M1143" i="20"/>
  <c r="M1205" i="20"/>
  <c r="M1458" i="20"/>
  <c r="M1432" i="20"/>
  <c r="M1405" i="20"/>
  <c r="M311" i="20"/>
  <c r="M316" i="20"/>
  <c r="M709" i="20"/>
  <c r="M960" i="20"/>
  <c r="M847" i="20"/>
  <c r="M1265" i="20"/>
  <c r="M1140" i="20"/>
  <c r="M526" i="20"/>
  <c r="M750" i="20"/>
  <c r="M1117" i="20"/>
  <c r="M958" i="20"/>
  <c r="M993" i="20"/>
  <c r="M1420" i="20"/>
  <c r="M1277" i="20"/>
  <c r="M800" i="20"/>
  <c r="M72" i="20"/>
  <c r="M384" i="20"/>
  <c r="M1248" i="20"/>
  <c r="M1176" i="20"/>
  <c r="M1485" i="20"/>
  <c r="M1433" i="20"/>
  <c r="M153" i="20"/>
  <c r="M814" i="20"/>
  <c r="M330" i="20"/>
  <c r="M158" i="20"/>
  <c r="M1181" i="20"/>
  <c r="M166" i="20"/>
  <c r="M1258" i="20"/>
  <c r="M342" i="20"/>
  <c r="M440" i="20"/>
  <c r="M544" i="20"/>
  <c r="M50" i="20"/>
  <c r="M107" i="20"/>
  <c r="M242" i="20"/>
  <c r="M56" i="20"/>
  <c r="M417" i="20"/>
  <c r="M516" i="20"/>
  <c r="M641" i="20"/>
  <c r="M553" i="20"/>
  <c r="M517" i="20"/>
  <c r="M364" i="20"/>
  <c r="M202" i="20"/>
  <c r="M501" i="20"/>
  <c r="M476" i="20"/>
  <c r="M27" i="20"/>
  <c r="M1491" i="20"/>
  <c r="M17" i="20"/>
  <c r="M738" i="20"/>
  <c r="M436" i="20"/>
  <c r="M673" i="20"/>
  <c r="M331" i="20"/>
  <c r="M930" i="20"/>
  <c r="M333" i="20"/>
  <c r="M933" i="20"/>
  <c r="M1379" i="20"/>
  <c r="M140" i="20"/>
  <c r="M918" i="20"/>
  <c r="M152" i="20"/>
  <c r="M1192" i="20"/>
  <c r="M298" i="20"/>
  <c r="M470" i="20"/>
  <c r="M172" i="20"/>
  <c r="M1061" i="20"/>
  <c r="M666" i="20"/>
  <c r="M828" i="20"/>
  <c r="M484" i="20"/>
  <c r="M1272" i="20"/>
  <c r="M486" i="20"/>
  <c r="M1279" i="20"/>
  <c r="M1142" i="20"/>
  <c r="M196" i="20"/>
  <c r="M1103" i="20"/>
  <c r="M170" i="20"/>
  <c r="M1273" i="20"/>
  <c r="M332" i="20"/>
  <c r="M482" i="20"/>
  <c r="M182" i="20"/>
  <c r="M1094" i="20"/>
  <c r="M681" i="20"/>
  <c r="M838" i="20"/>
  <c r="M493" i="20"/>
  <c r="M1300" i="20"/>
  <c r="M496" i="20"/>
  <c r="M986" i="20"/>
  <c r="M281" i="20"/>
  <c r="M644" i="20"/>
  <c r="M556" i="20"/>
  <c r="M70" i="20"/>
  <c r="M305" i="20"/>
  <c r="M44" i="20"/>
  <c r="M781" i="20"/>
  <c r="M473" i="20"/>
  <c r="M700" i="20"/>
  <c r="M356" i="20"/>
  <c r="M975" i="20"/>
  <c r="M358" i="20"/>
  <c r="M977" i="20"/>
  <c r="M1421" i="20"/>
  <c r="M34" i="20"/>
  <c r="M88" i="20"/>
  <c r="M1434" i="20"/>
  <c r="M460" i="20"/>
  <c r="M1247" i="20"/>
  <c r="M731" i="20"/>
  <c r="M733" i="20"/>
  <c r="M1189" i="20"/>
  <c r="M751" i="20"/>
  <c r="M1427" i="20"/>
  <c r="M1169" i="20"/>
  <c r="M1067" i="20"/>
  <c r="M1044" i="20"/>
  <c r="M1342" i="20"/>
  <c r="M705" i="20"/>
  <c r="M906" i="20"/>
  <c r="M421" i="20"/>
  <c r="M949" i="20"/>
  <c r="M792" i="20"/>
  <c r="M1168" i="20"/>
  <c r="M1109" i="20"/>
  <c r="M367" i="20"/>
  <c r="M887" i="20"/>
  <c r="M928" i="20"/>
  <c r="M1311" i="20"/>
  <c r="M1203" i="20"/>
  <c r="M1180" i="20"/>
  <c r="M1478" i="20"/>
  <c r="M1105" i="20"/>
  <c r="M538" i="20"/>
  <c r="M891" i="20"/>
  <c r="M238" i="20"/>
  <c r="M1346" i="20"/>
  <c r="M189" i="20"/>
  <c r="M1042" i="20"/>
  <c r="M511" i="20"/>
  <c r="M1047" i="20"/>
  <c r="M1102" i="20"/>
  <c r="M1466" i="20"/>
  <c r="M1349" i="20"/>
  <c r="M1323" i="20"/>
  <c r="M901" i="20"/>
  <c r="M94" i="20"/>
  <c r="M266" i="20"/>
  <c r="M154" i="20"/>
  <c r="M637" i="20"/>
  <c r="M466" i="20"/>
  <c r="M468" i="20"/>
  <c r="M1363" i="20"/>
  <c r="M647" i="20"/>
  <c r="M1240" i="20"/>
  <c r="M1312" i="20"/>
  <c r="M963" i="20"/>
  <c r="M1505" i="20"/>
  <c r="M1479" i="20"/>
  <c r="M491" i="20"/>
  <c r="M736" i="20"/>
  <c r="M1095" i="20"/>
  <c r="M948" i="20"/>
  <c r="M983" i="20"/>
  <c r="M1411" i="20"/>
  <c r="M1268" i="20"/>
  <c r="M760" i="20"/>
  <c r="M63" i="20"/>
  <c r="M374" i="20"/>
  <c r="M1237" i="20"/>
  <c r="M1165" i="20"/>
  <c r="M1476" i="20"/>
  <c r="M1424" i="20"/>
  <c r="M1263" i="20"/>
  <c r="M387" i="20"/>
  <c r="M676" i="20"/>
  <c r="M1152" i="20"/>
  <c r="M1399" i="20"/>
  <c r="M1051" i="20"/>
  <c r="M1326" i="20"/>
  <c r="M699" i="20"/>
  <c r="M257" i="20"/>
  <c r="M1077" i="20"/>
  <c r="M79" i="20"/>
  <c r="M405" i="20"/>
  <c r="M263" i="20"/>
  <c r="M336" i="20"/>
  <c r="M132" i="20"/>
  <c r="M492" i="20"/>
  <c r="M610" i="20"/>
  <c r="M732" i="20"/>
  <c r="M1113" i="20"/>
  <c r="M500" i="20"/>
  <c r="M464" i="20"/>
  <c r="M208" i="20"/>
  <c r="M582" i="20"/>
  <c r="M701" i="20"/>
  <c r="M829" i="20"/>
  <c r="M416" i="20"/>
  <c r="M668" i="20"/>
  <c r="M326" i="20"/>
  <c r="M462" i="20"/>
  <c r="M939" i="20"/>
  <c r="M720" i="20"/>
  <c r="M143" i="20"/>
  <c r="M361" i="20"/>
  <c r="M90" i="20"/>
  <c r="M859" i="20"/>
  <c r="M534" i="20"/>
  <c r="M746" i="20"/>
  <c r="M402" i="20"/>
  <c r="M1062" i="20"/>
  <c r="M404" i="20"/>
  <c r="M1065" i="20"/>
  <c r="M1511" i="20"/>
  <c r="M300" i="20"/>
  <c r="M123" i="20"/>
  <c r="M381" i="20"/>
  <c r="M103" i="20"/>
  <c r="M504" i="20"/>
  <c r="M574" i="20"/>
  <c r="M246" i="20"/>
  <c r="M1388" i="20"/>
  <c r="M784" i="20"/>
  <c r="M914" i="20"/>
  <c r="M557" i="20"/>
  <c r="M21" i="20"/>
  <c r="M560" i="20"/>
  <c r="M924" i="20"/>
  <c r="M1239" i="20"/>
  <c r="M542" i="20"/>
  <c r="M144" i="20"/>
  <c r="M443" i="20"/>
  <c r="M114" i="20"/>
  <c r="M525" i="20"/>
  <c r="M589" i="20"/>
  <c r="M255" i="20"/>
  <c r="M1452" i="20"/>
  <c r="M798" i="20"/>
  <c r="M925" i="20"/>
  <c r="M566" i="20"/>
  <c r="M29" i="20"/>
  <c r="M569" i="20"/>
  <c r="M900" i="20"/>
  <c r="M597" i="20"/>
  <c r="M1417" i="20"/>
  <c r="M817" i="20"/>
  <c r="M193" i="20"/>
  <c r="M397" i="20"/>
  <c r="M118" i="20"/>
  <c r="M910" i="20"/>
  <c r="M579" i="20"/>
  <c r="M773" i="20"/>
  <c r="M429" i="20"/>
  <c r="M1126" i="20"/>
  <c r="M432" i="20"/>
  <c r="M1129" i="20"/>
  <c r="M1078" i="20"/>
  <c r="M84" i="20"/>
  <c r="M379" i="20"/>
  <c r="M1271" i="20"/>
  <c r="M680" i="20"/>
  <c r="M636" i="20"/>
  <c r="M885" i="20"/>
  <c r="M889" i="20"/>
  <c r="M1367" i="20"/>
  <c r="M815" i="20"/>
  <c r="M856" i="20"/>
  <c r="M1233" i="20"/>
  <c r="M1131" i="20"/>
  <c r="M1108" i="20"/>
  <c r="M1406" i="20"/>
  <c r="M222" i="20"/>
  <c r="M162" i="20"/>
  <c r="M634" i="20"/>
  <c r="M82" i="20"/>
  <c r="M967" i="20"/>
  <c r="M53" i="20"/>
  <c r="M1425" i="20"/>
  <c r="M439" i="20"/>
  <c r="M951" i="20"/>
  <c r="M1006" i="20"/>
  <c r="M1384" i="20"/>
  <c r="M1267" i="20"/>
  <c r="M1244" i="20"/>
  <c r="M129" i="20"/>
  <c r="M408" i="20"/>
  <c r="M1299" i="20"/>
  <c r="M1435" i="20"/>
  <c r="M412" i="20"/>
  <c r="M315" i="20"/>
  <c r="M317" i="20"/>
  <c r="M1184" i="20"/>
  <c r="M575" i="20"/>
  <c r="M1133" i="20"/>
  <c r="M1191" i="20"/>
  <c r="M1449" i="20"/>
  <c r="M1423" i="20"/>
  <c r="M1396" i="20"/>
  <c r="M1472" i="20"/>
  <c r="M646" i="20"/>
  <c r="M686" i="20"/>
  <c r="M306" i="20"/>
  <c r="M878" i="20"/>
  <c r="M612" i="20"/>
  <c r="M614" i="20"/>
  <c r="M1098" i="20"/>
  <c r="M711" i="20"/>
  <c r="M1354" i="20"/>
  <c r="M1428" i="20"/>
  <c r="M1027" i="20"/>
  <c r="M1004" i="20"/>
  <c r="M1302" i="20"/>
  <c r="M684" i="20"/>
  <c r="M54" i="20"/>
  <c r="M365" i="20"/>
  <c r="M1223" i="20"/>
  <c r="M1153" i="20"/>
  <c r="M1467" i="20"/>
  <c r="M1415" i="20"/>
  <c r="M1040" i="20"/>
  <c r="M373" i="20"/>
  <c r="M667" i="20"/>
  <c r="M1120" i="20"/>
  <c r="M1383" i="20"/>
  <c r="M1043" i="20"/>
  <c r="M1318" i="20"/>
  <c r="M653" i="20"/>
  <c r="M826" i="20"/>
  <c r="M1024" i="20"/>
  <c r="M1499" i="20"/>
  <c r="M904" i="20"/>
  <c r="M239" i="20"/>
  <c r="M303" i="20"/>
  <c r="M805" i="20"/>
  <c r="M426" i="20"/>
  <c r="M789" i="20"/>
  <c r="M598" i="20"/>
  <c r="M294" i="20"/>
  <c r="M674" i="20"/>
  <c r="M793" i="20"/>
  <c r="M969" i="20"/>
  <c r="M1182" i="20"/>
  <c r="M30" i="20"/>
  <c r="M748" i="20"/>
  <c r="M414" i="20"/>
  <c r="M771" i="20"/>
  <c r="M915" i="20"/>
  <c r="M279" i="20"/>
  <c r="M25" i="20"/>
  <c r="M480" i="20"/>
  <c r="M18" i="20"/>
  <c r="M866" i="20"/>
  <c r="M112" i="20"/>
  <c r="M1119" i="20"/>
  <c r="M280" i="20"/>
  <c r="M458" i="20"/>
  <c r="M163" i="20"/>
  <c r="M1031" i="20"/>
  <c r="M652" i="20"/>
  <c r="M819" i="20"/>
  <c r="M475" i="20"/>
  <c r="M1246" i="20"/>
  <c r="M477" i="20"/>
  <c r="M1250" i="20"/>
  <c r="M1130" i="20"/>
  <c r="M177" i="20"/>
  <c r="M370" i="20"/>
  <c r="M762" i="20"/>
  <c r="M224" i="20"/>
  <c r="M757" i="20"/>
  <c r="M692" i="20"/>
  <c r="M328" i="20"/>
  <c r="M119" i="20"/>
  <c r="M913" i="20"/>
  <c r="M1034" i="20"/>
  <c r="M630" i="20"/>
  <c r="M85" i="20"/>
  <c r="M633" i="20"/>
  <c r="M1000" i="20"/>
  <c r="M1353" i="20"/>
  <c r="M254" i="20"/>
  <c r="M403" i="20"/>
  <c r="M802" i="20"/>
  <c r="M249" i="20"/>
  <c r="M778" i="20"/>
  <c r="M707" i="20"/>
  <c r="M338" i="20"/>
  <c r="M128" i="20"/>
  <c r="M931" i="20"/>
  <c r="M1053" i="20"/>
  <c r="M640" i="20"/>
  <c r="M93" i="20"/>
  <c r="M642" i="20"/>
  <c r="M452" i="20"/>
  <c r="M1218" i="20"/>
  <c r="M190" i="20"/>
  <c r="M1507" i="20"/>
  <c r="M346" i="20"/>
  <c r="M494" i="20"/>
  <c r="M191" i="20"/>
  <c r="M1127" i="20"/>
  <c r="M696" i="20"/>
  <c r="M850" i="20"/>
  <c r="M502" i="20"/>
  <c r="M1330" i="20"/>
  <c r="M505" i="20"/>
  <c r="M1336" i="20"/>
  <c r="M1162" i="20"/>
  <c r="M670" i="20"/>
  <c r="M837" i="20"/>
  <c r="M409" i="20"/>
  <c r="M929" i="20"/>
  <c r="M782" i="20"/>
  <c r="M1146" i="20"/>
  <c r="M1046" i="20"/>
  <c r="M359" i="20"/>
  <c r="M879" i="20"/>
  <c r="M920" i="20"/>
  <c r="M1301" i="20"/>
  <c r="M1195" i="20"/>
  <c r="M1172" i="20"/>
  <c r="M1470" i="20"/>
  <c r="M1014" i="20"/>
  <c r="M499" i="20"/>
  <c r="M874" i="20"/>
  <c r="M228" i="20"/>
  <c r="M1317" i="20"/>
  <c r="M181" i="20"/>
  <c r="M1032" i="20"/>
  <c r="M503" i="20"/>
  <c r="M1037" i="20"/>
  <c r="M1090" i="20"/>
  <c r="M1457" i="20"/>
  <c r="M1340" i="20"/>
  <c r="M1314" i="20"/>
  <c r="M657" i="20"/>
  <c r="M74" i="20"/>
  <c r="M241" i="20"/>
  <c r="M145" i="20"/>
  <c r="M622" i="20"/>
  <c r="M457" i="20"/>
  <c r="M459" i="20"/>
  <c r="M1348" i="20"/>
  <c r="M639" i="20"/>
  <c r="M1229" i="20"/>
  <c r="M1298" i="20"/>
  <c r="M955" i="20"/>
  <c r="M1496" i="20"/>
  <c r="M1469" i="20"/>
  <c r="M185" i="20"/>
  <c r="M138" i="20"/>
  <c r="M886" i="20"/>
  <c r="M497" i="20"/>
  <c r="M1391" i="20"/>
  <c r="M758" i="20"/>
  <c r="M761" i="20"/>
  <c r="M1253" i="20"/>
  <c r="M775" i="20"/>
  <c r="M1482" i="20"/>
  <c r="M1193" i="20"/>
  <c r="M1091" i="20"/>
  <c r="M1068" i="20"/>
  <c r="M1366" i="20"/>
  <c r="M959" i="20"/>
  <c r="M362" i="20"/>
  <c r="M658" i="20"/>
  <c r="M1110" i="20"/>
  <c r="M1370" i="20"/>
  <c r="M1035" i="20"/>
  <c r="M1310" i="20"/>
  <c r="M628" i="20"/>
  <c r="M811" i="20"/>
  <c r="M1008" i="20"/>
  <c r="M1463" i="20"/>
  <c r="M896" i="20"/>
  <c r="M1171" i="20"/>
  <c r="M1446" i="20"/>
  <c r="M324" i="20"/>
  <c r="M164" i="20"/>
  <c r="M125" i="20"/>
  <c r="M479" i="20"/>
  <c r="M1058" i="20"/>
  <c r="M1313" i="20"/>
  <c r="M60" i="20"/>
  <c r="M214" i="20"/>
  <c r="M104" i="20"/>
  <c r="M540" i="20"/>
  <c r="M1136" i="20"/>
  <c r="M937" i="20"/>
  <c r="M1357" i="20"/>
  <c r="M1050" i="20"/>
  <c r="M586" i="20"/>
  <c r="M97" i="20"/>
  <c r="M105" i="20"/>
  <c r="M78" i="20"/>
  <c r="M561" i="20"/>
  <c r="M1333" i="20"/>
  <c r="M902" i="20"/>
  <c r="M1490" i="20"/>
  <c r="M1498" i="20"/>
  <c r="M851" i="20"/>
  <c r="M42" i="20"/>
  <c r="M1157" i="20"/>
  <c r="M424" i="20"/>
  <c r="M1135" i="20"/>
  <c r="M704" i="20"/>
  <c r="M706" i="20"/>
  <c r="M1481" i="20"/>
  <c r="M787" i="20"/>
  <c r="M418" i="20"/>
  <c r="M824" i="20"/>
  <c r="M201" i="20"/>
  <c r="M1234" i="20"/>
  <c r="M157" i="20"/>
  <c r="M690" i="20"/>
  <c r="M474" i="20"/>
  <c r="M570" i="20"/>
  <c r="M264" i="20"/>
  <c r="M812" i="20"/>
  <c r="M576" i="20"/>
  <c r="M578" i="20"/>
  <c r="M1264" i="20"/>
  <c r="M151" i="20"/>
  <c r="M73" i="20"/>
  <c r="M45" i="20"/>
  <c r="M431" i="20"/>
  <c r="M994" i="20"/>
  <c r="M1259" i="20"/>
  <c r="M862" i="20"/>
  <c r="M1213" i="20"/>
  <c r="M400" i="20"/>
  <c r="M309" i="20"/>
  <c r="M567" i="20"/>
  <c r="M1178" i="20"/>
  <c r="M1413" i="20"/>
  <c r="M1170" i="20"/>
  <c r="M661" i="20"/>
  <c r="M861" i="20"/>
  <c r="M605" i="20"/>
  <c r="M703" i="20"/>
  <c r="M1416" i="20"/>
  <c r="M996" i="20"/>
  <c r="M160" i="20"/>
  <c r="M1419" i="20"/>
  <c r="M664" i="20"/>
  <c r="M921" i="20"/>
  <c r="M839" i="20"/>
  <c r="M1257" i="20"/>
  <c r="M1132" i="20"/>
  <c r="M602" i="20"/>
  <c r="M991" i="20"/>
  <c r="M888" i="20"/>
  <c r="M1438" i="20"/>
  <c r="M155" i="20"/>
  <c r="M471" i="20"/>
  <c r="M1304" i="20"/>
  <c r="M120" i="20"/>
  <c r="M386" i="20"/>
  <c r="M1242" i="20"/>
  <c r="M1287" i="20"/>
  <c r="M343" i="20"/>
  <c r="M174" i="20"/>
  <c r="M133" i="20"/>
  <c r="M487" i="20"/>
  <c r="M1070" i="20"/>
  <c r="M1322" i="20"/>
  <c r="M392" i="20"/>
  <c r="M297" i="20"/>
  <c r="M527" i="20"/>
  <c r="M1368" i="20"/>
  <c r="M747" i="20"/>
  <c r="M245" i="20"/>
  <c r="M1134" i="20"/>
  <c r="M451" i="20"/>
  <c r="M319" i="20"/>
  <c r="M543" i="20"/>
  <c r="M1386" i="20"/>
  <c r="M818" i="20"/>
  <c r="M261" i="20"/>
  <c r="M1154" i="20"/>
  <c r="M1315" i="20"/>
  <c r="M655" i="20"/>
  <c r="M1206" i="20"/>
  <c r="M406" i="20"/>
  <c r="M1343" i="20"/>
  <c r="M270" i="20"/>
  <c r="M1281" i="20"/>
  <c r="M171" i="20"/>
  <c r="M679" i="20"/>
  <c r="M1161" i="20"/>
  <c r="M1227" i="20"/>
  <c r="M1220" i="20"/>
  <c r="M531" i="20"/>
  <c r="M546" i="20"/>
  <c r="M756" i="20"/>
  <c r="M808" i="20"/>
  <c r="M258" i="20"/>
  <c r="M836" i="20"/>
  <c r="M58" i="20"/>
  <c r="M354" i="20"/>
  <c r="M148" i="20"/>
  <c r="M43" i="20"/>
  <c r="M115" i="20"/>
  <c r="M288" i="20"/>
  <c r="M312" i="20"/>
  <c r="M212" i="20"/>
  <c r="M677" i="20"/>
  <c r="M110" i="20"/>
  <c r="M1018" i="20"/>
  <c r="M77" i="20"/>
  <c r="M990" i="20"/>
  <c r="M314" i="20"/>
  <c r="M161" i="20"/>
  <c r="M922" i="20"/>
  <c r="M520" i="20"/>
  <c r="M536" i="20"/>
  <c r="M777" i="20"/>
  <c r="M779" i="20"/>
  <c r="M399" i="20"/>
  <c r="M51" i="20"/>
  <c r="M656" i="20"/>
  <c r="M970" i="20"/>
  <c r="M276" i="20"/>
  <c r="M1473" i="20"/>
  <c r="M221" i="20"/>
  <c r="M302" i="20"/>
  <c r="M898" i="20"/>
  <c r="M803" i="20"/>
  <c r="M350" i="20"/>
  <c r="M953" i="20"/>
  <c r="M649" i="20"/>
  <c r="M651" i="20"/>
  <c r="M1381" i="20"/>
  <c r="M478" i="20"/>
  <c r="M219" i="20"/>
  <c r="M173" i="20"/>
  <c r="M495" i="20"/>
  <c r="M1080" i="20"/>
  <c r="M1331" i="20"/>
  <c r="M194" i="20"/>
  <c r="M230" i="20"/>
  <c r="M608" i="20"/>
  <c r="M450" i="20"/>
  <c r="M631" i="20"/>
  <c r="M1282" i="20"/>
  <c r="M1487" i="20"/>
  <c r="M147" i="20"/>
  <c r="M869" i="20"/>
  <c r="M1344" i="20"/>
  <c r="M752" i="20"/>
  <c r="M767" i="20"/>
  <c r="M1185" i="20"/>
  <c r="M1060" i="20"/>
  <c r="M820" i="20"/>
  <c r="M445" i="20"/>
  <c r="M810" i="20"/>
  <c r="M1174" i="20"/>
  <c r="M903" i="20"/>
  <c r="M1329" i="20"/>
  <c r="M1196" i="20"/>
  <c r="M273" i="20"/>
  <c r="M109" i="20"/>
  <c r="M1038" i="20"/>
  <c r="M390" i="20"/>
  <c r="M498" i="20"/>
  <c r="M599" i="20"/>
  <c r="M1450" i="20"/>
  <c r="M923" i="20"/>
  <c r="M678" i="20"/>
  <c r="M1483" i="20"/>
  <c r="M1454" i="20"/>
  <c r="M131" i="20"/>
  <c r="M522" i="20"/>
  <c r="M395" i="20"/>
  <c r="M615" i="20"/>
  <c r="M1255" i="20"/>
  <c r="M1468" i="20"/>
  <c r="M568" i="20"/>
  <c r="M563" i="20"/>
  <c r="M783" i="20"/>
  <c r="M1076" i="20"/>
  <c r="M1021" i="20"/>
  <c r="M816" i="20"/>
  <c r="M1209" i="20"/>
  <c r="M716" i="20"/>
  <c r="M581" i="20"/>
  <c r="M799" i="20"/>
  <c r="M1092" i="20"/>
  <c r="M1081" i="20"/>
  <c r="M835" i="20"/>
  <c r="M1225" i="20"/>
  <c r="M231" i="20"/>
  <c r="M1254" i="20"/>
  <c r="M870" i="20"/>
  <c r="M209" i="20"/>
  <c r="M979" i="20"/>
  <c r="M427" i="20"/>
  <c r="M1355" i="20"/>
  <c r="M321" i="20"/>
  <c r="M1297" i="20"/>
  <c r="M860" i="20"/>
  <c r="M1204" i="20"/>
  <c r="M67" i="20"/>
  <c r="M1307" i="20"/>
  <c r="M1364" i="20"/>
  <c r="M344" i="20"/>
  <c r="M195" i="20"/>
  <c r="M490" i="20"/>
  <c r="M32" i="20"/>
  <c r="M156" i="20"/>
  <c r="M965" i="20"/>
  <c r="M320" i="20"/>
  <c r="M139" i="20"/>
  <c r="M41" i="20"/>
  <c r="M1072" i="20"/>
  <c r="M672" i="20"/>
  <c r="M380" i="20"/>
  <c r="M794" i="20"/>
  <c r="M183" i="20"/>
  <c r="M1183" i="20"/>
  <c r="M141" i="20"/>
  <c r="M1074" i="20"/>
  <c r="M1256" i="20"/>
  <c r="M304" i="20"/>
  <c r="M1149" i="20"/>
  <c r="M635" i="20"/>
  <c r="M609" i="20"/>
  <c r="M853" i="20"/>
  <c r="M857" i="20"/>
  <c r="M206" i="20"/>
  <c r="M268" i="20"/>
  <c r="M954" i="20"/>
  <c r="M1238" i="20"/>
  <c r="M363" i="20"/>
  <c r="M283" i="20"/>
  <c r="M285" i="20"/>
  <c r="M1489" i="20"/>
  <c r="M65" i="20"/>
  <c r="M1321" i="20"/>
  <c r="M446" i="20"/>
  <c r="M1207" i="20"/>
  <c r="M722" i="20"/>
  <c r="M724" i="20"/>
  <c r="M1345" i="20"/>
  <c r="M1071" i="20"/>
  <c r="M388" i="20"/>
  <c r="M301" i="20"/>
  <c r="M559" i="20"/>
  <c r="M1166" i="20"/>
  <c r="M1404" i="20"/>
  <c r="M849" i="20"/>
  <c r="M616" i="20"/>
  <c r="M844" i="20"/>
  <c r="M596" i="20"/>
  <c r="M695" i="20"/>
  <c r="M1400" i="20"/>
  <c r="M988" i="20"/>
  <c r="M142" i="20"/>
  <c r="M1362" i="20"/>
  <c r="M654" i="20"/>
  <c r="M909" i="20"/>
  <c r="M831" i="20"/>
  <c r="M1249" i="20"/>
  <c r="M1124" i="20"/>
  <c r="M282" i="20"/>
  <c r="M662" i="20"/>
  <c r="M1001" i="20"/>
  <c r="M932" i="20"/>
  <c r="M973" i="20"/>
  <c r="M1402" i="20"/>
  <c r="M1260" i="20"/>
  <c r="M83" i="20"/>
  <c r="M368" i="20"/>
  <c r="M1216" i="20"/>
  <c r="M481" i="20"/>
  <c r="M1007" i="20"/>
  <c r="M727" i="20"/>
  <c r="M1020" i="20"/>
  <c r="M337" i="20"/>
  <c r="M1013" i="20"/>
  <c r="M1283" i="20"/>
  <c r="M734" i="20"/>
  <c r="M1023" i="20"/>
  <c r="M1063" i="20"/>
  <c r="M688" i="20"/>
  <c r="M743" i="20"/>
  <c r="M1501" i="20"/>
  <c r="M1036" i="20"/>
  <c r="M111" i="20"/>
  <c r="M1380" i="20"/>
  <c r="M1069" i="20"/>
  <c r="M1341" i="20"/>
  <c r="M1055" i="20"/>
  <c r="M1096" i="20"/>
  <c r="M1493" i="20"/>
  <c r="M169" i="20"/>
  <c r="M1443" i="20"/>
  <c r="M1089" i="20"/>
  <c r="M1360" i="20"/>
  <c r="M1125" i="20"/>
  <c r="M1128" i="20"/>
  <c r="M1512" i="20"/>
  <c r="M369" i="20"/>
  <c r="M1327" i="20"/>
  <c r="M1389" i="20"/>
  <c r="M725" i="20"/>
  <c r="M956" i="20"/>
  <c r="M218" i="20"/>
  <c r="M987" i="20"/>
  <c r="M444" i="20"/>
  <c r="M1371" i="20"/>
  <c r="M1361" i="20"/>
  <c r="M1502" i="20"/>
  <c r="M66" i="20"/>
  <c r="M1356" i="20"/>
  <c r="M1365" i="20"/>
  <c r="M57" i="20"/>
  <c r="M217" i="20"/>
  <c r="M785" i="20"/>
  <c r="M124" i="20"/>
  <c r="M252" i="20"/>
  <c r="M215" i="20"/>
  <c r="M571" i="20"/>
  <c r="M235" i="20"/>
  <c r="M116" i="20"/>
  <c r="M683" i="20"/>
  <c r="M19" i="20"/>
  <c r="M584" i="20"/>
  <c r="M926" i="20"/>
  <c r="M256" i="20"/>
  <c r="M1407" i="20"/>
  <c r="M205" i="20"/>
  <c r="M1160" i="20"/>
  <c r="M220" i="20"/>
  <c r="M515" i="20"/>
  <c r="M284" i="20"/>
  <c r="M753" i="20"/>
  <c r="M682" i="20"/>
  <c r="M942" i="20"/>
  <c r="M946" i="20"/>
  <c r="M528" i="20"/>
  <c r="M611" i="20"/>
  <c r="M48" i="20"/>
  <c r="M35" i="20"/>
  <c r="M461" i="20"/>
  <c r="M347" i="20"/>
  <c r="M349" i="20"/>
  <c r="M433" i="20"/>
  <c r="M198" i="20"/>
  <c r="M966" i="20"/>
  <c r="M547" i="20"/>
  <c r="M554" i="20"/>
  <c r="M795" i="20"/>
  <c r="M797" i="20"/>
  <c r="M121" i="20"/>
  <c r="M216" i="20"/>
  <c r="M593" i="20"/>
  <c r="M441" i="20"/>
  <c r="M623" i="20"/>
  <c r="M1269" i="20"/>
  <c r="M1477" i="20"/>
  <c r="M68" i="20"/>
  <c r="M852" i="20"/>
  <c r="M1291" i="20"/>
  <c r="M742" i="20"/>
  <c r="M759" i="20"/>
  <c r="M1177" i="20"/>
  <c r="M1052" i="20"/>
  <c r="M744" i="20"/>
  <c r="M434" i="20"/>
  <c r="M801" i="20"/>
  <c r="M1151" i="20"/>
  <c r="M895" i="20"/>
  <c r="M1320" i="20"/>
  <c r="M1188" i="20"/>
  <c r="M1222" i="20"/>
  <c r="M908" i="20"/>
  <c r="M1376" i="20"/>
  <c r="M1054" i="20"/>
  <c r="M1057" i="20"/>
  <c r="M1475" i="20"/>
  <c r="M1332" i="20"/>
  <c r="M854" i="20"/>
  <c r="M660" i="20"/>
  <c r="M1447" i="20"/>
  <c r="M335" i="20"/>
  <c r="M718" i="20"/>
  <c r="M855" i="20"/>
  <c r="M1148" i="20"/>
  <c r="M765" i="20"/>
  <c r="M968" i="20"/>
  <c r="M1429" i="20"/>
  <c r="M625" i="20"/>
  <c r="M348" i="20"/>
  <c r="M737" i="20"/>
  <c r="M1030" i="20"/>
  <c r="M871" i="20"/>
  <c r="M1292" i="20"/>
  <c r="M1164" i="20"/>
  <c r="M211" i="20"/>
  <c r="M804" i="20"/>
  <c r="M1500" i="20"/>
  <c r="M1374" i="20"/>
  <c r="M577" i="20"/>
  <c r="M1293" i="20"/>
  <c r="M1107" i="20"/>
  <c r="M248" i="20"/>
  <c r="M822" i="20"/>
  <c r="M840" i="20"/>
  <c r="M1390" i="20"/>
  <c r="M606" i="20"/>
  <c r="M1324" i="20"/>
  <c r="M1123" i="20"/>
  <c r="M200" i="20"/>
  <c r="M971" i="20"/>
  <c r="M407" i="20"/>
  <c r="M521" i="20"/>
  <c r="M1497" i="20"/>
  <c r="M739" i="20"/>
  <c r="M964" i="20"/>
  <c r="M227" i="20"/>
  <c r="M995" i="20"/>
  <c r="M1199" i="20"/>
  <c r="M962" i="20"/>
  <c r="M1453" i="20"/>
  <c r="M1245" i="20"/>
  <c r="M415" i="20"/>
  <c r="M489" i="20"/>
  <c r="M934" i="20"/>
  <c r="M776" i="20"/>
  <c r="M689" i="20"/>
  <c r="M601" i="20"/>
  <c r="M353" i="20"/>
  <c r="M236" i="20"/>
  <c r="M548" i="20"/>
  <c r="M1226" i="20"/>
  <c r="M401" i="20"/>
  <c r="M192" i="20"/>
  <c r="M149" i="20"/>
  <c r="M982" i="20"/>
  <c r="M1232" i="20"/>
  <c r="M1167" i="20"/>
  <c r="M715" i="20"/>
  <c r="M126" i="20"/>
  <c r="M64" i="20"/>
  <c r="M37" i="20"/>
  <c r="M203" i="20"/>
  <c r="M950" i="20"/>
  <c r="M943" i="20"/>
  <c r="M1236" i="20"/>
  <c r="M1373" i="20"/>
  <c r="M1150" i="20"/>
  <c r="M1440" i="20"/>
  <c r="M613" i="20"/>
  <c r="M603" i="20"/>
  <c r="M1339" i="20"/>
  <c r="M1294" i="20"/>
  <c r="M723" i="20"/>
  <c r="M1426" i="20"/>
  <c r="M1155" i="20"/>
  <c r="M796" i="20"/>
  <c r="M1163" i="20"/>
  <c r="M117" i="20"/>
  <c r="M580" i="20"/>
  <c r="M607" i="20"/>
  <c r="M428" i="20"/>
  <c r="M1159" i="20"/>
  <c r="M1015" i="20"/>
  <c r="M1296" i="20"/>
  <c r="M237" i="20"/>
  <c r="M87" i="20"/>
  <c r="M535" i="20"/>
  <c r="M772" i="20"/>
  <c r="M1144" i="20"/>
  <c r="M329" i="20"/>
  <c r="M1395" i="20"/>
  <c r="M1514" i="20"/>
  <c r="M523" i="20"/>
  <c r="M530" i="20"/>
  <c r="M754" i="20"/>
  <c r="M391" i="20"/>
  <c r="M984" i="20"/>
  <c r="M927" i="20"/>
  <c r="M510" i="20"/>
  <c r="M71" i="20"/>
  <c r="M167" i="20"/>
  <c r="M1145" i="20"/>
  <c r="M159" i="20"/>
  <c r="M729" i="20"/>
  <c r="M318" i="20"/>
  <c r="M621" i="20"/>
  <c r="M1337" i="20"/>
  <c r="M629" i="20"/>
  <c r="M265" i="20"/>
  <c r="M213" i="20"/>
  <c r="M371" i="20"/>
  <c r="M941" i="20"/>
  <c r="M545" i="20"/>
  <c r="M788" i="20"/>
  <c r="M260" i="20"/>
  <c r="M137" i="20"/>
  <c r="M101" i="20"/>
  <c r="M868" i="20"/>
  <c r="M1289" i="20"/>
  <c r="M1025" i="20"/>
  <c r="M1305" i="20"/>
  <c r="M136" i="20"/>
  <c r="M1335" i="20"/>
  <c r="M1513" i="20"/>
  <c r="M113" i="20"/>
  <c r="M749" i="20"/>
  <c r="M1464" i="20"/>
  <c r="M1358" i="20"/>
  <c r="M1002" i="20"/>
  <c r="M383" i="20"/>
  <c r="M1219" i="20"/>
  <c r="M146" i="20"/>
  <c r="M1295" i="20"/>
  <c r="M377" i="20"/>
  <c r="M552" i="20"/>
  <c r="M735" i="20"/>
  <c r="M638" i="20"/>
  <c r="M393" i="20"/>
  <c r="M1190" i="20"/>
  <c r="M1442" i="20"/>
  <c r="M806" i="20"/>
  <c r="M643" i="20"/>
  <c r="M791" i="20"/>
  <c r="M1049" i="20"/>
  <c r="M1217" i="20"/>
  <c r="M590" i="20"/>
  <c r="M1100" i="20"/>
  <c r="M1488" i="20"/>
  <c r="M1437" i="20"/>
  <c r="M532" i="20"/>
  <c r="M539" i="20"/>
  <c r="M911" i="20"/>
  <c r="M1243" i="20"/>
  <c r="M1228" i="20"/>
  <c r="M730" i="20"/>
  <c r="M226" i="20"/>
  <c r="M467" i="20"/>
  <c r="M76" i="20"/>
  <c r="M334" i="20"/>
  <c r="M22" i="20"/>
  <c r="M410" i="20"/>
  <c r="M694" i="20"/>
  <c r="M98" i="20"/>
  <c r="M881" i="20"/>
  <c r="M352" i="20"/>
  <c r="M277" i="20"/>
  <c r="M47" i="20"/>
  <c r="M1186" i="20"/>
  <c r="M618" i="20"/>
  <c r="M867" i="20"/>
  <c r="M456" i="20"/>
  <c r="M210" i="20"/>
  <c r="M165" i="20"/>
  <c r="M345" i="20"/>
  <c r="M299" i="20"/>
  <c r="M1111" i="20"/>
  <c r="M1378" i="20"/>
  <c r="M286" i="20"/>
  <c r="M1066" i="20"/>
  <c r="M1011" i="20"/>
  <c r="M437" i="20"/>
  <c r="M907" i="20"/>
  <c r="M872" i="20"/>
  <c r="M1422" i="20"/>
  <c r="M100" i="20"/>
  <c r="M455" i="20"/>
  <c r="M1285" i="20"/>
  <c r="M485" i="20"/>
  <c r="M1441" i="20"/>
  <c r="M669" i="20"/>
  <c r="M394" i="20"/>
  <c r="M863" i="20"/>
  <c r="M834" i="20"/>
  <c r="M685" i="20"/>
  <c r="M1412" i="20"/>
  <c r="M1334" i="20"/>
  <c r="M1064" i="20"/>
  <c r="M130" i="20"/>
  <c r="M1079" i="20"/>
  <c r="M1093" i="20"/>
  <c r="M1503" i="20"/>
  <c r="M1480" i="20"/>
  <c r="M1369" i="20"/>
  <c r="M33" i="20"/>
  <c r="M663" i="20"/>
  <c r="M1456" i="20"/>
  <c r="M541" i="20"/>
  <c r="M952" i="20"/>
  <c r="M882" i="20"/>
  <c r="M1045" i="20"/>
  <c r="M442" i="20"/>
  <c r="M1403" i="20"/>
  <c r="M175" i="20"/>
  <c r="M233" i="20"/>
  <c r="M150" i="20"/>
  <c r="M508" i="20"/>
  <c r="M768" i="20"/>
  <c r="M916" i="20"/>
  <c r="M38" i="20"/>
  <c r="M449" i="20"/>
  <c r="M341" i="20"/>
  <c r="M240" i="20"/>
  <c r="M295" i="20"/>
  <c r="M691" i="20"/>
  <c r="M80" i="20"/>
  <c r="M675" i="20"/>
  <c r="M287" i="20"/>
  <c r="M229" i="20"/>
  <c r="M20" i="20"/>
  <c r="M438" i="20"/>
  <c r="M1202" i="20"/>
  <c r="M1451" i="20"/>
  <c r="M472" i="20"/>
  <c r="M1200" i="20"/>
  <c r="M1075" i="20"/>
  <c r="M945" i="20"/>
  <c r="M1194" i="20"/>
  <c r="M936" i="20"/>
  <c r="M1486" i="20"/>
  <c r="M247" i="20"/>
  <c r="M519" i="20"/>
  <c r="M1359" i="20"/>
  <c r="M981" i="20"/>
  <c r="M1012" i="20"/>
  <c r="M997" i="20"/>
  <c r="M565" i="20"/>
  <c r="M1005" i="20"/>
  <c r="M1471" i="20"/>
  <c r="M1041" i="20"/>
  <c r="M912" i="20"/>
  <c r="M1462" i="20"/>
  <c r="M1280" i="20"/>
  <c r="M234" i="20"/>
  <c r="M832" i="20"/>
  <c r="M592" i="20"/>
  <c r="M1115" i="20"/>
  <c r="M833" i="20"/>
  <c r="M1398" i="20"/>
  <c r="M518" i="20"/>
  <c r="M1266" i="20"/>
  <c r="M671" i="20"/>
  <c r="M1474" i="20"/>
  <c r="M1338" i="20"/>
  <c r="M935" i="20"/>
  <c r="M75" i="20"/>
  <c r="M873" i="20"/>
  <c r="M16" i="20"/>
  <c r="M488" i="20"/>
  <c r="M550" i="20"/>
  <c r="M809" i="20"/>
  <c r="M1086" i="20"/>
  <c r="M435" i="20"/>
  <c r="M184" i="20"/>
  <c r="M938" i="20"/>
  <c r="M619" i="20"/>
  <c r="M1375" i="20"/>
  <c r="M307" i="20"/>
  <c r="M1387" i="20"/>
  <c r="M1088" i="20"/>
  <c r="M454" i="20"/>
  <c r="M880" i="20"/>
  <c r="M1444" i="20"/>
  <c r="M1048" i="20"/>
  <c r="M1179" i="20"/>
  <c r="M978" i="20"/>
  <c r="M726" i="20"/>
  <c r="M308" i="20"/>
  <c r="M253" i="20"/>
  <c r="M551" i="20"/>
  <c r="M919" i="20"/>
  <c r="M1506" i="20"/>
  <c r="M55" i="20"/>
  <c r="M917" i="20"/>
  <c r="M135" i="20"/>
  <c r="M1436" i="20"/>
  <c r="M721" i="20"/>
  <c r="M39" i="20"/>
  <c r="M1083" i="20"/>
  <c r="M95" i="20"/>
  <c r="M1201" i="20"/>
  <c r="M883" i="20"/>
  <c r="M1270" i="20"/>
  <c r="M632" i="20"/>
  <c r="M244" i="20"/>
  <c r="M865" i="20"/>
  <c r="M1106" i="20"/>
  <c r="M1325" i="20"/>
  <c r="M69" i="20"/>
  <c r="M728" i="20"/>
  <c r="M1484" i="20"/>
  <c r="M1510" i="20"/>
  <c r="M259" i="20"/>
  <c r="M830" i="20"/>
  <c r="M1372" i="20"/>
  <c r="M106" i="20"/>
  <c r="M712" i="20"/>
  <c r="M624" i="20"/>
  <c r="M947" i="20"/>
  <c r="M1173" i="20"/>
  <c r="M533" i="20"/>
  <c r="M430" i="20"/>
  <c r="M1073" i="20"/>
  <c r="M858" i="20"/>
  <c r="M1448" i="20"/>
  <c r="M448" i="20"/>
  <c r="M1460" i="20"/>
  <c r="M1214" i="20"/>
  <c r="M998" i="20"/>
  <c r="M944" i="20"/>
  <c r="M463" i="20"/>
  <c r="M1230" i="20"/>
  <c r="M1459" i="20"/>
  <c r="M1290" i="20"/>
  <c r="M992" i="20"/>
  <c r="M572" i="20"/>
  <c r="M825" i="20"/>
  <c r="M807" i="20"/>
  <c r="M1235" i="20"/>
  <c r="M23" i="20"/>
  <c r="M1418" i="20"/>
  <c r="M1430" i="20"/>
  <c r="M366" i="20"/>
  <c r="M36" i="20"/>
  <c r="M786" i="20"/>
  <c r="M1010" i="20"/>
  <c r="M483" i="20"/>
  <c r="M1494" i="20"/>
  <c r="M81" i="20"/>
  <c r="M1084" i="20"/>
  <c r="M1347" i="20"/>
  <c r="M188" i="20"/>
  <c r="M989" i="20"/>
  <c r="M529" i="20"/>
  <c r="M537" i="20"/>
  <c r="M1198" i="20"/>
  <c r="M1445" i="20"/>
  <c r="M197" i="20"/>
  <c r="M1137" i="20"/>
  <c r="M1187" i="20"/>
  <c r="M1382" i="20"/>
  <c r="M507" i="20"/>
  <c r="M588" i="20"/>
  <c r="M89" i="20"/>
  <c r="M204" i="20"/>
  <c r="M1085" i="20"/>
  <c r="M697" i="20"/>
  <c r="M1197" i="20"/>
  <c r="M1275" i="20"/>
  <c r="M650" i="20"/>
  <c r="M821" i="20"/>
  <c r="M1261" i="20"/>
  <c r="M1328" i="20"/>
  <c r="M1431" i="20"/>
  <c r="M594" i="20"/>
  <c r="M1286" i="20"/>
  <c r="M1410" i="20"/>
  <c r="M199" i="20"/>
  <c r="M1026" i="20"/>
  <c r="M591" i="20"/>
  <c r="M1465" i="20"/>
  <c r="M1028" i="20"/>
  <c r="M1175" i="20"/>
  <c r="M1029" i="20"/>
  <c r="M1409" i="20"/>
  <c r="M1118" i="20"/>
  <c r="M1101" i="20"/>
  <c r="M24" i="20"/>
  <c r="M31" i="20"/>
  <c r="M974" i="20"/>
  <c r="M509" i="20"/>
  <c r="M134" i="20"/>
  <c r="M894" i="20"/>
  <c r="M186" i="20"/>
  <c r="M1022" i="20"/>
  <c r="M1215" i="20"/>
  <c r="M1221" i="20"/>
  <c r="M1495" i="20"/>
  <c r="M512" i="20"/>
  <c r="M1251" i="20"/>
  <c r="M617" i="20"/>
  <c r="M1097" i="20"/>
  <c r="M322" i="20"/>
  <c r="M1138" i="20"/>
  <c r="M708" i="20"/>
  <c r="M46" i="20"/>
  <c r="M398" i="20"/>
  <c r="M1351" i="20"/>
  <c r="M1352" i="20"/>
  <c r="M1455" i="20"/>
  <c r="M957" i="20"/>
  <c r="M1319" i="20"/>
  <c r="M976" i="20"/>
  <c r="M355" i="20"/>
  <c r="M842" i="20"/>
  <c r="M1408" i="20"/>
  <c r="M892" i="20"/>
  <c r="M28" i="20"/>
  <c r="M187" i="20"/>
  <c r="M313" i="20"/>
  <c r="M905" i="20"/>
  <c r="M770" i="20"/>
  <c r="M26" i="20"/>
  <c r="M1392" i="20"/>
  <c r="M766" i="20"/>
  <c r="M92" i="20"/>
  <c r="M1509" i="20"/>
  <c r="M127" i="20"/>
  <c r="M1504" i="20"/>
  <c r="M740" i="20"/>
  <c r="M1350" i="20"/>
  <c r="M375" i="20"/>
  <c r="M558" i="20"/>
  <c r="M1112" i="20"/>
  <c r="M719" i="20"/>
  <c r="M1274" i="20"/>
  <c r="M1156" i="20"/>
  <c r="M351" i="20"/>
  <c r="M562" i="20"/>
  <c r="M813" i="20"/>
  <c r="M1308" i="20"/>
  <c r="M848" i="20"/>
  <c r="M250" i="20"/>
  <c r="M1212" i="20"/>
  <c r="M423" i="20"/>
  <c r="M271" i="20"/>
  <c r="M180" i="20"/>
  <c r="M251" i="20"/>
  <c r="M769" i="20"/>
  <c r="M714" i="20"/>
  <c r="M1208" i="20"/>
  <c r="M52" i="20"/>
  <c r="M713" i="20"/>
  <c r="M604" i="20"/>
  <c r="M940" i="20"/>
  <c r="M1394" i="20"/>
  <c r="M378" i="20"/>
  <c r="M1121" i="20"/>
  <c r="M296" i="20"/>
  <c r="M1019" i="20"/>
  <c r="M310" i="20"/>
  <c r="M780" i="20"/>
  <c r="M1439" i="20"/>
  <c r="M1122" i="20"/>
  <c r="M1377" i="20"/>
  <c r="M453" i="20"/>
  <c r="M710" i="20"/>
  <c r="M1224" i="20"/>
  <c r="M972" i="20"/>
  <c r="M1288" i="20"/>
  <c r="M1033" i="20"/>
  <c r="M774" i="20"/>
  <c r="M275" i="20"/>
  <c r="M841" i="20"/>
  <c r="M573" i="20"/>
  <c r="M1147" i="20"/>
  <c r="M890" i="20"/>
  <c r="M1059" i="20"/>
  <c r="M514" i="20"/>
  <c r="M49" i="20"/>
  <c r="M59" i="20"/>
  <c r="M225" i="20"/>
  <c r="M339" i="20"/>
  <c r="M999" i="20"/>
  <c r="M102" i="20"/>
  <c r="M1211" i="20"/>
  <c r="M327" i="20"/>
  <c r="M1099" i="20"/>
  <c r="M96" i="20"/>
  <c r="G622" i="20"/>
  <c r="G1376" i="20"/>
  <c r="G1004" i="20"/>
  <c r="G129" i="20"/>
  <c r="G1212" i="20"/>
  <c r="G96" i="20"/>
  <c r="G95" i="20"/>
  <c r="G1065" i="20"/>
  <c r="G637" i="20"/>
  <c r="G1405" i="20"/>
  <c r="G1033" i="20"/>
  <c r="G1077" i="20"/>
  <c r="G1494" i="20"/>
  <c r="G287" i="20"/>
  <c r="G1047" i="20"/>
  <c r="G654" i="20"/>
  <c r="G1482" i="20"/>
  <c r="G741" i="20"/>
  <c r="G1378" i="20"/>
  <c r="G165" i="20"/>
  <c r="G1132" i="20"/>
  <c r="G160" i="20"/>
  <c r="G750" i="20"/>
  <c r="G1028" i="20"/>
  <c r="G1010" i="20"/>
  <c r="G1501" i="20"/>
  <c r="G1407" i="20"/>
  <c r="G497" i="20"/>
  <c r="G1228" i="20"/>
  <c r="G642" i="20"/>
  <c r="G1509" i="20"/>
  <c r="G418" i="20"/>
  <c r="G1094" i="20"/>
  <c r="G1001" i="20"/>
  <c r="G1514" i="20"/>
  <c r="G618" i="20"/>
  <c r="G764" i="20"/>
  <c r="G878" i="20"/>
  <c r="G1270" i="20"/>
  <c r="G1293" i="20"/>
  <c r="G354" i="20"/>
  <c r="G1145" i="20"/>
  <c r="G560" i="20"/>
  <c r="G885" i="20"/>
  <c r="G1469" i="20"/>
  <c r="G744" i="20"/>
  <c r="G869" i="20"/>
  <c r="G1399" i="20"/>
  <c r="G488" i="20"/>
  <c r="G500" i="20"/>
  <c r="G746" i="20"/>
  <c r="G1012" i="20"/>
  <c r="G1168" i="20"/>
  <c r="G202" i="20"/>
  <c r="G1063" i="20"/>
  <c r="G478" i="20"/>
  <c r="G1048" i="20"/>
  <c r="G521" i="20"/>
  <c r="G23" i="20"/>
  <c r="G620" i="20"/>
  <c r="G1175" i="20"/>
  <c r="G208" i="20"/>
  <c r="G1422" i="20"/>
  <c r="G498" i="20"/>
  <c r="G516" i="20"/>
  <c r="G920" i="20"/>
  <c r="G1460" i="20"/>
  <c r="G908" i="20"/>
  <c r="G306" i="20"/>
  <c r="G1193" i="20"/>
  <c r="G839" i="20"/>
  <c r="G457" i="20"/>
  <c r="G718" i="20"/>
  <c r="G1140" i="20"/>
  <c r="G1045" i="20"/>
  <c r="G1475" i="20"/>
  <c r="G925" i="20"/>
  <c r="G327" i="20"/>
  <c r="G1265" i="20"/>
  <c r="G685" i="20"/>
  <c r="G47" i="20"/>
  <c r="G1147" i="20"/>
  <c r="G635" i="20"/>
  <c r="G123" i="20"/>
  <c r="G266" i="20"/>
  <c r="G591" i="20"/>
  <c r="G173" i="20"/>
  <c r="G470" i="20"/>
  <c r="G892" i="20"/>
  <c r="G889" i="20"/>
  <c r="G1403" i="20"/>
  <c r="G842" i="20"/>
  <c r="G231" i="20"/>
  <c r="G1188" i="20"/>
  <c r="G602" i="20"/>
  <c r="G374" i="20"/>
  <c r="G1075" i="20"/>
  <c r="G563" i="20"/>
  <c r="G51" i="20"/>
  <c r="G1064" i="20"/>
  <c r="G330" i="20"/>
  <c r="G1309" i="20"/>
  <c r="G186" i="20"/>
  <c r="G644" i="20"/>
  <c r="G734" i="20"/>
  <c r="G1331" i="20"/>
  <c r="G760" i="20"/>
  <c r="G135" i="20"/>
  <c r="G1105" i="20"/>
  <c r="G520" i="20"/>
  <c r="G302" i="20"/>
  <c r="G1003" i="20"/>
  <c r="G491" i="20"/>
  <c r="G738" i="20"/>
  <c r="G1250" i="20"/>
  <c r="G41" i="20"/>
  <c r="G821" i="20"/>
  <c r="G1320" i="20"/>
  <c r="G389" i="20"/>
  <c r="G578" i="20"/>
  <c r="G1259" i="20"/>
  <c r="G678" i="20"/>
  <c r="G39" i="20"/>
  <c r="G1023" i="20"/>
  <c r="G438" i="20"/>
  <c r="G230" i="20"/>
  <c r="G931" i="20"/>
  <c r="G419" i="20"/>
  <c r="G1470" i="20"/>
  <c r="G1042" i="20"/>
  <c r="G224" i="20"/>
  <c r="G210" i="20"/>
  <c r="G522" i="20"/>
  <c r="G868" i="20"/>
  <c r="G94" i="20"/>
  <c r="G283" i="20"/>
  <c r="G728" i="20"/>
  <c r="G1238" i="20"/>
  <c r="G462" i="20"/>
  <c r="G58" i="20"/>
  <c r="G783" i="20"/>
  <c r="G1210" i="20"/>
  <c r="G464" i="20"/>
  <c r="G508" i="20"/>
  <c r="G756" i="20"/>
  <c r="G301" i="20"/>
  <c r="G727" i="20"/>
  <c r="G726" i="20"/>
  <c r="G1301" i="20"/>
  <c r="G1222" i="20"/>
  <c r="G964" i="20"/>
  <c r="G148" i="20"/>
  <c r="G1367" i="20"/>
  <c r="G248" i="20"/>
  <c r="G149" i="20"/>
  <c r="G536" i="20"/>
  <c r="G1137" i="20"/>
  <c r="G1015" i="20"/>
  <c r="G20" i="20"/>
  <c r="G634" i="20"/>
  <c r="G792" i="20"/>
  <c r="G893" i="20"/>
  <c r="G1295" i="20"/>
  <c r="G1304" i="20"/>
  <c r="G373" i="20"/>
  <c r="G1154" i="20"/>
  <c r="G569" i="20"/>
  <c r="G919" i="20"/>
  <c r="G1504" i="20"/>
  <c r="G784" i="20"/>
  <c r="G884" i="20"/>
  <c r="G1413" i="20"/>
  <c r="G501" i="20"/>
  <c r="G528" i="20"/>
  <c r="G762" i="20"/>
  <c r="G1040" i="20"/>
  <c r="G1184" i="20"/>
  <c r="G218" i="20"/>
  <c r="G1072" i="20"/>
  <c r="G487" i="20"/>
  <c r="G233" i="20"/>
  <c r="G1183" i="20"/>
  <c r="G434" i="20"/>
  <c r="G753" i="20"/>
  <c r="G1296" i="20"/>
  <c r="G362" i="20"/>
  <c r="G240" i="20"/>
  <c r="G629" i="20"/>
  <c r="G777" i="20"/>
  <c r="G1052" i="20"/>
  <c r="G65" i="20"/>
  <c r="G990" i="20"/>
  <c r="G402" i="20"/>
  <c r="G580" i="20"/>
  <c r="G933" i="20"/>
  <c r="G1414" i="20"/>
  <c r="G503" i="20"/>
  <c r="G1057" i="20"/>
  <c r="G73" i="20"/>
  <c r="G1306" i="20"/>
  <c r="G375" i="20"/>
  <c r="G257" i="20"/>
  <c r="G802" i="20"/>
  <c r="G1396" i="20"/>
  <c r="G834" i="20"/>
  <c r="G221" i="20"/>
  <c r="G314" i="20"/>
  <c r="G607" i="20"/>
  <c r="G192" i="20"/>
  <c r="G482" i="20"/>
  <c r="G905" i="20"/>
  <c r="G898" i="20"/>
  <c r="G1411" i="20"/>
  <c r="G852" i="20"/>
  <c r="G241" i="20"/>
  <c r="G1197" i="20"/>
  <c r="G612" i="20"/>
  <c r="G382" i="20"/>
  <c r="G1083" i="20"/>
  <c r="G571" i="20"/>
  <c r="G59" i="20"/>
  <c r="G1104" i="20"/>
  <c r="G346" i="20"/>
  <c r="G1334" i="20"/>
  <c r="G204" i="20"/>
  <c r="G656" i="20"/>
  <c r="G743" i="20"/>
  <c r="G1339" i="20"/>
  <c r="G769" i="20"/>
  <c r="G145" i="20"/>
  <c r="G1114" i="20"/>
  <c r="G529" i="20"/>
  <c r="G310" i="20"/>
  <c r="G1011" i="20"/>
  <c r="G499" i="20"/>
  <c r="G814" i="20"/>
  <c r="G1287" i="20"/>
  <c r="G56" i="20"/>
  <c r="G850" i="20"/>
  <c r="G1346" i="20"/>
  <c r="G407" i="20"/>
  <c r="G588" i="20"/>
  <c r="G1267" i="20"/>
  <c r="G687" i="20"/>
  <c r="G49" i="20"/>
  <c r="G1032" i="20"/>
  <c r="G447" i="20"/>
  <c r="G238" i="20"/>
  <c r="G939" i="20"/>
  <c r="G427" i="20"/>
  <c r="G535" i="20"/>
  <c r="G552" i="20"/>
  <c r="G1335" i="20"/>
  <c r="G343" i="20"/>
  <c r="G865" i="20"/>
  <c r="G117" i="20"/>
  <c r="G432" i="20"/>
  <c r="G1190" i="20"/>
  <c r="G605" i="20"/>
  <c r="G1497" i="20"/>
  <c r="G950" i="20"/>
  <c r="G356" i="20"/>
  <c r="G166" i="20"/>
  <c r="G867" i="20"/>
  <c r="G355" i="20"/>
  <c r="G1338" i="20"/>
  <c r="G574" i="20"/>
  <c r="G1254" i="20"/>
  <c r="G1507" i="20"/>
  <c r="G369" i="20"/>
  <c r="G721" i="20"/>
  <c r="G1179" i="20"/>
  <c r="G155" i="20"/>
  <c r="G1402" i="20"/>
  <c r="G282" i="20"/>
  <c r="G1110" i="20"/>
  <c r="G1194" i="20"/>
  <c r="G856" i="20"/>
  <c r="G1480" i="20"/>
  <c r="G773" i="20"/>
  <c r="G581" i="20"/>
  <c r="G446" i="20"/>
  <c r="G1455" i="20"/>
  <c r="G417" i="20"/>
  <c r="G405" i="20"/>
  <c r="G1327" i="20"/>
  <c r="G903" i="20"/>
  <c r="G1152" i="20"/>
  <c r="G992" i="20"/>
  <c r="G1037" i="20"/>
  <c r="G1456" i="20"/>
  <c r="G1002" i="20"/>
  <c r="G960" i="20"/>
  <c r="G828" i="20"/>
  <c r="G900" i="20"/>
  <c r="G1424" i="20"/>
  <c r="G517" i="20"/>
  <c r="G558" i="20"/>
  <c r="G775" i="20"/>
  <c r="G1070" i="20"/>
  <c r="G1198" i="20"/>
  <c r="G236" i="20"/>
  <c r="G1081" i="20"/>
  <c r="G496" i="20"/>
  <c r="G280" i="20"/>
  <c r="G1223" i="20"/>
  <c r="G476" i="20"/>
  <c r="G766" i="20"/>
  <c r="G1310" i="20"/>
  <c r="G378" i="20"/>
  <c r="G276" i="20"/>
  <c r="G645" i="20"/>
  <c r="G808" i="20"/>
  <c r="G1066" i="20"/>
  <c r="G84" i="20"/>
  <c r="G999" i="20"/>
  <c r="G413" i="20"/>
  <c r="G1207" i="20"/>
  <c r="G564" i="20"/>
  <c r="G76" i="20"/>
  <c r="G636" i="20"/>
  <c r="G1189" i="20"/>
  <c r="G225" i="20"/>
  <c r="G1447" i="20"/>
  <c r="G512" i="20"/>
  <c r="G544" i="20"/>
  <c r="G936" i="20"/>
  <c r="G1468" i="20"/>
  <c r="G917" i="20"/>
  <c r="G317" i="20"/>
  <c r="G841" i="20"/>
  <c r="G1326" i="20"/>
  <c r="G1311" i="20"/>
  <c r="G383" i="20"/>
  <c r="G940" i="20"/>
  <c r="G1384" i="20"/>
  <c r="G1201" i="20"/>
  <c r="G237" i="20"/>
  <c r="G1498" i="20"/>
  <c r="G686" i="20"/>
  <c r="G1332" i="20"/>
  <c r="G761" i="20"/>
  <c r="G136" i="20"/>
  <c r="G1138" i="20"/>
  <c r="G364" i="20"/>
  <c r="G1359" i="20"/>
  <c r="G223" i="20"/>
  <c r="G672" i="20"/>
  <c r="G752" i="20"/>
  <c r="G1347" i="20"/>
  <c r="G778" i="20"/>
  <c r="G156" i="20"/>
  <c r="G1124" i="20"/>
  <c r="G538" i="20"/>
  <c r="G318" i="20"/>
  <c r="G1019" i="20"/>
  <c r="G507" i="20"/>
  <c r="G974" i="20"/>
  <c r="G1317" i="20"/>
  <c r="G74" i="20"/>
  <c r="G881" i="20"/>
  <c r="G1373" i="20"/>
  <c r="G424" i="20"/>
  <c r="G597" i="20"/>
  <c r="G1275" i="20"/>
  <c r="G696" i="20"/>
  <c r="G60" i="20"/>
  <c r="G1041" i="20"/>
  <c r="G456" i="20"/>
  <c r="G246" i="20"/>
  <c r="G947" i="20"/>
  <c r="G435" i="20"/>
  <c r="G567" i="20"/>
  <c r="G592" i="20"/>
  <c r="G1349" i="20"/>
  <c r="G376" i="20"/>
  <c r="G894" i="20"/>
  <c r="G133" i="20"/>
  <c r="G441" i="20"/>
  <c r="G1199" i="20"/>
  <c r="G614" i="20"/>
  <c r="G1505" i="20"/>
  <c r="G959" i="20"/>
  <c r="G367" i="20"/>
  <c r="G174" i="20"/>
  <c r="G875" i="20"/>
  <c r="G363" i="20"/>
  <c r="G1479" i="20"/>
  <c r="G1464" i="20"/>
  <c r="G1116" i="20"/>
  <c r="G1358" i="20"/>
  <c r="G394" i="20"/>
  <c r="G1428" i="20"/>
  <c r="G264" i="20"/>
  <c r="G1117" i="20"/>
  <c r="G532" i="20"/>
  <c r="G1433" i="20"/>
  <c r="G877" i="20"/>
  <c r="G271" i="20"/>
  <c r="G102" i="20"/>
  <c r="G803" i="20"/>
  <c r="G291" i="20"/>
  <c r="G64" i="20"/>
  <c r="G55" i="20"/>
  <c r="G790" i="20"/>
  <c r="G1379" i="20"/>
  <c r="G199" i="20"/>
  <c r="G575" i="20"/>
  <c r="G1051" i="20"/>
  <c r="G27" i="20"/>
  <c r="G801" i="20"/>
  <c r="G800" i="20"/>
  <c r="G1366" i="20"/>
  <c r="G1288" i="20"/>
  <c r="G506" i="20"/>
  <c r="G1274" i="20"/>
  <c r="G887" i="20"/>
  <c r="G80" i="20"/>
  <c r="G1177" i="20"/>
  <c r="G45" i="20"/>
  <c r="G44" i="20"/>
  <c r="G1031" i="20"/>
  <c r="G594" i="20"/>
  <c r="G684" i="20"/>
  <c r="G682" i="20"/>
  <c r="G1263" i="20"/>
  <c r="G1180" i="20"/>
  <c r="G320" i="20"/>
  <c r="G1262" i="20"/>
  <c r="G509" i="20"/>
  <c r="G782" i="20"/>
  <c r="G1322" i="20"/>
  <c r="G396" i="20"/>
  <c r="G309" i="20"/>
  <c r="G658" i="20"/>
  <c r="G837" i="20"/>
  <c r="G1082" i="20"/>
  <c r="G98" i="20"/>
  <c r="G1008" i="20"/>
  <c r="G423" i="20"/>
  <c r="G1312" i="20"/>
  <c r="G598" i="20"/>
  <c r="G116" i="20"/>
  <c r="G649" i="20"/>
  <c r="G1204" i="20"/>
  <c r="G244" i="20"/>
  <c r="G1486" i="20"/>
  <c r="G527" i="20"/>
  <c r="G573" i="20"/>
  <c r="G949" i="20"/>
  <c r="G1476" i="20"/>
  <c r="G926" i="20"/>
  <c r="G328" i="20"/>
  <c r="G695" i="20"/>
  <c r="G1093" i="20"/>
  <c r="G1426" i="20"/>
  <c r="G518" i="20"/>
  <c r="G1073" i="20"/>
  <c r="G88" i="20"/>
  <c r="G1319" i="20"/>
  <c r="G393" i="20"/>
  <c r="G290" i="20"/>
  <c r="G818" i="20"/>
  <c r="G1404" i="20"/>
  <c r="G844" i="20"/>
  <c r="G232" i="20"/>
  <c r="G181" i="20"/>
  <c r="G711" i="20"/>
  <c r="G1205" i="20"/>
  <c r="G245" i="20"/>
  <c r="G823" i="20"/>
  <c r="G1174" i="20"/>
  <c r="G1084" i="20"/>
  <c r="G101" i="20"/>
  <c r="G1471" i="20"/>
  <c r="G570" i="20"/>
  <c r="G1268" i="20"/>
  <c r="G688" i="20"/>
  <c r="G1092" i="20"/>
  <c r="G1352" i="20"/>
  <c r="G90" i="20"/>
  <c r="G910" i="20"/>
  <c r="G1398" i="20"/>
  <c r="G437" i="20"/>
  <c r="G606" i="20"/>
  <c r="G1283" i="20"/>
  <c r="G705" i="20"/>
  <c r="G71" i="20"/>
  <c r="G1050" i="20"/>
  <c r="G465" i="20"/>
  <c r="G254" i="20"/>
  <c r="G955" i="20"/>
  <c r="G443" i="20"/>
  <c r="G609" i="20"/>
  <c r="G626" i="20"/>
  <c r="G1360" i="20"/>
  <c r="G410" i="20"/>
  <c r="G924" i="20"/>
  <c r="G151" i="20"/>
  <c r="G450" i="20"/>
  <c r="G1208" i="20"/>
  <c r="G623" i="20"/>
  <c r="G1513" i="20"/>
  <c r="G968" i="20"/>
  <c r="G377" i="20"/>
  <c r="G182" i="20"/>
  <c r="G883" i="20"/>
  <c r="G371" i="20"/>
  <c r="G63" i="20"/>
  <c r="G1478" i="20"/>
  <c r="G1130" i="20"/>
  <c r="G1370" i="20"/>
  <c r="G426" i="20"/>
  <c r="G1436" i="20"/>
  <c r="G274" i="20"/>
  <c r="G1126" i="20"/>
  <c r="G541" i="20"/>
  <c r="G1441" i="20"/>
  <c r="G886" i="20"/>
  <c r="G281" i="20"/>
  <c r="G110" i="20"/>
  <c r="G811" i="20"/>
  <c r="G299" i="20"/>
  <c r="G525" i="20"/>
  <c r="G1261" i="20"/>
  <c r="G882" i="20"/>
  <c r="G1141" i="20"/>
  <c r="G1383" i="20"/>
  <c r="G1300" i="20"/>
  <c r="G104" i="20"/>
  <c r="G1044" i="20"/>
  <c r="G458" i="20"/>
  <c r="G1369" i="20"/>
  <c r="G804" i="20"/>
  <c r="G185" i="20"/>
  <c r="G38" i="20"/>
  <c r="G739" i="20"/>
  <c r="G227" i="20"/>
  <c r="G976" i="20"/>
  <c r="G674" i="20"/>
  <c r="G304" i="20"/>
  <c r="G1251" i="20"/>
  <c r="G28" i="20"/>
  <c r="G429" i="20"/>
  <c r="G923" i="20"/>
  <c r="G1068" i="20"/>
  <c r="G490" i="20"/>
  <c r="G988" i="20"/>
  <c r="G372" i="20"/>
  <c r="G582" i="20"/>
  <c r="G298" i="20"/>
  <c r="G713" i="20"/>
  <c r="G368" i="20"/>
  <c r="G1290" i="20"/>
  <c r="G1445" i="20"/>
  <c r="G162" i="20"/>
  <c r="G1220" i="20"/>
  <c r="G53" i="20"/>
  <c r="G601" i="20"/>
  <c r="G1484" i="20"/>
  <c r="G338" i="20"/>
  <c r="G1248" i="20"/>
  <c r="G534" i="20"/>
  <c r="G106" i="20"/>
  <c r="G408" i="20"/>
  <c r="G832" i="20"/>
  <c r="G853" i="20"/>
  <c r="G874" i="20"/>
  <c r="G1325" i="20"/>
  <c r="G956" i="20"/>
  <c r="G1214" i="20"/>
  <c r="G1511" i="20"/>
  <c r="G1340" i="20"/>
  <c r="G201" i="20"/>
  <c r="G24" i="20"/>
  <c r="G108" i="20"/>
  <c r="G938" i="20"/>
  <c r="G1423" i="20"/>
  <c r="G453" i="20"/>
  <c r="G615" i="20"/>
  <c r="G668" i="20"/>
  <c r="G442" i="20"/>
  <c r="G169" i="20"/>
  <c r="G1217" i="20"/>
  <c r="G16" i="20"/>
  <c r="G388" i="20"/>
  <c r="G891" i="20"/>
  <c r="G197" i="20"/>
  <c r="G1146" i="20"/>
  <c r="G455" i="20"/>
  <c r="G285" i="20"/>
  <c r="G550" i="20"/>
  <c r="G895" i="20"/>
  <c r="G118" i="20"/>
  <c r="G307" i="20"/>
  <c r="G1272" i="20"/>
  <c r="G1157" i="20"/>
  <c r="G1308" i="20"/>
  <c r="G1053" i="20"/>
  <c r="G1377" i="20"/>
  <c r="G196" i="20"/>
  <c r="G747" i="20"/>
  <c r="G1121" i="20"/>
  <c r="G647" i="20"/>
  <c r="G1318" i="20"/>
  <c r="G18" i="20"/>
  <c r="G380" i="20"/>
  <c r="G730" i="20"/>
  <c r="G1187" i="20"/>
  <c r="G163" i="20"/>
  <c r="G1294" i="20"/>
  <c r="G1108" i="20"/>
  <c r="G260" i="20"/>
  <c r="G975" i="20"/>
  <c r="G942" i="20"/>
  <c r="G820" i="20"/>
  <c r="G1109" i="20"/>
  <c r="G952" i="20"/>
  <c r="G1289" i="20"/>
  <c r="G79" i="20"/>
  <c r="G659" i="20"/>
  <c r="G1176" i="20"/>
  <c r="G1375" i="20"/>
  <c r="G1269" i="20"/>
  <c r="G1372" i="20"/>
  <c r="G1089" i="20"/>
  <c r="G1409" i="20"/>
  <c r="G239" i="20"/>
  <c r="G779" i="20"/>
  <c r="G494" i="20"/>
  <c r="G1438" i="20"/>
  <c r="G1101" i="20"/>
  <c r="G505" i="20"/>
  <c r="G641" i="20"/>
  <c r="G986" i="20"/>
  <c r="G198" i="20"/>
  <c r="G387" i="20"/>
  <c r="G1192" i="20"/>
  <c r="G600" i="20"/>
  <c r="G972" i="20"/>
  <c r="G742" i="20"/>
  <c r="G1087" i="20"/>
  <c r="G286" i="20"/>
  <c r="G475" i="20"/>
  <c r="G1113" i="20"/>
  <c r="G568" i="20"/>
  <c r="G595" i="20"/>
  <c r="G262" i="20"/>
  <c r="G1454" i="20"/>
  <c r="G82" i="20"/>
  <c r="G398" i="20"/>
  <c r="G69" i="20"/>
  <c r="G1465" i="20"/>
  <c r="G857" i="20"/>
  <c r="G293" i="20"/>
  <c r="G1091" i="20"/>
  <c r="G331" i="20"/>
  <c r="G944" i="20"/>
  <c r="G335" i="20"/>
  <c r="G993" i="20"/>
  <c r="G1244" i="20"/>
  <c r="G1024" i="20"/>
  <c r="G1232" i="20"/>
  <c r="G733" i="20"/>
  <c r="G843" i="20"/>
  <c r="G130" i="20"/>
  <c r="G671" i="20"/>
  <c r="G1076" i="20"/>
  <c r="G333" i="20"/>
  <c r="G655" i="20"/>
  <c r="G404" i="20"/>
  <c r="G1351" i="20"/>
  <c r="G991" i="20"/>
  <c r="G929" i="20"/>
  <c r="G1453" i="20"/>
  <c r="G1102" i="20"/>
  <c r="G1344" i="20"/>
  <c r="G361" i="20"/>
  <c r="G1420" i="20"/>
  <c r="G253" i="20"/>
  <c r="G1391" i="20"/>
  <c r="G416" i="20"/>
  <c r="G1437" i="20"/>
  <c r="G272" i="20"/>
  <c r="G717" i="20"/>
  <c r="G780" i="20"/>
  <c r="G229" i="20"/>
  <c r="G1221" i="20"/>
  <c r="G838" i="20"/>
  <c r="G1097" i="20"/>
  <c r="G1485" i="20"/>
  <c r="G1276" i="20"/>
  <c r="G1341" i="20"/>
  <c r="G1020" i="20"/>
  <c r="G1488" i="20"/>
  <c r="G704" i="20"/>
  <c r="G1216" i="20"/>
  <c r="G321" i="20"/>
  <c r="G542" i="20"/>
  <c r="G1503" i="20"/>
  <c r="G1408" i="20"/>
  <c r="G1452" i="20"/>
  <c r="G1144" i="20"/>
  <c r="G1457" i="20"/>
  <c r="G303" i="20"/>
  <c r="G827" i="20"/>
  <c r="G608" i="20"/>
  <c r="G911" i="20"/>
  <c r="G1461" i="20"/>
  <c r="G125" i="20"/>
  <c r="G477" i="20"/>
  <c r="G822" i="20"/>
  <c r="G54" i="20"/>
  <c r="G243" i="20"/>
  <c r="G1046" i="20"/>
  <c r="G921" i="20"/>
  <c r="G1173" i="20"/>
  <c r="G980" i="20"/>
  <c r="G1313" i="20"/>
  <c r="G111" i="20"/>
  <c r="G683" i="20"/>
  <c r="G1430" i="20"/>
  <c r="G415" i="20"/>
  <c r="G1095" i="20"/>
  <c r="G1451" i="20"/>
  <c r="G295" i="20"/>
  <c r="G657" i="20"/>
  <c r="G1123" i="20"/>
  <c r="G99" i="20"/>
  <c r="G836" i="20"/>
  <c r="G961" i="20"/>
  <c r="G89" i="20"/>
  <c r="G479" i="20"/>
  <c r="G473" i="20"/>
  <c r="G341" i="20"/>
  <c r="G816" i="20"/>
  <c r="G806" i="20"/>
  <c r="G1151" i="20"/>
  <c r="G342" i="20"/>
  <c r="G531" i="20"/>
  <c r="G1258" i="20"/>
  <c r="G928" i="20"/>
  <c r="G805" i="20"/>
  <c r="G1100" i="20"/>
  <c r="G943" i="20"/>
  <c r="G1281" i="20"/>
  <c r="G68" i="20"/>
  <c r="G651" i="20"/>
  <c r="G1150" i="20"/>
  <c r="G1000" i="20"/>
  <c r="G120" i="20"/>
  <c r="G178" i="20"/>
  <c r="G495" i="20"/>
  <c r="G840" i="20"/>
  <c r="G70" i="20"/>
  <c r="G259" i="20"/>
  <c r="G722" i="20"/>
  <c r="G85" i="20"/>
  <c r="G679" i="20"/>
  <c r="G596" i="20"/>
  <c r="G941" i="20"/>
  <c r="G158" i="20"/>
  <c r="G347" i="20"/>
  <c r="G585" i="20"/>
  <c r="G92" i="20"/>
  <c r="G323" i="20"/>
  <c r="G451" i="20"/>
  <c r="G400" i="20"/>
  <c r="G1291" i="20"/>
  <c r="G22" i="20"/>
  <c r="G52" i="20"/>
  <c r="G1069" i="20"/>
  <c r="G1055" i="20"/>
  <c r="G1039" i="20"/>
  <c r="G67" i="20"/>
  <c r="G817" i="20"/>
  <c r="G72" i="20"/>
  <c r="G390" i="20"/>
  <c r="G1427" i="20"/>
  <c r="G1419" i="20"/>
  <c r="G540" i="20"/>
  <c r="G105" i="20"/>
  <c r="G422" i="20"/>
  <c r="G467" i="20"/>
  <c r="G1314" i="20"/>
  <c r="G665" i="20"/>
  <c r="G352" i="20"/>
  <c r="G757" i="20"/>
  <c r="G1253" i="20"/>
  <c r="G1165" i="20"/>
  <c r="G42" i="20"/>
  <c r="G161" i="20"/>
  <c r="G681" i="20"/>
  <c r="G958" i="20"/>
  <c r="G1350" i="20"/>
  <c r="G984" i="20"/>
  <c r="G1242" i="20"/>
  <c r="G87" i="20"/>
  <c r="G1356" i="20"/>
  <c r="G168" i="20"/>
  <c r="G786" i="20"/>
  <c r="G279" i="20"/>
  <c r="G1231" i="20"/>
  <c r="G137" i="20"/>
  <c r="G599" i="20"/>
  <c r="G706" i="20"/>
  <c r="G1006" i="20"/>
  <c r="G1103" i="20"/>
  <c r="G720" i="20"/>
  <c r="G982" i="20"/>
  <c r="G1382" i="20"/>
  <c r="G1209" i="20"/>
  <c r="G845" i="20"/>
  <c r="G710" i="20"/>
  <c r="G1386" i="20"/>
  <c r="G471" i="20"/>
  <c r="G983" i="20"/>
  <c r="G184" i="20"/>
  <c r="G469" i="20"/>
  <c r="G1298" i="20"/>
  <c r="G1185" i="20"/>
  <c r="G1324" i="20"/>
  <c r="G1071" i="20"/>
  <c r="G1393" i="20"/>
  <c r="G217" i="20"/>
  <c r="G763" i="20"/>
  <c r="G1442" i="20"/>
  <c r="G677" i="20"/>
  <c r="G1343" i="20"/>
  <c r="G40" i="20"/>
  <c r="G401" i="20"/>
  <c r="G749" i="20"/>
  <c r="G1203" i="20"/>
  <c r="G179" i="20"/>
  <c r="G810" i="20"/>
  <c r="G689" i="20"/>
  <c r="G1026" i="20"/>
  <c r="G906" i="20"/>
  <c r="G1249" i="20"/>
  <c r="G25" i="20"/>
  <c r="G619" i="20"/>
  <c r="G180" i="20"/>
  <c r="G140" i="20"/>
  <c r="G863" i="20"/>
  <c r="G1387" i="20"/>
  <c r="G209" i="20"/>
  <c r="G584" i="20"/>
  <c r="G1059" i="20"/>
  <c r="G35" i="20"/>
  <c r="G357" i="20"/>
  <c r="G815" i="20"/>
  <c r="G350" i="20"/>
  <c r="G212" i="20"/>
  <c r="G1463" i="20"/>
  <c r="G1158" i="20"/>
  <c r="G524" i="20"/>
  <c r="G660" i="20"/>
  <c r="G1005" i="20"/>
  <c r="G214" i="20"/>
  <c r="G403" i="20"/>
  <c r="G138" i="20"/>
  <c r="G461" i="20"/>
  <c r="G322" i="20"/>
  <c r="G807" i="20"/>
  <c r="G797" i="20"/>
  <c r="G1142" i="20"/>
  <c r="G334" i="20"/>
  <c r="G523" i="20"/>
  <c r="G1237" i="20"/>
  <c r="G530" i="20"/>
  <c r="G1213" i="20"/>
  <c r="G1483" i="20"/>
  <c r="G337" i="20"/>
  <c r="G694" i="20"/>
  <c r="G1155" i="20"/>
  <c r="G131" i="20"/>
  <c r="G226" i="20"/>
  <c r="G719" i="20"/>
  <c r="G93" i="20"/>
  <c r="G449" i="20"/>
  <c r="G794" i="20"/>
  <c r="G30" i="20"/>
  <c r="G219" i="20"/>
  <c r="G631" i="20"/>
  <c r="G1224" i="20"/>
  <c r="G1435" i="20"/>
  <c r="G680" i="20"/>
  <c r="G176" i="20"/>
  <c r="G870" i="20"/>
  <c r="G963" i="20"/>
  <c r="G1009" i="20"/>
  <c r="G639" i="20"/>
  <c r="G1252" i="20"/>
  <c r="G978" i="20"/>
  <c r="G277" i="20"/>
  <c r="G250" i="20"/>
  <c r="G1172" i="20"/>
  <c r="G1227" i="20"/>
  <c r="G263" i="20"/>
  <c r="G586" i="20"/>
  <c r="G1307" i="20"/>
  <c r="G66" i="20"/>
  <c r="G1473" i="20"/>
  <c r="G195" i="20"/>
  <c r="G21" i="20"/>
  <c r="G698" i="20"/>
  <c r="G1493" i="20"/>
  <c r="G448" i="20"/>
  <c r="G946" i="20"/>
  <c r="G234" i="20"/>
  <c r="G433" i="20"/>
  <c r="G537" i="20"/>
  <c r="G353" i="20"/>
  <c r="G319" i="20"/>
  <c r="G1247" i="20"/>
  <c r="G866" i="20"/>
  <c r="G1128" i="20"/>
  <c r="G1510" i="20"/>
  <c r="G1292" i="20"/>
  <c r="G549" i="20"/>
  <c r="G128" i="20"/>
  <c r="G141" i="20"/>
  <c r="G997" i="20"/>
  <c r="G1474" i="20"/>
  <c r="G481" i="20"/>
  <c r="G633" i="20"/>
  <c r="G332" i="20"/>
  <c r="G985" i="20"/>
  <c r="G604" i="20"/>
  <c r="G864" i="20"/>
  <c r="G1279" i="20"/>
  <c r="G1136" i="20"/>
  <c r="G183" i="20"/>
  <c r="G386" i="20"/>
  <c r="G1285" i="20"/>
  <c r="G205" i="20"/>
  <c r="G748" i="20"/>
  <c r="G48" i="20"/>
  <c r="G392" i="20"/>
  <c r="G1074" i="20"/>
  <c r="G951" i="20"/>
  <c r="G1191" i="20"/>
  <c r="G998" i="20"/>
  <c r="G1329" i="20"/>
  <c r="G132" i="20"/>
  <c r="G699" i="20"/>
  <c r="G1495" i="20"/>
  <c r="G444" i="20"/>
  <c r="G1125" i="20"/>
  <c r="G1467" i="20"/>
  <c r="G316" i="20"/>
  <c r="G676" i="20"/>
  <c r="G1139" i="20"/>
  <c r="G115" i="20"/>
  <c r="G576" i="20"/>
  <c r="G454" i="20"/>
  <c r="G880" i="20"/>
  <c r="G833" i="20"/>
  <c r="G1178" i="20"/>
  <c r="G366" i="20"/>
  <c r="G555" i="20"/>
  <c r="G1021" i="20"/>
  <c r="G1282" i="20"/>
  <c r="G628" i="20"/>
  <c r="G1323" i="20"/>
  <c r="G124" i="20"/>
  <c r="G511" i="20"/>
  <c r="G995" i="20"/>
  <c r="G846" i="20"/>
  <c r="G1186" i="20"/>
  <c r="G669" i="20"/>
  <c r="G222" i="20"/>
  <c r="G311" i="20"/>
  <c r="G1029" i="20"/>
  <c r="G191" i="20"/>
  <c r="G200" i="20"/>
  <c r="G513" i="20"/>
  <c r="G858" i="20"/>
  <c r="G86" i="20"/>
  <c r="G275" i="20"/>
  <c r="G610" i="20"/>
  <c r="G1450" i="20"/>
  <c r="G1129" i="20"/>
  <c r="G514" i="20"/>
  <c r="G650" i="20"/>
  <c r="G996" i="20"/>
  <c r="G206" i="20"/>
  <c r="G395" i="20"/>
  <c r="G1122" i="20"/>
  <c r="G1487" i="20"/>
  <c r="G745" i="20"/>
  <c r="G1355" i="20"/>
  <c r="G167" i="20"/>
  <c r="G548" i="20"/>
  <c r="G1027" i="20"/>
  <c r="G1134" i="20"/>
  <c r="G1271" i="20"/>
  <c r="G1458" i="20"/>
  <c r="G1443" i="20"/>
  <c r="G284" i="20"/>
  <c r="G648" i="20"/>
  <c r="G1115" i="20"/>
  <c r="G91" i="20"/>
  <c r="G526" i="20"/>
  <c r="G913" i="20"/>
  <c r="G1148" i="20"/>
  <c r="G1236" i="20"/>
  <c r="G1085" i="20"/>
  <c r="G440" i="20"/>
  <c r="G587" i="20"/>
  <c r="G1492" i="20"/>
  <c r="G313" i="20"/>
  <c r="G1025" i="20"/>
  <c r="G370" i="20"/>
  <c r="G662" i="20"/>
  <c r="G1246" i="20"/>
  <c r="G861" i="20"/>
  <c r="G851" i="20"/>
  <c r="G630" i="20"/>
  <c r="G1345" i="20"/>
  <c r="G103" i="20"/>
  <c r="G1421" i="20"/>
  <c r="G1078" i="20"/>
  <c r="G339" i="20"/>
  <c r="G492" i="20"/>
  <c r="G1196" i="20"/>
  <c r="G1049" i="20"/>
  <c r="G265" i="20"/>
  <c r="G872" i="20"/>
  <c r="G664" i="20"/>
  <c r="G543" i="20"/>
  <c r="G935" i="20"/>
  <c r="G1439" i="20"/>
  <c r="G1333" i="20"/>
  <c r="G1412" i="20"/>
  <c r="G1354" i="20"/>
  <c r="G1410" i="20"/>
  <c r="G701" i="20"/>
  <c r="G890" i="20"/>
  <c r="G708" i="20"/>
  <c r="G1368" i="20"/>
  <c r="G653" i="20"/>
  <c r="G954" i="20"/>
  <c r="G632" i="20"/>
  <c r="G190" i="20"/>
  <c r="G1490" i="20"/>
  <c r="G1444" i="20"/>
  <c r="G1449" i="20"/>
  <c r="G819" i="20"/>
  <c r="G896" i="20"/>
  <c r="G114" i="20"/>
  <c r="G813" i="20"/>
  <c r="G235" i="20"/>
  <c r="G909" i="20"/>
  <c r="G970" i="20"/>
  <c r="G100" i="20"/>
  <c r="G1400" i="20"/>
  <c r="G1425" i="20"/>
  <c r="G1302" i="20"/>
  <c r="G1240" i="20"/>
  <c r="G359" i="20"/>
  <c r="G1171" i="20"/>
  <c r="G1225" i="20"/>
  <c r="G154" i="20"/>
  <c r="G504" i="20"/>
  <c r="G78" i="20"/>
  <c r="G860" i="20"/>
  <c r="G255" i="20"/>
  <c r="G26" i="20"/>
  <c r="G899" i="20"/>
  <c r="G809" i="20"/>
  <c r="G1315" i="20"/>
  <c r="G502" i="20"/>
  <c r="G1167" i="20"/>
  <c r="G484" i="20"/>
  <c r="G1007" i="20"/>
  <c r="G81" i="20"/>
  <c r="G661" i="20"/>
  <c r="G1353" i="20"/>
  <c r="G360" i="20"/>
  <c r="G431" i="20"/>
  <c r="G1099" i="20"/>
  <c r="G493" i="20"/>
  <c r="G767" i="20"/>
  <c r="G1106" i="20"/>
  <c r="G1416" i="20"/>
  <c r="G122" i="20"/>
  <c r="G33" i="20"/>
  <c r="G261" i="20"/>
  <c r="G697" i="20"/>
  <c r="G848" i="20"/>
  <c r="G296" i="20"/>
  <c r="G1170" i="20"/>
  <c r="G1303" i="20"/>
  <c r="G1195" i="20"/>
  <c r="G611" i="20"/>
  <c r="G34" i="20"/>
  <c r="G566" i="20"/>
  <c r="G1491" i="20"/>
  <c r="G139" i="20"/>
  <c r="G228" i="20"/>
  <c r="G1489" i="20"/>
  <c r="G652" i="20"/>
  <c r="G1018" i="20"/>
  <c r="G556" i="20"/>
  <c r="G670" i="20"/>
  <c r="G799" i="20"/>
  <c r="G112" i="20"/>
  <c r="G729" i="20"/>
  <c r="G1496" i="20"/>
  <c r="G1448" i="20"/>
  <c r="G1054" i="20"/>
  <c r="G831" i="20"/>
  <c r="G937" i="20"/>
  <c r="G121" i="20"/>
  <c r="G305" i="20"/>
  <c r="G1169" i="20"/>
  <c r="G539" i="20"/>
  <c r="G420" i="20"/>
  <c r="G1363" i="20"/>
  <c r="G791" i="20"/>
  <c r="G519" i="20"/>
  <c r="G731" i="20"/>
  <c r="G1161" i="20"/>
  <c r="G1432" i="20"/>
  <c r="G715" i="20"/>
  <c r="G1245" i="20"/>
  <c r="G876" i="20"/>
  <c r="G914" i="20"/>
  <c r="G603" i="20"/>
  <c r="G830" i="20"/>
  <c r="G144" i="20"/>
  <c r="G97" i="20"/>
  <c r="G1342" i="20"/>
  <c r="G1418" i="20"/>
  <c r="G553" i="20"/>
  <c r="G546" i="20"/>
  <c r="G425" i="20"/>
  <c r="G862" i="20"/>
  <c r="G1336" i="20"/>
  <c r="G1230" i="20"/>
  <c r="G1348" i="20"/>
  <c r="G754" i="20"/>
  <c r="G1202" i="20"/>
  <c r="G583" i="20"/>
  <c r="G194" i="20"/>
  <c r="G590" i="20"/>
  <c r="G1266" i="20"/>
  <c r="G421" i="20"/>
  <c r="G485" i="20"/>
  <c r="G559" i="20"/>
  <c r="G126" i="20"/>
  <c r="G1286" i="20"/>
  <c r="G1316" i="20"/>
  <c r="G1385" i="20"/>
  <c r="G755" i="20"/>
  <c r="G663" i="20"/>
  <c r="G29" i="20"/>
  <c r="G740" i="20"/>
  <c r="G171" i="20"/>
  <c r="G673" i="20"/>
  <c r="G897" i="20"/>
  <c r="G15" i="20"/>
  <c r="G957" i="20"/>
  <c r="G1297" i="20"/>
  <c r="G1415" i="20"/>
  <c r="G774" i="20"/>
  <c r="G188" i="20"/>
  <c r="G1043" i="20"/>
  <c r="G1264" i="20"/>
  <c r="G1229" i="20"/>
  <c r="G348" i="20"/>
  <c r="G1163" i="20"/>
  <c r="G1362" i="20"/>
  <c r="G1364" i="20"/>
  <c r="G1401" i="20"/>
  <c r="G771" i="20"/>
  <c r="G329" i="20"/>
  <c r="G1181" i="20"/>
  <c r="G345" i="20"/>
  <c r="G709" i="20"/>
  <c r="G406" i="20"/>
  <c r="G1337" i="20"/>
  <c r="G1215" i="20"/>
  <c r="G1153" i="20"/>
  <c r="G164" i="20"/>
  <c r="G577" i="20"/>
  <c r="G1481" i="20"/>
  <c r="G75" i="20"/>
  <c r="G979" i="20"/>
  <c r="G324" i="20"/>
  <c r="G1120" i="20"/>
  <c r="G1381" i="20"/>
  <c r="G969" i="20"/>
  <c r="G119" i="20"/>
  <c r="G1127" i="20"/>
  <c r="G315" i="20"/>
  <c r="G207" i="20"/>
  <c r="G391" i="20"/>
  <c r="G1241" i="20"/>
  <c r="G667" i="20"/>
  <c r="G545" i="20"/>
  <c r="G1255" i="20"/>
  <c r="G948" i="20"/>
  <c r="G349" i="20"/>
  <c r="G835" i="20"/>
  <c r="G150" i="20"/>
  <c r="G624" i="20"/>
  <c r="G1131" i="20"/>
  <c r="G1512" i="20"/>
  <c r="G1299" i="20"/>
  <c r="G61" i="20"/>
  <c r="G480" i="20"/>
  <c r="G247" i="20"/>
  <c r="G613" i="20"/>
  <c r="G736" i="20"/>
  <c r="G1406" i="20"/>
  <c r="G737" i="20"/>
  <c r="G692" i="20"/>
  <c r="G187" i="20"/>
  <c r="G36" i="20"/>
  <c r="G1067" i="20"/>
  <c r="G1096" i="20"/>
  <c r="G411" i="20"/>
  <c r="G249" i="20"/>
  <c r="G1235" i="20"/>
  <c r="G308" i="20"/>
  <c r="G326" i="20"/>
  <c r="G1233" i="20"/>
  <c r="G1060" i="20"/>
  <c r="G83" i="20"/>
  <c r="G765" i="20"/>
  <c r="G625" i="20"/>
  <c r="G768" i="20"/>
  <c r="G384" i="20"/>
  <c r="G901" i="20"/>
  <c r="G215" i="20"/>
  <c r="G430" i="20"/>
  <c r="G289" i="20"/>
  <c r="G789" i="20"/>
  <c r="G1234" i="20"/>
  <c r="G1112" i="20"/>
  <c r="G1284" i="20"/>
  <c r="G77" i="20"/>
  <c r="G967" i="20"/>
  <c r="G466" i="20"/>
  <c r="G1431" i="20"/>
  <c r="G472" i="20"/>
  <c r="G1156" i="20"/>
  <c r="G640" i="20"/>
  <c r="G1472" i="20"/>
  <c r="G486" i="20"/>
  <c r="G62" i="20"/>
  <c r="G1058" i="20"/>
  <c r="G1182" i="20"/>
  <c r="G1321" i="20"/>
  <c r="G691" i="20"/>
  <c r="G428" i="20"/>
  <c r="G1459" i="20"/>
  <c r="G666" i="20"/>
  <c r="G107" i="20"/>
  <c r="G439" i="20"/>
  <c r="G824" i="20"/>
  <c r="G358" i="20"/>
  <c r="G489" i="20"/>
  <c r="G1160" i="20"/>
  <c r="G945" i="20"/>
  <c r="G288" i="20"/>
  <c r="G17" i="20"/>
  <c r="G915" i="20"/>
  <c r="G1277" i="20"/>
  <c r="G759" i="20"/>
  <c r="G177" i="20"/>
  <c r="G1035" i="20"/>
  <c r="G912" i="20"/>
  <c r="G1090" i="20"/>
  <c r="G1273" i="20"/>
  <c r="G643" i="20"/>
  <c r="G1143" i="20"/>
  <c r="G1034" i="20"/>
  <c r="G175" i="20"/>
  <c r="G436" i="20"/>
  <c r="G134" i="20"/>
  <c r="G143" i="20"/>
  <c r="G785" i="20"/>
  <c r="G724" i="20"/>
  <c r="G723" i="20"/>
  <c r="G922" i="20"/>
  <c r="G1206" i="20"/>
  <c r="G693" i="20"/>
  <c r="G700" i="20"/>
  <c r="G278" i="20"/>
  <c r="G463" i="20"/>
  <c r="G918" i="20"/>
  <c r="G157" i="20"/>
  <c r="G973" i="20"/>
  <c r="G904" i="20"/>
  <c r="G1062" i="20"/>
  <c r="G1330" i="20"/>
  <c r="G1017" i="20"/>
  <c r="G1118" i="20"/>
  <c r="G1371" i="20"/>
  <c r="G703" i="20"/>
  <c r="G1080" i="20"/>
  <c r="G859" i="20"/>
  <c r="G1446" i="20"/>
  <c r="G203" i="20"/>
  <c r="G1328" i="20"/>
  <c r="G1429" i="20"/>
  <c r="G268" i="20"/>
  <c r="G385" i="20"/>
  <c r="G855" i="20"/>
  <c r="G927" i="20"/>
  <c r="G251" i="20"/>
  <c r="G1466" i="20"/>
  <c r="G562" i="20"/>
  <c r="G547" i="20"/>
  <c r="G1243" i="20"/>
  <c r="G557" i="20"/>
  <c r="G934" i="20"/>
  <c r="G1361" i="20"/>
  <c r="G510" i="20"/>
  <c r="G932" i="20"/>
  <c r="G1440" i="20"/>
  <c r="G1256" i="20"/>
  <c r="G1394" i="20"/>
  <c r="G551" i="20"/>
  <c r="G981" i="20"/>
  <c r="G758" i="20"/>
  <c r="G916" i="20"/>
  <c r="G220" i="20"/>
  <c r="G725" i="20"/>
  <c r="G533" i="20"/>
  <c r="G1098" i="20"/>
  <c r="G409" i="20"/>
  <c r="G788" i="20"/>
  <c r="G1260" i="20"/>
  <c r="G953" i="20"/>
  <c r="G153" i="20"/>
  <c r="G1162" i="20"/>
  <c r="G930" i="20"/>
  <c r="G452" i="20"/>
  <c r="G1079" i="20"/>
  <c r="G1239" i="20"/>
  <c r="G1390" i="20"/>
  <c r="G297" i="20"/>
  <c r="G152" i="20"/>
  <c r="G716" i="20"/>
  <c r="G1119" i="20"/>
  <c r="G994" i="20"/>
  <c r="G1218" i="20"/>
  <c r="G1061" i="20"/>
  <c r="G735" i="20"/>
  <c r="G340" i="20"/>
  <c r="G1149" i="20"/>
  <c r="G344" i="20"/>
  <c r="G1038" i="20"/>
  <c r="G109" i="20"/>
  <c r="G1357" i="20"/>
  <c r="G412" i="20"/>
  <c r="G1211" i="20"/>
  <c r="G826" i="20"/>
  <c r="G1036" i="20"/>
  <c r="G1257" i="20"/>
  <c r="G627" i="20"/>
  <c r="G159" i="20"/>
  <c r="G1395" i="20"/>
  <c r="G593" i="20"/>
  <c r="G43" i="20"/>
  <c r="G170" i="20"/>
  <c r="G751" i="20"/>
  <c r="G294" i="20"/>
  <c r="G1477" i="20"/>
  <c r="G1014" i="20"/>
  <c r="G1389" i="20"/>
  <c r="G1380" i="20"/>
  <c r="G1417" i="20"/>
  <c r="G787" i="20"/>
  <c r="G902" i="20"/>
  <c r="G269" i="20"/>
  <c r="G37" i="20"/>
  <c r="G907" i="20"/>
  <c r="G445" i="20"/>
  <c r="G798" i="20"/>
  <c r="G1133" i="20"/>
  <c r="G515" i="20"/>
  <c r="G172" i="20"/>
  <c r="G888" i="20"/>
  <c r="G414" i="20"/>
  <c r="G193" i="20"/>
  <c r="G971" i="20"/>
  <c r="G707" i="20"/>
  <c r="G474" i="20"/>
  <c r="G273" i="20"/>
  <c r="G873" i="20"/>
  <c r="G142" i="20"/>
  <c r="G776" i="20"/>
  <c r="G690" i="20"/>
  <c r="G213" i="20"/>
  <c r="G1219" i="20"/>
  <c r="G1392" i="20"/>
  <c r="G1506" i="20"/>
  <c r="G336" i="20"/>
  <c r="G365" i="20"/>
  <c r="G638" i="20"/>
  <c r="G258" i="20"/>
  <c r="G965" i="20"/>
  <c r="G812" i="20"/>
  <c r="G1086" i="20"/>
  <c r="G325" i="20"/>
  <c r="G242" i="20"/>
  <c r="G397" i="20"/>
  <c r="G256" i="20"/>
  <c r="G770" i="20"/>
  <c r="G1088" i="20"/>
  <c r="G966" i="20"/>
  <c r="G1200" i="20"/>
  <c r="G1374" i="20"/>
  <c r="G460" i="20"/>
  <c r="G977" i="20"/>
  <c r="G379" i="20"/>
  <c r="G1397" i="20"/>
  <c r="G1135" i="20"/>
  <c r="G292" i="20"/>
  <c r="G565" i="20"/>
  <c r="G1434" i="20"/>
  <c r="G468" i="20"/>
  <c r="G46" i="20"/>
  <c r="G1030" i="20"/>
  <c r="G1164" i="20"/>
  <c r="G1305" i="20"/>
  <c r="G675" i="20"/>
  <c r="G1388" i="20"/>
  <c r="G795" i="20"/>
  <c r="G561" i="20"/>
  <c r="G1499" i="20"/>
  <c r="G712" i="20"/>
  <c r="G147" i="20"/>
  <c r="G1013" i="20"/>
  <c r="G189" i="20"/>
  <c r="G849" i="20"/>
  <c r="G267" i="20"/>
  <c r="G589" i="20"/>
  <c r="G1226" i="20"/>
  <c r="G399" i="20"/>
  <c r="G1278" i="20"/>
  <c r="G1022" i="20"/>
  <c r="G113" i="20"/>
  <c r="G987" i="20"/>
  <c r="G962" i="20"/>
  <c r="G32" i="20"/>
  <c r="G572" i="20"/>
  <c r="G211" i="20"/>
  <c r="G270" i="20"/>
  <c r="G1016" i="20"/>
  <c r="G1056" i="20"/>
  <c r="G579" i="20"/>
  <c r="G621" i="20"/>
  <c r="G1500" i="20"/>
  <c r="G847" i="20"/>
  <c r="G1159" i="20"/>
  <c r="G796" i="20"/>
  <c r="G19" i="20"/>
  <c r="G554" i="20"/>
  <c r="G252" i="20"/>
  <c r="G772" i="20"/>
  <c r="G1462" i="20"/>
  <c r="G854" i="20"/>
  <c r="G127" i="20"/>
  <c r="G732" i="20"/>
  <c r="G146" i="20"/>
  <c r="G989" i="20"/>
  <c r="G1111" i="20"/>
  <c r="G871" i="20"/>
  <c r="G825" i="20"/>
  <c r="G646" i="20"/>
  <c r="G381" i="20"/>
  <c r="G300" i="20"/>
  <c r="G57" i="20"/>
  <c r="G31" i="20"/>
  <c r="G714" i="20"/>
  <c r="G459" i="20"/>
  <c r="G1107" i="20"/>
  <c r="G1365" i="20"/>
  <c r="G829" i="20"/>
  <c r="G1166" i="20"/>
  <c r="G1502" i="20"/>
  <c r="G616" i="20"/>
  <c r="G50" i="20"/>
  <c r="G702" i="20"/>
  <c r="G216" i="20"/>
  <c r="G312" i="20"/>
  <c r="G483" i="20"/>
  <c r="G1280" i="20"/>
  <c r="G617" i="20"/>
  <c r="G793" i="20"/>
  <c r="G351" i="20"/>
  <c r="G879" i="20"/>
  <c r="G781" i="20"/>
  <c r="G1508" i="20"/>
  <c r="D436" i="20"/>
  <c r="D437" i="20"/>
  <c r="D71" i="20"/>
  <c r="D538" i="20"/>
  <c r="D449" i="20"/>
  <c r="D450" i="20"/>
  <c r="D404" i="20"/>
  <c r="D127" i="20"/>
  <c r="D1181" i="20"/>
  <c r="D487" i="20"/>
  <c r="D310" i="20"/>
  <c r="D45" i="20"/>
  <c r="D653" i="20"/>
  <c r="D1512" i="20"/>
  <c r="D594" i="20"/>
  <c r="D826" i="20"/>
  <c r="D566" i="20"/>
  <c r="D1367" i="20"/>
  <c r="D1073" i="20"/>
  <c r="D299" i="20"/>
  <c r="D811" i="20"/>
  <c r="D1323" i="20"/>
  <c r="D788" i="20"/>
  <c r="D1300" i="20"/>
  <c r="D960" i="20"/>
  <c r="D219" i="20"/>
  <c r="D1104" i="20"/>
  <c r="D541" i="20"/>
  <c r="D447" i="20"/>
  <c r="D51" i="20"/>
  <c r="D1016" i="20"/>
  <c r="D533" i="20"/>
  <c r="D97" i="20"/>
  <c r="D1206" i="20"/>
  <c r="D845" i="20"/>
  <c r="D320" i="20"/>
  <c r="D1205" i="20"/>
  <c r="D278" i="20"/>
  <c r="D1126" i="20"/>
  <c r="D1248" i="20"/>
  <c r="D970" i="20"/>
  <c r="D825" i="20"/>
  <c r="D1337" i="20"/>
  <c r="D563" i="20"/>
  <c r="D1075" i="20"/>
  <c r="D540" i="20"/>
  <c r="D1052" i="20"/>
  <c r="D1333" i="20"/>
  <c r="D1058" i="20"/>
  <c r="D114" i="20"/>
  <c r="D605" i="20"/>
  <c r="D511" i="20"/>
  <c r="D513" i="20"/>
  <c r="D428" i="20"/>
  <c r="D148" i="20"/>
  <c r="D1224" i="20"/>
  <c r="D519" i="20"/>
  <c r="D335" i="20"/>
  <c r="D61" i="20"/>
  <c r="D680" i="20"/>
  <c r="D24" i="20"/>
  <c r="D621" i="20"/>
  <c r="D853" i="20"/>
  <c r="D586" i="20"/>
  <c r="D1392" i="20"/>
  <c r="D1089" i="20"/>
  <c r="D315" i="20"/>
  <c r="D827" i="20"/>
  <c r="D1339" i="20"/>
  <c r="D804" i="20"/>
  <c r="D1316" i="20"/>
  <c r="D26" i="20"/>
  <c r="D361" i="20"/>
  <c r="D1197" i="20"/>
  <c r="D674" i="20"/>
  <c r="D574" i="20"/>
  <c r="D73" i="20"/>
  <c r="D1063" i="20"/>
  <c r="D565" i="20"/>
  <c r="D129" i="20"/>
  <c r="D1250" i="20"/>
  <c r="D888" i="20"/>
  <c r="D338" i="20"/>
  <c r="D1238" i="20"/>
  <c r="D296" i="20"/>
  <c r="D1158" i="20"/>
  <c r="D1274" i="20"/>
  <c r="D997" i="20"/>
  <c r="D841" i="20"/>
  <c r="D1353" i="20"/>
  <c r="D579" i="20"/>
  <c r="D1091" i="20"/>
  <c r="D556" i="20"/>
  <c r="D91" i="20"/>
  <c r="D57" i="20"/>
  <c r="D1502" i="20"/>
  <c r="D1269" i="20"/>
  <c r="D225" i="20"/>
  <c r="D1094" i="20"/>
  <c r="D1391" i="20"/>
  <c r="D1311" i="20"/>
  <c r="D1111" i="20"/>
  <c r="D1425" i="20"/>
  <c r="D1163" i="20"/>
  <c r="D1084" i="20"/>
  <c r="D198" i="20"/>
  <c r="D365" i="20"/>
  <c r="D943" i="20"/>
  <c r="D597" i="20"/>
  <c r="D1510" i="20"/>
  <c r="D472" i="20"/>
  <c r="D862" i="20"/>
  <c r="D783" i="20"/>
  <c r="D714" i="20"/>
  <c r="D1177" i="20"/>
  <c r="D915" i="20"/>
  <c r="D892" i="20"/>
  <c r="D1228" i="20"/>
  <c r="D28" i="20"/>
  <c r="D400" i="20"/>
  <c r="D380" i="20"/>
  <c r="D1133" i="20"/>
  <c r="D286" i="20"/>
  <c r="D626" i="20"/>
  <c r="D570" i="20"/>
  <c r="D544" i="20"/>
  <c r="D1057" i="20"/>
  <c r="D795" i="20"/>
  <c r="D772" i="20"/>
  <c r="D721" i="20"/>
  <c r="D175" i="20"/>
  <c r="D59" i="20"/>
  <c r="D201" i="20"/>
  <c r="D792" i="20"/>
  <c r="D119" i="20"/>
  <c r="D448" i="20"/>
  <c r="D406" i="20"/>
  <c r="D1429" i="20"/>
  <c r="D937" i="20"/>
  <c r="D675" i="20"/>
  <c r="D652" i="20"/>
  <c r="D132" i="20"/>
  <c r="D156" i="20"/>
  <c r="D575" i="20"/>
  <c r="D1087" i="20"/>
  <c r="D334" i="20"/>
  <c r="D1277" i="20"/>
  <c r="D1309" i="20"/>
  <c r="D878" i="20"/>
  <c r="D849" i="20"/>
  <c r="D587" i="20"/>
  <c r="D692" i="20"/>
  <c r="D738" i="20"/>
  <c r="D482" i="20"/>
  <c r="D229" i="20"/>
  <c r="D1226" i="20"/>
  <c r="D836" i="20"/>
  <c r="D802" i="20"/>
  <c r="D355" i="20"/>
  <c r="D1068" i="20"/>
  <c r="D618" i="20"/>
  <c r="D848" i="20"/>
  <c r="D358" i="20"/>
  <c r="D686" i="20"/>
  <c r="D595" i="20"/>
  <c r="D527" i="20"/>
  <c r="D183" i="20"/>
  <c r="D700" i="20"/>
  <c r="D473" i="20"/>
  <c r="D368" i="20"/>
  <c r="D716" i="20"/>
  <c r="D1109" i="20"/>
  <c r="D593" i="20"/>
  <c r="D614" i="20"/>
  <c r="D1359" i="20"/>
  <c r="D1241" i="20"/>
  <c r="D1468" i="20"/>
  <c r="D903" i="20"/>
  <c r="D951" i="20"/>
  <c r="D1336" i="20"/>
  <c r="D1034" i="20"/>
  <c r="D1294" i="20"/>
  <c r="D1356" i="20"/>
  <c r="D610" i="20"/>
  <c r="D617" i="20"/>
  <c r="D1326" i="20"/>
  <c r="D1363" i="20"/>
  <c r="D806" i="20"/>
  <c r="D1062" i="20"/>
  <c r="D994" i="20"/>
  <c r="D822" i="20"/>
  <c r="D1106" i="20"/>
  <c r="D1329" i="20"/>
  <c r="D532" i="20"/>
  <c r="D696" i="20"/>
  <c r="D479" i="20"/>
  <c r="D1202" i="20"/>
  <c r="D666" i="20"/>
  <c r="D576" i="20"/>
  <c r="D819" i="20"/>
  <c r="D1334" i="20"/>
  <c r="D62" i="20"/>
  <c r="D1230" i="20"/>
  <c r="D287" i="20"/>
  <c r="D983" i="20"/>
  <c r="D571" i="20"/>
  <c r="D25" i="20"/>
  <c r="D637" i="20"/>
  <c r="D440" i="20"/>
  <c r="D536" i="20"/>
  <c r="D695" i="20"/>
  <c r="D864" i="20"/>
  <c r="D323" i="20"/>
  <c r="D812" i="20"/>
  <c r="D722" i="20"/>
  <c r="D421" i="20"/>
  <c r="D651" i="20"/>
  <c r="D1484" i="20"/>
  <c r="D271" i="20"/>
  <c r="D112" i="20"/>
  <c r="D1427" i="20"/>
  <c r="D474" i="20"/>
  <c r="D29" i="20"/>
  <c r="D1342" i="20"/>
  <c r="D1212" i="20"/>
  <c r="D60" i="20"/>
  <c r="D1165" i="20"/>
  <c r="D1150" i="20"/>
  <c r="D196" i="20"/>
  <c r="D582" i="20"/>
  <c r="D452" i="20"/>
  <c r="D1227" i="20"/>
  <c r="D345" i="20"/>
  <c r="D952" i="20"/>
  <c r="D872" i="20"/>
  <c r="D1239" i="20"/>
  <c r="D1504" i="20"/>
  <c r="D381" i="20"/>
  <c r="D1312" i="20"/>
  <c r="D1371" i="20"/>
  <c r="D313" i="20"/>
  <c r="D625" i="20"/>
  <c r="D1249" i="20"/>
  <c r="D831" i="20"/>
  <c r="D1030" i="20"/>
  <c r="D647" i="20"/>
  <c r="D1002" i="20"/>
  <c r="D342" i="20"/>
  <c r="D881" i="20"/>
  <c r="D1131" i="20"/>
  <c r="D1194" i="20"/>
  <c r="D765" i="20"/>
  <c r="D648" i="20"/>
  <c r="D80" i="20"/>
  <c r="D1482" i="20"/>
  <c r="D1395" i="20"/>
  <c r="D1013" i="20"/>
  <c r="D147" i="20"/>
  <c r="D203" i="20"/>
  <c r="D1358" i="20"/>
  <c r="D1365" i="20"/>
  <c r="D635" i="20"/>
  <c r="D90" i="20"/>
  <c r="D984" i="20"/>
  <c r="D246" i="20"/>
  <c r="D133" i="20"/>
  <c r="D749" i="20"/>
  <c r="D1509" i="20"/>
  <c r="D1411" i="20"/>
  <c r="D354" i="20"/>
  <c r="D546" i="20"/>
  <c r="D756" i="20"/>
  <c r="D1503" i="20"/>
  <c r="D241" i="20"/>
  <c r="D1404" i="20"/>
  <c r="D282" i="20"/>
  <c r="D1006" i="20"/>
  <c r="D1324" i="20"/>
  <c r="D116" i="20"/>
  <c r="D814" i="20"/>
  <c r="D1220" i="20"/>
  <c r="D909" i="20"/>
  <c r="D805" i="20"/>
  <c r="D1340" i="20"/>
  <c r="D1464" i="20"/>
  <c r="D64" i="20"/>
  <c r="D20" i="20"/>
  <c r="D642" i="20"/>
  <c r="D470" i="20"/>
  <c r="D105" i="20"/>
  <c r="D634" i="20"/>
  <c r="D178" i="20"/>
  <c r="D1405" i="20"/>
  <c r="D239" i="20"/>
  <c r="D82" i="20"/>
  <c r="D815" i="20"/>
  <c r="D1183" i="20"/>
  <c r="D1382" i="20"/>
  <c r="D1457" i="20"/>
  <c r="D1172" i="20"/>
  <c r="D1256" i="20"/>
  <c r="D319" i="20"/>
  <c r="D181" i="20"/>
  <c r="D1045" i="20"/>
  <c r="D1209" i="20"/>
  <c r="D924" i="20"/>
  <c r="D185" i="20"/>
  <c r="D1423" i="20"/>
  <c r="D1231" i="20"/>
  <c r="D1414" i="20"/>
  <c r="D1473" i="20"/>
  <c r="D1188" i="20"/>
  <c r="D1357" i="20"/>
  <c r="D703" i="20"/>
  <c r="D569" i="20"/>
  <c r="D886" i="20"/>
  <c r="D1225" i="20"/>
  <c r="D153" i="20"/>
  <c r="D1486" i="20"/>
  <c r="D702" i="20"/>
  <c r="D1176" i="20"/>
  <c r="D98" i="20"/>
  <c r="D921" i="20"/>
  <c r="D49" i="20"/>
  <c r="D1138" i="20"/>
  <c r="D801" i="20"/>
  <c r="D340" i="20"/>
  <c r="D773" i="20"/>
  <c r="D681" i="20"/>
  <c r="D413" i="20"/>
  <c r="D585" i="20"/>
  <c r="D331" i="20"/>
  <c r="D383" i="20"/>
  <c r="D964" i="20"/>
  <c r="D220" i="20"/>
  <c r="D1460" i="20"/>
  <c r="D1498" i="20"/>
  <c r="D366" i="20"/>
  <c r="D693" i="20"/>
  <c r="D609" i="20"/>
  <c r="D936" i="20"/>
  <c r="D1103" i="20"/>
  <c r="D255" i="20"/>
  <c r="D382" i="20"/>
  <c r="D1375" i="20"/>
  <c r="D1264" i="20"/>
  <c r="D1259" i="20"/>
  <c r="D1471" i="20"/>
  <c r="D1397" i="20"/>
  <c r="D1487" i="20"/>
  <c r="D1066" i="20"/>
  <c r="D1146" i="20"/>
  <c r="D499" i="20"/>
  <c r="D1500" i="20"/>
  <c r="D303" i="20"/>
  <c r="D1042" i="20"/>
  <c r="D578" i="20"/>
  <c r="D1290" i="20"/>
  <c r="D740" i="20"/>
  <c r="D228" i="20"/>
  <c r="D441" i="20"/>
  <c r="D1102" i="20"/>
  <c r="D894" i="20"/>
  <c r="D1027" i="20"/>
  <c r="D207" i="20"/>
  <c r="D1039" i="20"/>
  <c r="D972" i="20"/>
  <c r="D367" i="20"/>
  <c r="D615" i="20"/>
  <c r="D787" i="20"/>
  <c r="D38" i="20"/>
  <c r="D108" i="20"/>
  <c r="D1415" i="20"/>
  <c r="D83" i="20"/>
  <c r="D501" i="20"/>
  <c r="D260" i="20"/>
  <c r="D524" i="20"/>
  <c r="D166" i="20"/>
  <c r="D911" i="20"/>
  <c r="D1418" i="20"/>
  <c r="D1447" i="20"/>
  <c r="D1507" i="20"/>
  <c r="D184" i="20"/>
  <c r="D314" i="20"/>
  <c r="D995" i="20"/>
  <c r="D589" i="20"/>
  <c r="D1164" i="20"/>
  <c r="D874" i="20"/>
  <c r="D828" i="20"/>
  <c r="D987" i="20"/>
  <c r="D1191" i="20"/>
  <c r="D962" i="20"/>
  <c r="D244" i="20"/>
  <c r="D847" i="20"/>
  <c r="D718" i="20"/>
  <c r="D719" i="20"/>
  <c r="D514" i="20"/>
  <c r="D212" i="20"/>
  <c r="D1373" i="20"/>
  <c r="D633" i="20"/>
  <c r="D408" i="20"/>
  <c r="D109" i="20"/>
  <c r="D776" i="20"/>
  <c r="D72" i="20"/>
  <c r="D701" i="20"/>
  <c r="D928" i="20"/>
  <c r="D650" i="20"/>
  <c r="D1470" i="20"/>
  <c r="D1137" i="20"/>
  <c r="D363" i="20"/>
  <c r="D875" i="20"/>
  <c r="D1387" i="20"/>
  <c r="D852" i="20"/>
  <c r="D1364" i="20"/>
  <c r="D1096" i="20"/>
  <c r="D914" i="20"/>
  <c r="D1285" i="20"/>
  <c r="D1167" i="20"/>
  <c r="D1122" i="20"/>
  <c r="D137" i="20"/>
  <c r="D1199" i="20"/>
  <c r="D664" i="20"/>
  <c r="D193" i="20"/>
  <c r="D55" i="20"/>
  <c r="D1026" i="20"/>
  <c r="D393" i="20"/>
  <c r="D1341" i="20"/>
  <c r="D351" i="20"/>
  <c r="D1261" i="20"/>
  <c r="D1351" i="20"/>
  <c r="D1072" i="20"/>
  <c r="D889" i="20"/>
  <c r="D1401" i="20"/>
  <c r="D627" i="20"/>
  <c r="D1139" i="20"/>
  <c r="D604" i="20"/>
  <c r="D1116" i="20"/>
  <c r="D27" i="20"/>
  <c r="D47" i="20"/>
  <c r="D292" i="20"/>
  <c r="D938" i="20"/>
  <c r="D807" i="20"/>
  <c r="D808" i="20"/>
  <c r="D549" i="20"/>
  <c r="D234" i="20"/>
  <c r="D1430" i="20"/>
  <c r="D669" i="20"/>
  <c r="D432" i="20"/>
  <c r="D125" i="20"/>
  <c r="D810" i="20"/>
  <c r="D88" i="20"/>
  <c r="D733" i="20"/>
  <c r="D954" i="20"/>
  <c r="D677" i="20"/>
  <c r="D1495" i="20"/>
  <c r="D1153" i="20"/>
  <c r="D379" i="20"/>
  <c r="D891" i="20"/>
  <c r="D1403" i="20"/>
  <c r="D868" i="20"/>
  <c r="D1380" i="20"/>
  <c r="D46" i="20"/>
  <c r="D1144" i="20"/>
  <c r="D35" i="20"/>
  <c r="D1304" i="20"/>
  <c r="D1360" i="20"/>
  <c r="D158" i="20"/>
  <c r="D1246" i="20"/>
  <c r="D704" i="20"/>
  <c r="D214" i="20"/>
  <c r="D76" i="20"/>
  <c r="D1071" i="20"/>
  <c r="D412" i="20"/>
  <c r="D1374" i="20"/>
  <c r="D369" i="20"/>
  <c r="D1295" i="20"/>
  <c r="D1376" i="20"/>
  <c r="D1098" i="20"/>
  <c r="D905" i="20"/>
  <c r="D1417" i="20"/>
  <c r="D643" i="20"/>
  <c r="D1155" i="20"/>
  <c r="D620" i="20"/>
  <c r="D694" i="20"/>
  <c r="D422" i="20"/>
  <c r="D353" i="20"/>
  <c r="D84" i="20"/>
  <c r="D431" i="20"/>
  <c r="D1488" i="20"/>
  <c r="D1446" i="20"/>
  <c r="D775" i="20"/>
  <c r="D1317" i="20"/>
  <c r="D267" i="20"/>
  <c r="D1291" i="20"/>
  <c r="D1196" i="20"/>
  <c r="D922" i="20"/>
  <c r="D925" i="20"/>
  <c r="D253" i="20"/>
  <c r="D926" i="20"/>
  <c r="D54" i="20"/>
  <c r="D754" i="20"/>
  <c r="D1135" i="20"/>
  <c r="D1055" i="20"/>
  <c r="D919" i="20"/>
  <c r="D1305" i="20"/>
  <c r="D1043" i="20"/>
  <c r="D1004" i="20"/>
  <c r="D264" i="20"/>
  <c r="D390" i="20"/>
  <c r="D990" i="20"/>
  <c r="D613" i="20"/>
  <c r="D118" i="20"/>
  <c r="D488" i="20"/>
  <c r="D879" i="20"/>
  <c r="D799" i="20"/>
  <c r="D727" i="20"/>
  <c r="D1185" i="20"/>
  <c r="D923" i="20"/>
  <c r="D900" i="20"/>
  <c r="D177" i="20"/>
  <c r="D50" i="20"/>
  <c r="D425" i="20"/>
  <c r="D391" i="20"/>
  <c r="D1157" i="20"/>
  <c r="D298" i="20"/>
  <c r="D639" i="20"/>
  <c r="D583" i="20"/>
  <c r="D554" i="20"/>
  <c r="D1065" i="20"/>
  <c r="D803" i="20"/>
  <c r="D780" i="20"/>
  <c r="D735" i="20"/>
  <c r="D561" i="20"/>
  <c r="D1263" i="20"/>
  <c r="D1480" i="20"/>
  <c r="D551" i="20"/>
  <c r="D77" i="20"/>
  <c r="D40" i="20"/>
  <c r="D1082" i="20"/>
  <c r="D977" i="20"/>
  <c r="D715" i="20"/>
  <c r="D820" i="20"/>
  <c r="D1143" i="20"/>
  <c r="D1506" i="20"/>
  <c r="D743" i="20"/>
  <c r="D745" i="20"/>
  <c r="D1148" i="20"/>
  <c r="D281" i="20"/>
  <c r="D1379" i="20"/>
  <c r="D623" i="20"/>
  <c r="D1385" i="20"/>
  <c r="D678" i="20"/>
  <c r="D1514" i="20"/>
  <c r="D1485" i="20"/>
  <c r="D867" i="20"/>
  <c r="D590" i="20"/>
  <c r="D93" i="20"/>
  <c r="D316" i="20"/>
  <c r="D1022" i="20"/>
  <c r="D161" i="20"/>
  <c r="D1010" i="20"/>
  <c r="D737" i="20"/>
  <c r="D300" i="20"/>
  <c r="D1378" i="20"/>
  <c r="D324" i="20"/>
  <c r="D1513" i="20"/>
  <c r="D661" i="20"/>
  <c r="D842" i="20"/>
  <c r="D194" i="20"/>
  <c r="D230" i="20"/>
  <c r="D1377" i="20"/>
  <c r="D978" i="20"/>
  <c r="D966" i="20"/>
  <c r="D115" i="20"/>
  <c r="D85" i="20"/>
  <c r="D830" i="20"/>
  <c r="D588" i="20"/>
  <c r="D542" i="20"/>
  <c r="D174" i="20"/>
  <c r="D41" i="20"/>
  <c r="D1182" i="20"/>
  <c r="D1186" i="20"/>
  <c r="D1237" i="20"/>
  <c r="D555" i="20"/>
  <c r="D823" i="20"/>
  <c r="D478" i="20"/>
  <c r="D138" i="20"/>
  <c r="D322" i="20"/>
  <c r="D16" i="20"/>
  <c r="D1381" i="20"/>
  <c r="D1331" i="20"/>
  <c r="D289" i="20"/>
  <c r="D509" i="20"/>
  <c r="D107" i="20"/>
  <c r="D329" i="20"/>
  <c r="D1142" i="20"/>
  <c r="D1345" i="20"/>
  <c r="D548" i="20"/>
  <c r="D89" i="20"/>
  <c r="D545" i="20"/>
  <c r="D1247" i="20"/>
  <c r="D69" i="20"/>
  <c r="D632" i="20"/>
  <c r="D1406" i="20"/>
  <c r="D835" i="20"/>
  <c r="D1280" i="20"/>
  <c r="D87" i="20"/>
  <c r="D378" i="20"/>
  <c r="D628" i="20"/>
  <c r="D218" i="20"/>
  <c r="D728" i="20"/>
  <c r="D149" i="20"/>
  <c r="D403" i="20"/>
  <c r="D70" i="20"/>
  <c r="D106" i="20"/>
  <c r="D1478" i="20"/>
  <c r="D1307" i="20"/>
  <c r="D121" i="20"/>
  <c r="D1442" i="20"/>
  <c r="D1187" i="20"/>
  <c r="D672" i="20"/>
  <c r="D505" i="20"/>
  <c r="D1361" i="20"/>
  <c r="D671" i="20"/>
  <c r="D213" i="20"/>
  <c r="D498" i="20"/>
  <c r="D1439" i="20"/>
  <c r="D486" i="20"/>
  <c r="D231" i="20"/>
  <c r="D600" i="20"/>
  <c r="D1047" i="20"/>
  <c r="D1476" i="20"/>
  <c r="D1490" i="20"/>
  <c r="D126" i="20"/>
  <c r="D182" i="20"/>
  <c r="D1322" i="20"/>
  <c r="D1061" i="20"/>
  <c r="D596" i="20"/>
  <c r="D760" i="20"/>
  <c r="D1400" i="20"/>
  <c r="D794" i="20"/>
  <c r="D663" i="20"/>
  <c r="D883" i="20"/>
  <c r="D1386" i="20"/>
  <c r="D1258" i="20"/>
  <c r="D685" i="20"/>
  <c r="D1048" i="20"/>
  <c r="D1279" i="20"/>
  <c r="D1409" i="20"/>
  <c r="D612" i="20"/>
  <c r="D317" i="20"/>
  <c r="D562" i="20"/>
  <c r="D687" i="20"/>
  <c r="D829" i="20"/>
  <c r="D688" i="20"/>
  <c r="D899" i="20"/>
  <c r="D352" i="20"/>
  <c r="D602" i="20"/>
  <c r="D1041" i="20"/>
  <c r="D720" i="20"/>
  <c r="D466" i="20"/>
  <c r="D1198" i="20"/>
  <c r="D508" i="20"/>
  <c r="D991" i="20"/>
  <c r="D120" i="20"/>
  <c r="D411" i="20"/>
  <c r="D506" i="20"/>
  <c r="D471" i="20"/>
  <c r="D1354" i="20"/>
  <c r="D781" i="20"/>
  <c r="D359" i="20"/>
  <c r="D1489" i="20"/>
  <c r="D641" i="20"/>
  <c r="D347" i="20"/>
  <c r="D493" i="20"/>
  <c r="D1156" i="20"/>
  <c r="D150" i="20"/>
  <c r="D871" i="20"/>
  <c r="D816" i="20"/>
  <c r="D1268" i="20"/>
  <c r="D1113" i="20"/>
  <c r="D339" i="20"/>
  <c r="D337" i="20"/>
  <c r="D1370" i="20"/>
  <c r="D457" i="20"/>
  <c r="D1440" i="20"/>
  <c r="D683" i="20"/>
  <c r="D461" i="20"/>
  <c r="D1127" i="20"/>
  <c r="D976" i="20"/>
  <c r="D930" i="20"/>
  <c r="D766" i="20"/>
  <c r="D947" i="20"/>
  <c r="D463" i="20"/>
  <c r="D124" i="20"/>
  <c r="D297" i="20"/>
  <c r="D1494" i="20"/>
  <c r="D1189" i="20"/>
  <c r="D1211" i="20"/>
  <c r="D655" i="20"/>
  <c r="D1218" i="20"/>
  <c r="D863" i="20"/>
  <c r="D160" i="20"/>
  <c r="D713" i="20"/>
  <c r="D1475" i="20"/>
  <c r="D581" i="20"/>
  <c r="D767" i="20"/>
  <c r="D884" i="20"/>
  <c r="D179" i="20"/>
  <c r="D388" i="20"/>
  <c r="D636" i="20"/>
  <c r="D485" i="20"/>
  <c r="D1210" i="20"/>
  <c r="D1412" i="20"/>
  <c r="D295" i="20"/>
  <c r="D1018" i="20"/>
  <c r="D1332" i="20"/>
  <c r="D1270" i="20"/>
  <c r="D1008" i="20"/>
  <c r="D1452" i="20"/>
  <c r="D1120" i="20"/>
  <c r="D729" i="20"/>
  <c r="D599" i="20"/>
  <c r="D790" i="20"/>
  <c r="D1001" i="20"/>
  <c r="D744" i="20"/>
  <c r="D948" i="20"/>
  <c r="D176" i="20"/>
  <c r="D986" i="20"/>
  <c r="D460" i="20"/>
  <c r="D918" i="20"/>
  <c r="D306" i="20"/>
  <c r="D1383" i="20"/>
  <c r="D725" i="20"/>
  <c r="D235" i="20"/>
  <c r="D1236" i="20"/>
  <c r="D143" i="20"/>
  <c r="D417" i="20"/>
  <c r="D247" i="20"/>
  <c r="D989" i="20"/>
  <c r="D761" i="20"/>
  <c r="D1011" i="20"/>
  <c r="D1469" i="20"/>
  <c r="D304" i="20"/>
  <c r="D407" i="20"/>
  <c r="D1410" i="20"/>
  <c r="D502" i="20"/>
  <c r="D763" i="20"/>
  <c r="D1252" i="20"/>
  <c r="D832" i="20"/>
  <c r="D1450" i="20"/>
  <c r="D33" i="20"/>
  <c r="D265" i="20"/>
  <c r="D1023" i="20"/>
  <c r="D1289" i="20"/>
  <c r="D492" i="20"/>
  <c r="D904" i="20"/>
  <c r="D1118" i="20"/>
  <c r="D1297" i="20"/>
  <c r="D1099" i="20"/>
  <c r="D1112" i="20"/>
  <c r="D534" i="20"/>
  <c r="D764" i="20"/>
  <c r="D190" i="20"/>
  <c r="D397" i="20"/>
  <c r="D644" i="20"/>
  <c r="D423" i="20"/>
  <c r="D1160" i="20"/>
  <c r="D809" i="20"/>
  <c r="D1420" i="20"/>
  <c r="D1350" i="20"/>
  <c r="D1448" i="20"/>
  <c r="D526" i="20"/>
  <c r="D630" i="20"/>
  <c r="D1456" i="20"/>
  <c r="D276" i="20"/>
  <c r="D1101" i="20"/>
  <c r="D529" i="20"/>
  <c r="D656" i="20"/>
  <c r="D31" i="20"/>
  <c r="D56" i="20"/>
  <c r="D465" i="20"/>
  <c r="D890" i="20"/>
  <c r="D389" i="20"/>
  <c r="D410" i="20"/>
  <c r="D438" i="20"/>
  <c r="D1213" i="20"/>
  <c r="D1079" i="20"/>
  <c r="D1080" i="20"/>
  <c r="D646" i="20"/>
  <c r="D308" i="20"/>
  <c r="D568" i="20"/>
  <c r="D797" i="20"/>
  <c r="D520" i="20"/>
  <c r="D173" i="20"/>
  <c r="D912" i="20"/>
  <c r="D136" i="20"/>
  <c r="D834" i="20"/>
  <c r="D1031" i="20"/>
  <c r="D752" i="20"/>
  <c r="D689" i="20"/>
  <c r="D1201" i="20"/>
  <c r="D427" i="20"/>
  <c r="D939" i="20"/>
  <c r="D1451" i="20"/>
  <c r="D916" i="20"/>
  <c r="D1428" i="20"/>
  <c r="D409" i="20"/>
  <c r="D290" i="20"/>
  <c r="D163" i="20"/>
  <c r="D102" i="20"/>
  <c r="D103" i="20"/>
  <c r="D222" i="20"/>
  <c r="D1399" i="20"/>
  <c r="D838" i="20"/>
  <c r="D285" i="20"/>
  <c r="D140" i="20"/>
  <c r="D1207" i="20"/>
  <c r="D469" i="20"/>
  <c r="D1477" i="20"/>
  <c r="D424" i="20"/>
  <c r="D1398" i="20"/>
  <c r="D1454" i="20"/>
  <c r="D1175" i="20"/>
  <c r="D953" i="20"/>
  <c r="D1465" i="20"/>
  <c r="D691" i="20"/>
  <c r="D1203" i="20"/>
  <c r="D668" i="20"/>
  <c r="D1180" i="20"/>
  <c r="D557" i="20"/>
  <c r="D560" i="20"/>
  <c r="D496" i="20"/>
  <c r="D1302" i="20"/>
  <c r="D1170" i="20"/>
  <c r="D1174" i="20"/>
  <c r="D682" i="20"/>
  <c r="D332" i="20"/>
  <c r="D1296" i="20"/>
  <c r="D840" i="20"/>
  <c r="D552" i="20"/>
  <c r="D189" i="20"/>
  <c r="D949" i="20"/>
  <c r="D152" i="20"/>
  <c r="D870" i="20"/>
  <c r="D1056" i="20"/>
  <c r="D778" i="20"/>
  <c r="D705" i="20"/>
  <c r="D1217" i="20"/>
  <c r="D443" i="20"/>
  <c r="D955" i="20"/>
  <c r="D1467" i="20"/>
  <c r="D932" i="20"/>
  <c r="D1444" i="20"/>
  <c r="D558" i="20"/>
  <c r="D434" i="20"/>
  <c r="D206" i="20"/>
  <c r="D145" i="20"/>
  <c r="D146" i="20"/>
  <c r="D245" i="20"/>
  <c r="D1453" i="20"/>
  <c r="D885" i="20"/>
  <c r="D321" i="20"/>
  <c r="D162" i="20"/>
  <c r="D1254" i="20"/>
  <c r="D494" i="20"/>
  <c r="D1511" i="20"/>
  <c r="D442" i="20"/>
  <c r="D1432" i="20"/>
  <c r="D1479" i="20"/>
  <c r="D1200" i="20"/>
  <c r="D969" i="20"/>
  <c r="D1481" i="20"/>
  <c r="D707" i="20"/>
  <c r="D1219" i="20"/>
  <c r="D684" i="20"/>
  <c r="D155" i="20"/>
  <c r="D1029" i="20"/>
  <c r="D901" i="20"/>
  <c r="D258" i="20"/>
  <c r="D706" i="20"/>
  <c r="D141" i="20"/>
  <c r="D104" i="20"/>
  <c r="D981" i="20"/>
  <c r="D657" i="20"/>
  <c r="D395" i="20"/>
  <c r="D1419" i="20"/>
  <c r="D1284" i="20"/>
  <c r="D154" i="20"/>
  <c r="D78" i="20"/>
  <c r="D18" i="20"/>
  <c r="D1293" i="20"/>
  <c r="D236" i="20"/>
  <c r="D1117" i="20"/>
  <c r="D1408" i="20"/>
  <c r="D1330" i="20"/>
  <c r="D1125" i="20"/>
  <c r="D1433" i="20"/>
  <c r="D1171" i="20"/>
  <c r="D1092" i="20"/>
  <c r="D195" i="20"/>
  <c r="D968" i="20"/>
  <c r="D301" i="20"/>
  <c r="D950" i="20"/>
  <c r="D65" i="20"/>
  <c r="D774" i="20"/>
  <c r="D1152" i="20"/>
  <c r="D1074" i="20"/>
  <c r="D933" i="20"/>
  <c r="D1313" i="20"/>
  <c r="D1051" i="20"/>
  <c r="D1012" i="20"/>
  <c r="D336" i="20"/>
  <c r="D414" i="20"/>
  <c r="D1037" i="20"/>
  <c r="D629" i="20"/>
  <c r="D309" i="20"/>
  <c r="D504" i="20"/>
  <c r="D896" i="20"/>
  <c r="D818" i="20"/>
  <c r="D741" i="20"/>
  <c r="D1193" i="20"/>
  <c r="D931" i="20"/>
  <c r="D908" i="20"/>
  <c r="D134" i="20"/>
  <c r="D1242" i="20"/>
  <c r="D638" i="20"/>
  <c r="D170" i="20"/>
  <c r="D887" i="20"/>
  <c r="D205" i="20"/>
  <c r="D168" i="20"/>
  <c r="D1287" i="20"/>
  <c r="D1105" i="20"/>
  <c r="D843" i="20"/>
  <c r="D940" i="20"/>
  <c r="D199" i="20"/>
  <c r="D392" i="20"/>
  <c r="D1325" i="20"/>
  <c r="D1121" i="20"/>
  <c r="D1388" i="20"/>
  <c r="D202" i="20"/>
  <c r="D458" i="20"/>
  <c r="D1416" i="20"/>
  <c r="D1499" i="20"/>
  <c r="D210" i="20"/>
  <c r="D396" i="20"/>
  <c r="D1301" i="20"/>
  <c r="D1243" i="20"/>
  <c r="D757" i="20"/>
  <c r="D1032" i="20"/>
  <c r="D1286" i="20"/>
  <c r="D1369" i="20"/>
  <c r="D204" i="20"/>
  <c r="D15" i="20"/>
  <c r="D475" i="20"/>
  <c r="D895" i="20"/>
  <c r="D370" i="20"/>
  <c r="D920" i="20"/>
  <c r="D603" i="20"/>
  <c r="D270" i="20"/>
  <c r="D985" i="20"/>
  <c r="D1271" i="20"/>
  <c r="D294" i="20"/>
  <c r="D1491" i="20"/>
  <c r="D1306" i="20"/>
  <c r="D386" i="20"/>
  <c r="D768" i="20"/>
  <c r="D375" i="20"/>
  <c r="D1431" i="20"/>
  <c r="D956" i="20"/>
  <c r="D467" i="20"/>
  <c r="D477" i="20"/>
  <c r="D517" i="20"/>
  <c r="D311" i="20"/>
  <c r="D958" i="20"/>
  <c r="D1067" i="20"/>
  <c r="D92" i="20"/>
  <c r="D416" i="20"/>
  <c r="D53" i="20"/>
  <c r="D839" i="20"/>
  <c r="D307" i="20"/>
  <c r="D1308" i="20"/>
  <c r="D606" i="20"/>
  <c r="D550" i="20"/>
  <c r="D1221" i="20"/>
  <c r="D833" i="20"/>
  <c r="D1060" i="20"/>
  <c r="D543" i="20"/>
  <c r="D346" i="20"/>
  <c r="D598" i="20"/>
  <c r="D1347" i="20"/>
  <c r="D169" i="20"/>
  <c r="D913" i="20"/>
  <c r="D946" i="20"/>
  <c r="D992" i="20"/>
  <c r="D1292" i="20"/>
  <c r="D455" i="20"/>
  <c r="D800" i="20"/>
  <c r="D266" i="20"/>
  <c r="D261" i="20"/>
  <c r="D1362" i="20"/>
  <c r="D1132" i="20"/>
  <c r="D577" i="20"/>
  <c r="D608" i="20"/>
  <c r="D58" i="20"/>
  <c r="D483" i="20"/>
  <c r="D1154" i="20"/>
  <c r="D844" i="20"/>
  <c r="D1276" i="20"/>
  <c r="D1076" i="20"/>
  <c r="D1251" i="20"/>
  <c r="D910" i="20"/>
  <c r="D631" i="20"/>
  <c r="D782" i="20"/>
  <c r="D1178" i="20"/>
  <c r="D384" i="20"/>
  <c r="D1338" i="20"/>
  <c r="D619" i="20"/>
  <c r="D263" i="20"/>
  <c r="D893" i="20"/>
  <c r="D223" i="20"/>
  <c r="D420" i="20"/>
  <c r="D717" i="20"/>
  <c r="D1145" i="20"/>
  <c r="D860" i="20"/>
  <c r="D1413" i="20"/>
  <c r="D1222" i="20"/>
  <c r="D402" i="20"/>
  <c r="D1086" i="20"/>
  <c r="D1147" i="20"/>
  <c r="D110" i="20"/>
  <c r="D856" i="20"/>
  <c r="D445" i="20"/>
  <c r="D967" i="20"/>
  <c r="D387" i="20"/>
  <c r="D1335" i="20"/>
  <c r="D262" i="20"/>
  <c r="D779" i="20"/>
  <c r="D326" i="20"/>
  <c r="D284" i="20"/>
  <c r="D531" i="20"/>
  <c r="D1119" i="20"/>
  <c r="D157" i="20"/>
  <c r="D1435" i="20"/>
  <c r="D426" i="20"/>
  <c r="D1496" i="20"/>
  <c r="D1315" i="20"/>
  <c r="D1266" i="20"/>
  <c r="D710" i="20"/>
  <c r="D1355" i="20"/>
  <c r="D859" i="20"/>
  <c r="D171" i="20"/>
  <c r="D759" i="20"/>
  <c r="D1445" i="20"/>
  <c r="D934" i="20"/>
  <c r="D580" i="20"/>
  <c r="D959" i="20"/>
  <c r="D333" i="20"/>
  <c r="D142" i="20"/>
  <c r="D211" i="20"/>
  <c r="D130" i="20"/>
  <c r="D1461" i="20"/>
  <c r="D1162" i="20"/>
  <c r="D1195" i="20"/>
  <c r="D489" i="20"/>
  <c r="D1128" i="20"/>
  <c r="D821" i="20"/>
  <c r="D144" i="20"/>
  <c r="D697" i="20"/>
  <c r="D1459" i="20"/>
  <c r="D362" i="20"/>
  <c r="D233" i="20"/>
  <c r="D151" i="20"/>
  <c r="D433" i="20"/>
  <c r="D961" i="20"/>
  <c r="D676" i="20"/>
  <c r="D528" i="20"/>
  <c r="D344" i="20"/>
  <c r="D965" i="20"/>
  <c r="D791" i="20"/>
  <c r="D963" i="20"/>
  <c r="D341" i="20"/>
  <c r="D456" i="20"/>
  <c r="D1169" i="20"/>
  <c r="D67" i="20"/>
  <c r="D746" i="20"/>
  <c r="D1402" i="20"/>
  <c r="D139" i="20"/>
  <c r="D19" i="20"/>
  <c r="D250" i="20"/>
  <c r="D516" i="20"/>
  <c r="D1038" i="20"/>
  <c r="D128" i="20"/>
  <c r="D1443" i="20"/>
  <c r="D257" i="20"/>
  <c r="D982" i="20"/>
  <c r="D1483" i="20"/>
  <c r="D1235" i="20"/>
  <c r="D221" i="20"/>
  <c r="D1129" i="20"/>
  <c r="D935" i="20"/>
  <c r="D1007" i="20"/>
  <c r="D1253" i="20"/>
  <c r="D1036" i="20"/>
  <c r="D851" i="20"/>
  <c r="D611" i="20"/>
  <c r="D325" i="20"/>
  <c r="D998" i="20"/>
  <c r="D553" i="20"/>
  <c r="D480" i="20"/>
  <c r="D747" i="20"/>
  <c r="D1389" i="20"/>
  <c r="D79" i="20"/>
  <c r="D1024" i="20"/>
  <c r="D208" i="20"/>
  <c r="D1273" i="20"/>
  <c r="D988" i="20"/>
  <c r="D373" i="20"/>
  <c r="D63" i="20"/>
  <c r="D1437" i="20"/>
  <c r="D750" i="20"/>
  <c r="D251" i="20"/>
  <c r="D240" i="20"/>
  <c r="D164" i="20"/>
  <c r="D1069" i="20"/>
  <c r="D224" i="20"/>
  <c r="D777" i="20"/>
  <c r="D525" i="20"/>
  <c r="D43" i="20"/>
  <c r="D906" i="20"/>
  <c r="D1472" i="20"/>
  <c r="D273" i="20"/>
  <c r="D1049" i="20"/>
  <c r="D113" i="20"/>
  <c r="D439" i="20"/>
  <c r="D667" i="20"/>
  <c r="D30" i="20"/>
  <c r="D1223" i="20"/>
  <c r="D495" i="20"/>
  <c r="D1255" i="20"/>
  <c r="D564" i="20"/>
  <c r="D734" i="20"/>
  <c r="D1349" i="20"/>
  <c r="D1434" i="20"/>
  <c r="D739" i="20"/>
  <c r="D865" i="20"/>
  <c r="D1095" i="20"/>
  <c r="D34" i="20"/>
  <c r="D1232" i="20"/>
  <c r="D1240" i="20"/>
  <c r="D698" i="20"/>
  <c r="D100" i="20"/>
  <c r="D36" i="20"/>
  <c r="D1368" i="20"/>
  <c r="D813" i="20"/>
  <c r="D405" i="20"/>
  <c r="D1458" i="20"/>
  <c r="D1000" i="20"/>
  <c r="D649" i="20"/>
  <c r="D238" i="20"/>
  <c r="D1050" i="20"/>
  <c r="D200" i="20"/>
  <c r="D973" i="20"/>
  <c r="D1134" i="20"/>
  <c r="D855" i="20"/>
  <c r="D753" i="20"/>
  <c r="D1265" i="20"/>
  <c r="D491" i="20"/>
  <c r="D1003" i="20"/>
  <c r="D468" i="20"/>
  <c r="D980" i="20"/>
  <c r="D1492" i="20"/>
  <c r="D1234" i="20"/>
  <c r="D1053" i="20"/>
  <c r="D349" i="20"/>
  <c r="D279" i="20"/>
  <c r="D280" i="20"/>
  <c r="D318" i="20"/>
  <c r="D52" i="20"/>
  <c r="D1021" i="20"/>
  <c r="D394" i="20"/>
  <c r="D226" i="20"/>
  <c r="D1407" i="20"/>
  <c r="D567" i="20"/>
  <c r="D1394" i="20"/>
  <c r="D510" i="20"/>
  <c r="D736" i="20"/>
  <c r="D490" i="20"/>
  <c r="D1278" i="20"/>
  <c r="D1017" i="20"/>
  <c r="D243" i="20"/>
  <c r="D755" i="20"/>
  <c r="D1267" i="20"/>
  <c r="D732" i="20"/>
  <c r="D1244" i="20"/>
  <c r="D68" i="20"/>
  <c r="D131" i="20"/>
  <c r="D786" i="20"/>
  <c r="D186" i="20"/>
  <c r="D122" i="20"/>
  <c r="D1422" i="20"/>
  <c r="D858" i="20"/>
  <c r="D429" i="20"/>
  <c r="D22" i="20"/>
  <c r="D1046" i="20"/>
  <c r="D690" i="20"/>
  <c r="D256" i="20"/>
  <c r="D1085" i="20"/>
  <c r="D216" i="20"/>
  <c r="D1005" i="20"/>
  <c r="D1159" i="20"/>
  <c r="D880" i="20"/>
  <c r="D769" i="20"/>
  <c r="D1281" i="20"/>
  <c r="D507" i="20"/>
  <c r="D1019" i="20"/>
  <c r="D484" i="20"/>
  <c r="D996" i="20"/>
  <c r="D1508" i="20"/>
  <c r="D312" i="20"/>
  <c r="D1282" i="20"/>
  <c r="D398" i="20"/>
  <c r="D327" i="20"/>
  <c r="D328" i="20"/>
  <c r="D343" i="20"/>
  <c r="D74" i="20"/>
  <c r="D1064" i="20"/>
  <c r="D418" i="20"/>
  <c r="D249" i="20"/>
  <c r="D1463" i="20"/>
  <c r="D591" i="20"/>
  <c r="D1426" i="20"/>
  <c r="D535" i="20"/>
  <c r="D762" i="20"/>
  <c r="D512" i="20"/>
  <c r="D1303" i="20"/>
  <c r="D1033" i="20"/>
  <c r="D259" i="20"/>
  <c r="D771" i="20"/>
  <c r="D1283" i="20"/>
  <c r="D748" i="20"/>
  <c r="D592" i="20"/>
  <c r="D277" i="20"/>
  <c r="D1474" i="20"/>
  <c r="D454" i="20"/>
  <c r="D1093" i="20"/>
  <c r="D274" i="20"/>
  <c r="D232" i="20"/>
  <c r="D1184" i="20"/>
  <c r="D785" i="20"/>
  <c r="D523" i="20"/>
  <c r="D500" i="20"/>
  <c r="D1396" i="20"/>
  <c r="D1190" i="20"/>
  <c r="D446" i="20"/>
  <c r="D377" i="20"/>
  <c r="D95" i="20"/>
  <c r="D444" i="20"/>
  <c r="D21" i="20"/>
  <c r="D1462" i="20"/>
  <c r="D789" i="20"/>
  <c r="D1328" i="20"/>
  <c r="D275" i="20"/>
  <c r="D1299" i="20"/>
  <c r="D1204" i="20"/>
  <c r="D217" i="20"/>
  <c r="D99" i="20"/>
  <c r="D39" i="20"/>
  <c r="D1318" i="20"/>
  <c r="D248" i="20"/>
  <c r="D1141" i="20"/>
  <c r="D1424" i="20"/>
  <c r="D1346" i="20"/>
  <c r="D1136" i="20"/>
  <c r="D1441" i="20"/>
  <c r="D1179" i="20"/>
  <c r="D1100" i="20"/>
  <c r="D385" i="20"/>
  <c r="D1014" i="20"/>
  <c r="D350" i="20"/>
  <c r="D974" i="20"/>
  <c r="D75" i="20"/>
  <c r="D798" i="20"/>
  <c r="D1168" i="20"/>
  <c r="D1090" i="20"/>
  <c r="D944" i="20"/>
  <c r="D1321" i="20"/>
  <c r="D1059" i="20"/>
  <c r="D1020" i="20"/>
  <c r="D654" i="20"/>
  <c r="D227" i="20"/>
  <c r="D167" i="20"/>
  <c r="D356" i="20"/>
  <c r="D1272" i="20"/>
  <c r="D348" i="20"/>
  <c r="D305" i="20"/>
  <c r="D1493" i="20"/>
  <c r="D1233" i="20"/>
  <c r="D971" i="20"/>
  <c r="D1028" i="20"/>
  <c r="D252" i="20"/>
  <c r="D1319" i="20"/>
  <c r="D192" i="20"/>
  <c r="D1497" i="20"/>
  <c r="D191" i="20"/>
  <c r="D616" i="20"/>
  <c r="D1130" i="20"/>
  <c r="D941" i="20"/>
  <c r="D824" i="20"/>
  <c r="D94" i="20"/>
  <c r="D1327" i="20"/>
  <c r="D640" i="20"/>
  <c r="D572" i="20"/>
  <c r="D187" i="20"/>
  <c r="D462" i="20"/>
  <c r="D712" i="20"/>
  <c r="D1107" i="20"/>
  <c r="D1288" i="20"/>
  <c r="D1384" i="20"/>
  <c r="D1123" i="20"/>
  <c r="D1310" i="20"/>
  <c r="D23" i="20"/>
  <c r="D1501" i="20"/>
  <c r="D979" i="20"/>
  <c r="D927" i="20"/>
  <c r="D723" i="20"/>
  <c r="D917" i="20"/>
  <c r="D975" i="20"/>
  <c r="D1348" i="20"/>
  <c r="D1229" i="20"/>
  <c r="D658" i="20"/>
  <c r="D180" i="20"/>
  <c r="D1015" i="20"/>
  <c r="D873" i="20"/>
  <c r="D1260" i="20"/>
  <c r="D372" i="20"/>
  <c r="D622" i="20"/>
  <c r="D399" i="20"/>
  <c r="D86" i="20"/>
  <c r="D269" i="20"/>
  <c r="D817" i="20"/>
  <c r="D1044" i="20"/>
  <c r="D573" i="20"/>
  <c r="D503" i="20"/>
  <c r="D607" i="20"/>
  <c r="D1081" i="20"/>
  <c r="D796" i="20"/>
  <c r="D1151" i="20"/>
  <c r="D1040" i="20"/>
  <c r="D866" i="20"/>
  <c r="D1262" i="20"/>
  <c r="D1083" i="20"/>
  <c r="D135" i="20"/>
  <c r="D159" i="20"/>
  <c r="D32" i="20"/>
  <c r="D1097" i="20"/>
  <c r="D1438" i="20"/>
  <c r="D1390" i="20"/>
  <c r="D1077" i="20"/>
  <c r="D665" i="20"/>
  <c r="D401" i="20"/>
  <c r="D283" i="20"/>
  <c r="D1344" i="20"/>
  <c r="D1449" i="20"/>
  <c r="D172" i="20"/>
  <c r="D1140" i="20"/>
  <c r="D101" i="20"/>
  <c r="D357" i="20"/>
  <c r="D1110" i="20"/>
  <c r="D601" i="20"/>
  <c r="D993" i="20"/>
  <c r="D48" i="20"/>
  <c r="D1078" i="20"/>
  <c r="D44" i="20"/>
  <c r="D1245" i="20"/>
  <c r="D1393" i="20"/>
  <c r="D1108" i="20"/>
  <c r="D268" i="20"/>
  <c r="D530" i="20"/>
  <c r="D117" i="20"/>
  <c r="D942" i="20"/>
  <c r="D371" i="20"/>
  <c r="D1372" i="20"/>
  <c r="D1215" i="20"/>
  <c r="D66" i="20"/>
  <c r="D360" i="20"/>
  <c r="D897" i="20"/>
  <c r="D1124" i="20"/>
  <c r="D854" i="20"/>
  <c r="D1455" i="20"/>
  <c r="D96" i="20"/>
  <c r="D1161" i="20"/>
  <c r="D876" i="20"/>
  <c r="D1088" i="20"/>
  <c r="D522" i="20"/>
  <c r="D1054" i="20"/>
  <c r="D1114" i="20"/>
  <c r="D793" i="20"/>
  <c r="D288" i="20"/>
  <c r="D751" i="20"/>
  <c r="D673" i="20"/>
  <c r="D242" i="20"/>
  <c r="D37" i="20"/>
  <c r="D291" i="20"/>
  <c r="D1421" i="20"/>
  <c r="D645" i="20"/>
  <c r="D957" i="20"/>
  <c r="D1208" i="20"/>
  <c r="D857" i="20"/>
  <c r="D784" i="20"/>
  <c r="D1352" i="20"/>
  <c r="D731" i="20"/>
  <c r="D711" i="20"/>
  <c r="D209" i="20"/>
  <c r="D81" i="20"/>
  <c r="D272" i="20"/>
  <c r="D415" i="20"/>
  <c r="D945" i="20"/>
  <c r="D660" i="20"/>
  <c r="D464" i="20"/>
  <c r="D662" i="20"/>
  <c r="D537" i="20"/>
  <c r="D850" i="20"/>
  <c r="D435" i="20"/>
  <c r="D1436" i="20"/>
  <c r="D123" i="20"/>
  <c r="D861" i="20"/>
  <c r="D481" i="20"/>
  <c r="D1466" i="20"/>
  <c r="D699" i="20"/>
  <c r="D624" i="20"/>
  <c r="D1216" i="20"/>
  <c r="D1320" i="20"/>
  <c r="D197" i="20"/>
  <c r="D1070" i="20"/>
  <c r="D451" i="20"/>
  <c r="D898" i="20"/>
  <c r="D846" i="20"/>
  <c r="D907" i="20"/>
  <c r="D17" i="20"/>
  <c r="D430" i="20"/>
  <c r="D659" i="20"/>
  <c r="D374" i="20"/>
  <c r="D293" i="20"/>
  <c r="D539" i="20"/>
  <c r="D1166" i="20"/>
  <c r="D165" i="20"/>
  <c r="D419" i="20"/>
  <c r="D758" i="20"/>
  <c r="D902" i="20"/>
  <c r="D188" i="20"/>
  <c r="D1192" i="20"/>
  <c r="D1343" i="20"/>
  <c r="D1257" i="20"/>
  <c r="D726" i="20"/>
  <c r="D518" i="20"/>
  <c r="D584" i="20"/>
  <c r="D254" i="20"/>
  <c r="D42" i="20"/>
  <c r="D215" i="20"/>
  <c r="D497" i="20"/>
  <c r="D1009" i="20"/>
  <c r="D724" i="20"/>
  <c r="D742" i="20"/>
  <c r="D837" i="20"/>
  <c r="D670" i="20"/>
  <c r="D869" i="20"/>
  <c r="D476" i="20"/>
  <c r="D1149" i="20"/>
  <c r="D330" i="20"/>
  <c r="D237" i="20"/>
  <c r="D521" i="20"/>
  <c r="D1025" i="20"/>
  <c r="D1275" i="20"/>
  <c r="D364" i="20"/>
  <c r="D882" i="20"/>
  <c r="D709" i="20"/>
  <c r="D1173" i="20"/>
  <c r="D515" i="20"/>
  <c r="D877" i="20"/>
  <c r="D730" i="20"/>
  <c r="D1035" i="20"/>
  <c r="D376" i="20"/>
  <c r="D559" i="20"/>
  <c r="D1214" i="20"/>
  <c r="D770" i="20"/>
  <c r="D929" i="20"/>
  <c r="D111" i="20"/>
  <c r="D302" i="20"/>
  <c r="D547" i="20"/>
  <c r="D453" i="20"/>
  <c r="D459" i="20"/>
  <c r="D1298" i="20"/>
  <c r="D1115" i="20"/>
  <c r="D1505" i="20"/>
  <c r="D1314" i="20"/>
  <c r="D999" i="20"/>
  <c r="D679" i="20"/>
  <c r="D1366" i="20"/>
  <c r="D708" i="20"/>
  <c r="J512" i="20"/>
  <c r="J25" i="20"/>
  <c r="J1286" i="20"/>
  <c r="J194" i="20"/>
  <c r="J40" i="20"/>
  <c r="J1108" i="20"/>
  <c r="J27" i="20"/>
  <c r="J137" i="20"/>
  <c r="J411" i="20"/>
  <c r="J106" i="20"/>
  <c r="J1112" i="20"/>
  <c r="J654" i="20"/>
  <c r="J213" i="20"/>
  <c r="J729" i="20"/>
  <c r="J832" i="20"/>
  <c r="J937" i="20"/>
  <c r="J130" i="20"/>
  <c r="J306" i="20"/>
  <c r="J779" i="20"/>
  <c r="J868" i="20"/>
  <c r="J996" i="20"/>
  <c r="J149" i="20"/>
  <c r="J466" i="20"/>
  <c r="J381" i="20"/>
  <c r="J814" i="20"/>
  <c r="J926" i="20"/>
  <c r="J1056" i="20"/>
  <c r="J181" i="20"/>
  <c r="J485" i="20"/>
  <c r="J505" i="20"/>
  <c r="J612" i="20"/>
  <c r="J628" i="20"/>
  <c r="J405" i="20"/>
  <c r="J886" i="20"/>
  <c r="J633" i="20"/>
  <c r="J429" i="20"/>
  <c r="J116" i="20"/>
  <c r="J664" i="20"/>
  <c r="J22" i="20"/>
  <c r="J676" i="20"/>
  <c r="J563" i="20"/>
  <c r="J1174" i="20"/>
  <c r="J1232" i="20"/>
  <c r="J501" i="20"/>
  <c r="J323" i="20"/>
  <c r="J136" i="20"/>
  <c r="J1318" i="20"/>
  <c r="J242" i="20"/>
  <c r="J661" i="20"/>
  <c r="J1014" i="20"/>
  <c r="J853" i="20"/>
  <c r="J1048" i="20"/>
  <c r="J1251" i="20"/>
  <c r="J568" i="20"/>
  <c r="J30" i="20"/>
  <c r="J603" i="20"/>
  <c r="J1421" i="20"/>
  <c r="J479" i="20"/>
  <c r="J1228" i="20"/>
  <c r="J743" i="20"/>
  <c r="J1367" i="20"/>
  <c r="J932" i="20"/>
  <c r="J960" i="20"/>
  <c r="J922" i="20"/>
  <c r="J1434" i="20"/>
  <c r="J772" i="20"/>
  <c r="J648" i="20"/>
  <c r="J737" i="20"/>
  <c r="J233" i="20"/>
  <c r="J349" i="20"/>
  <c r="J467" i="20"/>
  <c r="J300" i="20"/>
  <c r="J1055" i="20"/>
  <c r="J358" i="20"/>
  <c r="J1017" i="20"/>
  <c r="J255" i="20"/>
  <c r="J849" i="20"/>
  <c r="J519" i="20"/>
  <c r="J1075" i="20"/>
  <c r="J698" i="20"/>
  <c r="J1309" i="20"/>
  <c r="J1289" i="20"/>
  <c r="J1210" i="20"/>
  <c r="J644" i="20"/>
  <c r="J1260" i="20"/>
  <c r="J836" i="20"/>
  <c r="J173" i="20"/>
  <c r="J356" i="20"/>
  <c r="J1499" i="20"/>
  <c r="J827" i="20"/>
  <c r="J303" i="20"/>
  <c r="J1213" i="20"/>
  <c r="J918" i="20"/>
  <c r="J746" i="20"/>
  <c r="J951" i="20"/>
  <c r="J1090" i="20"/>
  <c r="J410" i="20"/>
  <c r="J522" i="20"/>
  <c r="J597" i="20"/>
  <c r="J595" i="20"/>
  <c r="J232" i="20"/>
  <c r="J437" i="20"/>
  <c r="J1223" i="20"/>
  <c r="J204" i="20"/>
  <c r="J1222" i="20"/>
  <c r="J656" i="20"/>
  <c r="J175" i="20"/>
  <c r="J990" i="20"/>
  <c r="J783" i="20"/>
  <c r="J618" i="20"/>
  <c r="J1423" i="20"/>
  <c r="J962" i="20"/>
  <c r="J590" i="20"/>
  <c r="J424" i="20"/>
  <c r="J147" i="20"/>
  <c r="J643" i="20"/>
  <c r="J510" i="20"/>
  <c r="J295" i="20"/>
  <c r="J1429" i="20"/>
  <c r="J1503" i="20"/>
  <c r="J942" i="20"/>
  <c r="J1314" i="20"/>
  <c r="J659" i="20"/>
  <c r="J451" i="20"/>
  <c r="J236" i="20"/>
  <c r="J158" i="20"/>
  <c r="J1437" i="20"/>
  <c r="J1031" i="20"/>
  <c r="J1064" i="20"/>
  <c r="J1163" i="20"/>
  <c r="J978" i="20"/>
  <c r="J226" i="20"/>
  <c r="J283" i="20"/>
  <c r="J506" i="20"/>
  <c r="J856" i="20"/>
  <c r="J699" i="20"/>
  <c r="J439" i="20"/>
  <c r="J591" i="20"/>
  <c r="J650" i="20"/>
  <c r="J1116" i="20"/>
  <c r="J1450" i="20"/>
  <c r="J425" i="20"/>
  <c r="J420" i="20"/>
  <c r="J1059" i="20"/>
  <c r="J1407" i="20"/>
  <c r="J1110" i="20"/>
  <c r="J1490" i="20"/>
  <c r="J475" i="20"/>
  <c r="J428" i="20"/>
  <c r="J1086" i="20"/>
  <c r="J1492" i="20"/>
  <c r="J1120" i="20"/>
  <c r="J1506" i="20"/>
  <c r="J489" i="20"/>
  <c r="J444" i="20"/>
  <c r="J1113" i="20"/>
  <c r="J1502" i="20"/>
  <c r="J1193" i="20"/>
  <c r="J555" i="20"/>
  <c r="J1464" i="20"/>
  <c r="J739" i="20"/>
  <c r="J15" i="20"/>
  <c r="J719" i="20"/>
  <c r="J1413" i="20"/>
  <c r="J745" i="20"/>
  <c r="J1467" i="20"/>
  <c r="J1148" i="20"/>
  <c r="J1215" i="20"/>
  <c r="J54" i="20"/>
  <c r="J1168" i="20"/>
  <c r="J91" i="20"/>
  <c r="J78" i="20"/>
  <c r="J1179" i="20"/>
  <c r="J177" i="20"/>
  <c r="J94" i="20"/>
  <c r="J1263" i="20"/>
  <c r="J34" i="20"/>
  <c r="J802" i="20"/>
  <c r="J635" i="20"/>
  <c r="J219" i="20"/>
  <c r="J818" i="20"/>
  <c r="J741" i="20"/>
  <c r="J536" i="20"/>
  <c r="J1246" i="20"/>
  <c r="J600" i="20"/>
  <c r="J1219" i="20"/>
  <c r="J326" i="20"/>
  <c r="J906" i="20"/>
  <c r="J541" i="20"/>
  <c r="J128" i="20"/>
  <c r="J24" i="20"/>
  <c r="J453" i="20"/>
  <c r="J266" i="20"/>
  <c r="J43" i="20"/>
  <c r="J165" i="20"/>
  <c r="J281" i="20"/>
  <c r="J514" i="20"/>
  <c r="J209" i="20"/>
  <c r="J1291" i="20"/>
  <c r="J790" i="20"/>
  <c r="J1243" i="20"/>
  <c r="J1196" i="20"/>
  <c r="J1327" i="20"/>
  <c r="J1479" i="20"/>
  <c r="J296" i="20"/>
  <c r="J1411" i="20"/>
  <c r="J1257" i="20"/>
  <c r="J1396" i="20"/>
  <c r="J26" i="20"/>
  <c r="J338" i="20"/>
  <c r="J693" i="20"/>
  <c r="J75" i="20"/>
  <c r="J1316" i="20"/>
  <c r="J1457" i="20"/>
  <c r="J61" i="20"/>
  <c r="J357" i="20"/>
  <c r="J723" i="20"/>
  <c r="J162" i="20"/>
  <c r="J1272" i="20"/>
  <c r="J1011" i="20"/>
  <c r="J747" i="20"/>
  <c r="J1091" i="20"/>
  <c r="J804" i="20"/>
  <c r="J553" i="20"/>
  <c r="J180" i="20"/>
  <c r="J749" i="20"/>
  <c r="J86" i="20"/>
  <c r="J473" i="20"/>
  <c r="J1147" i="20"/>
  <c r="J129" i="20"/>
  <c r="J66" i="20"/>
  <c r="J665" i="20"/>
  <c r="J440" i="20"/>
  <c r="J250" i="20"/>
  <c r="J20" i="20"/>
  <c r="J243" i="20"/>
  <c r="J99" i="20"/>
  <c r="J50" i="20"/>
  <c r="J1133" i="20"/>
  <c r="J1334" i="20"/>
  <c r="J1501" i="20"/>
  <c r="J675" i="20"/>
  <c r="J102" i="20"/>
  <c r="J688" i="20"/>
  <c r="J31" i="20"/>
  <c r="J550" i="20"/>
  <c r="J1339" i="20"/>
  <c r="J807" i="20"/>
  <c r="J1451" i="20"/>
  <c r="J1016" i="20"/>
  <c r="J1033" i="20"/>
  <c r="J986" i="20"/>
  <c r="J1498" i="20"/>
  <c r="J641" i="20"/>
  <c r="J144" i="20"/>
  <c r="J1375" i="20"/>
  <c r="J373" i="20"/>
  <c r="J504" i="20"/>
  <c r="J672" i="20"/>
  <c r="J380" i="20"/>
  <c r="J1181" i="20"/>
  <c r="J422" i="20"/>
  <c r="J1128" i="20"/>
  <c r="J319" i="20"/>
  <c r="J948" i="20"/>
  <c r="J583" i="20"/>
  <c r="J1158" i="20"/>
  <c r="J762" i="20"/>
  <c r="J1392" i="20"/>
  <c r="J1363" i="20"/>
  <c r="J1274" i="20"/>
  <c r="J257" i="20"/>
  <c r="J397" i="20"/>
  <c r="J1176" i="20"/>
  <c r="J378" i="20"/>
  <c r="J460" i="20"/>
  <c r="J118" i="20"/>
  <c r="J947" i="20"/>
  <c r="J391" i="20"/>
  <c r="J1373" i="20"/>
  <c r="J1022" i="20"/>
  <c r="J834" i="20"/>
  <c r="J1052" i="20"/>
  <c r="J1170" i="20"/>
  <c r="J692" i="20"/>
  <c r="J1331" i="20"/>
  <c r="J872" i="20"/>
  <c r="J57" i="20"/>
  <c r="J875" i="20"/>
  <c r="J701" i="20"/>
  <c r="J58" i="20"/>
  <c r="J316" i="20"/>
  <c r="J1415" i="20"/>
  <c r="J763" i="20"/>
  <c r="J263" i="20"/>
  <c r="J1144" i="20"/>
  <c r="J863" i="20"/>
  <c r="J706" i="20"/>
  <c r="J905" i="20"/>
  <c r="J1042" i="20"/>
  <c r="J1511" i="20"/>
  <c r="J1393" i="20"/>
  <c r="J442" i="20"/>
  <c r="J803" i="20"/>
  <c r="J667" i="20"/>
  <c r="J407" i="20"/>
  <c r="J559" i="20"/>
  <c r="J626" i="20"/>
  <c r="J1079" i="20"/>
  <c r="J1418" i="20"/>
  <c r="J235" i="20"/>
  <c r="J840" i="20"/>
  <c r="J364" i="20"/>
  <c r="J294" i="20"/>
  <c r="J79" i="20"/>
  <c r="J1240" i="20"/>
  <c r="J1221" i="20"/>
  <c r="J1297" i="20"/>
  <c r="J1098" i="20"/>
  <c r="J566" i="20"/>
  <c r="J683" i="20"/>
  <c r="J843" i="20"/>
  <c r="J1083" i="20"/>
  <c r="J848" i="20"/>
  <c r="J561" i="20"/>
  <c r="J703" i="20"/>
  <c r="J770" i="20"/>
  <c r="J1235" i="20"/>
  <c r="J107" i="20"/>
  <c r="J1265" i="20"/>
  <c r="J611" i="20"/>
  <c r="J1337" i="20"/>
  <c r="J631" i="20"/>
  <c r="J1360" i="20"/>
  <c r="J345" i="20"/>
  <c r="J1332" i="20"/>
  <c r="J707" i="20"/>
  <c r="J1369" i="20"/>
  <c r="J639" i="20"/>
  <c r="J1382" i="20"/>
  <c r="J280" i="20"/>
  <c r="J1441" i="20"/>
  <c r="J728" i="20"/>
  <c r="J1469" i="20"/>
  <c r="J663" i="20"/>
  <c r="J1403" i="20"/>
  <c r="J483" i="20"/>
  <c r="J617" i="20"/>
  <c r="J1096" i="20"/>
  <c r="J167" i="20"/>
  <c r="J879" i="20"/>
  <c r="J1024" i="20"/>
  <c r="J1191" i="20"/>
  <c r="J438" i="20"/>
  <c r="J594" i="20"/>
  <c r="J48" i="20"/>
  <c r="J462" i="20"/>
  <c r="J610" i="20"/>
  <c r="J80" i="20"/>
  <c r="J470" i="20"/>
  <c r="J674" i="20"/>
  <c r="J459" i="20"/>
  <c r="J478" i="20"/>
  <c r="J682" i="20"/>
  <c r="J669" i="20"/>
  <c r="J1043" i="20"/>
  <c r="J239" i="20"/>
  <c r="J755" i="20"/>
  <c r="J1125" i="20"/>
  <c r="J271" i="20"/>
  <c r="J1156" i="20"/>
  <c r="J910" i="20"/>
  <c r="J1310" i="20"/>
  <c r="J238" i="20"/>
  <c r="J1461" i="20"/>
  <c r="J930" i="20"/>
  <c r="J1009" i="20"/>
  <c r="J210" i="20"/>
  <c r="J726" i="20"/>
  <c r="J780" i="20"/>
  <c r="J533" i="20"/>
  <c r="J179" i="20"/>
  <c r="J317" i="20"/>
  <c r="J445" i="20"/>
  <c r="J649" i="20"/>
  <c r="J312" i="20"/>
  <c r="J1495" i="20"/>
  <c r="J940" i="20"/>
  <c r="J21" i="20"/>
  <c r="J115" i="20"/>
  <c r="J205" i="20"/>
  <c r="J163" i="20"/>
  <c r="J499" i="20"/>
  <c r="J82" i="20"/>
  <c r="J141" i="20"/>
  <c r="J229" i="20"/>
  <c r="J197" i="20"/>
  <c r="J523" i="20"/>
  <c r="J952" i="20"/>
  <c r="J160" i="20"/>
  <c r="J171" i="20"/>
  <c r="J299" i="20"/>
  <c r="J216" i="20"/>
  <c r="J552" i="20"/>
  <c r="J992" i="20"/>
  <c r="J32" i="20"/>
  <c r="J394" i="20"/>
  <c r="J64" i="20"/>
  <c r="J1099" i="20"/>
  <c r="J1312" i="20"/>
  <c r="J980" i="20"/>
  <c r="J705" i="20"/>
  <c r="J244" i="20"/>
  <c r="J835" i="20"/>
  <c r="J150" i="20"/>
  <c r="J958" i="20"/>
  <c r="J329" i="20"/>
  <c r="J435" i="20"/>
  <c r="J321" i="20"/>
  <c r="J820" i="20"/>
  <c r="J565" i="20"/>
  <c r="J365" i="20"/>
  <c r="J84" i="20"/>
  <c r="J224" i="20"/>
  <c r="J798" i="20"/>
  <c r="J363" i="20"/>
  <c r="J1384" i="20"/>
  <c r="J83" i="20"/>
  <c r="J100" i="20"/>
  <c r="J771" i="20"/>
  <c r="J174" i="20"/>
  <c r="J773" i="20"/>
  <c r="J95" i="20"/>
  <c r="J636" i="20"/>
  <c r="J1473" i="20"/>
  <c r="J871" i="20"/>
  <c r="J538" i="20"/>
  <c r="J1100" i="20"/>
  <c r="J1107" i="20"/>
  <c r="J1050" i="20"/>
  <c r="J185" i="20"/>
  <c r="J900" i="20"/>
  <c r="J782" i="20"/>
  <c r="J379" i="20"/>
  <c r="J545" i="20"/>
  <c r="J702" i="20"/>
  <c r="J876" i="20"/>
  <c r="J452" i="20"/>
  <c r="J1305" i="20"/>
  <c r="J486" i="20"/>
  <c r="J1239" i="20"/>
  <c r="J383" i="20"/>
  <c r="J1060" i="20"/>
  <c r="J647" i="20"/>
  <c r="J1241" i="20"/>
  <c r="J826" i="20"/>
  <c r="J1476" i="20"/>
  <c r="J1436" i="20"/>
  <c r="J1338" i="20"/>
  <c r="J37" i="20"/>
  <c r="J945" i="20"/>
  <c r="J56" i="20"/>
  <c r="J605" i="20"/>
  <c r="J557" i="20"/>
  <c r="J222" i="20"/>
  <c r="J1101" i="20"/>
  <c r="J471" i="20"/>
  <c r="J1366" i="20"/>
  <c r="J1137" i="20"/>
  <c r="J921" i="20"/>
  <c r="J1152" i="20"/>
  <c r="J1258" i="20"/>
  <c r="J354" i="20"/>
  <c r="J419" i="20"/>
  <c r="J1220" i="20"/>
  <c r="J1374" i="20"/>
  <c r="J98" i="20"/>
  <c r="J1021" i="20"/>
  <c r="J275" i="20"/>
  <c r="J404" i="20"/>
  <c r="J70" i="20"/>
  <c r="J880" i="20"/>
  <c r="J343" i="20"/>
  <c r="J1296" i="20"/>
  <c r="J971" i="20"/>
  <c r="J786" i="20"/>
  <c r="J1006" i="20"/>
  <c r="J1130" i="20"/>
  <c r="J265" i="20"/>
  <c r="J531" i="20"/>
  <c r="J809" i="20"/>
  <c r="J1013" i="20"/>
  <c r="J805" i="20"/>
  <c r="J529" i="20"/>
  <c r="J671" i="20"/>
  <c r="J738" i="20"/>
  <c r="J1207" i="20"/>
  <c r="J673" i="20"/>
  <c r="J1261" i="20"/>
  <c r="J1313" i="20"/>
  <c r="J492" i="20"/>
  <c r="J414" i="20"/>
  <c r="J199" i="20"/>
  <c r="J1438" i="20"/>
  <c r="J1377" i="20"/>
  <c r="J1455" i="20"/>
  <c r="J1202" i="20"/>
  <c r="J789" i="20"/>
  <c r="J1155" i="20"/>
  <c r="J1300" i="20"/>
  <c r="J1292" i="20"/>
  <c r="J1045" i="20"/>
  <c r="J710" i="20"/>
  <c r="J815" i="20"/>
  <c r="J882" i="20"/>
  <c r="J1372" i="20"/>
  <c r="J408" i="20"/>
  <c r="J337" i="20"/>
  <c r="J944" i="20"/>
  <c r="J119" i="20"/>
  <c r="J831" i="20"/>
  <c r="J933" i="20"/>
  <c r="J193" i="20"/>
  <c r="J387" i="20"/>
  <c r="J957" i="20"/>
  <c r="J143" i="20"/>
  <c r="J847" i="20"/>
  <c r="J988" i="20"/>
  <c r="J352" i="20"/>
  <c r="J548" i="20"/>
  <c r="J999" i="20"/>
  <c r="J151" i="20"/>
  <c r="J855" i="20"/>
  <c r="J1015" i="20"/>
  <c r="J697" i="20"/>
  <c r="J1159" i="20"/>
  <c r="J1432" i="20"/>
  <c r="J367" i="20"/>
  <c r="J1127" i="20"/>
  <c r="J1262" i="20"/>
  <c r="J1167" i="20"/>
  <c r="J892" i="20"/>
  <c r="J964" i="20"/>
  <c r="J1348" i="20"/>
  <c r="J919" i="20"/>
  <c r="J1047" i="20"/>
  <c r="J322" i="20"/>
  <c r="J934" i="20"/>
  <c r="J1068" i="20"/>
  <c r="J400" i="20"/>
  <c r="J975" i="20"/>
  <c r="J1078" i="20"/>
  <c r="J44" i="20"/>
  <c r="J1234" i="20"/>
  <c r="J1157" i="20"/>
  <c r="J132" i="20"/>
  <c r="J1266" i="20"/>
  <c r="J1269" i="20"/>
  <c r="J535" i="20"/>
  <c r="J589" i="20"/>
  <c r="J623" i="20"/>
  <c r="J1430" i="20"/>
  <c r="J353" i="20"/>
  <c r="J646" i="20"/>
  <c r="J434" i="20"/>
  <c r="J1071" i="20"/>
  <c r="J88" i="20"/>
  <c r="J1209" i="20"/>
  <c r="J883" i="20"/>
  <c r="J333" i="20"/>
  <c r="J482" i="20"/>
  <c r="J640" i="20"/>
  <c r="J787" i="20"/>
  <c r="J413" i="20"/>
  <c r="J109" i="20"/>
  <c r="J894" i="20"/>
  <c r="J844" i="20"/>
  <c r="J389" i="20"/>
  <c r="J496" i="20"/>
  <c r="J355" i="20"/>
  <c r="J761" i="20"/>
  <c r="J966" i="20"/>
  <c r="J421" i="20"/>
  <c r="J573" i="20"/>
  <c r="J377" i="20"/>
  <c r="J766" i="20"/>
  <c r="J1351" i="20"/>
  <c r="J1126" i="20"/>
  <c r="J488" i="20"/>
  <c r="J619" i="20"/>
  <c r="J395" i="20"/>
  <c r="J797" i="20"/>
  <c r="J1303" i="20"/>
  <c r="J513" i="20"/>
  <c r="J1104" i="20"/>
  <c r="J277" i="20"/>
  <c r="J1478" i="20"/>
  <c r="J29" i="20"/>
  <c r="J1177" i="20"/>
  <c r="J861" i="20"/>
  <c r="J308" i="20"/>
  <c r="J929" i="20"/>
  <c r="J214" i="20"/>
  <c r="J155" i="20"/>
  <c r="J987" i="20"/>
  <c r="J765" i="20"/>
  <c r="J556" i="20"/>
  <c r="J998" i="20"/>
  <c r="J718" i="20"/>
  <c r="J481" i="20"/>
  <c r="J148" i="20"/>
  <c r="J1035" i="20"/>
  <c r="J113" i="20"/>
  <c r="J777" i="20"/>
  <c r="J120" i="20"/>
  <c r="J237" i="20"/>
  <c r="J188" i="20"/>
  <c r="J867" i="20"/>
  <c r="J246" i="20"/>
  <c r="J859" i="20"/>
  <c r="J159" i="20"/>
  <c r="J721" i="20"/>
  <c r="J1397" i="20"/>
  <c r="J949" i="20"/>
  <c r="J602" i="20"/>
  <c r="J1183" i="20"/>
  <c r="J1180" i="20"/>
  <c r="J1114" i="20"/>
  <c r="J472" i="20"/>
  <c r="J218" i="20"/>
  <c r="J330" i="20"/>
  <c r="J744" i="20"/>
  <c r="J750" i="20"/>
  <c r="J912" i="20"/>
  <c r="J1119" i="20"/>
  <c r="J525" i="20"/>
  <c r="J1448" i="20"/>
  <c r="J560" i="20"/>
  <c r="J1352" i="20"/>
  <c r="J447" i="20"/>
  <c r="J1172" i="20"/>
  <c r="J711" i="20"/>
  <c r="J1325" i="20"/>
  <c r="J891" i="20"/>
  <c r="J924" i="20"/>
  <c r="J1509" i="20"/>
  <c r="J1402" i="20"/>
  <c r="J1103" i="20"/>
  <c r="J153" i="20"/>
  <c r="J248" i="20"/>
  <c r="J895" i="20"/>
  <c r="J696" i="20"/>
  <c r="J310" i="20"/>
  <c r="J1254" i="20"/>
  <c r="J572" i="20"/>
  <c r="J1470" i="20"/>
  <c r="J1252" i="20"/>
  <c r="J1037" i="20"/>
  <c r="J1244" i="20"/>
  <c r="J1346" i="20"/>
  <c r="J65" i="20"/>
  <c r="J1123" i="20"/>
  <c r="J67" i="20"/>
  <c r="J694" i="20"/>
  <c r="J660" i="20"/>
  <c r="J1359" i="20"/>
  <c r="J493" i="20"/>
  <c r="J508" i="20"/>
  <c r="J166" i="20"/>
  <c r="J1030" i="20"/>
  <c r="J431" i="20"/>
  <c r="J1456" i="20"/>
  <c r="J1085" i="20"/>
  <c r="J874" i="20"/>
  <c r="J1097" i="20"/>
  <c r="J1218" i="20"/>
  <c r="J368" i="20"/>
  <c r="J1041" i="20"/>
  <c r="J1187" i="20"/>
  <c r="J1249" i="20"/>
  <c r="J989" i="20"/>
  <c r="J668" i="20"/>
  <c r="J791" i="20"/>
  <c r="J850" i="20"/>
  <c r="J1335" i="20"/>
  <c r="J1136" i="20"/>
  <c r="J507" i="20"/>
  <c r="J200" i="20"/>
  <c r="J653" i="20"/>
  <c r="J528" i="20"/>
  <c r="J311" i="20"/>
  <c r="J1449" i="20"/>
  <c r="J1513" i="20"/>
  <c r="J969" i="20"/>
  <c r="J1322" i="20"/>
  <c r="J885" i="20"/>
  <c r="J170" i="20"/>
  <c r="J108" i="20"/>
  <c r="J46" i="20"/>
  <c r="J1227" i="20"/>
  <c r="J870" i="20"/>
  <c r="J939" i="20"/>
  <c r="J1027" i="20"/>
  <c r="J1500" i="20"/>
  <c r="J968" i="20"/>
  <c r="J1000" i="20"/>
  <c r="J1333" i="20"/>
  <c r="J279" i="20"/>
  <c r="J1012" i="20"/>
  <c r="J1161" i="20"/>
  <c r="J1036" i="20"/>
  <c r="J1092" i="20"/>
  <c r="J1349" i="20"/>
  <c r="J335" i="20"/>
  <c r="J1044" i="20"/>
  <c r="J1171" i="20"/>
  <c r="J1452" i="20"/>
  <c r="J1135" i="20"/>
  <c r="J1400" i="20"/>
  <c r="J359" i="20"/>
  <c r="J1105" i="20"/>
  <c r="J1189" i="20"/>
  <c r="J125" i="20"/>
  <c r="J339" i="20"/>
  <c r="J198" i="20"/>
  <c r="J582" i="20"/>
  <c r="J1336" i="20"/>
  <c r="J1427" i="20"/>
  <c r="J17" i="20"/>
  <c r="J23" i="20"/>
  <c r="J1496" i="20"/>
  <c r="J221" i="20"/>
  <c r="J39" i="20"/>
  <c r="J1507" i="20"/>
  <c r="J234" i="20"/>
  <c r="J55" i="20"/>
  <c r="J896" i="20"/>
  <c r="J298" i="20"/>
  <c r="J111" i="20"/>
  <c r="J915" i="20"/>
  <c r="J1124" i="20"/>
  <c r="J1080" i="20"/>
  <c r="J959" i="20"/>
  <c r="J1195" i="20"/>
  <c r="J608" i="20"/>
  <c r="J1001" i="20"/>
  <c r="J1236" i="20"/>
  <c r="J1281" i="20"/>
  <c r="J1340" i="20"/>
  <c r="J614" i="20"/>
  <c r="J604" i="20"/>
  <c r="J657" i="20"/>
  <c r="J758" i="20"/>
  <c r="J320" i="20"/>
  <c r="J1328" i="20"/>
  <c r="J686" i="20"/>
  <c r="J931" i="20"/>
  <c r="J211" i="20"/>
  <c r="J1118" i="20"/>
  <c r="J927" i="20"/>
  <c r="J269" i="20"/>
  <c r="J829" i="20"/>
  <c r="J574" i="20"/>
  <c r="J637" i="20"/>
  <c r="J865" i="20"/>
  <c r="J601" i="20"/>
  <c r="J1020" i="20"/>
  <c r="J178" i="20"/>
  <c r="J336" i="20"/>
  <c r="J1391" i="20"/>
  <c r="J372" i="20"/>
  <c r="J278" i="20"/>
  <c r="J152" i="20"/>
  <c r="J884" i="20"/>
  <c r="J873" i="20"/>
  <c r="J212" i="20"/>
  <c r="J480" i="20"/>
  <c r="J273" i="20"/>
  <c r="J268" i="20"/>
  <c r="J318" i="20"/>
  <c r="J223" i="20"/>
  <c r="J1480" i="20"/>
  <c r="J666" i="20"/>
  <c r="J1253" i="20"/>
  <c r="J588" i="20"/>
  <c r="J1165" i="20"/>
  <c r="J977" i="20"/>
  <c r="J1368" i="20"/>
  <c r="J62" i="20"/>
  <c r="J1487" i="20"/>
  <c r="J1283" i="20"/>
  <c r="J1409" i="20"/>
  <c r="J997" i="20"/>
  <c r="J1466" i="20"/>
  <c r="J585" i="20"/>
  <c r="J1206" i="20"/>
  <c r="J406" i="20"/>
  <c r="J689" i="20"/>
  <c r="J1357" i="20"/>
  <c r="J1344" i="20"/>
  <c r="J1149" i="20"/>
  <c r="J285" i="20"/>
  <c r="J1341" i="20"/>
  <c r="J740" i="20"/>
  <c r="J262" i="20"/>
  <c r="J520" i="20"/>
  <c r="J1190" i="20"/>
  <c r="J1198" i="20"/>
  <c r="J497" i="20"/>
  <c r="J68" i="20"/>
  <c r="J1197" i="20"/>
  <c r="J897" i="20"/>
  <c r="J1463" i="20"/>
  <c r="J258" i="20"/>
  <c r="J845" i="20"/>
  <c r="J423" i="20"/>
  <c r="J642" i="20"/>
  <c r="J1442" i="20"/>
  <c r="J532" i="20"/>
  <c r="J182" i="20"/>
  <c r="J1046" i="20"/>
  <c r="J1173" i="20"/>
  <c r="J833" i="20"/>
  <c r="J110" i="20"/>
  <c r="J1273" i="20"/>
  <c r="J1279" i="20"/>
  <c r="J126" i="20"/>
  <c r="J1294" i="20"/>
  <c r="J73" i="20"/>
  <c r="J190" i="20"/>
  <c r="J1315" i="20"/>
  <c r="J973" i="20"/>
  <c r="J382" i="20"/>
  <c r="J586" i="20"/>
  <c r="J1443" i="20"/>
  <c r="J1271" i="20"/>
  <c r="J399" i="20"/>
  <c r="J45" i="20"/>
  <c r="J1308" i="20"/>
  <c r="J463" i="20"/>
  <c r="J624" i="20"/>
  <c r="J810" i="20"/>
  <c r="J241" i="20"/>
  <c r="J801" i="20"/>
  <c r="J469" i="20"/>
  <c r="J1454" i="20"/>
  <c r="J53" i="20"/>
  <c r="J596" i="20"/>
  <c r="J154" i="20"/>
  <c r="J909" i="20"/>
  <c r="J1109" i="20"/>
  <c r="J314" i="20"/>
  <c r="J627" i="20"/>
  <c r="J1475" i="20"/>
  <c r="J346" i="20"/>
  <c r="J1321" i="20"/>
  <c r="J819" i="20"/>
  <c r="J1182" i="20"/>
  <c r="J1380" i="20"/>
  <c r="J846" i="20"/>
  <c r="J1188" i="20"/>
  <c r="J756" i="20"/>
  <c r="J450" i="20"/>
  <c r="J72" i="20"/>
  <c r="J436" i="20"/>
  <c r="J342" i="20"/>
  <c r="J704" i="20"/>
  <c r="J1276" i="20"/>
  <c r="J1067" i="20"/>
  <c r="J105" i="20"/>
  <c r="J1049" i="20"/>
  <c r="J426" i="20"/>
  <c r="J340" i="20"/>
  <c r="J390" i="20"/>
  <c r="J287" i="20"/>
  <c r="J551" i="20"/>
  <c r="J730" i="20"/>
  <c r="J1326" i="20"/>
  <c r="J409" i="20"/>
  <c r="J369" i="20"/>
  <c r="J1245" i="20"/>
  <c r="J60" i="20"/>
  <c r="J134" i="20"/>
  <c r="J63" i="20"/>
  <c r="J1405" i="20"/>
  <c r="J1493" i="20"/>
  <c r="J1070" i="20"/>
  <c r="J448" i="20"/>
  <c r="J1205" i="20"/>
  <c r="J36" i="20"/>
  <c r="J494" i="20"/>
  <c r="J796" i="20"/>
  <c r="J1471" i="20"/>
  <c r="J1445" i="20"/>
  <c r="J748" i="20"/>
  <c r="J477" i="20"/>
  <c r="J344" i="20"/>
  <c r="J1076" i="20"/>
  <c r="J366" i="20"/>
  <c r="J625" i="20"/>
  <c r="J1304" i="20"/>
  <c r="J1299" i="20"/>
  <c r="J418" i="20"/>
  <c r="J220" i="20"/>
  <c r="J1385" i="20"/>
  <c r="J1054" i="20"/>
  <c r="J970" i="20"/>
  <c r="J616" i="20"/>
  <c r="J1028" i="20"/>
  <c r="J540" i="20"/>
  <c r="J754" i="20"/>
  <c r="J189" i="20"/>
  <c r="J890" i="20"/>
  <c r="J302" i="20"/>
  <c r="J1255" i="20"/>
  <c r="J1329" i="20"/>
  <c r="J253" i="20"/>
  <c r="J334" i="20"/>
  <c r="J1483" i="20"/>
  <c r="J315" i="20"/>
  <c r="J350" i="20"/>
  <c r="J554" i="20"/>
  <c r="J903" i="20"/>
  <c r="J374" i="20"/>
  <c r="J562" i="20"/>
  <c r="J878" i="20"/>
  <c r="J613" i="20"/>
  <c r="J778" i="20"/>
  <c r="J983" i="20"/>
  <c r="J1034" i="20"/>
  <c r="J881" i="20"/>
  <c r="J1094" i="20"/>
  <c r="J1066" i="20"/>
  <c r="J935" i="20"/>
  <c r="J231" i="20"/>
  <c r="J1061" i="20"/>
  <c r="J956" i="20"/>
  <c r="J547" i="20"/>
  <c r="J230" i="20"/>
  <c r="J898" i="20"/>
  <c r="J1497" i="20"/>
  <c r="J967" i="20"/>
  <c r="J402" i="20"/>
  <c r="J1192" i="20"/>
  <c r="J1288" i="20"/>
  <c r="J417" i="20"/>
  <c r="J112" i="20"/>
  <c r="J240" i="20"/>
  <c r="J282" i="20"/>
  <c r="J202" i="20"/>
  <c r="J1121" i="20"/>
  <c r="J371" i="20"/>
  <c r="J227" i="20"/>
  <c r="J1150" i="20"/>
  <c r="J370" i="20"/>
  <c r="J1406" i="20"/>
  <c r="J580" i="20"/>
  <c r="J186" i="20"/>
  <c r="J500" i="20"/>
  <c r="J249" i="20"/>
  <c r="J1401" i="20"/>
  <c r="J272" i="20"/>
  <c r="J1270" i="20"/>
  <c r="J1358" i="20"/>
  <c r="J114" i="20"/>
  <c r="J598" i="20"/>
  <c r="J412" i="20"/>
  <c r="J454" i="20"/>
  <c r="J351" i="20"/>
  <c r="J615" i="20"/>
  <c r="J794" i="20"/>
  <c r="J1399" i="20"/>
  <c r="J341" i="20"/>
  <c r="J1285" i="20"/>
  <c r="J42" i="20"/>
  <c r="J140" i="20"/>
  <c r="J206" i="20"/>
  <c r="J127" i="20"/>
  <c r="J1356" i="20"/>
  <c r="J570" i="20"/>
  <c r="J1143" i="20"/>
  <c r="J950" i="20"/>
  <c r="J347" i="20"/>
  <c r="J156" i="20"/>
  <c r="J592" i="20"/>
  <c r="J920" i="20"/>
  <c r="J578" i="20"/>
  <c r="J914" i="20"/>
  <c r="J331" i="20"/>
  <c r="J542" i="20"/>
  <c r="J830" i="20"/>
  <c r="J1395" i="20"/>
  <c r="J446" i="20"/>
  <c r="J742" i="20"/>
  <c r="J1420" i="20"/>
  <c r="J1390" i="20"/>
  <c r="J217" i="20"/>
  <c r="J348" i="20"/>
  <c r="J71" i="20"/>
  <c r="J1211" i="20"/>
  <c r="J1074" i="20"/>
  <c r="J1065" i="20"/>
  <c r="J1278" i="20"/>
  <c r="J700" i="20"/>
  <c r="J866" i="20"/>
  <c r="J1063" i="20"/>
  <c r="J1361" i="20"/>
  <c r="J430" i="20"/>
  <c r="J1488" i="20"/>
  <c r="J1465" i="20"/>
  <c r="J606" i="20"/>
  <c r="J502" i="20"/>
  <c r="J690" i="20"/>
  <c r="J713" i="20"/>
  <c r="J571" i="20"/>
  <c r="J714" i="20"/>
  <c r="J851" i="20"/>
  <c r="J581" i="20"/>
  <c r="J722" i="20"/>
  <c r="J1062" i="20"/>
  <c r="J869" i="20"/>
  <c r="J953" i="20"/>
  <c r="J292" i="20"/>
  <c r="J1394" i="20"/>
  <c r="J1345" i="20"/>
  <c r="J332" i="20"/>
  <c r="J1458" i="20"/>
  <c r="J1387" i="20"/>
  <c r="J1129" i="20"/>
  <c r="J1250" i="20"/>
  <c r="J164" i="20"/>
  <c r="J1268" i="20"/>
  <c r="J1398" i="20"/>
  <c r="J534" i="20"/>
  <c r="J443" i="20"/>
  <c r="J1446" i="20"/>
  <c r="J708" i="20"/>
  <c r="J1510" i="20"/>
  <c r="J1494" i="20"/>
  <c r="J521" i="20"/>
  <c r="J385" i="20"/>
  <c r="J537" i="20"/>
  <c r="J1364" i="20"/>
  <c r="J491" i="20"/>
  <c r="J1459" i="20"/>
  <c r="J51" i="20"/>
  <c r="J524" i="20"/>
  <c r="J1508" i="20"/>
  <c r="J1077" i="20"/>
  <c r="J274" i="20"/>
  <c r="J734" i="20"/>
  <c r="J301" i="20"/>
  <c r="J579" i="20"/>
  <c r="J1175" i="20"/>
  <c r="J433" i="20"/>
  <c r="J386" i="20"/>
  <c r="J19" i="20"/>
  <c r="J138" i="20"/>
  <c r="J576" i="20"/>
  <c r="J821" i="20"/>
  <c r="J484" i="20"/>
  <c r="J518" i="20"/>
  <c r="J415" i="20"/>
  <c r="J679" i="20"/>
  <c r="J858" i="20"/>
  <c r="J1472" i="20"/>
  <c r="J288" i="20"/>
  <c r="J293" i="20"/>
  <c r="J184" i="20"/>
  <c r="J228" i="20"/>
  <c r="J286" i="20"/>
  <c r="J191" i="20"/>
  <c r="J1439" i="20"/>
  <c r="J634" i="20"/>
  <c r="J1216" i="20"/>
  <c r="J812" i="20"/>
  <c r="J564" i="20"/>
  <c r="J260" i="20"/>
  <c r="J709" i="20"/>
  <c r="J1073" i="20"/>
  <c r="J658" i="20"/>
  <c r="J1002" i="20"/>
  <c r="J77" i="20"/>
  <c r="J192" i="20"/>
  <c r="J245" i="20"/>
  <c r="J92" i="20"/>
  <c r="J539" i="20"/>
  <c r="J860" i="20"/>
  <c r="J530" i="20"/>
  <c r="J1491" i="20"/>
  <c r="J1160" i="20"/>
  <c r="J476" i="20"/>
  <c r="J183" i="20"/>
  <c r="J1347" i="20"/>
  <c r="J1194" i="20"/>
  <c r="J131" i="20"/>
  <c r="J38" i="20"/>
  <c r="J838" i="20"/>
  <c r="J1005" i="20"/>
  <c r="J1485" i="20"/>
  <c r="J225" i="20"/>
  <c r="J549" i="20"/>
  <c r="J1460" i="20"/>
  <c r="J979" i="20"/>
  <c r="J384" i="20"/>
  <c r="J752" i="20"/>
  <c r="J901" i="20"/>
  <c r="J800" i="20"/>
  <c r="J784" i="20"/>
  <c r="J911" i="20"/>
  <c r="J923" i="20"/>
  <c r="J795" i="20"/>
  <c r="J943" i="20"/>
  <c r="J716" i="20"/>
  <c r="J1142" i="20"/>
  <c r="J1214" i="20"/>
  <c r="J781" i="20"/>
  <c r="J715" i="20"/>
  <c r="J751" i="20"/>
  <c r="J877" i="20"/>
  <c r="J725" i="20"/>
  <c r="J767" i="20"/>
  <c r="J887" i="20"/>
  <c r="J517" i="20"/>
  <c r="J1208" i="20"/>
  <c r="J543" i="20"/>
  <c r="J403" i="20"/>
  <c r="J587" i="20"/>
  <c r="J74" i="20"/>
  <c r="J498" i="20"/>
  <c r="J515" i="20"/>
  <c r="J733" i="20"/>
  <c r="J1248" i="20"/>
  <c r="J1053" i="20"/>
  <c r="J1039" i="20"/>
  <c r="J1145" i="20"/>
  <c r="J145" i="20"/>
  <c r="J1040" i="20"/>
  <c r="J1301" i="20"/>
  <c r="J620" i="20"/>
  <c r="J1238" i="20"/>
  <c r="J985" i="20"/>
  <c r="J806" i="20"/>
  <c r="J1267" i="20"/>
  <c r="J1435" i="20"/>
  <c r="J1203" i="20"/>
  <c r="J645" i="20"/>
  <c r="J775" i="20"/>
  <c r="J954" i="20"/>
  <c r="J465" i="20"/>
  <c r="J1404" i="20"/>
  <c r="J1151" i="20"/>
  <c r="J169" i="20"/>
  <c r="J157" i="20"/>
  <c r="J1169" i="20"/>
  <c r="J984" i="20"/>
  <c r="J93" i="20"/>
  <c r="J828" i="20"/>
  <c r="J89" i="20"/>
  <c r="J677" i="20"/>
  <c r="J1088" i="20"/>
  <c r="J252" i="20"/>
  <c r="J1095" i="20"/>
  <c r="J122" i="20"/>
  <c r="J1381" i="20"/>
  <c r="J495" i="20"/>
  <c r="J289" i="20"/>
  <c r="J1417" i="20"/>
  <c r="J785" i="20"/>
  <c r="J375" i="20"/>
  <c r="J1280" i="20"/>
  <c r="J97" i="20"/>
  <c r="J85" i="20"/>
  <c r="J842" i="20"/>
  <c r="J96" i="20"/>
  <c r="J811" i="20"/>
  <c r="J712" i="20"/>
  <c r="J651" i="20"/>
  <c r="J1259" i="20"/>
  <c r="J852" i="20"/>
  <c r="J1379" i="20"/>
  <c r="J41" i="20"/>
  <c r="J290" i="20"/>
  <c r="J259" i="20"/>
  <c r="J1153" i="20"/>
  <c r="J201" i="20"/>
  <c r="J776" i="20"/>
  <c r="J297" i="20"/>
  <c r="J1111" i="20"/>
  <c r="J893" i="20"/>
  <c r="J1350" i="20"/>
  <c r="J1293" i="20"/>
  <c r="J1468" i="20"/>
  <c r="J731" i="20"/>
  <c r="J839" i="20"/>
  <c r="J1018" i="20"/>
  <c r="J736" i="20"/>
  <c r="J47" i="20"/>
  <c r="J1256" i="20"/>
  <c r="J609" i="20"/>
  <c r="J362" i="20"/>
  <c r="J1323" i="20"/>
  <c r="J1089" i="20"/>
  <c r="J401" i="20"/>
  <c r="J1019" i="20"/>
  <c r="J291" i="20"/>
  <c r="J837" i="20"/>
  <c r="J1225" i="20"/>
  <c r="J388" i="20"/>
  <c r="J1231" i="20"/>
  <c r="J638" i="20"/>
  <c r="J938" i="20"/>
  <c r="J753" i="20"/>
  <c r="J724" i="20"/>
  <c r="J1010" i="20"/>
  <c r="J1102" i="20"/>
  <c r="J817" i="20"/>
  <c r="J1058" i="20"/>
  <c r="J1164" i="20"/>
  <c r="J684" i="20"/>
  <c r="J1134" i="20"/>
  <c r="J254" i="20"/>
  <c r="J474" i="20"/>
  <c r="J941" i="20"/>
  <c r="J788" i="20"/>
  <c r="J176" i="20"/>
  <c r="J139" i="20"/>
  <c r="J101" i="20"/>
  <c r="J305" i="20"/>
  <c r="J925" i="20"/>
  <c r="J376" i="20"/>
  <c r="J1264" i="20"/>
  <c r="J441" i="20"/>
  <c r="J965" i="20"/>
  <c r="J464" i="20"/>
  <c r="J1237" i="20"/>
  <c r="J1004" i="20"/>
  <c r="J1433" i="20"/>
  <c r="J558" i="20"/>
  <c r="J161" i="20"/>
  <c r="J816" i="20"/>
  <c r="J908" i="20"/>
  <c r="J1082" i="20"/>
  <c r="J1023" i="20"/>
  <c r="J135" i="20"/>
  <c r="J1371" i="20"/>
  <c r="J1307" i="20"/>
  <c r="J584" i="20"/>
  <c r="J1504" i="20"/>
  <c r="J1204" i="20"/>
  <c r="J769" i="20"/>
  <c r="J1199" i="20"/>
  <c r="J432" i="20"/>
  <c r="J1003" i="20"/>
  <c r="J1353" i="20"/>
  <c r="J516" i="20"/>
  <c r="J1388" i="20"/>
  <c r="J1342" i="20"/>
  <c r="J1138" i="20"/>
  <c r="J976" i="20"/>
  <c r="J1477" i="20"/>
  <c r="J1162" i="20"/>
  <c r="J1389" i="20"/>
  <c r="J1505" i="20"/>
  <c r="J1410" i="20"/>
  <c r="J396" i="20"/>
  <c r="J124" i="20"/>
  <c r="J1282" i="20"/>
  <c r="J1440" i="20"/>
  <c r="J313" i="20"/>
  <c r="J1229" i="20"/>
  <c r="J936" i="20"/>
  <c r="J457" i="20"/>
  <c r="J416" i="20"/>
  <c r="J261" i="20"/>
  <c r="J622" i="20"/>
  <c r="J90" i="20"/>
  <c r="J490" i="20"/>
  <c r="J1383" i="20"/>
  <c r="J822" i="20"/>
  <c r="J1140" i="20"/>
  <c r="J630" i="20"/>
  <c r="J1365" i="20"/>
  <c r="J1115" i="20"/>
  <c r="J888" i="20"/>
  <c r="J35" i="20"/>
  <c r="J328" i="20"/>
  <c r="J904" i="20"/>
  <c r="J991" i="20"/>
  <c r="J1146" i="20"/>
  <c r="J1414" i="20"/>
  <c r="J215" i="20"/>
  <c r="J1486" i="20"/>
  <c r="J361" i="20"/>
  <c r="J854" i="20"/>
  <c r="J87" i="20"/>
  <c r="J1319" i="20"/>
  <c r="J1247" i="20"/>
  <c r="J1422" i="20"/>
  <c r="J841" i="20"/>
  <c r="J1212" i="20"/>
  <c r="J1481" i="20"/>
  <c r="J685" i="20"/>
  <c r="J546" i="20"/>
  <c r="J172" i="20"/>
  <c r="J1290" i="20"/>
  <c r="J1324" i="20"/>
  <c r="J276" i="20"/>
  <c r="J1362" i="20"/>
  <c r="J1512" i="20"/>
  <c r="J727" i="20"/>
  <c r="J1428" i="20"/>
  <c r="J902" i="20"/>
  <c r="J1166" i="20"/>
  <c r="J768" i="20"/>
  <c r="J146" i="20"/>
  <c r="J121" i="20"/>
  <c r="J862" i="20"/>
  <c r="J993" i="20"/>
  <c r="J1084" i="20"/>
  <c r="J1051" i="20"/>
  <c r="J1201" i="20"/>
  <c r="J392" i="20"/>
  <c r="J1032" i="20"/>
  <c r="J1302" i="20"/>
  <c r="J511" i="20"/>
  <c r="J461" i="20"/>
  <c r="J567" i="20"/>
  <c r="J393" i="20"/>
  <c r="J1419" i="20"/>
  <c r="J1484" i="20"/>
  <c r="J456" i="20"/>
  <c r="J681" i="20"/>
  <c r="J994" i="20"/>
  <c r="J264" i="20"/>
  <c r="J503" i="20"/>
  <c r="J1026" i="20"/>
  <c r="J455" i="20"/>
  <c r="J720" i="20"/>
  <c r="J1007" i="20"/>
  <c r="J717" i="20"/>
  <c r="J760" i="20"/>
  <c r="J103" i="20"/>
  <c r="J28" i="20"/>
  <c r="J1277" i="20"/>
  <c r="J1431" i="20"/>
  <c r="J864" i="20"/>
  <c r="J813" i="20"/>
  <c r="J899" i="20"/>
  <c r="J1287" i="20"/>
  <c r="J963" i="20"/>
  <c r="J284" i="20"/>
  <c r="J1482" i="20"/>
  <c r="J187" i="20"/>
  <c r="J360" i="20"/>
  <c r="J49" i="20"/>
  <c r="J18" i="20"/>
  <c r="J1425" i="20"/>
  <c r="J1230" i="20"/>
  <c r="J1412" i="20"/>
  <c r="J569" i="20"/>
  <c r="J1117" i="20"/>
  <c r="J203" i="20"/>
  <c r="J593" i="20"/>
  <c r="J208" i="20"/>
  <c r="J655" i="20"/>
  <c r="J123" i="20"/>
  <c r="J527" i="20"/>
  <c r="J142" i="20"/>
  <c r="J825" i="20"/>
  <c r="J256" i="20"/>
  <c r="J1106" i="20"/>
  <c r="J691" i="20"/>
  <c r="J774" i="20"/>
  <c r="J1186" i="20"/>
  <c r="J907" i="20"/>
  <c r="J247" i="20"/>
  <c r="J793" i="20"/>
  <c r="J1242" i="20"/>
  <c r="J972" i="20"/>
  <c r="J1386" i="20"/>
  <c r="J687" i="20"/>
  <c r="J946" i="20"/>
  <c r="J1122" i="20"/>
  <c r="J1462" i="20"/>
  <c r="J309" i="20"/>
  <c r="J1295" i="20"/>
  <c r="J1320" i="20"/>
  <c r="J808" i="20"/>
  <c r="J928" i="20"/>
  <c r="J1354" i="20"/>
  <c r="J913" i="20"/>
  <c r="J652" i="20"/>
  <c r="J133" i="20"/>
  <c r="J267" i="20"/>
  <c r="J117" i="20"/>
  <c r="J1424" i="20"/>
  <c r="J81" i="20"/>
  <c r="J757" i="20"/>
  <c r="J1200" i="20"/>
  <c r="J526" i="20"/>
  <c r="J678" i="20"/>
  <c r="J1343" i="20"/>
  <c r="J735" i="20"/>
  <c r="J1217" i="20"/>
  <c r="J607" i="20"/>
  <c r="J270" i="20"/>
  <c r="J1275" i="20"/>
  <c r="J16" i="20"/>
  <c r="J1226" i="20"/>
  <c r="J1447" i="20"/>
  <c r="J1087" i="20"/>
  <c r="J1378" i="20"/>
  <c r="J1376" i="20"/>
  <c r="J1185" i="20"/>
  <c r="J1132" i="20"/>
  <c r="J251" i="20"/>
  <c r="J1093" i="20"/>
  <c r="J1072" i="20"/>
  <c r="J1057" i="20"/>
  <c r="J1514" i="20"/>
  <c r="J1131" i="20"/>
  <c r="J732" i="20"/>
  <c r="J1029" i="20"/>
  <c r="J1081" i="20"/>
  <c r="J427" i="20"/>
  <c r="J1306" i="20"/>
  <c r="J1139" i="20"/>
  <c r="J1474" i="20"/>
  <c r="J207" i="20"/>
  <c r="J324" i="20"/>
  <c r="J449" i="20"/>
  <c r="J69" i="20"/>
  <c r="J916" i="20"/>
  <c r="J1069" i="20"/>
  <c r="J327" i="20"/>
  <c r="J468" i="20"/>
  <c r="J955" i="20"/>
  <c r="J1038" i="20"/>
  <c r="J1233" i="20"/>
  <c r="J577" i="20"/>
  <c r="J304" i="20"/>
  <c r="J52" i="20"/>
  <c r="J195" i="20"/>
  <c r="J1008" i="20"/>
  <c r="J1284" i="20"/>
  <c r="J1025" i="20"/>
  <c r="J764" i="20"/>
  <c r="J458" i="20"/>
  <c r="J823" i="20"/>
  <c r="J670" i="20"/>
  <c r="J695" i="20"/>
  <c r="J398" i="20"/>
  <c r="J76" i="20"/>
  <c r="J662" i="20"/>
  <c r="J1330" i="20"/>
  <c r="J196" i="20"/>
  <c r="J1355" i="20"/>
  <c r="J680" i="20"/>
  <c r="J759" i="20"/>
  <c r="J981" i="20"/>
  <c r="J857" i="20"/>
  <c r="J544" i="20"/>
  <c r="J104" i="20"/>
  <c r="J629" i="20"/>
  <c r="J509" i="20"/>
  <c r="J325" i="20"/>
  <c r="J961" i="20"/>
  <c r="J1178" i="20"/>
  <c r="J621" i="20"/>
  <c r="J974" i="20"/>
  <c r="J824" i="20"/>
  <c r="J1426" i="20"/>
  <c r="J632" i="20"/>
  <c r="J1298" i="20"/>
  <c r="J995" i="20"/>
  <c r="J575" i="20"/>
  <c r="J1453" i="20"/>
  <c r="J487" i="20"/>
  <c r="J1408" i="20"/>
  <c r="J917" i="20"/>
  <c r="J33" i="20"/>
  <c r="J1317" i="20"/>
  <c r="J599" i="20"/>
  <c r="J982" i="20"/>
  <c r="J168" i="20"/>
  <c r="J1184" i="20"/>
  <c r="J1141" i="20"/>
  <c r="J889" i="20"/>
  <c r="J799" i="20"/>
  <c r="J1154" i="20"/>
  <c r="J1489" i="20"/>
  <c r="J1416" i="20"/>
  <c r="J59" i="20"/>
  <c r="J1370" i="20"/>
  <c r="J1224" i="20"/>
  <c r="J307" i="20"/>
  <c r="J1444" i="20"/>
  <c r="J1311" i="20"/>
  <c r="J792"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<sst xmlns="http://schemas.openxmlformats.org/spreadsheetml/2006/main" count="9058" uniqueCount="447">
  <si>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</si>
  <si>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</si>
  <si>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</si>
  <si>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</si>
  <si>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</si>
  <si>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</si>
  <si>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</si>
  <si>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</si>
  <si>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</si>
  <si>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</si>
  <si>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</si>
  <si>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</si>
  <si>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</si>
  <si>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</si>
  <si>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</si>
  <si>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</si>
  <si>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</si>
  <si>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</si>
  <si>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</si>
  <si>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</si>
  <si>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</si>
  <si>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</si>
  <si>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</si>
  <si>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</si>
  <si>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</si>
  <si>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</si>
  <si>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</si>
  <si>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</si>
  <si>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</si>
  <si>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</si>
  <si>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</si>
  <si>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</si>
  <si>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</si>
  <si>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</si>
  <si>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</si>
  <si>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</si>
  <si>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</si>
  <si>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</si>
  <si>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</si>
  <si>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</si>
  <si>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</si>
  <si>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</si>
  <si>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</si>
  <si>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</si>
  <si>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</si>
  <si>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</si>
  <si>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</si>
  <si>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</si>
  <si>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</si>
  <si>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</si>
  <si>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</si>
  <si>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</si>
  <si>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</si>
  <si>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</si>
  <si>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</si>
  <si>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</si>
  <si>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</si>
  <si>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</si>
  <si>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</si>
  <si>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</si>
  <si>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</si>
  <si>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</si>
  <si>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</si>
  <si>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</si>
  <si>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</si>
  <si>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</si>
  <si>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</si>
  <si>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</si>
  <si>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</si>
  <si>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</si>
  <si>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</si>
  <si>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</si>
  <si>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</si>
  <si>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</si>
  <si>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</si>
  <si>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</si>
  <si>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</si>
  <si>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</si>
  <si>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</si>
  <si>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</si>
  <si>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</si>
  <si>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</si>
  <si>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</si>
  <si>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</si>
  <si>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</si>
  <si>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</si>
  <si>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</si>
  <si>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</si>
  <si>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</si>
  <si>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</si>
  <si>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</si>
  <si>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</si>
  <si>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</si>
  <si>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</si>
  <si>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</si>
  <si>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</si>
  <si>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</si>
  <si>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</si>
  <si>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</si>
  <si>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</si>
  <si>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</si>
  <si>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</si>
  <si>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</si>
  <si>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</si>
  <si>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</si>
  <si>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</si>
  <si>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</si>
  <si>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</si>
  <si>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</si>
  <si>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</si>
  <si>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</si>
  <si>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</si>
  <si>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</si>
  <si>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</si>
  <si>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</si>
  <si>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</si>
  <si>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</si>
  <si>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</si>
  <si>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</si>
  <si>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</si>
  <si>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</si>
  <si>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</si>
  <si>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</si>
  <si>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</si>
  <si>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</si>
  <si>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</si>
  <si>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</si>
  <si>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</si>
  <si>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</si>
  <si>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</si>
  <si>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</si>
  <si>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</si>
  <si>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</si>
  <si>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</si>
  <si>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</si>
  <si>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</si>
  <si>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</si>
  <si>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</si>
  <si>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</si>
  <si>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</si>
  <si>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</si>
  <si>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</si>
  <si>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</si>
  <si>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</si>
  <si>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</si>
  <si>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</si>
  <si>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</si>
  <si>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</si>
  <si>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</si>
  <si>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</si>
  <si>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</si>
  <si>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</si>
  <si>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</si>
  <si>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</si>
  <si>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</si>
  <si>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</si>
  <si>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</si>
  <si>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</si>
  <si>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</si>
  <si>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</si>
  <si>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</si>
  <si>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</si>
  <si>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</si>
  <si>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</si>
  <si>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</si>
  <si>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</si>
  <si>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</si>
  <si>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</si>
  <si>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</si>
  <si>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</si>
  <si>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</si>
  <si>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</si>
  <si>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</si>
  <si>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</si>
  <si>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</si>
  <si>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</si>
  <si>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</si>
  <si>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</si>
  <si>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</si>
  <si>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</si>
  <si>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</si>
  <si>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</si>
  <si>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</si>
  <si>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</si>
  <si>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</si>
  <si>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</si>
  <si>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</si>
  <si>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</si>
  <si>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</si>
  <si>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</si>
  <si>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</si>
  <si>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</si>
  <si>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</si>
  <si>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</si>
  <si>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</si>
  <si>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</si>
  <si>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</si>
  <si>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</si>
  <si>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</si>
  <si>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</si>
  <si>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</si>
  <si>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</si>
  <si>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</si>
  <si>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</si>
  <si>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</si>
  <si>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</si>
  <si>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</si>
  <si>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</si>
  <si>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</si>
  <si>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</si>
  <si>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</si>
  <si>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</si>
  <si>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</si>
  <si>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</si>
  <si>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</si>
  <si>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</si>
  <si>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</si>
  <si>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</si>
  <si>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</si>
  <si>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</si>
  <si>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</si>
  <si>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</si>
  <si>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</si>
  <si>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</si>
  <si>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</si>
  <si>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</si>
  <si>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</si>
  <si>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</si>
  <si>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</si>
  <si>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</si>
  <si>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</si>
  <si>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</si>
  <si>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</si>
  <si>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</si>
  <si>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</si>
  <si>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</si>
  <si>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</si>
  <si>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</si>
  <si>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</si>
  <si>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</si>
  <si>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</si>
  <si>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</si>
  <si>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</si>
  <si>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</si>
  <si>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</si>
  <si>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</si>
  <si>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</si>
  <si>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</si>
  <si>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</si>
  <si>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</si>
  <si>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</si>
  <si>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</si>
  <si>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</si>
  <si>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</si>
  <si>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</si>
  <si>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</si>
  <si>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</si>
  <si>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</si>
  <si>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</si>
  <si>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</si>
  <si>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</si>
  <si>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</si>
  <si>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</si>
  <si>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</si>
  <si>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</si>
  <si>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</si>
  <si>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</si>
  <si>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</si>
  <si>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</si>
  <si>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</si>
  <si>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</si>
  <si>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</si>
  <si>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</si>
  <si>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</si>
  <si>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</si>
  <si>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</si>
  <si>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</si>
  <si>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</si>
  <si>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</si>
  <si>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</si>
  <si>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</si>
  <si>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</si>
  <si>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</si>
  <si>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</si>
  <si>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</si>
  <si>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</si>
  <si>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</si>
  <si>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</si>
  <si>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</si>
  <si>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</si>
  <si>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</si>
  <si>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</si>
  <si>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</si>
  <si>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</si>
  <si>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</si>
  <si>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</si>
  <si>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</si>
  <si>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</si>
  <si>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</si>
  <si>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</si>
  <si>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</si>
  <si>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</si>
  <si>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</si>
  <si>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</si>
  <si>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</si>
  <si>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</si>
  <si>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</si>
  <si>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</si>
  <si>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</si>
  <si>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</si>
  <si>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</si>
  <si>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</si>
  <si>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</si>
  <si>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</si>
  <si>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</si>
  <si>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</si>
  <si>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</si>
  <si>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</si>
  <si>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</si>
  <si>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</si>
  <si>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</si>
  <si>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</si>
  <si>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</si>
  <si>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</si>
  <si>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</si>
  <si>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</si>
  <si>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</si>
  <si>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</si>
  <si>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</si>
  <si>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</si>
  <si>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</si>
  <si>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</si>
  <si>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</si>
  <si>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</si>
  <si>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</si>
  <si>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</si>
  <si>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</si>
  <si>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</si>
  <si>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</si>
  <si>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</si>
  <si>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</si>
  <si>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</si>
  <si>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</si>
  <si>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</si>
  <si>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</si>
  <si>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</si>
  <si>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</si>
  <si>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</si>
  <si>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</si>
  <si>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</si>
  <si>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</si>
  <si>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</si>
  <si>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</si>
  <si>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</si>
  <si>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</si>
  <si>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</si>
  <si>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</si>
  <si>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</si>
  <si>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</si>
  <si>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</si>
  <si>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</si>
  <si>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</si>
  <si>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</si>
  <si>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</si>
  <si>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</si>
  <si>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</si>
  <si>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</si>
  <si>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</si>
  <si>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</si>
  <si>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</si>
  <si>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</si>
  <si>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</si>
  <si>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</si>
  <si>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</si>
  <si>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</si>
  <si>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</si>
  <si>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</si>
  <si>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</si>
  <si>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</si>
  <si>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</si>
  <si>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</si>
  <si>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</si>
  <si>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</si>
  <si>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</si>
  <si>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</si>
  <si>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</si>
  <si>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</si>
  <si>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</si>
  <si>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</si>
  <si>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</si>
  <si>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</si>
  <si>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</si>
  <si>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</si>
  <si>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</si>
  <si>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</si>
  <si>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</si>
  <si>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</si>
  <si>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</si>
  <si>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</si>
  <si>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</si>
  <si>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</si>
  <si>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</si>
  <si>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</si>
  <si>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</si>
  <si>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</si>
  <si>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</si>
  <si>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</si>
  <si>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</si>
  <si>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</si>
  <si>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</si>
  <si>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</si>
  <si>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</si>
  <si>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</si>
  <si>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</si>
  <si>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</si>
  <si>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</si>
  <si>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</si>
  <si>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</si>
  <si>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</si>
  <si>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</si>
  <si>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</si>
  <si>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</si>
  <si>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</si>
  <si>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</si>
  <si>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</si>
  <si>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</si>
  <si>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</si>
  <si>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</si>
  <si>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</si>
  <si>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</si>
  <si>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</si>
  <si>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</si>
  <si>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</si>
  <si>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</si>
  <si>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</si>
  <si>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</si>
  <si>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</si>
  <si>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</si>
  <si>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</si>
  <si>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</si>
  <si>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</si>
  <si>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</si>
  <si>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</si>
  <si>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</si>
  <si>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meDateYearFraction</t>
  </si>
  <si>
    <r>
      <t>meDateYearFraction</t>
    </r>
    <r>
      <rPr>
        <sz val="18"/>
        <rFont val="Calibri"/>
        <family val="2"/>
        <scheme val="minor"/>
      </rPr>
      <t>( AccrualStart, AccrualEnd, Daycount, [IncludeLast] )</t>
    </r>
  </si>
  <si>
    <t>2y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</si>
</sst>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0" fontId="2" fillId="0" borderId="0" xfId="0" applyFont="1" applyAlignment="1">
      <alignment vertical="center"/>
    </xf>
    <xf numFmtId="14" fontId="6" fillId="2" borderId="1" xfId="0" applyNumberFormat="1" applyFont="1" applyFill="1" applyBorder="1" applyAlignment="1">
      <alignment horizontal="center" vertical="center"/>
    </xf>
    <xf numFmtId="166" fontId="9" fillId="2" borderId="4" xfId="0" applyNumberFormat="1" applyFont="1" applyFill="1" applyBorder="1" applyAlignment="1">
      <alignment horizontal="center" vertical="center"/>
    </xf>
    <xf numFmtId="15" fontId="9" fillId="2" borderId="11" xfId="0" applyNumberFormat="1" applyFont="1" applyFill="1" applyBorder="1" applyAlignment="1">
      <alignment horizontal="center" vertical="center"/>
    </xf>
    <xf numFmtId="166" fontId="9" fillId="2" borderId="11"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-3.8127752486024624E-3</c:v>
                </c:pt>
                <c:pt idx="134">
                  <c:v>-3.8127332716023643E-3</c:v>
                </c:pt>
                <c:pt idx="135">
                  <c:v>-3.8127332717218243E-3</c:v>
                </c:pt>
                <c:pt idx="136">
                  <c:v>-3.8127332716422213E-3</c:v>
                </c:pt>
                <c:pt idx="137">
                  <c:v>-3.8151900648164538E-3</c:v>
                </c:pt>
                <c:pt idx="138">
                  <c:v>-3.8183106078510942E-3</c:v>
                </c:pt>
                <c:pt idx="139">
                  <c:v>-3.8276848478687731E-3</c:v>
                </c:pt>
                <c:pt idx="140">
                  <c:v>-3.8308127128133806E-3</c:v>
                </c:pt>
                <c:pt idx="141">
                  <c:v>-3.8339417930388642E-3</c:v>
                </c:pt>
                <c:pt idx="142">
                  <c:v>-3.8370718619057387E-3</c:v>
                </c:pt>
                <c:pt idx="143">
                  <c:v>-3.840202755765465E-3</c:v>
                </c:pt>
                <c:pt idx="144">
                  <c:v>-3.8495975036905161E-3</c:v>
                </c:pt>
                <c:pt idx="145">
                  <c:v>-3.8527291242826944E-3</c:v>
                </c:pt>
                <c:pt idx="146">
                  <c:v>-3.8558603768076294E-3</c:v>
                </c:pt>
                <c:pt idx="147">
                  <c:v>-3.8589910347260892E-3</c:v>
                </c:pt>
                <c:pt idx="148">
                  <c:v>-3.8621210104923254E-3</c:v>
                </c:pt>
                <c:pt idx="149">
                  <c:v>-3.8746274907087708E-3</c:v>
                </c:pt>
                <c:pt idx="150">
                  <c:v>-3.8777498316201475E-3</c:v>
                </c:pt>
                <c:pt idx="151">
                  <c:v>-3.8808699950145797E-3</c:v>
                </c:pt>
                <c:pt idx="152">
                  <c:v>-3.8839878175986886E-3</c:v>
                </c:pt>
                <c:pt idx="153">
                  <c:v>-3.9039914824171573E-3</c:v>
                </c:pt>
                <c:pt idx="154">
                  <c:v>-3.9071143441749001E-3</c:v>
                </c:pt>
                <c:pt idx="155">
                  <c:v>-3.9102336397475179E-3</c:v>
                </c:pt>
                <c:pt idx="156">
                  <c:v>-3.9133491407664645E-3</c:v>
                </c:pt>
                <c:pt idx="157">
                  <c:v>-3.9164606808138602E-3</c:v>
                </c:pt>
                <c:pt idx="158">
                  <c:v>-3.9257686237567091E-3</c:v>
                </c:pt>
                <c:pt idx="159">
                  <c:v>-3.9288617211258314E-3</c:v>
                </c:pt>
                <c:pt idx="160">
                  <c:v>-3.9319496520380248E-3</c:v>
                </c:pt>
                <c:pt idx="161">
                  <c:v>-3.9350321877064109E-3</c:v>
                </c:pt>
                <c:pt idx="162">
                  <c:v>-3.9381091620890318E-3</c:v>
                </c:pt>
                <c:pt idx="163">
                  <c:v>-3.947303805922453E-3</c:v>
                </c:pt>
                <c:pt idx="164">
                  <c:v>-3.9503559361325769E-3</c:v>
                </c:pt>
                <c:pt idx="165">
                  <c:v>-3.9534012995890988E-3</c:v>
                </c:pt>
                <c:pt idx="166">
                  <c:v>-3.9564396674046654E-3</c:v>
                </c:pt>
                <c:pt idx="167">
                  <c:v>-3.9594708737541451E-3</c:v>
                </c:pt>
                <c:pt idx="168">
                  <c:v>-3.9685186117688342E-3</c:v>
                </c:pt>
                <c:pt idx="169">
                  <c:v>-3.9715185729382041E-3</c:v>
                </c:pt>
                <c:pt idx="170">
                  <c:v>-3.9745101672274963E-3</c:v>
                </c:pt>
                <c:pt idx="171">
                  <c:v>-3.9774931657275969E-3</c:v>
                </c:pt>
                <c:pt idx="172">
                  <c:v>-3.9804674023907749E-3</c:v>
                </c:pt>
                <c:pt idx="173">
                  <c:v>-3.9893346309867184E-3</c:v>
                </c:pt>
                <c:pt idx="174">
                  <c:v>-3.9922712220473722E-3</c:v>
                </c:pt>
                <c:pt idx="175">
                  <c:v>-3.9951978463048654E-3</c:v>
                </c:pt>
                <c:pt idx="176">
                  <c:v>-3.9981142743894527E-3</c:v>
                </c:pt>
                <c:pt idx="177">
                  <c:v>-4.001020340946182E-3</c:v>
                </c:pt>
                <c:pt idx="178">
                  <c:v>-4.0096734589472049E-3</c:v>
                </c:pt>
                <c:pt idx="179">
                  <c:v>-4.0125354798372648E-3</c:v>
                </c:pt>
                <c:pt idx="180">
                  <c:v>-4.0153859337992426E-3</c:v>
                </c:pt>
                <c:pt idx="181">
                  <c:v>-4.0182245920771242E-3</c:v>
                </c:pt>
                <c:pt idx="182">
                  <c:v>-4.0210512886135197E-3</c:v>
                </c:pt>
                <c:pt idx="183">
                  <c:v>-4.0294566969933943E-3</c:v>
                </c:pt>
                <c:pt idx="184">
                  <c:v>-4.0322329484042685E-3</c:v>
                </c:pt>
                <c:pt idx="185">
                  <c:v>-4.0349960329904011E-3</c:v>
                </c:pt>
                <c:pt idx="186">
                  <c:v>-4.0377457218905288E-3</c:v>
                </c:pt>
                <c:pt idx="187">
                  <c:v>-4.0404818494987893E-3</c:v>
                </c:pt>
                <c:pt idx="188">
                  <c:v>-4.0486059519557749E-3</c:v>
                </c:pt>
                <c:pt idx="189">
                  <c:v>-4.0512852353091766E-3</c:v>
                </c:pt>
                <c:pt idx="190">
                  <c:v>-4.0539497518007339E-3</c:v>
                </c:pt>
                <c:pt idx="191">
                  <c:v>-4.0565992732590761E-3</c:v>
                </c:pt>
                <c:pt idx="192">
                  <c:v>-4.0592336333739043E-3</c:v>
                </c:pt>
                <c:pt idx="193">
                  <c:v>-4.0670428355260579E-3</c:v>
                </c:pt>
                <c:pt idx="194">
                  <c:v>-4.0696139525836506E-3</c:v>
                </c:pt>
                <c:pt idx="195">
                  <c:v>-4.0721687035464305E-3</c:v>
                </c:pt>
                <c:pt idx="196">
                  <c:v>-4.0747068592993374E-3</c:v>
                </c:pt>
                <c:pt idx="197">
                  <c:v>-4.0772282967314055E-3</c:v>
                </c:pt>
                <c:pt idx="198">
                  <c:v>-4.0846889591114044E-3</c:v>
                </c:pt>
                <c:pt idx="199">
                  <c:v>-4.0871407103417745E-3</c:v>
                </c:pt>
                <c:pt idx="200">
                  <c:v>-4.0895744953647339E-3</c:v>
                </c:pt>
                <c:pt idx="201">
                  <c:v>-4.0919900852739444E-3</c:v>
                </c:pt>
                <c:pt idx="202">
                  <c:v>-4.0943467473526507E-3</c:v>
                </c:pt>
                <c:pt idx="203">
                  <c:v>-4.1016955365631436E-3</c:v>
                </c:pt>
                <c:pt idx="204">
                  <c:v>-4.104182870944606E-3</c:v>
                </c:pt>
                <c:pt idx="205">
                  <c:v>-4.1066396259279436E-3</c:v>
                </c:pt>
                <c:pt idx="206">
                  <c:v>-4.1090658031717187E-3</c:v>
                </c:pt>
                <c:pt idx="207">
                  <c:v>-4.1114614039736708E-3</c:v>
                </c:pt>
                <c:pt idx="208">
                  <c:v>-4.1184647646016481E-3</c:v>
                </c:pt>
                <c:pt idx="209">
                  <c:v>-4.1207380759781254E-3</c:v>
                </c:pt>
                <c:pt idx="210">
                  <c:v>-4.1229808190696993E-3</c:v>
                </c:pt>
                <c:pt idx="211">
                  <c:v>-4.1251929950374411E-3</c:v>
                </c:pt>
                <c:pt idx="212">
                  <c:v>-4.1273746059155014E-3</c:v>
                </c:pt>
                <c:pt idx="213">
                  <c:v>-4.133736062101101E-3</c:v>
                </c:pt>
                <c:pt idx="214">
                  <c:v>-4.1357954271334929E-3</c:v>
                </c:pt>
                <c:pt idx="215">
                  <c:v>-4.1378242348957261E-3</c:v>
                </c:pt>
                <c:pt idx="216">
                  <c:v>-4.139822486608824E-3</c:v>
                </c:pt>
                <c:pt idx="217">
                  <c:v>-4.1417901838891602E-3</c:v>
                </c:pt>
                <c:pt idx="218">
                  <c:v>-4.1475099650557512E-3</c:v>
                </c:pt>
                <c:pt idx="219">
                  <c:v>-4.1493554602740623E-3</c:v>
                </c:pt>
                <c:pt idx="220">
                  <c:v>-4.1511704090193557E-3</c:v>
                </c:pt>
                <c:pt idx="221">
                  <c:v>-4.1529548124932258E-3</c:v>
                </c:pt>
                <c:pt idx="222">
                  <c:v>-4.1547086726900773E-3</c:v>
                </c:pt>
                <c:pt idx="223">
                  <c:v>-4.1597870071147236E-3</c:v>
                </c:pt>
                <c:pt idx="224">
                  <c:v>-4.1614187083225396E-3</c:v>
                </c:pt>
                <c:pt idx="225">
                  <c:v>-4.1630198740748581E-3</c:v>
                </c:pt>
                <c:pt idx="226">
                  <c:v>-4.1645905053145915E-3</c:v>
                </c:pt>
                <c:pt idx="227">
                  <c:v>-4.1719857015463102E-3</c:v>
                </c:pt>
                <c:pt idx="228">
                  <c:v>-4.1733731595241519E-3</c:v>
                </c:pt>
                <c:pt idx="229">
                  <c:v>-4.1747300938496101E-3</c:v>
                </c:pt>
                <c:pt idx="230">
                  <c:v>-4.1760565062789468E-3</c:v>
                </c:pt>
                <c:pt idx="231">
                  <c:v>-4.1798526265669489E-3</c:v>
                </c:pt>
                <c:pt idx="232">
                  <c:v>-4.1810569660927221E-3</c:v>
                </c:pt>
                <c:pt idx="233">
                  <c:v>-4.1822307912677825E-3</c:v>
                </c:pt>
                <c:pt idx="234">
                  <c:v>-4.1833741035925964E-3</c:v>
                </c:pt>
                <c:pt idx="235">
                  <c:v>-4.1844869044858068E-3</c:v>
                </c:pt>
                <c:pt idx="236">
                  <c:v>-4.18863302455319E-3</c:v>
                </c:pt>
                <c:pt idx="237">
                  <c:v>-4.1895932912534573E-3</c:v>
                </c:pt>
                <c:pt idx="238">
                  <c:v>-4.1905230555296935E-3</c:v>
                </c:pt>
                <c:pt idx="239">
                  <c:v>-4.1914223190987476E-3</c:v>
                </c:pt>
                <c:pt idx="240">
                  <c:v>-4.1939371196676456E-3</c:v>
                </c:pt>
                <c:pt idx="241">
                  <c:v>-4.1947143948563026E-3</c:v>
                </c:pt>
                <c:pt idx="242">
                  <c:v>-4.1954611766873429E-3</c:v>
                </c:pt>
                <c:pt idx="243">
                  <c:v>-4.1961774665423279E-3</c:v>
                </c:pt>
                <c:pt idx="244">
                  <c:v>-4.1968632661585348E-3</c:v>
                </c:pt>
                <c:pt idx="245">
                  <c:v>-4.1987377373228219E-3</c:v>
                </c:pt>
                <c:pt idx="246">
                  <c:v>-4.1993015900766428E-3</c:v>
                </c:pt>
                <c:pt idx="247">
                  <c:v>-4.1998349600022022E-3</c:v>
                </c:pt>
                <c:pt idx="248">
                  <c:v>-4.2003378481829667E-3</c:v>
                </c:pt>
                <c:pt idx="249">
                  <c:v>-4.2008102565757044E-3</c:v>
                </c:pt>
                <c:pt idx="250">
                  <c:v>-4.2020446156623148E-3</c:v>
                </c:pt>
                <c:pt idx="251">
                  <c:v>-4.2023951182820207E-3</c:v>
                </c:pt>
                <c:pt idx="252">
                  <c:v>-4.2027151483864378E-3</c:v>
                </c:pt>
                <c:pt idx="253">
                  <c:v>-4.2030047068406517E-3</c:v>
                </c:pt>
                <c:pt idx="254">
                  <c:v>-4.2032637957807317E-3</c:v>
                </c:pt>
                <c:pt idx="255">
                  <c:v>-4.2038582576388039E-3</c:v>
                </c:pt>
                <c:pt idx="256">
                  <c:v>-4.2039954816264213E-3</c:v>
                </c:pt>
                <c:pt idx="257">
                  <c:v>-4.2041022429167851E-3</c:v>
                </c:pt>
                <c:pt idx="258">
                  <c:v>-4.2041785430718681E-3</c:v>
                </c:pt>
                <c:pt idx="259">
                  <c:v>-4.2042290008624805E-3</c:v>
                </c:pt>
                <c:pt idx="260">
                  <c:v>-4.2043499990292998E-3</c:v>
                </c:pt>
                <c:pt idx="261">
                  <c:v>-4.2043848244663895E-3</c:v>
                </c:pt>
                <c:pt idx="262">
                  <c:v>-4.2044168965872375E-3</c:v>
                </c:pt>
                <c:pt idx="263">
                  <c:v>-4.2044462155901297E-3</c:v>
                </c:pt>
                <c:pt idx="264">
                  <c:v>-4.2044727813959071E-3</c:v>
                </c:pt>
                <c:pt idx="265">
                  <c:v>-4.2045359616236233E-3</c:v>
                </c:pt>
                <c:pt idx="266">
                  <c:v>-4.2045515162354441E-3</c:v>
                </c:pt>
                <c:pt idx="267">
                  <c:v>-4.2045643184073223E-3</c:v>
                </c:pt>
                <c:pt idx="268">
                  <c:v>-4.2045743685772408E-3</c:v>
                </c:pt>
                <c:pt idx="269">
                  <c:v>-4.2045816661084867E-3</c:v>
                </c:pt>
                <c:pt idx="270">
                  <c:v>-4.2045870472481317E-3</c:v>
                </c:pt>
                <c:pt idx="271">
                  <c:v>-4.204583337727219E-3</c:v>
                </c:pt>
                <c:pt idx="272">
                  <c:v>-4.2045768761646007E-3</c:v>
                </c:pt>
                <c:pt idx="273">
                  <c:v>-4.2045676635155127E-3</c:v>
                </c:pt>
                <c:pt idx="274">
                  <c:v>-4.2045556993818289E-3</c:v>
                </c:pt>
                <c:pt idx="275">
                  <c:v>-4.2045033006592458E-3</c:v>
                </c:pt>
                <c:pt idx="276">
                  <c:v>-4.2044803326557467E-3</c:v>
                </c:pt>
                <c:pt idx="277">
                  <c:v>-4.2044546139625716E-3</c:v>
                </c:pt>
                <c:pt idx="278">
                  <c:v>-4.2044261448989095E-3</c:v>
                </c:pt>
                <c:pt idx="279">
                  <c:v>-4.2043949252645874E-3</c:v>
                </c:pt>
                <c:pt idx="280">
                  <c:v>-4.2042847654842896E-3</c:v>
                </c:pt>
                <c:pt idx="281">
                  <c:v>-4.2042425455957044E-3</c:v>
                </c:pt>
                <c:pt idx="282">
                  <c:v>-4.2041975759311567E-3</c:v>
                </c:pt>
                <c:pt idx="283">
                  <c:v>-4.2041498567293445E-3</c:v>
                </c:pt>
                <c:pt idx="284">
                  <c:v>-4.2040993879099986E-3</c:v>
                </c:pt>
                <c:pt idx="285">
                  <c:v>-4.203931485892709E-3</c:v>
                </c:pt>
                <c:pt idx="286">
                  <c:v>-4.2038700204302115E-3</c:v>
                </c:pt>
                <c:pt idx="287">
                  <c:v>-4.2038058061042438E-3</c:v>
                </c:pt>
                <c:pt idx="288">
                  <c:v>-4.2037388430335998E-3</c:v>
                </c:pt>
                <c:pt idx="289">
                  <c:v>-4.2036691313371843E-3</c:v>
                </c:pt>
                <c:pt idx="290">
                  <c:v>-4.203443505959914E-3</c:v>
                </c:pt>
                <c:pt idx="291">
                  <c:v>-4.2033628011871604E-3</c:v>
                </c:pt>
                <c:pt idx="292">
                  <c:v>-4.2032793484620967E-3</c:v>
                </c:pt>
                <c:pt idx="293">
                  <c:v>-4.2031931479433737E-3</c:v>
                </c:pt>
                <c:pt idx="294">
                  <c:v>-4.2031041994704532E-3</c:v>
                </c:pt>
                <c:pt idx="295">
                  <c:v>-4.2028208697466596E-3</c:v>
                </c:pt>
                <c:pt idx="296">
                  <c:v>-4.2027209317602177E-3</c:v>
                </c:pt>
                <c:pt idx="297">
                  <c:v>-4.2026182468908324E-3</c:v>
                </c:pt>
                <c:pt idx="298">
                  <c:v>-4.2025128150581237E-3</c:v>
                </c:pt>
                <c:pt idx="299">
                  <c:v>-4.2024046363405843E-3</c:v>
                </c:pt>
                <c:pt idx="300">
                  <c:v>-4.2020636207417139E-3</c:v>
                </c:pt>
                <c:pt idx="301">
                  <c:v>-4.2019444561081087E-3</c:v>
                </c:pt>
                <c:pt idx="302">
                  <c:v>-4.2018225452618019E-3</c:v>
                </c:pt>
                <c:pt idx="303">
                  <c:v>-4.2016978884404921E-3</c:v>
                </c:pt>
                <c:pt idx="304">
                  <c:v>-4.2015704856432912E-3</c:v>
                </c:pt>
                <c:pt idx="305">
                  <c:v>-4.2011718030563472E-3</c:v>
                </c:pt>
                <c:pt idx="306">
                  <c:v>-4.2010334178568254E-3</c:v>
                </c:pt>
                <c:pt idx="307">
                  <c:v>-4.2008922874716692E-3</c:v>
                </c:pt>
                <c:pt idx="308">
                  <c:v>-4.2007484116611815E-3</c:v>
                </c:pt>
                <c:pt idx="309">
                  <c:v>-4.200601791100711E-3</c:v>
                </c:pt>
                <c:pt idx="310">
                  <c:v>-4.2001454602700328E-3</c:v>
                </c:pt>
                <c:pt idx="311">
                  <c:v>-4.1999878606573393E-3</c:v>
                </c:pt>
                <c:pt idx="312">
                  <c:v>-4.1998275168455557E-3</c:v>
                </c:pt>
                <c:pt idx="313">
                  <c:v>-4.1996644286343976E-3</c:v>
                </c:pt>
                <c:pt idx="314">
                  <c:v>-4.1994985963408338E-3</c:v>
                </c:pt>
                <c:pt idx="315">
                  <c:v>-4.1989846358281291E-3</c:v>
                </c:pt>
                <c:pt idx="316">
                  <c:v>-4.1988078282659824E-3</c:v>
                </c:pt>
                <c:pt idx="317">
                  <c:v>-4.1986282772114025E-3</c:v>
                </c:pt>
                <c:pt idx="318">
                  <c:v>-4.1984459826232001E-3</c:v>
                </c:pt>
                <c:pt idx="319">
                  <c:v>-4.1982609449774388E-3</c:v>
                </c:pt>
                <c:pt idx="320">
                  <c:v>-4.1976893736395127E-3</c:v>
                </c:pt>
                <c:pt idx="321">
                  <c:v>-4.1974933639868928E-3</c:v>
                </c:pt>
                <c:pt idx="322">
                  <c:v>-4.1972946119055443E-3</c:v>
                </c:pt>
                <c:pt idx="323">
                  <c:v>-4.197093117354167E-3</c:v>
                </c:pt>
                <c:pt idx="324">
                  <c:v>-4.1968888803708415E-3</c:v>
                </c:pt>
                <c:pt idx="325">
                  <c:v>-4.1962618941437935E-3</c:v>
                </c:pt>
                <c:pt idx="326">
                  <c:v>-4.1960597542534117E-3</c:v>
                </c:pt>
                <c:pt idx="327">
                  <c:v>-4.1958679374933805E-3</c:v>
                </c:pt>
                <c:pt idx="328">
                  <c:v>-4.1956864433128072E-3</c:v>
                </c:pt>
                <c:pt idx="329">
                  <c:v>-4.1955152711201649E-3</c:v>
                </c:pt>
                <c:pt idx="330">
                  <c:v>-4.1950636824622523E-3</c:v>
                </c:pt>
                <c:pt idx="331">
                  <c:v>-4.1949337937741138E-3</c:v>
                </c:pt>
                <c:pt idx="332">
                  <c:v>-4.1948142249480513E-3</c:v>
                </c:pt>
                <c:pt idx="333">
                  <c:v>-4.1947049753510157E-3</c:v>
                </c:pt>
                <c:pt idx="334">
                  <c:v>-4.1946060444291167E-3</c:v>
                </c:pt>
                <c:pt idx="335">
                  <c:v>-4.1943711593257493E-3</c:v>
                </c:pt>
                <c:pt idx="336">
                  <c:v>-4.1943134985947816E-3</c:v>
                </c:pt>
                <c:pt idx="337">
                  <c:v>-4.1942661542426762E-3</c:v>
                </c:pt>
                <c:pt idx="338">
                  <c:v>-4.1942291257136555E-3</c:v>
                </c:pt>
                <c:pt idx="339">
                  <c:v>-4.1942024125710686E-3</c:v>
                </c:pt>
                <c:pt idx="340">
                  <c:v>-4.1941841607325836E-3</c:v>
                </c:pt>
                <c:pt idx="341">
                  <c:v>-4.194198704165486E-3</c:v>
                </c:pt>
                <c:pt idx="342">
                  <c:v>-4.1942235608769529E-3</c:v>
                </c:pt>
                <c:pt idx="343">
                  <c:v>-4.1942587299101941E-3</c:v>
                </c:pt>
                <c:pt idx="344">
                  <c:v>-4.1943042108661954E-3</c:v>
                </c:pt>
                <c:pt idx="345">
                  <c:v>-4.1945025215144316E-3</c:v>
                </c:pt>
                <c:pt idx="346">
                  <c:v>-4.1945892456869416E-3</c:v>
                </c:pt>
                <c:pt idx="347">
                  <c:v>-4.1946862795830819E-3</c:v>
                </c:pt>
                <c:pt idx="348">
                  <c:v>-4.1947936226822691E-3</c:v>
                </c:pt>
                <c:pt idx="349">
                  <c:v>-4.1949112741456185E-3</c:v>
                </c:pt>
                <c:pt idx="350">
                  <c:v>-4.1953260760546618E-3</c:v>
                </c:pt>
                <c:pt idx="351">
                  <c:v>-4.1954849572328756E-3</c:v>
                </c:pt>
                <c:pt idx="352">
                  <c:v>-4.1956541446841467E-3</c:v>
                </c:pt>
                <c:pt idx="353">
                  <c:v>-4.1958336378459249E-3</c:v>
                </c:pt>
                <c:pt idx="354">
                  <c:v>-4.1960234361951843E-3</c:v>
                </c:pt>
                <c:pt idx="355">
                  <c:v>-4.1966546578106056E-3</c:v>
                </c:pt>
                <c:pt idx="356">
                  <c:v>-4.1968856721914527E-3</c:v>
                </c:pt>
                <c:pt idx="357">
                  <c:v>-4.1971269892994156E-3</c:v>
                </c:pt>
                <c:pt idx="358">
                  <c:v>-4.197378608688962E-3</c:v>
                </c:pt>
                <c:pt idx="359">
                  <c:v>-4.1976405299553043E-3</c:v>
                </c:pt>
                <c:pt idx="360">
                  <c:v>-4.1984880995935558E-3</c:v>
                </c:pt>
                <c:pt idx="361">
                  <c:v>-4.1987912229860536E-3</c:v>
                </c:pt>
                <c:pt idx="362">
                  <c:v>-4.1991046459421977E-3</c:v>
                </c:pt>
                <c:pt idx="363">
                  <c:v>-4.1994283676564104E-3</c:v>
                </c:pt>
                <c:pt idx="364">
                  <c:v>-4.1997623875215107E-3</c:v>
                </c:pt>
                <c:pt idx="365">
                  <c:v>-4.2008262329726875E-3</c:v>
                </c:pt>
                <c:pt idx="366">
                  <c:v>-4.2012014415939714E-3</c:v>
                </c:pt>
                <c:pt idx="367">
                  <c:v>-4.201586946042779E-3</c:v>
                </c:pt>
                <c:pt idx="368">
                  <c:v>-4.2019827457498993E-3</c:v>
                </c:pt>
                <c:pt idx="369">
                  <c:v>-4.2023888406633736E-3</c:v>
                </c:pt>
                <c:pt idx="370">
                  <c:v>-4.2036688891113894E-3</c:v>
                </c:pt>
                <c:pt idx="371">
                  <c:v>-4.2041161583532549E-3</c:v>
                </c:pt>
                <c:pt idx="372">
                  <c:v>-4.2045737203075806E-3</c:v>
                </c:pt>
                <c:pt idx="373">
                  <c:v>-4.2050415738459357E-3</c:v>
                </c:pt>
                <c:pt idx="374">
                  <c:v>-4.2055197188737292E-3</c:v>
                </c:pt>
                <c:pt idx="375">
                  <c:v>-4.2070158976937888E-3</c:v>
                </c:pt>
                <c:pt idx="376">
                  <c:v>-4.2075352033962288E-3</c:v>
                </c:pt>
                <c:pt idx="377">
                  <c:v>-4.2080647979642061E-3</c:v>
                </c:pt>
                <c:pt idx="378">
                  <c:v>-4.2086046813016864E-3</c:v>
                </c:pt>
                <c:pt idx="379">
                  <c:v>-4.2091548520389876E-3</c:v>
                </c:pt>
                <c:pt idx="380">
                  <c:v>-4.2108670873629572E-3</c:v>
                </c:pt>
                <c:pt idx="381">
                  <c:v>-4.2114584052173054E-3</c:v>
                </c:pt>
                <c:pt idx="382">
                  <c:v>-4.212060008034979E-3</c:v>
                </c:pt>
                <c:pt idx="383">
                  <c:v>-4.2126718959566434E-3</c:v>
                </c:pt>
                <c:pt idx="384">
                  <c:v>-4.2132940682866327E-3</c:v>
                </c:pt>
                <c:pt idx="385">
                  <c:v>-4.215222286398923E-3</c:v>
                </c:pt>
                <c:pt idx="386">
                  <c:v>-4.2158855910726656E-3</c:v>
                </c:pt>
                <c:pt idx="387">
                  <c:v>-4.2165591777868494E-3</c:v>
                </c:pt>
                <c:pt idx="388">
                  <c:v>-4.2172430457247945E-3</c:v>
                </c:pt>
                <c:pt idx="389">
                  <c:v>-4.2179371944274235E-3</c:v>
                </c:pt>
                <c:pt idx="390">
                  <c:v>-4.2200770881368754E-3</c:v>
                </c:pt>
                <c:pt idx="391">
                  <c:v>-4.2207869592929548E-3</c:v>
                </c:pt>
                <c:pt idx="392">
                  <c:v>-4.2214817141900118E-3</c:v>
                </c:pt>
                <c:pt idx="393">
                  <c:v>-4.2221613532177349E-3</c:v>
                </c:pt>
                <c:pt idx="394">
                  <c:v>-4.2228258773623351E-3</c:v>
                </c:pt>
                <c:pt idx="395">
                  <c:v>-4.2247287674015421E-3</c:v>
                </c:pt>
                <c:pt idx="396">
                  <c:v>-4.225332839073892E-3</c:v>
                </c:pt>
                <c:pt idx="397">
                  <c:v>-4.2259217996288845E-3</c:v>
                </c:pt>
                <c:pt idx="398">
                  <c:v>-4.2264956492920058E-3</c:v>
                </c:pt>
                <c:pt idx="399">
                  <c:v>-4.2270543894029622E-3</c:v>
                </c:pt>
                <c:pt idx="400">
                  <c:v>-4.2286399582042167E-3</c:v>
                </c:pt>
                <c:pt idx="401">
                  <c:v>-4.2291382662827948E-3</c:v>
                </c:pt>
                <c:pt idx="402">
                  <c:v>-4.2296214683120725E-3</c:v>
                </c:pt>
                <c:pt idx="403">
                  <c:v>-4.2300895649506343E-3</c:v>
                </c:pt>
                <c:pt idx="404">
                  <c:v>-4.2305425567770172E-3</c:v>
                </c:pt>
                <c:pt idx="405">
                  <c:v>-4.2325809719617746E-3</c:v>
                </c:pt>
                <c:pt idx="406">
                  <c:v>-4.2329433509634695E-3</c:v>
                </c:pt>
                <c:pt idx="407">
                  <c:v>-4.2332906305757589E-3</c:v>
                </c:pt>
                <c:pt idx="408">
                  <c:v>-4.2345287674548926E-3</c:v>
                </c:pt>
                <c:pt idx="409">
                  <c:v>-4.2348005600935101E-3</c:v>
                </c:pt>
                <c:pt idx="410">
                  <c:v>-4.2350572574465506E-3</c:v>
                </c:pt>
                <c:pt idx="411">
                  <c:v>-4.2352988601228603E-3</c:v>
                </c:pt>
                <c:pt idx="412">
                  <c:v>-4.2359331086739838E-3</c:v>
                </c:pt>
                <c:pt idx="413">
                  <c:v>-4.2361143406656199E-3</c:v>
                </c:pt>
                <c:pt idx="414">
                  <c:v>-4.2362804816501454E-3</c:v>
                </c:pt>
                <c:pt idx="415">
                  <c:v>-4.2364315325106316E-3</c:v>
                </c:pt>
                <c:pt idx="416">
                  <c:v>-4.236567493890675E-3</c:v>
                </c:pt>
                <c:pt idx="417">
                  <c:v>-4.2368848483701482E-3</c:v>
                </c:pt>
                <c:pt idx="418">
                  <c:v>-4.2369604591266929E-3</c:v>
                </c:pt>
                <c:pt idx="419">
                  <c:v>-4.2370209838492601E-3</c:v>
                </c:pt>
                <c:pt idx="420">
                  <c:v>-4.2370664234567812E-3</c:v>
                </c:pt>
                <c:pt idx="421">
                  <c:v>-4.2370967787066505E-3</c:v>
                </c:pt>
                <c:pt idx="422">
                  <c:v>-4.2370973444117999E-3</c:v>
                </c:pt>
                <c:pt idx="423">
                  <c:v>-4.2370673689254845E-3</c:v>
                </c:pt>
                <c:pt idx="424">
                  <c:v>-4.237022312385097E-3</c:v>
                </c:pt>
                <c:pt idx="425">
                  <c:v>-4.2369621757837317E-3</c:v>
                </c:pt>
                <c:pt idx="426">
                  <c:v>-4.2368869595563741E-3</c:v>
                </c:pt>
                <c:pt idx="427">
                  <c:v>-4.2365708413590886E-3</c:v>
                </c:pt>
                <c:pt idx="428">
                  <c:v>-4.2364353143079514E-3</c:v>
                </c:pt>
                <c:pt idx="429">
                  <c:v>-4.2362847113480706E-3</c:v>
                </c:pt>
                <c:pt idx="430">
                  <c:v>-4.2361190331492438E-3</c:v>
                </c:pt>
                <c:pt idx="431">
                  <c:v>-4.2359382803407453E-3</c:v>
                </c:pt>
                <c:pt idx="432">
                  <c:v>-4.2353055818930008E-3</c:v>
                </c:pt>
                <c:pt idx="433">
                  <c:v>-4.2350645378801399E-3</c:v>
                </c:pt>
                <c:pt idx="434">
                  <c:v>-4.2348084229907323E-3</c:v>
                </c:pt>
                <c:pt idx="435">
                  <c:v>-4.2345372377303736E-3</c:v>
                </c:pt>
                <c:pt idx="436">
                  <c:v>-4.2342509826051034E-3</c:v>
                </c:pt>
                <c:pt idx="437">
                  <c:v>-4.2333018068961836E-3</c:v>
                </c:pt>
                <c:pt idx="438">
                  <c:v>-4.2329552805295823E-3</c:v>
                </c:pt>
                <c:pt idx="439">
                  <c:v>-4.2325936877679604E-3</c:v>
                </c:pt>
                <c:pt idx="440">
                  <c:v>-4.2322170295898687E-3</c:v>
                </c:pt>
                <c:pt idx="441">
                  <c:v>-4.2318253066150335E-3</c:v>
                </c:pt>
                <c:pt idx="442">
                  <c:v>-4.2305597559331165E-3</c:v>
                </c:pt>
                <c:pt idx="443">
                  <c:v>-4.2301077807114229E-3</c:v>
                </c:pt>
                <c:pt idx="444">
                  <c:v>-4.2296407442590223E-3</c:v>
                </c:pt>
                <c:pt idx="445">
                  <c:v>-4.2291586470325493E-3</c:v>
                </c:pt>
                <c:pt idx="446">
                  <c:v>-4.2286614898457975E-3</c:v>
                </c:pt>
                <c:pt idx="447">
                  <c:v>-4.2270796656989074E-3</c:v>
                </c:pt>
                <c:pt idx="448">
                  <c:v>-4.2265222754046539E-3</c:v>
                </c:pt>
                <c:pt idx="449">
                  <c:v>-4.2259498287322561E-3</c:v>
                </c:pt>
                <c:pt idx="450">
                  <c:v>-4.2253623262528128E-3</c:v>
                </c:pt>
                <c:pt idx="451">
                  <c:v>-4.2247581354779573E-3</c:v>
                </c:pt>
                <c:pt idx="452">
                  <c:v>-4.2228013498301076E-3</c:v>
                </c:pt>
                <c:pt idx="453">
                  <c:v>-4.2220993877190027E-3</c:v>
                </c:pt>
                <c:pt idx="454">
                  <c:v>-4.2213725770394728E-3</c:v>
                </c:pt>
                <c:pt idx="455">
                  <c:v>-4.2206209191304467E-3</c:v>
                </c:pt>
                <c:pt idx="456">
                  <c:v>-4.219844415209395E-3</c:v>
                </c:pt>
                <c:pt idx="457">
                  <c:v>-4.2173658374908829E-3</c:v>
                </c:pt>
                <c:pt idx="458">
                  <c:v>-4.2164899599478334E-3</c:v>
                </c:pt>
                <c:pt idx="459">
                  <c:v>-4.2155892418554997E-3</c:v>
                </c:pt>
                <c:pt idx="460">
                  <c:v>-4.2146636841812191E-3</c:v>
                </c:pt>
                <c:pt idx="461">
                  <c:v>-4.2137132879704886E-3</c:v>
                </c:pt>
                <c:pt idx="462">
                  <c:v>-4.2107130797389702E-3</c:v>
                </c:pt>
                <c:pt idx="463">
                  <c:v>-4.2096633407537887E-3</c:v>
                </c:pt>
                <c:pt idx="464">
                  <c:v>-4.2085887685902046E-3</c:v>
                </c:pt>
                <c:pt idx="465">
                  <c:v>-4.2074893644418188E-3</c:v>
                </c:pt>
                <c:pt idx="466">
                  <c:v>-4.2063651294204085E-3</c:v>
                </c:pt>
                <c:pt idx="467">
                  <c:v>-4.2028434498129208E-3</c:v>
                </c:pt>
                <c:pt idx="468">
                  <c:v>-4.2016199018654055E-3</c:v>
                </c:pt>
                <c:pt idx="469">
                  <c:v>-4.2003715284181231E-3</c:v>
                </c:pt>
                <c:pt idx="470">
                  <c:v>-4.1990983304921459E-3</c:v>
                </c:pt>
                <c:pt idx="471">
                  <c:v>-4.1923600094209146E-3</c:v>
                </c:pt>
                <c:pt idx="472">
                  <c:v>-4.1909378864057878E-3</c:v>
                </c:pt>
                <c:pt idx="473">
                  <c:v>-4.1894909460097329E-3</c:v>
                </c:pt>
                <c:pt idx="474">
                  <c:v>-4.1880191895576901E-3</c:v>
                </c:pt>
                <c:pt idx="475">
                  <c:v>-4.1834550334254317E-3</c:v>
                </c:pt>
                <c:pt idx="476">
                  <c:v>-4.1818840224594478E-3</c:v>
                </c:pt>
                <c:pt idx="477">
                  <c:v>-4.1802882006017894E-3</c:v>
                </c:pt>
                <c:pt idx="478">
                  <c:v>-4.1786675686091845E-3</c:v>
                </c:pt>
                <c:pt idx="479">
                  <c:v>-4.1770221276742348E-3</c:v>
                </c:pt>
                <c:pt idx="480">
                  <c:v>-4.1719369606864065E-3</c:v>
                </c:pt>
                <c:pt idx="481">
                  <c:v>-4.1701922935232227E-3</c:v>
                </c:pt>
                <c:pt idx="482">
                  <c:v>-4.1684228225182807E-3</c:v>
                </c:pt>
                <c:pt idx="483">
                  <c:v>-4.1666285485337795E-3</c:v>
                </c:pt>
                <c:pt idx="484">
                  <c:v>-4.1648094724313633E-3</c:v>
                </c:pt>
                <c:pt idx="485">
                  <c:v>-4.1592034420327995E-3</c:v>
                </c:pt>
                <c:pt idx="486">
                  <c:v>-4.1572851677074141E-3</c:v>
                </c:pt>
                <c:pt idx="487">
                  <c:v>-4.1553420963792442E-3</c:v>
                </c:pt>
                <c:pt idx="488">
                  <c:v>-4.1533742287791497E-3</c:v>
                </c:pt>
                <c:pt idx="489">
                  <c:v>-4.151381565954626E-3</c:v>
                </c:pt>
                <c:pt idx="490">
                  <c:v>-4.1452548165823444E-3</c:v>
                </c:pt>
                <c:pt idx="491">
                  <c:v>-4.1410463586869506E-3</c:v>
                </c:pt>
                <c:pt idx="492">
                  <c:v>-4.138904945137023E-3</c:v>
                </c:pt>
                <c:pt idx="493">
                  <c:v>-4.136738743086732E-3</c:v>
                </c:pt>
                <c:pt idx="494">
                  <c:v>-4.1300914155744106E-3</c:v>
                </c:pt>
                <c:pt idx="495">
                  <c:v>-4.1278260689956436E-3</c:v>
                </c:pt>
                <c:pt idx="496">
                  <c:v>-4.1255359385442558E-3</c:v>
                </c:pt>
                <c:pt idx="497">
                  <c:v>-4.123221025403967E-3</c:v>
                </c:pt>
                <c:pt idx="498">
                  <c:v>-4.1208813301977232E-3</c:v>
                </c:pt>
                <c:pt idx="499">
                  <c:v>-4.1137135620166188E-3</c:v>
                </c:pt>
                <c:pt idx="500">
                  <c:v>-4.1112747482511258E-3</c:v>
                </c:pt>
                <c:pt idx="501">
                  <c:v>-4.1088111570235508E-3</c:v>
                </c:pt>
                <c:pt idx="502">
                  <c:v>-4.1063227891459109E-3</c:v>
                </c:pt>
                <c:pt idx="503">
                  <c:v>-4.1038096459853346E-3</c:v>
                </c:pt>
                <c:pt idx="504">
                  <c:v>-4.0961215712855825E-3</c:v>
                </c:pt>
                <c:pt idx="505">
                  <c:v>-4.0935093342996387E-3</c:v>
                </c:pt>
                <c:pt idx="506">
                  <c:v>-4.0908723264510005E-3</c:v>
                </c:pt>
                <c:pt idx="507">
                  <c:v>-4.0882105481007125E-3</c:v>
                </c:pt>
                <c:pt idx="508">
                  <c:v>-4.0855240004439297E-3</c:v>
                </c:pt>
                <c:pt idx="509">
                  <c:v>-4.0773157494590206E-3</c:v>
                </c:pt>
                <c:pt idx="510">
                  <c:v>-4.0745301327497208E-3</c:v>
                </c:pt>
                <c:pt idx="511">
                  <c:v>-4.0717197508909342E-3</c:v>
                </c:pt>
                <c:pt idx="512">
                  <c:v>-4.0688846047485239E-3</c:v>
                </c:pt>
                <c:pt idx="513">
                  <c:v>-4.0660246953059254E-3</c:v>
                </c:pt>
                <c:pt idx="514">
                  <c:v>-4.0573002323599505E-3</c:v>
                </c:pt>
                <c:pt idx="515">
                  <c:v>-4.0543643044409494E-3</c:v>
                </c:pt>
                <c:pt idx="516">
                  <c:v>-4.0514266432325474E-3</c:v>
                </c:pt>
                <c:pt idx="517">
                  <c:v>-4.0484872489982004E-3</c:v>
                </c:pt>
                <c:pt idx="518">
                  <c:v>-4.0455461216828414E-3</c:v>
                </c:pt>
                <c:pt idx="519">
                  <c:v>-4.0367123403816096E-3</c:v>
                </c:pt>
                <c:pt idx="520">
                  <c:v>-4.0337642802705798E-3</c:v>
                </c:pt>
                <c:pt idx="521">
                  <c:v>-4.0308144869635187E-3</c:v>
                </c:pt>
                <c:pt idx="522">
                  <c:v>-4.0278629605627891E-3</c:v>
                </c:pt>
                <c:pt idx="523">
                  <c:v>-4.024909700814816E-3</c:v>
                </c:pt>
                <c:pt idx="524">
                  <c:v>-4.0160395222894607E-3</c:v>
                </c:pt>
                <c:pt idx="525">
                  <c:v>-4.0130793296361267E-3</c:v>
                </c:pt>
                <c:pt idx="526">
                  <c:v>-4.0101174039171017E-3</c:v>
                </c:pt>
                <c:pt idx="527">
                  <c:v>-4.0071537445995897E-3</c:v>
                </c:pt>
                <c:pt idx="528">
                  <c:v>-4.0041883521855226E-3</c:v>
                </c:pt>
                <c:pt idx="529">
                  <c:v>-3.9952817751761627E-3</c:v>
                </c:pt>
                <c:pt idx="530">
                  <c:v>-3.9923094494661582E-3</c:v>
                </c:pt>
                <c:pt idx="531">
                  <c:v>-3.9893353905031681E-3</c:v>
                </c:pt>
                <c:pt idx="532">
                  <c:v>-3.9863595982317923E-3</c:v>
                </c:pt>
                <c:pt idx="533">
                  <c:v>-3.9833820725969638E-3</c:v>
                </c:pt>
                <c:pt idx="534">
                  <c:v>-3.9744390954760123E-3</c:v>
                </c:pt>
                <c:pt idx="535">
                  <c:v>-3.9714546362323855E-3</c:v>
                </c:pt>
                <c:pt idx="536">
                  <c:v>-3.9684684436274154E-3</c:v>
                </c:pt>
                <c:pt idx="537">
                  <c:v>-3.9654805178050978E-3</c:v>
                </c:pt>
                <c:pt idx="538">
                  <c:v>-3.9624908583116847E-3</c:v>
                </c:pt>
                <c:pt idx="539">
                  <c:v>-3.9535114793628479E-3</c:v>
                </c:pt>
                <c:pt idx="540">
                  <c:v>-3.9505148862646333E-3</c:v>
                </c:pt>
                <c:pt idx="541">
                  <c:v>-3.9475165594179407E-3</c:v>
                </c:pt>
                <c:pt idx="542">
                  <c:v>-3.9445164991256387E-3</c:v>
                </c:pt>
                <c:pt idx="543">
                  <c:v>-3.9415147054516764E-3</c:v>
                </c:pt>
                <c:pt idx="544">
                  <c:v>-3.9324989229492235E-3</c:v>
                </c:pt>
                <c:pt idx="545">
                  <c:v>-3.9294901950357453E-3</c:v>
                </c:pt>
                <c:pt idx="546">
                  <c:v>-3.9264797336228119E-3</c:v>
                </c:pt>
                <c:pt idx="547">
                  <c:v>-3.9234675382967543E-3</c:v>
                </c:pt>
                <c:pt idx="548">
                  <c:v>-3.9204536096789644E-3</c:v>
                </c:pt>
                <c:pt idx="549">
                  <c:v>-3.9114014216096171E-3</c:v>
                </c:pt>
                <c:pt idx="550">
                  <c:v>-3.9083805582749154E-3</c:v>
                </c:pt>
                <c:pt idx="551">
                  <c:v>-3.9053579614110046E-3</c:v>
                </c:pt>
                <c:pt idx="552">
                  <c:v>-3.9023336305243905E-3</c:v>
                </c:pt>
                <c:pt idx="553">
                  <c:v>-3.899307566235688E-3</c:v>
                </c:pt>
                <c:pt idx="554">
                  <c:v>-3.8902189705772861E-3</c:v>
                </c:pt>
                <c:pt idx="555">
                  <c:v>-3.8871859709339596E-3</c:v>
                </c:pt>
                <c:pt idx="556">
                  <c:v>-3.8841512378903209E-3</c:v>
                </c:pt>
                <c:pt idx="557">
                  <c:v>-3.88111477079367E-3</c:v>
                </c:pt>
                <c:pt idx="558">
                  <c:v>-3.8780765699863995E-3</c:v>
                </c:pt>
                <c:pt idx="559">
                  <c:v>-3.8689515641878724E-3</c:v>
                </c:pt>
                <c:pt idx="560">
                  <c:v>-3.8659064279028543E-3</c:v>
                </c:pt>
                <c:pt idx="561">
                  <c:v>-3.8628595576691849E-3</c:v>
                </c:pt>
                <c:pt idx="562">
                  <c:v>-3.8598109535903369E-3</c:v>
                </c:pt>
                <c:pt idx="563">
                  <c:v>-3.8567606154913392E-3</c:v>
                </c:pt>
                <c:pt idx="564">
                  <c:v>-3.8475991972733992E-3</c:v>
                </c:pt>
                <c:pt idx="565">
                  <c:v>-3.8445419232936429E-3</c:v>
                </c:pt>
                <c:pt idx="566">
                  <c:v>-3.841482915174721E-3</c:v>
                </c:pt>
                <c:pt idx="567">
                  <c:v>-3.8384221731396773E-3</c:v>
                </c:pt>
                <c:pt idx="568">
                  <c:v>-3.8353596968538906E-3</c:v>
                </c:pt>
                <c:pt idx="569">
                  <c:v>-3.8261618637676076E-3</c:v>
                </c:pt>
                <c:pt idx="570">
                  <c:v>-3.823092450997434E-3</c:v>
                </c:pt>
                <c:pt idx="571">
                  <c:v>-3.8200213041756914E-3</c:v>
                </c:pt>
                <c:pt idx="572">
                  <c:v>-3.8169484232468687E-3</c:v>
                </c:pt>
                <c:pt idx="573">
                  <c:v>-3.8138738079958046E-3</c:v>
                </c:pt>
                <c:pt idx="574">
                  <c:v>-3.8046395569062419E-3</c:v>
                </c:pt>
                <c:pt idx="575">
                  <c:v>-3.8015580047641162E-3</c:v>
                </c:pt>
                <c:pt idx="576">
                  <c:v>-3.7984747182198131E-3</c:v>
                </c:pt>
                <c:pt idx="577">
                  <c:v>-3.7953896973770274E-3</c:v>
                </c:pt>
                <c:pt idx="578">
                  <c:v>-3.7923029421399468E-3</c:v>
                </c:pt>
                <c:pt idx="579">
                  <c:v>-3.7830323518864839E-3</c:v>
                </c:pt>
                <c:pt idx="580">
                  <c:v>-3.7799391483075429E-3</c:v>
                </c:pt>
                <c:pt idx="581">
                  <c:v>-3.7768446995346538E-3</c:v>
                </c:pt>
                <c:pt idx="582">
                  <c:v>-3.7737490055960166E-3</c:v>
                </c:pt>
                <c:pt idx="583">
                  <c:v>-3.7706520662411647E-3</c:v>
                </c:pt>
                <c:pt idx="584">
                  <c:v>-3.7613537760415872E-3</c:v>
                </c:pt>
                <c:pt idx="585">
                  <c:v>-3.7582518550268729E-3</c:v>
                </c:pt>
                <c:pt idx="586">
                  <c:v>-3.7551486885775143E-3</c:v>
                </c:pt>
                <c:pt idx="587">
                  <c:v>-3.7520442766427742E-3</c:v>
                </c:pt>
                <c:pt idx="588">
                  <c:v>-3.7489386192112173E-3</c:v>
                </c:pt>
                <c:pt idx="589">
                  <c:v>-3.7396141727441545E-3</c:v>
                </c:pt>
                <c:pt idx="590">
                  <c:v>-3.7365035324924412E-3</c:v>
                </c:pt>
                <c:pt idx="591">
                  <c:v>-3.7333916465267514E-3</c:v>
                </c:pt>
                <c:pt idx="592">
                  <c:v>-3.7302785146762218E-3</c:v>
                </c:pt>
                <c:pt idx="593">
                  <c:v>-3.7271641372477182E-3</c:v>
                </c:pt>
                <c:pt idx="594">
                  <c:v>-3.7178135287507796E-3</c:v>
                </c:pt>
                <c:pt idx="595">
                  <c:v>-3.7146941674213174E-3</c:v>
                </c:pt>
                <c:pt idx="596">
                  <c:v>-3.7115735600179445E-3</c:v>
                </c:pt>
                <c:pt idx="597">
                  <c:v>-3.7084517064494005E-3</c:v>
                </c:pt>
                <c:pt idx="598">
                  <c:v>-3.7053286068235991E-3</c:v>
                </c:pt>
                <c:pt idx="599">
                  <c:v>-3.6959518307289052E-3</c:v>
                </c:pt>
                <c:pt idx="600">
                  <c:v>-3.6928237463591529E-3</c:v>
                </c:pt>
                <c:pt idx="601">
                  <c:v>-3.6896944153561595E-3</c:v>
                </c:pt>
                <c:pt idx="602">
                  <c:v>-3.6865638381862187E-3</c:v>
                </c:pt>
                <c:pt idx="603">
                  <c:v>-3.6834320145189281E-3</c:v>
                </c:pt>
                <c:pt idx="604">
                  <c:v>-3.6740290647758744E-3</c:v>
                </c:pt>
                <c:pt idx="605">
                  <c:v>-3.6708922551226264E-3</c:v>
                </c:pt>
                <c:pt idx="606">
                  <c:v>-3.6677541988739959E-3</c:v>
                </c:pt>
                <c:pt idx="607">
                  <c:v>-3.6646148959386116E-3</c:v>
                </c:pt>
                <c:pt idx="608">
                  <c:v>-3.6614743463049271E-3</c:v>
                </c:pt>
                <c:pt idx="609">
                  <c:v>-3.652045216817501E-3</c:v>
                </c:pt>
                <c:pt idx="610">
                  <c:v>-3.6488996799944884E-3</c:v>
                </c:pt>
                <c:pt idx="611">
                  <c:v>-3.6457528962152708E-3</c:v>
                </c:pt>
                <c:pt idx="612">
                  <c:v>-3.6426048654684129E-3</c:v>
                </c:pt>
                <c:pt idx="613">
                  <c:v>-3.6394555878216384E-3</c:v>
                </c:pt>
                <c:pt idx="614">
                  <c:v>-3.6300002723297364E-3</c:v>
                </c:pt>
                <c:pt idx="615">
                  <c:v>-3.6268460063689778E-3</c:v>
                </c:pt>
                <c:pt idx="616">
                  <c:v>-3.6236904930115887E-3</c:v>
                </c:pt>
                <c:pt idx="617">
                  <c:v>-3.6205337325639908E-3</c:v>
                </c:pt>
                <c:pt idx="618">
                  <c:v>-3.6173757246973359E-3</c:v>
                </c:pt>
                <c:pt idx="619">
                  <c:v>-3.6078942170150174E-3</c:v>
                </c:pt>
                <c:pt idx="620">
                  <c:v>-3.6047312195488512E-3</c:v>
                </c:pt>
                <c:pt idx="621">
                  <c:v>-3.601566974643533E-3</c:v>
                </c:pt>
                <c:pt idx="622">
                  <c:v>-3.5984014820882315E-3</c:v>
                </c:pt>
                <c:pt idx="623">
                  <c:v>-3.5952347420701303E-3</c:v>
                </c:pt>
                <c:pt idx="624">
                  <c:v>-3.5857270358072846E-3</c:v>
                </c:pt>
                <c:pt idx="625">
                  <c:v>-3.5825553046653358E-3</c:v>
                </c:pt>
                <c:pt idx="626">
                  <c:v>-3.5793823260413804E-3</c:v>
                </c:pt>
                <c:pt idx="627">
                  <c:v>-3.5762080994856671E-3</c:v>
                </c:pt>
                <c:pt idx="628">
                  <c:v>-3.5730326248269995E-3</c:v>
                </c:pt>
                <c:pt idx="629">
                  <c:v>-3.5634987134687268E-3</c:v>
                </c:pt>
                <c:pt idx="630">
                  <c:v>-3.5603182467177641E-3</c:v>
                </c:pt>
                <c:pt idx="631">
                  <c:v>-3.5571365319241322E-3</c:v>
                </c:pt>
                <c:pt idx="632">
                  <c:v>-3.5539535690360946E-3</c:v>
                </c:pt>
                <c:pt idx="633">
                  <c:v>-3.5507693578427091E-3</c:v>
                </c:pt>
                <c:pt idx="634">
                  <c:v>-3.5412092344307977E-3</c:v>
                </c:pt>
                <c:pt idx="635">
                  <c:v>-3.5380200300165754E-3</c:v>
                </c:pt>
                <c:pt idx="636">
                  <c:v>-3.5348295767994031E-3</c:v>
                </c:pt>
                <c:pt idx="637">
                  <c:v>-3.5316378752454636E-3</c:v>
                </c:pt>
                <c:pt idx="638">
                  <c:v>-3.5284449253426553E-3</c:v>
                </c:pt>
                <c:pt idx="639">
                  <c:v>-3.5188585833120234E-3</c:v>
                </c:pt>
                <c:pt idx="640">
                  <c:v>-3.5156606385011724E-3</c:v>
                </c:pt>
                <c:pt idx="641">
                  <c:v>-3.5124614449634217E-3</c:v>
                </c:pt>
                <c:pt idx="642">
                  <c:v>-3.509261002647035E-3</c:v>
                </c:pt>
                <c:pt idx="643">
                  <c:v>-3.5060593113009908E-3</c:v>
                </c:pt>
                <c:pt idx="644">
                  <c:v>-3.4964501970276007E-3</c:v>
                </c:pt>
                <c:pt idx="645">
                  <c:v>-3.4932642291520821E-3</c:v>
                </c:pt>
                <c:pt idx="646">
                  <c:v>-3.4900977306489001E-3</c:v>
                </c:pt>
                <c:pt idx="647">
                  <c:v>-3.4869507012650347E-3</c:v>
                </c:pt>
                <c:pt idx="648">
                  <c:v>-3.483823140029374E-3</c:v>
                </c:pt>
                <c:pt idx="649">
                  <c:v>-3.4745572598261498E-3</c:v>
                </c:pt>
                <c:pt idx="650">
                  <c:v>-3.4715075653536376E-3</c:v>
                </c:pt>
                <c:pt idx="651">
                  <c:v>-3.4684773359094923E-3</c:v>
                </c:pt>
                <c:pt idx="652">
                  <c:v>-3.4654665707148924E-3</c:v>
                </c:pt>
                <c:pt idx="653">
                  <c:v>-3.4624752695077143E-3</c:v>
                </c:pt>
                <c:pt idx="654">
                  <c:v>-3.4536181413566958E-3</c:v>
                </c:pt>
                <c:pt idx="655">
                  <c:v>-3.4507046884759696E-3</c:v>
                </c:pt>
                <c:pt idx="656">
                  <c:v>-3.4478106960242894E-3</c:v>
                </c:pt>
                <c:pt idx="657">
                  <c:v>-3.4449361636529341E-3</c:v>
                </c:pt>
                <c:pt idx="658">
                  <c:v>-3.4420810902950905E-3</c:v>
                </c:pt>
                <c:pt idx="659">
                  <c:v>-3.4336326191940492E-3</c:v>
                </c:pt>
                <c:pt idx="660">
                  <c:v>-3.4253592575890224E-3</c:v>
                </c:pt>
                <c:pt idx="661">
                  <c:v>-3.422640380782882E-3</c:v>
                </c:pt>
                <c:pt idx="662">
                  <c:v>-3.4146004717052758E-3</c:v>
                </c:pt>
                <c:pt idx="663">
                  <c:v>-3.409337794258116E-3</c:v>
                </c:pt>
                <c:pt idx="664">
                  <c:v>-3.4067356319019693E-3</c:v>
                </c:pt>
                <c:pt idx="665">
                  <c:v>-3.4041529198374221E-3</c:v>
                </c:pt>
                <c:pt idx="666">
                  <c:v>-3.3965214786493281E-3</c:v>
                </c:pt>
                <c:pt idx="667">
                  <c:v>-3.3940165610418793E-3</c:v>
                </c:pt>
                <c:pt idx="668">
                  <c:v>-3.3915310906048601E-3</c:v>
                </c:pt>
                <c:pt idx="669">
                  <c:v>-3.3890650663283006E-3</c:v>
                </c:pt>
                <c:pt idx="670">
                  <c:v>-3.3866184878381667E-3</c:v>
                </c:pt>
                <c:pt idx="671">
                  <c:v>-3.3793954203044096E-3</c:v>
                </c:pt>
                <c:pt idx="672">
                  <c:v>-3.3770266182914233E-3</c:v>
                </c:pt>
                <c:pt idx="673">
                  <c:v>-3.3746772589039464E-3</c:v>
                </c:pt>
                <c:pt idx="674">
                  <c:v>-3.3723473413630467E-3</c:v>
                </c:pt>
                <c:pt idx="675">
                  <c:v>-3.3700368650477763E-3</c:v>
                </c:pt>
                <c:pt idx="676">
                  <c:v>-3.3632220773498478E-3</c:v>
                </c:pt>
                <c:pt idx="677">
                  <c:v>-3.3609893596263651E-3</c:v>
                </c:pt>
                <c:pt idx="678">
                  <c:v>-3.3587760802058497E-3</c:v>
                </c:pt>
                <c:pt idx="679">
                  <c:v>-3.3565822379044707E-3</c:v>
                </c:pt>
                <c:pt idx="680">
                  <c:v>-3.3544078326894766E-3</c:v>
                </c:pt>
                <c:pt idx="681">
                  <c:v>-3.3480012309097251E-3</c:v>
                </c:pt>
                <c:pt idx="682">
                  <c:v>-3.3459045665359399E-3</c:v>
                </c:pt>
                <c:pt idx="683">
                  <c:v>-3.3438273355300696E-3</c:v>
                </c:pt>
                <c:pt idx="684">
                  <c:v>-3.3417695375750345E-3</c:v>
                </c:pt>
                <c:pt idx="685">
                  <c:v>-3.3397311718748046E-3</c:v>
                </c:pt>
                <c:pt idx="686">
                  <c:v>-3.333732662793798E-3</c:v>
                </c:pt>
                <c:pt idx="687">
                  <c:v>-3.3317720200403134E-3</c:v>
                </c:pt>
                <c:pt idx="688">
                  <c:v>-3.329830806460099E-3</c:v>
                </c:pt>
                <c:pt idx="689">
                  <c:v>-3.3279090215286855E-3</c:v>
                </c:pt>
                <c:pt idx="690">
                  <c:v>-3.3260066644821284E-3</c:v>
                </c:pt>
                <c:pt idx="691">
                  <c:v>-3.3204161539862609E-3</c:v>
                </c:pt>
                <c:pt idx="692">
                  <c:v>-3.3185915017687195E-3</c:v>
                </c:pt>
                <c:pt idx="693">
                  <c:v>-3.3167862746330545E-3</c:v>
                </c:pt>
                <c:pt idx="694">
                  <c:v>-3.315000471330154E-3</c:v>
                </c:pt>
                <c:pt idx="695">
                  <c:v>-3.3132340914860947E-3</c:v>
                </c:pt>
                <c:pt idx="696">
                  <c:v>-3.3080514859232801E-3</c:v>
                </c:pt>
                <c:pt idx="697">
                  <c:v>-3.3063627932845563E-3</c:v>
                </c:pt>
                <c:pt idx="698">
                  <c:v>-3.3046935209433137E-3</c:v>
                </c:pt>
                <c:pt idx="699">
                  <c:v>-3.3030436680010489E-3</c:v>
                </c:pt>
                <c:pt idx="700">
                  <c:v>-3.3014132341554481E-3</c:v>
                </c:pt>
                <c:pt idx="701">
                  <c:v>-3.2966384398179782E-3</c:v>
                </c:pt>
                <c:pt idx="702">
                  <c:v>-3.2950856751319257E-3</c:v>
                </c:pt>
                <c:pt idx="703">
                  <c:v>-3.2935523263812883E-3</c:v>
                </c:pt>
                <c:pt idx="704">
                  <c:v>-3.2920383925798546E-3</c:v>
                </c:pt>
                <c:pt idx="705">
                  <c:v>-3.2905438734572856E-3</c:v>
                </c:pt>
                <c:pt idx="706">
                  <c:v>-3.2861671123555203E-3</c:v>
                </c:pt>
                <c:pt idx="707">
                  <c:v>-3.284692144196244E-3</c:v>
                </c:pt>
                <c:pt idx="708">
                  <c:v>-3.2831784888610605E-3</c:v>
                </c:pt>
                <c:pt idx="709">
                  <c:v>-3.2816261472499164E-3</c:v>
                </c:pt>
                <c:pt idx="710">
                  <c:v>-3.2800351209353318E-3</c:v>
                </c:pt>
                <c:pt idx="711">
                  <c:v>-3.2750299445696296E-3</c:v>
                </c:pt>
                <c:pt idx="712">
                  <c:v>-3.2732841908149624E-3</c:v>
                </c:pt>
                <c:pt idx="713">
                  <c:v>-3.2714997580413074E-3</c:v>
                </c:pt>
                <c:pt idx="714">
                  <c:v>-3.2696766476748573E-3</c:v>
                </c:pt>
                <c:pt idx="715">
                  <c:v>-3.2678148604997626E-3</c:v>
                </c:pt>
                <c:pt idx="716">
                  <c:v>-3.2619974518348638E-3</c:v>
                </c:pt>
                <c:pt idx="717">
                  <c:v>-3.2599809701587823E-3</c:v>
                </c:pt>
                <c:pt idx="718">
                  <c:v>-3.2579258177195536E-3</c:v>
                </c:pt>
                <c:pt idx="719">
                  <c:v>-3.2558319955535708E-3</c:v>
                </c:pt>
                <c:pt idx="720">
                  <c:v>-3.2536995048518813E-3</c:v>
                </c:pt>
                <c:pt idx="721">
                  <c:v>-3.2470700326209245E-3</c:v>
                </c:pt>
                <c:pt idx="722">
                  <c:v>-3.2447828786826838E-3</c:v>
                </c:pt>
                <c:pt idx="723">
                  <c:v>-3.2424570618984072E-3</c:v>
                </c:pt>
                <c:pt idx="724">
                  <c:v>-3.2400925828746097E-3</c:v>
                </c:pt>
                <c:pt idx="725">
                  <c:v>-3.2376894432094572E-3</c:v>
                </c:pt>
                <c:pt idx="726">
                  <c:v>-3.2302480692278923E-3</c:v>
                </c:pt>
                <c:pt idx="727">
                  <c:v>-3.2276902963948029E-3</c:v>
                </c:pt>
                <c:pt idx="728">
                  <c:v>-3.2250938681346319E-3</c:v>
                </c:pt>
                <c:pt idx="729">
                  <c:v>-3.2224587851420461E-3</c:v>
                </c:pt>
                <c:pt idx="730">
                  <c:v>-3.219785048625412E-3</c:v>
                </c:pt>
                <c:pt idx="731">
                  <c:v>-3.2115319275557441E-3</c:v>
                </c:pt>
                <c:pt idx="732">
                  <c:v>-3.2087035868639813E-3</c:v>
                </c:pt>
                <c:pt idx="733">
                  <c:v>-3.2058365976262992E-3</c:v>
                </c:pt>
                <c:pt idx="734">
                  <c:v>-3.2029309603467393E-3</c:v>
                </c:pt>
                <c:pt idx="735">
                  <c:v>-3.1999866769593099E-3</c:v>
                </c:pt>
                <c:pt idx="736">
                  <c:v>-3.1909219560353197E-3</c:v>
                </c:pt>
                <c:pt idx="737">
                  <c:v>-3.1878230955537656E-3</c:v>
                </c:pt>
                <c:pt idx="738">
                  <c:v>-3.1846855931486617E-3</c:v>
                </c:pt>
                <c:pt idx="739">
                  <c:v>-3.181509449810771E-3</c:v>
                </c:pt>
                <c:pt idx="740">
                  <c:v>-3.1650491504262579E-3</c:v>
                </c:pt>
                <c:pt idx="741">
                  <c:v>-3.1616411800965416E-3</c:v>
                </c:pt>
                <c:pt idx="742">
                  <c:v>-3.1581945753651475E-3</c:v>
                </c:pt>
                <c:pt idx="743">
                  <c:v>-3.1547093364706624E-3</c:v>
                </c:pt>
                <c:pt idx="744">
                  <c:v>-3.144021825646548E-3</c:v>
                </c:pt>
                <c:pt idx="745">
                  <c:v>-3.1403820599195109E-3</c:v>
                </c:pt>
                <c:pt idx="746">
                  <c:v>-3.132986640153157E-3</c:v>
                </c:pt>
                <c:pt idx="747">
                  <c:v>-3.1292309878068192E-3</c:v>
                </c:pt>
                <c:pt idx="748">
                  <c:v>-3.1177322701808619E-3</c:v>
                </c:pt>
                <c:pt idx="749">
                  <c:v>-3.1138221134662247E-3</c:v>
                </c:pt>
                <c:pt idx="750">
                  <c:v>-3.109873332426627E-3</c:v>
                </c:pt>
                <c:pt idx="751">
                  <c:v>-3.1058859279192719E-3</c:v>
                </c:pt>
                <c:pt idx="752">
                  <c:v>-3.1018599007970327E-3</c:v>
                </c:pt>
                <c:pt idx="753">
                  <c:v>-3.0895500904090101E-3</c:v>
                </c:pt>
                <c:pt idx="754">
                  <c:v>-3.0853695797917746E-3</c:v>
                </c:pt>
                <c:pt idx="755">
                  <c:v>-3.0811504499200781E-3</c:v>
                </c:pt>
                <c:pt idx="756">
                  <c:v>-3.0768927015404346E-3</c:v>
                </c:pt>
                <c:pt idx="757">
                  <c:v>-3.072596335514044E-3</c:v>
                </c:pt>
                <c:pt idx="758">
                  <c:v>-3.0594755373939408E-3</c:v>
                </c:pt>
                <c:pt idx="759">
                  <c:v>-3.0550247069560665E-3</c:v>
                </c:pt>
                <c:pt idx="760">
                  <c:v>-3.0505352617971049E-3</c:v>
                </c:pt>
                <c:pt idx="761">
                  <c:v>-3.0460072029909746E-3</c:v>
                </c:pt>
                <c:pt idx="762">
                  <c:v>-3.0414405306508074E-3</c:v>
                </c:pt>
                <c:pt idx="763">
                  <c:v>-3.027508840502291E-3</c:v>
                </c:pt>
                <c:pt idx="764">
                  <c:v>-3.0227877211238541E-3</c:v>
                </c:pt>
                <c:pt idx="765">
                  <c:v>-3.0180279914592267E-3</c:v>
                </c:pt>
                <c:pt idx="766">
                  <c:v>-3.0132296519931323E-3</c:v>
                </c:pt>
                <c:pt idx="767">
                  <c:v>-3.0083927032459323E-3</c:v>
                </c:pt>
                <c:pt idx="768">
                  <c:v>-2.993656984956683E-3</c:v>
                </c:pt>
                <c:pt idx="769">
                  <c:v>-2.9887062725925118E-3</c:v>
                </c:pt>
                <c:pt idx="770">
                  <c:v>-2.9837576211367844E-3</c:v>
                </c:pt>
                <c:pt idx="771">
                  <c:v>-2.9788110301818271E-3</c:v>
                </c:pt>
                <c:pt idx="772">
                  <c:v>-2.9738664993994579E-3</c:v>
                </c:pt>
                <c:pt idx="773">
                  <c:v>-2.9590452669259193E-3</c:v>
                </c:pt>
                <c:pt idx="774">
                  <c:v>-2.9541089750320104E-3</c:v>
                </c:pt>
                <c:pt idx="775">
                  <c:v>-2.9491747423889825E-3</c:v>
                </c:pt>
                <c:pt idx="776">
                  <c:v>-2.9442425684299556E-3</c:v>
                </c:pt>
                <c:pt idx="777">
                  <c:v>-2.9393124533050319E-3</c:v>
                </c:pt>
                <c:pt idx="778">
                  <c:v>-2.9245344568588072E-3</c:v>
                </c:pt>
                <c:pt idx="779">
                  <c:v>-2.9196125738705225E-3</c:v>
                </c:pt>
                <c:pt idx="780">
                  <c:v>-2.9146927481960017E-3</c:v>
                </c:pt>
                <c:pt idx="781">
                  <c:v>-2.9097749797463157E-3</c:v>
                </c:pt>
                <c:pt idx="782">
                  <c:v>-2.9048592682728858E-3</c:v>
                </c:pt>
                <c:pt idx="783">
                  <c:v>-2.8901244733468001E-3</c:v>
                </c:pt>
                <c:pt idx="784">
                  <c:v>-2.8852169872551903E-3</c:v>
                </c:pt>
                <c:pt idx="785">
                  <c:v>-2.8803115571368609E-3</c:v>
                </c:pt>
                <c:pt idx="786">
                  <c:v>-2.8754081823051392E-3</c:v>
                </c:pt>
                <c:pt idx="787">
                  <c:v>-2.8705068632686181E-3</c:v>
                </c:pt>
                <c:pt idx="788">
                  <c:v>-2.8558152346990218E-3</c:v>
                </c:pt>
                <c:pt idx="789">
                  <c:v>-2.8509221342458702E-3</c:v>
                </c:pt>
                <c:pt idx="790">
                  <c:v>-2.8460310880263906E-3</c:v>
                </c:pt>
                <c:pt idx="791">
                  <c:v>-2.8411420957122901E-3</c:v>
                </c:pt>
                <c:pt idx="792">
                  <c:v>-2.8362551568953398E-3</c:v>
                </c:pt>
                <c:pt idx="793">
                  <c:v>-2.8216066606957524E-3</c:v>
                </c:pt>
                <c:pt idx="794">
                  <c:v>-2.8167279344176732E-3</c:v>
                </c:pt>
                <c:pt idx="795">
                  <c:v>-2.8118512605929125E-3</c:v>
                </c:pt>
                <c:pt idx="796">
                  <c:v>-2.8069766391318751E-3</c:v>
                </c:pt>
                <c:pt idx="797">
                  <c:v>-2.8021040696266653E-3</c:v>
                </c:pt>
                <c:pt idx="798">
                  <c:v>-2.7874986712739247E-3</c:v>
                </c:pt>
                <c:pt idx="799">
                  <c:v>-2.782634307821108E-3</c:v>
                </c:pt>
                <c:pt idx="800">
                  <c:v>-2.7777719951596058E-3</c:v>
                </c:pt>
                <c:pt idx="801">
                  <c:v>-2.7729117332000452E-3</c:v>
                </c:pt>
                <c:pt idx="802">
                  <c:v>-2.7680535216537683E-3</c:v>
                </c:pt>
                <c:pt idx="803">
                  <c:v>-2.753491187403645E-3</c:v>
                </c:pt>
                <c:pt idx="804">
                  <c:v>-2.7486411753007145E-3</c:v>
                </c:pt>
                <c:pt idx="805">
                  <c:v>-2.7437932125253806E-3</c:v>
                </c:pt>
                <c:pt idx="806">
                  <c:v>-2.7389472988689212E-3</c:v>
                </c:pt>
                <c:pt idx="807">
                  <c:v>-2.7341034340027104E-3</c:v>
                </c:pt>
                <c:pt idx="808">
                  <c:v>-2.7195841302530832E-3</c:v>
                </c:pt>
                <c:pt idx="809">
                  <c:v>-2.7147484583364134E-3</c:v>
                </c:pt>
                <c:pt idx="810">
                  <c:v>-2.7099148343632251E-3</c:v>
                </c:pt>
                <c:pt idx="811">
                  <c:v>-2.7050832578054962E-3</c:v>
                </c:pt>
                <c:pt idx="812">
                  <c:v>-2.7002537284539496E-3</c:v>
                </c:pt>
                <c:pt idx="813">
                  <c:v>-2.6857774217029506E-3</c:v>
                </c:pt>
                <c:pt idx="814">
                  <c:v>-2.680956079083141E-3</c:v>
                </c:pt>
                <c:pt idx="815">
                  <c:v>-2.6761367828221916E-3</c:v>
                </c:pt>
                <c:pt idx="816">
                  <c:v>-2.6713195322723982E-3</c:v>
                </c:pt>
                <c:pt idx="817">
                  <c:v>-2.6665043274235467E-3</c:v>
                </c:pt>
                <c:pt idx="818">
                  <c:v>-2.6520709846700186E-3</c:v>
                </c:pt>
                <c:pt idx="819">
                  <c:v>-2.6472639603715153E-3</c:v>
                </c:pt>
                <c:pt idx="820">
                  <c:v>-2.6424589805275067E-3</c:v>
                </c:pt>
                <c:pt idx="821">
                  <c:v>-2.6376560452076037E-3</c:v>
                </c:pt>
                <c:pt idx="822">
                  <c:v>-2.632855153843372E-3</c:v>
                </c:pt>
                <c:pt idx="823">
                  <c:v>-2.6184647422674567E-3</c:v>
                </c:pt>
                <c:pt idx="824">
                  <c:v>-2.6136720253087109E-3</c:v>
                </c:pt>
                <c:pt idx="825">
                  <c:v>-2.60888135125803E-3</c:v>
                </c:pt>
                <c:pt idx="826">
                  <c:v>-2.6040927199455499E-3</c:v>
                </c:pt>
                <c:pt idx="827">
                  <c:v>-2.5993061313213106E-3</c:v>
                </c:pt>
                <c:pt idx="828">
                  <c:v>-2.5849586184837348E-3</c:v>
                </c:pt>
                <c:pt idx="829">
                  <c:v>-2.5801801979570271E-3</c:v>
                </c:pt>
                <c:pt idx="830">
                  <c:v>-2.5754038188309236E-3</c:v>
                </c:pt>
                <c:pt idx="831">
                  <c:v>-2.5706294810152741E-3</c:v>
                </c:pt>
                <c:pt idx="832">
                  <c:v>-2.5658571843001354E-3</c:v>
                </c:pt>
                <c:pt idx="833">
                  <c:v>-2.5515520306443884E-3</c:v>
                </c:pt>
                <c:pt idx="834">
                  <c:v>-2.5467848527815917E-3</c:v>
                </c:pt>
                <c:pt idx="835">
                  <c:v>-2.54201667187548E-3</c:v>
                </c:pt>
                <c:pt idx="836">
                  <c:v>-2.5372474879116202E-3</c:v>
                </c:pt>
                <c:pt idx="837">
                  <c:v>-2.5324773006377699E-3</c:v>
                </c:pt>
                <c:pt idx="838">
                  <c:v>-2.5181607164972419E-3</c:v>
                </c:pt>
                <c:pt idx="839">
                  <c:v>-2.5133865138852185E-3</c:v>
                </c:pt>
                <c:pt idx="840">
                  <c:v>-2.5086113071740579E-3</c:v>
                </c:pt>
                <c:pt idx="841">
                  <c:v>-2.5038350958712652E-3</c:v>
                </c:pt>
                <c:pt idx="842">
                  <c:v>-2.4990578802018826E-3</c:v>
                </c:pt>
                <c:pt idx="843">
                  <c:v>-2.4847202035032101E-3</c:v>
                </c:pt>
                <c:pt idx="844">
                  <c:v>-2.4799389675543848E-3</c:v>
                </c:pt>
                <c:pt idx="845">
                  <c:v>-2.4751567260914431E-3</c:v>
                </c:pt>
                <c:pt idx="846">
                  <c:v>-2.4703734792199672E-3</c:v>
                </c:pt>
                <c:pt idx="847">
                  <c:v>-2.4655892263674151E-3</c:v>
                </c:pt>
                <c:pt idx="848">
                  <c:v>-2.4512304310640998E-3</c:v>
                </c:pt>
                <c:pt idx="849">
                  <c:v>-2.4464421532284231E-3</c:v>
                </c:pt>
                <c:pt idx="850">
                  <c:v>-2.4416528685829997E-3</c:v>
                </c:pt>
                <c:pt idx="851">
                  <c:v>-2.4368625769543018E-3</c:v>
                </c:pt>
                <c:pt idx="852">
                  <c:v>-2.4320712784875465E-3</c:v>
                </c:pt>
                <c:pt idx="853">
                  <c:v>-2.4176913386860788E-3</c:v>
                </c:pt>
                <c:pt idx="854">
                  <c:v>-2.4128960100129326E-3</c:v>
                </c:pt>
                <c:pt idx="855">
                  <c:v>-2.4080996734334725E-3</c:v>
                </c:pt>
                <c:pt idx="856">
                  <c:v>-2.4033023286943456E-3</c:v>
                </c:pt>
                <c:pt idx="857">
                  <c:v>-2.3985039757811188E-3</c:v>
                </c:pt>
                <c:pt idx="858">
                  <c:v>-2.3841028650236629E-3</c:v>
                </c:pt>
                <c:pt idx="859">
                  <c:v>-2.3793004768392079E-3</c:v>
                </c:pt>
                <c:pt idx="860">
                  <c:v>-2.3744970797314746E-3</c:v>
                </c:pt>
                <c:pt idx="861">
                  <c:v>-2.369692672888557E-3</c:v>
                </c:pt>
                <c:pt idx="862">
                  <c:v>-2.3648872566948143E-3</c:v>
                </c:pt>
                <c:pt idx="863">
                  <c:v>-2.3504649487561258E-3</c:v>
                </c:pt>
                <c:pt idx="864">
                  <c:v>-2.3456554923845241E-3</c:v>
                </c:pt>
                <c:pt idx="865">
                  <c:v>-2.3408450255538726E-3</c:v>
                </c:pt>
                <c:pt idx="866">
                  <c:v>-2.3360335482497385E-3</c:v>
                </c:pt>
                <c:pt idx="867">
                  <c:v>-2.3312210598994687E-3</c:v>
                </c:pt>
                <c:pt idx="868">
                  <c:v>-2.3167775280693581E-3</c:v>
                </c:pt>
                <c:pt idx="869">
                  <c:v>-2.3119609948327735E-3</c:v>
                </c:pt>
                <c:pt idx="870">
                  <c:v>-2.3071434496406695E-3</c:v>
                </c:pt>
                <c:pt idx="871">
                  <c:v>-2.3023248924789463E-3</c:v>
                </c:pt>
                <c:pt idx="872">
                  <c:v>-2.297505323213378E-3</c:v>
                </c:pt>
                <c:pt idx="873">
                  <c:v>-2.2830405412141985E-3</c:v>
                </c:pt>
                <c:pt idx="874">
                  <c:v>-2.2782169217943071E-3</c:v>
                </c:pt>
                <c:pt idx="875">
                  <c:v>-2.2733922893212188E-3</c:v>
                </c:pt>
                <c:pt idx="876">
                  <c:v>-2.2685666436209617E-3</c:v>
                </c:pt>
                <c:pt idx="877">
                  <c:v>-2.2637399846394679E-3</c:v>
                </c:pt>
                <c:pt idx="878">
                  <c:v>-2.2492539252696453E-3</c:v>
                </c:pt>
                <c:pt idx="879">
                  <c:v>-2.244423211063884E-3</c:v>
                </c:pt>
                <c:pt idx="880">
                  <c:v>-2.2395914823480911E-3</c:v>
                </c:pt>
                <c:pt idx="881">
                  <c:v>-2.2347587391075008E-3</c:v>
                </c:pt>
                <c:pt idx="882">
                  <c:v>-2.2299249812880451E-3</c:v>
                </c:pt>
                <c:pt idx="883">
                  <c:v>-2.2154176179777219E-3</c:v>
                </c:pt>
                <c:pt idx="884">
                  <c:v>-2.2105797995839449E-3</c:v>
                </c:pt>
                <c:pt idx="885">
                  <c:v>-2.2057409656612847E-3</c:v>
                </c:pt>
                <c:pt idx="886">
                  <c:v>-2.2009011160757375E-3</c:v>
                </c:pt>
                <c:pt idx="887">
                  <c:v>-2.19606025037411E-3</c:v>
                </c:pt>
                <c:pt idx="888">
                  <c:v>-2.1815315558687542E-3</c:v>
                </c:pt>
                <c:pt idx="889">
                  <c:v>-2.1766866245204186E-3</c:v>
                </c:pt>
                <c:pt idx="890">
                  <c:v>-2.171840676225556E-3</c:v>
                </c:pt>
                <c:pt idx="891">
                  <c:v>-2.1669937111291615E-3</c:v>
                </c:pt>
                <c:pt idx="892">
                  <c:v>-2.1621457285786461E-3</c:v>
                </c:pt>
                <c:pt idx="893">
                  <c:v>-2.1475956756971115E-3</c:v>
                </c:pt>
                <c:pt idx="894">
                  <c:v>-2.1427436221470586E-3</c:v>
                </c:pt>
                <c:pt idx="895">
                  <c:v>-2.137890550750976E-3</c:v>
                </c:pt>
                <c:pt idx="896">
                  <c:v>-2.1330364606965135E-3</c:v>
                </c:pt>
                <c:pt idx="897">
                  <c:v>-2.1281813522084914E-3</c:v>
                </c:pt>
                <c:pt idx="898">
                  <c:v>-2.1136150990938019E-3</c:v>
                </c:pt>
                <c:pt idx="899">
                  <c:v>-2.1087870275304788E-3</c:v>
                </c:pt>
                <c:pt idx="900">
                  <c:v>-2.1039890493288471E-3</c:v>
                </c:pt>
                <c:pt idx="901">
                  <c:v>-2.0992211641254199E-3</c:v>
                </c:pt>
                <c:pt idx="902">
                  <c:v>-2.094483371152922E-3</c:v>
                </c:pt>
                <c:pt idx="903">
                  <c:v>-2.0804505425472408E-3</c:v>
                </c:pt>
                <c:pt idx="904">
                  <c:v>-2.0758331147719966E-3</c:v>
                </c:pt>
                <c:pt idx="905">
                  <c:v>-2.0712457771910886E-3</c:v>
                </c:pt>
                <c:pt idx="906">
                  <c:v>-2.0666885292210946E-3</c:v>
                </c:pt>
                <c:pt idx="907">
                  <c:v>-2.062161370515625E-3</c:v>
                </c:pt>
                <c:pt idx="908">
                  <c:v>-2.0487604252831249E-3</c:v>
                </c:pt>
                <c:pt idx="909">
                  <c:v>-2.0443536189188594E-3</c:v>
                </c:pt>
                <c:pt idx="910">
                  <c:v>-2.0399768994471268E-3</c:v>
                </c:pt>
                <c:pt idx="911">
                  <c:v>-2.0356302667442483E-3</c:v>
                </c:pt>
                <c:pt idx="912">
                  <c:v>-2.0313137200058673E-3</c:v>
                </c:pt>
                <c:pt idx="913">
                  <c:v>-2.0185445916807154E-3</c:v>
                </c:pt>
                <c:pt idx="914">
                  <c:v>-2.0143483850891819E-3</c:v>
                </c:pt>
                <c:pt idx="915">
                  <c:v>-2.0019402660818031E-3</c:v>
                </c:pt>
                <c:pt idx="916">
                  <c:v>-1.9898028898980291E-3</c:v>
                </c:pt>
                <c:pt idx="917">
                  <c:v>-1.9804023094630585E-3</c:v>
                </c:pt>
                <c:pt idx="918">
                  <c:v>-1.972564012534983E-3</c:v>
                </c:pt>
                <c:pt idx="919">
                  <c:v>-1.9686896157884437E-3</c:v>
                </c:pt>
                <c:pt idx="920">
                  <c:v>-1.9572454262383188E-3</c:v>
                </c:pt>
                <c:pt idx="921">
                  <c:v>-1.9534903621087896E-3</c:v>
                </c:pt>
                <c:pt idx="922">
                  <c:v>-1.949765130065173E-3</c:v>
                </c:pt>
                <c:pt idx="923">
                  <c:v>-1.9460697296029839E-3</c:v>
                </c:pt>
                <c:pt idx="924">
                  <c:v>-1.9424041604146902E-3</c:v>
                </c:pt>
                <c:pt idx="925">
                  <c:v>-1.9315864359389368E-3</c:v>
                </c:pt>
                <c:pt idx="926">
                  <c:v>-1.9280401875183539E-3</c:v>
                </c:pt>
                <c:pt idx="927">
                  <c:v>-1.9245237680349803E-3</c:v>
                </c:pt>
                <c:pt idx="928">
                  <c:v>-1.9210371772846457E-3</c:v>
                </c:pt>
                <c:pt idx="929">
                  <c:v>-1.9175804149010878E-3</c:v>
                </c:pt>
                <c:pt idx="930">
                  <c:v>-1.9073890926117887E-3</c:v>
                </c:pt>
                <c:pt idx="931">
                  <c:v>-1.9040516387814899E-3</c:v>
                </c:pt>
                <c:pt idx="932">
                  <c:v>-1.9007440111667995E-3</c:v>
                </c:pt>
                <c:pt idx="933">
                  <c:v>-1.8974662092657857E-3</c:v>
                </c:pt>
                <c:pt idx="934">
                  <c:v>-1.8942182326134871E-3</c:v>
                </c:pt>
                <c:pt idx="935">
                  <c:v>-1.8846532497794888E-3</c:v>
                </c:pt>
                <c:pt idx="936">
                  <c:v>-1.8815245700583016E-3</c:v>
                </c:pt>
                <c:pt idx="937">
                  <c:v>-1.8784257133410698E-3</c:v>
                </c:pt>
                <c:pt idx="938">
                  <c:v>-1.8753566791869236E-3</c:v>
                </c:pt>
                <c:pt idx="939">
                  <c:v>-1.8723174675510101E-3</c:v>
                </c:pt>
                <c:pt idx="940">
                  <c:v>-1.863378761879142E-3</c:v>
                </c:pt>
                <c:pt idx="941">
                  <c:v>-1.8604588349481199E-3</c:v>
                </c:pt>
                <c:pt idx="942">
                  <c:v>-1.8575687283963749E-3</c:v>
                </c:pt>
                <c:pt idx="943">
                  <c:v>-1.8547084414849424E-3</c:v>
                </c:pt>
                <c:pt idx="944">
                  <c:v>-1.8518779737116686E-3</c:v>
                </c:pt>
                <c:pt idx="945">
                  <c:v>-1.843565482510745E-3</c:v>
                </c:pt>
                <c:pt idx="946">
                  <c:v>-1.8408542877292877E-3</c:v>
                </c:pt>
                <c:pt idx="947">
                  <c:v>-1.8381729102123767E-3</c:v>
                </c:pt>
                <c:pt idx="948">
                  <c:v>-1.835521349481728E-3</c:v>
                </c:pt>
                <c:pt idx="949">
                  <c:v>-1.8328996049365998E-3</c:v>
                </c:pt>
                <c:pt idx="950">
                  <c:v>-1.8252132649987374E-3</c:v>
                </c:pt>
                <c:pt idx="951">
                  <c:v>-1.8227107814079435E-3</c:v>
                </c:pt>
                <c:pt idx="952">
                  <c:v>-1.820238111955863E-3</c:v>
                </c:pt>
                <c:pt idx="953">
                  <c:v>-1.8177952561854172E-3</c:v>
                </c:pt>
                <c:pt idx="954">
                  <c:v>-1.8153822137960685E-3</c:v>
                </c:pt>
                <c:pt idx="955">
                  <c:v>-1.8083219617572865E-3</c:v>
                </c:pt>
                <c:pt idx="956">
                  <c:v>-1.806028168040652E-3</c:v>
                </c:pt>
                <c:pt idx="957">
                  <c:v>-1.8037641855251918E-3</c:v>
                </c:pt>
                <c:pt idx="958">
                  <c:v>-1.8015300135754142E-3</c:v>
                </c:pt>
                <c:pt idx="959">
                  <c:v>-1.7993256517923051E-3</c:v>
                </c:pt>
                <c:pt idx="960">
                  <c:v>-1.7928746530524453E-3</c:v>
                </c:pt>
                <c:pt idx="961">
                  <c:v>-1.7906889038675766E-3</c:v>
                </c:pt>
                <c:pt idx="962">
                  <c:v>-1.7884323402883595E-3</c:v>
                </c:pt>
                <c:pt idx="963">
                  <c:v>-1.786104962792745E-3</c:v>
                </c:pt>
                <c:pt idx="964">
                  <c:v>-1.7837067724827405E-3</c:v>
                </c:pt>
                <c:pt idx="965">
                  <c:v>-1.7760873327087312E-3</c:v>
                </c:pt>
                <c:pt idx="966">
                  <c:v>-1.773405899187952E-3</c:v>
                </c:pt>
                <c:pt idx="967">
                  <c:v>-1.7706536567809739E-3</c:v>
                </c:pt>
                <c:pt idx="968">
                  <c:v>-1.7678306064997651E-3</c:v>
                </c:pt>
                <c:pt idx="969">
                  <c:v>-1.7649367486228806E-3</c:v>
                </c:pt>
                <c:pt idx="970">
                  <c:v>-1.7558303378856221E-3</c:v>
                </c:pt>
                <c:pt idx="971">
                  <c:v>-1.7526532574596576E-3</c:v>
                </c:pt>
                <c:pt idx="972">
                  <c:v>-1.749405373040358E-3</c:v>
                </c:pt>
                <c:pt idx="973">
                  <c:v>-1.7460866851752854E-3</c:v>
                </c:pt>
                <c:pt idx="974">
                  <c:v>-1.7426971943574898E-3</c:v>
                </c:pt>
                <c:pt idx="975">
                  <c:v>-1.7321039103264102E-3</c:v>
                </c:pt>
                <c:pt idx="976">
                  <c:v>-1.7284312135222857E-3</c:v>
                </c:pt>
                <c:pt idx="977">
                  <c:v>-1.724687716124107E-3</c:v>
                </c:pt>
                <c:pt idx="978">
                  <c:v>-1.7208734192528663E-3</c:v>
                </c:pt>
                <c:pt idx="979">
                  <c:v>-1.7169883226978433E-3</c:v>
                </c:pt>
                <c:pt idx="980">
                  <c:v>-1.7049082405777849E-3</c:v>
                </c:pt>
                <c:pt idx="981">
                  <c:v>-1.7007399501423048E-3</c:v>
                </c:pt>
                <c:pt idx="982">
                  <c:v>-1.6965008620960509E-3</c:v>
                </c:pt>
                <c:pt idx="983">
                  <c:v>-1.6921909765772458E-3</c:v>
                </c:pt>
                <c:pt idx="984">
                  <c:v>-1.6878102940282025E-3</c:v>
                </c:pt>
                <c:pt idx="985">
                  <c:v>-1.6742434659650085E-3</c:v>
                </c:pt>
                <c:pt idx="986">
                  <c:v>-1.6695795971847227E-3</c:v>
                </c:pt>
                <c:pt idx="987">
                  <c:v>-1.6648449321641223E-3</c:v>
                </c:pt>
                <c:pt idx="988">
                  <c:v>-1.6600394710960531E-3</c:v>
                </c:pt>
                <c:pt idx="989">
                  <c:v>-1.6349502278288908E-3</c:v>
                </c:pt>
                <c:pt idx="990">
                  <c:v>-1.6297199918093863E-3</c:v>
                </c:pt>
                <c:pt idx="991">
                  <c:v>-1.6244189596744674E-3</c:v>
                </c:pt>
                <c:pt idx="992">
                  <c:v>-1.6190471315764565E-3</c:v>
                </c:pt>
                <c:pt idx="993">
                  <c:v>-1.6025068706133627E-3</c:v>
                </c:pt>
                <c:pt idx="994">
                  <c:v>-1.5968518573369339E-3</c:v>
                </c:pt>
                <c:pt idx="995">
                  <c:v>-1.5911260472791788E-3</c:v>
                </c:pt>
                <c:pt idx="996">
                  <c:v>-1.585329440343064E-3</c:v>
                </c:pt>
                <c:pt idx="997">
                  <c:v>-1.5794620360176648E-3</c:v>
                </c:pt>
                <c:pt idx="998">
                  <c:v>-1.5614350365230623E-3</c:v>
                </c:pt>
                <c:pt idx="999">
                  <c:v>-1.5552844400635868E-3</c:v>
                </c:pt>
                <c:pt idx="1000">
                  <c:v>-1.5490630445121889E-3</c:v>
                </c:pt>
                <c:pt idx="1001">
                  <c:v>-1.542770849587316E-3</c:v>
                </c:pt>
                <c:pt idx="1002">
                  <c:v>-1.5168940665194475E-3</c:v>
                </c:pt>
                <c:pt idx="1003">
                  <c:v>-1.510247867261616E-3</c:v>
                </c:pt>
                <c:pt idx="1004">
                  <c:v>-1.5035308654675061E-3</c:v>
                </c:pt>
                <c:pt idx="1005">
                  <c:v>-1.4967430604310161E-3</c:v>
                </c:pt>
                <c:pt idx="1006">
                  <c:v>-1.4898844517106102E-3</c:v>
                </c:pt>
                <c:pt idx="1007">
                  <c:v>-1.4688837959313528E-3</c:v>
                </c:pt>
                <c:pt idx="1008">
                  <c:v>-1.4617419648451646E-3</c:v>
                </c:pt>
                <c:pt idx="1009">
                  <c:v>-1.4545293266052806E-3</c:v>
                </c:pt>
                <c:pt idx="1010">
                  <c:v>-1.4472458798001631E-3</c:v>
                </c:pt>
                <c:pt idx="1011">
                  <c:v>-1.4398916238851367E-3</c:v>
                </c:pt>
                <c:pt idx="1012">
                  <c:v>-1.4174039927483673E-3</c:v>
                </c:pt>
                <c:pt idx="1013">
                  <c:v>-1.4097664913109709E-3</c:v>
                </c:pt>
                <c:pt idx="1014">
                  <c:v>-1.4020581760875173E-3</c:v>
                </c:pt>
                <c:pt idx="1015">
                  <c:v>-1.3942790460441667E-3</c:v>
                </c:pt>
                <c:pt idx="1016">
                  <c:v>-1.3864290999685558E-3</c:v>
                </c:pt>
                <c:pt idx="1017">
                  <c:v>-1.3624543555421642E-3</c:v>
                </c:pt>
                <c:pt idx="1018">
                  <c:v>-1.3543211348135964E-3</c:v>
                </c:pt>
                <c:pt idx="1019">
                  <c:v>-1.3461170920967547E-3</c:v>
                </c:pt>
                <c:pt idx="1020">
                  <c:v>-1.3378422267682488E-3</c:v>
                </c:pt>
                <c:pt idx="1021">
                  <c:v>-1.3294965373146228E-3</c:v>
                </c:pt>
                <c:pt idx="1022">
                  <c:v>-1.3040345104178286E-3</c:v>
                </c:pt>
                <c:pt idx="1023">
                  <c:v>-1.2954182928350821E-3</c:v>
                </c:pt>
                <c:pt idx="1024">
                  <c:v>-1.2867951554407231E-3</c:v>
                </c:pt>
                <c:pt idx="1025">
                  <c:v>-1.2781778796292498E-3</c:v>
                </c:pt>
                <c:pt idx="1026">
                  <c:v>-1.2695664649527982E-3</c:v>
                </c:pt>
                <c:pt idx="1027">
                  <c:v>-1.2437673819989392E-3</c:v>
                </c:pt>
                <c:pt idx="1028">
                  <c:v>-1.2351794062439581E-3</c:v>
                </c:pt>
                <c:pt idx="1029">
                  <c:v>-1.2265972888340082E-3</c:v>
                </c:pt>
                <c:pt idx="1030">
                  <c:v>-1.2180210293205596E-3</c:v>
                </c:pt>
                <c:pt idx="1031">
                  <c:v>-1.2094506270184935E-3</c:v>
                </c:pt>
                <c:pt idx="1032">
                  <c:v>-1.183774558343953E-3</c:v>
                </c:pt>
                <c:pt idx="1033">
                  <c:v>-1.1752275796932388E-3</c:v>
                </c:pt>
                <c:pt idx="1034">
                  <c:v>-1.1666864556958423E-3</c:v>
                </c:pt>
                <c:pt idx="1035">
                  <c:v>-1.1581511857060578E-3</c:v>
                </c:pt>
                <c:pt idx="1036">
                  <c:v>-1.1496217695138311E-3</c:v>
                </c:pt>
                <c:pt idx="1037">
                  <c:v>-1.1240686359340613E-3</c:v>
                </c:pt>
                <c:pt idx="1038">
                  <c:v>-1.115562628337563E-3</c:v>
                </c:pt>
                <c:pt idx="1039">
                  <c:v>-1.1070624715396882E-3</c:v>
                </c:pt>
                <c:pt idx="1040">
                  <c:v>-1.0985681651716206E-3</c:v>
                </c:pt>
                <c:pt idx="1041">
                  <c:v>-1.0900797085439118E-3</c:v>
                </c:pt>
                <c:pt idx="1042">
                  <c:v>-1.0646494326588263E-3</c:v>
                </c:pt>
                <c:pt idx="1043">
                  <c:v>-1.056184370265334E-3</c:v>
                </c:pt>
                <c:pt idx="1044">
                  <c:v>-1.0477251550083944E-3</c:v>
                </c:pt>
                <c:pt idx="1045">
                  <c:v>-1.0392717865568279E-3</c:v>
                </c:pt>
                <c:pt idx="1046">
                  <c:v>-1.0308242643425336E-3</c:v>
                </c:pt>
                <c:pt idx="1047">
                  <c:v>-1.0055167695013356E-3</c:v>
                </c:pt>
                <c:pt idx="1048">
                  <c:v>-9.9709262681579869E-4</c:v>
                </c:pt>
                <c:pt idx="1049">
                  <c:v>-9.886743278764154E-4</c:v>
                </c:pt>
                <c:pt idx="1050">
                  <c:v>-9.8026187203426041E-4</c:v>
                </c:pt>
                <c:pt idx="1051">
                  <c:v>-9.7185525891763103E-4</c:v>
                </c:pt>
                <c:pt idx="1052">
                  <c:v>-9.4667047013974326E-4</c:v>
                </c:pt>
                <c:pt idx="1053">
                  <c:v>-9.3828722242095264E-4</c:v>
                </c:pt>
                <c:pt idx="1054">
                  <c:v>-9.2990981477480972E-4</c:v>
                </c:pt>
                <c:pt idx="1055">
                  <c:v>-9.2153824694851671E-4</c:v>
                </c:pt>
                <c:pt idx="1056">
                  <c:v>-9.1317251801281696E-4</c:v>
                </c:pt>
                <c:pt idx="1057">
                  <c:v>-8.8811036150504563E-4</c:v>
                </c:pt>
                <c:pt idx="1058">
                  <c:v>-8.7976798425115632E-4</c:v>
                </c:pt>
                <c:pt idx="1059">
                  <c:v>-8.7143144374735027E-4</c:v>
                </c:pt>
                <c:pt idx="1060">
                  <c:v>-8.6310073922335473E-4</c:v>
                </c:pt>
                <c:pt idx="1061">
                  <c:v>-8.5477587046522974E-4</c:v>
                </c:pt>
                <c:pt idx="1062">
                  <c:v>-8.2983627366717272E-4</c:v>
                </c:pt>
                <c:pt idx="1063">
                  <c:v>-8.2153474281076999E-4</c:v>
                </c:pt>
                <c:pt idx="1064">
                  <c:v>-8.1323904517860424E-4</c:v>
                </c:pt>
                <c:pt idx="1065">
                  <c:v>-8.0494918035656227E-4</c:v>
                </c:pt>
                <c:pt idx="1066">
                  <c:v>-7.9666514781273623E-4</c:v>
                </c:pt>
                <c:pt idx="1067">
                  <c:v>-7.7184803931262813E-4</c:v>
                </c:pt>
                <c:pt idx="1068">
                  <c:v>-7.635873313455166E-4</c:v>
                </c:pt>
                <c:pt idx="1069">
                  <c:v>-7.5533245314840514E-4</c:v>
                </c:pt>
                <c:pt idx="1070">
                  <c:v>-7.4708340434836984E-4</c:v>
                </c:pt>
                <c:pt idx="1071">
                  <c:v>-7.3884018468994839E-4</c:v>
                </c:pt>
                <c:pt idx="1072">
                  <c:v>-7.141454946694159E-4</c:v>
                </c:pt>
                <c:pt idx="1073">
                  <c:v>-7.0592558607951439E-4</c:v>
                </c:pt>
                <c:pt idx="1074">
                  <c:v>-6.9771150427988538E-4</c:v>
                </c:pt>
                <c:pt idx="1075">
                  <c:v>-6.8950324857686152E-4</c:v>
                </c:pt>
                <c:pt idx="1076">
                  <c:v>-6.8130081859463232E-4</c:v>
                </c:pt>
                <c:pt idx="1077">
                  <c:v>-6.5672847830644532E-4</c:v>
                </c:pt>
                <c:pt idx="1078">
                  <c:v>-6.4854934661862096E-4</c:v>
                </c:pt>
                <c:pt idx="1079">
                  <c:v>-6.4037603821665012E-4</c:v>
                </c:pt>
                <c:pt idx="1080">
                  <c:v>-6.3220855296375333E-4</c:v>
                </c:pt>
                <c:pt idx="1081">
                  <c:v>-6.2404689020523207E-4</c:v>
                </c:pt>
                <c:pt idx="1082">
                  <c:v>-5.995968321749201E-4</c:v>
                </c:pt>
                <c:pt idx="1083">
                  <c:v>-5.9145845491326288E-4</c:v>
                </c:pt>
                <c:pt idx="1084">
                  <c:v>-5.8332589782505995E-4</c:v>
                </c:pt>
                <c:pt idx="1085">
                  <c:v>-5.7519916061443688E-4</c:v>
                </c:pt>
                <c:pt idx="1086">
                  <c:v>-5.6707824274437879E-4</c:v>
                </c:pt>
                <c:pt idx="1087">
                  <c:v>-5.4275040089191151E-4</c:v>
                </c:pt>
                <c:pt idx="1088">
                  <c:v>-5.3465275621666919E-4</c:v>
                </c:pt>
                <c:pt idx="1089">
                  <c:v>-5.2656076481527592E-4</c:v>
                </c:pt>
                <c:pt idx="1090">
                  <c:v>-5.1847377076941203E-4</c:v>
                </c:pt>
                <c:pt idx="1091">
                  <c:v>-5.1039161061594562E-4</c:v>
                </c:pt>
                <c:pt idx="1092">
                  <c:v>-4.8617412561913209E-4</c:v>
                </c:pt>
                <c:pt idx="1093">
                  <c:v>-4.7811129438346534E-4</c:v>
                </c:pt>
                <c:pt idx="1094">
                  <c:v>-4.7005329439275823E-4</c:v>
                </c:pt>
                <c:pt idx="1095">
                  <c:v>-4.6200012508623711E-4</c:v>
                </c:pt>
                <c:pt idx="1096">
                  <c:v>-4.5395178606133513E-4</c:v>
                </c:pt>
                <c:pt idx="1097">
                  <c:v>-4.298357461794966E-4</c:v>
                </c:pt>
                <c:pt idx="1098">
                  <c:v>-4.2180672378244743E-4</c:v>
                </c:pt>
                <c:pt idx="1099">
                  <c:v>-4.1378252929746839E-4</c:v>
                </c:pt>
                <c:pt idx="1100">
                  <c:v>-4.0576316272100676E-4</c:v>
                </c:pt>
                <c:pt idx="1101">
                  <c:v>-3.9774862297203839E-4</c:v>
                </c:pt>
                <c:pt idx="1102">
                  <c:v>-3.7373396265916181E-4</c:v>
                </c:pt>
                <c:pt idx="1103">
                  <c:v>-3.6573872747058811E-4</c:v>
                </c:pt>
                <c:pt idx="1104">
                  <c:v>-3.5774831681600894E-4</c:v>
                </c:pt>
                <c:pt idx="1105">
                  <c:v>-3.4976273121090085E-4</c:v>
                </c:pt>
                <c:pt idx="1106">
                  <c:v>-3.4178196925371829E-4</c:v>
                </c:pt>
                <c:pt idx="1107">
                  <c:v>-3.1786862431282259E-4</c:v>
                </c:pt>
                <c:pt idx="1108">
                  <c:v>-3.0990715463208307E-4</c:v>
                </c:pt>
                <c:pt idx="1109">
                  <c:v>-3.0195050698178516E-4</c:v>
                </c:pt>
                <c:pt idx="1110">
                  <c:v>-2.9399868067891965E-4</c:v>
                </c:pt>
                <c:pt idx="1111">
                  <c:v>-2.8605167551909449E-4</c:v>
                </c:pt>
                <c:pt idx="1112">
                  <c:v>-2.6223958242244105E-4</c:v>
                </c:pt>
                <c:pt idx="1113">
                  <c:v>-2.5431185731772388E-4</c:v>
                </c:pt>
                <c:pt idx="1114">
                  <c:v>-2.4638895133688443E-4</c:v>
                </c:pt>
                <c:pt idx="1115">
                  <c:v>-2.384708637953592E-4</c:v>
                </c:pt>
                <c:pt idx="1116">
                  <c:v>-2.3055759444923218E-4</c:v>
                </c:pt>
                <c:pt idx="1117">
                  <c:v>-2.0684669073778306E-4</c:v>
                </c:pt>
                <c:pt idx="1118">
                  <c:v>-1.9895268972791591E-4</c:v>
                </c:pt>
                <c:pt idx="1119">
                  <c:v>-1.9106350465047939E-4</c:v>
                </c:pt>
                <c:pt idx="1120">
                  <c:v>-1.8317913518073325E-4</c:v>
                </c:pt>
                <c:pt idx="1121">
                  <c:v>-1.7529958107354027E-4</c:v>
                </c:pt>
                <c:pt idx="1122">
                  <c:v>-1.5168980555890776E-4</c:v>
                </c:pt>
                <c:pt idx="1123">
                  <c:v>-1.438295081321872E-4</c:v>
                </c:pt>
                <c:pt idx="1124">
                  <c:v>-1.3597402372256262E-4</c:v>
                </c:pt>
                <c:pt idx="1125">
                  <c:v>-1.2812335232414984E-4</c:v>
                </c:pt>
                <c:pt idx="1126">
                  <c:v>-1.2027749293230805E-4</c:v>
                </c:pt>
                <c:pt idx="1127">
                  <c:v>-9.6768785375789257E-5</c:v>
                </c:pt>
                <c:pt idx="1128">
                  <c:v>-8.894217155097639E-5</c:v>
                </c:pt>
                <c:pt idx="1129">
                  <c:v>-8.1120367983467112E-5</c:v>
                </c:pt>
                <c:pt idx="1130">
                  <c:v>-7.3303374307220892E-5</c:v>
                </c:pt>
                <c:pt idx="1131">
                  <c:v>-6.5491190395783327E-5</c:v>
                </c:pt>
                <c:pt idx="1132">
                  <c:v>-4.2083491230360259E-5</c:v>
                </c:pt>
                <c:pt idx="1133">
                  <c:v>-3.4290541156667409E-5</c:v>
                </c:pt>
                <c:pt idx="1134">
                  <c:v>-2.6502398776218072E-5</c:v>
                </c:pt>
                <c:pt idx="1135">
                  <c:v>-1.8719063522354418E-5</c:v>
                </c:pt>
                <c:pt idx="1136">
                  <c:v>-1.0940535068337809E-5</c:v>
                </c:pt>
                <c:pt idx="1137">
                  <c:v>1.2366213882453181E-5</c:v>
                </c:pt>
                <c:pt idx="1138">
                  <c:v>2.0125519205604903E-5</c:v>
                </c:pt>
                <c:pt idx="1139">
                  <c:v>2.7880019923820498E-5</c:v>
                </c:pt>
                <c:pt idx="1140">
                  <c:v>3.5629716004015322E-5</c:v>
                </c:pt>
                <c:pt idx="1141">
                  <c:v>4.3374608133861514E-5</c:v>
                </c:pt>
                <c:pt idx="1142">
                  <c:v>6.6580464254117899E-5</c:v>
                </c:pt>
                <c:pt idx="1143">
                  <c:v>7.4306143936775371E-5</c:v>
                </c:pt>
                <c:pt idx="1144">
                  <c:v>8.2027021826247548E-5</c:v>
                </c:pt>
                <c:pt idx="1145">
                  <c:v>8.9743097731131982E-5</c:v>
                </c:pt>
                <c:pt idx="1146">
                  <c:v>9.7454372339100814E-5</c:v>
                </c:pt>
                <c:pt idx="1147">
                  <c:v>1.2055939190114273E-4</c:v>
                </c:pt>
                <c:pt idx="1148">
                  <c:v>1.2825146484196637E-4</c:v>
                </c:pt>
                <c:pt idx="1149">
                  <c:v>1.3593873832640213E-4</c:v>
                </c:pt>
                <c:pt idx="1150">
                  <c:v>1.4362121264333005E-4</c:v>
                </c:pt>
                <c:pt idx="1151">
                  <c:v>1.5129888840070826E-4</c:v>
                </c:pt>
                <c:pt idx="1152">
                  <c:v>1.7430312672406245E-4</c:v>
                </c:pt>
                <c:pt idx="1153">
                  <c:v>1.8196161113115394E-4</c:v>
                </c:pt>
                <c:pt idx="1154">
                  <c:v>1.8961035776032809E-4</c:v>
                </c:pt>
                <c:pt idx="1155">
                  <c:v>1.9722960246748578E-4</c:v>
                </c:pt>
                <c:pt idx="1156">
                  <c:v>2.0481440400166306E-4</c:v>
                </c:pt>
                <c:pt idx="1157">
                  <c:v>2.2736214576046798E-4</c:v>
                </c:pt>
                <c:pt idx="1158">
                  <c:v>2.3480917073404051E-4</c:v>
                </c:pt>
                <c:pt idx="1159">
                  <c:v>2.4222175073784769E-4</c:v>
                </c:pt>
                <c:pt idx="1160">
                  <c:v>2.495998850071679E-4</c:v>
                </c:pt>
                <c:pt idx="1161">
                  <c:v>2.5694357342098684E-4</c:v>
                </c:pt>
                <c:pt idx="1162">
                  <c:v>2.7876795901105034E-4</c:v>
                </c:pt>
                <c:pt idx="1163">
                  <c:v>2.8597385950268617E-4</c:v>
                </c:pt>
                <c:pt idx="1164">
                  <c:v>2.9314531206625638E-4</c:v>
                </c:pt>
                <c:pt idx="1165">
                  <c:v>3.0028231628254076E-4</c:v>
                </c:pt>
                <c:pt idx="1166">
                  <c:v>3.0738487149495342E-4</c:v>
                </c:pt>
                <c:pt idx="1167">
                  <c:v>3.2848584004163683E-4</c:v>
                </c:pt>
                <c:pt idx="1168">
                  <c:v>3.3545059562878343E-4</c:v>
                </c:pt>
                <c:pt idx="1169">
                  <c:v>3.4238090018434697E-4</c:v>
                </c:pt>
                <c:pt idx="1170">
                  <c:v>3.4927675307394601E-4</c:v>
                </c:pt>
                <c:pt idx="1171">
                  <c:v>3.7651564139951077E-4</c:v>
                </c:pt>
                <c:pt idx="1172">
                  <c:v>3.8323923024075057E-4</c:v>
                </c:pt>
                <c:pt idx="1173">
                  <c:v>3.8992836472195869E-4</c:v>
                </c:pt>
                <c:pt idx="1174">
                  <c:v>3.9767889892372565E-4</c:v>
                </c:pt>
                <c:pt idx="1175">
                  <c:v>4.2409630783213359E-4</c:v>
                </c:pt>
                <c:pt idx="1176">
                  <c:v>4.3061380887743361E-4</c:v>
                </c:pt>
                <c:pt idx="1177">
                  <c:v>4.3709656828050392E-4</c:v>
                </c:pt>
                <c:pt idx="1178">
                  <c:v>4.4354458592810175E-4</c:v>
                </c:pt>
                <c:pt idx="1179">
                  <c:v>4.4995786090917811E-4</c:v>
                </c:pt>
                <c:pt idx="1180">
                  <c:v>4.6898922624416528E-4</c:v>
                </c:pt>
                <c:pt idx="1181">
                  <c:v>4.752635264870797E-4</c:v>
                </c:pt>
                <c:pt idx="1182">
                  <c:v>4.8150308156613697E-4</c:v>
                </c:pt>
                <c:pt idx="1183">
                  <c:v>4.8770789123131486E-4</c:v>
                </c:pt>
                <c:pt idx="1184">
                  <c:v>4.9387795515842825E-4</c:v>
                </c:pt>
                <c:pt idx="1185">
                  <c:v>5.121796649103505E-4</c:v>
                </c:pt>
                <c:pt idx="1186">
                  <c:v>5.182107391838997E-4</c:v>
                </c:pt>
                <c:pt idx="1187">
                  <c:v>5.2420706510702963E-4</c:v>
                </c:pt>
                <c:pt idx="1188">
                  <c:v>5.3016864181665291E-4</c:v>
                </c:pt>
                <c:pt idx="1189">
                  <c:v>5.3609546885247106E-4</c:v>
                </c:pt>
                <c:pt idx="1190">
                  <c:v>5.5366744657470157E-4</c:v>
                </c:pt>
                <c:pt idx="1191">
                  <c:v>5.5945526966971748E-4</c:v>
                </c:pt>
                <c:pt idx="1192">
                  <c:v>5.6520834028650491E-4</c:v>
                </c:pt>
                <c:pt idx="1193">
                  <c:v>5.7092665814595378E-4</c:v>
                </c:pt>
                <c:pt idx="1194">
                  <c:v>5.7661022249422267E-4</c:v>
                </c:pt>
                <c:pt idx="1195">
                  <c:v>5.9345238945773815E-4</c:v>
                </c:pt>
                <c:pt idx="1196">
                  <c:v>5.9899693452658553E-4</c:v>
                </c:pt>
                <c:pt idx="1197">
                  <c:v>6.045067236448709E-4</c:v>
                </c:pt>
                <c:pt idx="1198">
                  <c:v>6.0998175592019699E-4</c:v>
                </c:pt>
                <c:pt idx="1199">
                  <c:v>6.1542203070330537E-4</c:v>
                </c:pt>
                <c:pt idx="1200">
                  <c:v>6.3153430629903085E-4</c:v>
                </c:pt>
                <c:pt idx="1201">
                  <c:v>6.3683554661220221E-4</c:v>
                </c:pt>
                <c:pt idx="1202">
                  <c:v>6.4210202656034276E-4</c:v>
                </c:pt>
                <c:pt idx="1203">
                  <c:v>6.473337462364892E-4</c:v>
                </c:pt>
                <c:pt idx="1204">
                  <c:v>6.525307043760975E-4</c:v>
                </c:pt>
                <c:pt idx="1205">
                  <c:v>6.6791300611290794E-4</c:v>
                </c:pt>
                <c:pt idx="1206">
                  <c:v>6.7297091362017447E-4</c:v>
                </c:pt>
                <c:pt idx="1207">
                  <c:v>6.7799405732582585E-4</c:v>
                </c:pt>
                <c:pt idx="1208">
                  <c:v>6.8298243614672849E-4</c:v>
                </c:pt>
                <c:pt idx="1209">
                  <c:v>6.879360499649767E-4</c:v>
                </c:pt>
                <c:pt idx="1210">
                  <c:v>7.02588293868045E-4</c:v>
                </c:pt>
                <c:pt idx="1211">
                  <c:v>7.0740284079962024E-4</c:v>
                </c:pt>
                <c:pt idx="1212">
                  <c:v>7.1218261962835427E-4</c:v>
                </c:pt>
                <c:pt idx="1213">
                  <c:v>7.1692762985819947E-4</c:v>
                </c:pt>
                <c:pt idx="1214">
                  <c:v>7.2163787067491825E-4</c:v>
                </c:pt>
                <c:pt idx="1215">
                  <c:v>7.3555997168917031E-4</c:v>
                </c:pt>
                <c:pt idx="1216">
                  <c:v>7.4014656215926067E-4</c:v>
                </c:pt>
                <c:pt idx="1217">
                  <c:v>7.4477554484952968E-4</c:v>
                </c:pt>
                <c:pt idx="1218">
                  <c:v>7.4946235329509392E-4</c:v>
                </c:pt>
                <c:pt idx="1219">
                  <c:v>7.5420698934713926E-4</c:v>
                </c:pt>
                <c:pt idx="1220">
                  <c:v>7.6878787762657552E-4</c:v>
                </c:pt>
                <c:pt idx="1221">
                  <c:v>7.7376383888161371E-4</c:v>
                </c:pt>
                <c:pt idx="1222">
                  <c:v>7.7879763514188127E-4</c:v>
                </c:pt>
                <c:pt idx="1223">
                  <c:v>7.8388926823858007E-4</c:v>
                </c:pt>
                <c:pt idx="1224">
                  <c:v>7.8903873953062309E-4</c:v>
                </c:pt>
                <c:pt idx="1225">
                  <c:v>8.0483419977328552E-4</c:v>
                </c:pt>
                <c:pt idx="1226">
                  <c:v>8.10215040929263E-4</c:v>
                </c:pt>
                <c:pt idx="1227">
                  <c:v>8.1565372835235017E-4</c:v>
                </c:pt>
                <c:pt idx="1228">
                  <c:v>8.2115026450124695E-4</c:v>
                </c:pt>
                <c:pt idx="1229">
                  <c:v>8.2670465040712848E-4</c:v>
                </c:pt>
                <c:pt idx="1230">
                  <c:v>8.4371492607604459E-4</c:v>
                </c:pt>
                <c:pt idx="1231">
                  <c:v>8.495007298301438E-4</c:v>
                </c:pt>
                <c:pt idx="1232">
                  <c:v>8.5534439272239027E-4</c:v>
                </c:pt>
                <c:pt idx="1233">
                  <c:v>8.6124591616232316E-4</c:v>
                </c:pt>
                <c:pt idx="1234">
                  <c:v>8.6720530245121275E-4</c:v>
                </c:pt>
                <c:pt idx="1235">
                  <c:v>8.8543065636081941E-4</c:v>
                </c:pt>
                <c:pt idx="1236">
                  <c:v>8.9162151228738828E-4</c:v>
                </c:pt>
                <c:pt idx="1237">
                  <c:v>8.9787024055376641E-4</c:v>
                </c:pt>
                <c:pt idx="1238">
                  <c:v>9.0417684328181203E-4</c:v>
                </c:pt>
                <c:pt idx="1239">
                  <c:v>9.3657804131708211E-4</c:v>
                </c:pt>
                <c:pt idx="1240">
                  <c:v>9.4323193246448334E-4</c:v>
                </c:pt>
                <c:pt idx="1241">
                  <c:v>9.4994371207701711E-4</c:v>
                </c:pt>
                <c:pt idx="1242">
                  <c:v>9.5671338291669628E-4</c:v>
                </c:pt>
                <c:pt idx="1243">
                  <c:v>9.7736976199325198E-4</c:v>
                </c:pt>
                <c:pt idx="1244">
                  <c:v>9.8437101810877614E-4</c:v>
                </c:pt>
                <c:pt idx="1245">
                  <c:v>9.9143017596481364E-4</c:v>
                </c:pt>
                <c:pt idx="1246">
                  <c:v>9.9854723830428149E-4</c:v>
                </c:pt>
                <c:pt idx="1247">
                  <c:v>1.0057222069967953E-3</c:v>
                </c:pt>
                <c:pt idx="1248">
                  <c:v>1.027594575260915E-3</c:v>
                </c:pt>
                <c:pt idx="1249">
                  <c:v>1.0350011934012748E-3</c:v>
                </c:pt>
                <c:pt idx="1250">
                  <c:v>1.0424657298029327E-3</c:v>
                </c:pt>
                <c:pt idx="1251">
                  <c:v>1.0499881868757388E-3</c:v>
                </c:pt>
                <c:pt idx="1252">
                  <c:v>1.0575685671230239E-3</c:v>
                </c:pt>
                <c:pt idx="1253">
                  <c:v>1.0806572717514396E-3</c:v>
                </c:pt>
                <c:pt idx="1254">
                  <c:v>1.0884693696702197E-3</c:v>
                </c:pt>
                <c:pt idx="1255">
                  <c:v>1.0963394033407514E-3</c:v>
                </c:pt>
                <c:pt idx="1256">
                  <c:v>1.1042673751662235E-3</c:v>
                </c:pt>
                <c:pt idx="1257">
                  <c:v>1.1122532881180369E-3</c:v>
                </c:pt>
                <c:pt idx="1258">
                  <c:v>1.1365586986453735E-3</c:v>
                </c:pt>
                <c:pt idx="1259">
                  <c:v>1.1447764019456574E-3</c:v>
                </c:pt>
                <c:pt idx="1260">
                  <c:v>1.1530520593041604E-3</c:v>
                </c:pt>
                <c:pt idx="1261">
                  <c:v>1.1613856739136619E-3</c:v>
                </c:pt>
                <c:pt idx="1262">
                  <c:v>1.1697772480958601E-3</c:v>
                </c:pt>
                <c:pt idx="1263">
                  <c:v>1.1952997580209068E-3</c:v>
                </c:pt>
                <c:pt idx="1264">
                  <c:v>1.2039231996041622E-3</c:v>
                </c:pt>
                <c:pt idx="1265">
                  <c:v>1.2126046154059544E-3</c:v>
                </c:pt>
                <c:pt idx="1266">
                  <c:v>1.2213440081281224E-3</c:v>
                </c:pt>
                <c:pt idx="1267">
                  <c:v>1.2301413806450334E-3</c:v>
                </c:pt>
                <c:pt idx="1268">
                  <c:v>1.2568814069646717E-3</c:v>
                </c:pt>
                <c:pt idx="1269">
                  <c:v>1.2659107287935623E-3</c:v>
                </c:pt>
                <c:pt idx="1270">
                  <c:v>1.2749980453339305E-3</c:v>
                </c:pt>
                <c:pt idx="1271">
                  <c:v>1.2841433600814245E-3</c:v>
                </c:pt>
                <c:pt idx="1272">
                  <c:v>1.2933466757381051E-3</c:v>
                </c:pt>
                <c:pt idx="1273">
                  <c:v>1.3213046609628076E-3</c:v>
                </c:pt>
                <c:pt idx="1274">
                  <c:v>1.3307400124626945E-3</c:v>
                </c:pt>
                <c:pt idx="1275">
                  <c:v>1.3402333810255129E-3</c:v>
                </c:pt>
                <c:pt idx="1276">
                  <c:v>1.3497847698944465E-3</c:v>
                </c:pt>
                <c:pt idx="1277">
                  <c:v>1.3593941822458433E-3</c:v>
                </c:pt>
                <c:pt idx="1278">
                  <c:v>1.3885705935288151E-3</c:v>
                </c:pt>
                <c:pt idx="1279">
                  <c:v>1.3984121335985922E-3</c:v>
                </c:pt>
                <c:pt idx="1280">
                  <c:v>1.4083008306058353E-3</c:v>
                </c:pt>
                <c:pt idx="1281">
                  <c:v>1.4181931557983862E-3</c:v>
                </c:pt>
                <c:pt idx="1282">
                  <c:v>1.4280782264968206E-3</c:v>
                </c:pt>
                <c:pt idx="1283">
                  <c:v>1.4576899173170954E-3</c:v>
                </c:pt>
                <c:pt idx="1284">
                  <c:v>1.4675459756465781E-3</c:v>
                </c:pt>
                <c:pt idx="1285">
                  <c:v>1.4773947816868471E-3</c:v>
                </c:pt>
                <c:pt idx="1286">
                  <c:v>1.48723633634118E-3</c:v>
                </c:pt>
                <c:pt idx="1287">
                  <c:v>1.4970706398771405E-3</c:v>
                </c:pt>
                <c:pt idx="1288">
                  <c:v>1.5265300492224299E-3</c:v>
                </c:pt>
                <c:pt idx="1289">
                  <c:v>1.5363353533377477E-3</c:v>
                </c:pt>
                <c:pt idx="1290">
                  <c:v>1.5461334087023548E-3</c:v>
                </c:pt>
                <c:pt idx="1291">
                  <c:v>1.5559242159846054E-3</c:v>
                </c:pt>
                <c:pt idx="1292">
                  <c:v>1.5657077752089243E-3</c:v>
                </c:pt>
                <c:pt idx="1293">
                  <c:v>1.5950149708932049E-3</c:v>
                </c:pt>
                <c:pt idx="1294">
                  <c:v>1.6047695435221776E-3</c:v>
                </c:pt>
                <c:pt idx="1295">
                  <c:v>1.6145168707097923E-3</c:v>
                </c:pt>
                <c:pt idx="1296">
                  <c:v>1.624256952565073E-3</c:v>
                </c:pt>
                <c:pt idx="1297">
                  <c:v>1.6339897899146916E-3</c:v>
                </c:pt>
                <c:pt idx="1298">
                  <c:v>1.6631448383372938E-3</c:v>
                </c:pt>
                <c:pt idx="1299">
                  <c:v>1.6728487013097926E-3</c:v>
                </c:pt>
                <c:pt idx="1300">
                  <c:v>1.6825453217605979E-3</c:v>
                </c:pt>
                <c:pt idx="1301">
                  <c:v>1.6922347003569538E-3</c:v>
                </c:pt>
                <c:pt idx="1302">
                  <c:v>1.7019168372900406E-3</c:v>
                </c:pt>
                <c:pt idx="1303">
                  <c:v>1.7309198023947037E-3</c:v>
                </c:pt>
                <c:pt idx="1304">
                  <c:v>1.7405729772856926E-3</c:v>
                </c:pt>
                <c:pt idx="1305">
                  <c:v>1.7502189123395073E-3</c:v>
                </c:pt>
                <c:pt idx="1306">
                  <c:v>1.7598576084691953E-3</c:v>
                </c:pt>
                <c:pt idx="1307">
                  <c:v>1.7694890659425422E-3</c:v>
                </c:pt>
                <c:pt idx="1308">
                  <c:v>1.7983400105818781E-3</c:v>
                </c:pt>
                <c:pt idx="1309">
                  <c:v>1.8079425175032693E-3</c:v>
                </c:pt>
                <c:pt idx="1310">
                  <c:v>1.8175377878453247E-3</c:v>
                </c:pt>
                <c:pt idx="1311">
                  <c:v>1.8271258221178588E-3</c:v>
                </c:pt>
                <c:pt idx="1312">
                  <c:v>1.8367066206748106E-3</c:v>
                </c:pt>
                <c:pt idx="1313">
                  <c:v>1.8654056053206691E-3</c:v>
                </c:pt>
                <c:pt idx="1314">
                  <c:v>1.8749574646101941E-3</c:v>
                </c:pt>
                <c:pt idx="1315">
                  <c:v>1.8845020901827603E-3</c:v>
                </c:pt>
                <c:pt idx="1316">
                  <c:v>1.8940394823132589E-3</c:v>
                </c:pt>
                <c:pt idx="1317">
                  <c:v>1.9035696415126147E-3</c:v>
                </c:pt>
                <c:pt idx="1318">
                  <c:v>1.9321167250647697E-3</c:v>
                </c:pt>
                <c:pt idx="1319">
                  <c:v>1.9416179562365965E-3</c:v>
                </c:pt>
                <c:pt idx="1320">
                  <c:v>1.95111195640707E-3</c:v>
                </c:pt>
                <c:pt idx="1321">
                  <c:v>1.9605987256872126E-3</c:v>
                </c:pt>
                <c:pt idx="1322">
                  <c:v>1.9700782647542603E-3</c:v>
                </c:pt>
                <c:pt idx="1323">
                  <c:v>1.9984735043694357E-3</c:v>
                </c:pt>
                <c:pt idx="1324">
                  <c:v>2.0079241259625125E-3</c:v>
                </c:pt>
                <c:pt idx="1325">
                  <c:v>2.0173675194352647E-3</c:v>
                </c:pt>
                <c:pt idx="1326">
                  <c:v>2.026803684740841E-3</c:v>
                </c:pt>
                <c:pt idx="1327">
                  <c:v>2.0362326222369553E-3</c:v>
                </c:pt>
                <c:pt idx="1328">
                  <c:v>2.0644760729373601E-3</c:v>
                </c:pt>
                <c:pt idx="1329">
                  <c:v>2.0738761033889386E-3</c:v>
                </c:pt>
                <c:pt idx="1330">
                  <c:v>2.0832689082088685E-3</c:v>
                </c:pt>
                <c:pt idx="1331">
                  <c:v>2.0926544875154995E-3</c:v>
                </c:pt>
                <c:pt idx="1332">
                  <c:v>2.1020328415028988E-3</c:v>
                </c:pt>
                <c:pt idx="1333">
                  <c:v>2.1301245566502924E-3</c:v>
                </c:pt>
                <c:pt idx="1334">
                  <c:v>2.1394740137363755E-3</c:v>
                </c:pt>
                <c:pt idx="1335">
                  <c:v>2.1488162474518901E-3</c:v>
                </c:pt>
                <c:pt idx="1336">
                  <c:v>2.1581512581516638E-3</c:v>
                </c:pt>
                <c:pt idx="1337">
                  <c:v>2.1674790461960747E-3</c:v>
                </c:pt>
                <c:pt idx="1338">
                  <c:v>2.1954190774085003E-3</c:v>
                </c:pt>
                <c:pt idx="1339">
                  <c:v>2.2047179780086967E-3</c:v>
                </c:pt>
                <c:pt idx="1340">
                  <c:v>2.2140096575826718E-3</c:v>
                </c:pt>
                <c:pt idx="1341">
                  <c:v>2.2232941166524522E-3</c:v>
                </c:pt>
                <c:pt idx="1342">
                  <c:v>2.2325713552537874E-3</c:v>
                </c:pt>
                <c:pt idx="1343">
                  <c:v>2.2603597526533736E-3</c:v>
                </c:pt>
                <c:pt idx="1344">
                  <c:v>2.2696081132214108E-3</c:v>
                </c:pt>
                <c:pt idx="1345">
                  <c:v>2.2788492550420703E-3</c:v>
                </c:pt>
                <c:pt idx="1346">
                  <c:v>2.2880832073148838E-3</c:v>
                </c:pt>
                <c:pt idx="1347">
                  <c:v>2.2973100844134731E-3</c:v>
                </c:pt>
                <c:pt idx="1348">
                  <c:v>2.3249484391976161E-3</c:v>
                </c:pt>
                <c:pt idx="1349">
                  <c:v>2.3341471333355734E-3</c:v>
                </c:pt>
                <c:pt idx="1350">
                  <c:v>2.3433387823257323E-3</c:v>
                </c:pt>
                <c:pt idx="1351">
                  <c:v>2.3525233869376994E-3</c:v>
                </c:pt>
                <c:pt idx="1352">
                  <c:v>2.3617009468934747E-3</c:v>
                </c:pt>
                <c:pt idx="1353">
                  <c:v>2.389191364905896E-3</c:v>
                </c:pt>
                <c:pt idx="1354">
                  <c:v>2.3983407508707533E-3</c:v>
                </c:pt>
                <c:pt idx="1355">
                  <c:v>2.4074830943368042E-3</c:v>
                </c:pt>
                <c:pt idx="1356">
                  <c:v>2.4166183952676334E-3</c:v>
                </c:pt>
                <c:pt idx="1357">
                  <c:v>2.4257466541128814E-3</c:v>
                </c:pt>
                <c:pt idx="1358">
                  <c:v>2.4530891809262378E-3</c:v>
                </c:pt>
                <c:pt idx="1359">
                  <c:v>2.4621892742213713E-3</c:v>
                </c:pt>
                <c:pt idx="1360">
                  <c:v>2.471282327110691E-3</c:v>
                </c:pt>
                <c:pt idx="1361">
                  <c:v>2.4803683394791776E-3</c:v>
                </c:pt>
                <c:pt idx="1362">
                  <c:v>2.489447311938342E-3</c:v>
                </c:pt>
                <c:pt idx="1363">
                  <c:v>2.5166419920954475E-3</c:v>
                </c:pt>
                <c:pt idx="1364">
                  <c:v>2.5256928072390217E-3</c:v>
                </c:pt>
                <c:pt idx="1365">
                  <c:v>2.5347365839150093E-3</c:v>
                </c:pt>
                <c:pt idx="1366">
                  <c:v>2.5437733223356851E-3</c:v>
                </c:pt>
                <c:pt idx="1367">
                  <c:v>2.5528030228678666E-3</c:v>
                </c:pt>
                <c:pt idx="1368">
                  <c:v>2.5798498987616991E-3</c:v>
                </c:pt>
                <c:pt idx="1369">
                  <c:v>2.5888514500840287E-3</c:v>
                </c:pt>
                <c:pt idx="1370">
                  <c:v>2.5978459645703555E-3</c:v>
                </c:pt>
                <c:pt idx="1371">
                  <c:v>2.6068334429090179E-3</c:v>
                </c:pt>
                <c:pt idx="1372">
                  <c:v>2.6158138850735924E-3</c:v>
                </c:pt>
                <c:pt idx="1373">
                  <c:v>2.6427129980586272E-3</c:v>
                </c:pt>
                <c:pt idx="1374">
                  <c:v>2.651665298670336E-3</c:v>
                </c:pt>
                <c:pt idx="1375">
                  <c:v>2.6606105645603506E-3</c:v>
                </c:pt>
                <c:pt idx="1376">
                  <c:v>2.6695487961845288E-3</c:v>
                </c:pt>
                <c:pt idx="1377">
                  <c:v>2.6784799934300718E-3</c:v>
                </c:pt>
                <c:pt idx="1378">
                  <c:v>2.7052313826325669E-3</c:v>
                </c:pt>
                <c:pt idx="1379">
                  <c:v>2.7141344456940164E-3</c:v>
                </c:pt>
                <c:pt idx="1380">
                  <c:v>2.7230304760028634E-3</c:v>
                </c:pt>
                <c:pt idx="1381">
                  <c:v>2.7319194733670393E-3</c:v>
                </c:pt>
                <c:pt idx="1382">
                  <c:v>2.7408014384042723E-3</c:v>
                </c:pt>
                <c:pt idx="1383">
                  <c:v>2.7674051415891299E-3</c:v>
                </c:pt>
                <c:pt idx="1384">
                  <c:v>2.7762589794422254E-3</c:v>
                </c:pt>
                <c:pt idx="1385">
                  <c:v>2.7851057861114636E-3</c:v>
                </c:pt>
                <c:pt idx="1386">
                  <c:v>2.7939455618946063E-3</c:v>
                </c:pt>
                <c:pt idx="1387">
                  <c:v>2.8027783069215495E-3</c:v>
                </c:pt>
                <c:pt idx="1388">
                  <c:v>2.8292343600235803E-3</c:v>
                </c:pt>
                <c:pt idx="1389">
                  <c:v>2.8380389846600629E-3</c:v>
                </c:pt>
                <c:pt idx="1390">
                  <c:v>2.8468365796929795E-3</c:v>
                </c:pt>
                <c:pt idx="1391">
                  <c:v>2.8556271453412663E-3</c:v>
                </c:pt>
                <c:pt idx="1392">
                  <c:v>2.8644106819764037E-3</c:v>
                </c:pt>
                <c:pt idx="1393">
                  <c:v>2.8907191195721715E-3</c:v>
                </c:pt>
                <c:pt idx="1394">
                  <c:v>2.8994745420769519E-3</c:v>
                </c:pt>
                <c:pt idx="1395">
                  <c:v>2.9082229366508283E-3</c:v>
                </c:pt>
                <c:pt idx="1396">
                  <c:v>2.9169643034254733E-3</c:v>
                </c:pt>
                <c:pt idx="1397">
                  <c:v>2.9256986427816933E-3</c:v>
                </c:pt>
                <c:pt idx="1398">
                  <c:v>2.9518594975270762E-3</c:v>
                </c:pt>
                <c:pt idx="1399">
                  <c:v>2.9605657288063192E-3</c:v>
                </c:pt>
                <c:pt idx="1400">
                  <c:v>2.969264933666782E-3</c:v>
                </c:pt>
                <c:pt idx="1401">
                  <c:v>2.9779571121690829E-3</c:v>
                </c:pt>
                <c:pt idx="1402">
                  <c:v>2.986642264767525E-3</c:v>
                </c:pt>
                <c:pt idx="1403">
                  <c:v>3.0126555678877676E-3</c:v>
                </c:pt>
                <c:pt idx="1404">
                  <c:v>3.0213126181735106E-3</c:v>
                </c:pt>
                <c:pt idx="1405">
                  <c:v>3.0299626434879823E-3</c:v>
                </c:pt>
                <c:pt idx="1406">
                  <c:v>3.0386056439657416E-3</c:v>
                </c:pt>
                <c:pt idx="1407">
                  <c:v>3.0472416195084229E-3</c:v>
                </c:pt>
                <c:pt idx="1408">
                  <c:v>3.0731074007830372E-3</c:v>
                </c:pt>
                <c:pt idx="1409">
                  <c:v>3.0817152798086056E-3</c:v>
                </c:pt>
                <c:pt idx="1410">
                  <c:v>3.0903161351505393E-3</c:v>
                </c:pt>
                <c:pt idx="1411">
                  <c:v>3.0989066843369883E-3</c:v>
                </c:pt>
                <c:pt idx="1412">
                  <c:v>3.1074737968463939E-3</c:v>
                </c:pt>
                <c:pt idx="1413">
                  <c:v>3.1330148086088361E-3</c:v>
                </c:pt>
                <c:pt idx="1414">
                  <c:v>3.1414750341238751E-3</c:v>
                </c:pt>
                <c:pt idx="1415">
                  <c:v>3.1499085351360812E-3</c:v>
                </c:pt>
                <c:pt idx="1416">
                  <c:v>3.1583153109677742E-3</c:v>
                </c:pt>
                <c:pt idx="1417">
                  <c:v>3.1666953603106673E-3</c:v>
                </c:pt>
                <c:pt idx="1418">
                  <c:v>3.1916751401421806E-3</c:v>
                </c:pt>
                <c:pt idx="1419">
                  <c:v>3.1999482738036544E-3</c:v>
                </c:pt>
                <c:pt idx="1420">
                  <c:v>3.2081946758033553E-3</c:v>
                </c:pt>
                <c:pt idx="1421">
                  <c:v>3.2164143454058713E-3</c:v>
                </c:pt>
                <c:pt idx="1422">
                  <c:v>3.2246072810722115E-3</c:v>
                </c:pt>
                <c:pt idx="1423">
                  <c:v>3.2490256761501524E-3</c:v>
                </c:pt>
                <c:pt idx="1424">
                  <c:v>3.2571116666606503E-3</c:v>
                </c:pt>
                <c:pt idx="1425">
                  <c:v>3.2651709181377164E-3</c:v>
                </c:pt>
                <c:pt idx="1426">
                  <c:v>3.2732034295408496E-3</c:v>
                </c:pt>
                <c:pt idx="1427">
                  <c:v>3.2812091999034898E-3</c:v>
                </c:pt>
                <c:pt idx="1428">
                  <c:v>3.3050660530891118E-3</c:v>
                </c:pt>
                <c:pt idx="1429">
                  <c:v>3.3129648475520579E-3</c:v>
                </c:pt>
                <c:pt idx="1430">
                  <c:v>3.3208368957982071E-3</c:v>
                </c:pt>
                <c:pt idx="1431">
                  <c:v>3.3286821962319468E-3</c:v>
                </c:pt>
                <c:pt idx="1432">
                  <c:v>3.3365007476693354E-3</c:v>
                </c:pt>
                <c:pt idx="1433">
                  <c:v>3.3597958979825204E-3</c:v>
                </c:pt>
                <c:pt idx="1434">
                  <c:v>3.367507442871176E-3</c:v>
                </c:pt>
                <c:pt idx="1435">
                  <c:v>3.375192233251445E-3</c:v>
                </c:pt>
                <c:pt idx="1436">
                  <c:v>3.3828502681132466E-3</c:v>
                </c:pt>
                <c:pt idx="1437">
                  <c:v>3.3904815463585702E-3</c:v>
                </c:pt>
                <c:pt idx="1438">
                  <c:v>3.4132148289123254E-3</c:v>
                </c:pt>
                <c:pt idx="1439">
                  <c:v>3.4207390688512085E-3</c:v>
                </c:pt>
                <c:pt idx="1440">
                  <c:v>3.4282365461029141E-3</c:v>
                </c:pt>
                <c:pt idx="1441">
                  <c:v>3.4357072598236726E-3</c:v>
                </c:pt>
                <c:pt idx="1442">
                  <c:v>3.4431512088595184E-3</c:v>
                </c:pt>
                <c:pt idx="1443">
                  <c:v>3.4653224555643014E-3</c:v>
                </c:pt>
                <c:pt idx="1444">
                  <c:v>3.4726593335872025E-3</c:v>
                </c:pt>
                <c:pt idx="1445">
                  <c:v>3.4799694411604687E-3</c:v>
                </c:pt>
                <c:pt idx="1446">
                  <c:v>3.4872527771425688E-3</c:v>
                </c:pt>
                <c:pt idx="1447">
                  <c:v>3.494509339663443E-3</c:v>
                </c:pt>
                <c:pt idx="1448">
                  <c:v>3.5161183782828065E-3</c:v>
                </c:pt>
                <c:pt idx="1449">
                  <c:v>3.5232678371792669E-3</c:v>
                </c:pt>
                <c:pt idx="1450">
                  <c:v>3.5303905171739647E-3</c:v>
                </c:pt>
                <c:pt idx="1451">
                  <c:v>3.5374864168904452E-3</c:v>
                </c:pt>
                <c:pt idx="1452">
                  <c:v>3.544555535445193E-3</c:v>
                </c:pt>
                <c:pt idx="1453">
                  <c:v>3.5656021903802682E-3</c:v>
                </c:pt>
                <c:pt idx="1454">
                  <c:v>3.5725641712673895E-3</c:v>
                </c:pt>
                <c:pt idx="1455">
                  <c:v>3.5794993645785755E-3</c:v>
                </c:pt>
                <c:pt idx="1456">
                  <c:v>3.5864077693539276E-3</c:v>
                </c:pt>
                <c:pt idx="1457">
                  <c:v>3.5932893841632563E-3</c:v>
                </c:pt>
                <c:pt idx="1458">
                  <c:v>3.6137734768668661E-3</c:v>
                </c:pt>
                <c:pt idx="1459">
                  <c:v>3.6205479196631529E-3</c:v>
                </c:pt>
                <c:pt idx="1460">
                  <c:v>3.6272955667104867E-3</c:v>
                </c:pt>
                <c:pt idx="1461">
                  <c:v>3.6340164158692456E-3</c:v>
                </c:pt>
                <c:pt idx="1462">
                  <c:v>3.6407104669182733E-3</c:v>
                </c:pt>
                <c:pt idx="1463">
                  <c:v>3.6606318154133177E-3</c:v>
                </c:pt>
                <c:pt idx="1464">
                  <c:v>3.6672186595549938E-3</c:v>
                </c:pt>
                <c:pt idx="1465">
                  <c:v>3.6737786986038579E-3</c:v>
                </c:pt>
                <c:pt idx="1466">
                  <c:v>3.680311931629543E-3</c:v>
                </c:pt>
                <c:pt idx="1467">
                  <c:v>3.6868183572316138E-3</c:v>
                </c:pt>
                <c:pt idx="1468">
                  <c:v>3.7061767769821508E-3</c:v>
                </c:pt>
                <c:pt idx="1469">
                  <c:v>3.7125759601555064E-3</c:v>
                </c:pt>
                <c:pt idx="1470">
                  <c:v>3.7189483296287129E-3</c:v>
                </c:pt>
                <c:pt idx="1471">
                  <c:v>3.7252938840945937E-3</c:v>
                </c:pt>
                <c:pt idx="1472">
                  <c:v>3.7316126219977264E-3</c:v>
                </c:pt>
                <c:pt idx="1473">
                  <c:v>3.7504079251262645E-3</c:v>
                </c:pt>
                <c:pt idx="1474">
                  <c:v>3.7566193847731189E-3</c:v>
                </c:pt>
                <c:pt idx="1475">
                  <c:v>3.7628139747003519E-3</c:v>
                </c:pt>
                <c:pt idx="1476">
                  <c:v>3.7690315071396974E-3</c:v>
                </c:pt>
                <c:pt idx="1477">
                  <c:v>3.7752819370440172E-3</c:v>
                </c:pt>
                <c:pt idx="1478">
                  <c:v>3.7942306352376498E-3</c:v>
                </c:pt>
                <c:pt idx="1479">
                  <c:v>3.8006126783987071E-3</c:v>
                </c:pt>
                <c:pt idx="1480">
                  <c:v>3.8070276308599382E-3</c:v>
                </c:pt>
                <c:pt idx="1481">
                  <c:v>3.813475494939933E-3</c:v>
                </c:pt>
                <c:pt idx="1482">
                  <c:v>3.8199562728709058E-3</c:v>
                </c:pt>
                <c:pt idx="1483">
                  <c:v>3.8395961138086854E-3</c:v>
                </c:pt>
                <c:pt idx="1484">
                  <c:v>3.8462085710295746E-3</c:v>
                </c:pt>
                <c:pt idx="1485">
                  <c:v>3.8528539541400342E-3</c:v>
                </c:pt>
                <c:pt idx="1486">
                  <c:v>3.859532265797716E-3</c:v>
                </c:pt>
                <c:pt idx="1487">
                  <c:v>3.8662435079375168E-3</c:v>
                </c:pt>
                <c:pt idx="1488">
                  <c:v>3.886574843205759E-3</c:v>
                </c:pt>
                <c:pt idx="1489">
                  <c:v>3.8934178326748281E-3</c:v>
                </c:pt>
                <c:pt idx="1490">
                  <c:v>3.9002937651821945E-3</c:v>
                </c:pt>
                <c:pt idx="1491">
                  <c:v>3.9072026430826412E-3</c:v>
                </c:pt>
                <c:pt idx="1492">
                  <c:v>3.9141444689843041E-3</c:v>
                </c:pt>
                <c:pt idx="1493">
                  <c:v>3.9351676598016194E-3</c:v>
                </c:pt>
                <c:pt idx="1494">
                  <c:v>3.9422413026779513E-3</c:v>
                </c:pt>
                <c:pt idx="1495">
                  <c:v>3.9493479062973069E-3</c:v>
                </c:pt>
                <c:pt idx="1496">
                  <c:v>3.9564874728061916E-3</c:v>
                </c:pt>
                <c:pt idx="1497">
                  <c:v>3.963660005468661E-3</c:v>
                </c:pt>
                <c:pt idx="1498">
                  <c:v>3.9853754225387394E-3</c:v>
                </c:pt>
                <c:pt idx="1499">
                  <c:v>3.9926798436691335E-3</c:v>
                </c:pt>
              </c:numCache>
            </c:numRef>
          </c:val>
          <c:smooth val="0"/>
        </c:ser>
        <c:ser>
          <c:idx val="3"/>
          <c:order val="1"/>
          <c:tx>
            <c:v>EUR1ML</c:v>
          </c:tx>
          <c:marker>
            <c:symbol val="none"/>
          </c:marker>
          <c:val>
            <c:numRef>
              <c:f>Forwards!$G$15:$G$1514</c:f>
              <c:numCache>
                <c:formatCode>0.00000%</c:formatCode>
                <c:ptCount val="1500"/>
                <c:pt idx="0">
                  <c:v>-3.488007533009453E-3</c:v>
                </c:pt>
                <c:pt idx="1">
                  <c:v>-3.489003889974493E-3</c:v>
                </c:pt>
                <c:pt idx="2">
                  <c:v>-3.4899996600863854E-3</c:v>
                </c:pt>
                <c:pt idx="3">
                  <c:v>-3.4909954301982778E-3</c:v>
                </c:pt>
                <c:pt idx="4">
                  <c:v>-3.4939886090654231E-3</c:v>
                </c:pt>
                <c:pt idx="5">
                  <c:v>-3.4949902477087822E-3</c:v>
                </c:pt>
                <c:pt idx="6">
                  <c:v>-3.4959948206178745E-3</c:v>
                </c:pt>
                <c:pt idx="7">
                  <c:v>-3.4970029146458477E-3</c:v>
                </c:pt>
                <c:pt idx="8">
                  <c:v>-3.4980151166458472E-3</c:v>
                </c:pt>
                <c:pt idx="9">
                  <c:v>-3.5010822390094715E-3</c:v>
                </c:pt>
                <c:pt idx="10">
                  <c:v>-3.502116741429044E-3</c:v>
                </c:pt>
                <c:pt idx="11">
                  <c:v>-3.5031582860863765E-3</c:v>
                </c:pt>
                <c:pt idx="12">
                  <c:v>-3.5042074598346153E-3</c:v>
                </c:pt>
                <c:pt idx="13">
                  <c:v>-3.5052648495269081E-3</c:v>
                </c:pt>
                <c:pt idx="14">
                  <c:v>-3.5084921827995726E-3</c:v>
                </c:pt>
                <c:pt idx="15">
                  <c:v>-3.5095883047995447E-3</c:v>
                </c:pt>
                <c:pt idx="16">
                  <c:v>-3.5106955770093031E-3</c:v>
                </c:pt>
                <c:pt idx="17">
                  <c:v>-3.5118145862819954E-3</c:v>
                </c:pt>
                <c:pt idx="18">
                  <c:v>-3.5129459194707668E-3</c:v>
                </c:pt>
                <c:pt idx="19">
                  <c:v>-3.5164197310650299E-3</c:v>
                </c:pt>
                <c:pt idx="20">
                  <c:v>-3.5176062284495886E-3</c:v>
                </c:pt>
                <c:pt idx="21">
                  <c:v>-3.5188079840159604E-3</c:v>
                </c:pt>
                <c:pt idx="22">
                  <c:v>-3.5200255846172916E-3</c:v>
                </c:pt>
                <c:pt idx="23">
                  <c:v>-3.52125961710673E-3</c:v>
                </c:pt>
                <c:pt idx="24">
                  <c:v>-3.5250661744351507E-3</c:v>
                </c:pt>
                <c:pt idx="25">
                  <c:v>-3.5263715597850767E-3</c:v>
                </c:pt>
                <c:pt idx="26">
                  <c:v>-3.5276948519484133E-3</c:v>
                </c:pt>
                <c:pt idx="27">
                  <c:v>-3.529035178437878E-3</c:v>
                </c:pt>
                <c:pt idx="28">
                  <c:v>-3.5303916667661869E-3</c:v>
                </c:pt>
                <c:pt idx="29">
                  <c:v>-3.5345493779113542E-3</c:v>
                </c:pt>
                <c:pt idx="30">
                  <c:v>-3.5359617887222149E-3</c:v>
                </c:pt>
                <c:pt idx="31">
                  <c:v>-3.5373859989355047E-3</c:v>
                </c:pt>
                <c:pt idx="32">
                  <c:v>-3.5388211360639428E-3</c:v>
                </c:pt>
                <c:pt idx="33">
                  <c:v>-3.5402663276202467E-3</c:v>
                </c:pt>
                <c:pt idx="34">
                  <c:v>-3.5446535039835177E-3</c:v>
                </c:pt>
                <c:pt idx="35">
                  <c:v>-3.5461301883784532E-3</c:v>
                </c:pt>
                <c:pt idx="36">
                  <c:v>-3.5476125647648394E-3</c:v>
                </c:pt>
                <c:pt idx="37">
                  <c:v>-3.5490997606553928E-3</c:v>
                </c:pt>
                <c:pt idx="38">
                  <c:v>-3.5505909035628319E-3</c:v>
                </c:pt>
                <c:pt idx="39">
                  <c:v>-3.5550792895136327E-3</c:v>
                </c:pt>
                <c:pt idx="40">
                  <c:v>-3.5565774956157841E-3</c:v>
                </c:pt>
                <c:pt idx="41">
                  <c:v>-3.5580752862984072E-3</c:v>
                </c:pt>
                <c:pt idx="42">
                  <c:v>-3.5595717890742184E-3</c:v>
                </c:pt>
                <c:pt idx="43">
                  <c:v>-3.561066131455935E-3</c:v>
                </c:pt>
                <c:pt idx="44">
                  <c:v>-3.5655274713636892E-3</c:v>
                </c:pt>
                <c:pt idx="45">
                  <c:v>-3.5670044472961991E-3</c:v>
                </c:pt>
                <c:pt idx="46">
                  <c:v>-3.5684750833912221E-3</c:v>
                </c:pt>
                <c:pt idx="47">
                  <c:v>-3.5699394221265844E-3</c:v>
                </c:pt>
                <c:pt idx="48">
                  <c:v>-3.5713976889731325E-3</c:v>
                </c:pt>
                <c:pt idx="49">
                  <c:v>-3.5757383128883725E-3</c:v>
                </c:pt>
                <c:pt idx="50">
                  <c:v>-3.5771745468881418E-3</c:v>
                </c:pt>
                <c:pt idx="51">
                  <c:v>-3.5786058363533354E-3</c:v>
                </c:pt>
                <c:pt idx="52">
                  <c:v>-3.5800324067548012E-3</c:v>
                </c:pt>
                <c:pt idx="53">
                  <c:v>-3.5814544835633868E-3</c:v>
                </c:pt>
                <c:pt idx="54">
                  <c:v>-3.5856960071403328E-3</c:v>
                </c:pt>
                <c:pt idx="55">
                  <c:v>-3.5871023642858714E-3</c:v>
                </c:pt>
                <c:pt idx="56">
                  <c:v>-3.5885053551927659E-3</c:v>
                </c:pt>
                <c:pt idx="57">
                  <c:v>-3.5899052053318657E-3</c:v>
                </c:pt>
                <c:pt idx="58">
                  <c:v>-3.5913021401740171E-3</c:v>
                </c:pt>
                <c:pt idx="59">
                  <c:v>-3.5954777076272612E-3</c:v>
                </c:pt>
                <c:pt idx="60">
                  <c:v>-3.596865235990098E-3</c:v>
                </c:pt>
                <c:pt idx="61">
                  <c:v>-3.5982509764102234E-3</c:v>
                </c:pt>
                <c:pt idx="62">
                  <c:v>-3.5996351543584881E-3</c:v>
                </c:pt>
                <c:pt idx="63">
                  <c:v>-3.6010179953057373E-3</c:v>
                </c:pt>
                <c:pt idx="64">
                  <c:v>-3.6051607508498697E-3</c:v>
                </c:pt>
                <c:pt idx="65">
                  <c:v>-3.6065404985015344E-3</c:v>
                </c:pt>
                <c:pt idx="66">
                  <c:v>-3.6079200365064226E-3</c:v>
                </c:pt>
                <c:pt idx="67">
                  <c:v>-3.6092995903353807E-3</c:v>
                </c:pt>
                <c:pt idx="68">
                  <c:v>-3.6106793854592568E-3</c:v>
                </c:pt>
                <c:pt idx="69">
                  <c:v>-3.6148217183376323E-3</c:v>
                </c:pt>
                <c:pt idx="70">
                  <c:v>-3.6162036987594415E-3</c:v>
                </c:pt>
                <c:pt idx="71">
                  <c:v>-3.6175863767448639E-3</c:v>
                </c:pt>
                <c:pt idx="72">
                  <c:v>-3.6189698099933589E-3</c:v>
                </c:pt>
                <c:pt idx="73">
                  <c:v>-3.6203540562043889E-3</c:v>
                </c:pt>
                <c:pt idx="74">
                  <c:v>-3.6245122496073039E-3</c:v>
                </c:pt>
                <c:pt idx="75">
                  <c:v>-3.6259003246630886E-3</c:v>
                </c:pt>
                <c:pt idx="76">
                  <c:v>-3.6272895011787158E-3</c:v>
                </c:pt>
                <c:pt idx="77">
                  <c:v>-3.6286798368536485E-3</c:v>
                </c:pt>
                <c:pt idx="78">
                  <c:v>-3.6300713893873461E-3</c:v>
                </c:pt>
                <c:pt idx="79">
                  <c:v>-3.6342539251356478E-3</c:v>
                </c:pt>
                <c:pt idx="80">
                  <c:v>-3.6356509220990233E-3</c:v>
                </c:pt>
                <c:pt idx="81">
                  <c:v>-3.6370494244184716E-3</c:v>
                </c:pt>
                <c:pt idx="82">
                  <c:v>-3.638449489793456E-3</c:v>
                </c:pt>
                <c:pt idx="83">
                  <c:v>-3.6398511759234372E-3</c:v>
                </c:pt>
                <c:pt idx="84">
                  <c:v>-3.6440665358379743E-3</c:v>
                </c:pt>
                <c:pt idx="85">
                  <c:v>-3.6454752819825567E-3</c:v>
                </c:pt>
                <c:pt idx="86">
                  <c:v>-3.646885937379443E-3</c:v>
                </c:pt>
                <c:pt idx="87">
                  <c:v>-3.6482985597280954E-3</c:v>
                </c:pt>
                <c:pt idx="88">
                  <c:v>-3.6497132067279752E-3</c:v>
                </c:pt>
                <c:pt idx="89">
                  <c:v>-3.6539698726295953E-3</c:v>
                </c:pt>
                <c:pt idx="90">
                  <c:v>-3.6553931550851789E-3</c:v>
                </c:pt>
                <c:pt idx="91">
                  <c:v>-3.6568185098263682E-3</c:v>
                </c:pt>
                <c:pt idx="92">
                  <c:v>-3.6582457536896967E-3</c:v>
                </c:pt>
                <c:pt idx="93">
                  <c:v>-3.6596747035116954E-3</c:v>
                </c:pt>
                <c:pt idx="94">
                  <c:v>-3.6639699570950447E-3</c:v>
                </c:pt>
                <c:pt idx="95">
                  <c:v>-3.6654038991170532E-3</c:v>
                </c:pt>
                <c:pt idx="96">
                  <c:v>-3.6668386312803951E-3</c:v>
                </c:pt>
                <c:pt idx="97">
                  <c:v>-3.6682739704216026E-3</c:v>
                </c:pt>
                <c:pt idx="98">
                  <c:v>-3.669709733377209E-3</c:v>
                </c:pt>
                <c:pt idx="99">
                  <c:v>-3.6740177334957432E-3</c:v>
                </c:pt>
                <c:pt idx="100">
                  <c:v>-3.6754533600742681E-3</c:v>
                </c:pt>
                <c:pt idx="101">
                  <c:v>-3.6768884946498537E-3</c:v>
                </c:pt>
                <c:pt idx="102">
                  <c:v>-3.6783229540590331E-3</c:v>
                </c:pt>
                <c:pt idx="103">
                  <c:v>-3.6797565551383378E-3</c:v>
                </c:pt>
                <c:pt idx="104">
                  <c:v>-3.684050376762333E-3</c:v>
                </c:pt>
                <c:pt idx="105">
                  <c:v>-3.6854787128874664E-3</c:v>
                </c:pt>
                <c:pt idx="106">
                  <c:v>-3.6869052748653877E-3</c:v>
                </c:pt>
                <c:pt idx="107">
                  <c:v>-3.6883298795326301E-3</c:v>
                </c:pt>
                <c:pt idx="108">
                  <c:v>-3.6897523437257255E-3</c:v>
                </c:pt>
                <c:pt idx="109">
                  <c:v>-3.6940050618254569E-3</c:v>
                </c:pt>
                <c:pt idx="110">
                  <c:v>-3.6954171324872901E-3</c:v>
                </c:pt>
                <c:pt idx="111">
                  <c:v>-3.6968261468576392E-3</c:v>
                </c:pt>
                <c:pt idx="112">
                  <c:v>-3.6982320911637672E-3</c:v>
                </c:pt>
                <c:pt idx="113">
                  <c:v>-3.6996356291958588E-3</c:v>
                </c:pt>
                <c:pt idx="114">
                  <c:v>-3.7038401374570704E-3</c:v>
                </c:pt>
                <c:pt idx="115">
                  <c:v>-3.7052423822021728E-3</c:v>
                </c:pt>
                <c:pt idx="116">
                  <c:v>-3.7066463865778154E-3</c:v>
                </c:pt>
                <c:pt idx="117">
                  <c:v>-3.7080529837649149E-3</c:v>
                </c:pt>
                <c:pt idx="118">
                  <c:v>-3.7094630069443879E-3</c:v>
                </c:pt>
                <c:pt idx="119">
                  <c:v>-3.7137219642461947E-3</c:v>
                </c:pt>
                <c:pt idx="120">
                  <c:v>-3.7151540232043118E-3</c:v>
                </c:pt>
                <c:pt idx="121">
                  <c:v>-3.7165936740593802E-3</c:v>
                </c:pt>
                <c:pt idx="122">
                  <c:v>-3.7180417499923131E-3</c:v>
                </c:pt>
                <c:pt idx="123">
                  <c:v>-3.719499084184028E-3</c:v>
                </c:pt>
                <c:pt idx="124">
                  <c:v>-3.7239349681210134E-3</c:v>
                </c:pt>
                <c:pt idx="125">
                  <c:v>-3.7254376671570083E-3</c:v>
                </c:pt>
                <c:pt idx="126">
                  <c:v>-3.7269537903563623E-3</c:v>
                </c:pt>
                <c:pt idx="127">
                  <c:v>-3.7284841708999897E-3</c:v>
                </c:pt>
                <c:pt idx="128">
                  <c:v>-3.7300296419688077E-3</c:v>
                </c:pt>
                <c:pt idx="129">
                  <c:v>-3.734764930135556E-3</c:v>
                </c:pt>
                <c:pt idx="130">
                  <c:v>-3.736379095114289E-3</c:v>
                </c:pt>
                <c:pt idx="131">
                  <c:v>-3.7380125165227896E-3</c:v>
                </c:pt>
                <c:pt idx="132">
                  <c:v>-3.739666027541973E-3</c:v>
                </c:pt>
                <c:pt idx="133">
                  <c:v>-3.7413404613527556E-3</c:v>
                </c:pt>
                <c:pt idx="134">
                  <c:v>-3.7464866003622953E-3</c:v>
                </c:pt>
                <c:pt idx="135">
                  <c:v>-3.7482379406183508E-3</c:v>
                </c:pt>
                <c:pt idx="136">
                  <c:v>-3.7500045642536442E-3</c:v>
                </c:pt>
                <c:pt idx="137">
                  <c:v>-3.7517848531198579E-3</c:v>
                </c:pt>
                <c:pt idx="138">
                  <c:v>-3.7535771890686736E-3</c:v>
                </c:pt>
                <c:pt idx="139">
                  <c:v>-3.759010297927543E-3</c:v>
                </c:pt>
                <c:pt idx="140">
                  <c:v>-3.7608346407235777E-3</c:v>
                </c:pt>
                <c:pt idx="141">
                  <c:v>-3.7626629398606211E-3</c:v>
                </c:pt>
                <c:pt idx="142">
                  <c:v>-3.7644935771903526E-3</c:v>
                </c:pt>
                <c:pt idx="143">
                  <c:v>-3.7663249345644551E-3</c:v>
                </c:pt>
                <c:pt idx="144">
                  <c:v>-3.7718071454697962E-3</c:v>
                </c:pt>
                <c:pt idx="145">
                  <c:v>-3.7736252015381916E-3</c:v>
                </c:pt>
                <c:pt idx="146">
                  <c:v>-3.7754358869093643E-3</c:v>
                </c:pt>
                <c:pt idx="147">
                  <c:v>-3.7772375834349949E-3</c:v>
                </c:pt>
                <c:pt idx="148">
                  <c:v>-3.779028672966765E-3</c:v>
                </c:pt>
                <c:pt idx="149">
                  <c:v>-3.7860545981888592E-3</c:v>
                </c:pt>
                <c:pt idx="150">
                  <c:v>-3.787768380526543E-3</c:v>
                </c:pt>
                <c:pt idx="151">
                  <c:v>-3.7894618469804524E-3</c:v>
                </c:pt>
                <c:pt idx="152">
                  <c:v>-3.7911333794022708E-3</c:v>
                </c:pt>
                <c:pt idx="153">
                  <c:v>-3.7960088595398178E-3</c:v>
                </c:pt>
                <c:pt idx="154">
                  <c:v>-3.7975811038459691E-3</c:v>
                </c:pt>
                <c:pt idx="155">
                  <c:v>-3.7991263596144397E-3</c:v>
                </c:pt>
                <c:pt idx="156">
                  <c:v>-3.8006462097140963E-3</c:v>
                </c:pt>
                <c:pt idx="157">
                  <c:v>-3.8021422370138058E-3</c:v>
                </c:pt>
                <c:pt idx="158">
                  <c:v>-3.8065032108019286E-3</c:v>
                </c:pt>
                <c:pt idx="159">
                  <c:v>-3.8079197755905253E-3</c:v>
                </c:pt>
                <c:pt idx="160">
                  <c:v>-3.8093204319235127E-3</c:v>
                </c:pt>
                <c:pt idx="161">
                  <c:v>-3.810706762669756E-3</c:v>
                </c:pt>
                <c:pt idx="162">
                  <c:v>-3.8120803506981249E-3</c:v>
                </c:pt>
                <c:pt idx="163">
                  <c:v>-3.8161404871646524E-3</c:v>
                </c:pt>
                <c:pt idx="164">
                  <c:v>-3.817478933010193E-3</c:v>
                </c:pt>
                <c:pt idx="165">
                  <c:v>-3.8188125504821941E-3</c:v>
                </c:pt>
                <c:pt idx="166">
                  <c:v>-3.8201429224495251E-3</c:v>
                </c:pt>
                <c:pt idx="167">
                  <c:v>-3.8214716317810518E-3</c:v>
                </c:pt>
                <c:pt idx="168">
                  <c:v>-3.8254636126494796E-3</c:v>
                </c:pt>
                <c:pt idx="169">
                  <c:v>-3.8268015001264636E-3</c:v>
                </c:pt>
                <c:pt idx="170">
                  <c:v>-3.828145639311979E-3</c:v>
                </c:pt>
                <c:pt idx="171">
                  <c:v>-3.8294976130748945E-3</c:v>
                </c:pt>
                <c:pt idx="172">
                  <c:v>-3.8308590042840773E-3</c:v>
                </c:pt>
                <c:pt idx="173">
                  <c:v>-3.8350155112779022E-3</c:v>
                </c:pt>
                <c:pt idx="174">
                  <c:v>-3.8364304009608275E-3</c:v>
                </c:pt>
                <c:pt idx="175">
                  <c:v>-3.8378626224343558E-3</c:v>
                </c:pt>
                <c:pt idx="176">
                  <c:v>-3.8393137585673552E-3</c:v>
                </c:pt>
                <c:pt idx="177">
                  <c:v>-3.8407849117307407E-3</c:v>
                </c:pt>
                <c:pt idx="178">
                  <c:v>-3.8453083552024169E-3</c:v>
                </c:pt>
                <c:pt idx="179">
                  <c:v>-3.8468484972906465E-3</c:v>
                </c:pt>
                <c:pt idx="180">
                  <c:v>-3.8484026363129588E-3</c:v>
                </c:pt>
                <c:pt idx="181">
                  <c:v>-3.8499694721505049E-3</c:v>
                </c:pt>
                <c:pt idx="182">
                  <c:v>-3.8515477046844313E-3</c:v>
                </c:pt>
                <c:pt idx="183">
                  <c:v>-3.8563377812759949E-3</c:v>
                </c:pt>
                <c:pt idx="184">
                  <c:v>-3.8579485994069385E-3</c:v>
                </c:pt>
                <c:pt idx="185">
                  <c:v>-3.8595643136400105E-3</c:v>
                </c:pt>
                <c:pt idx="186">
                  <c:v>-3.8611836238563583E-3</c:v>
                </c:pt>
                <c:pt idx="187">
                  <c:v>-3.8628052299371309E-3</c:v>
                </c:pt>
                <c:pt idx="188">
                  <c:v>-3.867670822177489E-3</c:v>
                </c:pt>
                <c:pt idx="189">
                  <c:v>-3.8692886105274518E-3</c:v>
                </c:pt>
                <c:pt idx="190">
                  <c:v>-3.8709021941475859E-3</c:v>
                </c:pt>
                <c:pt idx="191">
                  <c:v>-3.8725102729190385E-3</c:v>
                </c:pt>
                <c:pt idx="192">
                  <c:v>-3.8741115467229594E-3</c:v>
                </c:pt>
                <c:pt idx="193">
                  <c:v>-3.8788615371410221E-3</c:v>
                </c:pt>
                <c:pt idx="194">
                  <c:v>-3.8804225898863075E-3</c:v>
                </c:pt>
                <c:pt idx="195">
                  <c:v>-3.8819703370698059E-3</c:v>
                </c:pt>
                <c:pt idx="196">
                  <c:v>-3.8835034785726663E-3</c:v>
                </c:pt>
                <c:pt idx="197">
                  <c:v>-3.8850210743518053E-3</c:v>
                </c:pt>
                <c:pt idx="198">
                  <c:v>-3.8894870302497663E-3</c:v>
                </c:pt>
                <c:pt idx="199">
                  <c:v>-3.890949606188427E-3</c:v>
                </c:pt>
                <c:pt idx="200">
                  <c:v>-3.8924005780063358E-3</c:v>
                </c:pt>
                <c:pt idx="201">
                  <c:v>-3.8938408060392423E-3</c:v>
                </c:pt>
                <c:pt idx="202">
                  <c:v>-3.8952711506228918E-3</c:v>
                </c:pt>
                <c:pt idx="203">
                  <c:v>-3.8995114870357798E-3</c:v>
                </c:pt>
                <c:pt idx="204">
                  <c:v>-3.9009109011798812E-3</c:v>
                </c:pt>
                <c:pt idx="205">
                  <c:v>-3.9023047335534637E-3</c:v>
                </c:pt>
                <c:pt idx="206">
                  <c:v>-3.9036938444922745E-3</c:v>
                </c:pt>
                <c:pt idx="207">
                  <c:v>-3.9050790943320627E-3</c:v>
                </c:pt>
                <c:pt idx="208">
                  <c:v>-3.9092202806147577E-3</c:v>
                </c:pt>
                <c:pt idx="209">
                  <c:v>-3.9105986894159266E-3</c:v>
                </c:pt>
                <c:pt idx="210">
                  <c:v>-3.911977538796808E-3</c:v>
                </c:pt>
                <c:pt idx="211">
                  <c:v>-3.9133576890931507E-3</c:v>
                </c:pt>
                <c:pt idx="212">
                  <c:v>-3.9147400006407035E-3</c:v>
                </c:pt>
                <c:pt idx="213">
                  <c:v>-3.9189085061480874E-3</c:v>
                </c:pt>
                <c:pt idx="214">
                  <c:v>-3.920308066057949E-3</c:v>
                </c:pt>
                <c:pt idx="215">
                  <c:v>-3.9217140888977578E-3</c:v>
                </c:pt>
                <c:pt idx="216">
                  <c:v>-3.9231274350032593E-3</c:v>
                </c:pt>
                <c:pt idx="217">
                  <c:v>-3.9245489647102031E-3</c:v>
                </c:pt>
                <c:pt idx="218">
                  <c:v>-3.9288712587971543E-3</c:v>
                </c:pt>
                <c:pt idx="219">
                  <c:v>-3.9303338876946325E-3</c:v>
                </c:pt>
                <c:pt idx="220">
                  <c:v>-3.9318075704360645E-3</c:v>
                </c:pt>
                <c:pt idx="221">
                  <c:v>-3.9332917359209719E-3</c:v>
                </c:pt>
                <c:pt idx="222">
                  <c:v>-3.9347858130488762E-3</c:v>
                </c:pt>
                <c:pt idx="223">
                  <c:v>-3.9393218032857946E-3</c:v>
                </c:pt>
                <c:pt idx="224">
                  <c:v>-3.9408498159809093E-3</c:v>
                </c:pt>
                <c:pt idx="225">
                  <c:v>-3.9423848848166333E-3</c:v>
                </c:pt>
                <c:pt idx="226">
                  <c:v>-3.9439264386924855E-3</c:v>
                </c:pt>
                <c:pt idx="227">
                  <c:v>-3.951711495156972E-3</c:v>
                </c:pt>
                <c:pt idx="228">
                  <c:v>-3.9532799661635689E-3</c:v>
                </c:pt>
                <c:pt idx="229">
                  <c:v>-3.9548509245069486E-3</c:v>
                </c:pt>
                <c:pt idx="230">
                  <c:v>-3.9564237990866368E-3</c:v>
                </c:pt>
                <c:pt idx="231">
                  <c:v>-3.9611482092387603E-3</c:v>
                </c:pt>
                <c:pt idx="232">
                  <c:v>-3.9627230377588937E-3</c:v>
                </c:pt>
                <c:pt idx="233">
                  <c:v>-3.9642969270129473E-3</c:v>
                </c:pt>
                <c:pt idx="234">
                  <c:v>-3.9658693059004381E-3</c:v>
                </c:pt>
                <c:pt idx="235">
                  <c:v>-3.9674396033208903E-3</c:v>
                </c:pt>
                <c:pt idx="236">
                  <c:v>-3.9736885563227556E-3</c:v>
                </c:pt>
                <c:pt idx="237">
                  <c:v>-3.9752399296979829E-3</c:v>
                </c:pt>
                <c:pt idx="238">
                  <c:v>-3.9767860937861207E-3</c:v>
                </c:pt>
                <c:pt idx="239">
                  <c:v>-3.9783267762695121E-3</c:v>
                </c:pt>
                <c:pt idx="240">
                  <c:v>-3.9829132109145968E-3</c:v>
                </c:pt>
                <c:pt idx="241">
                  <c:v>-3.9844292438023969E-3</c:v>
                </c:pt>
                <c:pt idx="242">
                  <c:v>-3.9859384334971501E-3</c:v>
                </c:pt>
                <c:pt idx="243">
                  <c:v>-3.9874405076811949E-3</c:v>
                </c:pt>
                <c:pt idx="244">
                  <c:v>-3.9889351940368741E-3</c:v>
                </c:pt>
                <c:pt idx="245">
                  <c:v>-3.9933722029571088E-3</c:v>
                </c:pt>
                <c:pt idx="246">
                  <c:v>-3.9948346148227206E-3</c:v>
                </c:pt>
                <c:pt idx="247">
                  <c:v>-3.9962882772716654E-3</c:v>
                </c:pt>
                <c:pt idx="248">
                  <c:v>-3.9977329179862863E-3</c:v>
                </c:pt>
                <c:pt idx="249">
                  <c:v>-3.9991682646489191E-3</c:v>
                </c:pt>
                <c:pt idx="250">
                  <c:v>-4.0034158171483045E-3</c:v>
                </c:pt>
                <c:pt idx="251">
                  <c:v>-4.0048112644263953E-3</c:v>
                </c:pt>
                <c:pt idx="252">
                  <c:v>-4.0061960560642011E-3</c:v>
                </c:pt>
                <c:pt idx="253">
                  <c:v>-4.0075699197440612E-3</c:v>
                </c:pt>
                <c:pt idx="254">
                  <c:v>-4.008932583148315E-3</c:v>
                </c:pt>
                <c:pt idx="255">
                  <c:v>-4.0129506485308509E-3</c:v>
                </c:pt>
                <c:pt idx="256">
                  <c:v>-4.0142657876560874E-3</c:v>
                </c:pt>
                <c:pt idx="257">
                  <c:v>-4.0155683649174189E-3</c:v>
                </c:pt>
                <c:pt idx="258">
                  <c:v>-4.0168581079971866E-3</c:v>
                </c:pt>
                <c:pt idx="259">
                  <c:v>-4.0181347445777307E-3</c:v>
                </c:pt>
                <c:pt idx="260">
                  <c:v>-4.0218848436431604E-3</c:v>
                </c:pt>
                <c:pt idx="261">
                  <c:v>-4.0231084571740044E-3</c:v>
                </c:pt>
                <c:pt idx="262">
                  <c:v>-4.0243189817246519E-3</c:v>
                </c:pt>
                <c:pt idx="263">
                  <c:v>-4.0255164897542743E-3</c:v>
                </c:pt>
                <c:pt idx="264">
                  <c:v>-4.0267010537220439E-3</c:v>
                </c:pt>
                <c:pt idx="265">
                  <c:v>-4.0301778058459536E-3</c:v>
                </c:pt>
                <c:pt idx="266">
                  <c:v>-4.0313113181580287E-3</c:v>
                </c:pt>
                <c:pt idx="267">
                  <c:v>-4.0324322487041101E-3</c:v>
                </c:pt>
                <c:pt idx="268">
                  <c:v>-4.0335406699433703E-3</c:v>
                </c:pt>
                <c:pt idx="269">
                  <c:v>-4.0346366543349806E-3</c:v>
                </c:pt>
                <c:pt idx="270">
                  <c:v>-4.0378507110156274E-3</c:v>
                </c:pt>
                <c:pt idx="271">
                  <c:v>-4.0388976726083541E-3</c:v>
                </c:pt>
                <c:pt idx="272">
                  <c:v>-4.03993255964929E-3</c:v>
                </c:pt>
                <c:pt idx="273">
                  <c:v>-4.0409554445976076E-3</c:v>
                </c:pt>
                <c:pt idx="274">
                  <c:v>-4.0419663999124774E-3</c:v>
                </c:pt>
                <c:pt idx="275">
                  <c:v>-4.0449284126481194E-3</c:v>
                </c:pt>
                <c:pt idx="276">
                  <c:v>-4.0458923740209173E-3</c:v>
                </c:pt>
                <c:pt idx="277">
                  <c:v>-4.0468447680561265E-3</c:v>
                </c:pt>
                <c:pt idx="278">
                  <c:v>-4.0477856672129194E-3</c:v>
                </c:pt>
                <c:pt idx="279">
                  <c:v>-4.0487151439504683E-3</c:v>
                </c:pt>
                <c:pt idx="280">
                  <c:v>-4.0514357642393653E-3</c:v>
                </c:pt>
                <c:pt idx="281">
                  <c:v>-4.0523202371607545E-3</c:v>
                </c:pt>
                <c:pt idx="282">
                  <c:v>-4.0531934175733648E-3</c:v>
                </c:pt>
                <c:pt idx="283">
                  <c:v>-4.054055145550974E-3</c:v>
                </c:pt>
                <c:pt idx="284">
                  <c:v>-4.0549052611673587E-3</c:v>
                </c:pt>
                <c:pt idx="285">
                  <c:v>-4.057384334586956E-3</c:v>
                </c:pt>
                <c:pt idx="286">
                  <c:v>-4.0581864014962287E-3</c:v>
                </c:pt>
                <c:pt idx="287">
                  <c:v>-4.0589760564131681E-3</c:v>
                </c:pt>
                <c:pt idx="288">
                  <c:v>-4.0597531394115519E-3</c:v>
                </c:pt>
                <c:pt idx="289">
                  <c:v>-4.0605174905651593E-3</c:v>
                </c:pt>
                <c:pt idx="290">
                  <c:v>-4.062732553695097E-3</c:v>
                </c:pt>
                <c:pt idx="291">
                  <c:v>-4.0634443782073754E-3</c:v>
                </c:pt>
                <c:pt idx="292">
                  <c:v>-4.0641426712437661E-3</c:v>
                </c:pt>
                <c:pt idx="293">
                  <c:v>-4.0648272728780483E-3</c:v>
                </c:pt>
                <c:pt idx="294">
                  <c:v>-4.0654980231839988E-3</c:v>
                </c:pt>
                <c:pt idx="295">
                  <c:v>-4.0674255668696462E-3</c:v>
                </c:pt>
                <c:pt idx="296">
                  <c:v>-4.0680393126000525E-3</c:v>
                </c:pt>
                <c:pt idx="297">
                  <c:v>-4.0686384073710192E-3</c:v>
                </c:pt>
                <c:pt idx="298">
                  <c:v>-4.0692226912563212E-3</c:v>
                </c:pt>
                <c:pt idx="299">
                  <c:v>-4.0697920043297389E-3</c:v>
                </c:pt>
                <c:pt idx="300">
                  <c:v>-4.0714085194164624E-3</c:v>
                </c:pt>
                <c:pt idx="301">
                  <c:v>-4.0719163499801187E-3</c:v>
                </c:pt>
                <c:pt idx="302">
                  <c:v>-4.0724084101007828E-3</c:v>
                </c:pt>
                <c:pt idx="303">
                  <c:v>-4.0728845858264027E-3</c:v>
                </c:pt>
                <c:pt idx="304">
                  <c:v>-4.0733449471016198E-3</c:v>
                </c:pt>
                <c:pt idx="305">
                  <c:v>-4.0746323034130264E-3</c:v>
                </c:pt>
                <c:pt idx="306">
                  <c:v>-4.0750305660747985E-3</c:v>
                </c:pt>
                <c:pt idx="307">
                  <c:v>-4.0754135938802487E-3</c:v>
                </c:pt>
                <c:pt idx="308">
                  <c:v>-4.0757815027481926E-3</c:v>
                </c:pt>
                <c:pt idx="309">
                  <c:v>-4.076134408597447E-3</c:v>
                </c:pt>
                <c:pt idx="310">
                  <c:v>-4.0771042672212293E-3</c:v>
                </c:pt>
                <c:pt idx="311">
                  <c:v>-4.0773983201838823E-3</c:v>
                </c:pt>
                <c:pt idx="312">
                  <c:v>-4.0776779497219244E-3</c:v>
                </c:pt>
                <c:pt idx="313">
                  <c:v>-4.0779432717541701E-3</c:v>
                </c:pt>
                <c:pt idx="314">
                  <c:v>-4.0781944021994389E-3</c:v>
                </c:pt>
                <c:pt idx="315">
                  <c:v>-4.0788638032015273E-3</c:v>
                </c:pt>
                <c:pt idx="316">
                  <c:v>-4.0790593264870365E-3</c:v>
                </c:pt>
                <c:pt idx="317">
                  <c:v>-4.0792412377796475E-3</c:v>
                </c:pt>
                <c:pt idx="318">
                  <c:v>-4.0794096529981729E-3</c:v>
                </c:pt>
                <c:pt idx="319">
                  <c:v>-4.0795646880614315E-3</c:v>
                </c:pt>
                <c:pt idx="320">
                  <c:v>-4.0799506715077562E-3</c:v>
                </c:pt>
                <c:pt idx="321">
                  <c:v>-4.0800533451381014E-3</c:v>
                </c:pt>
                <c:pt idx="322">
                  <c:v>-4.0801432182072574E-3</c:v>
                </c:pt>
                <c:pt idx="323">
                  <c:v>-4.0802204066340397E-3</c:v>
                </c:pt>
                <c:pt idx="324">
                  <c:v>-4.0802850263372652E-3</c:v>
                </c:pt>
                <c:pt idx="325">
                  <c:v>-4.0804046322937574E-3</c:v>
                </c:pt>
                <c:pt idx="326">
                  <c:v>-4.080420093247248E-3</c:v>
                </c:pt>
                <c:pt idx="327">
                  <c:v>-4.0804233068092713E-3</c:v>
                </c:pt>
                <c:pt idx="328">
                  <c:v>-4.0804141306366518E-3</c:v>
                </c:pt>
                <c:pt idx="329">
                  <c:v>-4.0803924223862175E-3</c:v>
                </c:pt>
                <c:pt idx="330">
                  <c:v>-4.0802506817362756E-3</c:v>
                </c:pt>
                <c:pt idx="331">
                  <c:v>-4.0801774217428376E-3</c:v>
                </c:pt>
                <c:pt idx="332">
                  <c:v>-4.0800909179557112E-3</c:v>
                </c:pt>
                <c:pt idx="333">
                  <c:v>-4.0799910280317243E-3</c:v>
                </c:pt>
                <c:pt idx="334">
                  <c:v>-4.0798776096277042E-3</c:v>
                </c:pt>
                <c:pt idx="335">
                  <c:v>-4.0794547601036941E-3</c:v>
                </c:pt>
                <c:pt idx="336">
                  <c:v>-4.0792858043477952E-3</c:v>
                </c:pt>
                <c:pt idx="337">
                  <c:v>-4.0791026083959918E-3</c:v>
                </c:pt>
                <c:pt idx="338">
                  <c:v>-4.0789050299051078E-3</c:v>
                </c:pt>
                <c:pt idx="339">
                  <c:v>-4.078692926531971E-3</c:v>
                </c:pt>
                <c:pt idx="340">
                  <c:v>-4.0779680436873033E-3</c:v>
                </c:pt>
                <c:pt idx="341">
                  <c:v>-4.0776964173534136E-3</c:v>
                </c:pt>
                <c:pt idx="342">
                  <c:v>-4.0774095544214017E-3</c:v>
                </c:pt>
                <c:pt idx="343">
                  <c:v>-4.0771073125480915E-3</c:v>
                </c:pt>
                <c:pt idx="344">
                  <c:v>-4.0767895493903084E-3</c:v>
                </c:pt>
                <c:pt idx="345">
                  <c:v>-4.0757417087783927E-3</c:v>
                </c:pt>
                <c:pt idx="346">
                  <c:v>-4.0753605101402635E-3</c:v>
                </c:pt>
                <c:pt idx="347">
                  <c:v>-4.0749635170374676E-3</c:v>
                </c:pt>
                <c:pt idx="348">
                  <c:v>-4.0745510256625086E-3</c:v>
                </c:pt>
                <c:pt idx="349">
                  <c:v>-4.0741233322078895E-3</c:v>
                </c:pt>
                <c:pt idx="350">
                  <c:v>-4.0727520012910938E-3</c:v>
                </c:pt>
                <c:pt idx="351">
                  <c:v>-4.072266461442855E-3</c:v>
                </c:pt>
                <c:pt idx="352">
                  <c:v>-4.0717672004774701E-3</c:v>
                </c:pt>
                <c:pt idx="353">
                  <c:v>-4.0712545145874376E-3</c:v>
                </c:pt>
                <c:pt idx="354">
                  <c:v>-4.070728699965262E-3</c:v>
                </c:pt>
                <c:pt idx="355">
                  <c:v>-4.0690754456308969E-3</c:v>
                </c:pt>
                <c:pt idx="356">
                  <c:v>-4.068500078005171E-3</c:v>
                </c:pt>
                <c:pt idx="357">
                  <c:v>-4.0679130626098134E-3</c:v>
                </c:pt>
                <c:pt idx="358">
                  <c:v>-4.0673146956373262E-3</c:v>
                </c:pt>
                <c:pt idx="359">
                  <c:v>-4.066705273280213E-3</c:v>
                </c:pt>
                <c:pt idx="360">
                  <c:v>-4.0648136358261353E-3</c:v>
                </c:pt>
                <c:pt idx="361">
                  <c:v>-4.0641629538555402E-3</c:v>
                </c:pt>
                <c:pt idx="362">
                  <c:v>-4.0635026974628298E-3</c:v>
                </c:pt>
                <c:pt idx="363">
                  <c:v>-4.0628331628405068E-3</c:v>
                </c:pt>
                <c:pt idx="364">
                  <c:v>-4.062154646181074E-3</c:v>
                </c:pt>
                <c:pt idx="365">
                  <c:v>-4.0600681659051421E-3</c:v>
                </c:pt>
                <c:pt idx="366">
                  <c:v>-4.0593566830222959E-3</c:v>
                </c:pt>
                <c:pt idx="367">
                  <c:v>-4.0586376990648515E-3</c:v>
                </c:pt>
                <c:pt idx="368">
                  <c:v>-4.0579115102253116E-3</c:v>
                </c:pt>
                <c:pt idx="369">
                  <c:v>-4.0571782743186006E-3</c:v>
                </c:pt>
                <c:pt idx="370">
                  <c:v>-4.0549317737312495E-3</c:v>
                </c:pt>
                <c:pt idx="371">
                  <c:v>-4.054165562336504E-3</c:v>
                </c:pt>
                <c:pt idx="372">
                  <c:v>-4.0533897718873337E-3</c:v>
                </c:pt>
                <c:pt idx="373">
                  <c:v>-4.0526038683107732E-3</c:v>
                </c:pt>
                <c:pt idx="374">
                  <c:v>-4.0518073175338553E-3</c:v>
                </c:pt>
                <c:pt idx="375">
                  <c:v>-4.0493484412712916E-3</c:v>
                </c:pt>
                <c:pt idx="376">
                  <c:v>-4.0485039609632805E-3</c:v>
                </c:pt>
                <c:pt idx="377">
                  <c:v>-4.047646163090079E-3</c:v>
                </c:pt>
                <c:pt idx="378">
                  <c:v>-4.0467745135787225E-3</c:v>
                </c:pt>
                <c:pt idx="379">
                  <c:v>-4.0458884783562436E-3</c:v>
                </c:pt>
                <c:pt idx="380">
                  <c:v>-4.0431387176924115E-3</c:v>
                </c:pt>
                <c:pt idx="381">
                  <c:v>-4.0421897988957801E-3</c:v>
                </c:pt>
                <c:pt idx="382">
                  <c:v>-4.0412238240231952E-3</c:v>
                </c:pt>
                <c:pt idx="383">
                  <c:v>-4.0402402590016904E-3</c:v>
                </c:pt>
                <c:pt idx="384">
                  <c:v>-4.0392385697582984E-3</c:v>
                </c:pt>
                <c:pt idx="385">
                  <c:v>-4.0361194159671387E-3</c:v>
                </c:pt>
                <c:pt idx="386">
                  <c:v>-4.0350398891065365E-3</c:v>
                </c:pt>
                <c:pt idx="387">
                  <c:v>-4.033939567659215E-3</c:v>
                </c:pt>
                <c:pt idx="388">
                  <c:v>-4.0328179175522089E-3</c:v>
                </c:pt>
                <c:pt idx="389">
                  <c:v>-4.0316744047125515E-3</c:v>
                </c:pt>
                <c:pt idx="390">
                  <c:v>-4.0281073490680067E-3</c:v>
                </c:pt>
                <c:pt idx="391">
                  <c:v>-4.0268712870606526E-3</c:v>
                </c:pt>
                <c:pt idx="392">
                  <c:v>-4.025612146911251E-3</c:v>
                </c:pt>
                <c:pt idx="393">
                  <c:v>-4.0243308495022754E-3</c:v>
                </c:pt>
                <c:pt idx="394">
                  <c:v>-4.0230283157161933E-3</c:v>
                </c:pt>
                <c:pt idx="395">
                  <c:v>-4.0190025049200205E-3</c:v>
                </c:pt>
                <c:pt idx="396">
                  <c:v>-4.0176242344502214E-3</c:v>
                </c:pt>
                <c:pt idx="397">
                  <c:v>-4.0162293320156707E-3</c:v>
                </c:pt>
                <c:pt idx="398">
                  <c:v>-4.0148187184988358E-3</c:v>
                </c:pt>
                <c:pt idx="399">
                  <c:v>-4.0133933147821904E-3</c:v>
                </c:pt>
                <c:pt idx="400">
                  <c:v>-4.0090375712580851E-3</c:v>
                </c:pt>
                <c:pt idx="401">
                  <c:v>-4.0075622155668978E-3</c:v>
                </c:pt>
                <c:pt idx="402">
                  <c:v>-4.0060766740882487E-3</c:v>
                </c:pt>
                <c:pt idx="403">
                  <c:v>-4.0045818677046114E-3</c:v>
                </c:pt>
                <c:pt idx="404">
                  <c:v>-4.0030787172984569E-3</c:v>
                </c:pt>
                <c:pt idx="405">
                  <c:v>-3.9954700358163691E-3</c:v>
                </c:pt>
                <c:pt idx="406">
                  <c:v>-3.9939361598069836E-3</c:v>
                </c:pt>
                <c:pt idx="407">
                  <c:v>-3.9924003859523735E-3</c:v>
                </c:pt>
                <c:pt idx="408">
                  <c:v>-3.9862567297310903E-3</c:v>
                </c:pt>
                <c:pt idx="409">
                  <c:v>-3.9847249079435956E-3</c:v>
                </c:pt>
                <c:pt idx="410">
                  <c:v>-3.9831944819427988E-3</c:v>
                </c:pt>
                <c:pt idx="411">
                  <c:v>-3.9816641409482672E-3</c:v>
                </c:pt>
                <c:pt idx="412">
                  <c:v>-3.9770605201979777E-3</c:v>
                </c:pt>
                <c:pt idx="413">
                  <c:v>-3.9755174114242146E-3</c:v>
                </c:pt>
                <c:pt idx="414">
                  <c:v>-3.9739678337545672E-3</c:v>
                </c:pt>
                <c:pt idx="415">
                  <c:v>-3.9724104764086053E-3</c:v>
                </c:pt>
                <c:pt idx="416">
                  <c:v>-3.9708440286059001E-3</c:v>
                </c:pt>
                <c:pt idx="417">
                  <c:v>-3.9660770346530176E-3</c:v>
                </c:pt>
                <c:pt idx="418">
                  <c:v>-3.9644611172190347E-3</c:v>
                </c:pt>
                <c:pt idx="419">
                  <c:v>-3.9628295554261558E-3</c:v>
                </c:pt>
                <c:pt idx="420">
                  <c:v>-3.9611810384939522E-3</c:v>
                </c:pt>
                <c:pt idx="421">
                  <c:v>-3.9595142556419927E-3</c:v>
                </c:pt>
                <c:pt idx="422">
                  <c:v>-3.9543912037632812E-3</c:v>
                </c:pt>
                <c:pt idx="423">
                  <c:v>-3.9526382494279987E-3</c:v>
                </c:pt>
                <c:pt idx="424">
                  <c:v>-3.9508604752708102E-3</c:v>
                </c:pt>
                <c:pt idx="425">
                  <c:v>-3.9490565705112843E-3</c:v>
                </c:pt>
                <c:pt idx="426">
                  <c:v>-3.9472252243689925E-3</c:v>
                </c:pt>
                <c:pt idx="427">
                  <c:v>-3.9415534298412143E-3</c:v>
                </c:pt>
                <c:pt idx="428">
                  <c:v>-3.9395992103635541E-3</c:v>
                </c:pt>
                <c:pt idx="429">
                  <c:v>-3.937610995600976E-3</c:v>
                </c:pt>
                <c:pt idx="430">
                  <c:v>-3.9355874747730498E-3</c:v>
                </c:pt>
                <c:pt idx="431">
                  <c:v>-3.9335273370993459E-3</c:v>
                </c:pt>
                <c:pt idx="432">
                  <c:v>-3.9271286406484156E-3</c:v>
                </c:pt>
                <c:pt idx="433">
                  <c:v>-3.9249288330324298E-3</c:v>
                </c:pt>
                <c:pt idx="434">
                  <c:v>-3.9226987661788717E-3</c:v>
                </c:pt>
                <c:pt idx="435">
                  <c:v>-3.9204403571848978E-3</c:v>
                </c:pt>
                <c:pt idx="436">
                  <c:v>-3.9181555231476706E-3</c:v>
                </c:pt>
                <c:pt idx="437">
                  <c:v>-3.9111616417480408E-3</c:v>
                </c:pt>
                <c:pt idx="438">
                  <c:v>-3.9087902785093793E-3</c:v>
                </c:pt>
                <c:pt idx="439">
                  <c:v>-3.9064020757132566E-3</c:v>
                </c:pt>
                <c:pt idx="440">
                  <c:v>-3.9039989504568288E-3</c:v>
                </c:pt>
                <c:pt idx="441">
                  <c:v>-3.9015828198372595E-3</c:v>
                </c:pt>
                <c:pt idx="442">
                  <c:v>-3.8942755667712727E-3</c:v>
                </c:pt>
                <c:pt idx="443">
                  <c:v>-3.8918265856707143E-3</c:v>
                </c:pt>
                <c:pt idx="444">
                  <c:v>-3.8893741846928059E-3</c:v>
                </c:pt>
                <c:pt idx="445">
                  <c:v>-3.8869202809347072E-3</c:v>
                </c:pt>
                <c:pt idx="446">
                  <c:v>-3.8844667914935747E-3</c:v>
                </c:pt>
                <c:pt idx="447">
                  <c:v>-3.8771279800435725E-3</c:v>
                </c:pt>
                <c:pt idx="448">
                  <c:v>-3.8746953188418982E-3</c:v>
                </c:pt>
                <c:pt idx="449">
                  <c:v>-3.872272657442985E-3</c:v>
                </c:pt>
                <c:pt idx="450">
                  <c:v>-3.869861912943993E-3</c:v>
                </c:pt>
                <c:pt idx="451">
                  <c:v>-3.8674650024420796E-3</c:v>
                </c:pt>
                <c:pt idx="452">
                  <c:v>-3.8603588869591966E-3</c:v>
                </c:pt>
                <c:pt idx="453">
                  <c:v>-3.8580124211781289E-3</c:v>
                </c:pt>
                <c:pt idx="454">
                  <c:v>-3.8556737669410853E-3</c:v>
                </c:pt>
                <c:pt idx="455">
                  <c:v>-3.8533409393605124E-3</c:v>
                </c:pt>
                <c:pt idx="456">
                  <c:v>-3.8510119535488572E-3</c:v>
                </c:pt>
                <c:pt idx="457">
                  <c:v>-3.8440281978518597E-3</c:v>
                </c:pt>
                <c:pt idx="458">
                  <c:v>-3.8416947302403396E-3</c:v>
                </c:pt>
                <c:pt idx="459">
                  <c:v>-3.8393551799599701E-3</c:v>
                </c:pt>
                <c:pt idx="460">
                  <c:v>-3.8370075621231977E-3</c:v>
                </c:pt>
                <c:pt idx="461">
                  <c:v>-3.8346498918424687E-3</c:v>
                </c:pt>
                <c:pt idx="462">
                  <c:v>-3.8274967174610082E-3</c:v>
                </c:pt>
                <c:pt idx="463">
                  <c:v>-3.8250789885289193E-3</c:v>
                </c:pt>
                <c:pt idx="464">
                  <c:v>-3.8226412827151069E-3</c:v>
                </c:pt>
                <c:pt idx="465">
                  <c:v>-3.820181615132018E-3</c:v>
                </c:pt>
                <c:pt idx="466">
                  <c:v>-3.817698000892098E-3</c:v>
                </c:pt>
                <c:pt idx="467">
                  <c:v>-3.8100836293558245E-3</c:v>
                </c:pt>
                <c:pt idx="468">
                  <c:v>-3.8074843796130505E-3</c:v>
                </c:pt>
                <c:pt idx="469">
                  <c:v>-3.8048512587756786E-3</c:v>
                </c:pt>
                <c:pt idx="470">
                  <c:v>-3.8021822819561562E-3</c:v>
                </c:pt>
                <c:pt idx="471">
                  <c:v>-3.7882300870619155E-3</c:v>
                </c:pt>
                <c:pt idx="472">
                  <c:v>-3.7853050506198951E-3</c:v>
                </c:pt>
                <c:pt idx="473">
                  <c:v>-3.7823348174370161E-3</c:v>
                </c:pt>
                <c:pt idx="474">
                  <c:v>-3.7793219560798928E-3</c:v>
                </c:pt>
                <c:pt idx="475">
                  <c:v>-3.7700532886291707E-3</c:v>
                </c:pt>
                <c:pt idx="476">
                  <c:v>-3.7668956002411894E-3</c:v>
                </c:pt>
                <c:pt idx="477">
                  <c:v>-3.7637081265120263E-3</c:v>
                </c:pt>
                <c:pt idx="478">
                  <c:v>-3.7604934360082921E-3</c:v>
                </c:pt>
                <c:pt idx="479">
                  <c:v>-3.7572540972966011E-3</c:v>
                </c:pt>
                <c:pt idx="480">
                  <c:v>-3.7474138775799091E-3</c:v>
                </c:pt>
                <c:pt idx="481">
                  <c:v>-3.7441016317025151E-3</c:v>
                </c:pt>
                <c:pt idx="482">
                  <c:v>-3.7407775804502272E-3</c:v>
                </c:pt>
                <c:pt idx="483">
                  <c:v>-3.7374442923896571E-3</c:v>
                </c:pt>
                <c:pt idx="484">
                  <c:v>-3.7341043360874181E-3</c:v>
                </c:pt>
                <c:pt idx="485">
                  <c:v>-3.7240701433968143E-3</c:v>
                </c:pt>
                <c:pt idx="486">
                  <c:v>-3.7207291997940258E-3</c:v>
                </c:pt>
                <c:pt idx="487">
                  <c:v>-3.7173944307826324E-3</c:v>
                </c:pt>
                <c:pt idx="488">
                  <c:v>-3.7140684049292451E-3</c:v>
                </c:pt>
                <c:pt idx="489">
                  <c:v>-3.7107536908004778E-3</c:v>
                </c:pt>
                <c:pt idx="490">
                  <c:v>-3.7009031044280194E-3</c:v>
                </c:pt>
                <c:pt idx="491">
                  <c:v>-3.6944396958573755E-3</c:v>
                </c:pt>
                <c:pt idx="492">
                  <c:v>-3.6912460405268506E-3</c:v>
                </c:pt>
                <c:pt idx="493">
                  <c:v>-3.6880771681971907E-3</c:v>
                </c:pt>
                <c:pt idx="494">
                  <c:v>-3.6786998479790994E-3</c:v>
                </c:pt>
                <c:pt idx="495">
                  <c:v>-3.6756107064185996E-3</c:v>
                </c:pt>
                <c:pt idx="496">
                  <c:v>-3.6725366472418119E-3</c:v>
                </c:pt>
                <c:pt idx="497">
                  <c:v>-3.6694757303253099E-3</c:v>
                </c:pt>
                <c:pt idx="498">
                  <c:v>-3.666426015545662E-3</c:v>
                </c:pt>
                <c:pt idx="499">
                  <c:v>-3.6573246827935418E-3</c:v>
                </c:pt>
                <c:pt idx="500">
                  <c:v>-3.65430037532701E-3</c:v>
                </c:pt>
                <c:pt idx="501">
                  <c:v>-3.6512775693801807E-3</c:v>
                </c:pt>
                <c:pt idx="502">
                  <c:v>-3.6482543248296242E-3</c:v>
                </c:pt>
                <c:pt idx="503">
                  <c:v>-3.6452287015519115E-3</c:v>
                </c:pt>
                <c:pt idx="504">
                  <c:v>-3.6361181581215304E-3</c:v>
                </c:pt>
                <c:pt idx="505">
                  <c:v>-3.6330636187008884E-3</c:v>
                </c:pt>
                <c:pt idx="506">
                  <c:v>-3.6299969999359391E-3</c:v>
                </c:pt>
                <c:pt idx="507">
                  <c:v>-3.6269163617032511E-3</c:v>
                </c:pt>
                <c:pt idx="508">
                  <c:v>-3.6238197638793967E-3</c:v>
                </c:pt>
                <c:pt idx="509">
                  <c:v>-3.6144148116265228E-3</c:v>
                </c:pt>
                <c:pt idx="510">
                  <c:v>-3.6112349742036948E-3</c:v>
                </c:pt>
                <c:pt idx="511">
                  <c:v>-3.6080294765725479E-3</c:v>
                </c:pt>
                <c:pt idx="512">
                  <c:v>-3.6047963786096527E-3</c:v>
                </c:pt>
                <c:pt idx="513">
                  <c:v>-3.6015337401915774E-3</c:v>
                </c:pt>
                <c:pt idx="514">
                  <c:v>-3.5915491809719795E-3</c:v>
                </c:pt>
                <c:pt idx="515">
                  <c:v>-3.588149585814002E-3</c:v>
                </c:pt>
                <c:pt idx="516">
                  <c:v>-3.5847143874743817E-3</c:v>
                </c:pt>
                <c:pt idx="517">
                  <c:v>-3.5812452837203747E-3</c:v>
                </c:pt>
                <c:pt idx="518">
                  <c:v>-3.5777439723192373E-3</c:v>
                </c:pt>
                <c:pt idx="519">
                  <c:v>-3.5670637699056081E-3</c:v>
                </c:pt>
                <c:pt idx="520">
                  <c:v>-3.5634506055885144E-3</c:v>
                </c:pt>
                <c:pt idx="521">
                  <c:v>-3.5598137224605716E-3</c:v>
                </c:pt>
                <c:pt idx="522">
                  <c:v>-3.5561548182890378E-3</c:v>
                </c:pt>
                <c:pt idx="523">
                  <c:v>-3.5524755908411679E-3</c:v>
                </c:pt>
                <c:pt idx="524">
                  <c:v>-3.5413329465121116E-3</c:v>
                </c:pt>
                <c:pt idx="525">
                  <c:v>-3.5375894036314645E-3</c:v>
                </c:pt>
                <c:pt idx="526">
                  <c:v>-3.5338340263107652E-3</c:v>
                </c:pt>
                <c:pt idx="527">
                  <c:v>-3.5300685123172688E-3</c:v>
                </c:pt>
                <c:pt idx="528">
                  <c:v>-3.5262945594182319E-3</c:v>
                </c:pt>
                <c:pt idx="529">
                  <c:v>-3.5149390449604407E-3</c:v>
                </c:pt>
                <c:pt idx="530">
                  <c:v>-3.511148314111806E-3</c:v>
                </c:pt>
                <c:pt idx="531">
                  <c:v>-3.5073576331939135E-3</c:v>
                </c:pt>
                <c:pt idx="532">
                  <c:v>-3.5035686999740183E-3</c:v>
                </c:pt>
                <c:pt idx="533">
                  <c:v>-3.4997832122193782E-3</c:v>
                </c:pt>
                <c:pt idx="534">
                  <c:v>-3.4884643994195475E-3</c:v>
                </c:pt>
                <c:pt idx="535">
                  <c:v>-3.4847093960001384E-3</c:v>
                </c:pt>
                <c:pt idx="536">
                  <c:v>-3.4809646756921598E-3</c:v>
                </c:pt>
                <c:pt idx="537">
                  <c:v>-3.4772302850727657E-3</c:v>
                </c:pt>
                <c:pt idx="538">
                  <c:v>-3.4735062707191046E-3</c:v>
                </c:pt>
                <c:pt idx="539">
                  <c:v>-3.4623969510240399E-3</c:v>
                </c:pt>
                <c:pt idx="540">
                  <c:v>-3.4587149075048281E-3</c:v>
                </c:pt>
                <c:pt idx="541">
                  <c:v>-3.4550434731371073E-3</c:v>
                </c:pt>
                <c:pt idx="542">
                  <c:v>-3.4513826944980279E-3</c:v>
                </c:pt>
                <c:pt idx="543">
                  <c:v>-3.4477326181647418E-3</c:v>
                </c:pt>
                <c:pt idx="544">
                  <c:v>-3.4368470687711561E-3</c:v>
                </c:pt>
                <c:pt idx="545">
                  <c:v>-3.4332402674325567E-3</c:v>
                </c:pt>
                <c:pt idx="546">
                  <c:v>-3.4296444012855065E-3</c:v>
                </c:pt>
                <c:pt idx="547">
                  <c:v>-3.4260595169071572E-3</c:v>
                </c:pt>
                <c:pt idx="548">
                  <c:v>-3.42248566087466E-3</c:v>
                </c:pt>
                <c:pt idx="549">
                  <c:v>-3.4118307286237961E-3</c:v>
                </c:pt>
                <c:pt idx="550">
                  <c:v>-3.4083014517462215E-3</c:v>
                </c:pt>
                <c:pt idx="551">
                  <c:v>-3.4047834361002555E-3</c:v>
                </c:pt>
                <c:pt idx="552">
                  <c:v>-3.4012767282630496E-3</c:v>
                </c:pt>
                <c:pt idx="553">
                  <c:v>-3.3977813748117562E-3</c:v>
                </c:pt>
                <c:pt idx="554">
                  <c:v>-3.3873639065448544E-3</c:v>
                </c:pt>
                <c:pt idx="555">
                  <c:v>-3.3839144364087191E-3</c:v>
                </c:pt>
                <c:pt idx="556">
                  <c:v>-3.380476553544252E-3</c:v>
                </c:pt>
                <c:pt idx="557">
                  <c:v>-3.3770503045286037E-3</c:v>
                </c:pt>
                <c:pt idx="558">
                  <c:v>-3.3736355543392839E-3</c:v>
                </c:pt>
                <c:pt idx="559">
                  <c:v>-3.3634509561201037E-3</c:v>
                </c:pt>
                <c:pt idx="560">
                  <c:v>-3.3600724974276221E-3</c:v>
                </c:pt>
                <c:pt idx="561">
                  <c:v>-3.3567005040575902E-3</c:v>
                </c:pt>
                <c:pt idx="562">
                  <c:v>-3.3533339329893026E-3</c:v>
                </c:pt>
                <c:pt idx="563">
                  <c:v>-3.3499717412020565E-3</c:v>
                </c:pt>
                <c:pt idx="564">
                  <c:v>-3.3399010113195162E-3</c:v>
                </c:pt>
                <c:pt idx="565">
                  <c:v>-3.336545906449388E-3</c:v>
                </c:pt>
                <c:pt idx="566">
                  <c:v>-3.3331899657567782E-3</c:v>
                </c:pt>
                <c:pt idx="567">
                  <c:v>-3.3298321462209837E-3</c:v>
                </c:pt>
                <c:pt idx="568">
                  <c:v>-3.3264714048212994E-3</c:v>
                </c:pt>
                <c:pt idx="569">
                  <c:v>-3.3163612192318656E-3</c:v>
                </c:pt>
                <c:pt idx="570">
                  <c:v>-3.3129783601695798E-3</c:v>
                </c:pt>
                <c:pt idx="571">
                  <c:v>-3.309587364139882E-3</c:v>
                </c:pt>
                <c:pt idx="572">
                  <c:v>-3.3061871881220691E-3</c:v>
                </c:pt>
                <c:pt idx="573">
                  <c:v>-3.302776789095436E-3</c:v>
                </c:pt>
                <c:pt idx="574">
                  <c:v>-3.2924738237555752E-3</c:v>
                </c:pt>
                <c:pt idx="575">
                  <c:v>-3.2890121024866208E-3</c:v>
                </c:pt>
                <c:pt idx="576">
                  <c:v>-3.2855349431053244E-3</c:v>
                </c:pt>
                <c:pt idx="577">
                  <c:v>-3.2820413025909816E-3</c:v>
                </c:pt>
                <c:pt idx="578">
                  <c:v>-3.2785301379228901E-3</c:v>
                </c:pt>
                <c:pt idx="579">
                  <c:v>-3.2678810687890698E-3</c:v>
                </c:pt>
                <c:pt idx="580">
                  <c:v>-3.2642897224385257E-3</c:v>
                </c:pt>
                <c:pt idx="581">
                  <c:v>-3.2606777076682578E-3</c:v>
                </c:pt>
                <c:pt idx="582">
                  <c:v>-3.2570460522951096E-3</c:v>
                </c:pt>
                <c:pt idx="583">
                  <c:v>-3.2533957841359247E-3</c:v>
                </c:pt>
                <c:pt idx="584">
                  <c:v>-3.2423435811105789E-3</c:v>
                </c:pt>
                <c:pt idx="585">
                  <c:v>-3.238629139975678E-3</c:v>
                </c:pt>
                <c:pt idx="586">
                  <c:v>-3.2349012251389579E-3</c:v>
                </c:pt>
                <c:pt idx="587">
                  <c:v>-3.2311608644172594E-3</c:v>
                </c:pt>
                <c:pt idx="588">
                  <c:v>-3.227409085627428E-3</c:v>
                </c:pt>
                <c:pt idx="589">
                  <c:v>-3.2160955190175663E-3</c:v>
                </c:pt>
                <c:pt idx="590">
                  <c:v>-3.2123083461236333E-3</c:v>
                </c:pt>
                <c:pt idx="591">
                  <c:v>-3.2085148942457833E-3</c:v>
                </c:pt>
                <c:pt idx="592">
                  <c:v>-3.2047161912008609E-3</c:v>
                </c:pt>
                <c:pt idx="593">
                  <c:v>-3.200913264805707E-3</c:v>
                </c:pt>
                <c:pt idx="594">
                  <c:v>-3.1894894236873003E-3</c:v>
                </c:pt>
                <c:pt idx="595">
                  <c:v>-3.1856798820596595E-3</c:v>
                </c:pt>
                <c:pt idx="596">
                  <c:v>-3.1818712561660061E-3</c:v>
                </c:pt>
                <c:pt idx="597">
                  <c:v>-3.1780645738231825E-3</c:v>
                </c:pt>
                <c:pt idx="598">
                  <c:v>-3.1742608628480321E-3</c:v>
                </c:pt>
                <c:pt idx="599">
                  <c:v>-3.1628778362970526E-3</c:v>
                </c:pt>
                <c:pt idx="600">
                  <c:v>-3.1590962889610288E-3</c:v>
                </c:pt>
                <c:pt idx="601">
                  <c:v>-3.1553226629822372E-3</c:v>
                </c:pt>
                <c:pt idx="602">
                  <c:v>-3.151557040704227E-3</c:v>
                </c:pt>
                <c:pt idx="603">
                  <c:v>-3.1477993153758935E-3</c:v>
                </c:pt>
                <c:pt idx="604">
                  <c:v>-3.1365724535778656E-3</c:v>
                </c:pt>
                <c:pt idx="605">
                  <c:v>-3.1328452485371561E-3</c:v>
                </c:pt>
                <c:pt idx="606">
                  <c:v>-3.1291254066905853E-3</c:v>
                </c:pt>
                <c:pt idx="607">
                  <c:v>-3.1254128212870455E-3</c:v>
                </c:pt>
                <c:pt idx="608">
                  <c:v>-3.1217073855754275E-3</c:v>
                </c:pt>
                <c:pt idx="609">
                  <c:v>-3.1106329090810378E-3</c:v>
                </c:pt>
                <c:pt idx="610">
                  <c:v>-3.1069550046260368E-3</c:v>
                </c:pt>
                <c:pt idx="611">
                  <c:v>-3.1032837161074208E-3</c:v>
                </c:pt>
                <c:pt idx="612">
                  <c:v>-3.0996189367740834E-3</c:v>
                </c:pt>
                <c:pt idx="613">
                  <c:v>-3.0959605598749169E-3</c:v>
                </c:pt>
                <c:pt idx="614">
                  <c:v>-3.0850227762713655E-3</c:v>
                </c:pt>
                <c:pt idx="615">
                  <c:v>-3.0813889415978067E-3</c:v>
                </c:pt>
                <c:pt idx="616">
                  <c:v>-3.0777609756028812E-3</c:v>
                </c:pt>
                <c:pt idx="617">
                  <c:v>-3.0741387715354815E-3</c:v>
                </c:pt>
                <c:pt idx="618">
                  <c:v>-3.0705222226444992E-3</c:v>
                </c:pt>
                <c:pt idx="619">
                  <c:v>-3.0597054395189905E-3</c:v>
                </c:pt>
                <c:pt idx="620">
                  <c:v>-3.0561104438226075E-3</c:v>
                </c:pt>
                <c:pt idx="621">
                  <c:v>-3.0525205695471056E-3</c:v>
                </c:pt>
                <c:pt idx="622">
                  <c:v>-3.0489357099413778E-3</c:v>
                </c:pt>
                <c:pt idx="623">
                  <c:v>-3.0453557582543148E-3</c:v>
                </c:pt>
                <c:pt idx="624">
                  <c:v>-3.0346405487218899E-3</c:v>
                </c:pt>
                <c:pt idx="625">
                  <c:v>-3.031074043588421E-3</c:v>
                </c:pt>
                <c:pt idx="626">
                  <c:v>-3.0275085930872724E-3</c:v>
                </c:pt>
                <c:pt idx="627">
                  <c:v>-3.0239432605846345E-3</c:v>
                </c:pt>
                <c:pt idx="628">
                  <c:v>-3.0203771094466977E-3</c:v>
                </c:pt>
                <c:pt idx="629">
                  <c:v>-3.0096643778829988E-3</c:v>
                </c:pt>
                <c:pt idx="630">
                  <c:v>-3.0060855858657707E-3</c:v>
                </c:pt>
                <c:pt idx="631">
                  <c:v>-3.002501292044196E-3</c:v>
                </c:pt>
                <c:pt idx="632">
                  <c:v>-2.9989105597844649E-3</c:v>
                </c:pt>
                <c:pt idx="633">
                  <c:v>-2.9953124524527692E-3</c:v>
                </c:pt>
                <c:pt idx="634">
                  <c:v>-2.9844645136877885E-3</c:v>
                </c:pt>
                <c:pt idx="635">
                  <c:v>-2.9808275397301327E-3</c:v>
                </c:pt>
                <c:pt idx="636">
                  <c:v>-2.9771785075314635E-3</c:v>
                </c:pt>
                <c:pt idx="637">
                  <c:v>-2.973516480457971E-3</c:v>
                </c:pt>
                <c:pt idx="638">
                  <c:v>-2.9698405218758451E-3</c:v>
                </c:pt>
                <c:pt idx="639">
                  <c:v>-2.9587196907395761E-3</c:v>
                </c:pt>
                <c:pt idx="640">
                  <c:v>-2.9549786397848245E-3</c:v>
                </c:pt>
                <c:pt idx="641">
                  <c:v>-2.9512189741523909E-3</c:v>
                </c:pt>
                <c:pt idx="642">
                  <c:v>-2.9474397572084679E-3</c:v>
                </c:pt>
                <c:pt idx="643">
                  <c:v>-2.9436400523192444E-3</c:v>
                </c:pt>
                <c:pt idx="644">
                  <c:v>-2.9321086436416791E-3</c:v>
                </c:pt>
                <c:pt idx="645">
                  <c:v>-2.9282181039160496E-3</c:v>
                </c:pt>
                <c:pt idx="646">
                  <c:v>-2.9243052927734022E-3</c:v>
                </c:pt>
                <c:pt idx="647">
                  <c:v>-2.9203721732772576E-3</c:v>
                </c:pt>
                <c:pt idx="648">
                  <c:v>-2.9164207084911363E-3</c:v>
                </c:pt>
                <c:pt idx="649">
                  <c:v>-2.9044758730281182E-3</c:v>
                </c:pt>
                <c:pt idx="650">
                  <c:v>-2.9004706577172956E-3</c:v>
                </c:pt>
                <c:pt idx="651">
                  <c:v>-2.8964569124340996E-3</c:v>
                </c:pt>
                <c:pt idx="652">
                  <c:v>-2.8924366002420505E-3</c:v>
                </c:pt>
                <c:pt idx="653">
                  <c:v>-2.8884116842046682E-3</c:v>
                </c:pt>
                <c:pt idx="654">
                  <c:v>-2.8763289436557287E-3</c:v>
                </c:pt>
                <c:pt idx="655">
                  <c:v>-2.8723052428722192E-3</c:v>
                </c:pt>
                <c:pt idx="656">
                  <c:v>-2.8682867535609795E-3</c:v>
                </c:pt>
                <c:pt idx="657">
                  <c:v>-2.8642754387855308E-3</c:v>
                </c:pt>
                <c:pt idx="658">
                  <c:v>-2.8602732616093921E-3</c:v>
                </c:pt>
                <c:pt idx="659">
                  <c:v>-2.8483411863120486E-3</c:v>
                </c:pt>
                <c:pt idx="660">
                  <c:v>-2.8365620196952389E-3</c:v>
                </c:pt>
                <c:pt idx="661">
                  <c:v>-2.8326787714928509E-3</c:v>
                </c:pt>
                <c:pt idx="662">
                  <c:v>-2.8211859317846173E-3</c:v>
                </c:pt>
                <c:pt idx="663">
                  <c:v>-2.8136744233634436E-3</c:v>
                </c:pt>
                <c:pt idx="664">
                  <c:v>-2.8099690137974522E-3</c:v>
                </c:pt>
                <c:pt idx="665">
                  <c:v>-2.8062962649524951E-3</c:v>
                </c:pt>
                <c:pt idx="666">
                  <c:v>-2.7954540157034071E-3</c:v>
                </c:pt>
                <c:pt idx="667">
                  <c:v>-2.7918919427021628E-3</c:v>
                </c:pt>
                <c:pt idx="668">
                  <c:v>-2.7883525469017392E-3</c:v>
                </c:pt>
                <c:pt idx="669">
                  <c:v>-2.7848338315980942E-3</c:v>
                </c:pt>
                <c:pt idx="670">
                  <c:v>-2.7813338000871853E-3</c:v>
                </c:pt>
                <c:pt idx="671">
                  <c:v>-2.7709258412704453E-3</c:v>
                </c:pt>
                <c:pt idx="672">
                  <c:v>-2.7674805778900523E-3</c:v>
                </c:pt>
                <c:pt idx="673">
                  <c:v>-2.7640440147821805E-3</c:v>
                </c:pt>
                <c:pt idx="674">
                  <c:v>-2.7606141552427893E-3</c:v>
                </c:pt>
                <c:pt idx="675">
                  <c:v>-2.7571890025678341E-3</c:v>
                </c:pt>
                <c:pt idx="676">
                  <c:v>-2.7469218186891632E-3</c:v>
                </c:pt>
                <c:pt idx="677">
                  <c:v>-2.743495526431528E-3</c:v>
                </c:pt>
                <c:pt idx="678">
                  <c:v>-2.7400639575181156E-3</c:v>
                </c:pt>
                <c:pt idx="679">
                  <c:v>-2.7366251152448839E-3</c:v>
                </c:pt>
                <c:pt idx="680">
                  <c:v>-2.7331770029077897E-3</c:v>
                </c:pt>
                <c:pt idx="681">
                  <c:v>-2.7227570784729067E-3</c:v>
                </c:pt>
                <c:pt idx="682">
                  <c:v>-2.7192519188399371E-3</c:v>
                </c:pt>
                <c:pt idx="683">
                  <c:v>-2.7157275056228906E-3</c:v>
                </c:pt>
                <c:pt idx="684">
                  <c:v>-2.7121818421177251E-3</c:v>
                </c:pt>
                <c:pt idx="685">
                  <c:v>-2.7086129316203984E-3</c:v>
                </c:pt>
                <c:pt idx="686">
                  <c:v>-2.6977467511350244E-3</c:v>
                </c:pt>
                <c:pt idx="687">
                  <c:v>-2.6940654582951655E-3</c:v>
                </c:pt>
                <c:pt idx="688">
                  <c:v>-2.6903543709421774E-3</c:v>
                </c:pt>
                <c:pt idx="689">
                  <c:v>-2.6866149283712609E-3</c:v>
                </c:pt>
                <c:pt idx="690">
                  <c:v>-2.6828485698776176E-3</c:v>
                </c:pt>
                <c:pt idx="691">
                  <c:v>-2.6714023918123515E-3</c:v>
                </c:pt>
                <c:pt idx="692">
                  <c:v>-2.6675427625798241E-3</c:v>
                </c:pt>
                <c:pt idx="693">
                  <c:v>-2.6636634139005811E-3</c:v>
                </c:pt>
                <c:pt idx="694">
                  <c:v>-2.6597657850698231E-3</c:v>
                </c:pt>
                <c:pt idx="695">
                  <c:v>-2.6558513153827532E-3</c:v>
                </c:pt>
                <c:pt idx="696">
                  <c:v>-2.6440212541356924E-3</c:v>
                </c:pt>
                <c:pt idx="697">
                  <c:v>-2.6400538139753947E-3</c:v>
                </c:pt>
                <c:pt idx="698">
                  <c:v>-2.6360767294347945E-3</c:v>
                </c:pt>
                <c:pt idx="699">
                  <c:v>-2.6320914398090963E-3</c:v>
                </c:pt>
                <c:pt idx="700">
                  <c:v>-2.628099384393498E-3</c:v>
                </c:pt>
                <c:pt idx="701">
                  <c:v>-2.6160970163593388E-3</c:v>
                </c:pt>
                <c:pt idx="702">
                  <c:v>-2.6120922907361694E-3</c:v>
                </c:pt>
                <c:pt idx="703">
                  <c:v>-2.6080879957991131E-3</c:v>
                </c:pt>
                <c:pt idx="704">
                  <c:v>-2.6040855708433707E-3</c:v>
                </c:pt>
                <c:pt idx="705">
                  <c:v>-2.6000864551641439E-3</c:v>
                </c:pt>
                <c:pt idx="706">
                  <c:v>-2.5881233567375834E-3</c:v>
                </c:pt>
                <c:pt idx="707">
                  <c:v>-2.584151499762352E-3</c:v>
                </c:pt>
                <c:pt idx="708">
                  <c:v>-2.5801879204151112E-3</c:v>
                </c:pt>
                <c:pt idx="709">
                  <c:v>-2.5762318298665223E-3</c:v>
                </c:pt>
                <c:pt idx="710">
                  <c:v>-2.5722824392872519E-3</c:v>
                </c:pt>
                <c:pt idx="711">
                  <c:v>-2.5604665790719917E-3</c:v>
                </c:pt>
                <c:pt idx="712">
                  <c:v>-2.5565361000766378E-3</c:v>
                </c:pt>
                <c:pt idx="713">
                  <c:v>-2.5526083769039235E-3</c:v>
                </c:pt>
                <c:pt idx="714">
                  <c:v>-2.5486826207245144E-3</c:v>
                </c:pt>
                <c:pt idx="715">
                  <c:v>-2.5447580427090748E-3</c:v>
                </c:pt>
                <c:pt idx="716">
                  <c:v>-2.5329834893532172E-3</c:v>
                </c:pt>
                <c:pt idx="717">
                  <c:v>-2.5290557357002998E-3</c:v>
                </c:pt>
                <c:pt idx="718">
                  <c:v>-2.5251252160646753E-3</c:v>
                </c:pt>
                <c:pt idx="719">
                  <c:v>-2.5211911416170062E-3</c:v>
                </c:pt>
                <c:pt idx="720">
                  <c:v>-2.5172527235279578E-3</c:v>
                </c:pt>
                <c:pt idx="721">
                  <c:v>-2.5054035191191849E-3</c:v>
                </c:pt>
                <c:pt idx="722">
                  <c:v>-2.5014398381712653E-3</c:v>
                </c:pt>
                <c:pt idx="723">
                  <c:v>-2.4974678694352896E-3</c:v>
                </c:pt>
                <c:pt idx="724">
                  <c:v>-2.4934868240819217E-3</c:v>
                </c:pt>
                <c:pt idx="725">
                  <c:v>-2.4894959132818269E-3</c:v>
                </c:pt>
                <c:pt idx="726">
                  <c:v>-2.477456099907821E-3</c:v>
                </c:pt>
                <c:pt idx="727">
                  <c:v>-2.4734178390274602E-3</c:v>
                </c:pt>
                <c:pt idx="728">
                  <c:v>-2.4693661097033659E-3</c:v>
                </c:pt>
                <c:pt idx="729">
                  <c:v>-2.4653018288545592E-3</c:v>
                </c:pt>
                <c:pt idx="730">
                  <c:v>-2.4612262545497324E-3</c:v>
                </c:pt>
                <c:pt idx="731">
                  <c:v>-2.4489443515860587E-3</c:v>
                </c:pt>
                <c:pt idx="732">
                  <c:v>-2.4448361841440773E-3</c:v>
                </c:pt>
                <c:pt idx="733">
                  <c:v>-2.4407230135895398E-3</c:v>
                </c:pt>
                <c:pt idx="734">
                  <c:v>-2.4366060979911365E-3</c:v>
                </c:pt>
                <c:pt idx="735">
                  <c:v>-2.432486695417561E-3</c:v>
                </c:pt>
                <c:pt idx="736">
                  <c:v>-2.4201261465327277E-3</c:v>
                </c:pt>
                <c:pt idx="737">
                  <c:v>-2.4160093767453899E-3</c:v>
                </c:pt>
                <c:pt idx="738">
                  <c:v>-2.4118964103263417E-3</c:v>
                </c:pt>
                <c:pt idx="739">
                  <c:v>-2.4077885053442765E-3</c:v>
                </c:pt>
                <c:pt idx="740">
                  <c:v>-2.3873689343929362E-3</c:v>
                </c:pt>
                <c:pt idx="741">
                  <c:v>-2.3833178174753125E-3</c:v>
                </c:pt>
                <c:pt idx="742">
                  <c:v>-2.3792805684755207E-3</c:v>
                </c:pt>
                <c:pt idx="743">
                  <c:v>-2.3752584454622512E-3</c:v>
                </c:pt>
                <c:pt idx="744">
                  <c:v>-2.3632954130285095E-3</c:v>
                </c:pt>
                <c:pt idx="745">
                  <c:v>-2.3593463746482586E-3</c:v>
                </c:pt>
                <c:pt idx="746">
                  <c:v>-2.3515138049464081E-3</c:v>
                </c:pt>
                <c:pt idx="747">
                  <c:v>-2.347632281153336E-3</c:v>
                </c:pt>
                <c:pt idx="748">
                  <c:v>-2.336113368733835E-3</c:v>
                </c:pt>
                <c:pt idx="749">
                  <c:v>-2.3323096389657356E-3</c:v>
                </c:pt>
                <c:pt idx="750">
                  <c:v>-2.3285208737427506E-3</c:v>
                </c:pt>
                <c:pt idx="751">
                  <c:v>-2.3247452794804297E-3</c:v>
                </c:pt>
                <c:pt idx="752">
                  <c:v>-2.3209810625943218E-3</c:v>
                </c:pt>
                <c:pt idx="753">
                  <c:v>-2.3097387403487623E-3</c:v>
                </c:pt>
                <c:pt idx="754">
                  <c:v>-2.3060020971229925E-3</c:v>
                </c:pt>
                <c:pt idx="755">
                  <c:v>-2.3022678633511798E-3</c:v>
                </c:pt>
                <c:pt idx="756">
                  <c:v>-2.2985342454488731E-3</c:v>
                </c:pt>
                <c:pt idx="757">
                  <c:v>-2.2947994498316196E-3</c:v>
                </c:pt>
                <c:pt idx="758">
                  <c:v>-2.2835700608456739E-3</c:v>
                </c:pt>
                <c:pt idx="759">
                  <c:v>-2.279812618524126E-3</c:v>
                </c:pt>
                <c:pt idx="760">
                  <c:v>-2.2760450305653762E-3</c:v>
                </c:pt>
                <c:pt idx="761">
                  <c:v>-2.2722655033849725E-3</c:v>
                </c:pt>
                <c:pt idx="762">
                  <c:v>-2.268472243398466E-3</c:v>
                </c:pt>
                <c:pt idx="763">
                  <c:v>-2.2569921307578067E-3</c:v>
                </c:pt>
                <c:pt idx="764">
                  <c:v>-2.2531260037023707E-3</c:v>
                </c:pt>
                <c:pt idx="765">
                  <c:v>-2.2492371759185738E-3</c:v>
                </c:pt>
                <c:pt idx="766">
                  <c:v>-2.2453238538219671E-3</c:v>
                </c:pt>
                <c:pt idx="767">
                  <c:v>-2.2413842438280965E-3</c:v>
                </c:pt>
                <c:pt idx="768">
                  <c:v>-2.2293897506183982E-3</c:v>
                </c:pt>
                <c:pt idx="769">
                  <c:v>-2.2253275636127967E-3</c:v>
                </c:pt>
                <c:pt idx="770">
                  <c:v>-2.2212331833186645E-3</c:v>
                </c:pt>
                <c:pt idx="771">
                  <c:v>-2.2171078786825402E-3</c:v>
                </c:pt>
                <c:pt idx="772">
                  <c:v>-2.2129529186509594E-3</c:v>
                </c:pt>
                <c:pt idx="773">
                  <c:v>-2.2003227956488578E-3</c:v>
                </c:pt>
                <c:pt idx="774">
                  <c:v>-2.196061903500828E-3</c:v>
                </c:pt>
                <c:pt idx="775">
                  <c:v>-2.1917777006900284E-3</c:v>
                </c:pt>
                <c:pt idx="776">
                  <c:v>-2.1874714561629966E-3</c:v>
                </c:pt>
                <c:pt idx="777">
                  <c:v>-2.1831444388662699E-3</c:v>
                </c:pt>
                <c:pt idx="778">
                  <c:v>-2.1700514398232946E-3</c:v>
                </c:pt>
                <c:pt idx="779">
                  <c:v>-2.1656540209131622E-3</c:v>
                </c:pt>
                <c:pt idx="780">
                  <c:v>-2.1612421739660207E-3</c:v>
                </c:pt>
                <c:pt idx="781">
                  <c:v>-2.1568171679284087E-3</c:v>
                </c:pt>
                <c:pt idx="782">
                  <c:v>-2.1523802717468626E-3</c:v>
                </c:pt>
                <c:pt idx="783">
                  <c:v>-2.1390109318039923E-3</c:v>
                </c:pt>
                <c:pt idx="784">
                  <c:v>-2.1345391645120832E-3</c:v>
                </c:pt>
                <c:pt idx="785">
                  <c:v>-2.1300618518089258E-3</c:v>
                </c:pt>
                <c:pt idx="786">
                  <c:v>-2.1255802626410593E-3</c:v>
                </c:pt>
                <c:pt idx="787">
                  <c:v>-2.1210956659550189E-3</c:v>
                </c:pt>
                <c:pt idx="788">
                  <c:v>-2.1076365202532337E-3</c:v>
                </c:pt>
                <c:pt idx="789">
                  <c:v>-2.103152582959874E-3</c:v>
                </c:pt>
                <c:pt idx="790">
                  <c:v>-2.0986717587801549E-3</c:v>
                </c:pt>
                <c:pt idx="791">
                  <c:v>-2.0941941961562455E-3</c:v>
                </c:pt>
                <c:pt idx="792">
                  <c:v>-2.0897198194294456E-3</c:v>
                </c:pt>
                <c:pt idx="793">
                  <c:v>-2.0763150480446737E-3</c:v>
                </c:pt>
                <c:pt idx="794">
                  <c:v>-2.0718526583192844E-3</c:v>
                </c:pt>
                <c:pt idx="795">
                  <c:v>-2.0673930761974909E-3</c:v>
                </c:pt>
                <c:pt idx="796">
                  <c:v>-2.0629362260205916E-3</c:v>
                </c:pt>
                <c:pt idx="797">
                  <c:v>-2.0584820321298842E-3</c:v>
                </c:pt>
                <c:pt idx="798">
                  <c:v>-2.0451346315878902E-3</c:v>
                </c:pt>
                <c:pt idx="799">
                  <c:v>-2.0406903062549263E-3</c:v>
                </c:pt>
                <c:pt idx="800">
                  <c:v>-2.0362482589146432E-3</c:v>
                </c:pt>
                <c:pt idx="801">
                  <c:v>-2.0318084139083368E-3</c:v>
                </c:pt>
                <c:pt idx="802">
                  <c:v>-2.0273706955773055E-3</c:v>
                </c:pt>
                <c:pt idx="803">
                  <c:v>-2.0140695440488379E-3</c:v>
                </c:pt>
                <c:pt idx="804">
                  <c:v>-2.0096395758318836E-3</c:v>
                </c:pt>
                <c:pt idx="805">
                  <c:v>-2.005211355996692E-3</c:v>
                </c:pt>
                <c:pt idx="806">
                  <c:v>-2.0007848088845607E-3</c:v>
                </c:pt>
                <c:pt idx="807">
                  <c:v>-1.9963598588367886E-3</c:v>
                </c:pt>
                <c:pt idx="808">
                  <c:v>-1.9830938344925974E-3</c:v>
                </c:pt>
                <c:pt idx="809">
                  <c:v>-1.978674516115234E-3</c:v>
                </c:pt>
                <c:pt idx="810">
                  <c:v>-1.974256416508717E-3</c:v>
                </c:pt>
                <c:pt idx="811">
                  <c:v>-1.9698394600143458E-3</c:v>
                </c:pt>
                <c:pt idx="812">
                  <c:v>-1.9654235709734144E-3</c:v>
                </c:pt>
                <c:pt idx="813">
                  <c:v>-1.9521761261416912E-3</c:v>
                </c:pt>
                <c:pt idx="814">
                  <c:v>-1.9477563149136281E-3</c:v>
                </c:pt>
                <c:pt idx="815">
                  <c:v>-1.9433323698743324E-3</c:v>
                </c:pt>
                <c:pt idx="816">
                  <c:v>-1.9389030096223117E-3</c:v>
                </c:pt>
                <c:pt idx="817">
                  <c:v>-1.9344669527560725E-3</c:v>
                </c:pt>
                <c:pt idx="818">
                  <c:v>-1.9211057884571184E-3</c:v>
                </c:pt>
                <c:pt idx="819">
                  <c:v>-1.9166301311190775E-3</c:v>
                </c:pt>
                <c:pt idx="820">
                  <c:v>-1.9121413701593537E-3</c:v>
                </c:pt>
                <c:pt idx="821">
                  <c:v>-1.9076382241764542E-3</c:v>
                </c:pt>
                <c:pt idx="822">
                  <c:v>-1.9031194117688866E-3</c:v>
                </c:pt>
                <c:pt idx="823">
                  <c:v>-1.8894561619832424E-3</c:v>
                </c:pt>
                <c:pt idx="824">
                  <c:v>-1.8848618698620709E-3</c:v>
                </c:pt>
                <c:pt idx="825">
                  <c:v>-1.8802455043087666E-3</c:v>
                </c:pt>
                <c:pt idx="826">
                  <c:v>-1.8756057839218361E-3</c:v>
                </c:pt>
                <c:pt idx="827">
                  <c:v>-1.8709414272997864E-3</c:v>
                </c:pt>
                <c:pt idx="828">
                  <c:v>-1.8567877260079941E-3</c:v>
                </c:pt>
                <c:pt idx="829">
                  <c:v>-1.8520120104305398E-3</c:v>
                </c:pt>
                <c:pt idx="830">
                  <c:v>-1.8472052516105022E-3</c:v>
                </c:pt>
                <c:pt idx="831">
                  <c:v>-1.8423661681463877E-3</c:v>
                </c:pt>
                <c:pt idx="832">
                  <c:v>-1.8374934786367046E-3</c:v>
                </c:pt>
                <c:pt idx="833">
                  <c:v>-1.8226609598193072E-3</c:v>
                </c:pt>
                <c:pt idx="834">
                  <c:v>-1.8176417019130431E-3</c:v>
                </c:pt>
                <c:pt idx="835">
                  <c:v>-1.8125864497575053E-3</c:v>
                </c:pt>
                <c:pt idx="836">
                  <c:v>-1.8074979407549602E-3</c:v>
                </c:pt>
                <c:pt idx="837">
                  <c:v>-1.802378912307675E-3</c:v>
                </c:pt>
                <c:pt idx="838">
                  <c:v>-1.7868660843200447E-3</c:v>
                </c:pt>
                <c:pt idx="839">
                  <c:v>-1.7816523521164659E-3</c:v>
                </c:pt>
                <c:pt idx="840">
                  <c:v>-1.776421787479481E-3</c:v>
                </c:pt>
                <c:pt idx="841">
                  <c:v>-1.7711771278113566E-3</c:v>
                </c:pt>
                <c:pt idx="842">
                  <c:v>-1.76592111051436E-3</c:v>
                </c:pt>
                <c:pt idx="843">
                  <c:v>-1.7501122868728047E-3</c:v>
                </c:pt>
                <c:pt idx="844">
                  <c:v>-1.7448382130829877E-3</c:v>
                </c:pt>
                <c:pt idx="845">
                  <c:v>-1.7395664686756316E-3</c:v>
                </c:pt>
                <c:pt idx="846">
                  <c:v>-1.7342997910530045E-3</c:v>
                </c:pt>
                <c:pt idx="847">
                  <c:v>-1.729040917617373E-3</c:v>
                </c:pt>
                <c:pt idx="848">
                  <c:v>-1.7133384964551199E-3</c:v>
                </c:pt>
                <c:pt idx="849">
                  <c:v>-1.7081382137901402E-3</c:v>
                </c:pt>
                <c:pt idx="850">
                  <c:v>-1.7029594223234893E-3</c:v>
                </c:pt>
                <c:pt idx="851">
                  <c:v>-1.697804859457436E-3</c:v>
                </c:pt>
                <c:pt idx="852">
                  <c:v>-1.6926772625942455E-3</c:v>
                </c:pt>
                <c:pt idx="853">
                  <c:v>-1.6774836420445237E-3</c:v>
                </c:pt>
                <c:pt idx="854">
                  <c:v>-1.6724912832154562E-3</c:v>
                </c:pt>
                <c:pt idx="855">
                  <c:v>-1.6675395774005863E-3</c:v>
                </c:pt>
                <c:pt idx="856">
                  <c:v>-1.6626302973864208E-3</c:v>
                </c:pt>
                <c:pt idx="857">
                  <c:v>-1.6577613574964179E-3</c:v>
                </c:pt>
                <c:pt idx="858">
                  <c:v>-1.6433660756483847E-3</c:v>
                </c:pt>
                <c:pt idx="859">
                  <c:v>-1.6386279933320279E-3</c:v>
                </c:pt>
                <c:pt idx="860">
                  <c:v>-1.6339149996783301E-3</c:v>
                </c:pt>
                <c:pt idx="861">
                  <c:v>-1.6292240443949904E-3</c:v>
                </c:pt>
                <c:pt idx="862">
                  <c:v>-1.6245520771897089E-3</c:v>
                </c:pt>
                <c:pt idx="863">
                  <c:v>-1.6106196011191965E-3</c:v>
                </c:pt>
                <c:pt idx="864">
                  <c:v>-1.6059930833031335E-3</c:v>
                </c:pt>
                <c:pt idx="865">
                  <c:v>-1.6013703021036231E-3</c:v>
                </c:pt>
                <c:pt idx="866">
                  <c:v>-1.5967482072283643E-3</c:v>
                </c:pt>
                <c:pt idx="867">
                  <c:v>-1.5921237483850564E-3</c:v>
                </c:pt>
                <c:pt idx="868">
                  <c:v>-1.5782056851238275E-3</c:v>
                </c:pt>
                <c:pt idx="869">
                  <c:v>-1.5735412674853127E-3</c:v>
                </c:pt>
                <c:pt idx="870">
                  <c:v>-1.5688592344172444E-3</c:v>
                </c:pt>
                <c:pt idx="871">
                  <c:v>-1.5641565356273206E-3</c:v>
                </c:pt>
                <c:pt idx="872">
                  <c:v>-1.5594301208232406E-3</c:v>
                </c:pt>
                <c:pt idx="873">
                  <c:v>-1.5450780774030567E-3</c:v>
                </c:pt>
                <c:pt idx="874">
                  <c:v>-1.5402262956193443E-3</c:v>
                </c:pt>
                <c:pt idx="875">
                  <c:v>-1.5353355463599708E-3</c:v>
                </c:pt>
                <c:pt idx="876">
                  <c:v>-1.5304027793326366E-3</c:v>
                </c:pt>
                <c:pt idx="877">
                  <c:v>-1.5254249442450392E-3</c:v>
                </c:pt>
                <c:pt idx="878">
                  <c:v>-1.5101905276976623E-3</c:v>
                </c:pt>
                <c:pt idx="879">
                  <c:v>-1.5050027653428753E-3</c:v>
                </c:pt>
                <c:pt idx="880">
                  <c:v>-1.4997597708475414E-3</c:v>
                </c:pt>
                <c:pt idx="881">
                  <c:v>-1.4944635813005809E-3</c:v>
                </c:pt>
                <c:pt idx="882">
                  <c:v>-1.4891162337909113E-3</c:v>
                </c:pt>
                <c:pt idx="883">
                  <c:v>-1.4727876143748448E-3</c:v>
                </c:pt>
                <c:pt idx="884">
                  <c:v>-1.4672560059035343E-3</c:v>
                </c:pt>
                <c:pt idx="885">
                  <c:v>-1.4616834249141114E-3</c:v>
                </c:pt>
                <c:pt idx="886">
                  <c:v>-1.456071908495496E-3</c:v>
                </c:pt>
                <c:pt idx="887">
                  <c:v>-1.4504234937366075E-3</c:v>
                </c:pt>
                <c:pt idx="888">
                  <c:v>-1.433277230307495E-3</c:v>
                </c:pt>
                <c:pt idx="889">
                  <c:v>-1.4275015930767054E-3</c:v>
                </c:pt>
                <c:pt idx="890">
                  <c:v>-1.4216992429502387E-3</c:v>
                </c:pt>
                <c:pt idx="891">
                  <c:v>-1.4158722170170143E-3</c:v>
                </c:pt>
                <c:pt idx="892">
                  <c:v>-1.4100225523659513E-3</c:v>
                </c:pt>
                <c:pt idx="893">
                  <c:v>-1.3923580969949256E-3</c:v>
                </c:pt>
                <c:pt idx="894">
                  <c:v>-1.3864382483617015E-3</c:v>
                </c:pt>
                <c:pt idx="895">
                  <c:v>-1.3805059464552364E-3</c:v>
                </c:pt>
                <c:pt idx="896">
                  <c:v>-1.3745632283644474E-3</c:v>
                </c:pt>
                <c:pt idx="897">
                  <c:v>-1.3686121311782551E-3</c:v>
                </c:pt>
                <c:pt idx="898">
                  <c:v>-1.3507289359364499E-3</c:v>
                </c:pt>
                <c:pt idx="899">
                  <c:v>-1.3447645160913576E-3</c:v>
                </c:pt>
                <c:pt idx="900">
                  <c:v>-1.3388008395965874E-3</c:v>
                </c:pt>
                <c:pt idx="901">
                  <c:v>-1.3328388805421839E-3</c:v>
                </c:pt>
                <c:pt idx="902">
                  <c:v>-1.3268796130181967E-3</c:v>
                </c:pt>
                <c:pt idx="903">
                  <c:v>-1.309027700529196E-3</c:v>
                </c:pt>
                <c:pt idx="904">
                  <c:v>-1.3030889400273413E-3</c:v>
                </c:pt>
                <c:pt idx="905">
                  <c:v>-1.2971577415061373E-3</c:v>
                </c:pt>
                <c:pt idx="906">
                  <c:v>-1.2912350790556324E-3</c:v>
                </c:pt>
                <c:pt idx="907">
                  <c:v>-1.2853219267658735E-3</c:v>
                </c:pt>
                <c:pt idx="908">
                  <c:v>-1.2676492717615426E-3</c:v>
                </c:pt>
                <c:pt idx="909">
                  <c:v>-1.2617839010152382E-3</c:v>
                </c:pt>
                <c:pt idx="910">
                  <c:v>-1.2559329108799151E-3</c:v>
                </c:pt>
                <c:pt idx="911">
                  <c:v>-1.2500972754456213E-3</c:v>
                </c:pt>
                <c:pt idx="912">
                  <c:v>-1.2442779688024035E-3</c:v>
                </c:pt>
                <c:pt idx="913">
                  <c:v>-1.2269277625196805E-3</c:v>
                </c:pt>
                <c:pt idx="914">
                  <c:v>-1.2211835119412403E-3</c:v>
                </c:pt>
                <c:pt idx="915">
                  <c:v>-1.2040818520139798E-3</c:v>
                </c:pt>
                <c:pt idx="916">
                  <c:v>-1.1871972856898035E-3</c:v>
                </c:pt>
                <c:pt idx="917">
                  <c:v>-1.1816218856915406E-3</c:v>
                </c:pt>
                <c:pt idx="918">
                  <c:v>-1.1705861879975678E-3</c:v>
                </c:pt>
                <c:pt idx="919">
                  <c:v>-1.1651119426999293E-3</c:v>
                </c:pt>
                <c:pt idx="920">
                  <c:v>-1.1488410973233864E-3</c:v>
                </c:pt>
                <c:pt idx="921">
                  <c:v>-1.1434591480767777E-3</c:v>
                </c:pt>
                <c:pt idx="922">
                  <c:v>-1.1380935496230107E-3</c:v>
                </c:pt>
                <c:pt idx="923">
                  <c:v>-1.1327416126741202E-3</c:v>
                </c:pt>
                <c:pt idx="924">
                  <c:v>-1.1274006479421418E-3</c:v>
                </c:pt>
                <c:pt idx="925">
                  <c:v>-1.1114166941680096E-3</c:v>
                </c:pt>
                <c:pt idx="926">
                  <c:v>-1.1060927254240146E-3</c:v>
                </c:pt>
                <c:pt idx="927">
                  <c:v>-1.1007662824571022E-3</c:v>
                </c:pt>
                <c:pt idx="928">
                  <c:v>-1.0954346759793044E-3</c:v>
                </c:pt>
                <c:pt idx="929">
                  <c:v>-1.0900952167026568E-3</c:v>
                </c:pt>
                <c:pt idx="930">
                  <c:v>-1.0740028291999538E-3</c:v>
                </c:pt>
                <c:pt idx="931">
                  <c:v>-1.0686050658482462E-3</c:v>
                </c:pt>
                <c:pt idx="932">
                  <c:v>-1.0631860032578591E-3</c:v>
                </c:pt>
                <c:pt idx="933">
                  <c:v>-1.0577429521408275E-3</c:v>
                </c:pt>
                <c:pt idx="934">
                  <c:v>-1.0522732232091838E-3</c:v>
                </c:pt>
                <c:pt idx="935">
                  <c:v>-1.0356770766469269E-3</c:v>
                </c:pt>
                <c:pt idx="936">
                  <c:v>-1.0300737435771795E-3</c:v>
                </c:pt>
                <c:pt idx="937">
                  <c:v>-1.0244302862529922E-3</c:v>
                </c:pt>
                <c:pt idx="938">
                  <c:v>-1.0187440153863975E-3</c:v>
                </c:pt>
                <c:pt idx="939">
                  <c:v>-1.0130122416894304E-3</c:v>
                </c:pt>
                <c:pt idx="940">
                  <c:v>-9.9551701073663751E-4</c:v>
                </c:pt>
                <c:pt idx="941">
                  <c:v>-9.8957717013366101E-4</c:v>
                </c:pt>
                <c:pt idx="942">
                  <c:v>-9.8358340403131546E-4</c:v>
                </c:pt>
                <c:pt idx="943">
                  <c:v>-9.775380469124685E-4</c:v>
                </c:pt>
                <c:pt idx="944">
                  <c:v>-9.7144343325998475E-4</c:v>
                </c:pt>
                <c:pt idx="945">
                  <c:v>-9.5288739792938413E-4</c:v>
                </c:pt>
                <c:pt idx="946">
                  <c:v>-9.4661910297102417E-4</c:v>
                </c:pt>
                <c:pt idx="947">
                  <c:v>-9.4031322389336058E-4</c:v>
                </c:pt>
                <c:pt idx="948">
                  <c:v>-9.3397209517926088E-4</c:v>
                </c:pt>
                <c:pt idx="949">
                  <c:v>-9.2759805131159296E-4</c:v>
                </c:pt>
                <c:pt idx="950">
                  <c:v>-9.0830177361583624E-4</c:v>
                </c:pt>
                <c:pt idx="951">
                  <c:v>-9.0181941396255628E-4</c:v>
                </c:pt>
                <c:pt idx="952">
                  <c:v>-8.9531581157004125E-4</c:v>
                </c:pt>
                <c:pt idx="953">
                  <c:v>-8.8879330092115564E-4</c:v>
                </c:pt>
                <c:pt idx="954">
                  <c:v>-8.8225421649876733E-4</c:v>
                </c:pt>
                <c:pt idx="955">
                  <c:v>-8.6256086541925249E-4</c:v>
                </c:pt>
                <c:pt idx="956">
                  <c:v>-8.5597883073151903E-4</c:v>
                </c:pt>
                <c:pt idx="957">
                  <c:v>-8.4939189468461623E-4</c:v>
                </c:pt>
                <c:pt idx="958">
                  <c:v>-8.4280239176141131E-4</c:v>
                </c:pt>
                <c:pt idx="959">
                  <c:v>-8.3621265644476901E-4</c:v>
                </c:pt>
                <c:pt idx="960">
                  <c:v>-8.1646540096289195E-4</c:v>
                </c:pt>
                <c:pt idx="961">
                  <c:v>-8.0989771935714499E-4</c:v>
                </c:pt>
                <c:pt idx="962">
                  <c:v>-8.0333930850814159E-4</c:v>
                </c:pt>
                <c:pt idx="963">
                  <c:v>-7.9679033363459089E-4</c:v>
                </c:pt>
                <c:pt idx="964">
                  <c:v>-7.902509599552063E-4</c:v>
                </c:pt>
                <c:pt idx="965">
                  <c:v>-7.7069209826916875E-4</c:v>
                </c:pt>
                <c:pt idx="966">
                  <c:v>-7.6419278155356743E-4</c:v>
                </c:pt>
                <c:pt idx="967">
                  <c:v>-7.5770389212569166E-4</c:v>
                </c:pt>
                <c:pt idx="968">
                  <c:v>-7.5122559520425449E-4</c:v>
                </c:pt>
                <c:pt idx="969">
                  <c:v>-7.4475805600796561E-4</c:v>
                </c:pt>
                <c:pt idx="970">
                  <c:v>-7.2542163695711473E-4</c:v>
                </c:pt>
                <c:pt idx="971">
                  <c:v>-7.1899878084854391E-4</c:v>
                </c:pt>
                <c:pt idx="972">
                  <c:v>-7.1258750855868083E-4</c:v>
                </c:pt>
                <c:pt idx="973">
                  <c:v>-7.0618798530623888E-4</c:v>
                </c:pt>
                <c:pt idx="974">
                  <c:v>-6.9980037630993069E-4</c:v>
                </c:pt>
                <c:pt idx="975">
                  <c:v>-6.8071068704491939E-4</c:v>
                </c:pt>
                <c:pt idx="976">
                  <c:v>-6.7437238726026066E-4</c:v>
                </c:pt>
                <c:pt idx="977">
                  <c:v>-6.6804682782529545E-4</c:v>
                </c:pt>
                <c:pt idx="978">
                  <c:v>-6.6173417395873368E-4</c:v>
                </c:pt>
                <c:pt idx="979">
                  <c:v>-6.5543459087928798E-4</c:v>
                </c:pt>
                <c:pt idx="980">
                  <c:v>-6.3661591855076875E-4</c:v>
                </c:pt>
                <c:pt idx="981">
                  <c:v>-6.3037027080690728E-4</c:v>
                </c:pt>
                <c:pt idx="982">
                  <c:v>-6.2413851994372175E-4</c:v>
                </c:pt>
                <c:pt idx="983">
                  <c:v>-6.1792083117992501E-4</c:v>
                </c:pt>
                <c:pt idx="984">
                  <c:v>-6.1171709842428284E-4</c:v>
                </c:pt>
                <c:pt idx="985">
                  <c:v>-5.9317663765642685E-4</c:v>
                </c:pt>
                <c:pt idx="986">
                  <c:v>-5.8701518776365529E-4</c:v>
                </c:pt>
                <c:pt idx="987">
                  <c:v>-5.808606519842204E-4</c:v>
                </c:pt>
                <c:pt idx="988">
                  <c:v>-5.7471156767716709E-4</c:v>
                </c:pt>
                <c:pt idx="989">
                  <c:v>-5.4399672579429645E-4</c:v>
                </c:pt>
                <c:pt idx="990">
                  <c:v>-5.3784963486153126E-4</c:v>
                </c:pt>
                <c:pt idx="991">
                  <c:v>-5.3169775691448034E-4</c:v>
                </c:pt>
                <c:pt idx="992">
                  <c:v>-5.2553962931218862E-4</c:v>
                </c:pt>
                <c:pt idx="993">
                  <c:v>-5.0701312216434803E-4</c:v>
                </c:pt>
                <c:pt idx="994">
                  <c:v>-5.0081536953157087E-4</c:v>
                </c:pt>
                <c:pt idx="995">
                  <c:v>-4.946040540387889E-4</c:v>
                </c:pt>
                <c:pt idx="996">
                  <c:v>-4.8837771304505065E-4</c:v>
                </c:pt>
                <c:pt idx="997">
                  <c:v>-4.8213488390940401E-4</c:v>
                </c:pt>
                <c:pt idx="998">
                  <c:v>-4.6329284124147727E-4</c:v>
                </c:pt>
                <c:pt idx="999">
                  <c:v>-4.5696943312866449E-4</c:v>
                </c:pt>
                <c:pt idx="1000">
                  <c:v>-4.5062222366917939E-4</c:v>
                </c:pt>
                <c:pt idx="1001">
                  <c:v>-4.4424975022206705E-4</c:v>
                </c:pt>
                <c:pt idx="1002">
                  <c:v>-4.1847796373830151E-4</c:v>
                </c:pt>
                <c:pt idx="1003">
                  <c:v>-4.1195761445465644E-4</c:v>
                </c:pt>
                <c:pt idx="1004">
                  <c:v>-4.0540552763300826E-4</c:v>
                </c:pt>
                <c:pt idx="1005">
                  <c:v>-3.9882254292774509E-4</c:v>
                </c:pt>
                <c:pt idx="1006">
                  <c:v>-3.9220949999325196E-4</c:v>
                </c:pt>
                <c:pt idx="1007">
                  <c:v>-3.7219841835827051E-4</c:v>
                </c:pt>
                <c:pt idx="1008">
                  <c:v>-3.6547353905073222E-4</c:v>
                </c:pt>
                <c:pt idx="1009">
                  <c:v>-3.5872279978590136E-4</c:v>
                </c:pt>
                <c:pt idx="1010">
                  <c:v>-3.5194704021816292E-4</c:v>
                </c:pt>
                <c:pt idx="1011">
                  <c:v>-3.4514710000190505E-4</c:v>
                </c:pt>
                <c:pt idx="1012">
                  <c:v>-3.2461059200588618E-4</c:v>
                </c:pt>
                <c:pt idx="1013">
                  <c:v>-3.177223257394211E-4</c:v>
                </c:pt>
                <c:pt idx="1014">
                  <c:v>-3.1081407709637179E-4</c:v>
                </c:pt>
                <c:pt idx="1015">
                  <c:v>-3.0388668573112662E-4</c:v>
                </c:pt>
                <c:pt idx="1016">
                  <c:v>-2.9694099129807036E-4</c:v>
                </c:pt>
                <c:pt idx="1017">
                  <c:v>-2.760024861359122E-4</c:v>
                </c:pt>
                <c:pt idx="1018">
                  <c:v>-2.6899197597548782E-4</c:v>
                </c:pt>
                <c:pt idx="1019">
                  <c:v>-2.6196736101918757E-4</c:v>
                </c:pt>
                <c:pt idx="1020">
                  <c:v>-2.5492948092139986E-4</c:v>
                </c:pt>
                <c:pt idx="1021">
                  <c:v>-2.4787917533651273E-4</c:v>
                </c:pt>
                <c:pt idx="1022">
                  <c:v>-2.2666210220311677E-4</c:v>
                </c:pt>
                <c:pt idx="1023">
                  <c:v>-2.1957049121369603E-4</c:v>
                </c:pt>
                <c:pt idx="1024">
                  <c:v>-2.1247069880238353E-4</c:v>
                </c:pt>
                <c:pt idx="1025">
                  <c:v>-2.0536379358991681E-4</c:v>
                </c:pt>
                <c:pt idx="1026">
                  <c:v>-1.9825088999031389E-4</c:v>
                </c:pt>
                <c:pt idx="1027">
                  <c:v>-1.7688733300880448E-4</c:v>
                </c:pt>
                <c:pt idx="1028">
                  <c:v>-1.6976158000078038E-4</c:v>
                </c:pt>
                <c:pt idx="1029">
                  <c:v>-1.6263540067568195E-4</c:v>
                </c:pt>
                <c:pt idx="1030">
                  <c:v>-1.5550990944752704E-4</c:v>
                </c:pt>
                <c:pt idx="1031">
                  <c:v>-1.4838622073032676E-4</c:v>
                </c:pt>
                <c:pt idx="1032">
                  <c:v>-1.2703711378458162E-4</c:v>
                </c:pt>
                <c:pt idx="1033">
                  <c:v>-1.1993177925133265E-4</c:v>
                </c:pt>
                <c:pt idx="1034">
                  <c:v>-1.1283381929910474E-4</c:v>
                </c:pt>
                <c:pt idx="1035">
                  <c:v>-1.0574434834190889E-4</c:v>
                </c:pt>
                <c:pt idx="1036">
                  <c:v>-9.8664480793763027E-5</c:v>
                </c:pt>
                <c:pt idx="1037">
                  <c:v>-7.7493642743742302E-5</c:v>
                </c:pt>
                <c:pt idx="1038">
                  <c:v>-7.0463332971920211E-5</c:v>
                </c:pt>
                <c:pt idx="1039">
                  <c:v>-6.3448198679210026E-5</c:v>
                </c:pt>
                <c:pt idx="1040">
                  <c:v>-5.6449354279629648E-5</c:v>
                </c:pt>
                <c:pt idx="1041">
                  <c:v>-4.9467914187187789E-5</c:v>
                </c:pt>
                <c:pt idx="1042">
                  <c:v>-2.8639163892844593E-5</c:v>
                </c:pt>
                <c:pt idx="1043">
                  <c:v>-2.1738485169101235E-5</c:v>
                </c:pt>
                <c:pt idx="1044">
                  <c:v>-1.4860782822562951E-5</c:v>
                </c:pt>
                <c:pt idx="1045">
                  <c:v>-8.0071712672475236E-6</c:v>
                </c:pt>
                <c:pt idx="1046">
                  <c:v>-1.1783582972775808E-6</c:v>
                </c:pt>
                <c:pt idx="1047">
                  <c:v>1.9170102434405858E-5</c:v>
                </c:pt>
                <c:pt idx="1048">
                  <c:v>2.5911347636612842E-5</c:v>
                </c:pt>
                <c:pt idx="1049">
                  <c:v>3.2634014160172268E-5</c:v>
                </c:pt>
                <c:pt idx="1050">
                  <c:v>3.9339427310401402E-5</c:v>
                </c:pt>
                <c:pt idx="1051">
                  <c:v>4.6028912392619695E-5</c:v>
                </c:pt>
                <c:pt idx="1052">
                  <c:v>6.601505228436485E-5</c:v>
                </c:pt>
                <c:pt idx="1053">
                  <c:v>7.2654078147701634E-5</c:v>
                </c:pt>
                <c:pt idx="1054">
                  <c:v>7.9283802469613904E-5</c:v>
                </c:pt>
                <c:pt idx="1055">
                  <c:v>8.5905550555414624E-5</c:v>
                </c:pt>
                <c:pt idx="1056">
                  <c:v>9.252064771042539E-5</c:v>
                </c:pt>
                <c:pt idx="1057">
                  <c:v>1.1233928664387127E-4</c:v>
                </c:pt>
                <c:pt idx="1058">
                  <c:v>1.1894103312888632E-4</c:v>
                </c:pt>
                <c:pt idx="1059">
                  <c:v>1.2554275520969345E-4</c:v>
                </c:pt>
                <c:pt idx="1060">
                  <c:v>1.3214577819161422E-4</c:v>
                </c:pt>
                <c:pt idx="1061">
                  <c:v>1.3875142737996166E-4</c:v>
                </c:pt>
                <c:pt idx="1062">
                  <c:v>1.5859738523675158E-4</c:v>
                </c:pt>
                <c:pt idx="1063">
                  <c:v>1.6522679230398903E-4</c:v>
                </c:pt>
                <c:pt idx="1064">
                  <c:v>1.7186545210423951E-4</c:v>
                </c:pt>
                <c:pt idx="1065">
                  <c:v>1.7851468994282236E-4</c:v>
                </c:pt>
                <c:pt idx="1066">
                  <c:v>1.8517583112505706E-4</c:v>
                </c:pt>
                <c:pt idx="1067">
                  <c:v>2.0524392778682783E-4</c:v>
                </c:pt>
                <c:pt idx="1068">
                  <c:v>2.1196567257949462E-4</c:v>
                </c:pt>
                <c:pt idx="1069">
                  <c:v>2.1870437033837391E-4</c:v>
                </c:pt>
                <c:pt idx="1070">
                  <c:v>2.2545976946476161E-4</c:v>
                </c:pt>
                <c:pt idx="1071">
                  <c:v>2.3223161835994699E-4</c:v>
                </c:pt>
                <c:pt idx="1072">
                  <c:v>2.526433476712421E-4</c:v>
                </c:pt>
                <c:pt idx="1073">
                  <c:v>2.594784796545665E-4</c:v>
                </c:pt>
                <c:pt idx="1074">
                  <c:v>2.6632880341315721E-4</c:v>
                </c:pt>
                <c:pt idx="1075">
                  <c:v>2.731940673483123E-4</c:v>
                </c:pt>
                <c:pt idx="1076">
                  <c:v>2.8007401986132119E-4</c:v>
                </c:pt>
                <c:pt idx="1077">
                  <c:v>3.0079949288042249E-4</c:v>
                </c:pt>
                <c:pt idx="1078">
                  <c:v>3.0773568371779203E-4</c:v>
                </c:pt>
                <c:pt idx="1079">
                  <c:v>3.1468530513948837E-4</c:v>
                </c:pt>
                <c:pt idx="1080">
                  <c:v>3.2164810554680069E-4</c:v>
                </c:pt>
                <c:pt idx="1081">
                  <c:v>3.2862383334102488E-4</c:v>
                </c:pt>
                <c:pt idx="1082">
                  <c:v>3.4962606505811055E-4</c:v>
                </c:pt>
                <c:pt idx="1083">
                  <c:v>3.5665098641291952E-4</c:v>
                </c:pt>
                <c:pt idx="1084">
                  <c:v>3.6368757716110885E-4</c:v>
                </c:pt>
                <c:pt idx="1085">
                  <c:v>3.7073558570397476E-4</c:v>
                </c:pt>
                <c:pt idx="1086">
                  <c:v>3.7779476044280625E-4</c:v>
                </c:pt>
                <c:pt idx="1087">
                  <c:v>3.990367658480476E-4</c:v>
                </c:pt>
                <c:pt idx="1088">
                  <c:v>4.061380893836879E-4</c:v>
                </c:pt>
                <c:pt idx="1089">
                  <c:v>4.132493211217669E-4</c:v>
                </c:pt>
                <c:pt idx="1090">
                  <c:v>4.2037007683355351E-4</c:v>
                </c:pt>
                <c:pt idx="1091">
                  <c:v>4.2749944177024416E-4</c:v>
                </c:pt>
                <c:pt idx="1092">
                  <c:v>4.4892871814143984E-4</c:v>
                </c:pt>
                <c:pt idx="1093">
                  <c:v>4.5608204618945256E-4</c:v>
                </c:pt>
                <c:pt idx="1094">
                  <c:v>4.6323874656822791E-4</c:v>
                </c:pt>
                <c:pt idx="1095">
                  <c:v>4.703977718989329E-4</c:v>
                </c:pt>
                <c:pt idx="1096">
                  <c:v>4.7755807480274158E-4</c:v>
                </c:pt>
                <c:pt idx="1097">
                  <c:v>4.9903617516451116E-4</c:v>
                </c:pt>
                <c:pt idx="1098">
                  <c:v>5.0619111457245137E-4</c:v>
                </c:pt>
                <c:pt idx="1099">
                  <c:v>5.1334209465935367E-4</c:v>
                </c:pt>
                <c:pt idx="1100">
                  <c:v>5.2048806804638975E-4</c:v>
                </c:pt>
                <c:pt idx="1101">
                  <c:v>5.2762798735473359E-4</c:v>
                </c:pt>
                <c:pt idx="1102">
                  <c:v>5.490009470193102E-4</c:v>
                </c:pt>
                <c:pt idx="1103">
                  <c:v>5.5610617622459037E-4</c:v>
                </c:pt>
                <c:pt idx="1104">
                  <c:v>5.6320011445703698E-4</c:v>
                </c:pt>
                <c:pt idx="1105">
                  <c:v>5.7028171433781661E-4</c:v>
                </c:pt>
                <c:pt idx="1106">
                  <c:v>5.7734992848810585E-4</c:v>
                </c:pt>
                <c:pt idx="1107">
                  <c:v>5.984637827677273E-4</c:v>
                </c:pt>
                <c:pt idx="1108">
                  <c:v>6.0546798020776245E-4</c:v>
                </c:pt>
                <c:pt idx="1109">
                  <c:v>6.1245355502316111E-4</c:v>
                </c:pt>
                <c:pt idx="1110">
                  <c:v>6.1941945983509932E-4</c:v>
                </c:pt>
                <c:pt idx="1111">
                  <c:v>6.2636464726474432E-4</c:v>
                </c:pt>
                <c:pt idx="1112">
                  <c:v>6.4707943084686844E-4</c:v>
                </c:pt>
                <c:pt idx="1113">
                  <c:v>6.539504592880679E-4</c:v>
                </c:pt>
                <c:pt idx="1114">
                  <c:v>6.6080797734191336E-4</c:v>
                </c:pt>
                <c:pt idx="1115">
                  <c:v>6.676540486018483E-4</c:v>
                </c:pt>
                <c:pt idx="1116">
                  <c:v>6.7449073666131726E-4</c:v>
                </c:pt>
                <c:pt idx="1117">
                  <c:v>6.9496513757132756E-4</c:v>
                </c:pt>
                <c:pt idx="1118">
                  <c:v>7.0178492876333913E-4</c:v>
                </c:pt>
                <c:pt idx="1119">
                  <c:v>7.0860565472209117E-4</c:v>
                </c:pt>
                <c:pt idx="1120">
                  <c:v>7.1542937904102812E-4</c:v>
                </c:pt>
                <c:pt idx="1121">
                  <c:v>7.2225816531358686E-4</c:v>
                </c:pt>
                <c:pt idx="1122">
                  <c:v>7.4279553178743026E-4</c:v>
                </c:pt>
                <c:pt idx="1123">
                  <c:v>7.4966520180890688E-4</c:v>
                </c:pt>
                <c:pt idx="1124">
                  <c:v>7.5655025175121475E-4</c:v>
                </c:pt>
                <c:pt idx="1125">
                  <c:v>7.6345274520780017E-4</c:v>
                </c:pt>
                <c:pt idx="1126">
                  <c:v>7.7037474577210021E-4</c:v>
                </c:pt>
                <c:pt idx="1127">
                  <c:v>7.912784260457233E-4</c:v>
                </c:pt>
                <c:pt idx="1128">
                  <c:v>7.9829909097530946E-4</c:v>
                </c:pt>
                <c:pt idx="1129">
                  <c:v>8.0534958097982438E-4</c:v>
                </c:pt>
                <c:pt idx="1130">
                  <c:v>8.1243195965270481E-4</c:v>
                </c:pt>
                <c:pt idx="1131">
                  <c:v>8.1954829058739488E-4</c:v>
                </c:pt>
                <c:pt idx="1132">
                  <c:v>8.4112163289674663E-4</c:v>
                </c:pt>
                <c:pt idx="1133">
                  <c:v>8.4839359880299148E-4</c:v>
                </c:pt>
                <c:pt idx="1134">
                  <c:v>8.5570497487764052E-4</c:v>
                </c:pt>
                <c:pt idx="1135">
                  <c:v>8.6305296465352384E-4</c:v>
                </c:pt>
                <c:pt idx="1136">
                  <c:v>8.7043477166346339E-4</c:v>
                </c:pt>
                <c:pt idx="1137">
                  <c:v>8.92755131425912E-4</c:v>
                </c:pt>
                <c:pt idx="1138">
                  <c:v>9.0024424270036048E-4</c:v>
                </c:pt>
                <c:pt idx="1139">
                  <c:v>9.0775318887300726E-4</c:v>
                </c:pt>
                <c:pt idx="1140">
                  <c:v>9.1527917347667418E-4</c:v>
                </c:pt>
                <c:pt idx="1141">
                  <c:v>9.2281940004419391E-4</c:v>
                </c:pt>
                <c:pt idx="1142">
                  <c:v>9.4549756685812219E-4</c:v>
                </c:pt>
                <c:pt idx="1143">
                  <c:v>9.5306679660931326E-4</c:v>
                </c:pt>
                <c:pt idx="1144">
                  <c:v>9.6063628598849348E-4</c:v>
                </c:pt>
                <c:pt idx="1145">
                  <c:v>9.6820323852848521E-4</c:v>
                </c:pt>
                <c:pt idx="1146">
                  <c:v>9.7576485776211866E-4</c:v>
                </c:pt>
                <c:pt idx="1147">
                  <c:v>9.9838975095314485E-4</c:v>
                </c:pt>
                <c:pt idx="1148">
                  <c:v>1.0059020722896169E-3</c:v>
                </c:pt>
                <c:pt idx="1149">
                  <c:v>1.0133950779838668E-3</c:v>
                </c:pt>
                <c:pt idx="1150">
                  <c:v>1.0208659715687221E-3</c:v>
                </c:pt>
                <c:pt idx="1151">
                  <c:v>1.0283119565770123E-3</c:v>
                </c:pt>
                <c:pt idx="1152">
                  <c:v>1.0504724954707473E-3</c:v>
                </c:pt>
                <c:pt idx="1153">
                  <c:v>1.0577908815010389E-3</c:v>
                </c:pt>
                <c:pt idx="1154">
                  <c:v>1.0650703766189019E-3</c:v>
                </c:pt>
                <c:pt idx="1155">
                  <c:v>1.0723088801800182E-3</c:v>
                </c:pt>
                <c:pt idx="1156">
                  <c:v>1.0795070748315151E-3</c:v>
                </c:pt>
                <c:pt idx="1157">
                  <c:v>1.1008735900280887E-3</c:v>
                </c:pt>
                <c:pt idx="1158">
                  <c:v>1.1079243337409183E-3</c:v>
                </c:pt>
                <c:pt idx="1159">
                  <c:v>1.1149416608940334E-3</c:v>
                </c:pt>
                <c:pt idx="1160">
                  <c:v>1.1219269499574208E-3</c:v>
                </c:pt>
                <c:pt idx="1161">
                  <c:v>1.1288815794010573E-3</c:v>
                </c:pt>
                <c:pt idx="1162">
                  <c:v>1.1495752947132982E-3</c:v>
                </c:pt>
                <c:pt idx="1163">
                  <c:v>1.1564210703777624E-3</c:v>
                </c:pt>
                <c:pt idx="1164">
                  <c:v>1.1632430787723855E-3</c:v>
                </c:pt>
                <c:pt idx="1165">
                  <c:v>1.1700426983671521E-3</c:v>
                </c:pt>
                <c:pt idx="1166">
                  <c:v>1.1768213076320455E-3</c:v>
                </c:pt>
                <c:pt idx="1167">
                  <c:v>1.1970448581472895E-3</c:v>
                </c:pt>
                <c:pt idx="1168">
                  <c:v>1.2037532107924992E-3</c:v>
                </c:pt>
                <c:pt idx="1169">
                  <c:v>1.2104474454577433E-3</c:v>
                </c:pt>
                <c:pt idx="1170">
                  <c:v>1.2171289406130059E-3</c:v>
                </c:pt>
                <c:pt idx="1171">
                  <c:v>1.2437550955338504E-3</c:v>
                </c:pt>
                <c:pt idx="1172">
                  <c:v>1.2503935701889226E-3</c:v>
                </c:pt>
                <c:pt idx="1173">
                  <c:v>1.2570275761539006E-3</c:v>
                </c:pt>
                <c:pt idx="1174">
                  <c:v>1.2636584918987702E-3</c:v>
                </c:pt>
                <c:pt idx="1175">
                  <c:v>1.2902515237945313E-3</c:v>
                </c:pt>
                <c:pt idx="1176">
                  <c:v>1.2969061601603269E-3</c:v>
                </c:pt>
                <c:pt idx="1177">
                  <c:v>1.3035675696336177E-3</c:v>
                </c:pt>
                <c:pt idx="1178">
                  <c:v>1.3102386871405641E-3</c:v>
                </c:pt>
                <c:pt idx="1179">
                  <c:v>1.3169224476073259E-3</c:v>
                </c:pt>
                <c:pt idx="1180">
                  <c:v>1.337078936028102E-3</c:v>
                </c:pt>
                <c:pt idx="1181">
                  <c:v>1.3438426175957261E-3</c:v>
                </c:pt>
                <c:pt idx="1182">
                  <c:v>1.3506336167539656E-3</c:v>
                </c:pt>
                <c:pt idx="1183">
                  <c:v>1.3574548684289812E-3</c:v>
                </c:pt>
                <c:pt idx="1184">
                  <c:v>1.3643093075469321E-3</c:v>
                </c:pt>
                <c:pt idx="1185">
                  <c:v>1.3851010988200009E-3</c:v>
                </c:pt>
                <c:pt idx="1186">
                  <c:v>1.3921176369712934E-3</c:v>
                </c:pt>
                <c:pt idx="1187">
                  <c:v>1.3991820371963243E-3</c:v>
                </c:pt>
                <c:pt idx="1188">
                  <c:v>1.406297234421251E-3</c:v>
                </c:pt>
                <c:pt idx="1189">
                  <c:v>1.413466163572234E-3</c:v>
                </c:pt>
                <c:pt idx="1190">
                  <c:v>1.4353246918431203E-3</c:v>
                </c:pt>
                <c:pt idx="1191">
                  <c:v>1.4427378979599283E-3</c:v>
                </c:pt>
                <c:pt idx="1192">
                  <c:v>1.4502195106335929E-3</c:v>
                </c:pt>
                <c:pt idx="1193">
                  <c:v>1.4577724647902713E-3</c:v>
                </c:pt>
                <c:pt idx="1194">
                  <c:v>1.4653996953561286E-3</c:v>
                </c:pt>
                <c:pt idx="1195">
                  <c:v>1.4887563947703596E-3</c:v>
                </c:pt>
                <c:pt idx="1196">
                  <c:v>1.4967100802345233E-3</c:v>
                </c:pt>
                <c:pt idx="1197">
                  <c:v>1.50475091327718E-3</c:v>
                </c:pt>
                <c:pt idx="1198">
                  <c:v>1.5128728115170722E-3</c:v>
                </c:pt>
                <c:pt idx="1199">
                  <c:v>1.5210678891114579E-3</c:v>
                </c:pt>
                <c:pt idx="1200">
                  <c:v>1.5460133395941594E-3</c:v>
                </c:pt>
                <c:pt idx="1201">
                  <c:v>1.5544222761791047E-3</c:v>
                </c:pt>
                <c:pt idx="1202">
                  <c:v>1.5628649629048363E-3</c:v>
                </c:pt>
                <c:pt idx="1203">
                  <c:v>1.5713335139286124E-3</c:v>
                </c:pt>
                <c:pt idx="1204">
                  <c:v>1.5798200434076919E-3</c:v>
                </c:pt>
                <c:pt idx="1205">
                  <c:v>1.6053086441493306E-3</c:v>
                </c:pt>
                <c:pt idx="1206">
                  <c:v>1.6137882290222073E-3</c:v>
                </c:pt>
                <c:pt idx="1207">
                  <c:v>1.6222463631366795E-3</c:v>
                </c:pt>
                <c:pt idx="1208">
                  <c:v>1.6306751606500057E-3</c:v>
                </c:pt>
                <c:pt idx="1209">
                  <c:v>1.6390667357194448E-3</c:v>
                </c:pt>
                <c:pt idx="1210">
                  <c:v>1.6639392678370214E-3</c:v>
                </c:pt>
                <c:pt idx="1211">
                  <c:v>1.6721030947034951E-3</c:v>
                </c:pt>
                <c:pt idx="1212">
                  <c:v>1.6801902699123718E-3</c:v>
                </c:pt>
                <c:pt idx="1213">
                  <c:v>1.688192907620914E-3</c:v>
                </c:pt>
                <c:pt idx="1214">
                  <c:v>1.6961031219863785E-3</c:v>
                </c:pt>
                <c:pt idx="1215">
                  <c:v>1.7192003665968882E-3</c:v>
                </c:pt>
                <c:pt idx="1216">
                  <c:v>1.7266620291626253E-3</c:v>
                </c:pt>
                <c:pt idx="1217">
                  <c:v>1.7339943142316045E-3</c:v>
                </c:pt>
                <c:pt idx="1218">
                  <c:v>1.7412017112612421E-3</c:v>
                </c:pt>
                <c:pt idx="1219">
                  <c:v>1.7482911847689674E-3</c:v>
                </c:pt>
                <c:pt idx="1220">
                  <c:v>1.7689217093350962E-3</c:v>
                </c:pt>
                <c:pt idx="1221">
                  <c:v>1.7756091339295845E-3</c:v>
                </c:pt>
                <c:pt idx="1222">
                  <c:v>1.7822134575893609E-3</c:v>
                </c:pt>
                <c:pt idx="1223">
                  <c:v>1.7887416448318641E-3</c:v>
                </c:pt>
                <c:pt idx="1224">
                  <c:v>1.7952006601745312E-3</c:v>
                </c:pt>
                <c:pt idx="1225">
                  <c:v>1.8142323199779253E-3</c:v>
                </c:pt>
                <c:pt idx="1226">
                  <c:v>1.8204842928956494E-3</c:v>
                </c:pt>
                <c:pt idx="1227">
                  <c:v>1.8267019165007343E-3</c:v>
                </c:pt>
                <c:pt idx="1228">
                  <c:v>1.8328921553106196E-3</c:v>
                </c:pt>
                <c:pt idx="1229">
                  <c:v>1.8390619738427444E-3</c:v>
                </c:pt>
                <c:pt idx="1230">
                  <c:v>1.8575185529469444E-3</c:v>
                </c:pt>
                <c:pt idx="1231">
                  <c:v>1.8636763355424173E-3</c:v>
                </c:pt>
                <c:pt idx="1232">
                  <c:v>1.8698485204473253E-3</c:v>
                </c:pt>
                <c:pt idx="1233">
                  <c:v>1.8760420721791072E-3</c:v>
                </c:pt>
                <c:pt idx="1234">
                  <c:v>1.8822639552552017E-3</c:v>
                </c:pt>
                <c:pt idx="1235">
                  <c:v>1.9011692377237533E-3</c:v>
                </c:pt>
                <c:pt idx="1236">
                  <c:v>1.9075740913514882E-3</c:v>
                </c:pt>
                <c:pt idx="1237">
                  <c:v>1.914042098910733E-3</c:v>
                </c:pt>
                <c:pt idx="1238">
                  <c:v>1.9205802249189254E-3</c:v>
                </c:pt>
                <c:pt idx="1239">
                  <c:v>1.9545663898044622E-3</c:v>
                </c:pt>
                <c:pt idx="1240">
                  <c:v>1.9616693072910529E-3</c:v>
                </c:pt>
                <c:pt idx="1241">
                  <c:v>1.96887805035963E-3</c:v>
                </c:pt>
                <c:pt idx="1242">
                  <c:v>1.9761865390386054E-3</c:v>
                </c:pt>
                <c:pt idx="1243">
                  <c:v>1.9986496790219766E-3</c:v>
                </c:pt>
                <c:pt idx="1244">
                  <c:v>2.0062963504266056E-3</c:v>
                </c:pt>
                <c:pt idx="1245">
                  <c:v>2.0140123675836661E-3</c:v>
                </c:pt>
                <c:pt idx="1246">
                  <c:v>2.0217916505215652E-3</c:v>
                </c:pt>
                <c:pt idx="1247">
                  <c:v>2.0296281192687098E-3</c:v>
                </c:pt>
                <c:pt idx="1248">
                  <c:v>2.053419840649683E-3</c:v>
                </c:pt>
                <c:pt idx="1249">
                  <c:v>2.0614242529178799E-3</c:v>
                </c:pt>
                <c:pt idx="1250">
                  <c:v>2.0694554511373571E-3</c:v>
                </c:pt>
                <c:pt idx="1251">
                  <c:v>2.0775073553365225E-3</c:v>
                </c:pt>
                <c:pt idx="1252">
                  <c:v>2.0855738855437831E-3</c:v>
                </c:pt>
                <c:pt idx="1253">
                  <c:v>2.109800432498202E-3</c:v>
                </c:pt>
                <c:pt idx="1254">
                  <c:v>2.1178646670219135E-3</c:v>
                </c:pt>
                <c:pt idx="1255">
                  <c:v>2.1259131276957551E-3</c:v>
                </c:pt>
                <c:pt idx="1256">
                  <c:v>2.1339397345481342E-3</c:v>
                </c:pt>
                <c:pt idx="1257">
                  <c:v>2.1419384076074577E-3</c:v>
                </c:pt>
                <c:pt idx="1258">
                  <c:v>2.1657060243111675E-3</c:v>
                </c:pt>
                <c:pt idx="1259">
                  <c:v>2.1735336056673263E-3</c:v>
                </c:pt>
                <c:pt idx="1260">
                  <c:v>2.1813115124823782E-3</c:v>
                </c:pt>
                <c:pt idx="1261">
                  <c:v>2.1890423238946502E-3</c:v>
                </c:pt>
                <c:pt idx="1262">
                  <c:v>2.1967286190424625E-3</c:v>
                </c:pt>
                <c:pt idx="1263">
                  <c:v>2.2195461982823664E-3</c:v>
                </c:pt>
                <c:pt idx="1264">
                  <c:v>2.2270802197555651E-3</c:v>
                </c:pt>
                <c:pt idx="1265">
                  <c:v>2.2345826206559161E-3</c:v>
                </c:pt>
                <c:pt idx="1266">
                  <c:v>2.2420559801217422E-3</c:v>
                </c:pt>
                <c:pt idx="1267">
                  <c:v>2.2495028772913641E-3</c:v>
                </c:pt>
                <c:pt idx="1268">
                  <c:v>2.271710586406247E-3</c:v>
                </c:pt>
                <c:pt idx="1269">
                  <c:v>2.2790774257742869E-3</c:v>
                </c:pt>
                <c:pt idx="1270">
                  <c:v>2.2864306985377362E-3</c:v>
                </c:pt>
                <c:pt idx="1271">
                  <c:v>2.2937729838349184E-3</c:v>
                </c:pt>
                <c:pt idx="1272">
                  <c:v>2.3011068608041552E-3</c:v>
                </c:pt>
                <c:pt idx="1273">
                  <c:v>2.3230838331274178E-3</c:v>
                </c:pt>
                <c:pt idx="1274">
                  <c:v>2.3304098681681002E-3</c:v>
                </c:pt>
                <c:pt idx="1275">
                  <c:v>2.337740390572449E-3</c:v>
                </c:pt>
                <c:pt idx="1276">
                  <c:v>2.3450779794787877E-3</c:v>
                </c:pt>
                <c:pt idx="1277">
                  <c:v>2.3524252140254389E-3</c:v>
                </c:pt>
                <c:pt idx="1278">
                  <c:v>2.3745505828904907E-3</c:v>
                </c:pt>
                <c:pt idx="1279">
                  <c:v>2.3819621913816133E-3</c:v>
                </c:pt>
                <c:pt idx="1280">
                  <c:v>2.3893963412046633E-3</c:v>
                </c:pt>
                <c:pt idx="1281">
                  <c:v>2.396854954239067E-3</c:v>
                </c:pt>
                <c:pt idx="1282">
                  <c:v>2.4043373233286845E-3</c:v>
                </c:pt>
                <c:pt idx="1283">
                  <c:v>2.4269133227784755E-3</c:v>
                </c:pt>
                <c:pt idx="1284">
                  <c:v>2.4344770719386057E-3</c:v>
                </c:pt>
                <c:pt idx="1285">
                  <c:v>2.4420577550787795E-3</c:v>
                </c:pt>
                <c:pt idx="1286">
                  <c:v>2.4496540077839596E-3</c:v>
                </c:pt>
                <c:pt idx="1287">
                  <c:v>2.4572644656391173E-3</c:v>
                </c:pt>
                <c:pt idx="1288">
                  <c:v>2.4801674259541046E-3</c:v>
                </c:pt>
                <c:pt idx="1289">
                  <c:v>2.4878210602588247E-3</c:v>
                </c:pt>
                <c:pt idx="1290">
                  <c:v>2.49548207763835E-3</c:v>
                </c:pt>
                <c:pt idx="1291">
                  <c:v>2.5031491136776464E-3</c:v>
                </c:pt>
                <c:pt idx="1292">
                  <c:v>2.5108208039616811E-3</c:v>
                </c:pt>
                <c:pt idx="1293">
                  <c:v>2.5338501561318672E-3</c:v>
                </c:pt>
                <c:pt idx="1294">
                  <c:v>2.5415268192445122E-3</c:v>
                </c:pt>
                <c:pt idx="1295">
                  <c:v>2.5492013145267246E-3</c:v>
                </c:pt>
                <c:pt idx="1296">
                  <c:v>2.5568722775634704E-3</c:v>
                </c:pt>
                <c:pt idx="1297">
                  <c:v>2.564538343939716E-3</c:v>
                </c:pt>
                <c:pt idx="1298">
                  <c:v>2.58749351895511E-3</c:v>
                </c:pt>
                <c:pt idx="1299">
                  <c:v>2.5951263545390146E-3</c:v>
                </c:pt>
                <c:pt idx="1300">
                  <c:v>2.6027474713872499E-3</c:v>
                </c:pt>
                <c:pt idx="1301">
                  <c:v>2.61035550508478E-3</c:v>
                </c:pt>
                <c:pt idx="1302">
                  <c:v>2.6179490912165725E-3</c:v>
                </c:pt>
                <c:pt idx="1303">
                  <c:v>2.6406408930142395E-3</c:v>
                </c:pt>
                <c:pt idx="1304">
                  <c:v>2.6481786298824116E-3</c:v>
                </c:pt>
                <c:pt idx="1305">
                  <c:v>2.6557052063959476E-3</c:v>
                </c:pt>
                <c:pt idx="1306">
                  <c:v>2.6632217854613855E-3</c:v>
                </c:pt>
                <c:pt idx="1307">
                  <c:v>2.6707295299852581E-3</c:v>
                </c:pt>
                <c:pt idx="1308">
                  <c:v>2.6932113853728274E-3</c:v>
                </c:pt>
                <c:pt idx="1309">
                  <c:v>2.7006954207957827E-3</c:v>
                </c:pt>
                <c:pt idx="1310">
                  <c:v>2.7081764362098431E-3</c:v>
                </c:pt>
                <c:pt idx="1311">
                  <c:v>2.7156555945215483E-3</c:v>
                </c:pt>
                <c:pt idx="1312">
                  <c:v>2.7231340586374251E-3</c:v>
                </c:pt>
                <c:pt idx="1313">
                  <c:v>2.7455769148754614E-3</c:v>
                </c:pt>
                <c:pt idx="1314">
                  <c:v>2.7530642312733871E-3</c:v>
                </c:pt>
                <c:pt idx="1315">
                  <c:v>2.7605566680081613E-3</c:v>
                </c:pt>
                <c:pt idx="1316">
                  <c:v>2.7680553879863173E-3</c:v>
                </c:pt>
                <c:pt idx="1317">
                  <c:v>2.7755615541143882E-3</c:v>
                </c:pt>
                <c:pt idx="1318">
                  <c:v>2.7981363584634522E-3</c:v>
                </c:pt>
                <c:pt idx="1319">
                  <c:v>2.8056839382565374E-3</c:v>
                </c:pt>
                <c:pt idx="1320">
                  <c:v>2.8132447787322106E-3</c:v>
                </c:pt>
                <c:pt idx="1321">
                  <c:v>2.820820042797008E-3</c:v>
                </c:pt>
                <c:pt idx="1322">
                  <c:v>2.828410893357463E-3</c:v>
                </c:pt>
                <c:pt idx="1323">
                  <c:v>2.8512885930781192E-3</c:v>
                </c:pt>
                <c:pt idx="1324">
                  <c:v>2.8589529291460775E-3</c:v>
                </c:pt>
                <c:pt idx="1325">
                  <c:v>2.8666357289995445E-3</c:v>
                </c:pt>
                <c:pt idx="1326">
                  <c:v>2.8743352183022313E-3</c:v>
                </c:pt>
                <c:pt idx="1327">
                  <c:v>2.882049622717848E-3</c:v>
                </c:pt>
                <c:pt idx="1328">
                  <c:v>2.9052645832793982E-3</c:v>
                </c:pt>
                <c:pt idx="1329">
                  <c:v>2.9130209047838504E-3</c:v>
                </c:pt>
                <c:pt idx="1330">
                  <c:v>2.9207832697197966E-3</c:v>
                </c:pt>
                <c:pt idx="1331">
                  <c:v>2.9285499037509377E-3</c:v>
                </c:pt>
                <c:pt idx="1332">
                  <c:v>2.9363190325409944E-3</c:v>
                </c:pt>
                <c:pt idx="1333">
                  <c:v>2.9596236441017487E-3</c:v>
                </c:pt>
                <c:pt idx="1334">
                  <c:v>2.9673850085645678E-3</c:v>
                </c:pt>
                <c:pt idx="1335">
                  <c:v>2.9751399961048569E-3</c:v>
                </c:pt>
                <c:pt idx="1336">
                  <c:v>2.9828868323863245E-3</c:v>
                </c:pt>
                <c:pt idx="1337">
                  <c:v>2.9906237430726919E-3</c:v>
                </c:pt>
                <c:pt idx="1338">
                  <c:v>3.0137571781982558E-3</c:v>
                </c:pt>
                <c:pt idx="1339">
                  <c:v>3.0214366431413086E-3</c:v>
                </c:pt>
                <c:pt idx="1340">
                  <c:v>3.0290973108078128E-3</c:v>
                </c:pt>
                <c:pt idx="1341">
                  <c:v>3.0367374068614793E-3</c:v>
                </c:pt>
                <c:pt idx="1342">
                  <c:v>3.0443551569660208E-3</c:v>
                </c:pt>
                <c:pt idx="1343">
                  <c:v>3.0670565882220061E-3</c:v>
                </c:pt>
                <c:pt idx="1344">
                  <c:v>3.0745672111671617E-3</c:v>
                </c:pt>
                <c:pt idx="1345">
                  <c:v>3.0820466164817495E-3</c:v>
                </c:pt>
                <c:pt idx="1346">
                  <c:v>3.0894930298294818E-3</c:v>
                </c:pt>
                <c:pt idx="1347">
                  <c:v>3.0969053290080752E-3</c:v>
                </c:pt>
                <c:pt idx="1348">
                  <c:v>3.1189550134024277E-3</c:v>
                </c:pt>
                <c:pt idx="1349">
                  <c:v>3.1262496320458859E-3</c:v>
                </c:pt>
                <c:pt idx="1350">
                  <c:v>3.1335201767249141E-3</c:v>
                </c:pt>
                <c:pt idx="1351">
                  <c:v>3.1407687859072646E-3</c:v>
                </c:pt>
                <c:pt idx="1352">
                  <c:v>3.1479975980606778E-3</c:v>
                </c:pt>
                <c:pt idx="1353">
                  <c:v>3.1695866370247349E-3</c:v>
                </c:pt>
                <c:pt idx="1354">
                  <c:v>3.1767576457398397E-3</c:v>
                </c:pt>
                <c:pt idx="1355">
                  <c:v>3.1839195497647237E-3</c:v>
                </c:pt>
                <c:pt idx="1356">
                  <c:v>3.1910744875671393E-3</c:v>
                </c:pt>
                <c:pt idx="1357">
                  <c:v>3.1982245976148209E-3</c:v>
                </c:pt>
                <c:pt idx="1358">
                  <c:v>3.2196673459069323E-3</c:v>
                </c:pt>
                <c:pt idx="1359">
                  <c:v>3.2268195296131356E-3</c:v>
                </c:pt>
                <c:pt idx="1360">
                  <c:v>3.2339775779033292E-3</c:v>
                </c:pt>
                <c:pt idx="1361">
                  <c:v>3.2411436292452563E-3</c:v>
                </c:pt>
                <c:pt idx="1362">
                  <c:v>3.2483198221066583E-3</c:v>
                </c:pt>
                <c:pt idx="1363">
                  <c:v>3.2699306344851757E-3</c:v>
                </c:pt>
                <c:pt idx="1364">
                  <c:v>3.2771687781019288E-3</c:v>
                </c:pt>
                <c:pt idx="1365">
                  <c:v>3.2844277555768792E-3</c:v>
                </c:pt>
                <c:pt idx="1366">
                  <c:v>3.2917097053777704E-3</c:v>
                </c:pt>
                <c:pt idx="1367">
                  <c:v>3.2990167659723464E-3</c:v>
                </c:pt>
                <c:pt idx="1368">
                  <c:v>3.3211099971956213E-3</c:v>
                </c:pt>
                <c:pt idx="1369">
                  <c:v>3.3285383639892968E-3</c:v>
                </c:pt>
                <c:pt idx="1370">
                  <c:v>3.3359994039969258E-3</c:v>
                </c:pt>
                <c:pt idx="1371">
                  <c:v>3.3434921257677959E-3</c:v>
                </c:pt>
                <c:pt idx="1372">
                  <c:v>3.3510155378511973E-3</c:v>
                </c:pt>
                <c:pt idx="1373">
                  <c:v>3.3737600014694968E-3</c:v>
                </c:pt>
                <c:pt idx="1374">
                  <c:v>3.3813962602959264E-3</c:v>
                </c:pt>
                <c:pt idx="1375">
                  <c:v>3.3890582521813443E-3</c:v>
                </c:pt>
                <c:pt idx="1376">
                  <c:v>3.3967449856750335E-3</c:v>
                </c:pt>
                <c:pt idx="1377">
                  <c:v>3.4044554693262873E-3</c:v>
                </c:pt>
                <c:pt idx="1378">
                  <c:v>3.4277195067183449E-3</c:v>
                </c:pt>
                <c:pt idx="1379">
                  <c:v>3.4355150764927632E-3</c:v>
                </c:pt>
                <c:pt idx="1380">
                  <c:v>3.4433294391711979E-3</c:v>
                </c:pt>
                <c:pt idx="1381">
                  <c:v>3.4511616033029375E-3</c:v>
                </c:pt>
                <c:pt idx="1382">
                  <c:v>3.4590105774372801E-3</c:v>
                </c:pt>
                <c:pt idx="1383">
                  <c:v>3.4826484453487879E-3</c:v>
                </c:pt>
                <c:pt idx="1384">
                  <c:v>3.4905547449864227E-3</c:v>
                </c:pt>
                <c:pt idx="1385">
                  <c:v>3.498472897373108E-3</c:v>
                </c:pt>
                <c:pt idx="1386">
                  <c:v>3.5064019110581332E-3</c:v>
                </c:pt>
                <c:pt idx="1387">
                  <c:v>3.5143407945907893E-3</c:v>
                </c:pt>
                <c:pt idx="1388">
                  <c:v>3.5382067497674433E-3</c:v>
                </c:pt>
                <c:pt idx="1389">
                  <c:v>3.5461751981835268E-3</c:v>
                </c:pt>
                <c:pt idx="1390">
                  <c:v>3.554148584687659E-3</c:v>
                </c:pt>
                <c:pt idx="1391">
                  <c:v>3.5621260452989626E-3</c:v>
                </c:pt>
                <c:pt idx="1392">
                  <c:v>3.5701067415305236E-3</c:v>
                </c:pt>
                <c:pt idx="1393">
                  <c:v>3.5940598590776243E-3</c:v>
                </c:pt>
                <c:pt idx="1394">
                  <c:v>3.6020451129210908E-3</c:v>
                </c:pt>
                <c:pt idx="1395">
                  <c:v>3.610029409950252E-3</c:v>
                </c:pt>
                <c:pt idx="1396">
                  <c:v>3.6180119116781956E-3</c:v>
                </c:pt>
                <c:pt idx="1397">
                  <c:v>3.6259917796180089E-3</c:v>
                </c:pt>
                <c:pt idx="1398">
                  <c:v>3.6499071958395433E-3</c:v>
                </c:pt>
                <c:pt idx="1399">
                  <c:v>3.6578681437577113E-3</c:v>
                </c:pt>
                <c:pt idx="1400">
                  <c:v>3.6658222654531833E-3</c:v>
                </c:pt>
                <c:pt idx="1401">
                  <c:v>3.6737687224390522E-3</c:v>
                </c:pt>
                <c:pt idx="1402">
                  <c:v>3.681706676228403E-3</c:v>
                </c:pt>
                <c:pt idx="1403">
                  <c:v>3.7054611335482208E-3</c:v>
                </c:pt>
                <c:pt idx="1404">
                  <c:v>3.7133566896823734E-3</c:v>
                </c:pt>
                <c:pt idx="1405">
                  <c:v>3.7212395501854457E-3</c:v>
                </c:pt>
                <c:pt idx="1406">
                  <c:v>3.7291088765705237E-3</c:v>
                </c:pt>
                <c:pt idx="1407">
                  <c:v>3.7369638303506934E-3</c:v>
                </c:pt>
                <c:pt idx="1408">
                  <c:v>3.760434071192649E-3</c:v>
                </c:pt>
                <c:pt idx="1409">
                  <c:v>3.7682231496840705E-3</c:v>
                </c:pt>
                <c:pt idx="1410">
                  <c:v>3.7759936631360244E-3</c:v>
                </c:pt>
                <c:pt idx="1411">
                  <c:v>3.783744773061596E-3</c:v>
                </c:pt>
                <c:pt idx="1412">
                  <c:v>3.7914758169176957E-3</c:v>
                </c:pt>
                <c:pt idx="1413">
                  <c:v>3.8145496681664163E-3</c:v>
                </c:pt>
                <c:pt idx="1414">
                  <c:v>3.8222019157295268E-3</c:v>
                </c:pt>
                <c:pt idx="1415">
                  <c:v>3.8298350071594377E-3</c:v>
                </c:pt>
                <c:pt idx="1416">
                  <c:v>3.837449159632167E-3</c:v>
                </c:pt>
                <c:pt idx="1417">
                  <c:v>3.8450445903237336E-3</c:v>
                </c:pt>
                <c:pt idx="1418">
                  <c:v>3.8677207234716427E-3</c:v>
                </c:pt>
                <c:pt idx="1419">
                  <c:v>3.8752434387987426E-3</c:v>
                </c:pt>
                <c:pt idx="1420">
                  <c:v>3.8827485182247761E-3</c:v>
                </c:pt>
                <c:pt idx="1421">
                  <c:v>3.8902361789257592E-3</c:v>
                </c:pt>
                <c:pt idx="1422">
                  <c:v>3.8977066380777104E-3</c:v>
                </c:pt>
                <c:pt idx="1423">
                  <c:v>3.9200169779995608E-3</c:v>
                </c:pt>
                <c:pt idx="1424">
                  <c:v>3.9274208027155729E-3</c:v>
                </c:pt>
                <c:pt idx="1425">
                  <c:v>3.9348085117626467E-3</c:v>
                </c:pt>
                <c:pt idx="1426">
                  <c:v>3.9421803223167991E-3</c:v>
                </c:pt>
                <c:pt idx="1427">
                  <c:v>3.9495364515540528E-3</c:v>
                </c:pt>
                <c:pt idx="1428">
                  <c:v>3.9715129231246002E-3</c:v>
                </c:pt>
                <c:pt idx="1429">
                  <c:v>3.9788084988544399E-3</c:v>
                </c:pt>
                <c:pt idx="1430">
                  <c:v>3.9860894791474717E-3</c:v>
                </c:pt>
                <c:pt idx="1431">
                  <c:v>3.9933560811797183E-3</c:v>
                </c:pt>
                <c:pt idx="1432">
                  <c:v>4.0006085221271932E-3</c:v>
                </c:pt>
                <c:pt idx="1433">
                  <c:v>4.0222830502211881E-3</c:v>
                </c:pt>
                <c:pt idx="1434">
                  <c:v>4.0294814986656579E-3</c:v>
                </c:pt>
                <c:pt idx="1435">
                  <c:v>4.0366697523607498E-3</c:v>
                </c:pt>
                <c:pt idx="1436">
                  <c:v>4.0438509089377843E-3</c:v>
                </c:pt>
                <c:pt idx="1437">
                  <c:v>4.0510280660280779E-3</c:v>
                </c:pt>
                <c:pt idx="1438">
                  <c:v>4.0725665166917004E-3</c:v>
                </c:pt>
                <c:pt idx="1439">
                  <c:v>4.0797586521482149E-3</c:v>
                </c:pt>
                <c:pt idx="1440">
                  <c:v>4.08696227627458E-3</c:v>
                </c:pt>
                <c:pt idx="1441">
                  <c:v>4.0941804867021146E-3</c:v>
                </c:pt>
                <c:pt idx="1442">
                  <c:v>4.1014163810621351E-3</c:v>
                </c:pt>
                <c:pt idx="1443">
                  <c:v>4.1232611440502973E-3</c:v>
                </c:pt>
                <c:pt idx="1444">
                  <c:v>4.1305987504534451E-3</c:v>
                </c:pt>
                <c:pt idx="1445">
                  <c:v>4.1379695289456685E-3</c:v>
                </c:pt>
                <c:pt idx="1446">
                  <c:v>4.1453765771582883E-3</c:v>
                </c:pt>
                <c:pt idx="1447">
                  <c:v>4.1528229927226233E-3</c:v>
                </c:pt>
                <c:pt idx="1448">
                  <c:v>4.175429419839085E-3</c:v>
                </c:pt>
                <c:pt idx="1449">
                  <c:v>4.183064281123452E-3</c:v>
                </c:pt>
                <c:pt idx="1450">
                  <c:v>4.1907539979161232E-3</c:v>
                </c:pt>
                <c:pt idx="1451">
                  <c:v>4.1985016678484175E-3</c:v>
                </c:pt>
                <c:pt idx="1452">
                  <c:v>4.2063103885516488E-3</c:v>
                </c:pt>
                <c:pt idx="1453">
                  <c:v>4.2301338316001686E-3</c:v>
                </c:pt>
                <c:pt idx="1454">
                  <c:v>4.2382177317003443E-3</c:v>
                </c:pt>
                <c:pt idx="1455">
                  <c:v>4.2463781707280483E-3</c:v>
                </c:pt>
                <c:pt idx="1456">
                  <c:v>4.2546166405089073E-3</c:v>
                </c:pt>
                <c:pt idx="1457">
                  <c:v>4.2629282096457687E-3</c:v>
                </c:pt>
                <c:pt idx="1458">
                  <c:v>4.2882361411639026E-3</c:v>
                </c:pt>
                <c:pt idx="1459">
                  <c:v>4.29677473569631E-3</c:v>
                </c:pt>
                <c:pt idx="1460">
                  <c:v>4.3053537435704886E-3</c:v>
                </c:pt>
                <c:pt idx="1461">
                  <c:v>4.3139666275835934E-3</c:v>
                </c:pt>
                <c:pt idx="1462">
                  <c:v>4.3226068505327758E-3</c:v>
                </c:pt>
                <c:pt idx="1463">
                  <c:v>4.3486261809683319E-3</c:v>
                </c:pt>
                <c:pt idx="1464">
                  <c:v>4.3573103876333634E-3</c:v>
                </c:pt>
                <c:pt idx="1465">
                  <c:v>4.365989247220245E-3</c:v>
                </c:pt>
                <c:pt idx="1466">
                  <c:v>4.3746562225261262E-3</c:v>
                </c:pt>
                <c:pt idx="1467">
                  <c:v>4.383304776348163E-3</c:v>
                </c:pt>
                <c:pt idx="1468">
                  <c:v>4.4090745368827403E-3</c:v>
                </c:pt>
                <c:pt idx="1469">
                  <c:v>4.4175840327409337E-3</c:v>
                </c:pt>
                <c:pt idx="1470">
                  <c:v>4.4260424211010506E-3</c:v>
                </c:pt>
                <c:pt idx="1471">
                  <c:v>4.4344431647602416E-3</c:v>
                </c:pt>
                <c:pt idx="1472">
                  <c:v>4.4427797265156671E-3</c:v>
                </c:pt>
                <c:pt idx="1473">
                  <c:v>4.4673389483308656E-3</c:v>
                </c:pt>
                <c:pt idx="1474">
                  <c:v>4.4753534104427515E-3</c:v>
                </c:pt>
                <c:pt idx="1475">
                  <c:v>4.483271004636637E-3</c:v>
                </c:pt>
                <c:pt idx="1476">
                  <c:v>4.4910872378316306E-3</c:v>
                </c:pt>
                <c:pt idx="1477">
                  <c:v>4.4988057934346763E-3</c:v>
                </c:pt>
                <c:pt idx="1478">
                  <c:v>4.5214326699810313E-3</c:v>
                </c:pt>
                <c:pt idx="1479">
                  <c:v>4.5288177905052057E-3</c:v>
                </c:pt>
                <c:pt idx="1480">
                  <c:v>4.5361338710818988E-3</c:v>
                </c:pt>
                <c:pt idx="1481">
                  <c:v>4.5433866392400038E-3</c:v>
                </c:pt>
                <c:pt idx="1482">
                  <c:v>4.5505818225084153E-3</c:v>
                </c:pt>
                <c:pt idx="1483">
                  <c:v>4.571879138264426E-3</c:v>
                </c:pt>
                <c:pt idx="1484">
                  <c:v>4.5789012572630024E-3</c:v>
                </c:pt>
                <c:pt idx="1485">
                  <c:v>4.5858944290163581E-3</c:v>
                </c:pt>
                <c:pt idx="1486">
                  <c:v>4.5928643810533819E-3</c:v>
                </c:pt>
                <c:pt idx="1487">
                  <c:v>4.5998168409029736E-3</c:v>
                </c:pt>
                <c:pt idx="1488">
                  <c:v>4.6206265426160737E-3</c:v>
                </c:pt>
                <c:pt idx="1489">
                  <c:v>4.6275663090048665E-3</c:v>
                </c:pt>
                <c:pt idx="1490">
                  <c:v>4.6345172208506931E-3</c:v>
                </c:pt>
                <c:pt idx="1491">
                  <c:v>4.6414850056824509E-3</c:v>
                </c:pt>
                <c:pt idx="1492">
                  <c:v>4.6484753910290321E-3</c:v>
                </c:pt>
                <c:pt idx="1493">
                  <c:v>4.6696394254466594E-3</c:v>
                </c:pt>
                <c:pt idx="1494">
                  <c:v>4.6767774881414769E-3</c:v>
                </c:pt>
                <c:pt idx="1495">
                  <c:v>4.6839667889955871E-3</c:v>
                </c:pt>
                <c:pt idx="1496">
                  <c:v>4.6912130555378882E-3</c:v>
                </c:pt>
                <c:pt idx="1497">
                  <c:v>4.6985220152972714E-3</c:v>
                </c:pt>
                <c:pt idx="1498">
                  <c:v>4.720882329166857E-3</c:v>
                </c:pt>
                <c:pt idx="1499">
                  <c:v>4.7284977195783144E-3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-2.6080766995103936E-3</c:v>
                </c:pt>
                <c:pt idx="1">
                  <c:v>-2.6090385604947549E-3</c:v>
                </c:pt>
                <c:pt idx="2">
                  <c:v>-2.6099999999999574E-3</c:v>
                </c:pt>
                <c:pt idx="3">
                  <c:v>-2.6109614395051599E-3</c:v>
                </c:pt>
                <c:pt idx="4">
                  <c:v>-2.6138499728123577E-3</c:v>
                </c:pt>
                <c:pt idx="5">
                  <c:v>-2.6148156271091506E-3</c:v>
                </c:pt>
                <c:pt idx="6">
                  <c:v>-2.6157833888017382E-3</c:v>
                </c:pt>
                <c:pt idx="7">
                  <c:v>-2.6167536793692795E-3</c:v>
                </c:pt>
                <c:pt idx="8">
                  <c:v>-2.6177269202909349E-3</c:v>
                </c:pt>
                <c:pt idx="9">
                  <c:v>-2.6206685599721681E-3</c:v>
                </c:pt>
                <c:pt idx="10">
                  <c:v>-2.6216578171018644E-3</c:v>
                </c:pt>
                <c:pt idx="11">
                  <c:v>-2.6226521319814705E-3</c:v>
                </c:pt>
                <c:pt idx="12">
                  <c:v>-2.6236519260901424E-3</c:v>
                </c:pt>
                <c:pt idx="13">
                  <c:v>-2.6246576209070409E-3</c:v>
                </c:pt>
                <c:pt idx="14">
                  <c:v>-2.6277143243986826E-3</c:v>
                </c:pt>
                <c:pt idx="15">
                  <c:v>-2.6287478368400763E-3</c:v>
                </c:pt>
                <c:pt idx="16">
                  <c:v>-2.6297893573854901E-3</c:v>
                </c:pt>
                <c:pt idx="17">
                  <c:v>-2.6308393075140843E-3</c:v>
                </c:pt>
                <c:pt idx="18">
                  <c:v>-2.6318981087050178E-3</c:v>
                </c:pt>
                <c:pt idx="19">
                  <c:v>-2.6351318334434429E-3</c:v>
                </c:pt>
                <c:pt idx="20">
                  <c:v>-2.6362302536753236E-3</c:v>
                </c:pt>
                <c:pt idx="21">
                  <c:v>-2.6373396323653374E-3</c:v>
                </c:pt>
                <c:pt idx="22">
                  <c:v>-2.638460390992645E-3</c:v>
                </c:pt>
                <c:pt idx="23">
                  <c:v>-2.6395929510364051E-3</c:v>
                </c:pt>
                <c:pt idx="24">
                  <c:v>-2.6430656544579882E-3</c:v>
                </c:pt>
                <c:pt idx="25">
                  <c:v>-2.6442496349591465E-3</c:v>
                </c:pt>
                <c:pt idx="26">
                  <c:v>-2.6454475242725524E-3</c:v>
                </c:pt>
                <c:pt idx="27">
                  <c:v>-2.6466597438773651E-3</c:v>
                </c:pt>
                <c:pt idx="28">
                  <c:v>-2.6478867152527424E-3</c:v>
                </c:pt>
                <c:pt idx="29">
                  <c:v>-2.6516603547938572E-3</c:v>
                </c:pt>
                <c:pt idx="30">
                  <c:v>-2.6529505480430856E-3</c:v>
                </c:pt>
                <c:pt idx="31">
                  <c:v>-2.6542576004586747E-3</c:v>
                </c:pt>
                <c:pt idx="32">
                  <c:v>-2.6555819335197829E-3</c:v>
                </c:pt>
                <c:pt idx="33">
                  <c:v>-2.6569239687055696E-3</c:v>
                </c:pt>
                <c:pt idx="34">
                  <c:v>-2.6610605018025902E-3</c:v>
                </c:pt>
                <c:pt idx="35">
                  <c:v>-2.6624775602786806E-3</c:v>
                </c:pt>
                <c:pt idx="36">
                  <c:v>-2.6639144282752433E-3</c:v>
                </c:pt>
                <c:pt idx="37">
                  <c:v>-2.6653715272714393E-3</c:v>
                </c:pt>
                <c:pt idx="38">
                  <c:v>-2.6668492787464272E-3</c:v>
                </c:pt>
                <c:pt idx="39">
                  <c:v>-2.6714106628357272E-3</c:v>
                </c:pt>
                <c:pt idx="40">
                  <c:v>-2.6729752390174696E-3</c:v>
                </c:pt>
                <c:pt idx="41">
                  <c:v>-2.674562575073799E-3</c:v>
                </c:pt>
                <c:pt idx="42">
                  <c:v>-2.6761730924838739E-3</c:v>
                </c:pt>
                <c:pt idx="43">
                  <c:v>-2.6778072127268526E-3</c:v>
                </c:pt>
                <c:pt idx="44">
                  <c:v>-2.6828554052448069E-3</c:v>
                </c:pt>
                <c:pt idx="45">
                  <c:v>-2.6845881516109941E-3</c:v>
                </c:pt>
                <c:pt idx="46">
                  <c:v>-2.6863466082058807E-3</c:v>
                </c:pt>
                <c:pt idx="47">
                  <c:v>-2.6881311965086256E-3</c:v>
                </c:pt>
                <c:pt idx="48">
                  <c:v>-2.6899423379983882E-3</c:v>
                </c:pt>
                <c:pt idx="49">
                  <c:v>-2.6955392963813707E-3</c:v>
                </c:pt>
                <c:pt idx="50">
                  <c:v>-2.697460865410793E-3</c:v>
                </c:pt>
                <c:pt idx="51">
                  <c:v>-2.6994110950230277E-3</c:v>
                </c:pt>
                <c:pt idx="52">
                  <c:v>-2.7013904066972346E-3</c:v>
                </c:pt>
                <c:pt idx="53">
                  <c:v>-2.7033992219125716E-3</c:v>
                </c:pt>
                <c:pt idx="54">
                  <c:v>-2.7096069035969562E-3</c:v>
                </c:pt>
                <c:pt idx="55">
                  <c:v>-2.7117379477684059E-3</c:v>
                </c:pt>
                <c:pt idx="56">
                  <c:v>-2.713900602876781E-3</c:v>
                </c:pt>
                <c:pt idx="57">
                  <c:v>-2.7160952904012408E-3</c:v>
                </c:pt>
                <c:pt idx="58">
                  <c:v>-2.718322431820944E-3</c:v>
                </c:pt>
                <c:pt idx="59">
                  <c:v>-2.7252027942431052E-3</c:v>
                </c:pt>
                <c:pt idx="60">
                  <c:v>-2.7275639660353729E-3</c:v>
                </c:pt>
                <c:pt idx="61">
                  <c:v>-2.7299596991186793E-3</c:v>
                </c:pt>
                <c:pt idx="62">
                  <c:v>-2.7323904149721837E-3</c:v>
                </c:pt>
                <c:pt idx="63">
                  <c:v>-2.7348565350750445E-3</c:v>
                </c:pt>
                <c:pt idx="64">
                  <c:v>-2.7424715356713565E-3</c:v>
                </c:pt>
                <c:pt idx="65">
                  <c:v>-2.7450834875632339E-3</c:v>
                </c:pt>
                <c:pt idx="66">
                  <c:v>-2.7477329511002629E-3</c:v>
                </c:pt>
                <c:pt idx="67">
                  <c:v>-2.7504203477616024E-3</c:v>
                </c:pt>
                <c:pt idx="68">
                  <c:v>-2.7531460990264122E-3</c:v>
                </c:pt>
                <c:pt idx="69">
                  <c:v>-2.7615161929133462E-3</c:v>
                </c:pt>
                <c:pt idx="70">
                  <c:v>-2.7643427038341294E-3</c:v>
                </c:pt>
                <c:pt idx="71">
                  <c:v>-2.7671727858031513E-3</c:v>
                </c:pt>
                <c:pt idx="72">
                  <c:v>-2.7699976375618173E-3</c:v>
                </c:pt>
                <c:pt idx="73">
                  <c:v>-2.7728084578515287E-3</c:v>
                </c:pt>
                <c:pt idx="74">
                  <c:v>-2.7810687173209694E-3</c:v>
                </c:pt>
                <c:pt idx="75">
                  <c:v>-2.7837353991488943E-3</c:v>
                </c:pt>
                <c:pt idx="76">
                  <c:v>-2.7863440432148797E-3</c:v>
                </c:pt>
                <c:pt idx="77">
                  <c:v>-2.7888858482603284E-3</c:v>
                </c:pt>
                <c:pt idx="78">
                  <c:v>-2.7913520130266431E-3</c:v>
                </c:pt>
                <c:pt idx="79">
                  <c:v>-2.7982086530648135E-3</c:v>
                </c:pt>
                <c:pt idx="80">
                  <c:v>-2.8002842441286215E-3</c:v>
                </c:pt>
                <c:pt idx="81">
                  <c:v>-2.8022401886203109E-3</c:v>
                </c:pt>
                <c:pt idx="82">
                  <c:v>-2.8040827242680195E-3</c:v>
                </c:pt>
                <c:pt idx="83">
                  <c:v>-2.8058782447468299E-3</c:v>
                </c:pt>
                <c:pt idx="84">
                  <c:v>-2.8113370167077031E-3</c:v>
                </c:pt>
                <c:pt idx="85">
                  <c:v>-2.8131543570021826E-3</c:v>
                </c:pt>
                <c:pt idx="86">
                  <c:v>-2.8149729328274943E-3</c:v>
                </c:pt>
                <c:pt idx="87">
                  <c:v>-2.816792413128644E-3</c:v>
                </c:pt>
                <c:pt idx="88">
                  <c:v>-2.8186115623748753E-3</c:v>
                </c:pt>
                <c:pt idx="89">
                  <c:v>-2.8240685253840955E-3</c:v>
                </c:pt>
                <c:pt idx="90">
                  <c:v>-2.8258875622307889E-3</c:v>
                </c:pt>
                <c:pt idx="91">
                  <c:v>-2.8277065815108244E-3</c:v>
                </c:pt>
                <c:pt idx="92">
                  <c:v>-2.8295256069324659E-3</c:v>
                </c:pt>
                <c:pt idx="93">
                  <c:v>-2.8313446376381935E-3</c:v>
                </c:pt>
                <c:pt idx="94">
                  <c:v>-2.8368017173322105E-3</c:v>
                </c:pt>
                <c:pt idx="95">
                  <c:v>-2.838620749891857E-3</c:v>
                </c:pt>
                <c:pt idx="96">
                  <c:v>-2.8404397941563624E-3</c:v>
                </c:pt>
                <c:pt idx="97">
                  <c:v>-2.842258806019553E-3</c:v>
                </c:pt>
                <c:pt idx="98">
                  <c:v>-2.8440777737766001E-3</c:v>
                </c:pt>
                <c:pt idx="99">
                  <c:v>-2.8495349182730868E-3</c:v>
                </c:pt>
                <c:pt idx="100">
                  <c:v>-2.8513531065428579E-3</c:v>
                </c:pt>
                <c:pt idx="101">
                  <c:v>-2.8531729744004416E-3</c:v>
                </c:pt>
                <c:pt idx="102">
                  <c:v>-2.8549964612631499E-3</c:v>
                </c:pt>
                <c:pt idx="103">
                  <c:v>-2.8568216277167833E-3</c:v>
                </c:pt>
                <c:pt idx="104">
                  <c:v>-2.862294547368235E-3</c:v>
                </c:pt>
                <c:pt idx="105">
                  <c:v>-2.8641189343492019E-3</c:v>
                </c:pt>
                <c:pt idx="106">
                  <c:v>-2.8659432772703925E-3</c:v>
                </c:pt>
                <c:pt idx="107">
                  <c:v>-2.8677675876653042E-3</c:v>
                </c:pt>
                <c:pt idx="108">
                  <c:v>-2.8695919095937791E-3</c:v>
                </c:pt>
                <c:pt idx="109">
                  <c:v>-2.8750648942978459E-3</c:v>
                </c:pt>
                <c:pt idx="110">
                  <c:v>-2.8768892150649056E-3</c:v>
                </c:pt>
                <c:pt idx="111">
                  <c:v>-2.8787135476143547E-3</c:v>
                </c:pt>
                <c:pt idx="112">
                  <c:v>-2.8805378951820317E-3</c:v>
                </c:pt>
                <c:pt idx="113">
                  <c:v>-2.8823622009297172E-3</c:v>
                </c:pt>
                <c:pt idx="114">
                  <c:v>-2.8878354709884206E-3</c:v>
                </c:pt>
                <c:pt idx="115">
                  <c:v>-2.8896595075627914E-3</c:v>
                </c:pt>
                <c:pt idx="116">
                  <c:v>-2.8914827516330331E-3</c:v>
                </c:pt>
                <c:pt idx="117">
                  <c:v>-2.8933081608774245E-3</c:v>
                </c:pt>
                <c:pt idx="118">
                  <c:v>-2.8951365278001061E-3</c:v>
                </c:pt>
                <c:pt idx="119">
                  <c:v>-2.9006054675101613E-3</c:v>
                </c:pt>
                <c:pt idx="120">
                  <c:v>-2.9024860677849297E-3</c:v>
                </c:pt>
                <c:pt idx="121">
                  <c:v>-2.9042541208269979E-3</c:v>
                </c:pt>
                <c:pt idx="122">
                  <c:v>-2.9057796523328456E-3</c:v>
                </c:pt>
                <c:pt idx="123">
                  <c:v>-2.9071925408887186E-3</c:v>
                </c:pt>
                <c:pt idx="124">
                  <c:v>-2.9116047376878166E-3</c:v>
                </c:pt>
                <c:pt idx="125">
                  <c:v>-2.9130693810113049E-3</c:v>
                </c:pt>
                <c:pt idx="126">
                  <c:v>-2.9145355462590443E-3</c:v>
                </c:pt>
                <c:pt idx="127">
                  <c:v>-2.916007801073706E-3</c:v>
                </c:pt>
                <c:pt idx="128">
                  <c:v>-2.9174846235310481E-3</c:v>
                </c:pt>
                <c:pt idx="129">
                  <c:v>-2.9218846411948949E-3</c:v>
                </c:pt>
                <c:pt idx="130">
                  <c:v>-2.923455858487941E-3</c:v>
                </c:pt>
                <c:pt idx="131">
                  <c:v>-2.9248230612555466E-3</c:v>
                </c:pt>
                <c:pt idx="132">
                  <c:v>-2.925811577867205E-3</c:v>
                </c:pt>
                <c:pt idx="133">
                  <c:v>-2.9269609269980293E-3</c:v>
                </c:pt>
                <c:pt idx="134">
                  <c:v>-2.9322715201776412E-3</c:v>
                </c:pt>
                <c:pt idx="135">
                  <c:v>-2.9336383214404178E-3</c:v>
                </c:pt>
                <c:pt idx="136">
                  <c:v>-2.9350786543636343E-3</c:v>
                </c:pt>
                <c:pt idx="137">
                  <c:v>-2.9365767415017959E-3</c:v>
                </c:pt>
                <c:pt idx="138">
                  <c:v>-2.9380590511945445E-3</c:v>
                </c:pt>
                <c:pt idx="139">
                  <c:v>-2.9424535816240647E-3</c:v>
                </c:pt>
                <c:pt idx="140">
                  <c:v>-2.9440426834885501E-3</c:v>
                </c:pt>
                <c:pt idx="141">
                  <c:v>-2.9457032444034003E-3</c:v>
                </c:pt>
                <c:pt idx="142">
                  <c:v>-2.9473917935077094E-3</c:v>
                </c:pt>
                <c:pt idx="143">
                  <c:v>-2.9490648599405762E-3</c:v>
                </c:pt>
                <c:pt idx="144">
                  <c:v>-2.9535564546014624E-3</c:v>
                </c:pt>
                <c:pt idx="145">
                  <c:v>-2.954732881739505E-3</c:v>
                </c:pt>
                <c:pt idx="146">
                  <c:v>-2.9556764719015816E-3</c:v>
                </c:pt>
                <c:pt idx="147">
                  <c:v>-2.9563801947283422E-3</c:v>
                </c:pt>
                <c:pt idx="148">
                  <c:v>-2.9569827818666595E-3</c:v>
                </c:pt>
                <c:pt idx="149">
                  <c:v>-2.9595954017975325E-3</c:v>
                </c:pt>
                <c:pt idx="150">
                  <c:v>-2.960247583935839E-3</c:v>
                </c:pt>
                <c:pt idx="151">
                  <c:v>-2.9609017117627938E-3</c:v>
                </c:pt>
                <c:pt idx="152">
                  <c:v>-2.961555127507778E-3</c:v>
                </c:pt>
                <c:pt idx="153">
                  <c:v>-2.9635179106260222E-3</c:v>
                </c:pt>
                <c:pt idx="154">
                  <c:v>-2.9641728738659954E-3</c:v>
                </c:pt>
                <c:pt idx="155">
                  <c:v>-2.9648277995224705E-3</c:v>
                </c:pt>
                <c:pt idx="156">
                  <c:v>-2.9654827389359408E-3</c:v>
                </c:pt>
                <c:pt idx="157">
                  <c:v>-2.966137688419873E-3</c:v>
                </c:pt>
                <c:pt idx="158">
                  <c:v>-2.9681025214036432E-3</c:v>
                </c:pt>
                <c:pt idx="159">
                  <c:v>-2.9687574662139609E-3</c:v>
                </c:pt>
                <c:pt idx="160">
                  <c:v>-2.9694124107590447E-3</c:v>
                </c:pt>
                <c:pt idx="161">
                  <c:v>-2.9700673551102158E-3</c:v>
                </c:pt>
                <c:pt idx="162">
                  <c:v>-2.9707222995326676E-3</c:v>
                </c:pt>
                <c:pt idx="163">
                  <c:v>-2.9726871329055649E-3</c:v>
                </c:pt>
                <c:pt idx="164">
                  <c:v>-2.9733420773516376E-3</c:v>
                </c:pt>
                <c:pt idx="165">
                  <c:v>-2.9739970218014169E-3</c:v>
                </c:pt>
                <c:pt idx="166">
                  <c:v>-2.9746519662506589E-3</c:v>
                </c:pt>
                <c:pt idx="167">
                  <c:v>-2.9753069106990457E-3</c:v>
                </c:pt>
                <c:pt idx="168">
                  <c:v>-2.9772717440437768E-3</c:v>
                </c:pt>
                <c:pt idx="169">
                  <c:v>-2.9779266884924879E-3</c:v>
                </c:pt>
                <c:pt idx="170">
                  <c:v>-2.978581632941334E-3</c:v>
                </c:pt>
                <c:pt idx="171">
                  <c:v>-2.9792365773896167E-3</c:v>
                </c:pt>
                <c:pt idx="172">
                  <c:v>-2.9798915218371903E-3</c:v>
                </c:pt>
                <c:pt idx="173">
                  <c:v>-2.9818563551834466E-3</c:v>
                </c:pt>
                <c:pt idx="174">
                  <c:v>-2.9825112996181018E-3</c:v>
                </c:pt>
                <c:pt idx="175">
                  <c:v>-2.9831662440795467E-3</c:v>
                </c:pt>
                <c:pt idx="176">
                  <c:v>-2.9838211885779547E-3</c:v>
                </c:pt>
                <c:pt idx="177">
                  <c:v>-2.9844761329772813E-3</c:v>
                </c:pt>
                <c:pt idx="178">
                  <c:v>-2.9864409670133482E-3</c:v>
                </c:pt>
                <c:pt idx="179">
                  <c:v>-2.9870959107708927E-3</c:v>
                </c:pt>
                <c:pt idx="180">
                  <c:v>-2.9877508526408047E-3</c:v>
                </c:pt>
                <c:pt idx="181">
                  <c:v>-2.9884057996677304E-3</c:v>
                </c:pt>
                <c:pt idx="182">
                  <c:v>-2.9890607537395087E-3</c:v>
                </c:pt>
                <c:pt idx="183">
                  <c:v>-2.9910255774621901E-3</c:v>
                </c:pt>
                <c:pt idx="184">
                  <c:v>-2.9916806559338485E-3</c:v>
                </c:pt>
                <c:pt idx="185">
                  <c:v>-2.9923354663588643E-3</c:v>
                </c:pt>
                <c:pt idx="186">
                  <c:v>-2.9929899106249558E-3</c:v>
                </c:pt>
                <c:pt idx="187">
                  <c:v>-2.9936453552556396E-3</c:v>
                </c:pt>
                <c:pt idx="188">
                  <c:v>-2.9956032219606897E-3</c:v>
                </c:pt>
                <c:pt idx="189">
                  <c:v>-2.9962651330501223E-3</c:v>
                </c:pt>
                <c:pt idx="190">
                  <c:v>-2.9969460773558647E-3</c:v>
                </c:pt>
                <c:pt idx="191">
                  <c:v>-2.9975750219466157E-3</c:v>
                </c:pt>
                <c:pt idx="192">
                  <c:v>-2.9981329336061513E-3</c:v>
                </c:pt>
                <c:pt idx="193">
                  <c:v>-3.0001947997409326E-3</c:v>
                </c:pt>
                <c:pt idx="194">
                  <c:v>-2.9994982517769129E-3</c:v>
                </c:pt>
                <c:pt idx="195">
                  <c:v>-3.0015046886374885E-3</c:v>
                </c:pt>
                <c:pt idx="196">
                  <c:v>-3.0062327851322177E-3</c:v>
                </c:pt>
                <c:pt idx="197">
                  <c:v>-3.0028145775353628E-3</c:v>
                </c:pt>
                <c:pt idx="198">
                  <c:v>-3.0051416026946587E-3</c:v>
                </c:pt>
                <c:pt idx="199">
                  <c:v>-3.0054343553288045E-3</c:v>
                </c:pt>
                <c:pt idx="200">
                  <c:v>-3.0059920400618942E-3</c:v>
                </c:pt>
                <c:pt idx="201">
                  <c:v>-3.0067442442265097E-3</c:v>
                </c:pt>
                <c:pt idx="202">
                  <c:v>-3.0074260357236412E-3</c:v>
                </c:pt>
                <c:pt idx="203">
                  <c:v>-3.0093640220208821E-3</c:v>
                </c:pt>
                <c:pt idx="204">
                  <c:v>-3.0100326333461773E-3</c:v>
                </c:pt>
                <c:pt idx="205">
                  <c:v>-3.0106739109164219E-3</c:v>
                </c:pt>
                <c:pt idx="206">
                  <c:v>-3.0112657033307703E-3</c:v>
                </c:pt>
                <c:pt idx="207">
                  <c:v>-3.0118348957625983E-3</c:v>
                </c:pt>
                <c:pt idx="208">
                  <c:v>-3.0135771843338146E-3</c:v>
                </c:pt>
                <c:pt idx="209">
                  <c:v>-3.0141568654545123E-3</c:v>
                </c:pt>
                <c:pt idx="210">
                  <c:v>-3.014737140489443E-3</c:v>
                </c:pt>
                <c:pt idx="211">
                  <c:v>-3.0153178502998427E-3</c:v>
                </c:pt>
                <c:pt idx="212">
                  <c:v>-3.0158984009712518E-3</c:v>
                </c:pt>
                <c:pt idx="213">
                  <c:v>-3.0176398199907896E-3</c:v>
                </c:pt>
                <c:pt idx="214">
                  <c:v>-3.0182203165954398E-3</c:v>
                </c:pt>
                <c:pt idx="215">
                  <c:v>-3.0188008048359009E-3</c:v>
                </c:pt>
                <c:pt idx="216">
                  <c:v>-3.0193812961381745E-3</c:v>
                </c:pt>
                <c:pt idx="217">
                  <c:v>-3.0199617896819993E-3</c:v>
                </c:pt>
                <c:pt idx="218">
                  <c:v>-3.0217032668704781E-3</c:v>
                </c:pt>
                <c:pt idx="219">
                  <c:v>-3.0222837593731644E-3</c:v>
                </c:pt>
                <c:pt idx="220">
                  <c:v>-3.0228642518175895E-3</c:v>
                </c:pt>
                <c:pt idx="221">
                  <c:v>-3.0234447442190689E-3</c:v>
                </c:pt>
                <c:pt idx="222">
                  <c:v>-3.02402523663596E-3</c:v>
                </c:pt>
                <c:pt idx="223">
                  <c:v>-3.0257667139107444E-3</c:v>
                </c:pt>
                <c:pt idx="224">
                  <c:v>-3.0263472063335678E-3</c:v>
                </c:pt>
                <c:pt idx="225">
                  <c:v>-3.0269276987568454E-3</c:v>
                </c:pt>
                <c:pt idx="226">
                  <c:v>-3.0275081911793193E-3</c:v>
                </c:pt>
                <c:pt idx="227">
                  <c:v>-3.0304106532926685E-3</c:v>
                </c:pt>
                <c:pt idx="228">
                  <c:v>-3.0309911457155046E-3</c:v>
                </c:pt>
                <c:pt idx="229">
                  <c:v>-3.0315716381385384E-3</c:v>
                </c:pt>
                <c:pt idx="230">
                  <c:v>-3.0321521305613974E-3</c:v>
                </c:pt>
                <c:pt idx="231">
                  <c:v>-3.0338936078312608E-3</c:v>
                </c:pt>
                <c:pt idx="232">
                  <c:v>-3.0344741002540287E-3</c:v>
                </c:pt>
                <c:pt idx="233">
                  <c:v>-3.0350545926764502E-3</c:v>
                </c:pt>
                <c:pt idx="234">
                  <c:v>-3.0356350850989592E-3</c:v>
                </c:pt>
                <c:pt idx="235">
                  <c:v>-3.0362155775218451E-3</c:v>
                </c:pt>
                <c:pt idx="236">
                  <c:v>-3.0385375472131966E-3</c:v>
                </c:pt>
                <c:pt idx="237">
                  <c:v>-3.0391180396431862E-3</c:v>
                </c:pt>
                <c:pt idx="238">
                  <c:v>-3.0396985320602391E-3</c:v>
                </c:pt>
                <c:pt idx="239">
                  <c:v>-3.0402790244590198E-3</c:v>
                </c:pt>
                <c:pt idx="240">
                  <c:v>-3.0420205017509254E-3</c:v>
                </c:pt>
                <c:pt idx="241">
                  <c:v>-3.0426009938454091E-3</c:v>
                </c:pt>
                <c:pt idx="242">
                  <c:v>-3.0431814865958923E-3</c:v>
                </c:pt>
                <c:pt idx="243">
                  <c:v>-3.043761980243117E-3</c:v>
                </c:pt>
                <c:pt idx="244">
                  <c:v>-3.0443424714419239E-3</c:v>
                </c:pt>
                <c:pt idx="245">
                  <c:v>-3.0460839657639491E-3</c:v>
                </c:pt>
                <c:pt idx="246">
                  <c:v>-3.046664441133053E-3</c:v>
                </c:pt>
                <c:pt idx="247">
                  <c:v>-3.0472448699119447E-3</c:v>
                </c:pt>
                <c:pt idx="248">
                  <c:v>-3.0478254259790395E-3</c:v>
                </c:pt>
                <c:pt idx="249">
                  <c:v>-3.0484061559246426E-3</c:v>
                </c:pt>
                <c:pt idx="250">
                  <c:v>-3.0501473956700566E-3</c:v>
                </c:pt>
                <c:pt idx="251">
                  <c:v>-3.0507311963568857E-3</c:v>
                </c:pt>
                <c:pt idx="252">
                  <c:v>-3.0513083805161711E-3</c:v>
                </c:pt>
                <c:pt idx="253">
                  <c:v>-3.0518765263305094E-3</c:v>
                </c:pt>
                <c:pt idx="254">
                  <c:v>-3.0524693653622452E-3</c:v>
                </c:pt>
                <c:pt idx="255">
                  <c:v>-3.0540388765527039E-3</c:v>
                </c:pt>
                <c:pt idx="256">
                  <c:v>-3.0547913350523407E-3</c:v>
                </c:pt>
                <c:pt idx="257">
                  <c:v>-3.0560136136115463E-3</c:v>
                </c:pt>
                <c:pt idx="258">
                  <c:v>-3.0559523198993286E-3</c:v>
                </c:pt>
                <c:pt idx="259">
                  <c:v>-3.0545985896766928E-3</c:v>
                </c:pt>
                <c:pt idx="260">
                  <c:v>-3.0582742895896363E-3</c:v>
                </c:pt>
                <c:pt idx="261">
                  <c:v>-3.0586830686539614E-3</c:v>
                </c:pt>
                <c:pt idx="262">
                  <c:v>-3.059435274436785E-3</c:v>
                </c:pt>
                <c:pt idx="263">
                  <c:v>-3.0600608973405672E-3</c:v>
                </c:pt>
                <c:pt idx="264">
                  <c:v>-3.0605962592824732E-3</c:v>
                </c:pt>
                <c:pt idx="265">
                  <c:v>-3.0623278403243775E-3</c:v>
                </c:pt>
                <c:pt idx="266">
                  <c:v>-3.0629182289733507E-3</c:v>
                </c:pt>
                <c:pt idx="267">
                  <c:v>-3.0635706590942981E-3</c:v>
                </c:pt>
                <c:pt idx="268">
                  <c:v>-3.0642675676614754E-3</c:v>
                </c:pt>
                <c:pt idx="269">
                  <c:v>-3.064976438637749E-3</c:v>
                </c:pt>
                <c:pt idx="270">
                  <c:v>-3.0668496656498E-3</c:v>
                </c:pt>
                <c:pt idx="271">
                  <c:v>-3.0672812258911129E-3</c:v>
                </c:pt>
                <c:pt idx="272">
                  <c:v>-3.0675621683558486E-3</c:v>
                </c:pt>
                <c:pt idx="273">
                  <c:v>-3.0676847467106141E-3</c:v>
                </c:pt>
                <c:pt idx="274">
                  <c:v>-3.0677402934369742E-3</c:v>
                </c:pt>
                <c:pt idx="275">
                  <c:v>-3.0680098873841766E-3</c:v>
                </c:pt>
                <c:pt idx="276">
                  <c:v>-3.0680965435974624E-3</c:v>
                </c:pt>
                <c:pt idx="277">
                  <c:v>-3.0681849613646119E-3</c:v>
                </c:pt>
                <c:pt idx="278">
                  <c:v>-3.0682746686783728E-3</c:v>
                </c:pt>
                <c:pt idx="279">
                  <c:v>-3.0683639039847579E-3</c:v>
                </c:pt>
                <c:pt idx="280">
                  <c:v>-3.0686309188386364E-3</c:v>
                </c:pt>
                <c:pt idx="281">
                  <c:v>-3.0687199937832442E-3</c:v>
                </c:pt>
                <c:pt idx="282">
                  <c:v>-3.0688090439196752E-3</c:v>
                </c:pt>
                <c:pt idx="283">
                  <c:v>-3.0688981031364213E-3</c:v>
                </c:pt>
                <c:pt idx="284">
                  <c:v>-3.0689871690003519E-3</c:v>
                </c:pt>
                <c:pt idx="285">
                  <c:v>-3.0692543563824335E-3</c:v>
                </c:pt>
                <c:pt idx="286">
                  <c:v>-3.0693434191614902E-3</c:v>
                </c:pt>
                <c:pt idx="287">
                  <c:v>-3.0694324817657119E-3</c:v>
                </c:pt>
                <c:pt idx="288">
                  <c:v>-3.0695215442418048E-3</c:v>
                </c:pt>
                <c:pt idx="289">
                  <c:v>-3.0696106067644616E-3</c:v>
                </c:pt>
                <c:pt idx="290">
                  <c:v>-3.0698777944019847E-3</c:v>
                </c:pt>
                <c:pt idx="291">
                  <c:v>-3.069966856940888E-3</c:v>
                </c:pt>
                <c:pt idx="292">
                  <c:v>-3.0700559194822264E-3</c:v>
                </c:pt>
                <c:pt idx="293">
                  <c:v>-3.0701449820228566E-3</c:v>
                </c:pt>
                <c:pt idx="294">
                  <c:v>-3.070234044563057E-3</c:v>
                </c:pt>
                <c:pt idx="295">
                  <c:v>-3.0705012321848696E-3</c:v>
                </c:pt>
                <c:pt idx="296">
                  <c:v>-3.0705902947250068E-3</c:v>
                </c:pt>
                <c:pt idx="297">
                  <c:v>-3.0706793572650147E-3</c:v>
                </c:pt>
                <c:pt idx="298">
                  <c:v>-3.0707684198051557E-3</c:v>
                </c:pt>
                <c:pt idx="299">
                  <c:v>-3.0708574823456129E-3</c:v>
                </c:pt>
                <c:pt idx="300">
                  <c:v>-3.0711246699666045E-3</c:v>
                </c:pt>
                <c:pt idx="301">
                  <c:v>-3.0712137325066605E-3</c:v>
                </c:pt>
                <c:pt idx="302">
                  <c:v>-3.0713027950469225E-3</c:v>
                </c:pt>
                <c:pt idx="303">
                  <c:v>-3.0713918575875896E-3</c:v>
                </c:pt>
                <c:pt idx="304">
                  <c:v>-3.0714809201283499E-3</c:v>
                </c:pt>
                <c:pt idx="305">
                  <c:v>-3.0717481077478606E-3</c:v>
                </c:pt>
                <c:pt idx="306">
                  <c:v>-3.0718371702873047E-3</c:v>
                </c:pt>
                <c:pt idx="307">
                  <c:v>-3.0719262328276855E-3</c:v>
                </c:pt>
                <c:pt idx="308">
                  <c:v>-3.0720152953682051E-3</c:v>
                </c:pt>
                <c:pt idx="309">
                  <c:v>-3.072104357908099E-3</c:v>
                </c:pt>
                <c:pt idx="310">
                  <c:v>-3.0723715455303426E-3</c:v>
                </c:pt>
                <c:pt idx="311">
                  <c:v>-3.0724606080701294E-3</c:v>
                </c:pt>
                <c:pt idx="312">
                  <c:v>-3.0725496706096992E-3</c:v>
                </c:pt>
                <c:pt idx="313">
                  <c:v>-3.0726387331501165E-3</c:v>
                </c:pt>
                <c:pt idx="314">
                  <c:v>-3.0727277956906262E-3</c:v>
                </c:pt>
                <c:pt idx="315">
                  <c:v>-3.0729949833118221E-3</c:v>
                </c:pt>
                <c:pt idx="316">
                  <c:v>-3.0730840458518195E-3</c:v>
                </c:pt>
                <c:pt idx="317">
                  <c:v>-3.0731731083896009E-3</c:v>
                </c:pt>
                <c:pt idx="318">
                  <c:v>-3.0732621709319598E-3</c:v>
                </c:pt>
                <c:pt idx="319">
                  <c:v>-3.0733512334810038E-3</c:v>
                </c:pt>
                <c:pt idx="320">
                  <c:v>-3.0736184210940023E-3</c:v>
                </c:pt>
                <c:pt idx="321">
                  <c:v>-3.073707483760714E-3</c:v>
                </c:pt>
                <c:pt idx="322">
                  <c:v>-3.073796546174849E-3</c:v>
                </c:pt>
                <c:pt idx="323">
                  <c:v>-3.0738856082441145E-3</c:v>
                </c:pt>
                <c:pt idx="324">
                  <c:v>-3.0739746712542724E-3</c:v>
                </c:pt>
                <c:pt idx="325">
                  <c:v>-3.074241853587218E-3</c:v>
                </c:pt>
                <c:pt idx="326">
                  <c:v>-3.0743309214153846E-3</c:v>
                </c:pt>
                <c:pt idx="327">
                  <c:v>-3.0744199856624433E-3</c:v>
                </c:pt>
                <c:pt idx="328">
                  <c:v>-3.0745090464950613E-3</c:v>
                </c:pt>
                <c:pt idx="329">
                  <c:v>-3.074598108758062E-3</c:v>
                </c:pt>
                <c:pt idx="330">
                  <c:v>-3.074865296657629E-3</c:v>
                </c:pt>
                <c:pt idx="331">
                  <c:v>-3.0749543618650253E-3</c:v>
                </c:pt>
                <c:pt idx="332">
                  <c:v>-3.075043421736342E-3</c:v>
                </c:pt>
                <c:pt idx="333">
                  <c:v>-3.0751324742022573E-3</c:v>
                </c:pt>
                <c:pt idx="334">
                  <c:v>-3.0752215468179763E-3</c:v>
                </c:pt>
                <c:pt idx="335">
                  <c:v>-3.075488593988188E-3</c:v>
                </c:pt>
                <c:pt idx="336">
                  <c:v>-3.0755777969788977E-3</c:v>
                </c:pt>
                <c:pt idx="337">
                  <c:v>-3.0756668595186259E-3</c:v>
                </c:pt>
                <c:pt idx="338">
                  <c:v>-3.0757525125424796E-3</c:v>
                </c:pt>
                <c:pt idx="339">
                  <c:v>-3.0758337144387547E-3</c:v>
                </c:pt>
                <c:pt idx="340">
                  <c:v>-3.0760480355961337E-3</c:v>
                </c:pt>
                <c:pt idx="341">
                  <c:v>-3.0761088552161212E-3</c:v>
                </c:pt>
                <c:pt idx="342">
                  <c:v>-3.076163934825544E-3</c:v>
                </c:pt>
                <c:pt idx="343">
                  <c:v>-3.0762130166478059E-3</c:v>
                </c:pt>
                <c:pt idx="344">
                  <c:v>-3.0762558429063085E-3</c:v>
                </c:pt>
                <c:pt idx="345">
                  <c:v>-3.0763442105332934E-3</c:v>
                </c:pt>
                <c:pt idx="346">
                  <c:v>-3.0763594367707904E-3</c:v>
                </c:pt>
                <c:pt idx="347">
                  <c:v>-3.0763671185615434E-3</c:v>
                </c:pt>
                <c:pt idx="348">
                  <c:v>-3.0763669981289554E-3</c:v>
                </c:pt>
                <c:pt idx="349">
                  <c:v>-3.0763588176964275E-3</c:v>
                </c:pt>
                <c:pt idx="350">
                  <c:v>-3.0762833386332455E-3</c:v>
                </c:pt>
                <c:pt idx="351">
                  <c:v>-3.0762403404349949E-3</c:v>
                </c:pt>
                <c:pt idx="352">
                  <c:v>-3.0761879933538195E-3</c:v>
                </c:pt>
                <c:pt idx="353">
                  <c:v>-3.0761260396131233E-3</c:v>
                </c:pt>
                <c:pt idx="354">
                  <c:v>-3.0760542214363093E-3</c:v>
                </c:pt>
                <c:pt idx="355">
                  <c:v>-3.0757770025231874E-3</c:v>
                </c:pt>
                <c:pt idx="356">
                  <c:v>-3.0756631488359303E-3</c:v>
                </c:pt>
                <c:pt idx="357">
                  <c:v>-3.0755381418295694E-3</c:v>
                </c:pt>
                <c:pt idx="358">
                  <c:v>-3.0754017237275082E-3</c:v>
                </c:pt>
                <c:pt idx="359">
                  <c:v>-3.0752536367531489E-3</c:v>
                </c:pt>
                <c:pt idx="360">
                  <c:v>-3.0747367848303147E-3</c:v>
                </c:pt>
                <c:pt idx="361">
                  <c:v>-3.0745394446007939E-3</c:v>
                </c:pt>
                <c:pt idx="362">
                  <c:v>-3.0743291466159895E-3</c:v>
                </c:pt>
                <c:pt idx="363">
                  <c:v>-3.0741056330993058E-3</c:v>
                </c:pt>
                <c:pt idx="364">
                  <c:v>-3.0738686462741444E-3</c:v>
                </c:pt>
                <c:pt idx="365">
                  <c:v>-3.0730742681818243E-3</c:v>
                </c:pt>
                <c:pt idx="366">
                  <c:v>-3.0727808103567819E-3</c:v>
                </c:pt>
                <c:pt idx="367">
                  <c:v>-3.0724725903402777E-3</c:v>
                </c:pt>
                <c:pt idx="368">
                  <c:v>-3.0721493503557133E-3</c:v>
                </c:pt>
                <c:pt idx="369">
                  <c:v>-3.0718108326264911E-3</c:v>
                </c:pt>
                <c:pt idx="370">
                  <c:v>-3.0707010352049135E-3</c:v>
                </c:pt>
                <c:pt idx="371">
                  <c:v>-3.0702988287310932E-3</c:v>
                </c:pt>
                <c:pt idx="372">
                  <c:v>-3.069880055629629E-3</c:v>
                </c:pt>
                <c:pt idx="373">
                  <c:v>-3.0694444581239265E-3</c:v>
                </c:pt>
                <c:pt idx="374">
                  <c:v>-3.068991778437388E-3</c:v>
                </c:pt>
                <c:pt idx="375">
                  <c:v>-3.0675286685267777E-3</c:v>
                </c:pt>
                <c:pt idx="376">
                  <c:v>-3.0670050823509206E-3</c:v>
                </c:pt>
                <c:pt idx="377">
                  <c:v>-3.0664631251112414E-3</c:v>
                </c:pt>
                <c:pt idx="378">
                  <c:v>-3.0659025390311432E-3</c:v>
                </c:pt>
                <c:pt idx="379">
                  <c:v>-3.0653230663340286E-3</c:v>
                </c:pt>
                <c:pt idx="380">
                  <c:v>-3.0634687507746154E-3</c:v>
                </c:pt>
                <c:pt idx="381">
                  <c:v>-3.0628111538434644E-3</c:v>
                </c:pt>
                <c:pt idx="382">
                  <c:v>-3.0621333814123113E-3</c:v>
                </c:pt>
                <c:pt idx="383">
                  <c:v>-3.0614351757045598E-3</c:v>
                </c:pt>
                <c:pt idx="384">
                  <c:v>-3.0607162789436119E-3</c:v>
                </c:pt>
                <c:pt idx="385">
                  <c:v>-3.0584328645756218E-3</c:v>
                </c:pt>
                <c:pt idx="386">
                  <c:v>-3.0576286258359188E-3</c:v>
                </c:pt>
                <c:pt idx="387">
                  <c:v>-3.0568024071600348E-3</c:v>
                </c:pt>
                <c:pt idx="388">
                  <c:v>-3.0559539507713724E-3</c:v>
                </c:pt>
                <c:pt idx="389">
                  <c:v>-3.0550829988933341E-3</c:v>
                </c:pt>
                <c:pt idx="390">
                  <c:v>-3.052332592556994E-3</c:v>
                </c:pt>
                <c:pt idx="391">
                  <c:v>-3.0513693970712318E-3</c:v>
                </c:pt>
                <c:pt idx="392">
                  <c:v>-3.0503843139076088E-3</c:v>
                </c:pt>
                <c:pt idx="393">
                  <c:v>-3.0493789819840251E-3</c:v>
                </c:pt>
                <c:pt idx="394">
                  <c:v>-3.0483550402183859E-3</c:v>
                </c:pt>
                <c:pt idx="395">
                  <c:v>-3.0451879450481482E-3</c:v>
                </c:pt>
                <c:pt idx="396">
                  <c:v>-3.044105953093304E-3</c:v>
                </c:pt>
                <c:pt idx="397">
                  <c:v>-3.0430135458859157E-3</c:v>
                </c:pt>
                <c:pt idx="398">
                  <c:v>-3.041912362343884E-3</c:v>
                </c:pt>
                <c:pt idx="399">
                  <c:v>-3.0408040413851113E-3</c:v>
                </c:pt>
                <c:pt idx="400">
                  <c:v>-3.0374526431873774E-3</c:v>
                </c:pt>
                <c:pt idx="401">
                  <c:v>-3.0363321617406683E-3</c:v>
                </c:pt>
                <c:pt idx="402">
                  <c:v>-3.0352127374667299E-3</c:v>
                </c:pt>
                <c:pt idx="403">
                  <c:v>-3.0340956729884142E-3</c:v>
                </c:pt>
                <c:pt idx="404">
                  <c:v>-3.0329809257483679E-3</c:v>
                </c:pt>
                <c:pt idx="405">
                  <c:v>-3.0274286882879886E-3</c:v>
                </c:pt>
                <c:pt idx="406">
                  <c:v>-3.0263198885770487E-3</c:v>
                </c:pt>
                <c:pt idx="407">
                  <c:v>-3.0252107541375419E-3</c:v>
                </c:pt>
                <c:pt idx="408">
                  <c:v>-3.0207632920457453E-3</c:v>
                </c:pt>
                <c:pt idx="409">
                  <c:v>-3.0196468011773289E-3</c:v>
                </c:pt>
                <c:pt idx="410">
                  <c:v>-3.0185277024659153E-3</c:v>
                </c:pt>
                <c:pt idx="411">
                  <c:v>-3.0174056170590999E-3</c:v>
                </c:pt>
                <c:pt idx="412">
                  <c:v>-3.0140176521421891E-3</c:v>
                </c:pt>
                <c:pt idx="413">
                  <c:v>-3.0128798314297137E-3</c:v>
                </c:pt>
                <c:pt idx="414">
                  <c:v>-3.0117371297598114E-3</c:v>
                </c:pt>
                <c:pt idx="415">
                  <c:v>-3.0105891682800762E-3</c:v>
                </c:pt>
                <c:pt idx="416">
                  <c:v>-3.0094355681381034E-3</c:v>
                </c:pt>
                <c:pt idx="417">
                  <c:v>-3.0059371472147081E-3</c:v>
                </c:pt>
                <c:pt idx="418">
                  <c:v>-3.0047572038997342E-3</c:v>
                </c:pt>
                <c:pt idx="419">
                  <c:v>-3.0035697276604972E-3</c:v>
                </c:pt>
                <c:pt idx="420">
                  <c:v>-3.0023743396445919E-3</c:v>
                </c:pt>
                <c:pt idx="421">
                  <c:v>-3.0011706609996136E-3</c:v>
                </c:pt>
                <c:pt idx="422">
                  <c:v>-2.9975060927661893E-3</c:v>
                </c:pt>
                <c:pt idx="423">
                  <c:v>-2.9962654630808676E-3</c:v>
                </c:pt>
                <c:pt idx="424">
                  <c:v>-2.9950146485044479E-3</c:v>
                </c:pt>
                <c:pt idx="425">
                  <c:v>-2.9937532701845245E-3</c:v>
                </c:pt>
                <c:pt idx="426">
                  <c:v>-2.9924809492686919E-3</c:v>
                </c:pt>
                <c:pt idx="427">
                  <c:v>-2.9885945424216929E-3</c:v>
                </c:pt>
                <c:pt idx="428">
                  <c:v>-2.9872746625981758E-3</c:v>
                </c:pt>
                <c:pt idx="429">
                  <c:v>-2.9859419459167245E-3</c:v>
                </c:pt>
                <c:pt idx="430">
                  <c:v>-2.9845960135249346E-3</c:v>
                </c:pt>
                <c:pt idx="431">
                  <c:v>-2.9832364865704001E-3</c:v>
                </c:pt>
                <c:pt idx="432">
                  <c:v>-2.9790725498062809E-3</c:v>
                </c:pt>
                <c:pt idx="433">
                  <c:v>-2.9776548560767196E-3</c:v>
                </c:pt>
                <c:pt idx="434">
                  <c:v>-2.9762216735223887E-3</c:v>
                </c:pt>
                <c:pt idx="435">
                  <c:v>-2.9747726232908834E-3</c:v>
                </c:pt>
                <c:pt idx="436">
                  <c:v>-2.9733073265297981E-3</c:v>
                </c:pt>
                <c:pt idx="437">
                  <c:v>-2.9688101685450144E-3</c:v>
                </c:pt>
                <c:pt idx="438">
                  <c:v>-2.9672760971415604E-3</c:v>
                </c:pt>
                <c:pt idx="439">
                  <c:v>-2.9657238849465015E-3</c:v>
                </c:pt>
                <c:pt idx="440">
                  <c:v>-2.9641531531074327E-3</c:v>
                </c:pt>
                <c:pt idx="441">
                  <c:v>-2.9625635227719482E-3</c:v>
                </c:pt>
                <c:pt idx="442">
                  <c:v>-2.9576774522629547E-3</c:v>
                </c:pt>
                <c:pt idx="443">
                  <c:v>-2.9560084394177595E-3</c:v>
                </c:pt>
                <c:pt idx="444">
                  <c:v>-2.9543186338141245E-3</c:v>
                </c:pt>
                <c:pt idx="445">
                  <c:v>-2.9526076565996435E-3</c:v>
                </c:pt>
                <c:pt idx="446">
                  <c:v>-2.9508751289219113E-3</c:v>
                </c:pt>
                <c:pt idx="447">
                  <c:v>-2.9455444545851625E-3</c:v>
                </c:pt>
                <c:pt idx="448">
                  <c:v>-2.9437219365303783E-3</c:v>
                </c:pt>
                <c:pt idx="449">
                  <c:v>-2.9418759737503174E-3</c:v>
                </c:pt>
                <c:pt idx="450">
                  <c:v>-2.9400061873925769E-3</c:v>
                </c:pt>
                <c:pt idx="451">
                  <c:v>-2.9381121986047491E-3</c:v>
                </c:pt>
                <c:pt idx="452">
                  <c:v>-2.9322778544007924E-3</c:v>
                </c:pt>
                <c:pt idx="453">
                  <c:v>-2.9302786427304753E-3</c:v>
                </c:pt>
                <c:pt idx="454">
                  <c:v>-2.9282503346027959E-3</c:v>
                </c:pt>
                <c:pt idx="455">
                  <c:v>-2.9261918012240358E-3</c:v>
                </c:pt>
                <c:pt idx="456">
                  <c:v>-2.9241019138004786E-3</c:v>
                </c:pt>
                <c:pt idx="457">
                  <c:v>-2.9176328393238416E-3</c:v>
                </c:pt>
                <c:pt idx="458">
                  <c:v>-2.9154062477839151E-3</c:v>
                </c:pt>
                <c:pt idx="459">
                  <c:v>-2.9131426582306016E-3</c:v>
                </c:pt>
                <c:pt idx="460">
                  <c:v>-2.9108409418701839E-3</c:v>
                </c:pt>
                <c:pt idx="461">
                  <c:v>-2.9084999699089437E-3</c:v>
                </c:pt>
                <c:pt idx="462">
                  <c:v>-2.9012302324831116E-3</c:v>
                </c:pt>
                <c:pt idx="463">
                  <c:v>-2.8987209501814045E-3</c:v>
                </c:pt>
                <c:pt idx="464">
                  <c:v>-2.8961667683102855E-3</c:v>
                </c:pt>
                <c:pt idx="465">
                  <c:v>-2.8935668432084321E-3</c:v>
                </c:pt>
                <c:pt idx="466">
                  <c:v>-2.8909214717440989E-3</c:v>
                </c:pt>
                <c:pt idx="467">
                  <c:v>-2.8827184991827028E-3</c:v>
                </c:pt>
                <c:pt idx="468">
                  <c:v>-2.879897162274935E-3</c:v>
                </c:pt>
                <c:pt idx="469">
                  <c:v>-2.8770332890079302E-3</c:v>
                </c:pt>
                <c:pt idx="470">
                  <c:v>-2.874127461382337E-3</c:v>
                </c:pt>
                <c:pt idx="471">
                  <c:v>-2.8589893778982506E-3</c:v>
                </c:pt>
                <c:pt idx="472">
                  <c:v>-2.8558440461347498E-3</c:v>
                </c:pt>
                <c:pt idx="473">
                  <c:v>-2.852660834017202E-3</c:v>
                </c:pt>
                <c:pt idx="474">
                  <c:v>-2.8494403235462549E-3</c:v>
                </c:pt>
                <c:pt idx="475">
                  <c:v>-2.8395608220195081E-3</c:v>
                </c:pt>
                <c:pt idx="476">
                  <c:v>-2.836196938141453E-3</c:v>
                </c:pt>
                <c:pt idx="477">
                  <c:v>-2.8327986659132426E-3</c:v>
                </c:pt>
                <c:pt idx="478">
                  <c:v>-2.8293665873355251E-3</c:v>
                </c:pt>
                <c:pt idx="479">
                  <c:v>-2.8259012844089495E-3</c:v>
                </c:pt>
                <c:pt idx="480">
                  <c:v>-2.8153118495425618E-3</c:v>
                </c:pt>
                <c:pt idx="481">
                  <c:v>-2.8117194692270408E-3</c:v>
                </c:pt>
                <c:pt idx="482">
                  <c:v>-2.8080967745659048E-3</c:v>
                </c:pt>
                <c:pt idx="483">
                  <c:v>-2.804444347559804E-3</c:v>
                </c:pt>
                <c:pt idx="484">
                  <c:v>-2.800762770209385E-3</c:v>
                </c:pt>
                <c:pt idx="485">
                  <c:v>-2.7895489560987117E-3</c:v>
                </c:pt>
                <c:pt idx="486">
                  <c:v>-2.7857565973775111E-3</c:v>
                </c:pt>
                <c:pt idx="487">
                  <c:v>-2.7819379983152364E-3</c:v>
                </c:pt>
                <c:pt idx="488">
                  <c:v>-2.7780937409125363E-3</c:v>
                </c:pt>
                <c:pt idx="489">
                  <c:v>-2.7742244071700594E-3</c:v>
                </c:pt>
                <c:pt idx="490">
                  <c:v>-2.7624717679104573E-3</c:v>
                </c:pt>
                <c:pt idx="491">
                  <c:v>-2.7545219633837324E-3</c:v>
                </c:pt>
                <c:pt idx="492">
                  <c:v>-2.7505143936162194E-3</c:v>
                </c:pt>
                <c:pt idx="493">
                  <c:v>-2.74648582151347E-3</c:v>
                </c:pt>
                <c:pt idx="494">
                  <c:v>-2.734279911200295E-3</c:v>
                </c:pt>
                <c:pt idx="495">
                  <c:v>-2.7301731497630902E-3</c:v>
                </c:pt>
                <c:pt idx="496">
                  <c:v>-2.7260482959938926E-3</c:v>
                </c:pt>
                <c:pt idx="497">
                  <c:v>-2.7219059318933508E-3</c:v>
                </c:pt>
                <c:pt idx="498">
                  <c:v>-2.7177466394621148E-3</c:v>
                </c:pt>
                <c:pt idx="499">
                  <c:v>-2.7051730121907223E-3</c:v>
                </c:pt>
                <c:pt idx="500">
                  <c:v>-2.7009518264431926E-3</c:v>
                </c:pt>
                <c:pt idx="501">
                  <c:v>-2.6967166223682121E-3</c:v>
                </c:pt>
                <c:pt idx="502">
                  <c:v>-2.6924679819664283E-3</c:v>
                </c:pt>
                <c:pt idx="503">
                  <c:v>-2.6882064872384898E-3</c:v>
                </c:pt>
                <c:pt idx="504">
                  <c:v>-2.6753506971042371E-3</c:v>
                </c:pt>
                <c:pt idx="505">
                  <c:v>-2.6710436050781691E-3</c:v>
                </c:pt>
                <c:pt idx="506">
                  <c:v>-2.6667265687291904E-3</c:v>
                </c:pt>
                <c:pt idx="507">
                  <c:v>-2.6624001700579487E-3</c:v>
                </c:pt>
                <c:pt idx="508">
                  <c:v>-2.6580649910650949E-3</c:v>
                </c:pt>
                <c:pt idx="509">
                  <c:v>-2.645012592163337E-3</c:v>
                </c:pt>
                <c:pt idx="510">
                  <c:v>-2.6406481118905157E-3</c:v>
                </c:pt>
                <c:pt idx="511">
                  <c:v>-2.6362777612993246E-3</c:v>
                </c:pt>
                <c:pt idx="512">
                  <c:v>-2.6319021223904118E-3</c:v>
                </c:pt>
                <c:pt idx="513">
                  <c:v>-2.627521777164426E-3</c:v>
                </c:pt>
                <c:pt idx="514">
                  <c:v>-2.6143583235905201E-3</c:v>
                </c:pt>
                <c:pt idx="515">
                  <c:v>-2.6099648801727751E-3</c:v>
                </c:pt>
                <c:pt idx="516">
                  <c:v>-2.6055690828614719E-3</c:v>
                </c:pt>
                <c:pt idx="517">
                  <c:v>-2.6011709560775273E-3</c:v>
                </c:pt>
                <c:pt idx="518">
                  <c:v>-2.5967705242418613E-3</c:v>
                </c:pt>
                <c:pt idx="519">
                  <c:v>-2.5835556426337218E-3</c:v>
                </c:pt>
                <c:pt idx="520">
                  <c:v>-2.5791462348003559E-3</c:v>
                </c:pt>
                <c:pt idx="521">
                  <c:v>-2.5747346440198626E-3</c:v>
                </c:pt>
                <c:pt idx="522">
                  <c:v>-2.57032089471316E-3</c:v>
                </c:pt>
                <c:pt idx="523">
                  <c:v>-2.5659050113011664E-3</c:v>
                </c:pt>
                <c:pt idx="524">
                  <c:v>-2.5526448006426318E-3</c:v>
                </c:pt>
                <c:pt idx="525">
                  <c:v>-2.5482206250186643E-3</c:v>
                </c:pt>
                <c:pt idx="526">
                  <c:v>-2.5437944373940002E-3</c:v>
                </c:pt>
                <c:pt idx="527">
                  <c:v>-2.5393662621895573E-3</c:v>
                </c:pt>
                <c:pt idx="528">
                  <c:v>-2.5349361238262555E-3</c:v>
                </c:pt>
                <c:pt idx="529">
                  <c:v>-2.5216341739923813E-3</c:v>
                </c:pt>
                <c:pt idx="530">
                  <c:v>-2.5171964272028293E-3</c:v>
                </c:pt>
                <c:pt idx="531">
                  <c:v>-2.512756839359013E-3</c:v>
                </c:pt>
                <c:pt idx="532">
                  <c:v>-2.5083154348818485E-3</c:v>
                </c:pt>
                <c:pt idx="533">
                  <c:v>-2.503872238192257E-3</c:v>
                </c:pt>
                <c:pt idx="534">
                  <c:v>-2.490532139058099E-3</c:v>
                </c:pt>
                <c:pt idx="535">
                  <c:v>-2.486082017727982E-3</c:v>
                </c:pt>
                <c:pt idx="536">
                  <c:v>-2.4816302262900304E-3</c:v>
                </c:pt>
                <c:pt idx="537">
                  <c:v>-2.4771767891651627E-3</c:v>
                </c:pt>
                <c:pt idx="538">
                  <c:v>-2.4727217307742994E-3</c:v>
                </c:pt>
                <c:pt idx="539">
                  <c:v>-2.4593470722149144E-3</c:v>
                </c:pt>
                <c:pt idx="540">
                  <c:v>-2.4548857729692498E-3</c:v>
                </c:pt>
                <c:pt idx="541">
                  <c:v>-2.4504229745621825E-3</c:v>
                </c:pt>
                <c:pt idx="542">
                  <c:v>-2.4459587014146311E-3</c:v>
                </c:pt>
                <c:pt idx="543">
                  <c:v>-2.4414929779475137E-3</c:v>
                </c:pt>
                <c:pt idx="544">
                  <c:v>-2.4280873498379553E-3</c:v>
                </c:pt>
                <c:pt idx="545">
                  <c:v>-2.4236160693017639E-3</c:v>
                </c:pt>
                <c:pt idx="546">
                  <c:v>-2.4191434605505989E-3</c:v>
                </c:pt>
                <c:pt idx="547">
                  <c:v>-2.414669548005381E-3</c:v>
                </c:pt>
                <c:pt idx="548">
                  <c:v>-2.4101943560870284E-3</c:v>
                </c:pt>
                <c:pt idx="549">
                  <c:v>-2.3967613483023534E-3</c:v>
                </c:pt>
                <c:pt idx="550">
                  <c:v>-2.3922812831006506E-3</c:v>
                </c:pt>
                <c:pt idx="551">
                  <c:v>-2.3878000606304068E-3</c:v>
                </c:pt>
                <c:pt idx="552">
                  <c:v>-2.3833177053125421E-3</c:v>
                </c:pt>
                <c:pt idx="553">
                  <c:v>-2.3788342415679738E-3</c:v>
                </c:pt>
                <c:pt idx="554">
                  <c:v>-2.3653774439832361E-3</c:v>
                </c:pt>
                <c:pt idx="555">
                  <c:v>-2.3608897907410414E-3</c:v>
                </c:pt>
                <c:pt idx="556">
                  <c:v>-2.356401151176738E-3</c:v>
                </c:pt>
                <c:pt idx="557">
                  <c:v>-2.3519115497112439E-3</c:v>
                </c:pt>
                <c:pt idx="558">
                  <c:v>-2.3474210107654781E-3</c:v>
                </c:pt>
                <c:pt idx="559">
                  <c:v>-2.3339440132557334E-3</c:v>
                </c:pt>
                <c:pt idx="560">
                  <c:v>-2.3294499685980663E-3</c:v>
                </c:pt>
                <c:pt idx="561">
                  <c:v>-2.3249551085647202E-3</c:v>
                </c:pt>
                <c:pt idx="562">
                  <c:v>-2.320459457576615E-3</c:v>
                </c:pt>
                <c:pt idx="563">
                  <c:v>-2.31596304005467E-3</c:v>
                </c:pt>
                <c:pt idx="564">
                  <c:v>-2.3024694324949753E-3</c:v>
                </c:pt>
                <c:pt idx="565">
                  <c:v>-2.2979701930468531E-3</c:v>
                </c:pt>
                <c:pt idx="566">
                  <c:v>-2.293470309169484E-3</c:v>
                </c:pt>
                <c:pt idx="567">
                  <c:v>-2.2889698052837868E-3</c:v>
                </c:pt>
                <c:pt idx="568">
                  <c:v>-2.2844687058106794E-3</c:v>
                </c:pt>
                <c:pt idx="569">
                  <c:v>-2.2709620780760895E-3</c:v>
                </c:pt>
                <c:pt idx="570">
                  <c:v>-2.2664588404625319E-3</c:v>
                </c:pt>
                <c:pt idx="571">
                  <c:v>-2.2619551293661579E-3</c:v>
                </c:pt>
                <c:pt idx="572">
                  <c:v>-2.2574509692078865E-3</c:v>
                </c:pt>
                <c:pt idx="573">
                  <c:v>-2.2529463844086373E-3</c:v>
                </c:pt>
                <c:pt idx="574">
                  <c:v>-2.2394303263742056E-3</c:v>
                </c:pt>
                <c:pt idx="575">
                  <c:v>-2.2349242872202308E-3</c:v>
                </c:pt>
                <c:pt idx="576">
                  <c:v>-2.2304179455298703E-3</c:v>
                </c:pt>
                <c:pt idx="577">
                  <c:v>-2.2259113257240446E-3</c:v>
                </c:pt>
                <c:pt idx="578">
                  <c:v>-2.2214044522236714E-3</c:v>
                </c:pt>
                <c:pt idx="579">
                  <c:v>-2.2078825537644549E-3</c:v>
                </c:pt>
                <c:pt idx="580">
                  <c:v>-2.2033749045897964E-3</c:v>
                </c:pt>
                <c:pt idx="581">
                  <c:v>-2.1988670931934822E-3</c:v>
                </c:pt>
                <c:pt idx="582">
                  <c:v>-2.194359113364729E-3</c:v>
                </c:pt>
                <c:pt idx="583">
                  <c:v>-2.1898509588927531E-3</c:v>
                </c:pt>
                <c:pt idx="584">
                  <c:v>-2.1763253855096535E-3</c:v>
                </c:pt>
                <c:pt idx="585">
                  <c:v>-2.1718164703569518E-3</c:v>
                </c:pt>
                <c:pt idx="586">
                  <c:v>-2.1673073495071088E-3</c:v>
                </c:pt>
                <c:pt idx="587">
                  <c:v>-2.1627980167493429E-3</c:v>
                </c:pt>
                <c:pt idx="588">
                  <c:v>-2.1582884658728698E-3</c:v>
                </c:pt>
                <c:pt idx="589">
                  <c:v>-2.1447584424233732E-3</c:v>
                </c:pt>
                <c:pt idx="590">
                  <c:v>-2.1402479569642362E-3</c:v>
                </c:pt>
                <c:pt idx="591">
                  <c:v>-2.135737222332474E-3</c:v>
                </c:pt>
                <c:pt idx="592">
                  <c:v>-2.1312262323173038E-3</c:v>
                </c:pt>
                <c:pt idx="593">
                  <c:v>-2.1267149807079424E-3</c:v>
                </c:pt>
                <c:pt idx="594">
                  <c:v>-2.1131795942068727E-3</c:v>
                </c:pt>
                <c:pt idx="595">
                  <c:v>-2.1086672341129094E-3</c:v>
                </c:pt>
                <c:pt idx="596">
                  <c:v>-2.1041545813708378E-3</c:v>
                </c:pt>
                <c:pt idx="597">
                  <c:v>-2.0996416297698718E-3</c:v>
                </c:pt>
                <c:pt idx="598">
                  <c:v>-2.0951283730992303E-3</c:v>
                </c:pt>
                <c:pt idx="599">
                  <c:v>-2.0815867105614134E-3</c:v>
                </c:pt>
                <c:pt idx="600">
                  <c:v>-2.0770721715042319E-3</c:v>
                </c:pt>
                <c:pt idx="601">
                  <c:v>-2.0725572963234576E-3</c:v>
                </c:pt>
                <c:pt idx="602">
                  <c:v>-2.0680420788083053E-3</c:v>
                </c:pt>
                <c:pt idx="603">
                  <c:v>-2.0635265127479925E-3</c:v>
                </c:pt>
                <c:pt idx="604">
                  <c:v>-2.0499776611882549E-3</c:v>
                </c:pt>
                <c:pt idx="605">
                  <c:v>-2.0454606388394638E-3</c:v>
                </c:pt>
                <c:pt idx="606">
                  <c:v>-2.0409432368915952E-3</c:v>
                </c:pt>
                <c:pt idx="607">
                  <c:v>-2.0364254491338652E-3</c:v>
                </c:pt>
                <c:pt idx="608">
                  <c:v>-2.0319072693554892E-3</c:v>
                </c:pt>
                <c:pt idx="609">
                  <c:v>-2.0183503157886569E-3</c:v>
                </c:pt>
                <c:pt idx="610">
                  <c:v>-2.0138305058198655E-3</c:v>
                </c:pt>
                <c:pt idx="611">
                  <c:v>-2.0093102727765108E-3</c:v>
                </c:pt>
                <c:pt idx="612">
                  <c:v>-2.0047896104478102E-3</c:v>
                </c:pt>
                <c:pt idx="613">
                  <c:v>-2.0002685126229804E-3</c:v>
                </c:pt>
                <c:pt idx="614">
                  <c:v>-1.9867025440638781E-3</c:v>
                </c:pt>
                <c:pt idx="615">
                  <c:v>-1.9821796421466945E-3</c:v>
                </c:pt>
                <c:pt idx="616">
                  <c:v>-1.977656273679464E-3</c:v>
                </c:pt>
                <c:pt idx="617">
                  <c:v>-1.9731324324514026E-3</c:v>
                </c:pt>
                <c:pt idx="618">
                  <c:v>-1.9686081122517267E-3</c:v>
                </c:pt>
                <c:pt idx="619">
                  <c:v>-1.9550322157151803E-3</c:v>
                </c:pt>
                <c:pt idx="620">
                  <c:v>-1.9505059175212126E-3</c:v>
                </c:pt>
                <c:pt idx="621">
                  <c:v>-1.9459791093017142E-3</c:v>
                </c:pt>
                <c:pt idx="622">
                  <c:v>-1.9414517848459001E-3</c:v>
                </c:pt>
                <c:pt idx="623">
                  <c:v>-1.9369239379429869E-3</c:v>
                </c:pt>
                <c:pt idx="624">
                  <c:v>-1.9233372004438213E-3</c:v>
                </c:pt>
                <c:pt idx="625">
                  <c:v>-1.9188072016446788E-3</c:v>
                </c:pt>
                <c:pt idx="626">
                  <c:v>-1.9142766493445208E-3</c:v>
                </c:pt>
                <c:pt idx="627">
                  <c:v>-1.9097455373325621E-3</c:v>
                </c:pt>
                <c:pt idx="628">
                  <c:v>-1.9052138593980215E-3</c:v>
                </c:pt>
                <c:pt idx="629">
                  <c:v>-1.891615367951063E-3</c:v>
                </c:pt>
                <c:pt idx="630">
                  <c:v>-1.8870813642183537E-3</c:v>
                </c:pt>
                <c:pt idx="631">
                  <c:v>-1.8825467635091436E-3</c:v>
                </c:pt>
                <c:pt idx="632">
                  <c:v>-1.8780115596126498E-3</c:v>
                </c:pt>
                <c:pt idx="633">
                  <c:v>-1.873475746318089E-3</c:v>
                </c:pt>
                <c:pt idx="634">
                  <c:v>-1.859864587938164E-3</c:v>
                </c:pt>
                <c:pt idx="635">
                  <c:v>-1.8553262749434968E-3</c:v>
                </c:pt>
                <c:pt idx="636">
                  <c:v>-1.8507873214968446E-3</c:v>
                </c:pt>
                <c:pt idx="637">
                  <c:v>-1.8462477213874234E-3</c:v>
                </c:pt>
                <c:pt idx="638">
                  <c:v>-1.8417074684044501E-3</c:v>
                </c:pt>
                <c:pt idx="639">
                  <c:v>-1.8280827301063837E-3</c:v>
                </c:pt>
                <c:pt idx="640">
                  <c:v>-1.823539803521368E-3</c:v>
                </c:pt>
                <c:pt idx="641">
                  <c:v>-1.8189961930088815E-3</c:v>
                </c:pt>
                <c:pt idx="642">
                  <c:v>-1.8144518923581417E-3</c:v>
                </c:pt>
                <c:pt idx="643">
                  <c:v>-1.8099068953583658E-3</c:v>
                </c:pt>
                <c:pt idx="644">
                  <c:v>-1.7962676641569827E-3</c:v>
                </c:pt>
                <c:pt idx="645">
                  <c:v>-1.7917198209624128E-3</c:v>
                </c:pt>
                <c:pt idx="646">
                  <c:v>-1.7871712582200106E-3</c:v>
                </c:pt>
                <c:pt idx="647">
                  <c:v>-1.7826219775741166E-3</c:v>
                </c:pt>
                <c:pt idx="648">
                  <c:v>-1.7780719806690685E-3</c:v>
                </c:pt>
                <c:pt idx="649">
                  <c:v>-1.7644177088423916E-3</c:v>
                </c:pt>
                <c:pt idx="650">
                  <c:v>-1.7598648633441189E-3</c:v>
                </c:pt>
                <c:pt idx="651">
                  <c:v>-1.7553113098083876E-3</c:v>
                </c:pt>
                <c:pt idx="652">
                  <c:v>-1.7507570498795377E-3</c:v>
                </c:pt>
                <c:pt idx="653">
                  <c:v>-1.7462020852019062E-3</c:v>
                </c:pt>
                <c:pt idx="654">
                  <c:v>-1.7325329791197201E-3</c:v>
                </c:pt>
                <c:pt idx="655">
                  <c:v>-1.7279752118903569E-3</c:v>
                </c:pt>
                <c:pt idx="656">
                  <c:v>-1.7234167481339079E-3</c:v>
                </c:pt>
                <c:pt idx="657">
                  <c:v>-1.7188575894947129E-3</c:v>
                </c:pt>
                <c:pt idx="658">
                  <c:v>-1.71429773761711E-3</c:v>
                </c:pt>
                <c:pt idx="659">
                  <c:v>-1.700614038997249E-3</c:v>
                </c:pt>
                <c:pt idx="660">
                  <c:v>-1.6869241604279238E-3</c:v>
                </c:pt>
                <c:pt idx="661">
                  <c:v>-1.6823595019229609E-3</c:v>
                </c:pt>
                <c:pt idx="662">
                  <c:v>-1.668661452483258E-3</c:v>
                </c:pt>
                <c:pt idx="663">
                  <c:v>-1.6595260410294996E-3</c:v>
                </c:pt>
                <c:pt idx="664">
                  <c:v>-1.6549573266874497E-3</c:v>
                </c:pt>
                <c:pt idx="665">
                  <c:v>-1.6503879421277388E-3</c:v>
                </c:pt>
                <c:pt idx="666">
                  <c:v>-1.6366757835860287E-3</c:v>
                </c:pt>
                <c:pt idx="667">
                  <c:v>-1.632103734599063E-3</c:v>
                </c:pt>
                <c:pt idx="668">
                  <c:v>-1.627531023616131E-3</c:v>
                </c:pt>
                <c:pt idx="669">
                  <c:v>-1.6229576522815714E-3</c:v>
                </c:pt>
                <c:pt idx="670">
                  <c:v>-1.6183836222397243E-3</c:v>
                </c:pt>
                <c:pt idx="671">
                  <c:v>-1.6046575963138418E-3</c:v>
                </c:pt>
                <c:pt idx="672">
                  <c:v>-1.6000809478862311E-3</c:v>
                </c:pt>
                <c:pt idx="673">
                  <c:v>-1.5955036489730271E-3</c:v>
                </c:pt>
                <c:pt idx="674">
                  <c:v>-1.5909257012185702E-3</c:v>
                </c:pt>
                <c:pt idx="675">
                  <c:v>-1.586347106267197E-3</c:v>
                </c:pt>
                <c:pt idx="676">
                  <c:v>-1.5726074546749777E-3</c:v>
                </c:pt>
                <c:pt idx="677">
                  <c:v>-1.5680262873793338E-3</c:v>
                </c:pt>
                <c:pt idx="678">
                  <c:v>-1.5634444811084703E-3</c:v>
                </c:pt>
                <c:pt idx="679">
                  <c:v>-1.5588620375067256E-3</c:v>
                </c:pt>
                <c:pt idx="680">
                  <c:v>-1.5542789582184387E-3</c:v>
                </c:pt>
                <c:pt idx="681">
                  <c:v>-1.5405259226777164E-3</c:v>
                </c:pt>
                <c:pt idx="682">
                  <c:v>-1.5359403170866518E-3</c:v>
                </c:pt>
                <c:pt idx="683">
                  <c:v>-1.5313540840307396E-3</c:v>
                </c:pt>
                <c:pt idx="684">
                  <c:v>-1.5267672251543195E-3</c:v>
                </c:pt>
                <c:pt idx="685">
                  <c:v>-1.5221797421017301E-3</c:v>
                </c:pt>
                <c:pt idx="686">
                  <c:v>-1.5084135643303395E-3</c:v>
                </c:pt>
                <c:pt idx="687">
                  <c:v>-1.5038236010164643E-3</c:v>
                </c:pt>
                <c:pt idx="688">
                  <c:v>-1.499233021748115E-3</c:v>
                </c:pt>
                <c:pt idx="689">
                  <c:v>-1.4946418281696317E-3</c:v>
                </c:pt>
                <c:pt idx="690">
                  <c:v>-1.4900500219253517E-3</c:v>
                </c:pt>
                <c:pt idx="691">
                  <c:v>-1.4762709436411264E-3</c:v>
                </c:pt>
                <c:pt idx="692">
                  <c:v>-1.4716767031770527E-3</c:v>
                </c:pt>
                <c:pt idx="693">
                  <c:v>-1.4670818582688788E-3</c:v>
                </c:pt>
                <c:pt idx="694">
                  <c:v>-1.4624864105609425E-3</c:v>
                </c:pt>
                <c:pt idx="695">
                  <c:v>-1.4578903616975832E-3</c:v>
                </c:pt>
                <c:pt idx="696">
                  <c:v>-1.4440986246183592E-3</c:v>
                </c:pt>
                <c:pt idx="697">
                  <c:v>-1.4395001875766986E-3</c:v>
                </c:pt>
                <c:pt idx="698">
                  <c:v>-1.4349011576013102E-3</c:v>
                </c:pt>
                <c:pt idx="699">
                  <c:v>-1.4303015363365337E-3</c:v>
                </c:pt>
                <c:pt idx="700">
                  <c:v>-1.4257013254267063E-3</c:v>
                </c:pt>
                <c:pt idx="701">
                  <c:v>-1.4118971712703177E-3</c:v>
                </c:pt>
                <c:pt idx="702">
                  <c:v>-1.4072946182236816E-3</c:v>
                </c:pt>
                <c:pt idx="703">
                  <c:v>-1.4026914837536909E-3</c:v>
                </c:pt>
                <c:pt idx="704">
                  <c:v>-1.3980877695046843E-3</c:v>
                </c:pt>
                <c:pt idx="705">
                  <c:v>-1.393483477121001E-3</c:v>
                </c:pt>
                <c:pt idx="706">
                  <c:v>-1.3796671476052819E-3</c:v>
                </c:pt>
                <c:pt idx="707">
                  <c:v>-1.3750605536641913E-3</c:v>
                </c:pt>
                <c:pt idx="708">
                  <c:v>-1.3704533570375755E-3</c:v>
                </c:pt>
                <c:pt idx="709">
                  <c:v>-1.3658455265972281E-3</c:v>
                </c:pt>
                <c:pt idx="710">
                  <c:v>-1.3612370312149451E-3</c:v>
                </c:pt>
                <c:pt idx="711">
                  <c:v>-1.3474072441344311E-3</c:v>
                </c:pt>
                <c:pt idx="712">
                  <c:v>-1.342795777702354E-3</c:v>
                </c:pt>
                <c:pt idx="713">
                  <c:v>-1.3381834906873156E-3</c:v>
                </c:pt>
                <c:pt idx="714">
                  <c:v>-1.3335703519611114E-3</c:v>
                </c:pt>
                <c:pt idx="715">
                  <c:v>-1.3289563303955365E-3</c:v>
                </c:pt>
                <c:pt idx="716">
                  <c:v>-1.315108657380531E-3</c:v>
                </c:pt>
                <c:pt idx="717">
                  <c:v>-1.3104907931754198E-3</c:v>
                </c:pt>
                <c:pt idx="718">
                  <c:v>-1.3058718904899128E-3</c:v>
                </c:pt>
                <c:pt idx="719">
                  <c:v>-1.301251918195803E-3</c:v>
                </c:pt>
                <c:pt idx="720">
                  <c:v>-1.2966308451648871E-3</c:v>
                </c:pt>
                <c:pt idx="721">
                  <c:v>-1.2827607103692484E-3</c:v>
                </c:pt>
                <c:pt idx="722">
                  <c:v>-1.2781349231090549E-3</c:v>
                </c:pt>
                <c:pt idx="723">
                  <c:v>-1.2735078794710295E-3</c:v>
                </c:pt>
                <c:pt idx="724">
                  <c:v>-1.2688795483269668E-3</c:v>
                </c:pt>
                <c:pt idx="725">
                  <c:v>-1.2642498985486631E-3</c:v>
                </c:pt>
                <c:pt idx="726">
                  <c:v>-1.2503527261262465E-3</c:v>
                </c:pt>
                <c:pt idx="727">
                  <c:v>-1.245717490528923E-3</c:v>
                </c:pt>
                <c:pt idx="728">
                  <c:v>-1.241080780656332E-3</c:v>
                </c:pt>
                <c:pt idx="729">
                  <c:v>-1.2364425653802686E-3</c:v>
                </c:pt>
                <c:pt idx="730">
                  <c:v>-1.2318028135725276E-3</c:v>
                </c:pt>
                <c:pt idx="731">
                  <c:v>-1.2178740276771901E-3</c:v>
                </c:pt>
                <c:pt idx="732">
                  <c:v>-1.2132278184606884E-3</c:v>
                </c:pt>
                <c:pt idx="733">
                  <c:v>-1.2085799170714849E-3</c:v>
                </c:pt>
                <c:pt idx="734">
                  <c:v>-1.2039302923813728E-3</c:v>
                </c:pt>
                <c:pt idx="735">
                  <c:v>-1.1992789132621473E-3</c:v>
                </c:pt>
                <c:pt idx="736">
                  <c:v>-1.185313938047744E-3</c:v>
                </c:pt>
                <c:pt idx="737">
                  <c:v>-1.1806552299300176E-3</c:v>
                </c:pt>
                <c:pt idx="738">
                  <c:v>-1.1759946117421516E-3</c:v>
                </c:pt>
                <c:pt idx="739">
                  <c:v>-1.1713320523559429E-3</c:v>
                </c:pt>
                <c:pt idx="740">
                  <c:v>-1.1479890479625728E-3</c:v>
                </c:pt>
                <c:pt idx="741">
                  <c:v>-1.143314187693998E-3</c:v>
                </c:pt>
                <c:pt idx="742">
                  <c:v>-1.1386371683296454E-3</c:v>
                </c:pt>
                <c:pt idx="743">
                  <c:v>-1.133957958741308E-3</c:v>
                </c:pt>
                <c:pt idx="744">
                  <c:v>-1.119906877350344E-3</c:v>
                </c:pt>
                <c:pt idx="745">
                  <c:v>-1.1152185955840212E-3</c:v>
                </c:pt>
                <c:pt idx="746">
                  <c:v>-1.1058349633281434E-3</c:v>
                </c:pt>
                <c:pt idx="747">
                  <c:v>-1.1011395505821783E-3</c:v>
                </c:pt>
                <c:pt idx="748">
                  <c:v>-1.0870385523337178E-3</c:v>
                </c:pt>
                <c:pt idx="749">
                  <c:v>-1.0823331958200262E-3</c:v>
                </c:pt>
                <c:pt idx="750">
                  <c:v>-1.0776252755438894E-3</c:v>
                </c:pt>
                <c:pt idx="751">
                  <c:v>-1.072914760377103E-3</c:v>
                </c:pt>
                <c:pt idx="752">
                  <c:v>-1.0682016191914622E-3</c:v>
                </c:pt>
                <c:pt idx="753">
                  <c:v>-1.0540461282393619E-3</c:v>
                </c:pt>
                <c:pt idx="754">
                  <c:v>-1.0493221716962522E-3</c:v>
                </c:pt>
                <c:pt idx="755">
                  <c:v>-1.0445954334932625E-3</c:v>
                </c:pt>
                <c:pt idx="756">
                  <c:v>-1.0398658825021886E-3</c:v>
                </c:pt>
                <c:pt idx="757">
                  <c:v>-1.0351334875948238E-3</c:v>
                </c:pt>
                <c:pt idx="758">
                  <c:v>-1.0209189280929393E-3</c:v>
                </c:pt>
                <c:pt idx="759">
                  <c:v>-1.0161748462383651E-3</c:v>
                </c:pt>
                <c:pt idx="760">
                  <c:v>-1.0114277648264746E-3</c:v>
                </c:pt>
                <c:pt idx="761">
                  <c:v>-1.0066776527290638E-3</c:v>
                </c:pt>
                <c:pt idx="762">
                  <c:v>-1.0019244788179275E-3</c:v>
                </c:pt>
                <c:pt idx="763">
                  <c:v>-9.8764627492011641E-4</c:v>
                </c:pt>
                <c:pt idx="764">
                  <c:v>-9.8288054247202823E-4</c:v>
                </c:pt>
                <c:pt idx="765">
                  <c:v>-9.7811159256918907E-4</c:v>
                </c:pt>
                <c:pt idx="766">
                  <c:v>-9.7333939408339486E-4</c:v>
                </c:pt>
                <c:pt idx="767">
                  <c:v>-9.6856391588643926E-4</c:v>
                </c:pt>
                <c:pt idx="768">
                  <c:v>-9.5421749174655736E-4</c:v>
                </c:pt>
                <c:pt idx="769">
                  <c:v>-9.4942858907236022E-4</c:v>
                </c:pt>
                <c:pt idx="770">
                  <c:v>-9.4463628494269119E-4</c:v>
                </c:pt>
                <c:pt idx="771">
                  <c:v>-9.3984058212605976E-4</c:v>
                </c:pt>
                <c:pt idx="772">
                  <c:v>-9.350414833909751E-4</c:v>
                </c:pt>
                <c:pt idx="773">
                  <c:v>-9.2062383936009583E-4</c:v>
                </c:pt>
                <c:pt idx="774">
                  <c:v>-9.1581118463629203E-4</c:v>
                </c:pt>
                <c:pt idx="775">
                  <c:v>-9.1099514783658071E-4</c:v>
                </c:pt>
                <c:pt idx="776">
                  <c:v>-9.0617573172947189E-4</c:v>
                </c:pt>
                <c:pt idx="777">
                  <c:v>-9.0135293908347495E-4</c:v>
                </c:pt>
                <c:pt idx="778">
                  <c:v>-8.8686432959724784E-4</c:v>
                </c:pt>
                <c:pt idx="779">
                  <c:v>-8.820280584807918E-4</c:v>
                </c:pt>
                <c:pt idx="780">
                  <c:v>-8.7718842466799336E-4</c:v>
                </c:pt>
                <c:pt idx="781">
                  <c:v>-8.7234543092736298E-4</c:v>
                </c:pt>
                <c:pt idx="782">
                  <c:v>-8.6749908002740884E-4</c:v>
                </c:pt>
                <c:pt idx="783">
                  <c:v>-8.5293991205669995E-4</c:v>
                </c:pt>
                <c:pt idx="784">
                  <c:v>-8.48080160204546E-4</c:v>
                </c:pt>
                <c:pt idx="785">
                  <c:v>-8.4321706503561519E-4</c:v>
                </c:pt>
                <c:pt idx="786">
                  <c:v>-8.3835062931841766E-4</c:v>
                </c:pt>
                <c:pt idx="787">
                  <c:v>-8.3348085582146127E-4</c:v>
                </c:pt>
                <c:pt idx="788">
                  <c:v>-8.188515363371367E-4</c:v>
                </c:pt>
                <c:pt idx="789">
                  <c:v>-8.1396843940624043E-4</c:v>
                </c:pt>
                <c:pt idx="790">
                  <c:v>-8.0908201853813265E-4</c:v>
                </c:pt>
                <c:pt idx="791">
                  <c:v>-8.0419227650132207E-4</c:v>
                </c:pt>
                <c:pt idx="792">
                  <c:v>-7.9929921606431851E-4</c:v>
                </c:pt>
                <c:pt idx="793">
                  <c:v>-7.8460015203724335E-4</c:v>
                </c:pt>
                <c:pt idx="794">
                  <c:v>-7.7969384568456006E-4</c:v>
                </c:pt>
                <c:pt idx="795">
                  <c:v>-7.7478423477423015E-4</c:v>
                </c:pt>
                <c:pt idx="796">
                  <c:v>-7.6987132207476257E-4</c:v>
                </c:pt>
                <c:pt idx="797">
                  <c:v>-7.6495511035466692E-4</c:v>
                </c:pt>
                <c:pt idx="798">
                  <c:v>-7.5018670875570486E-4</c:v>
                </c:pt>
                <c:pt idx="799">
                  <c:v>-7.4525732863818951E-4</c:v>
                </c:pt>
                <c:pt idx="800">
                  <c:v>-7.403246633425932E-4</c:v>
                </c:pt>
                <c:pt idx="801">
                  <c:v>-7.3538871563742368E-4</c:v>
                </c:pt>
                <c:pt idx="802">
                  <c:v>-7.30449488291191E-4</c:v>
                </c:pt>
                <c:pt idx="803">
                  <c:v>-7.1561215609120714E-4</c:v>
                </c:pt>
                <c:pt idx="804">
                  <c:v>-7.1065983786581556E-4</c:v>
                </c:pt>
                <c:pt idx="805">
                  <c:v>-7.057042538419064E-4</c:v>
                </c:pt>
                <c:pt idx="806">
                  <c:v>-7.0074540678799003E-4</c:v>
                </c:pt>
                <c:pt idx="807">
                  <c:v>-6.9578329947257624E-4</c:v>
                </c:pt>
                <c:pt idx="808">
                  <c:v>-6.8087744364243657E-4</c:v>
                </c:pt>
                <c:pt idx="809">
                  <c:v>-6.7590232296612241E-4</c:v>
                </c:pt>
                <c:pt idx="810">
                  <c:v>-6.7092395587085634E-4</c:v>
                </c:pt>
                <c:pt idx="811">
                  <c:v>-6.6594234512514872E-4</c:v>
                </c:pt>
                <c:pt idx="812">
                  <c:v>-6.6095749349750728E-4</c:v>
                </c:pt>
                <c:pt idx="813">
                  <c:v>-6.4598352100807765E-4</c:v>
                </c:pt>
                <c:pt idx="814">
                  <c:v>-6.4098573353779664E-4</c:v>
                </c:pt>
                <c:pt idx="815">
                  <c:v>-6.3598471902812873E-4</c:v>
                </c:pt>
                <c:pt idx="816">
                  <c:v>-6.3098048024758362E-4</c:v>
                </c:pt>
                <c:pt idx="817">
                  <c:v>-6.2597301996467015E-4</c:v>
                </c:pt>
                <c:pt idx="818">
                  <c:v>-6.1093133778681598E-4</c:v>
                </c:pt>
                <c:pt idx="819">
                  <c:v>-6.059110191795232E-4</c:v>
                </c:pt>
                <c:pt idx="820">
                  <c:v>-6.0088749291240841E-4</c:v>
                </c:pt>
                <c:pt idx="821">
                  <c:v>-5.9586076175398154E-4</c:v>
                </c:pt>
                <c:pt idx="822">
                  <c:v>-5.9083082847275143E-4</c:v>
                </c:pt>
                <c:pt idx="823">
                  <c:v>-5.757218435773362E-4</c:v>
                </c:pt>
                <c:pt idx="824">
                  <c:v>-5.7067912948998659E-4</c:v>
                </c:pt>
                <c:pt idx="825">
                  <c:v>-5.6563322712238108E-4</c:v>
                </c:pt>
                <c:pt idx="826">
                  <c:v>-5.605841392430273E-4</c:v>
                </c:pt>
                <c:pt idx="827">
                  <c:v>-5.5553186862043551E-4</c:v>
                </c:pt>
                <c:pt idx="828">
                  <c:v>-5.4035598797832433E-4</c:v>
                </c:pt>
                <c:pt idx="829">
                  <c:v>-5.3529101406787308E-4</c:v>
                </c:pt>
                <c:pt idx="830">
                  <c:v>-5.3022287125673083E-4</c:v>
                </c:pt>
                <c:pt idx="831">
                  <c:v>-5.2515156231340554E-4</c:v>
                </c:pt>
                <c:pt idx="832">
                  <c:v>-5.200770900064079E-4</c:v>
                </c:pt>
                <c:pt idx="833">
                  <c:v>-5.0483472058846684E-4</c:v>
                </c:pt>
                <c:pt idx="834">
                  <c:v>-4.9974762078325947E-4</c:v>
                </c:pt>
                <c:pt idx="835">
                  <c:v>-4.9465736108526858E-4</c:v>
                </c:pt>
                <c:pt idx="836">
                  <c:v>-4.89563933891347E-4</c:v>
                </c:pt>
                <c:pt idx="837">
                  <c:v>-4.8446733159834777E-4</c:v>
                </c:pt>
                <c:pt idx="838">
                  <c:v>-4.6915839809340385E-4</c:v>
                </c:pt>
                <c:pt idx="839">
                  <c:v>-4.6404901937261589E-4</c:v>
                </c:pt>
                <c:pt idx="840">
                  <c:v>-4.5893642753701215E-4</c:v>
                </c:pt>
                <c:pt idx="841">
                  <c:v>-4.5382061498344531E-4</c:v>
                </c:pt>
                <c:pt idx="842">
                  <c:v>-4.4870157410876793E-4</c:v>
                </c:pt>
                <c:pt idx="843">
                  <c:v>-4.3332500552659831E-4</c:v>
                </c:pt>
                <c:pt idx="844">
                  <c:v>-4.2819297533600471E-4</c:v>
                </c:pt>
                <c:pt idx="845">
                  <c:v>-4.2305767880856232E-4</c:v>
                </c:pt>
                <c:pt idx="846">
                  <c:v>-4.1791910834112464E-4</c:v>
                </c:pt>
                <c:pt idx="847">
                  <c:v>-4.1277725633054394E-4</c:v>
                </c:pt>
                <c:pt idx="848">
                  <c:v>-3.973319350084705E-4</c:v>
                </c:pt>
                <c:pt idx="849">
                  <c:v>-3.9217688079384465E-4</c:v>
                </c:pt>
                <c:pt idx="850">
                  <c:v>-3.8701850702033776E-4</c:v>
                </c:pt>
                <c:pt idx="851">
                  <c:v>-3.8185680608480413E-4</c:v>
                </c:pt>
                <c:pt idx="852">
                  <c:v>-3.7669177038409453E-4</c:v>
                </c:pt>
                <c:pt idx="853">
                  <c:v>-3.6117657865944046E-4</c:v>
                </c:pt>
                <c:pt idx="854">
                  <c:v>-3.5599812786655572E-4</c:v>
                </c:pt>
                <c:pt idx="855">
                  <c:v>-3.5081630429275858E-4</c:v>
                </c:pt>
                <c:pt idx="856">
                  <c:v>-3.4563110033490239E-4</c:v>
                </c:pt>
                <c:pt idx="857">
                  <c:v>-3.4044250838983798E-4</c:v>
                </c:pt>
                <c:pt idx="858">
                  <c:v>-3.2485632859992683E-4</c:v>
                </c:pt>
                <c:pt idx="859">
                  <c:v>-3.1965410867455823E-4</c:v>
                </c:pt>
                <c:pt idx="860">
                  <c:v>-3.1444846274624502E-4</c:v>
                </c:pt>
                <c:pt idx="861">
                  <c:v>-3.0923938321183965E-4</c:v>
                </c:pt>
                <c:pt idx="862">
                  <c:v>-3.0402686246819549E-4</c:v>
                </c:pt>
                <c:pt idx="863">
                  <c:v>-2.8836857695034888E-4</c:v>
                </c:pt>
                <c:pt idx="864">
                  <c:v>-2.8314221533827077E-4</c:v>
                </c:pt>
                <c:pt idx="865">
                  <c:v>-2.7791237450121563E-4</c:v>
                </c:pt>
                <c:pt idx="866">
                  <c:v>-2.7267904683603604E-4</c:v>
                </c:pt>
                <c:pt idx="867">
                  <c:v>-2.6744222473958469E-4</c:v>
                </c:pt>
                <c:pt idx="868">
                  <c:v>-2.5171071583112527E-4</c:v>
                </c:pt>
                <c:pt idx="869">
                  <c:v>-2.4645983997811168E-4</c:v>
                </c:pt>
                <c:pt idx="870">
                  <c:v>-2.4120543167808976E-4</c:v>
                </c:pt>
                <c:pt idx="871">
                  <c:v>-2.3594748332791022E-4</c:v>
                </c:pt>
                <c:pt idx="872">
                  <c:v>-2.3068598732442659E-4</c:v>
                </c:pt>
                <c:pt idx="873">
                  <c:v>-2.1488013736267622E-4</c:v>
                </c:pt>
                <c:pt idx="874">
                  <c:v>-2.0960437471450222E-4</c:v>
                </c:pt>
                <c:pt idx="875">
                  <c:v>-2.0432502639728591E-4</c:v>
                </c:pt>
                <c:pt idx="876">
                  <c:v>-1.9904208480788153E-4</c:v>
                </c:pt>
                <c:pt idx="877">
                  <c:v>-1.9375554234313987E-4</c:v>
                </c:pt>
                <c:pt idx="878">
                  <c:v>-1.7787423366542188E-4</c:v>
                </c:pt>
                <c:pt idx="879">
                  <c:v>-1.7257321166785997E-4</c:v>
                </c:pt>
                <c:pt idx="880">
                  <c:v>-1.6726855077922435E-4</c:v>
                </c:pt>
                <c:pt idx="881">
                  <c:v>-1.6196024339636836E-4</c:v>
                </c:pt>
                <c:pt idx="882">
                  <c:v>-1.5664828191614292E-4</c:v>
                </c:pt>
                <c:pt idx="883">
                  <c:v>-1.4069039685978075E-4</c:v>
                </c:pt>
                <c:pt idx="884">
                  <c:v>-1.3536374295860604E-4</c:v>
                </c:pt>
                <c:pt idx="885">
                  <c:v>-1.300333969443253E-4</c:v>
                </c:pt>
                <c:pt idx="886">
                  <c:v>-1.246993512137911E-4</c:v>
                </c:pt>
                <c:pt idx="887">
                  <c:v>-1.1936159816385601E-4</c:v>
                </c:pt>
                <c:pt idx="888">
                  <c:v>-1.0332601906617231E-4</c:v>
                </c:pt>
                <c:pt idx="889">
                  <c:v>-9.7973360707158904E-5</c:v>
                </c:pt>
                <c:pt idx="890">
                  <c:v>-9.2616957013007262E-5</c:v>
                </c:pt>
                <c:pt idx="891">
                  <c:v>-8.7256800380569905E-5</c:v>
                </c:pt>
                <c:pt idx="892">
                  <c:v>-8.189288320669938E-5</c:v>
                </c:pt>
                <c:pt idx="893">
                  <c:v>-6.5778492405014975E-5</c:v>
                </c:pt>
                <c:pt idx="894">
                  <c:v>-6.0399457033937113E-5</c:v>
                </c:pt>
                <c:pt idx="895">
                  <c:v>-5.5016623105689614E-5</c:v>
                </c:pt>
                <c:pt idx="896">
                  <c:v>-4.9629983017123284E-5</c:v>
                </c:pt>
                <c:pt idx="897">
                  <c:v>-4.4239529165091521E-5</c:v>
                </c:pt>
                <c:pt idx="898">
                  <c:v>-2.8045208996729015E-5</c:v>
                </c:pt>
                <c:pt idx="899">
                  <c:v>-2.2639426945832713E-5</c:v>
                </c:pt>
                <c:pt idx="900">
                  <c:v>-1.722981043456552E-5</c:v>
                </c:pt>
                <c:pt idx="901">
                  <c:v>-1.1816369178609216E-5</c:v>
                </c:pt>
                <c:pt idx="902">
                  <c:v>-6.3991128936490656E-6</c:v>
                </c:pt>
                <c:pt idx="903">
                  <c:v>9.8754489784270816E-6</c:v>
                </c:pt>
                <c:pt idx="904">
                  <c:v>1.5307868222571739E-5</c:v>
                </c:pt>
                <c:pt idx="905">
                  <c:v>2.074405391730349E-5</c:v>
                </c:pt>
                <c:pt idx="906">
                  <c:v>2.6183996346938811E-5</c:v>
                </c:pt>
                <c:pt idx="907">
                  <c:v>3.1627685795793296E-5</c:v>
                </c:pt>
                <c:pt idx="908">
                  <c:v>4.7981139100843542E-5</c:v>
                </c:pt>
                <c:pt idx="909">
                  <c:v>5.3439719469743874E-5</c:v>
                </c:pt>
                <c:pt idx="910">
                  <c:v>5.8901998279446612E-5</c:v>
                </c:pt>
                <c:pt idx="911">
                  <c:v>6.4367965814268231E-5</c:v>
                </c:pt>
                <c:pt idx="912">
                  <c:v>6.9837612358525245E-5</c:v>
                </c:pt>
                <c:pt idx="913">
                  <c:v>8.6268528891072398E-5</c:v>
                </c:pt>
                <c:pt idx="914">
                  <c:v>9.1752794316234774E-5</c:v>
                </c:pt>
                <c:pt idx="915">
                  <c:v>1.0822733431509701E-4</c:v>
                </c:pt>
                <c:pt idx="916">
                  <c:v>1.2473428586966389E-4</c:v>
                </c:pt>
                <c:pt idx="917">
                  <c:v>1.302437602825965E-4</c:v>
                </c:pt>
                <c:pt idx="918">
                  <c:v>1.412432317221966E-4</c:v>
                </c:pt>
                <c:pt idx="919">
                  <c:v>1.467482578229032E-4</c:v>
                </c:pt>
                <c:pt idx="920">
                  <c:v>1.632843820134776E-4</c:v>
                </c:pt>
                <c:pt idx="921">
                  <c:v>1.6880340658560584E-4</c:v>
                </c:pt>
                <c:pt idx="922">
                  <c:v>1.7432590668493012E-4</c:v>
                </c:pt>
                <c:pt idx="923">
                  <c:v>1.7985187267518547E-4</c:v>
                </c:pt>
                <c:pt idx="924">
                  <c:v>1.8538129492010684E-4</c:v>
                </c:pt>
                <c:pt idx="925">
                  <c:v>2.0199020282023327E-4</c:v>
                </c:pt>
                <c:pt idx="926">
                  <c:v>2.0753335372118148E-4</c:v>
                </c:pt>
                <c:pt idx="927">
                  <c:v>2.1307991269547486E-4</c:v>
                </c:pt>
                <c:pt idx="928">
                  <c:v>2.1862987010685096E-4</c:v>
                </c:pt>
                <c:pt idx="929">
                  <c:v>2.2418321631904488E-4</c:v>
                </c:pt>
                <c:pt idx="930">
                  <c:v>2.408634913978906E-4</c:v>
                </c:pt>
                <c:pt idx="931">
                  <c:v>2.4643029645071392E-4</c:v>
                </c:pt>
                <c:pt idx="932">
                  <c:v>2.5200044212303404E-4</c:v>
                </c:pt>
                <c:pt idx="933">
                  <c:v>2.5757391877858618E-4</c:v>
                </c:pt>
                <c:pt idx="934">
                  <c:v>2.631507167811078E-4</c:v>
                </c:pt>
                <c:pt idx="935">
                  <c:v>2.799009425078416E-4</c:v>
                </c:pt>
                <c:pt idx="936">
                  <c:v>2.8549092953559607E-4</c:v>
                </c:pt>
                <c:pt idx="937">
                  <c:v>2.9108418972899737E-4</c:v>
                </c:pt>
                <c:pt idx="938">
                  <c:v>2.9668071345178312E-4</c:v>
                </c:pt>
                <c:pt idx="939">
                  <c:v>3.022804910676884E-4</c:v>
                </c:pt>
                <c:pt idx="940">
                  <c:v>3.1909925091147865E-4</c:v>
                </c:pt>
                <c:pt idx="941">
                  <c:v>3.2471194773722013E-4</c:v>
                </c:pt>
                <c:pt idx="942">
                  <c:v>3.3032785027476037E-4</c:v>
                </c:pt>
                <c:pt idx="943">
                  <c:v>3.3594694888783419E-4</c:v>
                </c:pt>
                <c:pt idx="944">
                  <c:v>3.4156923394017919E-4</c:v>
                </c:pt>
                <c:pt idx="945">
                  <c:v>3.5845511137019457E-4</c:v>
                </c:pt>
                <c:pt idx="946">
                  <c:v>3.6409004581697838E-4</c:v>
                </c:pt>
                <c:pt idx="947">
                  <c:v>3.6972811852171257E-4</c:v>
                </c:pt>
                <c:pt idx="948">
                  <c:v>3.7536931984813221E-4</c:v>
                </c:pt>
                <c:pt idx="949">
                  <c:v>3.8101364015997205E-4</c:v>
                </c:pt>
                <c:pt idx="950">
                  <c:v>3.9796521864537987E-4</c:v>
                </c:pt>
                <c:pt idx="951">
                  <c:v>4.0362191853626376E-4</c:v>
                </c:pt>
                <c:pt idx="952">
                  <c:v>4.0928168923124711E-4</c:v>
                </c:pt>
                <c:pt idx="953">
                  <c:v>4.1494452109406763E-4</c:v>
                </c:pt>
                <c:pt idx="954">
                  <c:v>4.2061040448846017E-4</c:v>
                </c:pt>
                <c:pt idx="955">
                  <c:v>4.3762626749842753E-4</c:v>
                </c:pt>
                <c:pt idx="956">
                  <c:v>4.4330426065646662E-4</c:v>
                </c:pt>
                <c:pt idx="957">
                  <c:v>4.4898525716475699E-4</c:v>
                </c:pt>
                <c:pt idx="958">
                  <c:v>4.5466924738703349E-4</c:v>
                </c:pt>
                <c:pt idx="959">
                  <c:v>4.6035622168703384E-4</c:v>
                </c:pt>
                <c:pt idx="960">
                  <c:v>4.7743495269072974E-4</c:v>
                </c:pt>
                <c:pt idx="961">
                  <c:v>4.8313377135475092E-4</c:v>
                </c:pt>
                <c:pt idx="962">
                  <c:v>4.8883555240979832E-4</c:v>
                </c:pt>
                <c:pt idx="963">
                  <c:v>4.9454031271423441E-4</c:v>
                </c:pt>
                <c:pt idx="964">
                  <c:v>5.0024806912641944E-4</c:v>
                </c:pt>
                <c:pt idx="965">
                  <c:v>5.1738948359307405E-4</c:v>
                </c:pt>
                <c:pt idx="966">
                  <c:v>5.2310939301986232E-4</c:v>
                </c:pt>
                <c:pt idx="967">
                  <c:v>5.2883238284620365E-4</c:v>
                </c:pt>
                <c:pt idx="968">
                  <c:v>5.3455846993045748E-4</c:v>
                </c:pt>
                <c:pt idx="969">
                  <c:v>5.4028767113098702E-4</c:v>
                </c:pt>
                <c:pt idx="970">
                  <c:v>5.5749412801383116E-4</c:v>
                </c:pt>
                <c:pt idx="971">
                  <c:v>5.6323595426306628E-4</c:v>
                </c:pt>
                <c:pt idx="972">
                  <c:v>5.6898097892038103E-4</c:v>
                </c:pt>
                <c:pt idx="973">
                  <c:v>5.7472921884413536E-4</c:v>
                </c:pt>
                <c:pt idx="974">
                  <c:v>5.8048069089268917E-4</c:v>
                </c:pt>
                <c:pt idx="975">
                  <c:v>5.9775466837076383E-4</c:v>
                </c:pt>
                <c:pt idx="976">
                  <c:v>6.0351923750212859E-4</c:v>
                </c:pt>
                <c:pt idx="977">
                  <c:v>6.0928712305009672E-4</c:v>
                </c:pt>
                <c:pt idx="978">
                  <c:v>6.1505834187303111E-4</c:v>
                </c:pt>
                <c:pt idx="979">
                  <c:v>6.2083291082929174E-4</c:v>
                </c:pt>
                <c:pt idx="980">
                  <c:v>6.3817688708163846E-4</c:v>
                </c:pt>
                <c:pt idx="981">
                  <c:v>6.4396502515481218E-4</c:v>
                </c:pt>
                <c:pt idx="982">
                  <c:v>6.4975659765311626E-4</c:v>
                </c:pt>
                <c:pt idx="983">
                  <c:v>6.5555162143491068E-4</c:v>
                </c:pt>
                <c:pt idx="984">
                  <c:v>6.6135011335855811E-4</c:v>
                </c:pt>
                <c:pt idx="985">
                  <c:v>6.7876656656421961E-4</c:v>
                </c:pt>
                <c:pt idx="986">
                  <c:v>6.8457909963888345E-4</c:v>
                </c:pt>
                <c:pt idx="987">
                  <c:v>6.9039518514720248E-4</c:v>
                </c:pt>
                <c:pt idx="988">
                  <c:v>6.9621483994753938E-4</c:v>
                </c:pt>
                <c:pt idx="989">
                  <c:v>7.2536724337210706E-4</c:v>
                </c:pt>
                <c:pt idx="990">
                  <c:v>7.3120866795012339E-4</c:v>
                </c:pt>
                <c:pt idx="991">
                  <c:v>7.3705377982868176E-4</c:v>
                </c:pt>
                <c:pt idx="992">
                  <c:v>7.4290259586614455E-4</c:v>
                </c:pt>
                <c:pt idx="993">
                  <c:v>7.6047143751556336E-4</c:v>
                </c:pt>
                <c:pt idx="994">
                  <c:v>7.6633523877224822E-4</c:v>
                </c:pt>
                <c:pt idx="995">
                  <c:v>7.7220282847964181E-4</c:v>
                </c:pt>
                <c:pt idx="996">
                  <c:v>7.780742234961038E-4</c:v>
                </c:pt>
                <c:pt idx="997">
                  <c:v>7.839494406799947E-4</c:v>
                </c:pt>
                <c:pt idx="998">
                  <c:v>8.0159819381985474E-4</c:v>
                </c:pt>
                <c:pt idx="999">
                  <c:v>8.0748886825707266E-4</c:v>
                </c:pt>
                <c:pt idx="1000">
                  <c:v>8.1338344915352328E-4</c:v>
                </c:pt>
                <c:pt idx="1001">
                  <c:v>8.1928195336756929E-4</c:v>
                </c:pt>
                <c:pt idx="1002">
                  <c:v>8.4291554056691324E-4</c:v>
                </c:pt>
                <c:pt idx="1003">
                  <c:v>8.4883391424434376E-4</c:v>
                </c:pt>
                <c:pt idx="1004">
                  <c:v>8.5475631238953386E-4</c:v>
                </c:pt>
                <c:pt idx="1005">
                  <c:v>8.6068275186084332E-4</c:v>
                </c:pt>
                <c:pt idx="1006">
                  <c:v>8.6661324951663491E-4</c:v>
                </c:pt>
                <c:pt idx="1007">
                  <c:v>8.844292601745032E-4</c:v>
                </c:pt>
                <c:pt idx="1008">
                  <c:v>8.9037615915182747E-4</c:v>
                </c:pt>
                <c:pt idx="1009">
                  <c:v>8.9632720060543584E-4</c:v>
                </c:pt>
                <c:pt idx="1010">
                  <c:v>9.0228240139369142E-4</c:v>
                </c:pt>
                <c:pt idx="1011">
                  <c:v>9.0824177837495385E-4</c:v>
                </c:pt>
                <c:pt idx="1012">
                  <c:v>9.2614513506039003E-4</c:v>
                </c:pt>
                <c:pt idx="1013">
                  <c:v>9.3212138539728847E-4</c:v>
                </c:pt>
                <c:pt idx="1014">
                  <c:v>9.3810189621899777E-4</c:v>
                </c:pt>
                <c:pt idx="1015">
                  <c:v>9.4408668438387836E-4</c:v>
                </c:pt>
                <c:pt idx="1016">
                  <c:v>9.5007576675029258E-4</c:v>
                </c:pt>
                <c:pt idx="1017">
                  <c:v>9.6806894764233959E-4</c:v>
                </c:pt>
                <c:pt idx="1018">
                  <c:v>9.7407537539849205E-4</c:v>
                </c:pt>
                <c:pt idx="1019">
                  <c:v>9.8008618164798248E-4</c:v>
                </c:pt>
                <c:pt idx="1020">
                  <c:v>9.8610138324917032E-4</c:v>
                </c:pt>
                <c:pt idx="1021">
                  <c:v>9.9212099706041577E-4</c:v>
                </c:pt>
                <c:pt idx="1022">
                  <c:v>1.0102064803381139E-3</c:v>
                </c:pt>
                <c:pt idx="1023">
                  <c:v>1.0162439115732041E-3</c:v>
                </c:pt>
                <c:pt idx="1024">
                  <c:v>1.0222858381129457E-3</c:v>
                </c:pt>
                <c:pt idx="1025">
                  <c:v>1.0283322708296578E-3</c:v>
                </c:pt>
                <c:pt idx="1026">
                  <c:v>1.0343832193984426E-3</c:v>
                </c:pt>
                <c:pt idx="1027">
                  <c:v>1.0525632569683043E-3</c:v>
                </c:pt>
                <c:pt idx="1028">
                  <c:v>1.0586323656964455E-3</c:v>
                </c:pt>
                <c:pt idx="1029">
                  <c:v>1.0647060386521927E-3</c:v>
                </c:pt>
                <c:pt idx="1030">
                  <c:v>1.0707842855106476E-3</c:v>
                </c:pt>
                <c:pt idx="1031">
                  <c:v>1.0768671159469183E-3</c:v>
                </c:pt>
                <c:pt idx="1032">
                  <c:v>1.0951432054736869E-3</c:v>
                </c:pt>
                <c:pt idx="1033">
                  <c:v>1.1012444669722791E-3</c:v>
                </c:pt>
                <c:pt idx="1034">
                  <c:v>1.1073503604242163E-3</c:v>
                </c:pt>
                <c:pt idx="1035">
                  <c:v>1.1134608955046064E-3</c:v>
                </c:pt>
                <c:pt idx="1036">
                  <c:v>1.1195760818885512E-3</c:v>
                </c:pt>
                <c:pt idx="1037">
                  <c:v>1.1379496456127877E-3</c:v>
                </c:pt>
                <c:pt idx="1038">
                  <c:v>1.1440835339620189E-3</c:v>
                </c:pt>
                <c:pt idx="1039">
                  <c:v>1.1502221219903382E-3</c:v>
                </c:pt>
                <c:pt idx="1040">
                  <c:v>1.1563654193728476E-3</c:v>
                </c:pt>
                <c:pt idx="1041">
                  <c:v>1.1625134357846568E-3</c:v>
                </c:pt>
                <c:pt idx="1042">
                  <c:v>1.180985895946928E-3</c:v>
                </c:pt>
                <c:pt idx="1043">
                  <c:v>1.1871528852269865E-3</c:v>
                </c:pt>
                <c:pt idx="1044">
                  <c:v>1.1933246419118741E-3</c:v>
                </c:pt>
                <c:pt idx="1045">
                  <c:v>1.199501175676693E-3</c:v>
                </c:pt>
                <c:pt idx="1046">
                  <c:v>1.2056824961965513E-3</c:v>
                </c:pt>
                <c:pt idx="1047">
                  <c:v>1.2242552750374237E-3</c:v>
                </c:pt>
                <c:pt idx="1048">
                  <c:v>1.2304558393284974E-3</c:v>
                </c:pt>
                <c:pt idx="1049">
                  <c:v>1.2366612387501399E-3</c:v>
                </c:pt>
                <c:pt idx="1050">
                  <c:v>1.2428714829774566E-3</c:v>
                </c:pt>
                <c:pt idx="1051">
                  <c:v>1.2490865816855558E-3</c:v>
                </c:pt>
                <c:pt idx="1052">
                  <c:v>1.2677611014455905E-3</c:v>
                </c:pt>
                <c:pt idx="1053">
                  <c:v>1.2739957148278677E-3</c:v>
                </c:pt>
                <c:pt idx="1054">
                  <c:v>1.280235231066457E-3</c:v>
                </c:pt>
                <c:pt idx="1055">
                  <c:v>1.2864796598364599E-3</c:v>
                </c:pt>
                <c:pt idx="1056">
                  <c:v>1.2927290108129864E-3</c:v>
                </c:pt>
                <c:pt idx="1057">
                  <c:v>1.3115066937327477E-3</c:v>
                </c:pt>
                <c:pt idx="1058">
                  <c:v>1.317775830286419E-3</c:v>
                </c:pt>
                <c:pt idx="1059">
                  <c:v>1.3240499374221394E-3</c:v>
                </c:pt>
                <c:pt idx="1060">
                  <c:v>1.3303290248150188E-3</c:v>
                </c:pt>
                <c:pt idx="1061">
                  <c:v>1.3366131021401585E-3</c:v>
                </c:pt>
                <c:pt idx="1062">
                  <c:v>1.3554953704602156E-3</c:v>
                </c:pt>
                <c:pt idx="1063">
                  <c:v>1.3617995042654672E-3</c:v>
                </c:pt>
                <c:pt idx="1064">
                  <c:v>1.3681086763785088E-3</c:v>
                </c:pt>
                <c:pt idx="1065">
                  <c:v>1.3744228964744489E-3</c:v>
                </c:pt>
                <c:pt idx="1066">
                  <c:v>1.3807421742283946E-3</c:v>
                </c:pt>
                <c:pt idx="1067">
                  <c:v>1.3997304501893099E-3</c:v>
                </c:pt>
                <c:pt idx="1068">
                  <c:v>1.4060700553263279E-3</c:v>
                </c:pt>
                <c:pt idx="1069">
                  <c:v>1.4124147664968793E-3</c:v>
                </c:pt>
                <c:pt idx="1070">
                  <c:v>1.4187645933760719E-3</c:v>
                </c:pt>
                <c:pt idx="1071">
                  <c:v>1.4251195456390078E-3</c:v>
                </c:pt>
                <c:pt idx="1072">
                  <c:v>1.4442152514813459E-3</c:v>
                </c:pt>
                <c:pt idx="1073">
                  <c:v>1.4505908020303229E-3</c:v>
                </c:pt>
                <c:pt idx="1074">
                  <c:v>1.4569715263385722E-3</c:v>
                </c:pt>
                <c:pt idx="1075">
                  <c:v>1.4633574340812041E-3</c:v>
                </c:pt>
                <c:pt idx="1076">
                  <c:v>1.4697485349333202E-3</c:v>
                </c:pt>
                <c:pt idx="1077">
                  <c:v>1.4889530928976463E-3</c:v>
                </c:pt>
                <c:pt idx="1078">
                  <c:v>1.495365062938766E-3</c:v>
                </c:pt>
                <c:pt idx="1079">
                  <c:v>1.5017822744649036E-3</c:v>
                </c:pt>
                <c:pt idx="1080">
                  <c:v>1.5082047371511604E-3</c:v>
                </c:pt>
                <c:pt idx="1081">
                  <c:v>1.5146324606726447E-3</c:v>
                </c:pt>
                <c:pt idx="1082">
                  <c:v>1.5339472929995258E-3</c:v>
                </c:pt>
                <c:pt idx="1083">
                  <c:v>1.5403961566129787E-3</c:v>
                </c:pt>
                <c:pt idx="1084">
                  <c:v>1.5468503294371887E-3</c:v>
                </c:pt>
                <c:pt idx="1085">
                  <c:v>1.5533098211472634E-3</c:v>
                </c:pt>
                <c:pt idx="1086">
                  <c:v>1.5597746414183044E-3</c:v>
                </c:pt>
                <c:pt idx="1087">
                  <c:v>1.5792011703483007E-3</c:v>
                </c:pt>
                <c:pt idx="1088">
                  <c:v>1.5856874016142749E-3</c:v>
                </c:pt>
                <c:pt idx="1089">
                  <c:v>1.5921790098167496E-3</c:v>
                </c:pt>
                <c:pt idx="1090">
                  <c:v>1.5986760069300091E-3</c:v>
                </c:pt>
                <c:pt idx="1091">
                  <c:v>1.6051784141250804E-3</c:v>
                </c:pt>
                <c:pt idx="1092">
                  <c:v>1.6247183309032016E-3</c:v>
                </c:pt>
                <c:pt idx="1093">
                  <c:v>1.6312426131275637E-3</c:v>
                </c:pt>
                <c:pt idx="1094">
                  <c:v>1.6377724227847645E-3</c:v>
                </c:pt>
                <c:pt idx="1095">
                  <c:v>1.6443077833450063E-3</c:v>
                </c:pt>
                <c:pt idx="1096">
                  <c:v>1.6508487182784958E-3</c:v>
                </c:pt>
                <c:pt idx="1097">
                  <c:v>1.6705052040205117E-3</c:v>
                </c:pt>
                <c:pt idx="1098">
                  <c:v>1.6770686711490488E-3</c:v>
                </c:pt>
                <c:pt idx="1099">
                  <c:v>1.6836378300018611E-3</c:v>
                </c:pt>
                <c:pt idx="1100">
                  <c:v>1.6902127040491542E-3</c:v>
                </c:pt>
                <c:pt idx="1101">
                  <c:v>1.6967933167611369E-3</c:v>
                </c:pt>
                <c:pt idx="1102">
                  <c:v>1.7165698215872546E-3</c:v>
                </c:pt>
                <c:pt idx="1103">
                  <c:v>1.7231736236600365E-3</c:v>
                </c:pt>
                <c:pt idx="1104">
                  <c:v>1.7297832817485348E-3</c:v>
                </c:pt>
                <c:pt idx="1105">
                  <c:v>1.7363988193229507E-3</c:v>
                </c:pt>
                <c:pt idx="1106">
                  <c:v>1.743020259853494E-3</c:v>
                </c:pt>
                <c:pt idx="1107">
                  <c:v>1.7629202338839242E-3</c:v>
                </c:pt>
                <c:pt idx="1108">
                  <c:v>1.7695655209410239E-3</c:v>
                </c:pt>
                <c:pt idx="1109">
                  <c:v>1.7762168283052739E-3</c:v>
                </c:pt>
                <c:pt idx="1110">
                  <c:v>1.7828741794468847E-3</c:v>
                </c:pt>
                <c:pt idx="1111">
                  <c:v>1.789537597836057E-3</c:v>
                </c:pt>
                <c:pt idx="1112">
                  <c:v>1.809564491191015E-3</c:v>
                </c:pt>
                <c:pt idx="1113">
                  <c:v>1.8162524132725E-3</c:v>
                </c:pt>
                <c:pt idx="1114">
                  <c:v>1.8229465199525747E-3</c:v>
                </c:pt>
                <c:pt idx="1115">
                  <c:v>1.8296468347014461E-3</c:v>
                </c:pt>
                <c:pt idx="1116">
                  <c:v>1.8363533809893221E-3</c:v>
                </c:pt>
                <c:pt idx="1117">
                  <c:v>1.8565106437890165E-3</c:v>
                </c:pt>
                <c:pt idx="1118">
                  <c:v>1.8632423509349556E-3</c:v>
                </c:pt>
                <c:pt idx="1119">
                  <c:v>1.8699804069709244E-3</c:v>
                </c:pt>
                <c:pt idx="1120">
                  <c:v>1.8767248353671313E-3</c:v>
                </c:pt>
                <c:pt idx="1121">
                  <c:v>1.8834756595937771E-3</c:v>
                </c:pt>
                <c:pt idx="1122">
                  <c:v>1.903766741958418E-3</c:v>
                </c:pt>
                <c:pt idx="1123">
                  <c:v>1.9105433842088856E-3</c:v>
                </c:pt>
                <c:pt idx="1124">
                  <c:v>1.9173265396408195E-3</c:v>
                </c:pt>
                <c:pt idx="1125">
                  <c:v>1.92411623172443E-3</c:v>
                </c:pt>
                <c:pt idx="1126">
                  <c:v>1.9309124839299177E-3</c:v>
                </c:pt>
                <c:pt idx="1127">
                  <c:v>1.9513408359797166E-3</c:v>
                </c:pt>
                <c:pt idx="1128">
                  <c:v>1.9581635633747784E-3</c:v>
                </c:pt>
                <c:pt idx="1129">
                  <c:v>1.9649929682427499E-3</c:v>
                </c:pt>
                <c:pt idx="1130">
                  <c:v>1.9718290740538317E-3</c:v>
                </c:pt>
                <c:pt idx="1131">
                  <c:v>1.9786719042782321E-3</c:v>
                </c:pt>
                <c:pt idx="1132">
                  <c:v>1.9992409761334022E-3</c:v>
                </c:pt>
                <c:pt idx="1133">
                  <c:v>2.0061109387131308E-3</c:v>
                </c:pt>
                <c:pt idx="1134">
                  <c:v>2.0129877430572051E-3</c:v>
                </c:pt>
                <c:pt idx="1135">
                  <c:v>2.0198714126358338E-3</c:v>
                </c:pt>
                <c:pt idx="1136">
                  <c:v>2.0267619709192163E-3</c:v>
                </c:pt>
                <c:pt idx="1137">
                  <c:v>2.0474752126999635E-3</c:v>
                </c:pt>
                <c:pt idx="1138">
                  <c:v>2.0543935605044292E-3</c:v>
                </c:pt>
                <c:pt idx="1139">
                  <c:v>2.0613189143646815E-3</c:v>
                </c:pt>
                <c:pt idx="1140">
                  <c:v>2.0682512977509221E-3</c:v>
                </c:pt>
                <c:pt idx="1141">
                  <c:v>2.0751907341333602E-3</c:v>
                </c:pt>
                <c:pt idx="1142">
                  <c:v>2.096051595959898E-3</c:v>
                </c:pt>
                <c:pt idx="1143">
                  <c:v>2.1030194790291712E-3</c:v>
                </c:pt>
                <c:pt idx="1144">
                  <c:v>2.1099945324456696E-3</c:v>
                </c:pt>
                <c:pt idx="1145">
                  <c:v>2.1169767796795943E-3</c:v>
                </c:pt>
                <c:pt idx="1146">
                  <c:v>2.1239662442011529E-3</c:v>
                </c:pt>
                <c:pt idx="1147">
                  <c:v>2.1449781761936947E-3</c:v>
                </c:pt>
                <c:pt idx="1148">
                  <c:v>2.1519967445678455E-3</c:v>
                </c:pt>
                <c:pt idx="1149">
                  <c:v>2.159022647580658E-3</c:v>
                </c:pt>
                <c:pt idx="1150">
                  <c:v>2.1660559087023374E-3</c:v>
                </c:pt>
                <c:pt idx="1151">
                  <c:v>2.1730965514030923E-3</c:v>
                </c:pt>
                <c:pt idx="1152">
                  <c:v>2.1942630036818431E-3</c:v>
                </c:pt>
                <c:pt idx="1153">
                  <c:v>2.2013334074009417E-3</c:v>
                </c:pt>
                <c:pt idx="1154">
                  <c:v>2.2084113100501435E-3</c:v>
                </c:pt>
                <c:pt idx="1155">
                  <c:v>2.215496722635314E-3</c:v>
                </c:pt>
                <c:pt idx="1156">
                  <c:v>2.2225896063049881E-3</c:v>
                </c:pt>
                <c:pt idx="1157">
                  <c:v>2.2439125706629854E-3</c:v>
                </c:pt>
                <c:pt idx="1158">
                  <c:v>2.2510348255126351E-3</c:v>
                </c:pt>
                <c:pt idx="1159">
                  <c:v>2.2581642948677678E-3</c:v>
                </c:pt>
                <c:pt idx="1160">
                  <c:v>2.2653009274125843E-3</c:v>
                </c:pt>
                <c:pt idx="1161">
                  <c:v>2.2724446718312766E-3</c:v>
                </c:pt>
                <c:pt idx="1162">
                  <c:v>2.2939180631725911E-3</c:v>
                </c:pt>
                <c:pt idx="1163">
                  <c:v>2.3010897419287646E-3</c:v>
                </c:pt>
                <c:pt idx="1164">
                  <c:v>2.3082682759797963E-3</c:v>
                </c:pt>
                <c:pt idx="1165">
                  <c:v>2.3154536140098858E-3</c:v>
                </c:pt>
                <c:pt idx="1166">
                  <c:v>2.3226457047032315E-3</c:v>
                </c:pt>
                <c:pt idx="1167">
                  <c:v>2.3442619796047539E-3</c:v>
                </c:pt>
                <c:pt idx="1168">
                  <c:v>2.351480567793079E-3</c:v>
                </c:pt>
                <c:pt idx="1169">
                  <c:v>2.3587056520656411E-3</c:v>
                </c:pt>
                <c:pt idx="1170">
                  <c:v>2.3659371811066382E-3</c:v>
                </c:pt>
                <c:pt idx="1171">
                  <c:v>2.3949267186388866E-3</c:v>
                </c:pt>
                <c:pt idx="1172">
                  <c:v>2.4021897017849989E-3</c:v>
                </c:pt>
                <c:pt idx="1173">
                  <c:v>2.4094588218047217E-3</c:v>
                </c:pt>
                <c:pt idx="1174">
                  <c:v>2.416734027382256E-3</c:v>
                </c:pt>
                <c:pt idx="1175">
                  <c:v>2.4459747007585875E-3</c:v>
                </c:pt>
                <c:pt idx="1176">
                  <c:v>2.453299649441265E-3</c:v>
                </c:pt>
                <c:pt idx="1177">
                  <c:v>2.4606304067819134E-3</c:v>
                </c:pt>
                <c:pt idx="1178">
                  <c:v>2.4679669210417978E-3</c:v>
                </c:pt>
                <c:pt idx="1179">
                  <c:v>2.4753091404821851E-3</c:v>
                </c:pt>
                <c:pt idx="1180">
                  <c:v>2.4973695124990217E-3</c:v>
                </c:pt>
                <c:pt idx="1181">
                  <c:v>2.5047340352740816E-3</c:v>
                </c:pt>
                <c:pt idx="1182">
                  <c:v>2.5121040045359751E-3</c:v>
                </c:pt>
                <c:pt idx="1183">
                  <c:v>2.5194793685459687E-3</c:v>
                </c:pt>
                <c:pt idx="1184">
                  <c:v>2.5268600755653289E-3</c:v>
                </c:pt>
                <c:pt idx="1185">
                  <c:v>2.5490337372922663E-3</c:v>
                </c:pt>
                <c:pt idx="1186">
                  <c:v>2.5564352989617505E-3</c:v>
                </c:pt>
                <c:pt idx="1187">
                  <c:v>2.5638419449469339E-3</c:v>
                </c:pt>
                <c:pt idx="1188">
                  <c:v>2.5712536235090815E-3</c:v>
                </c:pt>
                <c:pt idx="1189">
                  <c:v>2.5786702829094588E-3</c:v>
                </c:pt>
                <c:pt idx="1190">
                  <c:v>2.6009496287526302E-3</c:v>
                </c:pt>
                <c:pt idx="1191">
                  <c:v>2.6083856941185885E-3</c:v>
                </c:pt>
                <c:pt idx="1192">
                  <c:v>2.6158264816291076E-3</c:v>
                </c:pt>
                <c:pt idx="1193">
                  <c:v>2.6232719395454509E-3</c:v>
                </c:pt>
                <c:pt idx="1194">
                  <c:v>2.6307220161288902E-3</c:v>
                </c:pt>
                <c:pt idx="1195">
                  <c:v>2.653099440494429E-3</c:v>
                </c:pt>
                <c:pt idx="1196">
                  <c:v>2.6605674743589028E-3</c:v>
                </c:pt>
                <c:pt idx="1197">
                  <c:v>2.6680398681968014E-3</c:v>
                </c:pt>
                <c:pt idx="1198">
                  <c:v>2.6755165702693913E-3</c:v>
                </c:pt>
                <c:pt idx="1199">
                  <c:v>2.6829975288379373E-3</c:v>
                </c:pt>
                <c:pt idx="1200">
                  <c:v>2.7054654261319763E-3</c:v>
                </c:pt>
                <c:pt idx="1201">
                  <c:v>2.7129628932970112E-3</c:v>
                </c:pt>
                <c:pt idx="1202">
                  <c:v>2.7204643582643346E-3</c:v>
                </c:pt>
                <c:pt idx="1203">
                  <c:v>2.7279697692952124E-3</c:v>
                </c:pt>
                <c:pt idx="1204">
                  <c:v>2.7354790746509094E-3</c:v>
                </c:pt>
                <c:pt idx="1205">
                  <c:v>2.758029839279585E-3</c:v>
                </c:pt>
                <c:pt idx="1206">
                  <c:v>2.7655542045472259E-3</c:v>
                </c:pt>
                <c:pt idx="1207">
                  <c:v>2.7730822054460188E-3</c:v>
                </c:pt>
                <c:pt idx="1208">
                  <c:v>2.7806137902372293E-3</c:v>
                </c:pt>
                <c:pt idx="1209">
                  <c:v>2.7881489071821231E-3</c:v>
                </c:pt>
                <c:pt idx="1210">
                  <c:v>2.8107749335515714E-3</c:v>
                </c:pt>
                <c:pt idx="1211">
                  <c:v>2.8183236617238634E-3</c:v>
                </c:pt>
                <c:pt idx="1212">
                  <c:v>2.825875663356168E-3</c:v>
                </c:pt>
                <c:pt idx="1213">
                  <c:v>2.833430886709756E-3</c:v>
                </c:pt>
                <c:pt idx="1214">
                  <c:v>2.8409892800458914E-3</c:v>
                </c:pt>
                <c:pt idx="1215">
                  <c:v>2.8636829625622445E-3</c:v>
                </c:pt>
                <c:pt idx="1216">
                  <c:v>2.871253518441232E-3</c:v>
                </c:pt>
                <c:pt idx="1217">
                  <c:v>2.8788269928145677E-3</c:v>
                </c:pt>
                <c:pt idx="1218">
                  <c:v>2.8864033699708847E-3</c:v>
                </c:pt>
                <c:pt idx="1219">
                  <c:v>2.8939826414042719E-3</c:v>
                </c:pt>
                <c:pt idx="1220">
                  <c:v>2.9167377363078766E-3</c:v>
                </c:pt>
                <c:pt idx="1221">
                  <c:v>2.92432849979055E-3</c:v>
                </c:pt>
                <c:pt idx="1222">
                  <c:v>2.9319221150207911E-3</c:v>
                </c:pt>
                <c:pt idx="1223">
                  <c:v>2.9395185734926968E-3</c:v>
                </c:pt>
                <c:pt idx="1224">
                  <c:v>2.9471178667003642E-3</c:v>
                </c:pt>
                <c:pt idx="1225">
                  <c:v>2.9699326696789362E-3</c:v>
                </c:pt>
                <c:pt idx="1226">
                  <c:v>2.9775432167706436E-3</c:v>
                </c:pt>
                <c:pt idx="1227">
                  <c:v>2.9851565560686058E-3</c:v>
                </c:pt>
                <c:pt idx="1228">
                  <c:v>2.9927726790669211E-3</c:v>
                </c:pt>
                <c:pt idx="1229">
                  <c:v>3.0003915772596882E-3</c:v>
                </c:pt>
                <c:pt idx="1230">
                  <c:v>3.0232648379456824E-3</c:v>
                </c:pt>
                <c:pt idx="1231">
                  <c:v>3.0308947518572402E-3</c:v>
                </c:pt>
                <c:pt idx="1232">
                  <c:v>3.0385273984337418E-3</c:v>
                </c:pt>
                <c:pt idx="1233">
                  <c:v>3.0461627691692854E-3</c:v>
                </c:pt>
                <c:pt idx="1234">
                  <c:v>3.0538008555579688E-3</c:v>
                </c:pt>
                <c:pt idx="1235">
                  <c:v>3.0767313235838434E-3</c:v>
                </c:pt>
                <c:pt idx="1236">
                  <c:v>3.0843801875260687E-3</c:v>
                </c:pt>
                <c:pt idx="1237">
                  <c:v>3.092031724591928E-3</c:v>
                </c:pt>
                <c:pt idx="1238">
                  <c:v>3.0996859262755173E-3</c:v>
                </c:pt>
                <c:pt idx="1239">
                  <c:v>3.1379966062528579E-3</c:v>
                </c:pt>
                <c:pt idx="1240">
                  <c:v>3.145666617018894E-3</c:v>
                </c:pt>
                <c:pt idx="1241">
                  <c:v>3.1533392328613455E-3</c:v>
                </c:pt>
                <c:pt idx="1242">
                  <c:v>3.1610144452743159E-3</c:v>
                </c:pt>
                <c:pt idx="1243">
                  <c:v>3.1840555768773123E-3</c:v>
                </c:pt>
                <c:pt idx="1244">
                  <c:v>3.1917410905133339E-3</c:v>
                </c:pt>
                <c:pt idx="1245">
                  <c:v>3.1994291581903633E-3</c:v>
                </c:pt>
                <c:pt idx="1246">
                  <c:v>3.2071197714025005E-3</c:v>
                </c:pt>
                <c:pt idx="1247">
                  <c:v>3.2148129216438416E-3</c:v>
                </c:pt>
                <c:pt idx="1248">
                  <c:v>3.2379075094840786E-3</c:v>
                </c:pt>
                <c:pt idx="1249">
                  <c:v>3.2456107227832242E-3</c:v>
                </c:pt>
                <c:pt idx="1250">
                  <c:v>3.253316430582067E-3</c:v>
                </c:pt>
                <c:pt idx="1251">
                  <c:v>3.2610246243747038E-3</c:v>
                </c:pt>
                <c:pt idx="1252">
                  <c:v>3.2687352956552351E-3</c:v>
                </c:pt>
                <c:pt idx="1253">
                  <c:v>3.2918820893651705E-3</c:v>
                </c:pt>
                <c:pt idx="1254">
                  <c:v>3.2996025855382589E-3</c:v>
                </c:pt>
                <c:pt idx="1255">
                  <c:v>3.307325516669732E-3</c:v>
                </c:pt>
                <c:pt idx="1256">
                  <c:v>3.3150508742536893E-3</c:v>
                </c:pt>
                <c:pt idx="1257">
                  <c:v>3.3227786497842279E-3</c:v>
                </c:pt>
                <c:pt idx="1258">
                  <c:v>3.3459763989963183E-3</c:v>
                </c:pt>
                <c:pt idx="1259">
                  <c:v>3.3537137612541673E-3</c:v>
                </c:pt>
                <c:pt idx="1260">
                  <c:v>3.3614534989290876E-3</c:v>
                </c:pt>
                <c:pt idx="1261">
                  <c:v>3.369195603515182E-3</c:v>
                </c:pt>
                <c:pt idx="1262">
                  <c:v>3.3769400665065465E-3</c:v>
                </c:pt>
                <c:pt idx="1263">
                  <c:v>3.4001875208532449E-3</c:v>
                </c:pt>
                <c:pt idx="1264">
                  <c:v>3.4079413324066728E-3</c:v>
                </c:pt>
                <c:pt idx="1265">
                  <c:v>3.4156974598358635E-3</c:v>
                </c:pt>
                <c:pt idx="1266">
                  <c:v>3.4234558946349141E-3</c:v>
                </c:pt>
                <c:pt idx="1267">
                  <c:v>3.4312166282979197E-3</c:v>
                </c:pt>
                <c:pt idx="1268">
                  <c:v>3.454512537411681E-3</c:v>
                </c:pt>
                <c:pt idx="1269">
                  <c:v>3.4622823814715073E-3</c:v>
                </c:pt>
                <c:pt idx="1270">
                  <c:v>3.4700544818657836E-3</c:v>
                </c:pt>
                <c:pt idx="1271">
                  <c:v>3.4778288300886082E-3</c:v>
                </c:pt>
                <c:pt idx="1272">
                  <c:v>3.4856054176340798E-3</c:v>
                </c:pt>
                <c:pt idx="1273">
                  <c:v>3.5089485311473553E-3</c:v>
                </c:pt>
                <c:pt idx="1274">
                  <c:v>3.5167339909243974E-3</c:v>
                </c:pt>
                <c:pt idx="1275">
                  <c:v>3.5245216474945771E-3</c:v>
                </c:pt>
                <c:pt idx="1276">
                  <c:v>3.5323114923519945E-3</c:v>
                </c:pt>
                <c:pt idx="1277">
                  <c:v>3.5401035169907468E-3</c:v>
                </c:pt>
                <c:pt idx="1278">
                  <c:v>3.5634925845359974E-3</c:v>
                </c:pt>
                <c:pt idx="1279">
                  <c:v>3.5712932432410711E-3</c:v>
                </c:pt>
                <c:pt idx="1280">
                  <c:v>3.5790960391979738E-3</c:v>
                </c:pt>
                <c:pt idx="1281">
                  <c:v>3.5869009637880364E-3</c:v>
                </c:pt>
                <c:pt idx="1282">
                  <c:v>3.5947080079415275E-3</c:v>
                </c:pt>
                <c:pt idx="1283">
                  <c:v>3.6181417659576173E-3</c:v>
                </c:pt>
                <c:pt idx="1284">
                  <c:v>3.6259571965398655E-3</c:v>
                </c:pt>
                <c:pt idx="1285">
                  <c:v>3.6337747007730635E-3</c:v>
                </c:pt>
                <c:pt idx="1286">
                  <c:v>3.6415942694747127E-3</c:v>
                </c:pt>
                <c:pt idx="1287">
                  <c:v>3.6494158934623211E-3</c:v>
                </c:pt>
                <c:pt idx="1288">
                  <c:v>3.6728930053159339E-3</c:v>
                </c:pt>
                <c:pt idx="1289">
                  <c:v>3.6807227586224136E-3</c:v>
                </c:pt>
                <c:pt idx="1290">
                  <c:v>3.6885545213023703E-3</c:v>
                </c:pt>
                <c:pt idx="1291">
                  <c:v>3.6963882841733096E-3</c:v>
                </c:pt>
                <c:pt idx="1292">
                  <c:v>3.7042240380527353E-3</c:v>
                </c:pt>
                <c:pt idx="1293">
                  <c:v>3.7277431539169633E-3</c:v>
                </c:pt>
                <c:pt idx="1294">
                  <c:v>3.7355867800053723E-3</c:v>
                </c:pt>
                <c:pt idx="1295">
                  <c:v>3.7434323511897874E-3</c:v>
                </c:pt>
                <c:pt idx="1296">
                  <c:v>3.7512798582877128E-3</c:v>
                </c:pt>
                <c:pt idx="1297">
                  <c:v>3.7591292921166529E-3</c:v>
                </c:pt>
                <c:pt idx="1298">
                  <c:v>3.7826890621645952E-3</c:v>
                </c:pt>
                <c:pt idx="1299">
                  <c:v>3.7905461110926326E-3</c:v>
                </c:pt>
                <c:pt idx="1300">
                  <c:v>3.7984050408392039E-3</c:v>
                </c:pt>
                <c:pt idx="1301">
                  <c:v>3.8062658422218141E-3</c:v>
                </c:pt>
                <c:pt idx="1302">
                  <c:v>3.8141285060579672E-3</c:v>
                </c:pt>
                <c:pt idx="1303">
                  <c:v>3.8377275804627217E-3</c:v>
                </c:pt>
                <c:pt idx="1304">
                  <c:v>3.8455976022880858E-3</c:v>
                </c:pt>
                <c:pt idx="1305">
                  <c:v>3.8534694406545094E-3</c:v>
                </c:pt>
                <c:pt idx="1306">
                  <c:v>3.8613430863795031E-3</c:v>
                </c:pt>
                <c:pt idx="1307">
                  <c:v>3.8692185302805675E-3</c:v>
                </c:pt>
                <c:pt idx="1308">
                  <c:v>3.8928555592152273E-3</c:v>
                </c:pt>
                <c:pt idx="1309">
                  <c:v>3.9007381039956163E-3</c:v>
                </c:pt>
                <c:pt idx="1310">
                  <c:v>3.9086224010395935E-3</c:v>
                </c:pt>
                <c:pt idx="1311">
                  <c:v>3.9165084411646725E-3</c:v>
                </c:pt>
                <c:pt idx="1312">
                  <c:v>3.9243962151883438E-3</c:v>
                </c:pt>
                <c:pt idx="1313">
                  <c:v>3.9480698488260054E-3</c:v>
                </c:pt>
                <c:pt idx="1314">
                  <c:v>3.9559644666191168E-3</c:v>
                </c:pt>
                <c:pt idx="1315">
                  <c:v>3.9638607723983497E-3</c:v>
                </c:pt>
                <c:pt idx="1316">
                  <c:v>3.9717587569812057E-3</c:v>
                </c:pt>
                <c:pt idx="1317">
                  <c:v>3.9796584111851854E-3</c:v>
                </c:pt>
                <c:pt idx="1318">
                  <c:v>4.0033672996989426E-3</c:v>
                </c:pt>
                <c:pt idx="1319">
                  <c:v>4.0112735405624777E-3</c:v>
                </c:pt>
                <c:pt idx="1320">
                  <c:v>4.0191814051346603E-3</c:v>
                </c:pt>
                <c:pt idx="1321">
                  <c:v>4.0270908842329946E-3</c:v>
                </c:pt>
                <c:pt idx="1322">
                  <c:v>4.0350019686749856E-3</c:v>
                </c:pt>
                <c:pt idx="1323">
                  <c:v>4.0587447622379346E-3</c:v>
                </c:pt>
                <c:pt idx="1324">
                  <c:v>4.0666621762295877E-3</c:v>
                </c:pt>
                <c:pt idx="1325">
                  <c:v>4.0745811496524197E-3</c:v>
                </c:pt>
                <c:pt idx="1326">
                  <c:v>4.082501673323931E-3</c:v>
                </c:pt>
                <c:pt idx="1327">
                  <c:v>4.0904237380616267E-3</c:v>
                </c:pt>
                <c:pt idx="1328">
                  <c:v>4.1141990868468637E-3</c:v>
                </c:pt>
                <c:pt idx="1329">
                  <c:v>4.1221272240243361E-3</c:v>
                </c:pt>
                <c:pt idx="1330">
                  <c:v>4.1300568563555186E-3</c:v>
                </c:pt>
                <c:pt idx="1331">
                  <c:v>4.137987974657904E-3</c:v>
                </c:pt>
                <c:pt idx="1332">
                  <c:v>4.145920569749004E-3</c:v>
                </c:pt>
                <c:pt idx="1333">
                  <c:v>4.1697271239296233E-3</c:v>
                </c:pt>
                <c:pt idx="1334">
                  <c:v>4.1776655343506164E-3</c:v>
                </c:pt>
                <c:pt idx="1335">
                  <c:v>4.1856053756478421E-3</c:v>
                </c:pt>
                <c:pt idx="1336">
                  <c:v>4.1935466386388018E-3</c:v>
                </c:pt>
                <c:pt idx="1337">
                  <c:v>4.2014893141410076E-3</c:v>
                </c:pt>
                <c:pt idx="1338">
                  <c:v>4.2253257238901035E-3</c:v>
                </c:pt>
                <c:pt idx="1339">
                  <c:v>4.2332739576123116E-3</c:v>
                </c:pt>
                <c:pt idx="1340">
                  <c:v>4.2412235579332817E-3</c:v>
                </c:pt>
                <c:pt idx="1341">
                  <c:v>4.2491745156705172E-3</c:v>
                </c:pt>
                <c:pt idx="1342">
                  <c:v>4.257126821641523E-3</c:v>
                </c:pt>
                <c:pt idx="1343">
                  <c:v>4.2809917371321926E-3</c:v>
                </c:pt>
                <c:pt idx="1344">
                  <c:v>4.2889493442133152E-3</c:v>
                </c:pt>
                <c:pt idx="1345">
                  <c:v>4.2969082536157286E-3</c:v>
                </c:pt>
                <c:pt idx="1346">
                  <c:v>4.3048684561569359E-3</c:v>
                </c:pt>
                <c:pt idx="1347">
                  <c:v>4.3128299514726366E-3</c:v>
                </c:pt>
                <c:pt idx="1348">
                  <c:v>4.3367225784243539E-3</c:v>
                </c:pt>
                <c:pt idx="1349">
                  <c:v>4.3446896468320754E-3</c:v>
                </c:pt>
                <c:pt idx="1350">
                  <c:v>4.3526582178295041E-3</c:v>
                </c:pt>
                <c:pt idx="1351">
                  <c:v>4.3606283351433307E-3</c:v>
                </c:pt>
                <c:pt idx="1352">
                  <c:v>4.3686000425002336E-3</c:v>
                </c:pt>
                <c:pt idx="1353">
                  <c:v>4.3925251420962302E-3</c:v>
                </c:pt>
                <c:pt idx="1354">
                  <c:v>4.400503646892269E-3</c:v>
                </c:pt>
                <c:pt idx="1355">
                  <c:v>4.408483960364795E-3</c:v>
                </c:pt>
                <c:pt idx="1356">
                  <c:v>4.4164661262405007E-3</c:v>
                </c:pt>
                <c:pt idx="1357">
                  <c:v>4.4244501882460558E-3</c:v>
                </c:pt>
                <c:pt idx="1358">
                  <c:v>4.4484141883086937E-3</c:v>
                </c:pt>
                <c:pt idx="1359">
                  <c:v>4.4564062721005049E-3</c:v>
                </c:pt>
                <c:pt idx="1360">
                  <c:v>4.4644004706555843E-3</c:v>
                </c:pt>
                <c:pt idx="1361">
                  <c:v>4.4723968277006164E-3</c:v>
                </c:pt>
                <c:pt idx="1362">
                  <c:v>4.4803953869622815E-3</c:v>
                </c:pt>
                <c:pt idx="1363">
                  <c:v>4.5044047153139227E-3</c:v>
                </c:pt>
                <c:pt idx="1364">
                  <c:v>4.512412520708959E-3</c:v>
                </c:pt>
                <c:pt idx="1365">
                  <c:v>4.5204227469540443E-3</c:v>
                </c:pt>
                <c:pt idx="1366">
                  <c:v>4.5284354377758606E-3</c:v>
                </c:pt>
                <c:pt idx="1367">
                  <c:v>4.5364506369010918E-3</c:v>
                </c:pt>
                <c:pt idx="1368">
                  <c:v>4.5605117213640984E-3</c:v>
                </c:pt>
                <c:pt idx="1369">
                  <c:v>4.5685373909698105E-3</c:v>
                </c:pt>
                <c:pt idx="1370">
                  <c:v>4.5765657875123551E-3</c:v>
                </c:pt>
                <c:pt idx="1371">
                  <c:v>4.58459695471841E-3</c:v>
                </c:pt>
                <c:pt idx="1372">
                  <c:v>4.5926309363146581E-3</c:v>
                </c:pt>
                <c:pt idx="1373">
                  <c:v>4.6167502047113904E-3</c:v>
                </c:pt>
                <c:pt idx="1374">
                  <c:v>4.6247958811352378E-3</c:v>
                </c:pt>
                <c:pt idx="1375">
                  <c:v>4.6328445905826961E-3</c:v>
                </c:pt>
                <c:pt idx="1376">
                  <c:v>4.6408963767804413E-3</c:v>
                </c:pt>
                <c:pt idx="1377">
                  <c:v>4.6489512834551605E-3</c:v>
                </c:pt>
                <c:pt idx="1378">
                  <c:v>4.6731351636079823E-3</c:v>
                </c:pt>
                <c:pt idx="1379">
                  <c:v>4.6812029894574203E-3</c:v>
                </c:pt>
                <c:pt idx="1380">
                  <c:v>4.6892741544172431E-3</c:v>
                </c:pt>
                <c:pt idx="1381">
                  <c:v>4.6973487022141328E-3</c:v>
                </c:pt>
                <c:pt idx="1382">
                  <c:v>4.7054266765747801E-3</c:v>
                </c:pt>
                <c:pt idx="1383">
                  <c:v>4.7296815963060491E-3</c:v>
                </c:pt>
                <c:pt idx="1384">
                  <c:v>4.7377737141885284E-3</c:v>
                </c:pt>
                <c:pt idx="1385">
                  <c:v>4.7458694772681727E-3</c:v>
                </c:pt>
                <c:pt idx="1386">
                  <c:v>4.7539689292716656E-3</c:v>
                </c:pt>
                <c:pt idx="1387">
                  <c:v>4.7620721139256892E-3</c:v>
                </c:pt>
                <c:pt idx="1388">
                  <c:v>4.7864045010577701E-3</c:v>
                </c:pt>
                <c:pt idx="1389">
                  <c:v>4.7945230535807442E-3</c:v>
                </c:pt>
                <c:pt idx="1390">
                  <c:v>4.8026455573876642E-3</c:v>
                </c:pt>
                <c:pt idx="1391">
                  <c:v>4.8107720562052111E-3</c:v>
                </c:pt>
                <c:pt idx="1392">
                  <c:v>4.8189025937600671E-3</c:v>
                </c:pt>
                <c:pt idx="1393">
                  <c:v>4.8433188761153219E-3</c:v>
                </c:pt>
                <c:pt idx="1394">
                  <c:v>4.8514660058862459E-3</c:v>
                </c:pt>
                <c:pt idx="1395">
                  <c:v>4.8596173930278942E-3</c:v>
                </c:pt>
                <c:pt idx="1396">
                  <c:v>4.8677730812669486E-3</c:v>
                </c:pt>
                <c:pt idx="1397">
                  <c:v>4.8759331143300912E-3</c:v>
                </c:pt>
                <c:pt idx="1398">
                  <c:v>4.9004397197308838E-3</c:v>
                </c:pt>
                <c:pt idx="1399">
                  <c:v>4.9086175693572121E-3</c:v>
                </c:pt>
                <c:pt idx="1400">
                  <c:v>4.9167999824410412E-3</c:v>
                </c:pt>
                <c:pt idx="1401">
                  <c:v>4.9249870027090557E-3</c:v>
                </c:pt>
                <c:pt idx="1402">
                  <c:v>4.933178673887941E-3</c:v>
                </c:pt>
                <c:pt idx="1403">
                  <c:v>4.9577820301566307E-3</c:v>
                </c:pt>
                <c:pt idx="1404">
                  <c:v>4.9659927422458158E-3</c:v>
                </c:pt>
                <c:pt idx="1405">
                  <c:v>4.9742083238792836E-3</c:v>
                </c:pt>
                <c:pt idx="1406">
                  <c:v>4.982428818783715E-3</c:v>
                </c:pt>
                <c:pt idx="1407">
                  <c:v>4.9906542706857912E-3</c:v>
                </c:pt>
                <c:pt idx="1408">
                  <c:v>5.0153608056447418E-3</c:v>
                </c:pt>
                <c:pt idx="1409">
                  <c:v>5.0236065228042382E-3</c:v>
                </c:pt>
                <c:pt idx="1410">
                  <c:v>5.0318574155947962E-3</c:v>
                </c:pt>
                <c:pt idx="1411">
                  <c:v>5.0401135277430972E-3</c:v>
                </c:pt>
                <c:pt idx="1412">
                  <c:v>5.0483748858711226E-3</c:v>
                </c:pt>
                <c:pt idx="1413">
                  <c:v>5.0731899497464183E-3</c:v>
                </c:pt>
                <c:pt idx="1414">
                  <c:v>5.0814717711968119E-3</c:v>
                </c:pt>
                <c:pt idx="1415">
                  <c:v>5.0897585612239647E-3</c:v>
                </c:pt>
                <c:pt idx="1416">
                  <c:v>5.0980502609263402E-3</c:v>
                </c:pt>
                <c:pt idx="1417">
                  <c:v>5.1063468114024083E-3</c:v>
                </c:pt>
                <c:pt idx="1418">
                  <c:v>5.1312649784574131E-3</c:v>
                </c:pt>
                <c:pt idx="1419">
                  <c:v>5.1395803430129023E-3</c:v>
                </c:pt>
                <c:pt idx="1420">
                  <c:v>5.1479002638344156E-3</c:v>
                </c:pt>
                <c:pt idx="1421">
                  <c:v>5.1562246820204159E-3</c:v>
                </c:pt>
                <c:pt idx="1422">
                  <c:v>5.1645535386693709E-3</c:v>
                </c:pt>
                <c:pt idx="1423">
                  <c:v>5.1895661503786267E-3</c:v>
                </c:pt>
                <c:pt idx="1424">
                  <c:v>5.1979121718640619E-3</c:v>
                </c:pt>
                <c:pt idx="1425">
                  <c:v>5.2062623373047836E-3</c:v>
                </c:pt>
                <c:pt idx="1426">
                  <c:v>5.2146165877992529E-3</c:v>
                </c:pt>
                <c:pt idx="1427">
                  <c:v>5.2229748644459437E-3</c:v>
                </c:pt>
                <c:pt idx="1428">
                  <c:v>5.2480732622839877E-3</c:v>
                </c:pt>
                <c:pt idx="1429">
                  <c:v>5.256447054524215E-3</c:v>
                </c:pt>
                <c:pt idx="1430">
                  <c:v>5.2648245784089904E-3</c:v>
                </c:pt>
                <c:pt idx="1431">
                  <c:v>5.2732057750367817E-3</c:v>
                </c:pt>
                <c:pt idx="1432">
                  <c:v>5.2815905855060552E-3</c:v>
                </c:pt>
                <c:pt idx="1433">
                  <c:v>5.3067661109474284E-3</c:v>
                </c:pt>
                <c:pt idx="1434">
                  <c:v>5.3151647877672931E-3</c:v>
                </c:pt>
                <c:pt idx="1435">
                  <c:v>5.323566783920969E-3</c:v>
                </c:pt>
                <c:pt idx="1436">
                  <c:v>5.3319720405069267E-3</c:v>
                </c:pt>
                <c:pt idx="1437">
                  <c:v>5.3403804986236307E-3</c:v>
                </c:pt>
                <c:pt idx="1438">
                  <c:v>5.3656244931428749E-3</c:v>
                </c:pt>
                <c:pt idx="1439">
                  <c:v>5.374045168367223E-3</c:v>
                </c:pt>
                <c:pt idx="1440">
                  <c:v>5.3824687506146499E-3</c:v>
                </c:pt>
                <c:pt idx="1441">
                  <c:v>5.3908951809836202E-3</c:v>
                </c:pt>
                <c:pt idx="1442">
                  <c:v>5.3993244005725999E-3</c:v>
                </c:pt>
                <c:pt idx="1443">
                  <c:v>5.4246282056442602E-3</c:v>
                </c:pt>
                <c:pt idx="1444">
                  <c:v>5.4330679930979404E-3</c:v>
                </c:pt>
                <c:pt idx="1445">
                  <c:v>5.4415102752639593E-3</c:v>
                </c:pt>
                <c:pt idx="1446">
                  <c:v>5.449954993240789E-3</c:v>
                </c:pt>
                <c:pt idx="1447">
                  <c:v>5.4584020881268923E-3</c:v>
                </c:pt>
                <c:pt idx="1448">
                  <c:v>5.4837570452255062E-3</c:v>
                </c:pt>
                <c:pt idx="1449">
                  <c:v>5.4922130587333655E-3</c:v>
                </c:pt>
                <c:pt idx="1450">
                  <c:v>5.500671154642831E-3</c:v>
                </c:pt>
                <c:pt idx="1451">
                  <c:v>5.5091312740523672E-3</c:v>
                </c:pt>
                <c:pt idx="1452">
                  <c:v>5.5175933580604384E-3</c:v>
                </c:pt>
                <c:pt idx="1453">
                  <c:v>5.5429908086605459E-3</c:v>
                </c:pt>
                <c:pt idx="1454">
                  <c:v>5.5514601620474313E-3</c:v>
                </c:pt>
                <c:pt idx="1455">
                  <c:v>5.5599311855251861E-3</c:v>
                </c:pt>
                <c:pt idx="1456">
                  <c:v>5.5684038201922756E-3</c:v>
                </c:pt>
                <c:pt idx="1457">
                  <c:v>5.5768780071471669E-3</c:v>
                </c:pt>
                <c:pt idx="1458">
                  <c:v>5.6023092927233089E-3</c:v>
                </c:pt>
                <c:pt idx="1459">
                  <c:v>5.6107890998140673E-3</c:v>
                </c:pt>
                <c:pt idx="1460">
                  <c:v>5.6192701646849584E-3</c:v>
                </c:pt>
                <c:pt idx="1461">
                  <c:v>5.6277524284344491E-3</c:v>
                </c:pt>
                <c:pt idx="1462">
                  <c:v>5.636235832161004E-3</c:v>
                </c:pt>
                <c:pt idx="1463">
                  <c:v>5.6616922941877248E-3</c:v>
                </c:pt>
                <c:pt idx="1464">
                  <c:v>5.6701796688072006E-3</c:v>
                </c:pt>
                <c:pt idx="1465">
                  <c:v>5.6786678888960749E-3</c:v>
                </c:pt>
                <c:pt idx="1466">
                  <c:v>5.6871568955528138E-3</c:v>
                </c:pt>
                <c:pt idx="1467">
                  <c:v>5.6956466298758801E-3</c:v>
                </c:pt>
                <c:pt idx="1468">
                  <c:v>5.7211196098277172E-3</c:v>
                </c:pt>
                <c:pt idx="1469">
                  <c:v>5.7296116658007634E-3</c:v>
                </c:pt>
                <c:pt idx="1470">
                  <c:v>5.7381041549324696E-3</c:v>
                </c:pt>
                <c:pt idx="1471">
                  <c:v>5.7465970183212993E-3</c:v>
                </c:pt>
                <c:pt idx="1472">
                  <c:v>5.7550901970657249E-3</c:v>
                </c:pt>
                <c:pt idx="1473">
                  <c:v>5.7805710364172199E-3</c:v>
                </c:pt>
                <c:pt idx="1474">
                  <c:v>5.7890648875686792E-3</c:v>
                </c:pt>
                <c:pt idx="1475">
                  <c:v>5.7975587595680634E-3</c:v>
                </c:pt>
                <c:pt idx="1476">
                  <c:v>5.8060526011713253E-3</c:v>
                </c:pt>
                <c:pt idx="1477">
                  <c:v>5.8145463917643903E-3</c:v>
                </c:pt>
                <c:pt idx="1478">
                  <c:v>5.8400273279164503E-3</c:v>
                </c:pt>
                <c:pt idx="1479">
                  <c:v>5.8485207849027889E-3</c:v>
                </c:pt>
                <c:pt idx="1480">
                  <c:v>5.8570141260959677E-3</c:v>
                </c:pt>
                <c:pt idx="1481">
                  <c:v>5.8655073385393934E-3</c:v>
                </c:pt>
                <c:pt idx="1482">
                  <c:v>5.8740004092764763E-3</c:v>
                </c:pt>
                <c:pt idx="1483">
                  <c:v>5.8994786416837327E-3</c:v>
                </c:pt>
                <c:pt idx="1484">
                  <c:v>5.9079710160295186E-3</c:v>
                </c:pt>
                <c:pt idx="1485">
                  <c:v>5.9164631838860005E-3</c:v>
                </c:pt>
                <c:pt idx="1486">
                  <c:v>5.9249551322965877E-3</c:v>
                </c:pt>
                <c:pt idx="1487">
                  <c:v>5.933446848304688E-3</c:v>
                </c:pt>
                <c:pt idx="1488">
                  <c:v>5.9589204723481436E-3</c:v>
                </c:pt>
                <c:pt idx="1489">
                  <c:v>5.9674111291803762E-3</c:v>
                </c:pt>
                <c:pt idx="1490">
                  <c:v>5.9759014888271624E-3</c:v>
                </c:pt>
                <c:pt idx="1491">
                  <c:v>5.9843915383319098E-3</c:v>
                </c:pt>
                <c:pt idx="1492">
                  <c:v>5.9928812647380286E-3</c:v>
                </c:pt>
                <c:pt idx="1493">
                  <c:v>6.0183483757986819E-3</c:v>
                </c:pt>
                <c:pt idx="1494">
                  <c:v>6.0268366802443607E-3</c:v>
                </c:pt>
                <c:pt idx="1495">
                  <c:v>6.035324596808448E-3</c:v>
                </c:pt>
                <c:pt idx="1496">
                  <c:v>6.0438121125343568E-3</c:v>
                </c:pt>
                <c:pt idx="1497">
                  <c:v>6.0522992144654919E-3</c:v>
                </c:pt>
                <c:pt idx="1498">
                  <c:v>6.0777579079243412E-3</c:v>
                </c:pt>
                <c:pt idx="1499">
                  <c:v>6.0862432251104666E-3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-1.5284199509291829E-3</c:v>
                </c:pt>
                <c:pt idx="1">
                  <c:v>-1.5292099703044567E-3</c:v>
                </c:pt>
                <c:pt idx="2">
                  <c:v>-1.5299999979029974E-3</c:v>
                </c:pt>
                <c:pt idx="3">
                  <c:v>-1.5307900255015381E-3</c:v>
                </c:pt>
                <c:pt idx="4">
                  <c:v>-1.533160026064488E-3</c:v>
                </c:pt>
                <c:pt idx="5">
                  <c:v>-1.5339499714303556E-3</c:v>
                </c:pt>
                <c:pt idx="6">
                  <c:v>-1.5347398756798867E-3</c:v>
                </c:pt>
                <c:pt idx="7">
                  <c:v>-1.5355297305898136E-3</c:v>
                </c:pt>
                <c:pt idx="8">
                  <c:v>-1.5363195279368693E-3</c:v>
                </c:pt>
                <c:pt idx="9">
                  <c:v>-1.5386884923681355E-3</c:v>
                </c:pt>
                <c:pt idx="10">
                  <c:v>-1.5394779772310329E-3</c:v>
                </c:pt>
                <c:pt idx="11">
                  <c:v>-1.5402673634147223E-3</c:v>
                </c:pt>
                <c:pt idx="12">
                  <c:v>-1.5410566426959363E-3</c:v>
                </c:pt>
                <c:pt idx="13">
                  <c:v>-1.5418458068514075E-3</c:v>
                </c:pt>
                <c:pt idx="14">
                  <c:v>-1.5442125263306931E-3</c:v>
                </c:pt>
                <c:pt idx="15">
                  <c:v>-1.5450011477505206E-3</c:v>
                </c:pt>
                <c:pt idx="16">
                  <c:v>-1.545789612928269E-3</c:v>
                </c:pt>
                <c:pt idx="17">
                  <c:v>-1.5465779136406711E-3</c:v>
                </c:pt>
                <c:pt idx="18">
                  <c:v>-1.5473660416644593E-3</c:v>
                </c:pt>
                <c:pt idx="19">
                  <c:v>-1.5497293073714667E-3</c:v>
                </c:pt>
                <c:pt idx="20">
                  <c:v>-1.5505166624081258E-3</c:v>
                </c:pt>
                <c:pt idx="21">
                  <c:v>-1.5513038036398343E-3</c:v>
                </c:pt>
                <c:pt idx="22">
                  <c:v>-1.552090722843325E-3</c:v>
                </c:pt>
                <c:pt idx="23">
                  <c:v>-1.5528774117953305E-3</c:v>
                </c:pt>
                <c:pt idx="24">
                  <c:v>-1.5552360149097626E-3</c:v>
                </c:pt>
                <c:pt idx="25">
                  <c:v>-1.556021700623154E-3</c:v>
                </c:pt>
                <c:pt idx="26">
                  <c:v>-1.5568071149687237E-3</c:v>
                </c:pt>
                <c:pt idx="27">
                  <c:v>-1.5575922497232041E-3</c:v>
                </c:pt>
                <c:pt idx="28">
                  <c:v>-1.5583770966633278E-3</c:v>
                </c:pt>
                <c:pt idx="29">
                  <c:v>-1.5607298283648872E-3</c:v>
                </c:pt>
                <c:pt idx="30">
                  <c:v>-1.561513441814912E-3</c:v>
                </c:pt>
                <c:pt idx="31">
                  <c:v>-1.5622967263342435E-3</c:v>
                </c:pt>
                <c:pt idx="32">
                  <c:v>-1.5630796736996145E-3</c:v>
                </c:pt>
                <c:pt idx="33">
                  <c:v>-1.5638622756877576E-3</c:v>
                </c:pt>
                <c:pt idx="34">
                  <c:v>-1.566207927156147E-3</c:v>
                </c:pt>
                <c:pt idx="35">
                  <c:v>-1.5669890654027058E-3</c:v>
                </c:pt>
                <c:pt idx="36">
                  <c:v>-1.5677698171557E-3</c:v>
                </c:pt>
                <c:pt idx="37">
                  <c:v>-1.5685501741918625E-3</c:v>
                </c:pt>
                <c:pt idx="38">
                  <c:v>-1.5693301282879259E-3</c:v>
                </c:pt>
                <c:pt idx="39">
                  <c:v>-1.571667490702848E-3</c:v>
                </c:pt>
                <c:pt idx="40">
                  <c:v>-1.5724457508058418E-3</c:v>
                </c:pt>
                <c:pt idx="41">
                  <c:v>-1.5732235668523998E-3</c:v>
                </c:pt>
                <c:pt idx="42">
                  <c:v>-1.5740009306192547E-3</c:v>
                </c:pt>
                <c:pt idx="43">
                  <c:v>-1.574777833883139E-3</c:v>
                </c:pt>
                <c:pt idx="44">
                  <c:v>-1.5771056984242966E-3</c:v>
                </c:pt>
                <c:pt idx="45">
                  <c:v>-1.5778806774436262E-3</c:v>
                </c:pt>
                <c:pt idx="46">
                  <c:v>-1.5786551548436485E-3</c:v>
                </c:pt>
                <c:pt idx="47">
                  <c:v>-1.5794291224010965E-3</c:v>
                </c:pt>
                <c:pt idx="48">
                  <c:v>-1.5802025718927031E-3</c:v>
                </c:pt>
                <c:pt idx="49">
                  <c:v>-1.5825197297397991E-3</c:v>
                </c:pt>
                <c:pt idx="50">
                  <c:v>-1.5832910247353651E-3</c:v>
                </c:pt>
                <c:pt idx="51">
                  <c:v>-1.5840617605487532E-3</c:v>
                </c:pt>
                <c:pt idx="52">
                  <c:v>-1.5848319289566955E-3</c:v>
                </c:pt>
                <c:pt idx="53">
                  <c:v>-1.5856015217359247E-3</c:v>
                </c:pt>
                <c:pt idx="54">
                  <c:v>-1.5879067640686612E-3</c:v>
                </c:pt>
                <c:pt idx="55">
                  <c:v>-1.5886739721003651E-3</c:v>
                </c:pt>
                <c:pt idx="56">
                  <c:v>-1.5894405633870197E-3</c:v>
                </c:pt>
                <c:pt idx="57">
                  <c:v>-1.5902065297053571E-3</c:v>
                </c:pt>
                <c:pt idx="58">
                  <c:v>-1.5909718628321103E-3</c:v>
                </c:pt>
                <c:pt idx="59">
                  <c:v>-1.59326398083019E-3</c:v>
                </c:pt>
                <c:pt idx="60">
                  <c:v>-1.5940266989579327E-3</c:v>
                </c:pt>
                <c:pt idx="61">
                  <c:v>-1.5947887427777544E-3</c:v>
                </c:pt>
                <c:pt idx="62">
                  <c:v>-1.5955501040663877E-3</c:v>
                </c:pt>
                <c:pt idx="63">
                  <c:v>-1.5963107746005654E-3</c:v>
                </c:pt>
                <c:pt idx="64">
                  <c:v>-1.5985885594436916E-3</c:v>
                </c:pt>
                <c:pt idx="65">
                  <c:v>-1.5993463847273736E-3</c:v>
                </c:pt>
                <c:pt idx="66">
                  <c:v>-1.6001034781402636E-3</c:v>
                </c:pt>
                <c:pt idx="67">
                  <c:v>-1.6008598314590937E-3</c:v>
                </c:pt>
                <c:pt idx="68">
                  <c:v>-1.6016154364605966E-3</c:v>
                </c:pt>
                <c:pt idx="69">
                  <c:v>-1.6038776793284718E-3</c:v>
                </c:pt>
                <c:pt idx="70">
                  <c:v>-1.6046302088279943E-3</c:v>
                </c:pt>
                <c:pt idx="71">
                  <c:v>-1.6053819488938529E-3</c:v>
                </c:pt>
                <c:pt idx="72">
                  <c:v>-1.6061328913027811E-3</c:v>
                </c:pt>
                <c:pt idx="73">
                  <c:v>-1.6068830278315109E-3</c:v>
                </c:pt>
                <c:pt idx="74">
                  <c:v>-1.6091285199038375E-3</c:v>
                </c:pt>
                <c:pt idx="75">
                  <c:v>-1.609875350679101E-3</c:v>
                </c:pt>
                <c:pt idx="76">
                  <c:v>-1.6106213344578299E-3</c:v>
                </c:pt>
                <c:pt idx="77">
                  <c:v>-1.6113664630167566E-3</c:v>
                </c:pt>
                <c:pt idx="78">
                  <c:v>-1.6121107281326138E-3</c:v>
                </c:pt>
                <c:pt idx="79">
                  <c:v>-1.6143382605890945E-3</c:v>
                </c:pt>
                <c:pt idx="80">
                  <c:v>-1.6150789897000004E-3</c:v>
                </c:pt>
                <c:pt idx="81">
                  <c:v>-1.6158188142515002E-3</c:v>
                </c:pt>
                <c:pt idx="82">
                  <c:v>-1.6165577260203261E-3</c:v>
                </c:pt>
                <c:pt idx="83">
                  <c:v>-1.6172957167832113E-3</c:v>
                </c:pt>
                <c:pt idx="84">
                  <c:v>-1.6195040808035495E-3</c:v>
                </c:pt>
                <c:pt idx="85">
                  <c:v>-1.6202383053099982E-3</c:v>
                </c:pt>
                <c:pt idx="86">
                  <c:v>-1.6209715676941694E-3</c:v>
                </c:pt>
                <c:pt idx="87">
                  <c:v>-1.6217038597327962E-3</c:v>
                </c:pt>
                <c:pt idx="88">
                  <c:v>-1.6224351732026107E-3</c:v>
                </c:pt>
                <c:pt idx="89">
                  <c:v>-1.6246231599665081E-3</c:v>
                </c:pt>
                <c:pt idx="90">
                  <c:v>-1.6253504769284009E-3</c:v>
                </c:pt>
                <c:pt idx="91">
                  <c:v>-1.626076774205145E-3</c:v>
                </c:pt>
                <c:pt idx="92">
                  <c:v>-1.6268020435734731E-3</c:v>
                </c:pt>
                <c:pt idx="93">
                  <c:v>-1.6275262768101176E-3</c:v>
                </c:pt>
                <c:pt idx="94">
                  <c:v>-1.6296926774972775E-3</c:v>
                </c:pt>
                <c:pt idx="95">
                  <c:v>-1.630412683974515E-3</c:v>
                </c:pt>
                <c:pt idx="96">
                  <c:v>-1.6311316132037327E-3</c:v>
                </c:pt>
                <c:pt idx="97">
                  <c:v>-1.6318494569616626E-3</c:v>
                </c:pt>
                <c:pt idx="98">
                  <c:v>-1.632566207025038E-3</c:v>
                </c:pt>
                <c:pt idx="99">
                  <c:v>-1.6347098128151633E-3</c:v>
                </c:pt>
                <c:pt idx="100">
                  <c:v>-1.6354221058676463E-3</c:v>
                </c:pt>
                <c:pt idx="101">
                  <c:v>-1.6361332641092387E-3</c:v>
                </c:pt>
                <c:pt idx="102">
                  <c:v>-1.636843279316672E-3</c:v>
                </c:pt>
                <c:pt idx="103">
                  <c:v>-1.6375521432666791E-3</c:v>
                </c:pt>
                <c:pt idx="104">
                  <c:v>-1.6396717453394721E-3</c:v>
                </c:pt>
                <c:pt idx="105">
                  <c:v>-1.6403759220271019E-3</c:v>
                </c:pt>
                <c:pt idx="106">
                  <c:v>-1.6410789063409691E-3</c:v>
                </c:pt>
                <c:pt idx="107">
                  <c:v>-1.6417806900578065E-3</c:v>
                </c:pt>
                <c:pt idx="108">
                  <c:v>-1.6424812649543465E-3</c:v>
                </c:pt>
                <c:pt idx="109">
                  <c:v>-1.6445756544895096E-3</c:v>
                </c:pt>
                <c:pt idx="110">
                  <c:v>-1.6452713118721872E-3</c:v>
                </c:pt>
                <c:pt idx="111">
                  <c:v>-1.6459657193182307E-3</c:v>
                </c:pt>
                <c:pt idx="112">
                  <c:v>-1.6466588686043732E-3</c:v>
                </c:pt>
                <c:pt idx="113">
                  <c:v>-1.6473507515073467E-3</c:v>
                </c:pt>
                <c:pt idx="114">
                  <c:v>-1.6494187196845829E-3</c:v>
                </c:pt>
                <c:pt idx="115">
                  <c:v>-1.650105454822209E-3</c:v>
                </c:pt>
                <c:pt idx="116">
                  <c:v>-1.6507908824603295E-3</c:v>
                </c:pt>
                <c:pt idx="117">
                  <c:v>-1.6514749943756777E-3</c:v>
                </c:pt>
                <c:pt idx="118">
                  <c:v>-1.6521577823449859E-3</c:v>
                </c:pt>
                <c:pt idx="119">
                  <c:v>-1.654198120343998E-3</c:v>
                </c:pt>
                <c:pt idx="120">
                  <c:v>-1.6548755302964731E-3</c:v>
                </c:pt>
                <c:pt idx="121">
                  <c:v>-1.6555515751865719E-3</c:v>
                </c:pt>
                <c:pt idx="122">
                  <c:v>-1.6562262467910269E-3</c:v>
                </c:pt>
                <c:pt idx="123">
                  <c:v>-1.6568995368865704E-3</c:v>
                </c:pt>
                <c:pt idx="124">
                  <c:v>-1.6589110358870608E-3</c:v>
                </c:pt>
                <c:pt idx="125">
                  <c:v>-1.6595787177142863E-3</c:v>
                </c:pt>
                <c:pt idx="126">
                  <c:v>-1.660244976916264E-3</c:v>
                </c:pt>
                <c:pt idx="127">
                  <c:v>-1.6609098052697265E-3</c:v>
                </c:pt>
                <c:pt idx="128">
                  <c:v>-1.6615731945514064E-3</c:v>
                </c:pt>
                <c:pt idx="129">
                  <c:v>-1.6635546457330779E-3</c:v>
                </c:pt>
                <c:pt idx="130">
                  <c:v>-1.6642121964949548E-3</c:v>
                </c:pt>
                <c:pt idx="131">
                  <c:v>-1.6648682670687121E-3</c:v>
                </c:pt>
                <c:pt idx="132">
                  <c:v>-1.6655228492310833E-3</c:v>
                </c:pt>
                <c:pt idx="133">
                  <c:v>-1.6661759347588003E-3</c:v>
                </c:pt>
                <c:pt idx="134">
                  <c:v>-1.6681261804364932E-3</c:v>
                </c:pt>
                <c:pt idx="135">
                  <c:v>-1.6687732672669992E-3</c:v>
                </c:pt>
                <c:pt idx="136">
                  <c:v>-1.6694188617999703E-3</c:v>
                </c:pt>
                <c:pt idx="137">
                  <c:v>-1.6700629671755028E-3</c:v>
                </c:pt>
                <c:pt idx="138">
                  <c:v>-1.6707055865336936E-3</c:v>
                </c:pt>
                <c:pt idx="139">
                  <c:v>-1.6726245599051805E-3</c:v>
                </c:pt>
                <c:pt idx="140">
                  <c:v>-1.6732612665949693E-3</c:v>
                </c:pt>
                <c:pt idx="141">
                  <c:v>-1.6738965029678993E-3</c:v>
                </c:pt>
                <c:pt idx="142">
                  <c:v>-1.6745302721640663E-3</c:v>
                </c:pt>
                <c:pt idx="143">
                  <c:v>-1.6751625773235681E-3</c:v>
                </c:pt>
                <c:pt idx="144">
                  <c:v>-1.6770507399830417E-3</c:v>
                </c:pt>
                <c:pt idx="145">
                  <c:v>-1.6776772203968447E-3</c:v>
                </c:pt>
                <c:pt idx="146">
                  <c:v>-1.6783022524744647E-3</c:v>
                </c:pt>
                <c:pt idx="147">
                  <c:v>-1.6789258393559976E-3</c:v>
                </c:pt>
                <c:pt idx="148">
                  <c:v>-1.6795479841815407E-3</c:v>
                </c:pt>
                <c:pt idx="149">
                  <c:v>-1.6820222057257427E-3</c:v>
                </c:pt>
                <c:pt idx="150">
                  <c:v>-1.6826371873727836E-3</c:v>
                </c:pt>
                <c:pt idx="151">
                  <c:v>-1.6832507458044133E-3</c:v>
                </c:pt>
                <c:pt idx="152">
                  <c:v>-1.683862884160729E-3</c:v>
                </c:pt>
                <c:pt idx="153">
                  <c:v>-1.6856941372408599E-3</c:v>
                </c:pt>
                <c:pt idx="154">
                  <c:v>-1.6863022786564833E-3</c:v>
                </c:pt>
                <c:pt idx="155">
                  <c:v>-1.6869090080174805E-3</c:v>
                </c:pt>
                <c:pt idx="156">
                  <c:v>-1.6875143284898267E-3</c:v>
                </c:pt>
                <c:pt idx="157">
                  <c:v>-1.6881182432394988E-3</c:v>
                </c:pt>
                <c:pt idx="158">
                  <c:v>-1.6899215848122336E-3</c:v>
                </c:pt>
                <c:pt idx="159">
                  <c:v>-1.6905199083309729E-3</c:v>
                </c:pt>
                <c:pt idx="160">
                  <c:v>-1.6911168419569194E-3</c:v>
                </c:pt>
                <c:pt idx="161">
                  <c:v>-1.69171238885605E-3</c:v>
                </c:pt>
                <c:pt idx="162">
                  <c:v>-1.6923065521943408E-3</c:v>
                </c:pt>
                <c:pt idx="163">
                  <c:v>-1.6940807725039379E-3</c:v>
                </c:pt>
                <c:pt idx="164">
                  <c:v>-1.6946694332586332E-3</c:v>
                </c:pt>
                <c:pt idx="165">
                  <c:v>-1.69525672628237E-3</c:v>
                </c:pt>
                <c:pt idx="166">
                  <c:v>-1.6958426547411256E-3</c:v>
                </c:pt>
                <c:pt idx="167">
                  <c:v>-1.6964272218008753E-3</c:v>
                </c:pt>
                <c:pt idx="168">
                  <c:v>-1.6981727862458564E-3</c:v>
                </c:pt>
                <c:pt idx="169">
                  <c:v>-1.698751939369348E-3</c:v>
                </c:pt>
                <c:pt idx="170">
                  <c:v>-1.6993297469237159E-3</c:v>
                </c:pt>
                <c:pt idx="171">
                  <c:v>-1.6999062120749365E-3</c:v>
                </c:pt>
                <c:pt idx="172">
                  <c:v>-1.7004813379889862E-3</c:v>
                </c:pt>
                <c:pt idx="173">
                  <c:v>-1.7021987119678727E-3</c:v>
                </c:pt>
                <c:pt idx="174">
                  <c:v>-1.7027685125930016E-3</c:v>
                </c:pt>
                <c:pt idx="175">
                  <c:v>-1.7033369898108413E-3</c:v>
                </c:pt>
                <c:pt idx="176">
                  <c:v>-1.7039041467873681E-3</c:v>
                </c:pt>
                <c:pt idx="177">
                  <c:v>-1.704469986688558E-3</c:v>
                </c:pt>
                <c:pt idx="178">
                  <c:v>-1.7061596355998714E-3</c:v>
                </c:pt>
                <c:pt idx="179">
                  <c:v>-1.7067202388594783E-3</c:v>
                </c:pt>
                <c:pt idx="180">
                  <c:v>-1.7072795408736301E-3</c:v>
                </c:pt>
                <c:pt idx="181">
                  <c:v>-1.7078375448083033E-3</c:v>
                </c:pt>
                <c:pt idx="182">
                  <c:v>-1.7083942538294742E-3</c:v>
                </c:pt>
                <c:pt idx="183">
                  <c:v>-1.7100566430717366E-3</c:v>
                </c:pt>
                <c:pt idx="184">
                  <c:v>-1.7106082040986618E-3</c:v>
                </c:pt>
                <c:pt idx="185">
                  <c:v>-1.7111584860419664E-3</c:v>
                </c:pt>
                <c:pt idx="186">
                  <c:v>-1.7117074920676267E-3</c:v>
                </c:pt>
                <c:pt idx="187">
                  <c:v>-1.7122552253416193E-3</c:v>
                </c:pt>
                <c:pt idx="188">
                  <c:v>-1.7138908203133526E-3</c:v>
                </c:pt>
                <c:pt idx="189">
                  <c:v>-1.7144334942404366E-3</c:v>
                </c:pt>
                <c:pt idx="190">
                  <c:v>-1.7149749112457344E-3</c:v>
                </c:pt>
                <c:pt idx="191">
                  <c:v>-1.7155150744952224E-3</c:v>
                </c:pt>
                <c:pt idx="192">
                  <c:v>-1.7160539871548769E-3</c:v>
                </c:pt>
                <c:pt idx="193">
                  <c:v>-1.7176632532546023E-3</c:v>
                </c:pt>
                <c:pt idx="194">
                  <c:v>-1.7181971952146863E-3</c:v>
                </c:pt>
                <c:pt idx="195">
                  <c:v>-1.718729902414818E-3</c:v>
                </c:pt>
                <c:pt idx="196">
                  <c:v>-1.7192613780209743E-3</c:v>
                </c:pt>
                <c:pt idx="197">
                  <c:v>-1.7197916251991312E-3</c:v>
                </c:pt>
                <c:pt idx="198">
                  <c:v>-1.7213750278253712E-3</c:v>
                </c:pt>
                <c:pt idx="199">
                  <c:v>-1.7219003929512949E-3</c:v>
                </c:pt>
                <c:pt idx="200">
                  <c:v>-1.7224245454791011E-3</c:v>
                </c:pt>
                <c:pt idx="201">
                  <c:v>-1.7229474885747662E-3</c:v>
                </c:pt>
                <c:pt idx="202">
                  <c:v>-1.7234692254042667E-3</c:v>
                </c:pt>
                <c:pt idx="203">
                  <c:v>-1.7250272299555421E-3</c:v>
                </c:pt>
                <c:pt idx="204">
                  <c:v>-1.7255441733801467E-3</c:v>
                </c:pt>
                <c:pt idx="205">
                  <c:v>-1.7260599263684683E-3</c:v>
                </c:pt>
                <c:pt idx="206">
                  <c:v>-1.7265744920864829E-3</c:v>
                </c:pt>
                <c:pt idx="207">
                  <c:v>-1.7270878737001669E-3</c:v>
                </c:pt>
                <c:pt idx="208">
                  <c:v>-1.7286209455749997E-3</c:v>
                </c:pt>
                <c:pt idx="209">
                  <c:v>-1.7291296224311256E-3</c:v>
                </c:pt>
                <c:pt idx="210">
                  <c:v>-1.7296371310128024E-3</c:v>
                </c:pt>
                <c:pt idx="211">
                  <c:v>-1.7301434744860071E-3</c:v>
                </c:pt>
                <c:pt idx="212">
                  <c:v>-1.7306486560167158E-3</c:v>
                </c:pt>
                <c:pt idx="213">
                  <c:v>-1.7321572606136281E-3</c:v>
                </c:pt>
                <c:pt idx="214">
                  <c:v>-1.7326578260341158E-3</c:v>
                </c:pt>
                <c:pt idx="215">
                  <c:v>-1.7331572453419888E-3</c:v>
                </c:pt>
                <c:pt idx="216">
                  <c:v>-1.7336555217032244E-3</c:v>
                </c:pt>
                <c:pt idx="217">
                  <c:v>-1.7341526582837978E-3</c:v>
                </c:pt>
                <c:pt idx="218">
                  <c:v>-1.7356372610013117E-3</c:v>
                </c:pt>
                <c:pt idx="219">
                  <c:v>-1.7361298701190017E-3</c:v>
                </c:pt>
                <c:pt idx="220">
                  <c:v>-1.7366213552859116E-3</c:v>
                </c:pt>
                <c:pt idx="221">
                  <c:v>-1.7371117196680178E-3</c:v>
                </c:pt>
                <c:pt idx="222">
                  <c:v>-1.7376009664312967E-3</c:v>
                </c:pt>
                <c:pt idx="223">
                  <c:v>-1.7390620326679334E-3</c:v>
                </c:pt>
                <c:pt idx="224">
                  <c:v>-1.7395468406156665E-3</c:v>
                </c:pt>
                <c:pt idx="225">
                  <c:v>-1.7400305467744537E-3</c:v>
                </c:pt>
                <c:pt idx="226">
                  <c:v>-1.7405131543102718E-3</c:v>
                </c:pt>
                <c:pt idx="227">
                  <c:v>-1.7429098234539948E-3</c:v>
                </c:pt>
                <c:pt idx="228">
                  <c:v>-1.7433859057374998E-3</c:v>
                </c:pt>
                <c:pt idx="229">
                  <c:v>-1.7438609115598702E-3</c:v>
                </c:pt>
                <c:pt idx="230">
                  <c:v>-1.7443348440870821E-3</c:v>
                </c:pt>
                <c:pt idx="231">
                  <c:v>-1.7457502335575296E-3</c:v>
                </c:pt>
                <c:pt idx="232">
                  <c:v>-1.7462199045638702E-3</c:v>
                </c:pt>
                <c:pt idx="233">
                  <c:v>-1.7466885181049343E-3</c:v>
                </c:pt>
                <c:pt idx="234">
                  <c:v>-1.7471560773466975E-3</c:v>
                </c:pt>
                <c:pt idx="235">
                  <c:v>-1.7476225854551365E-3</c:v>
                </c:pt>
                <c:pt idx="236">
                  <c:v>-1.7494781698751774E-3</c:v>
                </c:pt>
                <c:pt idx="237">
                  <c:v>-1.7499394698066403E-3</c:v>
                </c:pt>
                <c:pt idx="238">
                  <c:v>-1.7503997376006374E-3</c:v>
                </c:pt>
                <c:pt idx="239">
                  <c:v>-1.7508589764231443E-3</c:v>
                </c:pt>
                <c:pt idx="240">
                  <c:v>-1.7522305507214893E-3</c:v>
                </c:pt>
                <c:pt idx="241">
                  <c:v>-1.7526857053178002E-3</c:v>
                </c:pt>
                <c:pt idx="242">
                  <c:v>-1.7531398467725027E-3</c:v>
                </c:pt>
                <c:pt idx="243">
                  <c:v>-1.7535929782515739E-3</c:v>
                </c:pt>
                <c:pt idx="244">
                  <c:v>-1.7540451029209891E-3</c:v>
                </c:pt>
                <c:pt idx="245">
                  <c:v>-1.755395467731066E-3</c:v>
                </c:pt>
                <c:pt idx="246">
                  <c:v>-1.7558435968216227E-3</c:v>
                </c:pt>
                <c:pt idx="247">
                  <c:v>-1.7562907349324055E-3</c:v>
                </c:pt>
                <c:pt idx="248">
                  <c:v>-1.7567368852293907E-3</c:v>
                </c:pt>
                <c:pt idx="249">
                  <c:v>-1.7571820508785552E-3</c:v>
                </c:pt>
                <c:pt idx="250">
                  <c:v>-1.7585116715988852E-3</c:v>
                </c:pt>
                <c:pt idx="251">
                  <c:v>-1.7589529303165285E-3</c:v>
                </c:pt>
                <c:pt idx="252">
                  <c:v>-1.7593932202162321E-3</c:v>
                </c:pt>
                <c:pt idx="253">
                  <c:v>-1.7598325444639728E-3</c:v>
                </c:pt>
                <c:pt idx="254">
                  <c:v>-1.7602709062257268E-3</c:v>
                </c:pt>
                <c:pt idx="255">
                  <c:v>-1.7615802482548316E-3</c:v>
                </c:pt>
                <c:pt idx="256">
                  <c:v>-1.762014791732402E-3</c:v>
                </c:pt>
                <c:pt idx="257">
                  <c:v>-1.7624483885538673E-3</c:v>
                </c:pt>
                <c:pt idx="258">
                  <c:v>-1.7628810418852039E-3</c:v>
                </c:pt>
                <c:pt idx="259">
                  <c:v>-1.7633127548923877E-3</c:v>
                </c:pt>
                <c:pt idx="260">
                  <c:v>-1.7646016908309454E-3</c:v>
                </c:pt>
                <c:pt idx="261">
                  <c:v>-1.7650288618486821E-3</c:v>
                </c:pt>
                <c:pt idx="262">
                  <c:v>-1.7654545814407314E-3</c:v>
                </c:pt>
                <c:pt idx="263">
                  <c:v>-1.765878721040215E-3</c:v>
                </c:pt>
                <c:pt idx="264">
                  <c:v>-1.7663011520802556E-3</c:v>
                </c:pt>
                <c:pt idx="265">
                  <c:v>-1.7675569081749374E-3</c:v>
                </c:pt>
                <c:pt idx="266">
                  <c:v>-1.7679712193084251E-3</c:v>
                </c:pt>
                <c:pt idx="267">
                  <c:v>-1.7683831790480801E-3</c:v>
                </c:pt>
                <c:pt idx="268">
                  <c:v>-1.7687926588270241E-3</c:v>
                </c:pt>
                <c:pt idx="269">
                  <c:v>-1.7691995300783798E-3</c:v>
                </c:pt>
                <c:pt idx="270">
                  <c:v>-1.7704032069981357E-3</c:v>
                </c:pt>
                <c:pt idx="271">
                  <c:v>-1.7707983584703574E-3</c:v>
                </c:pt>
                <c:pt idx="272">
                  <c:v>-1.7711902585806018E-3</c:v>
                </c:pt>
                <c:pt idx="273">
                  <c:v>-1.7715787787619896E-3</c:v>
                </c:pt>
                <c:pt idx="274">
                  <c:v>-1.7719637904476436E-3</c:v>
                </c:pt>
                <c:pt idx="275">
                  <c:v>-1.7730964888614234E-3</c:v>
                </c:pt>
                <c:pt idx="276">
                  <c:v>-1.7734661808953632E-3</c:v>
                </c:pt>
                <c:pt idx="277">
                  <c:v>-1.7738317215991793E-3</c:v>
                </c:pt>
                <c:pt idx="278">
                  <c:v>-1.7741929824059942E-3</c:v>
                </c:pt>
                <c:pt idx="279">
                  <c:v>-1.7745498347489302E-3</c:v>
                </c:pt>
                <c:pt idx="280">
                  <c:v>-1.7755926553256842E-3</c:v>
                </c:pt>
                <c:pt idx="281">
                  <c:v>-1.7759305881443247E-3</c:v>
                </c:pt>
                <c:pt idx="282">
                  <c:v>-1.7762634696646964E-3</c:v>
                </c:pt>
                <c:pt idx="283">
                  <c:v>-1.7765911713199217E-3</c:v>
                </c:pt>
                <c:pt idx="284">
                  <c:v>-1.7769135645431227E-3</c:v>
                </c:pt>
                <c:pt idx="285">
                  <c:v>-1.7778476079518004E-3</c:v>
                </c:pt>
                <c:pt idx="286">
                  <c:v>-1.7781474817781251E-3</c:v>
                </c:pt>
                <c:pt idx="287">
                  <c:v>-1.7784414043380355E-3</c:v>
                </c:pt>
                <c:pt idx="288">
                  <c:v>-1.7787292470646549E-3</c:v>
                </c:pt>
                <c:pt idx="289">
                  <c:v>-1.7790108813911043E-3</c:v>
                </c:pt>
                <c:pt idx="290">
                  <c:v>-1.7798172483006558E-3</c:v>
                </c:pt>
                <c:pt idx="291">
                  <c:v>-1.7800727633576477E-3</c:v>
                </c:pt>
                <c:pt idx="292">
                  <c:v>-1.7803214271800807E-3</c:v>
                </c:pt>
                <c:pt idx="293">
                  <c:v>-1.7805631112010765E-3</c:v>
                </c:pt>
                <c:pt idx="294">
                  <c:v>-1.7807976868537579E-3</c:v>
                </c:pt>
                <c:pt idx="295">
                  <c:v>-1.7814574779331331E-3</c:v>
                </c:pt>
                <c:pt idx="296">
                  <c:v>-1.7816623344437755E-3</c:v>
                </c:pt>
                <c:pt idx="297">
                  <c:v>-1.7818594397517142E-3</c:v>
                </c:pt>
                <c:pt idx="298">
                  <c:v>-1.7820486652900703E-3</c:v>
                </c:pt>
                <c:pt idx="299">
                  <c:v>-1.7822298824919664E-3</c:v>
                </c:pt>
                <c:pt idx="300">
                  <c:v>-1.782724198410115E-3</c:v>
                </c:pt>
                <c:pt idx="301">
                  <c:v>-1.7828720965973918E-3</c:v>
                </c:pt>
                <c:pt idx="302">
                  <c:v>-1.7830113436138192E-3</c:v>
                </c:pt>
                <c:pt idx="303">
                  <c:v>-1.783141810892519E-3</c:v>
                </c:pt>
                <c:pt idx="304">
                  <c:v>-1.7832633698666135E-3</c:v>
                </c:pt>
                <c:pt idx="305">
                  <c:v>-1.7835733112924854E-3</c:v>
                </c:pt>
                <c:pt idx="306">
                  <c:v>-1.7836579513793797E-3</c:v>
                </c:pt>
                <c:pt idx="307">
                  <c:v>-1.7837330403272793E-3</c:v>
                </c:pt>
                <c:pt idx="308">
                  <c:v>-1.7837984495693057E-3</c:v>
                </c:pt>
                <c:pt idx="309">
                  <c:v>-1.7838540505385814E-3</c:v>
                </c:pt>
                <c:pt idx="310">
                  <c:v>-1.7839607181411275E-3</c:v>
                </c:pt>
                <c:pt idx="311">
                  <c:v>-1.7839758003506221E-3</c:v>
                </c:pt>
                <c:pt idx="312">
                  <c:v>-1.7839804314529765E-3</c:v>
                </c:pt>
                <c:pt idx="313">
                  <c:v>-1.7839744828813135E-3</c:v>
                </c:pt>
                <c:pt idx="314">
                  <c:v>-1.7839578260687543E-3</c:v>
                </c:pt>
                <c:pt idx="315">
                  <c:v>-1.7838423205169232E-3</c:v>
                </c:pt>
                <c:pt idx="316">
                  <c:v>-1.783781545072002E-3</c:v>
                </c:pt>
                <c:pt idx="317">
                  <c:v>-1.7837094185517953E-3</c:v>
                </c:pt>
                <c:pt idx="318">
                  <c:v>-1.7836258123894258E-3</c:v>
                </c:pt>
                <c:pt idx="319">
                  <c:v>-1.7835305980180146E-3</c:v>
                </c:pt>
                <c:pt idx="320">
                  <c:v>-1.7831740199807571E-3</c:v>
                </c:pt>
                <c:pt idx="321">
                  <c:v>-1.7830310871044025E-3</c:v>
                </c:pt>
                <c:pt idx="322">
                  <c:v>-1.782875903184618E-3</c:v>
                </c:pt>
                <c:pt idx="323">
                  <c:v>-1.7827083396545252E-3</c:v>
                </c:pt>
                <c:pt idx="324">
                  <c:v>-1.7825282679472456E-3</c:v>
                </c:pt>
                <c:pt idx="325">
                  <c:v>-1.7819117180935106E-3</c:v>
                </c:pt>
                <c:pt idx="326">
                  <c:v>-1.7816803280087073E-3</c:v>
                </c:pt>
                <c:pt idx="327">
                  <c:v>-1.7814357869123279E-3</c:v>
                </c:pt>
                <c:pt idx="328">
                  <c:v>-1.7811779662374949E-3</c:v>
                </c:pt>
                <c:pt idx="329">
                  <c:v>-1.7809067374173304E-3</c:v>
                </c:pt>
                <c:pt idx="330">
                  <c:v>-1.7800113164160687E-3</c:v>
                </c:pt>
                <c:pt idx="331">
                  <c:v>-1.7796851693457989E-3</c:v>
                </c:pt>
                <c:pt idx="332">
                  <c:v>-1.7793449712958081E-3</c:v>
                </c:pt>
                <c:pt idx="333">
                  <c:v>-1.7789905936992185E-3</c:v>
                </c:pt>
                <c:pt idx="334">
                  <c:v>-1.7786219079891519E-3</c:v>
                </c:pt>
                <c:pt idx="335">
                  <c:v>-1.7774287165093128E-3</c:v>
                </c:pt>
                <c:pt idx="336">
                  <c:v>-1.7770015126765603E-3</c:v>
                </c:pt>
                <c:pt idx="337">
                  <c:v>-1.7765593578959414E-3</c:v>
                </c:pt>
                <c:pt idx="338">
                  <c:v>-1.7761021236005787E-3</c:v>
                </c:pt>
                <c:pt idx="339">
                  <c:v>-1.7756296812235933E-3</c:v>
                </c:pt>
                <c:pt idx="340">
                  <c:v>-1.7741198199341271E-3</c:v>
                </c:pt>
                <c:pt idx="341">
                  <c:v>-1.7735852595618751E-3</c:v>
                </c:pt>
                <c:pt idx="342">
                  <c:v>-1.7730348482736114E-3</c:v>
                </c:pt>
                <c:pt idx="343">
                  <c:v>-1.7724684575024584E-3</c:v>
                </c:pt>
                <c:pt idx="344">
                  <c:v>-1.7718859586815382E-3</c:v>
                </c:pt>
                <c:pt idx="345">
                  <c:v>-1.7700405282513945E-3</c:v>
                </c:pt>
                <c:pt idx="346">
                  <c:v>-1.7693923115626258E-3</c:v>
                </c:pt>
                <c:pt idx="347">
                  <c:v>-1.768727343989701E-3</c:v>
                </c:pt>
                <c:pt idx="348">
                  <c:v>-1.7680454969657409E-3</c:v>
                </c:pt>
                <c:pt idx="349">
                  <c:v>-1.7673466419238688E-3</c:v>
                </c:pt>
                <c:pt idx="350">
                  <c:v>-1.7651467430219977E-3</c:v>
                </c:pt>
                <c:pt idx="351">
                  <c:v>-1.7643785702396964E-3</c:v>
                </c:pt>
                <c:pt idx="352">
                  <c:v>-1.7635927466050931E-3</c:v>
                </c:pt>
                <c:pt idx="353">
                  <c:v>-1.7627891435513098E-3</c:v>
                </c:pt>
                <c:pt idx="354">
                  <c:v>-1.7619676325114689E-3</c:v>
                </c:pt>
                <c:pt idx="355">
                  <c:v>-1.7593943658068202E-3</c:v>
                </c:pt>
                <c:pt idx="356">
                  <c:v>-1.7584999371539692E-3</c:v>
                </c:pt>
                <c:pt idx="357">
                  <c:v>-1.7575869576806709E-3</c:v>
                </c:pt>
                <c:pt idx="358">
                  <c:v>-1.7566552988200475E-3</c:v>
                </c:pt>
                <c:pt idx="359">
                  <c:v>-1.7557048320052211E-3</c:v>
                </c:pt>
                <c:pt idx="360">
                  <c:v>-1.7527392981667447E-3</c:v>
                </c:pt>
                <c:pt idx="361">
                  <c:v>-1.7517123138663273E-3</c:v>
                </c:pt>
                <c:pt idx="362">
                  <c:v>-1.7506658787773176E-3</c:v>
                </c:pt>
                <c:pt idx="363">
                  <c:v>-1.7495998643328374E-3</c:v>
                </c:pt>
                <c:pt idx="364">
                  <c:v>-1.7485141419660087E-3</c:v>
                </c:pt>
                <c:pt idx="365">
                  <c:v>-1.7451374416626547E-3</c:v>
                </c:pt>
                <c:pt idx="366">
                  <c:v>-1.7439716019376544E-3</c:v>
                </c:pt>
                <c:pt idx="367">
                  <c:v>-1.7427854114559162E-3</c:v>
                </c:pt>
                <c:pt idx="368">
                  <c:v>-1.7415787416505623E-3</c:v>
                </c:pt>
                <c:pt idx="369">
                  <c:v>-1.7403514639547149E-3</c:v>
                </c:pt>
                <c:pt idx="370">
                  <c:v>-1.7365446978554332E-3</c:v>
                </c:pt>
                <c:pt idx="371">
                  <c:v>-1.7352337029288331E-3</c:v>
                </c:pt>
                <c:pt idx="372">
                  <c:v>-1.73390145727735E-3</c:v>
                </c:pt>
                <c:pt idx="373">
                  <c:v>-1.7325478323341058E-3</c:v>
                </c:pt>
                <c:pt idx="374">
                  <c:v>-1.7311726995322227E-3</c:v>
                </c:pt>
                <c:pt idx="375">
                  <c:v>-1.7269169683059632E-3</c:v>
                </c:pt>
                <c:pt idx="376">
                  <c:v>-1.7254545184007466E-3</c:v>
                </c:pt>
                <c:pt idx="377">
                  <c:v>-1.7239699178025016E-3</c:v>
                </c:pt>
                <c:pt idx="378">
                  <c:v>-1.7224630379443506E-3</c:v>
                </c:pt>
                <c:pt idx="379">
                  <c:v>-1.7209337502594156E-3</c:v>
                </c:pt>
                <c:pt idx="380">
                  <c:v>-1.716210154575128E-3</c:v>
                </c:pt>
                <c:pt idx="381">
                  <c:v>-1.714589949914278E-3</c:v>
                </c:pt>
                <c:pt idx="382">
                  <c:v>-1.7129466945922547E-3</c:v>
                </c:pt>
                <c:pt idx="383">
                  <c:v>-1.7112802600421802E-3</c:v>
                </c:pt>
                <c:pt idx="384">
                  <c:v>-1.7095905176971759E-3</c:v>
                </c:pt>
                <c:pt idx="385">
                  <c:v>-1.7043801582238103E-3</c:v>
                </c:pt>
                <c:pt idx="386">
                  <c:v>-1.7025958990303104E-3</c:v>
                </c:pt>
                <c:pt idx="387">
                  <c:v>-1.7007876892074921E-3</c:v>
                </c:pt>
                <c:pt idx="388">
                  <c:v>-1.6989554001884772E-3</c:v>
                </c:pt>
                <c:pt idx="389">
                  <c:v>-1.6970989034063874E-3</c:v>
                </c:pt>
                <c:pt idx="390">
                  <c:v>-1.6913828808128935E-3</c:v>
                </c:pt>
                <c:pt idx="391">
                  <c:v>-1.6894283089562553E-3</c:v>
                </c:pt>
                <c:pt idx="392">
                  <c:v>-1.6874491363813244E-3</c:v>
                </c:pt>
                <c:pt idx="393">
                  <c:v>-1.6854454844003922E-3</c:v>
                </c:pt>
                <c:pt idx="394">
                  <c:v>-1.6834174743257521E-3</c:v>
                </c:pt>
                <c:pt idx="395">
                  <c:v>-1.6771885086625084E-3</c:v>
                </c:pt>
                <c:pt idx="396">
                  <c:v>-1.6750642793359617E-3</c:v>
                </c:pt>
                <c:pt idx="397">
                  <c:v>-1.67291629847717E-3</c:v>
                </c:pt>
                <c:pt idx="398">
                  <c:v>-1.6707446873984258E-3</c:v>
                </c:pt>
                <c:pt idx="399">
                  <c:v>-1.668549567412022E-3</c:v>
                </c:pt>
                <c:pt idx="400">
                  <c:v>-1.6618243671297774E-3</c:v>
                </c:pt>
                <c:pt idx="401">
                  <c:v>-1.6595364246356607E-3</c:v>
                </c:pt>
                <c:pt idx="402">
                  <c:v>-1.657225579795347E-3</c:v>
                </c:pt>
                <c:pt idx="403">
                  <c:v>-1.6548919539211291E-3</c:v>
                </c:pt>
                <c:pt idx="404">
                  <c:v>-1.6525356683253004E-3</c:v>
                </c:pt>
                <c:pt idx="405">
                  <c:v>-1.6404185904522253E-3</c:v>
                </c:pt>
                <c:pt idx="406">
                  <c:v>-1.6379288940848733E-3</c:v>
                </c:pt>
                <c:pt idx="407">
                  <c:v>-1.6354173871819574E-3</c:v>
                </c:pt>
                <c:pt idx="408">
                  <c:v>-1.6251556804605172E-3</c:v>
                </c:pt>
                <c:pt idx="409">
                  <c:v>-1.6225369405641757E-3</c:v>
                </c:pt>
                <c:pt idx="410">
                  <c:v>-1.6198971180060267E-3</c:v>
                </c:pt>
                <c:pt idx="411">
                  <c:v>-1.6172363340983633E-3</c:v>
                </c:pt>
                <c:pt idx="412">
                  <c:v>-1.6091294274012109E-3</c:v>
                </c:pt>
                <c:pt idx="413">
                  <c:v>-1.6063860112184147E-3</c:v>
                </c:pt>
                <c:pt idx="414">
                  <c:v>-1.6036222402475671E-3</c:v>
                </c:pt>
                <c:pt idx="415">
                  <c:v>-1.6008382358009608E-3</c:v>
                </c:pt>
                <c:pt idx="416">
                  <c:v>-1.5980341191908882E-3</c:v>
                </c:pt>
                <c:pt idx="417">
                  <c:v>-1.5895023095027975E-3</c:v>
                </c:pt>
                <c:pt idx="418">
                  <c:v>-1.5866189573617859E-3</c:v>
                </c:pt>
                <c:pt idx="419">
                  <c:v>-1.5837160996187711E-3</c:v>
                </c:pt>
                <c:pt idx="420">
                  <c:v>-1.5807938575860452E-3</c:v>
                </c:pt>
                <c:pt idx="421">
                  <c:v>-1.5778523525759014E-3</c:v>
                </c:pt>
                <c:pt idx="422">
                  <c:v>-1.5689134728038897E-3</c:v>
                </c:pt>
                <c:pt idx="423">
                  <c:v>-1.5658961290070002E-3</c:v>
                </c:pt>
                <c:pt idx="424">
                  <c:v>-1.5628601287941564E-3</c:v>
                </c:pt>
                <c:pt idx="425">
                  <c:v>-1.5598055934776503E-3</c:v>
                </c:pt>
                <c:pt idx="426">
                  <c:v>-1.5567326443697747E-3</c:v>
                </c:pt>
                <c:pt idx="427">
                  <c:v>-1.5474045274208564E-3</c:v>
                </c:pt>
                <c:pt idx="428">
                  <c:v>-1.5442591362704286E-3</c:v>
                </c:pt>
                <c:pt idx="429">
                  <c:v>-1.5410959378900943E-3</c:v>
                </c:pt>
                <c:pt idx="430">
                  <c:v>-1.5379150535921461E-3</c:v>
                </c:pt>
                <c:pt idx="431">
                  <c:v>-1.5347166046888771E-3</c:v>
                </c:pt>
                <c:pt idx="432">
                  <c:v>-1.5250170834700681E-3</c:v>
                </c:pt>
                <c:pt idx="433">
                  <c:v>-1.5217495892684402E-3</c:v>
                </c:pt>
                <c:pt idx="434">
                  <c:v>-1.5184651370229545E-3</c:v>
                </c:pt>
                <c:pt idx="435">
                  <c:v>-1.5151638480459032E-3</c:v>
                </c:pt>
                <c:pt idx="436">
                  <c:v>-1.5118458436495787E-3</c:v>
                </c:pt>
                <c:pt idx="437">
                  <c:v>-1.5017927510678954E-3</c:v>
                </c:pt>
                <c:pt idx="438">
                  <c:v>-1.4984090981174064E-3</c:v>
                </c:pt>
                <c:pt idx="439">
                  <c:v>-1.4950093363091071E-3</c:v>
                </c:pt>
                <c:pt idx="440">
                  <c:v>-1.4915935869552911E-3</c:v>
                </c:pt>
                <c:pt idx="441">
                  <c:v>-1.4881619713682504E-3</c:v>
                </c:pt>
                <c:pt idx="442">
                  <c:v>-1.4777731403307081E-3</c:v>
                </c:pt>
                <c:pt idx="443">
                  <c:v>-1.474279272933696E-3</c:v>
                </c:pt>
                <c:pt idx="444">
                  <c:v>-1.4707701458649225E-3</c:v>
                </c:pt>
                <c:pt idx="445">
                  <c:v>-1.4672458804366802E-3</c:v>
                </c:pt>
                <c:pt idx="446">
                  <c:v>-1.4637065979612618E-3</c:v>
                </c:pt>
                <c:pt idx="447">
                  <c:v>-1.4529998613748765E-3</c:v>
                </c:pt>
                <c:pt idx="448">
                  <c:v>-1.44940172383368E-3</c:v>
                </c:pt>
                <c:pt idx="449">
                  <c:v>-1.4457891758067702E-3</c:v>
                </c:pt>
                <c:pt idx="450">
                  <c:v>-1.4421623386064407E-3</c:v>
                </c:pt>
                <c:pt idx="451">
                  <c:v>-1.4385213335449836E-3</c:v>
                </c:pt>
                <c:pt idx="452">
                  <c:v>-1.4275145243167701E-3</c:v>
                </c:pt>
                <c:pt idx="453">
                  <c:v>-1.4238180609337282E-3</c:v>
                </c:pt>
                <c:pt idx="454">
                  <c:v>-1.4201080362510215E-3</c:v>
                </c:pt>
                <c:pt idx="455">
                  <c:v>-1.4163845715809424E-3</c:v>
                </c:pt>
                <c:pt idx="456">
                  <c:v>-1.4126477882357843E-3</c:v>
                </c:pt>
                <c:pt idx="457">
                  <c:v>-1.4013587392727605E-3</c:v>
                </c:pt>
                <c:pt idx="458">
                  <c:v>-1.3975698943502111E-3</c:v>
                </c:pt>
                <c:pt idx="459">
                  <c:v>-1.3937683373140453E-3</c:v>
                </c:pt>
                <c:pt idx="460">
                  <c:v>-1.3899541894765565E-3</c:v>
                </c:pt>
                <c:pt idx="461">
                  <c:v>-1.3861275721500366E-3</c:v>
                </c:pt>
                <c:pt idx="462">
                  <c:v>-1.3745741163592165E-3</c:v>
                </c:pt>
                <c:pt idx="463">
                  <c:v>-1.370698834199499E-3</c:v>
                </c:pt>
                <c:pt idx="464">
                  <c:v>-1.3668116891122132E-3</c:v>
                </c:pt>
                <c:pt idx="465">
                  <c:v>-1.3629128024096522E-3</c:v>
                </c:pt>
                <c:pt idx="466">
                  <c:v>-1.3590022954041085E-3</c:v>
                </c:pt>
                <c:pt idx="467">
                  <c:v>-1.3472022656925088E-3</c:v>
                </c:pt>
                <c:pt idx="468">
                  <c:v>-1.3432464905979609E-3</c:v>
                </c:pt>
                <c:pt idx="469">
                  <c:v>-1.3392797017618937E-3</c:v>
                </c:pt>
                <c:pt idx="470">
                  <c:v>-1.3353020204965997E-3</c:v>
                </c:pt>
                <c:pt idx="471">
                  <c:v>-1.3152544736619682E-3</c:v>
                </c:pt>
                <c:pt idx="472">
                  <c:v>-1.3112139853794578E-3</c:v>
                </c:pt>
                <c:pt idx="473">
                  <c:v>-1.3071634538537689E-3</c:v>
                </c:pt>
                <c:pt idx="474">
                  <c:v>-1.3031030003971948E-3</c:v>
                </c:pt>
                <c:pt idx="475">
                  <c:v>-1.290863321565082E-3</c:v>
                </c:pt>
                <c:pt idx="476">
                  <c:v>-1.2867643935078905E-3</c:v>
                </c:pt>
                <c:pt idx="477">
                  <c:v>-1.2826561500812763E-3</c:v>
                </c:pt>
                <c:pt idx="478">
                  <c:v>-1.2785387125975314E-3</c:v>
                </c:pt>
                <c:pt idx="479">
                  <c:v>-1.274412202368949E-3</c:v>
                </c:pt>
                <c:pt idx="480">
                  <c:v>-1.2619794483371041E-3</c:v>
                </c:pt>
                <c:pt idx="481">
                  <c:v>-1.2578178602520981E-3</c:v>
                </c:pt>
                <c:pt idx="482">
                  <c:v>-1.2536478059837176E-3</c:v>
                </c:pt>
                <c:pt idx="483">
                  <c:v>-1.2494694068442558E-3</c:v>
                </c:pt>
                <c:pt idx="484">
                  <c:v>-1.245282784146005E-3</c:v>
                </c:pt>
                <c:pt idx="485">
                  <c:v>-1.2326747878214422E-3</c:v>
                </c:pt>
                <c:pt idx="486">
                  <c:v>-1.228456484010961E-3</c:v>
                </c:pt>
                <c:pt idx="487">
                  <c:v>-1.224230563203154E-3</c:v>
                </c:pt>
                <c:pt idx="488">
                  <c:v>-1.219997146710313E-3</c:v>
                </c:pt>
                <c:pt idx="489">
                  <c:v>-1.2157563558447312E-3</c:v>
                </c:pt>
                <c:pt idx="490">
                  <c:v>-1.2029909501344682E-3</c:v>
                </c:pt>
                <c:pt idx="491">
                  <c:v>-1.1944460318559537E-3</c:v>
                </c:pt>
                <c:pt idx="492">
                  <c:v>-1.1901635423120724E-3</c:v>
                </c:pt>
                <c:pt idx="493">
                  <c:v>-1.1858745275814993E-3</c:v>
                </c:pt>
                <c:pt idx="494">
                  <c:v>-1.1729695453925508E-3</c:v>
                </c:pt>
                <c:pt idx="495">
                  <c:v>-1.1686556430381342E-3</c:v>
                </c:pt>
                <c:pt idx="496">
                  <c:v>-1.1643358220584882E-3</c:v>
                </c:pt>
                <c:pt idx="497">
                  <c:v>-1.1600102037659054E-3</c:v>
                </c:pt>
                <c:pt idx="498">
                  <c:v>-1.1556789094726789E-3</c:v>
                </c:pt>
                <c:pt idx="499">
                  <c:v>-1.1426521837120606E-3</c:v>
                </c:pt>
                <c:pt idx="500">
                  <c:v>-1.1382993985391838E-3</c:v>
                </c:pt>
                <c:pt idx="501">
                  <c:v>-1.1339415439271265E-3</c:v>
                </c:pt>
                <c:pt idx="502">
                  <c:v>-1.1295787411881811E-3</c:v>
                </c:pt>
                <c:pt idx="503">
                  <c:v>-1.1252111116346396E-3</c:v>
                </c:pt>
                <c:pt idx="504">
                  <c:v>-1.1120804752093683E-3</c:v>
                </c:pt>
                <c:pt idx="505">
                  <c:v>-1.1076947515203705E-3</c:v>
                </c:pt>
                <c:pt idx="506">
                  <c:v>-1.1033048075782402E-3</c:v>
                </c:pt>
                <c:pt idx="507">
                  <c:v>-1.0989107646952696E-3</c:v>
                </c:pt>
                <c:pt idx="508">
                  <c:v>-1.0945127441837523E-3</c:v>
                </c:pt>
                <c:pt idx="509">
                  <c:v>-1.0812960300008428E-3</c:v>
                </c:pt>
                <c:pt idx="510">
                  <c:v>-1.0768833120980627E-3</c:v>
                </c:pt>
                <c:pt idx="511">
                  <c:v>-1.0724672231281986E-3</c:v>
                </c:pt>
                <c:pt idx="512">
                  <c:v>-1.0680478844035423E-3</c:v>
                </c:pt>
                <c:pt idx="513">
                  <c:v>-1.0636254172363873E-3</c:v>
                </c:pt>
                <c:pt idx="514">
                  <c:v>-1.0503404582028557E-3</c:v>
                </c:pt>
                <c:pt idx="515">
                  <c:v>-1.0459066702095247E-3</c:v>
                </c:pt>
                <c:pt idx="516">
                  <c:v>-1.0414702392605182E-3</c:v>
                </c:pt>
                <c:pt idx="517">
                  <c:v>-1.0370311655934889E-3</c:v>
                </c:pt>
                <c:pt idx="518">
                  <c:v>-1.0325894494460899E-3</c:v>
                </c:pt>
                <c:pt idx="519">
                  <c:v>-1.0192484484982053E-3</c:v>
                </c:pt>
                <c:pt idx="520">
                  <c:v>-1.0147961648058566E-3</c:v>
                </c:pt>
                <c:pt idx="521">
                  <c:v>-1.0103412398214022E-3</c:v>
                </c:pt>
                <c:pt idx="522">
                  <c:v>-1.0058836737824959E-3</c:v>
                </c:pt>
                <c:pt idx="523">
                  <c:v>-1.0014234669267895E-3</c:v>
                </c:pt>
                <c:pt idx="524">
                  <c:v>-9.8802700383540405E-4</c:v>
                </c:pt>
                <c:pt idx="525">
                  <c:v>-9.835562360890292E-4</c:v>
                </c:pt>
                <c:pt idx="526">
                  <c:v>-9.7908282871411994E-4</c:v>
                </c:pt>
                <c:pt idx="527">
                  <c:v>-9.7460678194832753E-4</c:v>
                </c:pt>
                <c:pt idx="528">
                  <c:v>-9.7012809602930626E-4</c:v>
                </c:pt>
                <c:pt idx="529">
                  <c:v>-9.566762057293956E-4</c:v>
                </c:pt>
                <c:pt idx="530">
                  <c:v>-9.5218696557398605E-4</c:v>
                </c:pt>
                <c:pt idx="531">
                  <c:v>-9.4769508745361274E-4</c:v>
                </c:pt>
                <c:pt idx="532">
                  <c:v>-9.4320057160592681E-4</c:v>
                </c:pt>
                <c:pt idx="533">
                  <c:v>-9.3870341826858246E-4</c:v>
                </c:pt>
                <c:pt idx="534">
                  <c:v>-9.2519613569512244E-4</c:v>
                </c:pt>
                <c:pt idx="535">
                  <c:v>-9.2068843477567045E-4</c:v>
                </c:pt>
                <c:pt idx="536">
                  <c:v>-9.1617809755482383E-4</c:v>
                </c:pt>
                <c:pt idx="537">
                  <c:v>-9.1166512427023579E-4</c:v>
                </c:pt>
                <c:pt idx="538">
                  <c:v>-9.0714951515955965E-4</c:v>
                </c:pt>
                <c:pt idx="539">
                  <c:v>-8.9358687524752629E-4</c:v>
                </c:pt>
                <c:pt idx="540">
                  <c:v>-8.8906072520902348E-4</c:v>
                </c:pt>
                <c:pt idx="541">
                  <c:v>-8.8453194053269625E-4</c:v>
                </c:pt>
                <c:pt idx="542">
                  <c:v>-8.8000052145619781E-4</c:v>
                </c:pt>
                <c:pt idx="543">
                  <c:v>-8.7546646821718105E-4</c:v>
                </c:pt>
                <c:pt idx="544">
                  <c:v>-8.6184850590154875E-4</c:v>
                </c:pt>
                <c:pt idx="545">
                  <c:v>-8.5730391838898759E-4</c:v>
                </c:pt>
                <c:pt idx="546">
                  <c:v>-8.5275669790217158E-4</c:v>
                </c:pt>
                <c:pt idx="547">
                  <c:v>-8.4820684467875446E-4</c:v>
                </c:pt>
                <c:pt idx="548">
                  <c:v>-8.4365435895638924E-4</c:v>
                </c:pt>
                <c:pt idx="549">
                  <c:v>-8.2998110917213361E-4</c:v>
                </c:pt>
                <c:pt idx="550">
                  <c:v>-8.254180958305043E-4</c:v>
                </c:pt>
                <c:pt idx="551">
                  <c:v>-8.2085245117819111E-4</c:v>
                </c:pt>
                <c:pt idx="552">
                  <c:v>-8.1628417545284791E-4</c:v>
                </c:pt>
                <c:pt idx="553">
                  <c:v>-8.1171326889212616E-4</c:v>
                </c:pt>
                <c:pt idx="554">
                  <c:v>-7.9798476657422148E-4</c:v>
                </c:pt>
                <c:pt idx="555">
                  <c:v>-7.9340333904851662E-4</c:v>
                </c:pt>
                <c:pt idx="556">
                  <c:v>-7.8881928187569895E-4</c:v>
                </c:pt>
                <c:pt idx="557">
                  <c:v>-7.8423259529341997E-4</c:v>
                </c:pt>
                <c:pt idx="558">
                  <c:v>-7.7964327953933396E-4</c:v>
                </c:pt>
                <c:pt idx="559">
                  <c:v>-7.6585955962275626E-4</c:v>
                </c:pt>
                <c:pt idx="560">
                  <c:v>-7.6125972955796756E-4</c:v>
                </c:pt>
                <c:pt idx="561">
                  <c:v>-7.5665727150963551E-4</c:v>
                </c:pt>
                <c:pt idx="562">
                  <c:v>-7.5205218571541322E-4</c:v>
                </c:pt>
                <c:pt idx="563">
                  <c:v>-7.4744447241295413E-4</c:v>
                </c:pt>
                <c:pt idx="564">
                  <c:v>-7.3360556983267954E-4</c:v>
                </c:pt>
                <c:pt idx="565">
                  <c:v>-7.2898734887379883E-4</c:v>
                </c:pt>
                <c:pt idx="566">
                  <c:v>-7.2436650159494488E-4</c:v>
                </c:pt>
                <c:pt idx="567">
                  <c:v>-7.1974302823377102E-4</c:v>
                </c:pt>
                <c:pt idx="568">
                  <c:v>-7.1511692902793001E-4</c:v>
                </c:pt>
                <c:pt idx="569">
                  <c:v>-7.0122287871893284E-4</c:v>
                </c:pt>
                <c:pt idx="570">
                  <c:v>-6.9658627851095249E-4</c:v>
                </c:pt>
                <c:pt idx="571">
                  <c:v>-6.9194705364656857E-4</c:v>
                </c:pt>
                <c:pt idx="572">
                  <c:v>-6.8730520436343474E-4</c:v>
                </c:pt>
                <c:pt idx="573">
                  <c:v>-6.826607308992042E-4</c:v>
                </c:pt>
                <c:pt idx="574">
                  <c:v>-6.6871156779645916E-4</c:v>
                </c:pt>
                <c:pt idx="575">
                  <c:v>-6.6405659998437035E-4</c:v>
                </c:pt>
                <c:pt idx="576">
                  <c:v>-6.5939900917944818E-4</c:v>
                </c:pt>
                <c:pt idx="577">
                  <c:v>-6.5473879561934697E-4</c:v>
                </c:pt>
                <c:pt idx="578">
                  <c:v>-6.500759595417185E-4</c:v>
                </c:pt>
                <c:pt idx="579">
                  <c:v>-6.3607171858020152E-4</c:v>
                </c:pt>
                <c:pt idx="580">
                  <c:v>-6.3139839480899499E-4</c:v>
                </c:pt>
                <c:pt idx="581">
                  <c:v>-6.2672244970852619E-4</c:v>
                </c:pt>
                <c:pt idx="582">
                  <c:v>-6.2204388351644888E-4</c:v>
                </c:pt>
                <c:pt idx="583">
                  <c:v>-6.1736269647041442E-4</c:v>
                </c:pt>
                <c:pt idx="584">
                  <c:v>-6.0330341258510141E-4</c:v>
                </c:pt>
                <c:pt idx="585">
                  <c:v>-5.9861174449976986E-4</c:v>
                </c:pt>
                <c:pt idx="586">
                  <c:v>-5.9391745674874626E-4</c:v>
                </c:pt>
                <c:pt idx="587">
                  <c:v>-5.8922054956968371E-4</c:v>
                </c:pt>
                <c:pt idx="588">
                  <c:v>-5.8452102320023477E-4</c:v>
                </c:pt>
                <c:pt idx="589">
                  <c:v>-5.7040673132610121E-4</c:v>
                </c:pt>
                <c:pt idx="590">
                  <c:v>-5.6569673057163636E-4</c:v>
                </c:pt>
                <c:pt idx="591">
                  <c:v>-5.6098411181504978E-4</c:v>
                </c:pt>
                <c:pt idx="592">
                  <c:v>-5.5626887529399436E-4</c:v>
                </c:pt>
                <c:pt idx="593">
                  <c:v>-5.5155102124612287E-4</c:v>
                </c:pt>
                <c:pt idx="594">
                  <c:v>-5.3738175631814252E-4</c:v>
                </c:pt>
                <c:pt idx="595">
                  <c:v>-5.3265343453953609E-4</c:v>
                </c:pt>
                <c:pt idx="596">
                  <c:v>-5.2792249642237901E-4</c:v>
                </c:pt>
                <c:pt idx="597">
                  <c:v>-5.2318894220432244E-4</c:v>
                </c:pt>
                <c:pt idx="598">
                  <c:v>-5.1845277212302023E-4</c:v>
                </c:pt>
                <c:pt idx="599">
                  <c:v>-5.0422856907616825E-4</c:v>
                </c:pt>
                <c:pt idx="600">
                  <c:v>-4.9948193791841207E-4</c:v>
                </c:pt>
                <c:pt idx="601">
                  <c:v>-4.9473269208567534E-4</c:v>
                </c:pt>
                <c:pt idx="602">
                  <c:v>-4.8998083181560955E-4</c:v>
                </c:pt>
                <c:pt idx="603">
                  <c:v>-4.8522635734586905E-4</c:v>
                </c:pt>
                <c:pt idx="604">
                  <c:v>-4.7094725111512142E-4</c:v>
                </c:pt>
                <c:pt idx="605">
                  <c:v>-4.6618232222320714E-4</c:v>
                </c:pt>
                <c:pt idx="606">
                  <c:v>-4.61414780319882E-4</c:v>
                </c:pt>
                <c:pt idx="607">
                  <c:v>-4.5664462564279942E-4</c:v>
                </c:pt>
                <c:pt idx="608">
                  <c:v>-4.5187185842961083E-4</c:v>
                </c:pt>
                <c:pt idx="609">
                  <c:v>-4.3753788394994357E-4</c:v>
                </c:pt>
                <c:pt idx="610">
                  <c:v>-4.3275466896886309E-4</c:v>
                </c:pt>
                <c:pt idx="611">
                  <c:v>-4.2796884263994191E-4</c:v>
                </c:pt>
                <c:pt idx="612">
                  <c:v>-4.2318040520083279E-4</c:v>
                </c:pt>
                <c:pt idx="613">
                  <c:v>-4.1838935688918863E-4</c:v>
                </c:pt>
                <c:pt idx="614">
                  <c:v>-4.0400054909557636E-4</c:v>
                </c:pt>
                <c:pt idx="615">
                  <c:v>-3.9919905967032216E-4</c:v>
                </c:pt>
                <c:pt idx="616">
                  <c:v>-3.9439496056079665E-4</c:v>
                </c:pt>
                <c:pt idx="617">
                  <c:v>-3.8958825200465348E-4</c:v>
                </c:pt>
                <c:pt idx="618">
                  <c:v>-3.847789342395456E-4</c:v>
                </c:pt>
                <c:pt idx="619">
                  <c:v>-3.7033532806696347E-4</c:v>
                </c:pt>
                <c:pt idx="620">
                  <c:v>-3.6551557584252564E-4</c:v>
                </c:pt>
                <c:pt idx="621">
                  <c:v>-3.6069321559738845E-4</c:v>
                </c:pt>
                <c:pt idx="622">
                  <c:v>-3.5586824756920305E-4</c:v>
                </c:pt>
                <c:pt idx="623">
                  <c:v>-3.5104067199562321E-4</c:v>
                </c:pt>
                <c:pt idx="624">
                  <c:v>-3.3654230237904569E-4</c:v>
                </c:pt>
                <c:pt idx="625">
                  <c:v>-3.3170429900041692E-4</c:v>
                </c:pt>
                <c:pt idx="626">
                  <c:v>-3.268636892646589E-4</c:v>
                </c:pt>
                <c:pt idx="627">
                  <c:v>-3.2202047340942306E-4</c:v>
                </c:pt>
                <c:pt idx="628">
                  <c:v>-3.1717465167236373E-4</c:v>
                </c:pt>
                <c:pt idx="629">
                  <c:v>-3.0262155354676695E-4</c:v>
                </c:pt>
                <c:pt idx="630">
                  <c:v>-2.9776531065893891E-4</c:v>
                </c:pt>
                <c:pt idx="631">
                  <c:v>-2.9290646307755103E-4</c:v>
                </c:pt>
                <c:pt idx="632">
                  <c:v>-2.8804501104025634E-4</c:v>
                </c:pt>
                <c:pt idx="633">
                  <c:v>-2.831809547847085E-4</c:v>
                </c:pt>
                <c:pt idx="634">
                  <c:v>-2.6857316308506859E-4</c:v>
                </c:pt>
                <c:pt idx="635">
                  <c:v>-2.6369869233303301E-4</c:v>
                </c:pt>
                <c:pt idx="636">
                  <c:v>-2.5882161855100795E-4</c:v>
                </c:pt>
                <c:pt idx="637">
                  <c:v>-2.5394194197664625E-4</c:v>
                </c:pt>
                <c:pt idx="638">
                  <c:v>-2.4905966284760091E-4</c:v>
                </c:pt>
                <c:pt idx="639">
                  <c:v>-2.3439721250889214E-4</c:v>
                </c:pt>
                <c:pt idx="640">
                  <c:v>-2.2950452553764165E-4</c:v>
                </c:pt>
                <c:pt idx="641">
                  <c:v>-2.2460923719997108E-4</c:v>
                </c:pt>
                <c:pt idx="642">
                  <c:v>-2.1971134773353417E-4</c:v>
                </c:pt>
                <c:pt idx="643">
                  <c:v>-2.1481085737598378E-4</c:v>
                </c:pt>
                <c:pt idx="644">
                  <c:v>-2.000937833331808E-4</c:v>
                </c:pt>
                <c:pt idx="645">
                  <c:v>-1.9518289177361227E-4</c:v>
                </c:pt>
                <c:pt idx="646">
                  <c:v>-1.9026940042663E-4</c:v>
                </c:pt>
                <c:pt idx="647">
                  <c:v>-1.853533094453244E-4</c:v>
                </c:pt>
                <c:pt idx="648">
                  <c:v>-1.804346189827828E-4</c:v>
                </c:pt>
                <c:pt idx="649">
                  <c:v>-1.6566295223863583E-4</c:v>
                </c:pt>
                <c:pt idx="650">
                  <c:v>-1.6073386538204243E-4</c:v>
                </c:pt>
                <c:pt idx="651">
                  <c:v>-1.5580217980965837E-4</c:v>
                </c:pt>
                <c:pt idx="652">
                  <c:v>-1.5086789567457322E-4</c:v>
                </c:pt>
                <c:pt idx="653">
                  <c:v>-1.4593101312987441E-4</c:v>
                </c:pt>
                <c:pt idx="654">
                  <c:v>-1.3110477656899026E-4</c:v>
                </c:pt>
                <c:pt idx="655">
                  <c:v>-1.2615750191672881E-4</c:v>
                </c:pt>
                <c:pt idx="656">
                  <c:v>-1.2120762962029892E-4</c:v>
                </c:pt>
                <c:pt idx="657">
                  <c:v>-1.1625515983278949E-4</c:v>
                </c:pt>
                <c:pt idx="658">
                  <c:v>-1.1130009270728947E-4</c:v>
                </c:pt>
                <c:pt idx="659">
                  <c:v>-9.6419308833736213E-5</c:v>
                </c:pt>
                <c:pt idx="660">
                  <c:v>-8.1515154429466036E-5</c:v>
                </c:pt>
                <c:pt idx="661">
                  <c:v>-7.6541910224520822E-5</c:v>
                </c:pt>
                <c:pt idx="662">
                  <c:v>-6.1606601542364849E-5</c:v>
                </c:pt>
                <c:pt idx="663">
                  <c:v>-5.1636750562382602E-5</c:v>
                </c:pt>
                <c:pt idx="664">
                  <c:v>-4.6647931974094194E-5</c:v>
                </c:pt>
                <c:pt idx="665">
                  <c:v>-4.1656518191059793E-5</c:v>
                </c:pt>
                <c:pt idx="666">
                  <c:v>-2.6666707204369168E-5</c:v>
                </c:pt>
                <c:pt idx="667">
                  <c:v>-2.166491417324032E-5</c:v>
                </c:pt>
                <c:pt idx="668">
                  <c:v>-1.6660526712809123E-5</c:v>
                </c:pt>
                <c:pt idx="669">
                  <c:v>-1.1653544976165268E-5</c:v>
                </c:pt>
                <c:pt idx="670">
                  <c:v>-6.6439691163984456E-6</c:v>
                </c:pt>
                <c:pt idx="671">
                  <c:v>8.4003216707580004E-6</c:v>
                </c:pt>
                <c:pt idx="672">
                  <c:v>1.3420272492131702E-5</c:v>
                </c:pt>
                <c:pt idx="673">
                  <c:v>1.8442816671184641E-5</c:v>
                </c:pt>
                <c:pt idx="674">
                  <c:v>2.3467954054827135E-5</c:v>
                </c:pt>
                <c:pt idx="675">
                  <c:v>2.849568448997195E-5</c:v>
                </c:pt>
                <c:pt idx="676">
                  <c:v>4.359443257352537E-5</c:v>
                </c:pt>
                <c:pt idx="677">
                  <c:v>4.8632533683787061E-5</c:v>
                </c:pt>
                <c:pt idx="678">
                  <c:v>5.3673227080105742E-5</c:v>
                </c:pt>
                <c:pt idx="679">
                  <c:v>5.8716512609392527E-5</c:v>
                </c:pt>
                <c:pt idx="680">
                  <c:v>6.3762390118558474E-5</c:v>
                </c:pt>
                <c:pt idx="681">
                  <c:v>7.8915572994441648E-5</c:v>
                </c:pt>
                <c:pt idx="682">
                  <c:v>8.3971816892234561E-5</c:v>
                </c:pt>
                <c:pt idx="683">
                  <c:v>8.9030652004462986E-5</c:v>
                </c:pt>
                <c:pt idx="684">
                  <c:v>9.4092078178037184E-5</c:v>
                </c:pt>
                <c:pt idx="685">
                  <c:v>9.9156095259868309E-5</c:v>
                </c:pt>
                <c:pt idx="686">
                  <c:v>1.1436369042401317E-4</c:v>
                </c:pt>
                <c:pt idx="687">
                  <c:v>1.1943806960798287E-4</c:v>
                </c:pt>
                <c:pt idx="688">
                  <c:v>1.2451503893476501E-4</c:v>
                </c:pt>
                <c:pt idx="689">
                  <c:v>1.2959459825126983E-4</c:v>
                </c:pt>
                <c:pt idx="690">
                  <c:v>1.3467674740441009E-4</c:v>
                </c:pt>
                <c:pt idx="691">
                  <c:v>1.4993873235274948E-4</c:v>
                </c:pt>
                <c:pt idx="692">
                  <c:v>1.550312393215392E-4</c:v>
                </c:pt>
                <c:pt idx="693">
                  <c:v>1.601263353615182E-4</c:v>
                </c:pt>
                <c:pt idx="694">
                  <c:v>1.6522402031959928E-4</c:v>
                </c:pt>
                <c:pt idx="695">
                  <c:v>1.7032429404269258E-4</c:v>
                </c:pt>
                <c:pt idx="696">
                  <c:v>1.8564064627115686E-4</c:v>
                </c:pt>
                <c:pt idx="697">
                  <c:v>1.9075127352341054E-4</c:v>
                </c:pt>
                <c:pt idx="698">
                  <c:v>1.9586448877523203E-4</c:v>
                </c:pt>
                <c:pt idx="699">
                  <c:v>2.009802918735316E-4</c:v>
                </c:pt>
                <c:pt idx="700">
                  <c:v>2.0609868266522214E-4</c:v>
                </c:pt>
                <c:pt idx="701">
                  <c:v>2.2146937966974396E-4</c:v>
                </c:pt>
                <c:pt idx="702">
                  <c:v>2.2659811970410562E-4</c:v>
                </c:pt>
                <c:pt idx="703">
                  <c:v>2.3172944666641283E-4</c:v>
                </c:pt>
                <c:pt idx="704">
                  <c:v>2.3686336040357666E-4</c:v>
                </c:pt>
                <c:pt idx="705">
                  <c:v>2.4199986076250824E-4</c:v>
                </c:pt>
                <c:pt idx="706">
                  <c:v>2.5742488003901965E-4</c:v>
                </c:pt>
                <c:pt idx="707">
                  <c:v>2.6257172535413327E-4</c:v>
                </c:pt>
                <c:pt idx="708">
                  <c:v>2.6772115652556926E-4</c:v>
                </c:pt>
                <c:pt idx="709">
                  <c:v>2.7287317340024048E-4</c:v>
                </c:pt>
                <c:pt idx="710">
                  <c:v>2.7802777582505716E-4</c:v>
                </c:pt>
                <c:pt idx="711">
                  <c:v>2.9350709486949017E-4</c:v>
                </c:pt>
                <c:pt idx="712">
                  <c:v>2.9867203796399966E-4</c:v>
                </c:pt>
                <c:pt idx="713">
                  <c:v>3.0383956584321015E-4</c:v>
                </c:pt>
                <c:pt idx="714">
                  <c:v>3.0900967835403273E-4</c:v>
                </c:pt>
                <c:pt idx="715">
                  <c:v>3.1418237534337767E-4</c:v>
                </c:pt>
                <c:pt idx="716">
                  <c:v>3.2971597165166501E-4</c:v>
                </c:pt>
                <c:pt idx="717">
                  <c:v>3.3489900502421449E-4</c:v>
                </c:pt>
                <c:pt idx="718">
                  <c:v>3.4008462210984177E-4</c:v>
                </c:pt>
                <c:pt idx="719">
                  <c:v>3.4527282275545972E-4</c:v>
                </c:pt>
                <c:pt idx="720">
                  <c:v>3.5046360680797862E-4</c:v>
                </c:pt>
                <c:pt idx="721">
                  <c:v>3.6605145787605049E-4</c:v>
                </c:pt>
                <c:pt idx="722">
                  <c:v>3.7125257402528388E-4</c:v>
                </c:pt>
                <c:pt idx="723">
                  <c:v>3.7645627281597375E-4</c:v>
                </c:pt>
                <c:pt idx="724">
                  <c:v>3.8166255409503104E-4</c:v>
                </c:pt>
                <c:pt idx="725">
                  <c:v>3.8687141770936607E-4</c:v>
                </c:pt>
                <c:pt idx="726">
                  <c:v>4.0251350103315546E-4</c:v>
                </c:pt>
                <c:pt idx="727">
                  <c:v>4.0773269245771677E-4</c:v>
                </c:pt>
                <c:pt idx="728">
                  <c:v>4.1295446545211217E-4</c:v>
                </c:pt>
                <c:pt idx="729">
                  <c:v>4.1817881986325282E-4</c:v>
                </c:pt>
                <c:pt idx="730">
                  <c:v>4.2340575553804973E-4</c:v>
                </c:pt>
                <c:pt idx="731">
                  <c:v>4.3910204861348848E-4</c:v>
                </c:pt>
                <c:pt idx="732">
                  <c:v>4.4433930781202167E-4</c:v>
                </c:pt>
                <c:pt idx="733">
                  <c:v>4.4957914750876586E-4</c:v>
                </c:pt>
                <c:pt idx="734">
                  <c:v>4.5482156755063377E-4</c:v>
                </c:pt>
                <c:pt idx="735">
                  <c:v>4.6006656778453577E-4</c:v>
                </c:pt>
                <c:pt idx="736">
                  <c:v>4.758170481075568E-4</c:v>
                </c:pt>
                <c:pt idx="737">
                  <c:v>4.8107236757870508E-4</c:v>
                </c:pt>
                <c:pt idx="738">
                  <c:v>4.863302664764436E-4</c:v>
                </c:pt>
                <c:pt idx="739">
                  <c:v>4.915907446476829E-4</c:v>
                </c:pt>
                <c:pt idx="740">
                  <c:v>5.1793181924827633E-4</c:v>
                </c:pt>
                <c:pt idx="741">
                  <c:v>5.2320776984565243E-4</c:v>
                </c:pt>
                <c:pt idx="742">
                  <c:v>5.2848629864490611E-4</c:v>
                </c:pt>
                <c:pt idx="743">
                  <c:v>5.3376740549295019E-4</c:v>
                </c:pt>
                <c:pt idx="744">
                  <c:v>5.4962619279892906E-4</c:v>
                </c:pt>
                <c:pt idx="745">
                  <c:v>5.549176103112418E-4</c:v>
                </c:pt>
                <c:pt idx="746">
                  <c:v>5.6550817703281337E-4</c:v>
                </c:pt>
                <c:pt idx="747">
                  <c:v>5.7080732593589437E-4</c:v>
                </c:pt>
                <c:pt idx="748">
                  <c:v>5.8672023297725044E-4</c:v>
                </c:pt>
                <c:pt idx="749">
                  <c:v>5.9202968825811022E-4</c:v>
                </c:pt>
                <c:pt idx="750">
                  <c:v>5.9734171975069365E-4</c:v>
                </c:pt>
                <c:pt idx="751">
                  <c:v>6.0265632730191075E-4</c:v>
                </c:pt>
                <c:pt idx="752">
                  <c:v>6.079735107586727E-4</c:v>
                </c:pt>
                <c:pt idx="753">
                  <c:v>6.2394051503133802E-4</c:v>
                </c:pt>
                <c:pt idx="754">
                  <c:v>6.2926800057939059E-4</c:v>
                </c:pt>
                <c:pt idx="755">
                  <c:v>6.3459806126754345E-4</c:v>
                </c:pt>
                <c:pt idx="756">
                  <c:v>6.3993069694270703E-4</c:v>
                </c:pt>
                <c:pt idx="757">
                  <c:v>6.4526590745179384E-4</c:v>
                </c:pt>
                <c:pt idx="758">
                  <c:v>6.6128698645170122E-4</c:v>
                </c:pt>
                <c:pt idx="759">
                  <c:v>6.6663249476558864E-4</c:v>
                </c:pt>
                <c:pt idx="760">
                  <c:v>6.7198057714795516E-4</c:v>
                </c:pt>
                <c:pt idx="761">
                  <c:v>6.7733123344571077E-4</c:v>
                </c:pt>
                <c:pt idx="762">
                  <c:v>6.8268446350576667E-4</c:v>
                </c:pt>
                <c:pt idx="763">
                  <c:v>6.9875959472884643E-4</c:v>
                </c:pt>
                <c:pt idx="764">
                  <c:v>7.0412311830721447E-4</c:v>
                </c:pt>
                <c:pt idx="765">
                  <c:v>7.0948921488243834E-4</c:v>
                </c:pt>
                <c:pt idx="766">
                  <c:v>7.1485788430142836E-4</c:v>
                </c:pt>
                <c:pt idx="767">
                  <c:v>7.2022912641109727E-4</c:v>
                </c:pt>
                <c:pt idx="768">
                  <c:v>7.3635828735328212E-4</c:v>
                </c:pt>
                <c:pt idx="769">
                  <c:v>7.4173981865530993E-4</c:v>
                </c:pt>
                <c:pt idx="770">
                  <c:v>7.4712392164578588E-4</c:v>
                </c:pt>
                <c:pt idx="771">
                  <c:v>7.5251059593483638E-4</c:v>
                </c:pt>
                <c:pt idx="772">
                  <c:v>7.578998411325869E-4</c:v>
                </c:pt>
                <c:pt idx="773">
                  <c:v>7.7408299827929901E-4</c:v>
                </c:pt>
                <c:pt idx="774">
                  <c:v>7.7948252321310919E-4</c:v>
                </c:pt>
                <c:pt idx="775">
                  <c:v>7.8488461710625023E-4</c:v>
                </c:pt>
                <c:pt idx="776">
                  <c:v>7.9028927956884703E-4</c:v>
                </c:pt>
                <c:pt idx="777">
                  <c:v>7.956965102110257E-4</c:v>
                </c:pt>
                <c:pt idx="778">
                  <c:v>8.1193360731631218E-4</c:v>
                </c:pt>
                <c:pt idx="779">
                  <c:v>8.1735110677807674E-4</c:v>
                </c:pt>
                <c:pt idx="780">
                  <c:v>8.2277117247005357E-4</c:v>
                </c:pt>
                <c:pt idx="781">
                  <c:v>8.2819380400236725E-4</c:v>
                </c:pt>
                <c:pt idx="782">
                  <c:v>8.3361900098514498E-4</c:v>
                </c:pt>
                <c:pt idx="783">
                  <c:v>8.4990998073751858E-4</c:v>
                </c:pt>
                <c:pt idx="784">
                  <c:v>8.553454356234095E-4</c:v>
                </c:pt>
                <c:pt idx="785">
                  <c:v>8.6078345401039357E-4</c:v>
                </c:pt>
                <c:pt idx="786">
                  <c:v>8.6622403550859592E-4</c:v>
                </c:pt>
                <c:pt idx="787">
                  <c:v>8.7166717972814395E-4</c:v>
                </c:pt>
                <c:pt idx="788">
                  <c:v>8.8801198481611686E-4</c:v>
                </c:pt>
                <c:pt idx="789">
                  <c:v>8.9346537602230441E-4</c:v>
                </c:pt>
                <c:pt idx="790">
                  <c:v>8.9892132800046664E-4</c:v>
                </c:pt>
                <c:pt idx="791">
                  <c:v>9.0437984036072965E-4</c:v>
                </c:pt>
                <c:pt idx="792">
                  <c:v>9.09840912713219E-4</c:v>
                </c:pt>
                <c:pt idx="793">
                  <c:v>9.2623948582530482E-4</c:v>
                </c:pt>
                <c:pt idx="794">
                  <c:v>9.3171079424796013E-4</c:v>
                </c:pt>
                <c:pt idx="795">
                  <c:v>9.3718466071347154E-4</c:v>
                </c:pt>
                <c:pt idx="796">
                  <c:v>9.4266108483196537E-4</c:v>
                </c:pt>
                <c:pt idx="797">
                  <c:v>9.4814006621356749E-4</c:v>
                </c:pt>
                <c:pt idx="798">
                  <c:v>9.6459235003828092E-4</c:v>
                </c:pt>
                <c:pt idx="799">
                  <c:v>9.7008155657357512E-4</c:v>
                </c:pt>
                <c:pt idx="800">
                  <c:v>9.7557331842260608E-4</c:v>
                </c:pt>
                <c:pt idx="801">
                  <c:v>9.8106763519550185E-4</c:v>
                </c:pt>
                <c:pt idx="802">
                  <c:v>9.8656450650238744E-4</c:v>
                </c:pt>
                <c:pt idx="803">
                  <c:v>1.0030704437282423E-3</c:v>
                </c:pt>
                <c:pt idx="804">
                  <c:v>1.0085775292723452E-3</c:v>
                </c:pt>
                <c:pt idx="805">
                  <c:v>1.0140871674010688E-3</c:v>
                </c:pt>
                <c:pt idx="806">
                  <c:v>1.0195993577245379E-3</c:v>
                </c:pt>
                <c:pt idx="807">
                  <c:v>1.0251140998528772E-3</c:v>
                </c:pt>
                <c:pt idx="808">
                  <c:v>1.0416736331683855E-3</c:v>
                </c:pt>
                <c:pt idx="809">
                  <c:v>1.0471985786174708E-3</c:v>
                </c:pt>
                <c:pt idx="810">
                  <c:v>1.0527260739220568E-3</c:v>
                </c:pt>
                <c:pt idx="811">
                  <c:v>1.0582561186922692E-3</c:v>
                </c:pt>
                <c:pt idx="812">
                  <c:v>1.0637887125382352E-3</c:v>
                </c:pt>
                <c:pt idx="813">
                  <c:v>1.0804017846319095E-3</c:v>
                </c:pt>
                <c:pt idx="814">
                  <c:v>1.0859445708821468E-3</c:v>
                </c:pt>
                <c:pt idx="815">
                  <c:v>1.0914899042587668E-3</c:v>
                </c:pt>
                <c:pt idx="816">
                  <c:v>1.0970377843718951E-3</c:v>
                </c:pt>
                <c:pt idx="817">
                  <c:v>1.1025882108316582E-3</c:v>
                </c:pt>
                <c:pt idx="818">
                  <c:v>1.119254764392012E-3</c:v>
                </c:pt>
                <c:pt idx="819">
                  <c:v>1.1248153723395725E-3</c:v>
                </c:pt>
                <c:pt idx="820">
                  <c:v>1.1303785246843973E-3</c:v>
                </c:pt>
                <c:pt idx="821">
                  <c:v>1.135944221036612E-3</c:v>
                </c:pt>
                <c:pt idx="822">
                  <c:v>1.141512461006343E-3</c:v>
                </c:pt>
                <c:pt idx="823">
                  <c:v>1.1582324387218914E-3</c:v>
                </c:pt>
                <c:pt idx="824">
                  <c:v>1.1638108492629464E-3</c:v>
                </c:pt>
                <c:pt idx="825">
                  <c:v>1.1693918014721461E-3</c:v>
                </c:pt>
                <c:pt idx="826">
                  <c:v>1.1749752949596186E-3</c:v>
                </c:pt>
                <c:pt idx="827">
                  <c:v>1.1805613293354887E-3</c:v>
                </c:pt>
                <c:pt idx="828">
                  <c:v>1.1973346738947449E-3</c:v>
                </c:pt>
                <c:pt idx="829">
                  <c:v>1.2029308679254653E-3</c:v>
                </c:pt>
                <c:pt idx="830">
                  <c:v>1.2085296008952121E-3</c:v>
                </c:pt>
                <c:pt idx="831">
                  <c:v>1.2141308724141131E-3</c:v>
                </c:pt>
                <c:pt idx="832">
                  <c:v>1.2197346820922927E-3</c:v>
                </c:pt>
                <c:pt idx="833">
                  <c:v>1.2365613361837691E-3</c:v>
                </c:pt>
                <c:pt idx="834">
                  <c:v>1.2421752946003258E-3</c:v>
                </c:pt>
                <c:pt idx="835">
                  <c:v>1.2477917892267918E-3</c:v>
                </c:pt>
                <c:pt idx="836">
                  <c:v>1.2534108196732927E-3</c:v>
                </c:pt>
                <c:pt idx="837">
                  <c:v>1.2590323855499537E-3</c:v>
                </c:pt>
                <c:pt idx="838">
                  <c:v>1.2759122918621628E-3</c:v>
                </c:pt>
                <c:pt idx="839">
                  <c:v>1.2815439955607272E-3</c:v>
                </c:pt>
                <c:pt idx="840">
                  <c:v>1.2871782327400823E-3</c:v>
                </c:pt>
                <c:pt idx="841">
                  <c:v>1.2928150030103542E-3</c:v>
                </c:pt>
                <c:pt idx="842">
                  <c:v>1.2984543059816683E-3</c:v>
                </c:pt>
                <c:pt idx="843">
                  <c:v>1.3153874072031244E-3</c:v>
                </c:pt>
                <c:pt idx="844">
                  <c:v>1.3210368370798671E-3</c:v>
                </c:pt>
                <c:pt idx="845">
                  <c:v>1.3266887977082826E-3</c:v>
                </c:pt>
                <c:pt idx="846">
                  <c:v>1.3323432886984965E-3</c:v>
                </c:pt>
                <c:pt idx="847">
                  <c:v>1.3380003096606339E-3</c:v>
                </c:pt>
                <c:pt idx="848">
                  <c:v>1.3549865484798512E-3</c:v>
                </c:pt>
                <c:pt idx="849">
                  <c:v>1.3606536854309436E-3</c:v>
                </c:pt>
                <c:pt idx="850">
                  <c:v>1.3663233504045906E-3</c:v>
                </c:pt>
                <c:pt idx="851">
                  <c:v>1.3719955430109166E-3</c:v>
                </c:pt>
                <c:pt idx="852">
                  <c:v>1.3776702628600492E-3</c:v>
                </c:pt>
                <c:pt idx="853">
                  <c:v>1.3947095819655398E-3</c:v>
                </c:pt>
                <c:pt idx="854">
                  <c:v>1.4003944068871543E-3</c:v>
                </c:pt>
                <c:pt idx="855">
                  <c:v>1.4060817571022038E-3</c:v>
                </c:pt>
                <c:pt idx="856">
                  <c:v>1.4117716322208141E-3</c:v>
                </c:pt>
                <c:pt idx="857">
                  <c:v>1.4174640318531122E-3</c:v>
                </c:pt>
                <c:pt idx="858">
                  <c:v>1.4345563739333888E-3</c:v>
                </c:pt>
                <c:pt idx="859">
                  <c:v>1.4402588677216955E-3</c:v>
                </c:pt>
                <c:pt idx="860">
                  <c:v>1.4459638840743187E-3</c:v>
                </c:pt>
                <c:pt idx="861">
                  <c:v>1.4516714226013854E-3</c:v>
                </c:pt>
                <c:pt idx="862">
                  <c:v>1.4573814829130192E-3</c:v>
                </c:pt>
                <c:pt idx="863">
                  <c:v>1.4745267906565961E-3</c:v>
                </c:pt>
                <c:pt idx="864">
                  <c:v>1.480246934207766E-3</c:v>
                </c:pt>
                <c:pt idx="865">
                  <c:v>1.4859695975941343E-3</c:v>
                </c:pt>
                <c:pt idx="866">
                  <c:v>1.4916947804258271E-3</c:v>
                </c:pt>
                <c:pt idx="867">
                  <c:v>1.4974224823129699E-3</c:v>
                </c:pt>
                <c:pt idx="868">
                  <c:v>1.5146206984083604E-3</c:v>
                </c:pt>
                <c:pt idx="869">
                  <c:v>1.5203584726185648E-3</c:v>
                </c:pt>
                <c:pt idx="870">
                  <c:v>1.5260987639348479E-3</c:v>
                </c:pt>
                <c:pt idx="871">
                  <c:v>1.5318415719673382E-3</c:v>
                </c:pt>
                <c:pt idx="872">
                  <c:v>1.5375868963261603E-3</c:v>
                </c:pt>
                <c:pt idx="873">
                  <c:v>1.5548379634618785E-3</c:v>
                </c:pt>
                <c:pt idx="874">
                  <c:v>1.5605933492272872E-3</c:v>
                </c:pt>
                <c:pt idx="875">
                  <c:v>1.5663512493696583E-3</c:v>
                </c:pt>
                <c:pt idx="876">
                  <c:v>1.5721116634991163E-3</c:v>
                </c:pt>
                <c:pt idx="877">
                  <c:v>1.5778745912257888E-3</c:v>
                </c:pt>
                <c:pt idx="878">
                  <c:v>1.5951784520903472E-3</c:v>
                </c:pt>
                <c:pt idx="879">
                  <c:v>1.6009514303071332E-3</c:v>
                </c:pt>
                <c:pt idx="880">
                  <c:v>1.6067269201717627E-3</c:v>
                </c:pt>
                <c:pt idx="881">
                  <c:v>1.6125049212943605E-3</c:v>
                </c:pt>
                <c:pt idx="882">
                  <c:v>1.6182854332850542E-3</c:v>
                </c:pt>
                <c:pt idx="883">
                  <c:v>1.6356420305669648E-3</c:v>
                </c:pt>
                <c:pt idx="884">
                  <c:v>1.6414325821312989E-3</c:v>
                </c:pt>
                <c:pt idx="885">
                  <c:v>1.6472256426143576E-3</c:v>
                </c:pt>
                <c:pt idx="886">
                  <c:v>1.653021211626267E-3</c:v>
                </c:pt>
                <c:pt idx="887">
                  <c:v>1.6588192887771532E-3</c:v>
                </c:pt>
                <c:pt idx="888">
                  <c:v>1.6762285651649299E-3</c:v>
                </c:pt>
                <c:pt idx="889">
                  <c:v>1.6820366709729827E-3</c:v>
                </c:pt>
                <c:pt idx="890">
                  <c:v>1.6878472829706416E-3</c:v>
                </c:pt>
                <c:pt idx="891">
                  <c:v>1.6936604007680332E-3</c:v>
                </c:pt>
                <c:pt idx="892">
                  <c:v>1.699476023975283E-3</c:v>
                </c:pt>
                <c:pt idx="893">
                  <c:v>1.7169379221574407E-3</c:v>
                </c:pt>
                <c:pt idx="894">
                  <c:v>1.7227635631053833E-3</c:v>
                </c:pt>
                <c:pt idx="895">
                  <c:v>1.7285917075138128E-3</c:v>
                </c:pt>
                <c:pt idx="896">
                  <c:v>1.7344223549928574E-3</c:v>
                </c:pt>
                <c:pt idx="897">
                  <c:v>1.7402555051526417E-3</c:v>
                </c:pt>
                <c:pt idx="898">
                  <c:v>1.757769967817694E-3</c:v>
                </c:pt>
                <c:pt idx="899">
                  <c:v>1.7636131253325603E-3</c:v>
                </c:pt>
                <c:pt idx="900">
                  <c:v>1.7694587867639719E-3</c:v>
                </c:pt>
                <c:pt idx="901">
                  <c:v>1.7753069549072331E-3</c:v>
                </c:pt>
                <c:pt idx="902">
                  <c:v>1.7811576325576452E-3</c:v>
                </c:pt>
                <c:pt idx="903">
                  <c:v>1.7987247505048176E-3</c:v>
                </c:pt>
                <c:pt idx="904">
                  <c:v>1.8045854941368617E-3</c:v>
                </c:pt>
                <c:pt idx="905">
                  <c:v>1.8104487612525702E-3</c:v>
                </c:pt>
                <c:pt idx="906">
                  <c:v>1.8163145546472455E-3</c:v>
                </c:pt>
                <c:pt idx="907">
                  <c:v>1.8221828771161892E-3</c:v>
                </c:pt>
                <c:pt idx="908">
                  <c:v>1.8398030469216648E-3</c:v>
                </c:pt>
                <c:pt idx="909">
                  <c:v>1.8456815136407129E-3</c:v>
                </c:pt>
                <c:pt idx="910">
                  <c:v>1.8515625234105432E-3</c:v>
                </c:pt>
                <c:pt idx="911">
                  <c:v>1.8574460790264583E-3</c:v>
                </c:pt>
                <c:pt idx="912">
                  <c:v>1.8633321832837613E-3</c:v>
                </c:pt>
                <c:pt idx="913">
                  <c:v>1.8810058158570191E-3</c:v>
                </c:pt>
                <c:pt idx="914">
                  <c:v>1.8869021426328966E-3</c:v>
                </c:pt>
                <c:pt idx="915">
                  <c:v>1.9046065098491437E-3</c:v>
                </c:pt>
                <c:pt idx="916">
                  <c:v>1.9223340160996634E-3</c:v>
                </c:pt>
                <c:pt idx="917">
                  <c:v>1.9282483399021971E-3</c:v>
                </c:pt>
                <c:pt idx="918">
                  <c:v>1.9400523828832002E-3</c:v>
                </c:pt>
                <c:pt idx="919">
                  <c:v>1.9459582634458255E-3</c:v>
                </c:pt>
                <c:pt idx="920">
                  <c:v>1.9636913746916272E-3</c:v>
                </c:pt>
                <c:pt idx="921">
                  <c:v>1.9696075775343779E-3</c:v>
                </c:pt>
                <c:pt idx="922">
                  <c:v>1.9755263678782938E-3</c:v>
                </c:pt>
                <c:pt idx="923">
                  <c:v>1.9814477484958251E-3</c:v>
                </c:pt>
                <c:pt idx="924">
                  <c:v>1.9873717221594259E-3</c:v>
                </c:pt>
                <c:pt idx="925">
                  <c:v>2.005159229151174E-3</c:v>
                </c:pt>
                <c:pt idx="926">
                  <c:v>2.0110936027235805E-3</c:v>
                </c:pt>
                <c:pt idx="927">
                  <c:v>2.0170305832043199E-3</c:v>
                </c:pt>
                <c:pt idx="928">
                  <c:v>2.0229701733658458E-3</c:v>
                </c:pt>
                <c:pt idx="929">
                  <c:v>2.0289123759806103E-3</c:v>
                </c:pt>
                <c:pt idx="930">
                  <c:v>2.046754686268866E-3</c:v>
                </c:pt>
                <c:pt idx="931">
                  <c:v>2.0527073664211148E-3</c:v>
                </c:pt>
                <c:pt idx="932">
                  <c:v>2.0586626728888663E-3</c:v>
                </c:pt>
                <c:pt idx="933">
                  <c:v>2.064620608444573E-3</c:v>
                </c:pt>
                <c:pt idx="934">
                  <c:v>2.070581175860689E-3</c:v>
                </c:pt>
                <c:pt idx="935">
                  <c:v>2.0884786969960147E-3</c:v>
                </c:pt>
                <c:pt idx="936">
                  <c:v>2.0944498195782932E-3</c:v>
                </c:pt>
                <c:pt idx="937">
                  <c:v>2.1004235878832427E-3</c:v>
                </c:pt>
                <c:pt idx="938">
                  <c:v>2.1064000046833189E-3</c:v>
                </c:pt>
                <c:pt idx="939">
                  <c:v>2.1123790727509729E-3</c:v>
                </c:pt>
                <c:pt idx="940">
                  <c:v>2.1303322122839317E-3</c:v>
                </c:pt>
                <c:pt idx="941">
                  <c:v>2.136321913146427E-3</c:v>
                </c:pt>
                <c:pt idx="942">
                  <c:v>2.142314279138764E-3</c:v>
                </c:pt>
                <c:pt idx="943">
                  <c:v>2.1483093130333954E-3</c:v>
                </c:pt>
                <c:pt idx="944">
                  <c:v>2.154307017602775E-3</c:v>
                </c:pt>
                <c:pt idx="945">
                  <c:v>2.1723161830839301E-3</c:v>
                </c:pt>
                <c:pt idx="946">
                  <c:v>2.1783245980768278E-3</c:v>
                </c:pt>
                <c:pt idx="947">
                  <c:v>2.1843356976067392E-3</c:v>
                </c:pt>
                <c:pt idx="948">
                  <c:v>2.1903494844461142E-3</c:v>
                </c:pt>
                <c:pt idx="949">
                  <c:v>2.1963659613674067E-3</c:v>
                </c:pt>
                <c:pt idx="950">
                  <c:v>2.2144315603473178E-3</c:v>
                </c:pt>
                <c:pt idx="951">
                  <c:v>2.2204588253208085E-3</c:v>
                </c:pt>
                <c:pt idx="952">
                  <c:v>2.2264887942384801E-3</c:v>
                </c:pt>
                <c:pt idx="953">
                  <c:v>2.232521469872786E-3</c:v>
                </c:pt>
                <c:pt idx="954">
                  <c:v>2.2385568549961798E-3</c:v>
                </c:pt>
                <c:pt idx="955">
                  <c:v>2.2566792950254092E-3</c:v>
                </c:pt>
                <c:pt idx="956">
                  <c:v>2.2627255458296789E-3</c:v>
                </c:pt>
                <c:pt idx="957">
                  <c:v>2.2687745199852995E-3</c:v>
                </c:pt>
                <c:pt idx="958">
                  <c:v>2.2748262202647233E-3</c:v>
                </c:pt>
                <c:pt idx="959">
                  <c:v>2.2808806494404046E-3</c:v>
                </c:pt>
                <c:pt idx="960">
                  <c:v>2.2990603380695154E-3</c:v>
                </c:pt>
                <c:pt idx="961">
                  <c:v>2.3051257105547508E-3</c:v>
                </c:pt>
                <c:pt idx="962">
                  <c:v>2.3111938257985068E-3</c:v>
                </c:pt>
                <c:pt idx="963">
                  <c:v>2.3172646865732369E-3</c:v>
                </c:pt>
                <c:pt idx="964">
                  <c:v>2.323338295651393E-3</c:v>
                </c:pt>
                <c:pt idx="965">
                  <c:v>2.3415756404309472E-3</c:v>
                </c:pt>
                <c:pt idx="966">
                  <c:v>2.3476602704473369E-3</c:v>
                </c:pt>
                <c:pt idx="967">
                  <c:v>2.3537476626294168E-3</c:v>
                </c:pt>
                <c:pt idx="968">
                  <c:v>2.3598378197496389E-3</c:v>
                </c:pt>
                <c:pt idx="969">
                  <c:v>2.3659307445804581E-3</c:v>
                </c:pt>
                <c:pt idx="970">
                  <c:v>2.384226153061018E-3</c:v>
                </c:pt>
                <c:pt idx="971">
                  <c:v>2.3903301764587482E-3</c:v>
                </c:pt>
                <c:pt idx="972">
                  <c:v>2.3964369814293385E-3</c:v>
                </c:pt>
                <c:pt idx="973">
                  <c:v>2.4025465707452421E-3</c:v>
                </c:pt>
                <c:pt idx="974">
                  <c:v>2.4086589471789097E-3</c:v>
                </c:pt>
                <c:pt idx="975">
                  <c:v>2.4270128269110371E-3</c:v>
                </c:pt>
                <c:pt idx="976">
                  <c:v>2.4331363795402966E-3</c:v>
                </c:pt>
                <c:pt idx="977">
                  <c:v>2.4392627331495842E-3</c:v>
                </c:pt>
                <c:pt idx="978">
                  <c:v>2.4453918905113555E-3</c:v>
                </c:pt>
                <c:pt idx="979">
                  <c:v>2.4515238543980616E-3</c:v>
                </c:pt>
                <c:pt idx="980">
                  <c:v>2.469936612932318E-3</c:v>
                </c:pt>
                <c:pt idx="981">
                  <c:v>2.4760798306432924E-3</c:v>
                </c:pt>
                <c:pt idx="982">
                  <c:v>2.4822258687414666E-3</c:v>
                </c:pt>
                <c:pt idx="983">
                  <c:v>2.4883747299992917E-3</c:v>
                </c:pt>
                <c:pt idx="984">
                  <c:v>2.4945264171892228E-3</c:v>
                </c:pt>
                <c:pt idx="985">
                  <c:v>2.5129984620761705E-3</c:v>
                </c:pt>
                <c:pt idx="986">
                  <c:v>2.5191614807190486E-3</c:v>
                </c:pt>
                <c:pt idx="987">
                  <c:v>2.5253273391562946E-3</c:v>
                </c:pt>
                <c:pt idx="988">
                  <c:v>2.5314960401603636E-3</c:v>
                </c:pt>
                <c:pt idx="989">
                  <c:v>2.5623822807188759E-3</c:v>
                </c:pt>
                <c:pt idx="990">
                  <c:v>2.5685680953453829E-3</c:v>
                </c:pt>
                <c:pt idx="991">
                  <c:v>2.5747567719458801E-3</c:v>
                </c:pt>
                <c:pt idx="992">
                  <c:v>2.5809483132928222E-3</c:v>
                </c:pt>
                <c:pt idx="993">
                  <c:v>2.5995401535368412E-3</c:v>
                </c:pt>
                <c:pt idx="994">
                  <c:v>2.6057431815940868E-3</c:v>
                </c:pt>
                <c:pt idx="995">
                  <c:v>2.6119490882600409E-3</c:v>
                </c:pt>
                <c:pt idx="996">
                  <c:v>2.6181578763071565E-3</c:v>
                </c:pt>
                <c:pt idx="997">
                  <c:v>2.6243695485078846E-3</c:v>
                </c:pt>
                <c:pt idx="998">
                  <c:v>2.6430218977562814E-3</c:v>
                </c:pt>
                <c:pt idx="999">
                  <c:v>2.6492451342959929E-3</c:v>
                </c:pt>
                <c:pt idx="1000">
                  <c:v>2.6554712688515811E-3</c:v>
                </c:pt>
                <c:pt idx="1001">
                  <c:v>2.6617003041955012E-3</c:v>
                </c:pt>
                <c:pt idx="1002">
                  <c:v>2.6866455089035401E-3</c:v>
                </c:pt>
                <c:pt idx="1003">
                  <c:v>2.6928890897759046E-3</c:v>
                </c:pt>
                <c:pt idx="1004">
                  <c:v>2.6991355880713161E-3</c:v>
                </c:pt>
                <c:pt idx="1005">
                  <c:v>2.7053850065622267E-3</c:v>
                </c:pt>
                <c:pt idx="1006">
                  <c:v>2.7116373480210914E-3</c:v>
                </c:pt>
                <c:pt idx="1007">
                  <c:v>2.7304119379299298E-3</c:v>
                </c:pt>
                <c:pt idx="1008">
                  <c:v>2.7366759989851338E-3</c:v>
                </c:pt>
                <c:pt idx="1009">
                  <c:v>2.7429429968705539E-3</c:v>
                </c:pt>
                <c:pt idx="1010">
                  <c:v>2.7492129343586447E-3</c:v>
                </c:pt>
                <c:pt idx="1011">
                  <c:v>2.7554858142218586E-3</c:v>
                </c:pt>
                <c:pt idx="1012">
                  <c:v>2.7743221357867608E-3</c:v>
                </c:pt>
                <c:pt idx="1013">
                  <c:v>2.7806068128749931E-3</c:v>
                </c:pt>
                <c:pt idx="1014">
                  <c:v>2.786894446200611E-3</c:v>
                </c:pt>
                <c:pt idx="1015">
                  <c:v>2.7931850385360672E-3</c:v>
                </c:pt>
                <c:pt idx="1016">
                  <c:v>2.7994785926538173E-3</c:v>
                </c:pt>
                <c:pt idx="1017">
                  <c:v>2.818377053425347E-3</c:v>
                </c:pt>
                <c:pt idx="1018">
                  <c:v>2.8246824823967925E-3</c:v>
                </c:pt>
                <c:pt idx="1019">
                  <c:v>2.8309908870127951E-3</c:v>
                </c:pt>
                <c:pt idx="1020">
                  <c:v>2.8373022700458063E-3</c:v>
                </c:pt>
                <c:pt idx="1021">
                  <c:v>2.8436166342682787E-3</c:v>
                </c:pt>
                <c:pt idx="1022">
                  <c:v>2.862577641796996E-3</c:v>
                </c:pt>
                <c:pt idx="1023">
                  <c:v>2.8689039585018459E-3</c:v>
                </c:pt>
                <c:pt idx="1024">
                  <c:v>2.8752332696053403E-3</c:v>
                </c:pt>
                <c:pt idx="1025">
                  <c:v>2.8815655746145413E-3</c:v>
                </c:pt>
                <c:pt idx="1026">
                  <c:v>2.8879008723834251E-3</c:v>
                </c:pt>
                <c:pt idx="1027">
                  <c:v>2.9069247107879766E-3</c:v>
                </c:pt>
                <c:pt idx="1028">
                  <c:v>2.9132719681353903E-3</c:v>
                </c:pt>
                <c:pt idx="1029">
                  <c:v>2.9196222125123859E-3</c:v>
                </c:pt>
                <c:pt idx="1030">
                  <c:v>2.9259754427729393E-3</c:v>
                </c:pt>
                <c:pt idx="1031">
                  <c:v>2.9323316577710319E-3</c:v>
                </c:pt>
                <c:pt idx="1032">
                  <c:v>2.9514181997303403E-3</c:v>
                </c:pt>
                <c:pt idx="1033">
                  <c:v>2.9577863422183808E-3</c:v>
                </c:pt>
                <c:pt idx="1034">
                  <c:v>2.9641574637138571E-3</c:v>
                </c:pt>
                <c:pt idx="1035">
                  <c:v>2.9705315630707495E-3</c:v>
                </c:pt>
                <c:pt idx="1036">
                  <c:v>2.9769086391430344E-3</c:v>
                </c:pt>
                <c:pt idx="1037">
                  <c:v>2.9960577161920439E-3</c:v>
                </c:pt>
                <c:pt idx="1038">
                  <c:v>3.0024466876656958E-3</c:v>
                </c:pt>
                <c:pt idx="1039">
                  <c:v>3.0088386301246398E-3</c:v>
                </c:pt>
                <c:pt idx="1040">
                  <c:v>3.0152335424228505E-3</c:v>
                </c:pt>
                <c:pt idx="1041">
                  <c:v>3.0216314234143117E-3</c:v>
                </c:pt>
                <c:pt idx="1042">
                  <c:v>3.0408428670879741E-3</c:v>
                </c:pt>
                <c:pt idx="1043">
                  <c:v>3.0472526113922193E-3</c:v>
                </c:pt>
                <c:pt idx="1044">
                  <c:v>3.0536653186596118E-3</c:v>
                </c:pt>
                <c:pt idx="1045">
                  <c:v>3.0600809877441258E-3</c:v>
                </c:pt>
                <c:pt idx="1046">
                  <c:v>3.0664996174997431E-3</c:v>
                </c:pt>
                <c:pt idx="1047">
                  <c:v>3.0857732593330095E-3</c:v>
                </c:pt>
                <c:pt idx="1048">
                  <c:v>3.0922037203128315E-3</c:v>
                </c:pt>
                <c:pt idx="1049">
                  <c:v>3.0986371362336528E-3</c:v>
                </c:pt>
                <c:pt idx="1050">
                  <c:v>3.1050735059494523E-3</c:v>
                </c:pt>
                <c:pt idx="1051">
                  <c:v>3.1115128283142127E-3</c:v>
                </c:pt>
                <c:pt idx="1052">
                  <c:v>3.1308484998420275E-3</c:v>
                </c:pt>
                <c:pt idx="1053">
                  <c:v>3.1372996213424095E-3</c:v>
                </c:pt>
                <c:pt idx="1054">
                  <c:v>3.1437536897616475E-3</c:v>
                </c:pt>
                <c:pt idx="1055">
                  <c:v>3.1502107039537166E-3</c:v>
                </c:pt>
                <c:pt idx="1056">
                  <c:v>3.1566706627726001E-3</c:v>
                </c:pt>
                <c:pt idx="1057">
                  <c:v>3.1760681955299128E-3</c:v>
                </c:pt>
                <c:pt idx="1058">
                  <c:v>3.1825399213958397E-3</c:v>
                </c:pt>
                <c:pt idx="1059">
                  <c:v>3.1890145861584725E-3</c:v>
                </c:pt>
                <c:pt idx="1060">
                  <c:v>3.1954921886717951E-3</c:v>
                </c:pt>
                <c:pt idx="1061">
                  <c:v>3.2019727277897841E-3</c:v>
                </c:pt>
                <c:pt idx="1062">
                  <c:v>3.2214319533115472E-3</c:v>
                </c:pt>
                <c:pt idx="1063">
                  <c:v>3.2279242273879991E-3</c:v>
                </c:pt>
                <c:pt idx="1064">
                  <c:v>3.2344194323390132E-3</c:v>
                </c:pt>
                <c:pt idx="1065">
                  <c:v>3.2409175670185691E-3</c:v>
                </c:pt>
                <c:pt idx="1066">
                  <c:v>3.2474186302806495E-3</c:v>
                </c:pt>
                <c:pt idx="1067">
                  <c:v>3.2669393801018102E-3</c:v>
                </c:pt>
                <c:pt idx="1068">
                  <c:v>3.2734521462337691E-3</c:v>
                </c:pt>
                <c:pt idx="1069">
                  <c:v>3.2799678352181459E-3</c:v>
                </c:pt>
                <c:pt idx="1070">
                  <c:v>3.2864864459089221E-3</c:v>
                </c:pt>
                <c:pt idx="1071">
                  <c:v>3.293007977160073E-3</c:v>
                </c:pt>
                <c:pt idx="1072">
                  <c:v>3.3125900828155806E-3</c:v>
                </c:pt>
                <c:pt idx="1073">
                  <c:v>3.3191232848480325E-3</c:v>
                </c:pt>
                <c:pt idx="1074">
                  <c:v>3.3256594017107553E-3</c:v>
                </c:pt>
                <c:pt idx="1075">
                  <c:v>3.3321984322577333E-3</c:v>
                </c:pt>
                <c:pt idx="1076">
                  <c:v>3.3387403753429397E-3</c:v>
                </c:pt>
                <c:pt idx="1077">
                  <c:v>3.3583836683677426E-3</c:v>
                </c:pt>
                <c:pt idx="1078">
                  <c:v>3.3649372501456669E-3</c:v>
                </c:pt>
                <c:pt idx="1079">
                  <c:v>3.3714937387317218E-3</c:v>
                </c:pt>
                <c:pt idx="1080">
                  <c:v>3.3780531329798808E-3</c:v>
                </c:pt>
                <c:pt idx="1081">
                  <c:v>3.3846154317441262E-3</c:v>
                </c:pt>
                <c:pt idx="1082">
                  <c:v>3.4043197436731758E-3</c:v>
                </c:pt>
                <c:pt idx="1083">
                  <c:v>3.4108936490415583E-3</c:v>
                </c:pt>
                <c:pt idx="1084">
                  <c:v>3.4174704531959228E-3</c:v>
                </c:pt>
                <c:pt idx="1085">
                  <c:v>3.4240501549902512E-3</c:v>
                </c:pt>
                <c:pt idx="1086">
                  <c:v>3.430632753278518E-3</c:v>
                </c:pt>
                <c:pt idx="1087">
                  <c:v>3.4503979156467589E-3</c:v>
                </c:pt>
                <c:pt idx="1088">
                  <c:v>3.4569920884505814E-3</c:v>
                </c:pt>
                <c:pt idx="1089">
                  <c:v>3.4635891520182439E-3</c:v>
                </c:pt>
                <c:pt idx="1090">
                  <c:v>3.4701891052037197E-3</c:v>
                </c:pt>
                <c:pt idx="1091">
                  <c:v>3.4767919468609936E-3</c:v>
                </c:pt>
                <c:pt idx="1092">
                  <c:v>3.4966177912033767E-3</c:v>
                </c:pt>
                <c:pt idx="1093">
                  <c:v>3.5032321752876232E-3</c:v>
                </c:pt>
                <c:pt idx="1094">
                  <c:v>3.5098494421135634E-3</c:v>
                </c:pt>
                <c:pt idx="1095">
                  <c:v>3.5164695905351728E-3</c:v>
                </c:pt>
                <c:pt idx="1096">
                  <c:v>3.5230926194064318E-3</c:v>
                </c:pt>
                <c:pt idx="1097">
                  <c:v>3.5429789772579083E-3</c:v>
                </c:pt>
                <c:pt idx="1098">
                  <c:v>3.5496135164675611E-3</c:v>
                </c:pt>
                <c:pt idx="1099">
                  <c:v>3.5562509303967605E-3</c:v>
                </c:pt>
                <c:pt idx="1100">
                  <c:v>3.5628912178994857E-3</c:v>
                </c:pt>
                <c:pt idx="1101">
                  <c:v>3.5695343778297177E-3</c:v>
                </c:pt>
                <c:pt idx="1102">
                  <c:v>3.5894810807252315E-3</c:v>
                </c:pt>
                <c:pt idx="1103">
                  <c:v>3.5961357189052742E-3</c:v>
                </c:pt>
                <c:pt idx="1104">
                  <c:v>3.6027932237827202E-3</c:v>
                </c:pt>
                <c:pt idx="1105">
                  <c:v>3.6094535942115444E-3</c:v>
                </c:pt>
                <c:pt idx="1106">
                  <c:v>3.6161168290457296E-3</c:v>
                </c:pt>
                <c:pt idx="1107">
                  <c:v>3.6361237085202314E-3</c:v>
                </c:pt>
                <c:pt idx="1108">
                  <c:v>3.6427983895156481E-3</c:v>
                </c:pt>
                <c:pt idx="1109">
                  <c:v>3.6494759291863187E-3</c:v>
                </c:pt>
                <c:pt idx="1110">
                  <c:v>3.6561563263862269E-3</c:v>
                </c:pt>
                <c:pt idx="1111">
                  <c:v>3.6628395799693475E-3</c:v>
                </c:pt>
                <c:pt idx="1112">
                  <c:v>3.6829064675577886E-3</c:v>
                </c:pt>
                <c:pt idx="1113">
                  <c:v>3.6896011352135615E-3</c:v>
                </c:pt>
                <c:pt idx="1114">
                  <c:v>3.6962986535224425E-3</c:v>
                </c:pt>
                <c:pt idx="1115">
                  <c:v>3.7029990213384126E-3</c:v>
                </c:pt>
                <c:pt idx="1116">
                  <c:v>3.7097022375154553E-3</c:v>
                </c:pt>
                <c:pt idx="1117">
                  <c:v>3.7298289647527839E-3</c:v>
                </c:pt>
                <c:pt idx="1118">
                  <c:v>3.7365435629138923E-3</c:v>
                </c:pt>
                <c:pt idx="1119">
                  <c:v>3.7432610037059669E-3</c:v>
                </c:pt>
                <c:pt idx="1120">
                  <c:v>3.7499812859829876E-3</c:v>
                </c:pt>
                <c:pt idx="1121">
                  <c:v>3.7567044085989299E-3</c:v>
                </c:pt>
                <c:pt idx="1122">
                  <c:v>3.7768908070200946E-3</c:v>
                </c:pt>
                <c:pt idx="1123">
                  <c:v>3.7836252795315269E-3</c:v>
                </c:pt>
                <c:pt idx="1124">
                  <c:v>3.7903625866517773E-3</c:v>
                </c:pt>
                <c:pt idx="1125">
                  <c:v>3.7971027272348293E-3</c:v>
                </c:pt>
                <c:pt idx="1126">
                  <c:v>3.803845700134657E-3</c:v>
                </c:pt>
                <c:pt idx="1127">
                  <c:v>3.8240916012746069E-3</c:v>
                </c:pt>
                <c:pt idx="1128">
                  <c:v>3.8308458919813415E-3</c:v>
                </c:pt>
                <c:pt idx="1129">
                  <c:v>3.8376030092747526E-3</c:v>
                </c:pt>
                <c:pt idx="1130">
                  <c:v>3.8443629520088164E-3</c:v>
                </c:pt>
                <c:pt idx="1131">
                  <c:v>3.8511257190375126E-3</c:v>
                </c:pt>
                <c:pt idx="1132">
                  <c:v>3.8714309544311985E-3</c:v>
                </c:pt>
                <c:pt idx="1133">
                  <c:v>3.8782050071782203E-3</c:v>
                </c:pt>
                <c:pt idx="1134">
                  <c:v>3.8849818784897723E-3</c:v>
                </c:pt>
                <c:pt idx="1135">
                  <c:v>3.8917615672198337E-3</c:v>
                </c:pt>
                <c:pt idx="1136">
                  <c:v>3.898544072222382E-3</c:v>
                </c:pt>
                <c:pt idx="1137">
                  <c:v>3.918908473404749E-3</c:v>
                </c:pt>
                <c:pt idx="1138">
                  <c:v>3.9257022320370412E-3</c:v>
                </c:pt>
                <c:pt idx="1139">
                  <c:v>3.9324988012117198E-3</c:v>
                </c:pt>
                <c:pt idx="1140">
                  <c:v>3.9392981797827598E-3</c:v>
                </c:pt>
                <c:pt idx="1141">
                  <c:v>3.9461003666041456E-3</c:v>
                </c:pt>
                <c:pt idx="1142">
                  <c:v>3.9665237651101432E-3</c:v>
                </c:pt>
                <c:pt idx="1143">
                  <c:v>3.9733371734726889E-3</c:v>
                </c:pt>
                <c:pt idx="1144">
                  <c:v>3.9801533843554756E-3</c:v>
                </c:pt>
                <c:pt idx="1145">
                  <c:v>3.9869723966124782E-3</c:v>
                </c:pt>
                <c:pt idx="1146">
                  <c:v>3.9937942090976786E-3</c:v>
                </c:pt>
                <c:pt idx="1147">
                  <c:v>4.0142764364622602E-3</c:v>
                </c:pt>
                <c:pt idx="1148">
                  <c:v>4.0211094384000421E-3</c:v>
                </c:pt>
                <c:pt idx="1149">
                  <c:v>4.027945234835917E-3</c:v>
                </c:pt>
                <c:pt idx="1150">
                  <c:v>4.0347838246238658E-3</c:v>
                </c:pt>
                <c:pt idx="1151">
                  <c:v>4.0416252066178696E-3</c:v>
                </c:pt>
                <c:pt idx="1152">
                  <c:v>4.0621660943759774E-3</c:v>
                </c:pt>
                <c:pt idx="1153">
                  <c:v>4.06901863373398E-3</c:v>
                </c:pt>
                <c:pt idx="1154">
                  <c:v>4.075873959567931E-3</c:v>
                </c:pt>
                <c:pt idx="1155">
                  <c:v>4.0827320708269202E-3</c:v>
                </c:pt>
                <c:pt idx="1156">
                  <c:v>4.0895929668404891E-3</c:v>
                </c:pt>
                <c:pt idx="1157">
                  <c:v>4.1101923576551645E-3</c:v>
                </c:pt>
                <c:pt idx="1158">
                  <c:v>4.1170643869335513E-3</c:v>
                </c:pt>
                <c:pt idx="1159">
                  <c:v>4.1239391980897669E-3</c:v>
                </c:pt>
                <c:pt idx="1160">
                  <c:v>4.1308167905484651E-3</c:v>
                </c:pt>
                <c:pt idx="1161">
                  <c:v>4.1376971637342936E-3</c:v>
                </c:pt>
                <c:pt idx="1162">
                  <c:v>4.1583549619010748E-3</c:v>
                </c:pt>
                <c:pt idx="1163">
                  <c:v>4.1652464522419367E-3</c:v>
                </c:pt>
                <c:pt idx="1164">
                  <c:v>4.1721407204331805E-3</c:v>
                </c:pt>
                <c:pt idx="1165">
                  <c:v>4.1790377658994593E-3</c:v>
                </c:pt>
                <c:pt idx="1166">
                  <c:v>4.185937588065426E-3</c:v>
                </c:pt>
                <c:pt idx="1167">
                  <c:v>4.206653709007936E-3</c:v>
                </c:pt>
                <c:pt idx="1168">
                  <c:v>4.2135646322191463E-3</c:v>
                </c:pt>
                <c:pt idx="1169">
                  <c:v>4.2204783292532945E-3</c:v>
                </c:pt>
                <c:pt idx="1170">
                  <c:v>4.2273947995350326E-3</c:v>
                </c:pt>
                <c:pt idx="1171">
                  <c:v>4.2550884016308741E-3</c:v>
                </c:pt>
                <c:pt idx="1172">
                  <c:v>4.2620187295203116E-3</c:v>
                </c:pt>
                <c:pt idx="1173">
                  <c:v>4.2689518272052383E-3</c:v>
                </c:pt>
                <c:pt idx="1174">
                  <c:v>4.2758876941103091E-3</c:v>
                </c:pt>
                <c:pt idx="1175">
                  <c:v>4.3037349885779773E-3</c:v>
                </c:pt>
                <c:pt idx="1176">
                  <c:v>4.3107037674347867E-3</c:v>
                </c:pt>
                <c:pt idx="1177">
                  <c:v>4.3176753272273702E-3</c:v>
                </c:pt>
                <c:pt idx="1178">
                  <c:v>4.3246496673756346E-3</c:v>
                </c:pt>
                <c:pt idx="1179">
                  <c:v>4.3316267872994902E-3</c:v>
                </c:pt>
                <c:pt idx="1180">
                  <c:v>4.3525748199236894E-3</c:v>
                </c:pt>
                <c:pt idx="1181">
                  <c:v>4.3595630531489959E-3</c:v>
                </c:pt>
                <c:pt idx="1182">
                  <c:v>4.3665540632494377E-3</c:v>
                </c:pt>
                <c:pt idx="1183">
                  <c:v>4.3735478496449215E-3</c:v>
                </c:pt>
                <c:pt idx="1184">
                  <c:v>4.3805444117553565E-3</c:v>
                </c:pt>
                <c:pt idx="1185">
                  <c:v>4.4015507465754592E-3</c:v>
                </c:pt>
                <c:pt idx="1186">
                  <c:v>4.4085584057447858E-3</c:v>
                </c:pt>
                <c:pt idx="1187">
                  <c:v>4.4155688377286095E-3</c:v>
                </c:pt>
                <c:pt idx="1188">
                  <c:v>4.4225820419468362E-3</c:v>
                </c:pt>
                <c:pt idx="1189">
                  <c:v>4.4295980178193743E-3</c:v>
                </c:pt>
                <c:pt idx="1190">
                  <c:v>4.450662569561949E-3</c:v>
                </c:pt>
                <c:pt idx="1191">
                  <c:v>4.4576896262508228E-3</c:v>
                </c:pt>
                <c:pt idx="1192">
                  <c:v>4.4647194516935522E-3</c:v>
                </c:pt>
                <c:pt idx="1193">
                  <c:v>4.471752045310042E-3</c:v>
                </c:pt>
                <c:pt idx="1194">
                  <c:v>4.4787874065202078E-3</c:v>
                </c:pt>
                <c:pt idx="1195">
                  <c:v>4.4999100899118247E-3</c:v>
                </c:pt>
                <c:pt idx="1196">
                  <c:v>4.5069565156957677E-3</c:v>
                </c:pt>
                <c:pt idx="1197">
                  <c:v>4.5140057061729254E-3</c:v>
                </c:pt>
                <c:pt idx="1198">
                  <c:v>4.5210576607632082E-3</c:v>
                </c:pt>
                <c:pt idx="1199">
                  <c:v>4.5281123788865245E-3</c:v>
                </c:pt>
                <c:pt idx="1200">
                  <c:v>4.5492931086537538E-3</c:v>
                </c:pt>
                <c:pt idx="1201">
                  <c:v>4.5563588751082887E-3</c:v>
                </c:pt>
                <c:pt idx="1202">
                  <c:v>4.5634274021953995E-3</c:v>
                </c:pt>
                <c:pt idx="1203">
                  <c:v>4.5704986893349954E-3</c:v>
                </c:pt>
                <c:pt idx="1204">
                  <c:v>4.5775727359469841E-3</c:v>
                </c:pt>
                <c:pt idx="1205">
                  <c:v>4.5988114268163995E-3</c:v>
                </c:pt>
                <c:pt idx="1206">
                  <c:v>4.6058965055170492E-3</c:v>
                </c:pt>
                <c:pt idx="1207">
                  <c:v>4.6129843407896366E-3</c:v>
                </c:pt>
                <c:pt idx="1208">
                  <c:v>4.6200749320540703E-3</c:v>
                </c:pt>
                <c:pt idx="1209">
                  <c:v>4.627168278730256E-3</c:v>
                </c:pt>
                <c:pt idx="1210">
                  <c:v>4.6484648454284292E-3</c:v>
                </c:pt>
                <c:pt idx="1211">
                  <c:v>4.6555692079507192E-3</c:v>
                </c:pt>
                <c:pt idx="1212">
                  <c:v>4.6626763229843052E-3</c:v>
                </c:pt>
                <c:pt idx="1213">
                  <c:v>4.6697861899490977E-3</c:v>
                </c:pt>
                <c:pt idx="1214">
                  <c:v>4.6768988082650058E-3</c:v>
                </c:pt>
                <c:pt idx="1215">
                  <c:v>4.6982531655185046E-3</c:v>
                </c:pt>
                <c:pt idx="1216">
                  <c:v>4.7053767834379584E-3</c:v>
                </c:pt>
                <c:pt idx="1217">
                  <c:v>4.7125031498080668E-3</c:v>
                </c:pt>
                <c:pt idx="1218">
                  <c:v>4.7196322640487469E-3</c:v>
                </c:pt>
                <c:pt idx="1219">
                  <c:v>4.7267641255798977E-3</c:v>
                </c:pt>
                <c:pt idx="1220">
                  <c:v>4.748176188115294E-3</c:v>
                </c:pt>
                <c:pt idx="1221">
                  <c:v>4.7553190330074336E-3</c:v>
                </c:pt>
                <c:pt idx="1222">
                  <c:v>4.7624646222895915E-3</c:v>
                </c:pt>
                <c:pt idx="1223">
                  <c:v>4.7696129553816777E-3</c:v>
                </c:pt>
                <c:pt idx="1224">
                  <c:v>4.7767640317035974E-3</c:v>
                </c:pt>
                <c:pt idx="1225">
                  <c:v>4.7982337142474605E-3</c:v>
                </c:pt>
                <c:pt idx="1226">
                  <c:v>4.8053957576878106E-3</c:v>
                </c:pt>
                <c:pt idx="1227">
                  <c:v>4.8125605414575398E-3</c:v>
                </c:pt>
                <c:pt idx="1228">
                  <c:v>4.8197280649765568E-3</c:v>
                </c:pt>
                <c:pt idx="1229">
                  <c:v>4.8268983276647699E-3</c:v>
                </c:pt>
                <c:pt idx="1230">
                  <c:v>4.8484255449436709E-3</c:v>
                </c:pt>
                <c:pt idx="1231">
                  <c:v>4.855606758507755E-3</c:v>
                </c:pt>
                <c:pt idx="1232">
                  <c:v>4.8627907083405794E-3</c:v>
                </c:pt>
                <c:pt idx="1233">
                  <c:v>4.8699773938620508E-3</c:v>
                </c:pt>
                <c:pt idx="1234">
                  <c:v>4.8771668144920793E-3</c:v>
                </c:pt>
                <c:pt idx="1235">
                  <c:v>4.8987514812325926E-3</c:v>
                </c:pt>
                <c:pt idx="1236">
                  <c:v>4.905951836495932E-3</c:v>
                </c:pt>
                <c:pt idx="1237">
                  <c:v>4.9131549239673734E-3</c:v>
                </c:pt>
                <c:pt idx="1238">
                  <c:v>4.9203607430668246E-3</c:v>
                </c:pt>
                <c:pt idx="1239">
                  <c:v>4.9564307926810089E-3</c:v>
                </c:pt>
                <c:pt idx="1240">
                  <c:v>4.9636529893665928E-3</c:v>
                </c:pt>
                <c:pt idx="1241">
                  <c:v>4.9708779136195431E-3</c:v>
                </c:pt>
                <c:pt idx="1242">
                  <c:v>4.9781055648597736E-3</c:v>
                </c:pt>
                <c:pt idx="1243">
                  <c:v>4.9998048747032179E-3</c:v>
                </c:pt>
                <c:pt idx="1244">
                  <c:v>5.0070434280916464E-3</c:v>
                </c:pt>
                <c:pt idx="1245">
                  <c:v>5.0142847055668948E-3</c:v>
                </c:pt>
                <c:pt idx="1246">
                  <c:v>5.021528706548874E-3</c:v>
                </c:pt>
                <c:pt idx="1247">
                  <c:v>5.0287754304574909E-3</c:v>
                </c:pt>
                <c:pt idx="1248">
                  <c:v>5.0505319339422547E-3</c:v>
                </c:pt>
                <c:pt idx="1249">
                  <c:v>5.0577895437565112E-3</c:v>
                </c:pt>
                <c:pt idx="1250">
                  <c:v>5.0650498735969494E-3</c:v>
                </c:pt>
                <c:pt idx="1251">
                  <c:v>5.0723129228834769E-3</c:v>
                </c:pt>
                <c:pt idx="1252">
                  <c:v>5.079578691036004E-3</c:v>
                </c:pt>
                <c:pt idx="1253">
                  <c:v>5.1013923028886618E-3</c:v>
                </c:pt>
                <c:pt idx="1254">
                  <c:v>5.1086689407042708E-3</c:v>
                </c:pt>
                <c:pt idx="1255">
                  <c:v>5.1159482944854208E-3</c:v>
                </c:pt>
                <c:pt idx="1256">
                  <c:v>5.123230363652022E-3</c:v>
                </c:pt>
                <c:pt idx="1257">
                  <c:v>5.1305151476239829E-3</c:v>
                </c:pt>
                <c:pt idx="1258">
                  <c:v>5.1523857825711067E-3</c:v>
                </c:pt>
                <c:pt idx="1259">
                  <c:v>5.159681419963591E-3</c:v>
                </c:pt>
                <c:pt idx="1260">
                  <c:v>5.1669797692609747E-3</c:v>
                </c:pt>
                <c:pt idx="1261">
                  <c:v>5.1742808298831716E-3</c:v>
                </c:pt>
                <c:pt idx="1262">
                  <c:v>5.18158460125009E-3</c:v>
                </c:pt>
                <c:pt idx="1263">
                  <c:v>5.2035121740182481E-3</c:v>
                </c:pt>
                <c:pt idx="1264">
                  <c:v>5.2108267825631324E-3</c:v>
                </c:pt>
                <c:pt idx="1265">
                  <c:v>5.2181440989522779E-3</c:v>
                </c:pt>
                <c:pt idx="1266">
                  <c:v>5.2254641226055958E-3</c:v>
                </c:pt>
                <c:pt idx="1267">
                  <c:v>5.2327868529429928E-3</c:v>
                </c:pt>
                <c:pt idx="1268">
                  <c:v>5.2547712782587555E-3</c:v>
                </c:pt>
                <c:pt idx="1269">
                  <c:v>5.2621048295315625E-3</c:v>
                </c:pt>
                <c:pt idx="1270">
                  <c:v>5.2694410845879917E-3</c:v>
                </c:pt>
                <c:pt idx="1271">
                  <c:v>5.2767800428479535E-3</c:v>
                </c:pt>
                <c:pt idx="1272">
                  <c:v>5.2841217037313572E-3</c:v>
                </c:pt>
                <c:pt idx="1273">
                  <c:v>5.3061628963212938E-3</c:v>
                </c:pt>
                <c:pt idx="1274">
                  <c:v>5.3135153618975462E-3</c:v>
                </c:pt>
                <c:pt idx="1275">
                  <c:v>5.3208705271967837E-3</c:v>
                </c:pt>
                <c:pt idx="1276">
                  <c:v>5.3282283916389131E-3</c:v>
                </c:pt>
                <c:pt idx="1277">
                  <c:v>5.3355889546438436E-3</c:v>
                </c:pt>
                <c:pt idx="1278">
                  <c:v>5.3576868292345313E-3</c:v>
                </c:pt>
                <c:pt idx="1279">
                  <c:v>5.365058180689752E-3</c:v>
                </c:pt>
                <c:pt idx="1280">
                  <c:v>5.3724322278073189E-3</c:v>
                </c:pt>
                <c:pt idx="1281">
                  <c:v>5.3798089714131615E-3</c:v>
                </c:pt>
                <c:pt idx="1282">
                  <c:v>5.3871884179572966E-3</c:v>
                </c:pt>
                <c:pt idx="1283">
                  <c:v>5.4093430537798535E-3</c:v>
                </c:pt>
                <c:pt idx="1284">
                  <c:v>5.4167333906375544E-3</c:v>
                </c:pt>
                <c:pt idx="1285">
                  <c:v>5.4241264697137467E-3</c:v>
                </c:pt>
                <c:pt idx="1286">
                  <c:v>5.4315222988644656E-3</c:v>
                </c:pt>
                <c:pt idx="1287">
                  <c:v>5.4389208859457559E-3</c:v>
                </c:pt>
                <c:pt idx="1288">
                  <c:v>5.4611332733334383E-3</c:v>
                </c:pt>
                <c:pt idx="1289">
                  <c:v>5.4685429706973999E-3</c:v>
                </c:pt>
                <c:pt idx="1290">
                  <c:v>5.4759554652721301E-3</c:v>
                </c:pt>
                <c:pt idx="1291">
                  <c:v>5.483370764913665E-3</c:v>
                </c:pt>
                <c:pt idx="1292">
                  <c:v>5.4907888774780467E-3</c:v>
                </c:pt>
                <c:pt idx="1293">
                  <c:v>5.5130601712686592E-3</c:v>
                </c:pt>
                <c:pt idx="1294">
                  <c:v>5.5204896140848185E-3</c:v>
                </c:pt>
                <c:pt idx="1295">
                  <c:v>5.5279219091040237E-3</c:v>
                </c:pt>
                <c:pt idx="1296">
                  <c:v>5.5353570641823091E-3</c:v>
                </c:pt>
                <c:pt idx="1297">
                  <c:v>5.5427950871757168E-3</c:v>
                </c:pt>
                <c:pt idx="1298">
                  <c:v>5.5651264422070697E-3</c:v>
                </c:pt>
                <c:pt idx="1299">
                  <c:v>5.5725760154213622E-3</c:v>
                </c:pt>
                <c:pt idx="1300">
                  <c:v>5.580028495830976E-3</c:v>
                </c:pt>
                <c:pt idx="1301">
                  <c:v>5.5874838912919472E-3</c:v>
                </c:pt>
                <c:pt idx="1302">
                  <c:v>5.5949422096603189E-3</c:v>
                </c:pt>
                <c:pt idx="1303">
                  <c:v>5.6173347807702218E-3</c:v>
                </c:pt>
                <c:pt idx="1304">
                  <c:v>5.6248048693285828E-3</c:v>
                </c:pt>
                <c:pt idx="1305">
                  <c:v>5.6322779200745389E-3</c:v>
                </c:pt>
                <c:pt idx="1306">
                  <c:v>5.6397539408641331E-3</c:v>
                </c:pt>
                <c:pt idx="1307">
                  <c:v>5.6472329395534033E-3</c:v>
                </c:pt>
                <c:pt idx="1308">
                  <c:v>5.6696878815796596E-3</c:v>
                </c:pt>
                <c:pt idx="1309">
                  <c:v>5.6771788704280263E-3</c:v>
                </c:pt>
                <c:pt idx="1310">
                  <c:v>5.6846728764562626E-3</c:v>
                </c:pt>
                <c:pt idx="1311">
                  <c:v>5.6921699075204177E-3</c:v>
                </c:pt>
                <c:pt idx="1312">
                  <c:v>5.69966997147652E-3</c:v>
                </c:pt>
                <c:pt idx="1313">
                  <c:v>5.7221884392569386E-3</c:v>
                </c:pt>
                <c:pt idx="1314">
                  <c:v>5.7297007133412445E-3</c:v>
                </c:pt>
                <c:pt idx="1315">
                  <c:v>5.7372160595977016E-3</c:v>
                </c:pt>
                <c:pt idx="1316">
                  <c:v>5.7447344858823461E-3</c:v>
                </c:pt>
                <c:pt idx="1317">
                  <c:v>5.7522560000512184E-3</c:v>
                </c:pt>
                <c:pt idx="1318">
                  <c:v>5.7748391484236062E-3</c:v>
                </c:pt>
                <c:pt idx="1319">
                  <c:v>5.7823730926897894E-3</c:v>
                </c:pt>
                <c:pt idx="1320">
                  <c:v>5.7899101641203984E-3</c:v>
                </c:pt>
                <c:pt idx="1321">
                  <c:v>5.7974503705714728E-3</c:v>
                </c:pt>
                <c:pt idx="1322">
                  <c:v>5.8049937198990532E-3</c:v>
                </c:pt>
                <c:pt idx="1323">
                  <c:v>5.827642703701218E-3</c:v>
                </c:pt>
                <c:pt idx="1324">
                  <c:v>5.8351987030952103E-3</c:v>
                </c:pt>
                <c:pt idx="1325">
                  <c:v>5.8427578846459082E-3</c:v>
                </c:pt>
                <c:pt idx="1326">
                  <c:v>5.850320256209348E-3</c:v>
                </c:pt>
                <c:pt idx="1327">
                  <c:v>5.8578858256415692E-3</c:v>
                </c:pt>
                <c:pt idx="1328">
                  <c:v>5.8806017997113181E-3</c:v>
                </c:pt>
                <c:pt idx="1329">
                  <c:v>5.8881802391790592E-3</c:v>
                </c:pt>
                <c:pt idx="1330">
                  <c:v>5.8957619157957832E-3</c:v>
                </c:pt>
                <c:pt idx="1331">
                  <c:v>5.9033468374175202E-3</c:v>
                </c:pt>
                <c:pt idx="1332">
                  <c:v>5.910935011900321E-3</c:v>
                </c:pt>
                <c:pt idx="1333">
                  <c:v>5.9337191310754591E-3</c:v>
                </c:pt>
                <c:pt idx="1334">
                  <c:v>5.9413203955628871E-3</c:v>
                </c:pt>
                <c:pt idx="1335">
                  <c:v>5.948924952191569E-3</c:v>
                </c:pt>
                <c:pt idx="1336">
                  <c:v>5.9565328088175438E-3</c:v>
                </c:pt>
                <c:pt idx="1337">
                  <c:v>5.964143973296857E-3</c:v>
                </c:pt>
                <c:pt idx="1338">
                  <c:v>5.9869973924151949E-3</c:v>
                </c:pt>
                <c:pt idx="1339">
                  <c:v>5.9946218668682398E-3</c:v>
                </c:pt>
                <c:pt idx="1340">
                  <c:v>6.0022496884548178E-3</c:v>
                </c:pt>
                <c:pt idx="1341">
                  <c:v>6.0098808650309683E-3</c:v>
                </c:pt>
                <c:pt idx="1342">
                  <c:v>6.0175154044527284E-3</c:v>
                </c:pt>
                <c:pt idx="1343">
                  <c:v>6.0404392783520704E-3</c:v>
                </c:pt>
                <c:pt idx="1344">
                  <c:v>6.0480873477166729E-3</c:v>
                </c:pt>
                <c:pt idx="1345">
                  <c:v>6.0557388192070813E-3</c:v>
                </c:pt>
                <c:pt idx="1346">
                  <c:v>6.0633937006793395E-3</c:v>
                </c:pt>
                <c:pt idx="1347">
                  <c:v>6.0710519999894845E-3</c:v>
                </c:pt>
                <c:pt idx="1348">
                  <c:v>6.0940474835076402E-3</c:v>
                </c:pt>
                <c:pt idx="1349">
                  <c:v>6.1017195327297347E-3</c:v>
                </c:pt>
                <c:pt idx="1350">
                  <c:v>6.1093950390699089E-3</c:v>
                </c:pt>
                <c:pt idx="1351">
                  <c:v>6.117074010384211E-3</c:v>
                </c:pt>
                <c:pt idx="1352">
                  <c:v>6.1247564545286771E-3</c:v>
                </c:pt>
                <c:pt idx="1353">
                  <c:v>6.1478247025034561E-3</c:v>
                </c:pt>
                <c:pt idx="1354">
                  <c:v>6.1555211165289737E-3</c:v>
                </c:pt>
                <c:pt idx="1355">
                  <c:v>6.1632210426648517E-3</c:v>
                </c:pt>
                <c:pt idx="1356">
                  <c:v>6.1709244887671365E-3</c:v>
                </c:pt>
                <c:pt idx="1357">
                  <c:v>6.1786314626918566E-3</c:v>
                </c:pt>
                <c:pt idx="1358">
                  <c:v>6.2017736299610632E-3</c:v>
                </c:pt>
                <c:pt idx="1359">
                  <c:v>6.2094947937359445E-3</c:v>
                </c:pt>
                <c:pt idx="1360">
                  <c:v>6.2172195246134642E-3</c:v>
                </c:pt>
                <c:pt idx="1361">
                  <c:v>6.2249478304496602E-3</c:v>
                </c:pt>
                <c:pt idx="1362">
                  <c:v>6.232679719100573E-3</c:v>
                </c:pt>
                <c:pt idx="1363">
                  <c:v>6.2558969605020151E-3</c:v>
                </c:pt>
                <c:pt idx="1364">
                  <c:v>6.2636432589721945E-3</c:v>
                </c:pt>
                <c:pt idx="1365">
                  <c:v>6.2713931795372879E-3</c:v>
                </c:pt>
                <c:pt idx="1366">
                  <c:v>6.2791467300533366E-3</c:v>
                </c:pt>
                <c:pt idx="1367">
                  <c:v>6.2869039183763792E-3</c:v>
                </c:pt>
                <c:pt idx="1368">
                  <c:v>6.3101973887478647E-3</c:v>
                </c:pt>
                <c:pt idx="1369">
                  <c:v>6.317969206859275E-3</c:v>
                </c:pt>
                <c:pt idx="1370">
                  <c:v>6.3257447020578792E-3</c:v>
                </c:pt>
                <c:pt idx="1371">
                  <c:v>6.3335238821997141E-3</c:v>
                </c:pt>
                <c:pt idx="1372">
                  <c:v>6.3413067551408202E-3</c:v>
                </c:pt>
                <c:pt idx="1373">
                  <c:v>6.364677609320156E-3</c:v>
                </c:pt>
                <c:pt idx="1374">
                  <c:v>6.3724753320187361E-3</c:v>
                </c:pt>
                <c:pt idx="1375">
                  <c:v>6.3802767867967899E-3</c:v>
                </c:pt>
                <c:pt idx="1376">
                  <c:v>6.3880819815103464E-3</c:v>
                </c:pt>
                <c:pt idx="1377">
                  <c:v>6.3958909240154514E-3</c:v>
                </c:pt>
                <c:pt idx="1378">
                  <c:v>6.4193403168404436E-3</c:v>
                </c:pt>
                <c:pt idx="1379">
                  <c:v>6.4271643290721324E-3</c:v>
                </c:pt>
                <c:pt idx="1380">
                  <c:v>6.434992128375565E-3</c:v>
                </c:pt>
                <c:pt idx="1381">
                  <c:v>6.4428237226067803E-3</c:v>
                </c:pt>
                <c:pt idx="1382">
                  <c:v>6.4506591196218229E-3</c:v>
                </c:pt>
                <c:pt idx="1383">
                  <c:v>6.4741882059302786E-3</c:v>
                </c:pt>
                <c:pt idx="1384">
                  <c:v>6.4820388926410078E-3</c:v>
                </c:pt>
                <c:pt idx="1385">
                  <c:v>6.4898934214157591E-3</c:v>
                </c:pt>
                <c:pt idx="1386">
                  <c:v>6.4977518001105702E-3</c:v>
                </c:pt>
                <c:pt idx="1387">
                  <c:v>6.5056140365814816E-3</c:v>
                </c:pt>
                <c:pt idx="1388">
                  <c:v>6.5292239712112093E-3</c:v>
                </c:pt>
                <c:pt idx="1389">
                  <c:v>6.5371017173469171E-3</c:v>
                </c:pt>
                <c:pt idx="1390">
                  <c:v>6.5449833605389206E-3</c:v>
                </c:pt>
                <c:pt idx="1391">
                  <c:v>6.5528689086432621E-3</c:v>
                </c:pt>
                <c:pt idx="1392">
                  <c:v>6.5607583695159802E-3</c:v>
                </c:pt>
                <c:pt idx="1393">
                  <c:v>6.5844503073047879E-3</c:v>
                </c:pt>
                <c:pt idx="1394">
                  <c:v>6.5923554978114069E-3</c:v>
                </c:pt>
                <c:pt idx="1395">
                  <c:v>6.6002646403666007E-3</c:v>
                </c:pt>
                <c:pt idx="1396">
                  <c:v>6.6081777428264096E-3</c:v>
                </c:pt>
                <c:pt idx="1397">
                  <c:v>6.6160948130468697E-3</c:v>
                </c:pt>
                <c:pt idx="1398">
                  <c:v>6.639869908832567E-3</c:v>
                </c:pt>
                <c:pt idx="1399">
                  <c:v>6.6478029286560335E-3</c:v>
                </c:pt>
                <c:pt idx="1400">
                  <c:v>6.6557399555203503E-3</c:v>
                </c:pt>
                <c:pt idx="1401">
                  <c:v>6.6636809972815594E-3</c:v>
                </c:pt>
                <c:pt idx="1402">
                  <c:v>6.6716260617956996E-3</c:v>
                </c:pt>
                <c:pt idx="1403">
                  <c:v>6.695485470416089E-3</c:v>
                </c:pt>
                <c:pt idx="1404">
                  <c:v>6.7034467045023428E-3</c:v>
                </c:pt>
                <c:pt idx="1405">
                  <c:v>6.7114120006217231E-3</c:v>
                </c:pt>
                <c:pt idx="1406">
                  <c:v>6.7193813666302695E-3</c:v>
                </c:pt>
                <c:pt idx="1407">
                  <c:v>6.7273548103840199E-3</c:v>
                </c:pt>
                <c:pt idx="1408">
                  <c:v>6.7512996866769129E-3</c:v>
                </c:pt>
                <c:pt idx="1409">
                  <c:v>6.7592895199718858E-3</c:v>
                </c:pt>
                <c:pt idx="1410">
                  <c:v>6.7672834702922624E-3</c:v>
                </c:pt>
                <c:pt idx="1411">
                  <c:v>6.7752815454940832E-3</c:v>
                </c:pt>
                <c:pt idx="1412">
                  <c:v>6.7832837452190256E-3</c:v>
                </c:pt>
                <c:pt idx="1413">
                  <c:v>6.807314726517473E-3</c:v>
                </c:pt>
                <c:pt idx="1414">
                  <c:v>6.8153330428910733E-3</c:v>
                </c:pt>
                <c:pt idx="1415">
                  <c:v>6.8233552848515205E-3</c:v>
                </c:pt>
                <c:pt idx="1416">
                  <c:v>6.831381410968688E-3</c:v>
                </c:pt>
                <c:pt idx="1417">
                  <c:v>6.8394113798124481E-3</c:v>
                </c:pt>
                <c:pt idx="1418">
                  <c:v>6.863523928402007E-3</c:v>
                </c:pt>
                <c:pt idx="1419">
                  <c:v>6.8715688538508587E-3</c:v>
                </c:pt>
                <c:pt idx="1420">
                  <c:v>6.8796174148756713E-3</c:v>
                </c:pt>
                <c:pt idx="1421">
                  <c:v>6.8876695700463113E-3</c:v>
                </c:pt>
                <c:pt idx="1422">
                  <c:v>6.8957252779326536E-3</c:v>
                </c:pt>
                <c:pt idx="1423">
                  <c:v>6.9199133035846173E-3</c:v>
                </c:pt>
                <c:pt idx="1424">
                  <c:v>6.9279828080324951E-3</c:v>
                </c:pt>
                <c:pt idx="1425">
                  <c:v>6.9360556580454367E-3</c:v>
                </c:pt>
                <c:pt idx="1426">
                  <c:v>6.9441318121933153E-3</c:v>
                </c:pt>
                <c:pt idx="1427">
                  <c:v>6.9522112290460059E-3</c:v>
                </c:pt>
                <c:pt idx="1428">
                  <c:v>6.9764686415316754E-3</c:v>
                </c:pt>
                <c:pt idx="1429">
                  <c:v>6.9845606949023387E-3</c:v>
                </c:pt>
                <c:pt idx="1430">
                  <c:v>6.992655803827178E-3</c:v>
                </c:pt>
                <c:pt idx="1431">
                  <c:v>7.0007539268760631E-3</c:v>
                </c:pt>
                <c:pt idx="1432">
                  <c:v>7.0088550226188699E-3</c:v>
                </c:pt>
                <c:pt idx="1433">
                  <c:v>7.0331757317095376E-3</c:v>
                </c:pt>
                <c:pt idx="1434">
                  <c:v>7.041288303926755E-3</c:v>
                </c:pt>
                <c:pt idx="1435">
                  <c:v>7.0494036416872564E-3</c:v>
                </c:pt>
                <c:pt idx="1436">
                  <c:v>7.0575217035609133E-3</c:v>
                </c:pt>
                <c:pt idx="1437">
                  <c:v>7.0656424481176016E-3</c:v>
                </c:pt>
                <c:pt idx="1438">
                  <c:v>7.0900203635845703E-3</c:v>
                </c:pt>
                <c:pt idx="1439">
                  <c:v>7.0981514245721062E-3</c:v>
                </c:pt>
                <c:pt idx="1440">
                  <c:v>7.1062849610920341E-3</c:v>
                </c:pt>
                <c:pt idx="1441">
                  <c:v>7.1144209317142298E-3</c:v>
                </c:pt>
                <c:pt idx="1442">
                  <c:v>7.122559295008565E-3</c:v>
                </c:pt>
                <c:pt idx="1443">
                  <c:v>7.1469883266231339E-3</c:v>
                </c:pt>
                <c:pt idx="1444">
                  <c:v>7.1551358463047537E-3</c:v>
                </c:pt>
                <c:pt idx="1445">
                  <c:v>7.1632855515078751E-3</c:v>
                </c:pt>
                <c:pt idx="1446">
                  <c:v>7.1714374008023723E-3</c:v>
                </c:pt>
                <c:pt idx="1447">
                  <c:v>7.1795913527581221E-3</c:v>
                </c:pt>
                <c:pt idx="1448">
                  <c:v>7.2040654102915862E-3</c:v>
                </c:pt>
                <c:pt idx="1449">
                  <c:v>7.2122273585910586E-3</c:v>
                </c:pt>
                <c:pt idx="1450">
                  <c:v>7.2203912024011415E-3</c:v>
                </c:pt>
                <c:pt idx="1451">
                  <c:v>7.2285569002917115E-3</c:v>
                </c:pt>
                <c:pt idx="1452">
                  <c:v>7.2367244108326343E-3</c:v>
                </c:pt>
                <c:pt idx="1453">
                  <c:v>7.2612374040562947E-3</c:v>
                </c:pt>
                <c:pt idx="1454">
                  <c:v>7.2694117508973824E-3</c:v>
                </c:pt>
                <c:pt idx="1455">
                  <c:v>7.2775877032381919E-3</c:v>
                </c:pt>
                <c:pt idx="1456">
                  <c:v>7.2857652196485975E-3</c:v>
                </c:pt>
                <c:pt idx="1457">
                  <c:v>7.2939442586984682E-3</c:v>
                </c:pt>
                <c:pt idx="1458">
                  <c:v>7.3184900973836163E-3</c:v>
                </c:pt>
                <c:pt idx="1459">
                  <c:v>7.326674812690088E-3</c:v>
                </c:pt>
                <c:pt idx="1460">
                  <c:v>7.3348608434853904E-3</c:v>
                </c:pt>
                <c:pt idx="1461">
                  <c:v>7.3430481483393968E-3</c:v>
                </c:pt>
                <c:pt idx="1462">
                  <c:v>7.3512366858219805E-3</c:v>
                </c:pt>
                <c:pt idx="1463">
                  <c:v>7.3758092797399201E-3</c:v>
                </c:pt>
                <c:pt idx="1464">
                  <c:v>7.3840023334355376E-3</c:v>
                </c:pt>
                <c:pt idx="1465">
                  <c:v>7.3921964126090972E-3</c:v>
                </c:pt>
                <c:pt idx="1466">
                  <c:v>7.4003914758304715E-3</c:v>
                </c:pt>
                <c:pt idx="1467">
                  <c:v>7.4085874816695318E-3</c:v>
                </c:pt>
                <c:pt idx="1468">
                  <c:v>7.4331807405915605E-3</c:v>
                </c:pt>
                <c:pt idx="1469">
                  <c:v>7.4413801026000943E-3</c:v>
                </c:pt>
                <c:pt idx="1470">
                  <c:v>7.4495802000756799E-3</c:v>
                </c:pt>
                <c:pt idx="1471">
                  <c:v>7.4577809915881855E-3</c:v>
                </c:pt>
                <c:pt idx="1472">
                  <c:v>7.4659824357074887E-3</c:v>
                </c:pt>
                <c:pt idx="1473">
                  <c:v>7.4905902694049021E-3</c:v>
                </c:pt>
                <c:pt idx="1474">
                  <c:v>7.4987939096501175E-3</c:v>
                </c:pt>
                <c:pt idx="1475">
                  <c:v>7.5069979953514918E-3</c:v>
                </c:pt>
                <c:pt idx="1476">
                  <c:v>7.5152024850788967E-3</c:v>
                </c:pt>
                <c:pt idx="1477">
                  <c:v>7.5234073374022131E-3</c:v>
                </c:pt>
                <c:pt idx="1478">
                  <c:v>7.5480236556463081E-3</c:v>
                </c:pt>
                <c:pt idx="1479">
                  <c:v>7.5562295440519704E-3</c:v>
                </c:pt>
                <c:pt idx="1480">
                  <c:v>7.5644355879029013E-3</c:v>
                </c:pt>
                <c:pt idx="1481">
                  <c:v>7.5726417457689741E-3</c:v>
                </c:pt>
                <c:pt idx="1482">
                  <c:v>7.5808479762200613E-3</c:v>
                </c:pt>
                <c:pt idx="1483">
                  <c:v>7.6054666887821389E-3</c:v>
                </c:pt>
                <c:pt idx="1484">
                  <c:v>7.6136727952720125E-3</c:v>
                </c:pt>
                <c:pt idx="1485">
                  <c:v>7.6218787671962661E-3</c:v>
                </c:pt>
                <c:pt idx="1486">
                  <c:v>7.6300845631247713E-3</c:v>
                </c:pt>
                <c:pt idx="1487">
                  <c:v>7.6382901416273989E-3</c:v>
                </c:pt>
                <c:pt idx="1488">
                  <c:v>7.6629051582787567E-3</c:v>
                </c:pt>
                <c:pt idx="1489">
                  <c:v>7.6711094527766111E-3</c:v>
                </c:pt>
                <c:pt idx="1490">
                  <c:v>7.6793133226979518E-3</c:v>
                </c:pt>
                <c:pt idx="1491">
                  <c:v>7.6875167266126539E-3</c:v>
                </c:pt>
                <c:pt idx="1492">
                  <c:v>7.6957196230905906E-3</c:v>
                </c:pt>
                <c:pt idx="1493">
                  <c:v>7.7203248536025261E-3</c:v>
                </c:pt>
                <c:pt idx="1494">
                  <c:v>7.728525306032125E-3</c:v>
                </c:pt>
                <c:pt idx="1495">
                  <c:v>7.7367250438743181E-3</c:v>
                </c:pt>
                <c:pt idx="1496">
                  <c:v>7.7449240256989831E-3</c:v>
                </c:pt>
                <c:pt idx="1497">
                  <c:v>7.7531222100759925E-3</c:v>
                </c:pt>
                <c:pt idx="1498">
                  <c:v>7.7777115642198051E-3</c:v>
                </c:pt>
                <c:pt idx="1499">
                  <c:v>7.7859061445049137E-3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-1.4842024893791002E-4</c:v>
                </c:pt>
                <c:pt idx="1">
                  <c:v>-1.4921009125356567E-4</c:v>
                </c:pt>
                <c:pt idx="2">
                  <c:v>-1.4999996589649012E-4</c:v>
                </c:pt>
                <c:pt idx="3">
                  <c:v>-1.5078984053941451E-4</c:v>
                </c:pt>
                <c:pt idx="4">
                  <c:v>-1.5315914119550051E-4</c:v>
                </c:pt>
                <c:pt idx="5">
                  <c:v>-1.5394869256573767E-4</c:v>
                </c:pt>
                <c:pt idx="6">
                  <c:v>-1.547380822996313E-4</c:v>
                </c:pt>
                <c:pt idx="7">
                  <c:v>-1.5552727806991242E-4</c:v>
                </c:pt>
                <c:pt idx="8">
                  <c:v>-1.5631624754931263E-4</c:v>
                </c:pt>
                <c:pt idx="9">
                  <c:v>-1.5868147496953948E-4</c:v>
                </c:pt>
                <c:pt idx="10">
                  <c:v>-1.5946921601272821E-4</c:v>
                </c:pt>
                <c:pt idx="11">
                  <c:v>-1.6025656912869218E-4</c:v>
                </c:pt>
                <c:pt idx="12">
                  <c:v>-1.610435019901628E-4</c:v>
                </c:pt>
                <c:pt idx="13">
                  <c:v>-1.6182998226987129E-4</c:v>
                </c:pt>
                <c:pt idx="14">
                  <c:v>-1.6418638434573677E-4</c:v>
                </c:pt>
                <c:pt idx="15">
                  <c:v>-1.6497073102570949E-4</c:v>
                </c:pt>
                <c:pt idx="16">
                  <c:v>-1.6575446348757652E-4</c:v>
                </c:pt>
                <c:pt idx="17">
                  <c:v>-1.6653754940406905E-4</c:v>
                </c:pt>
                <c:pt idx="18">
                  <c:v>-1.6731995644791848E-4</c:v>
                </c:pt>
                <c:pt idx="19">
                  <c:v>-1.6966278107092024E-4</c:v>
                </c:pt>
                <c:pt idx="20">
                  <c:v>-1.7044214935150963E-4</c:v>
                </c:pt>
                <c:pt idx="21">
                  <c:v>-1.712206771231122E-4</c:v>
                </c:pt>
                <c:pt idx="22">
                  <c:v>-1.7199833205845932E-4</c:v>
                </c:pt>
                <c:pt idx="23">
                  <c:v>-1.7277508183028209E-4</c:v>
                </c:pt>
                <c:pt idx="24">
                  <c:v>-1.750995768919179E-4</c:v>
                </c:pt>
                <c:pt idx="25">
                  <c:v>-1.7587238273695648E-4</c:v>
                </c:pt>
                <c:pt idx="26">
                  <c:v>-1.7664412178212724E-4</c:v>
                </c:pt>
                <c:pt idx="27">
                  <c:v>-1.7741476170016139E-4</c:v>
                </c:pt>
                <c:pt idx="28">
                  <c:v>-1.7818427016379022E-4</c:v>
                </c:pt>
                <c:pt idx="29">
                  <c:v>-1.8048568355555773E-4</c:v>
                </c:pt>
                <c:pt idx="30">
                  <c:v>-1.8125034292887807E-4</c:v>
                </c:pt>
                <c:pt idx="31">
                  <c:v>-1.820137092114496E-4</c:v>
                </c:pt>
                <c:pt idx="32">
                  <c:v>-1.8277575007600335E-4</c:v>
                </c:pt>
                <c:pt idx="33">
                  <c:v>-1.8353643319527082E-4</c:v>
                </c:pt>
                <c:pt idx="34">
                  <c:v>-1.8581001280866769E-4</c:v>
                </c:pt>
                <c:pt idx="35">
                  <c:v>-1.8656494167410245E-4</c:v>
                </c:pt>
                <c:pt idx="36">
                  <c:v>-1.8731835115790718E-4</c:v>
                </c:pt>
                <c:pt idx="37">
                  <c:v>-1.8807020893281325E-4</c:v>
                </c:pt>
                <c:pt idx="38">
                  <c:v>-1.8882048267155181E-4</c:v>
                </c:pt>
                <c:pt idx="39">
                  <c:v>-1.910614763980759E-4</c:v>
                </c:pt>
                <c:pt idx="40">
                  <c:v>-1.9180509071945747E-4</c:v>
                </c:pt>
                <c:pt idx="41">
                  <c:v>-1.9254695936832809E-4</c:v>
                </c:pt>
                <c:pt idx="42">
                  <c:v>-1.9328705001741891E-4</c:v>
                </c:pt>
                <c:pt idx="43">
                  <c:v>-1.9402533033946126E-4</c:v>
                </c:pt>
                <c:pt idx="44">
                  <c:v>-1.9622898607061007E-4</c:v>
                </c:pt>
                <c:pt idx="45">
                  <c:v>-1.9695970181177124E-4</c:v>
                </c:pt>
                <c:pt idx="46">
                  <c:v>-1.9768844558954024E-4</c:v>
                </c:pt>
                <c:pt idx="47">
                  <c:v>-1.9841518507664847E-4</c:v>
                </c:pt>
                <c:pt idx="48">
                  <c:v>-1.9913988794582701E-4</c:v>
                </c:pt>
                <c:pt idx="49">
                  <c:v>-2.0130145357309841E-4</c:v>
                </c:pt>
                <c:pt idx="50">
                  <c:v>-2.0201768669787155E-4</c:v>
                </c:pt>
                <c:pt idx="51">
                  <c:v>-2.0273172156837162E-4</c:v>
                </c:pt>
                <c:pt idx="52">
                  <c:v>-2.034435258573297E-4</c:v>
                </c:pt>
                <c:pt idx="53">
                  <c:v>-2.0415306723747722E-4</c:v>
                </c:pt>
                <c:pt idx="54">
                  <c:v>-2.0626779065236877E-4</c:v>
                </c:pt>
                <c:pt idx="55">
                  <c:v>-2.0696795712458655E-4</c:v>
                </c:pt>
                <c:pt idx="56">
                  <c:v>-2.0766569905165014E-4</c:v>
                </c:pt>
                <c:pt idx="57">
                  <c:v>-2.083609841062907E-4</c:v>
                </c:pt>
                <c:pt idx="58">
                  <c:v>-2.090537799612397E-4</c:v>
                </c:pt>
                <c:pt idx="59">
                  <c:v>-2.1111690905524914E-4</c:v>
                </c:pt>
                <c:pt idx="60">
                  <c:v>-2.1179942483874414E-4</c:v>
                </c:pt>
                <c:pt idx="61">
                  <c:v>-2.1247928978620383E-4</c:v>
                </c:pt>
                <c:pt idx="62">
                  <c:v>-2.1315647157035952E-4</c:v>
                </c:pt>
                <c:pt idx="63">
                  <c:v>-2.1383093786394244E-4</c:v>
                </c:pt>
                <c:pt idx="64">
                  <c:v>-2.1583772052856758E-4</c:v>
                </c:pt>
                <c:pt idx="65">
                  <c:v>-2.1650100158717231E-4</c:v>
                </c:pt>
                <c:pt idx="66">
                  <c:v>-2.1716140551886071E-4</c:v>
                </c:pt>
                <c:pt idx="67">
                  <c:v>-2.17818899996364E-4</c:v>
                </c:pt>
                <c:pt idx="68">
                  <c:v>-2.1847345269241351E-4</c:v>
                </c:pt>
                <c:pt idx="69">
                  <c:v>-2.2041913681915195E-4</c:v>
                </c:pt>
                <c:pt idx="70">
                  <c:v>-2.2106159911669906E-4</c:v>
                </c:pt>
                <c:pt idx="71">
                  <c:v>-2.2170095799644868E-4</c:v>
                </c:pt>
                <c:pt idx="72">
                  <c:v>-2.223371811311322E-4</c:v>
                </c:pt>
                <c:pt idx="73">
                  <c:v>-2.229702361934808E-4</c:v>
                </c:pt>
                <c:pt idx="74">
                  <c:v>-2.2485006967383036E-4</c:v>
                </c:pt>
                <c:pt idx="75">
                  <c:v>-2.254701291741523E-4</c:v>
                </c:pt>
                <c:pt idx="76">
                  <c:v>-2.2608685896579575E-4</c:v>
                </c:pt>
                <c:pt idx="77">
                  <c:v>-2.2670022672149204E-4</c:v>
                </c:pt>
                <c:pt idx="78">
                  <c:v>-2.2731020011397239E-4</c:v>
                </c:pt>
                <c:pt idx="79">
                  <c:v>-2.2911943083943066E-4</c:v>
                </c:pt>
                <c:pt idx="80">
                  <c:v>-2.2971550350636E-4</c:v>
                </c:pt>
                <c:pt idx="81">
                  <c:v>-2.3030802017372991E-4</c:v>
                </c:pt>
                <c:pt idx="82">
                  <c:v>-2.3089694851427149E-4</c:v>
                </c:pt>
                <c:pt idx="83">
                  <c:v>-2.3148225620071616E-4</c:v>
                </c:pt>
                <c:pt idx="84">
                  <c:v>-2.3321613206278081E-4</c:v>
                </c:pt>
                <c:pt idx="85">
                  <c:v>-2.3378663386015028E-4</c:v>
                </c:pt>
                <c:pt idx="86">
                  <c:v>-2.3435335336707911E-4</c:v>
                </c:pt>
                <c:pt idx="87">
                  <c:v>-2.3491625825629867E-4</c:v>
                </c:pt>
                <c:pt idx="88">
                  <c:v>-2.3547531620054005E-4</c:v>
                </c:pt>
                <c:pt idx="89">
                  <c:v>-2.3712908509070893E-4</c:v>
                </c:pt>
                <c:pt idx="90">
                  <c:v>-2.3767243198235098E-4</c:v>
                </c:pt>
                <c:pt idx="91">
                  <c:v>-2.3821177029267134E-4</c:v>
                </c:pt>
                <c:pt idx="92">
                  <c:v>-2.3874706769440134E-4</c:v>
                </c:pt>
                <c:pt idx="93">
                  <c:v>-2.3927829186027222E-4</c:v>
                </c:pt>
                <c:pt idx="94">
                  <c:v>-2.408472016700429E-4</c:v>
                </c:pt>
                <c:pt idx="95">
                  <c:v>-2.4136180961979015E-4</c:v>
                </c:pt>
                <c:pt idx="96">
                  <c:v>-2.4187218269733457E-4</c:v>
                </c:pt>
                <c:pt idx="97">
                  <c:v>-2.4237828857540762E-4</c:v>
                </c:pt>
                <c:pt idx="98">
                  <c:v>-2.4288009492674041E-4</c:v>
                </c:pt>
                <c:pt idx="99">
                  <c:v>-2.4435939354761077E-4</c:v>
                </c:pt>
                <c:pt idx="100">
                  <c:v>-2.4484367851929567E-4</c:v>
                </c:pt>
                <c:pt idx="101">
                  <c:v>-2.4532350232789682E-4</c:v>
                </c:pt>
                <c:pt idx="102">
                  <c:v>-2.4579883264614543E-4</c:v>
                </c:pt>
                <c:pt idx="103">
                  <c:v>-2.4626963714677281E-4</c:v>
                </c:pt>
                <c:pt idx="104">
                  <c:v>-2.4765457247024036E-4</c:v>
                </c:pt>
                <c:pt idx="105">
                  <c:v>-2.4810695042769558E-4</c:v>
                </c:pt>
                <c:pt idx="106">
                  <c:v>-2.4855464093118595E-4</c:v>
                </c:pt>
                <c:pt idx="107">
                  <c:v>-2.4899761165344273E-4</c:v>
                </c:pt>
                <c:pt idx="108">
                  <c:v>-2.4943583026719728E-4</c:v>
                </c:pt>
                <c:pt idx="109">
                  <c:v>-2.5072165018475974E-4</c:v>
                </c:pt>
                <c:pt idx="110">
                  <c:v>-2.5114053709181792E-4</c:v>
                </c:pt>
                <c:pt idx="111">
                  <c:v>-2.5155451025403008E-4</c:v>
                </c:pt>
                <c:pt idx="112">
                  <c:v>-2.5196353734412765E-4</c:v>
                </c:pt>
                <c:pt idx="113">
                  <c:v>-2.5236758603484178E-4</c:v>
                </c:pt>
                <c:pt idx="114">
                  <c:v>-2.5354953843799698E-4</c:v>
                </c:pt>
                <c:pt idx="115">
                  <c:v>-2.5393335025849053E-4</c:v>
                </c:pt>
                <c:pt idx="116">
                  <c:v>-2.5431202204325711E-4</c:v>
                </c:pt>
                <c:pt idx="117">
                  <c:v>-2.5468552146502789E-4</c:v>
                </c:pt>
                <c:pt idx="118">
                  <c:v>-2.5505381619653439E-4</c:v>
                </c:pt>
                <c:pt idx="119">
                  <c:v>-2.5612714897677995E-4</c:v>
                </c:pt>
                <c:pt idx="120">
                  <c:v>-2.5647430167454149E-4</c:v>
                </c:pt>
                <c:pt idx="121">
                  <c:v>-2.5681608804569496E-4</c:v>
                </c:pt>
                <c:pt idx="122">
                  <c:v>-2.5715247576297174E-4</c:v>
                </c:pt>
                <c:pt idx="123">
                  <c:v>-2.5748343249910297E-4</c:v>
                </c:pt>
                <c:pt idx="124">
                  <c:v>-2.5844339354793661E-4</c:v>
                </c:pt>
                <c:pt idx="125">
                  <c:v>-2.5875230308679872E-4</c:v>
                </c:pt>
                <c:pt idx="126">
                  <c:v>-2.5905562000817176E-4</c:v>
                </c:pt>
                <c:pt idx="127">
                  <c:v>-2.5935331198478689E-4</c:v>
                </c:pt>
                <c:pt idx="128">
                  <c:v>-2.5964534668937553E-4</c:v>
                </c:pt>
                <c:pt idx="129">
                  <c:v>-2.6048718389829498E-4</c:v>
                </c:pt>
                <c:pt idx="130">
                  <c:v>-2.6075626624209023E-4</c:v>
                </c:pt>
                <c:pt idx="131">
                  <c:v>-2.6101952967751531E-4</c:v>
                </c:pt>
                <c:pt idx="132">
                  <c:v>-2.6127694187730153E-4</c:v>
                </c:pt>
                <c:pt idx="133">
                  <c:v>-2.615284705141801E-4</c:v>
                </c:pt>
                <c:pt idx="134">
                  <c:v>-2.6224743177468302E-4</c:v>
                </c:pt>
                <c:pt idx="135">
                  <c:v>-2.62475102887244E-4</c:v>
                </c:pt>
                <c:pt idx="136">
                  <c:v>-2.6269672880055369E-4</c:v>
                </c:pt>
                <c:pt idx="137">
                  <c:v>-2.6291227718734352E-4</c:v>
                </c:pt>
                <c:pt idx="138">
                  <c:v>-2.6312171572034459E-4</c:v>
                </c:pt>
                <c:pt idx="139">
                  <c:v>-2.6371304892392877E-4</c:v>
                </c:pt>
                <c:pt idx="140">
                  <c:v>-2.6389772476908798E-4</c:v>
                </c:pt>
                <c:pt idx="141">
                  <c:v>-2.6407612912411491E-4</c:v>
                </c:pt>
                <c:pt idx="142">
                  <c:v>-2.6424822966174082E-4</c:v>
                </c:pt>
                <c:pt idx="143">
                  <c:v>-2.6441399405469703E-4</c:v>
                </c:pt>
                <c:pt idx="144">
                  <c:v>-2.6487294709286006E-4</c:v>
                </c:pt>
                <c:pt idx="145">
                  <c:v>-2.6501304363445014E-4</c:v>
                </c:pt>
                <c:pt idx="146">
                  <c:v>-2.6514664239502683E-4</c:v>
                </c:pt>
                <c:pt idx="147">
                  <c:v>-2.6527371104732151E-4</c:v>
                </c:pt>
                <c:pt idx="148">
                  <c:v>-2.6539421726406537E-4</c:v>
                </c:pt>
                <c:pt idx="149">
                  <c:v>-2.6580997123015846E-4</c:v>
                </c:pt>
                <c:pt idx="150">
                  <c:v>-2.6589718036011754E-4</c:v>
                </c:pt>
                <c:pt idx="151">
                  <c:v>-2.6597763309091349E-4</c:v>
                </c:pt>
                <c:pt idx="152">
                  <c:v>-2.6605129709527758E-4</c:v>
                </c:pt>
                <c:pt idx="153">
                  <c:v>-2.6623150542929918E-4</c:v>
                </c:pt>
                <c:pt idx="154">
                  <c:v>-2.6627777015895005E-4</c:v>
                </c:pt>
                <c:pt idx="155">
                  <c:v>-2.6631704612231437E-4</c:v>
                </c:pt>
                <c:pt idx="156">
                  <c:v>-2.6634930072569102E-4</c:v>
                </c:pt>
                <c:pt idx="157">
                  <c:v>-2.663745013753792E-4</c:v>
                </c:pt>
                <c:pt idx="158">
                  <c:v>-2.6640745366530359E-4</c:v>
                </c:pt>
                <c:pt idx="159">
                  <c:v>-2.6640411256322857E-4</c:v>
                </c:pt>
                <c:pt idx="160">
                  <c:v>-2.6639355453896051E-4</c:v>
                </c:pt>
                <c:pt idx="161">
                  <c:v>-2.6637574699879833E-4</c:v>
                </c:pt>
                <c:pt idx="162">
                  <c:v>-2.663506573490413E-4</c:v>
                </c:pt>
                <c:pt idx="163">
                  <c:v>-2.6623136980519121E-4</c:v>
                </c:pt>
                <c:pt idx="164">
                  <c:v>-2.6617682578004517E-4</c:v>
                </c:pt>
                <c:pt idx="165">
                  <c:v>-2.6611483667679959E-4</c:v>
                </c:pt>
                <c:pt idx="166">
                  <c:v>-2.6604536990175351E-4</c:v>
                </c:pt>
                <c:pt idx="167">
                  <c:v>-2.6596839286120602E-4</c:v>
                </c:pt>
                <c:pt idx="168">
                  <c:v>-2.65692074209546E-4</c:v>
                </c:pt>
                <c:pt idx="169">
                  <c:v>-2.6558473016998374E-4</c:v>
                </c:pt>
                <c:pt idx="170">
                  <c:v>-2.6546971289641546E-4</c:v>
                </c:pt>
                <c:pt idx="171">
                  <c:v>-2.6534698979514034E-4</c:v>
                </c:pt>
                <c:pt idx="172">
                  <c:v>-2.6521652827245728E-4</c:v>
                </c:pt>
                <c:pt idx="173">
                  <c:v>-2.6477838723895191E-4</c:v>
                </c:pt>
                <c:pt idx="174">
                  <c:v>-2.6461664609362827E-4</c:v>
                </c:pt>
                <c:pt idx="175">
                  <c:v>-2.6444700355839225E-4</c:v>
                </c:pt>
                <c:pt idx="176">
                  <c:v>-2.6426942703954281E-4</c:v>
                </c:pt>
                <c:pt idx="177">
                  <c:v>-2.6408388394337902E-4</c:v>
                </c:pt>
                <c:pt idx="178">
                  <c:v>-2.6347912925399287E-4</c:v>
                </c:pt>
                <c:pt idx="179">
                  <c:v>-2.632613939115627E-4</c:v>
                </c:pt>
                <c:pt idx="180">
                  <c:v>-2.6303552902331366E-4</c:v>
                </c:pt>
                <c:pt idx="181">
                  <c:v>-2.6280150199554486E-4</c:v>
                </c:pt>
                <c:pt idx="182">
                  <c:v>-2.6255928023455528E-4</c:v>
                </c:pt>
                <c:pt idx="183">
                  <c:v>-2.6178312061525278E-4</c:v>
                </c:pt>
                <c:pt idx="184">
                  <c:v>-2.61507793984371E-4</c:v>
                </c:pt>
                <c:pt idx="185">
                  <c:v>-2.6122410965176386E-4</c:v>
                </c:pt>
                <c:pt idx="186">
                  <c:v>-2.6093203502373046E-4</c:v>
                </c:pt>
                <c:pt idx="187">
                  <c:v>-2.6063153750656984E-4</c:v>
                </c:pt>
                <c:pt idx="188">
                  <c:v>-2.596791816833156E-4</c:v>
                </c:pt>
                <c:pt idx="189">
                  <c:v>-2.5934466667263702E-4</c:v>
                </c:pt>
                <c:pt idx="190">
                  <c:v>-2.5900156580432659E-4</c:v>
                </c:pt>
                <c:pt idx="191">
                  <c:v>-2.5864984648468346E-4</c:v>
                </c:pt>
                <c:pt idx="192">
                  <c:v>-2.5828947612000674E-4</c:v>
                </c:pt>
                <c:pt idx="193">
                  <c:v>-2.5715613281876535E-4</c:v>
                </c:pt>
                <c:pt idx="194">
                  <c:v>-2.5676083233694478E-4</c:v>
                </c:pt>
                <c:pt idx="195">
                  <c:v>-2.5635671784158599E-4</c:v>
                </c:pt>
                <c:pt idx="196">
                  <c:v>-2.55943756738988E-4</c:v>
                </c:pt>
                <c:pt idx="197">
                  <c:v>-2.5552191643544992E-4</c:v>
                </c:pt>
                <c:pt idx="198">
                  <c:v>-2.5420279438218582E-4</c:v>
                </c:pt>
                <c:pt idx="199">
                  <c:v>-2.537451113378782E-4</c:v>
                </c:pt>
                <c:pt idx="200">
                  <c:v>-2.5327838612412579E-4</c:v>
                </c:pt>
                <c:pt idx="201">
                  <c:v>-2.5280258614722776E-4</c:v>
                </c:pt>
                <c:pt idx="202">
                  <c:v>-2.5231767881348324E-4</c:v>
                </c:pt>
                <c:pt idx="203">
                  <c:v>-2.5080798673416109E-4</c:v>
                </c:pt>
                <c:pt idx="204">
                  <c:v>-2.5028632403602117E-4</c:v>
                </c:pt>
                <c:pt idx="205">
                  <c:v>-2.4975539101253008E-4</c:v>
                </c:pt>
                <c:pt idx="206">
                  <c:v>-2.4921515506998691E-4</c:v>
                </c:pt>
                <c:pt idx="207">
                  <c:v>-2.4866558361469072E-4</c:v>
                </c:pt>
                <c:pt idx="208">
                  <c:v>-2.4696053023527502E-4</c:v>
                </c:pt>
                <c:pt idx="209">
                  <c:v>-2.4637329079195771E-4</c:v>
                </c:pt>
                <c:pt idx="210">
                  <c:v>-2.4577655286738269E-4</c:v>
                </c:pt>
                <c:pt idx="211">
                  <c:v>-2.4517028386784927E-4</c:v>
                </c:pt>
                <c:pt idx="212">
                  <c:v>-2.4455445119965632E-4</c:v>
                </c:pt>
                <c:pt idx="213">
                  <c:v>-2.4264924524611161E-4</c:v>
                </c:pt>
                <c:pt idx="214">
                  <c:v>-2.4199483196627169E-4</c:v>
                </c:pt>
                <c:pt idx="215">
                  <c:v>-2.4133069204926777E-4</c:v>
                </c:pt>
                <c:pt idx="216">
                  <c:v>-2.4065679290139873E-4</c:v>
                </c:pt>
                <c:pt idx="217">
                  <c:v>-2.3997310192896393E-4</c:v>
                </c:pt>
                <c:pt idx="218">
                  <c:v>-2.3786295212725473E-4</c:v>
                </c:pt>
                <c:pt idx="219">
                  <c:v>-2.371397679195471E-4</c:v>
                </c:pt>
                <c:pt idx="220">
                  <c:v>-2.3640662891876899E-4</c:v>
                </c:pt>
                <c:pt idx="221">
                  <c:v>-2.3566350253121938E-4</c:v>
                </c:pt>
                <c:pt idx="222">
                  <c:v>-2.3491035616319747E-4</c:v>
                </c:pt>
                <c:pt idx="223">
                  <c:v>-2.3259047123928842E-4</c:v>
                </c:pt>
                <c:pt idx="224">
                  <c:v>-2.317969190123679E-4</c:v>
                </c:pt>
                <c:pt idx="225">
                  <c:v>-2.3099318383647046E-4</c:v>
                </c:pt>
                <c:pt idx="226">
                  <c:v>-2.3017923311789508E-4</c:v>
                </c:pt>
                <c:pt idx="227">
                  <c:v>-2.2595510560531799E-4</c:v>
                </c:pt>
                <c:pt idx="228">
                  <c:v>-2.2507917716295601E-4</c:v>
                </c:pt>
                <c:pt idx="229">
                  <c:v>-2.2419280502200973E-4</c:v>
                </c:pt>
                <c:pt idx="230">
                  <c:v>-2.2329595658877822E-4</c:v>
                </c:pt>
                <c:pt idx="231">
                  <c:v>-2.2054222759836301E-4</c:v>
                </c:pt>
                <c:pt idx="232">
                  <c:v>-2.1960314805898127E-4</c:v>
                </c:pt>
                <c:pt idx="233">
                  <c:v>-2.1865342925880965E-4</c:v>
                </c:pt>
                <c:pt idx="234">
                  <c:v>-2.1769303860414731E-4</c:v>
                </c:pt>
                <c:pt idx="235">
                  <c:v>-2.167219435012933E-4</c:v>
                </c:pt>
                <c:pt idx="236">
                  <c:v>-2.1272986673394169E-4</c:v>
                </c:pt>
                <c:pt idx="237">
                  <c:v>-2.1170476048461536E-4</c:v>
                </c:pt>
                <c:pt idx="238">
                  <c:v>-2.1066875422489178E-4</c:v>
                </c:pt>
                <c:pt idx="239">
                  <c:v>-2.0962181536107009E-4</c:v>
                </c:pt>
                <c:pt idx="240">
                  <c:v>-2.0641507720800688E-4</c:v>
                </c:pt>
                <c:pt idx="241">
                  <c:v>-2.0532408199078336E-4</c:v>
                </c:pt>
                <c:pt idx="242">
                  <c:v>-2.0422199120095707E-4</c:v>
                </c:pt>
                <c:pt idx="243">
                  <c:v>-2.0310877224482713E-4</c:v>
                </c:pt>
                <c:pt idx="244">
                  <c:v>-2.0198439252869254E-4</c:v>
                </c:pt>
                <c:pt idx="245">
                  <c:v>-1.9854396288325211E-4</c:v>
                </c:pt>
                <c:pt idx="246">
                  <c:v>-1.9737461419008998E-4</c:v>
                </c:pt>
                <c:pt idx="247">
                  <c:v>-1.9619394176841864E-4</c:v>
                </c:pt>
                <c:pt idx="248">
                  <c:v>-1.9500191302453714E-4</c:v>
                </c:pt>
                <c:pt idx="249">
                  <c:v>-1.9379849536474466E-4</c:v>
                </c:pt>
                <c:pt idx="250">
                  <c:v>-1.9011958295289154E-4</c:v>
                </c:pt>
                <c:pt idx="251">
                  <c:v>-1.8887028369244562E-4</c:v>
                </c:pt>
                <c:pt idx="252">
                  <c:v>-1.8760943254758405E-4</c:v>
                </c:pt>
                <c:pt idx="253">
                  <c:v>-1.8633699692460585E-4</c:v>
                </c:pt>
                <c:pt idx="254">
                  <c:v>-1.8505294422981026E-4</c:v>
                </c:pt>
                <c:pt idx="255">
                  <c:v>-1.8113075777750909E-4</c:v>
                </c:pt>
                <c:pt idx="256">
                  <c:v>-1.7979991085843421E-4</c:v>
                </c:pt>
                <c:pt idx="257">
                  <c:v>-1.7845728389903728E-4</c:v>
                </c:pt>
                <c:pt idx="258">
                  <c:v>-1.7710284430561723E-4</c:v>
                </c:pt>
                <c:pt idx="259">
                  <c:v>-1.7573655948447336E-4</c:v>
                </c:pt>
                <c:pt idx="260">
                  <c:v>-1.7156654367654706E-4</c:v>
                </c:pt>
                <c:pt idx="261">
                  <c:v>-1.7015287535852635E-4</c:v>
                </c:pt>
                <c:pt idx="262">
                  <c:v>-1.6872740858548465E-4</c:v>
                </c:pt>
                <c:pt idx="263">
                  <c:v>-1.6729016319902277E-4</c:v>
                </c:pt>
                <c:pt idx="264">
                  <c:v>-1.6584115904074191E-4</c:v>
                </c:pt>
                <c:pt idx="265">
                  <c:v>-1.6142379235099374E-4</c:v>
                </c:pt>
                <c:pt idx="266">
                  <c:v>-1.5992795152144589E-4</c:v>
                </c:pt>
                <c:pt idx="267">
                  <c:v>-1.5842045112808361E-4</c:v>
                </c:pt>
                <c:pt idx="268">
                  <c:v>-1.5690131101250796E-4</c:v>
                </c:pt>
                <c:pt idx="269">
                  <c:v>-1.5537055101631981E-4</c:v>
                </c:pt>
                <c:pt idx="270">
                  <c:v>-1.507087501600904E-4</c:v>
                </c:pt>
                <c:pt idx="271">
                  <c:v>-1.4913170905746215E-4</c:v>
                </c:pt>
                <c:pt idx="272">
                  <c:v>-1.4754314728222616E-4</c:v>
                </c:pt>
                <c:pt idx="273">
                  <c:v>-1.4594308467598359E-4</c:v>
                </c:pt>
                <c:pt idx="274">
                  <c:v>-1.4433154108033514E-4</c:v>
                </c:pt>
                <c:pt idx="275">
                  <c:v>-1.3942822277296501E-4</c:v>
                </c:pt>
                <c:pt idx="276">
                  <c:v>-1.3777095363570329E-4</c:v>
                </c:pt>
                <c:pt idx="277">
                  <c:v>-1.3610230271704046E-4</c:v>
                </c:pt>
                <c:pt idx="278">
                  <c:v>-1.3442228985857777E-4</c:v>
                </c:pt>
                <c:pt idx="279">
                  <c:v>-1.3273093490191582E-4</c:v>
                </c:pt>
                <c:pt idx="280">
                  <c:v>-1.2758901585874574E-4</c:v>
                </c:pt>
                <c:pt idx="281">
                  <c:v>-1.2585249092529719E-4</c:v>
                </c:pt>
                <c:pt idx="282">
                  <c:v>-1.2410472310165442E-4</c:v>
                </c:pt>
                <c:pt idx="283">
                  <c:v>-1.2234573222941842E-4</c:v>
                </c:pt>
                <c:pt idx="284">
                  <c:v>-1.2057553815018995E-4</c:v>
                </c:pt>
                <c:pt idx="285">
                  <c:v>-1.1519793508656031E-4</c:v>
                </c:pt>
                <c:pt idx="286">
                  <c:v>-1.1338312659537193E-4</c:v>
                </c:pt>
                <c:pt idx="287">
                  <c:v>-1.1155721410519619E-4</c:v>
                </c:pt>
                <c:pt idx="288">
                  <c:v>-1.0972021745763363E-4</c:v>
                </c:pt>
                <c:pt idx="289">
                  <c:v>-1.0787215649428559E-4</c:v>
                </c:pt>
                <c:pt idx="290">
                  <c:v>-1.0226178612553675E-4</c:v>
                </c:pt>
                <c:pt idx="291">
                  <c:v>-1.0036966631505546E-4</c:v>
                </c:pt>
                <c:pt idx="292">
                  <c:v>-9.846658139679345E-5</c:v>
                </c:pt>
                <c:pt idx="293">
                  <c:v>-9.6552551212351377E-5</c:v>
                </c:pt>
                <c:pt idx="294">
                  <c:v>-9.4627595603330463E-5</c:v>
                </c:pt>
                <c:pt idx="295">
                  <c:v>-8.8787374644803152E-5</c:v>
                </c:pt>
                <c:pt idx="296">
                  <c:v>-8.6818915753475811E-5</c:v>
                </c:pt>
                <c:pt idx="297">
                  <c:v>-8.4839630645574396E-5</c:v>
                </c:pt>
                <c:pt idx="298">
                  <c:v>-8.28495391626996E-5</c:v>
                </c:pt>
                <c:pt idx="299">
                  <c:v>-8.0848661146452712E-5</c:v>
                </c:pt>
                <c:pt idx="300">
                  <c:v>-7.4781506313487543E-5</c:v>
                </c:pt>
                <c:pt idx="301">
                  <c:v>-7.2737680579761064E-5</c:v>
                </c:pt>
                <c:pt idx="302">
                  <c:v>-7.0683167520666962E-5</c:v>
                </c:pt>
                <c:pt idx="303">
                  <c:v>-6.8617986977806446E-5</c:v>
                </c:pt>
                <c:pt idx="304">
                  <c:v>-6.654215879278025E-5</c:v>
                </c:pt>
                <c:pt idx="305">
                  <c:v>-6.0250986800717787E-5</c:v>
                </c:pt>
                <c:pt idx="306">
                  <c:v>-5.8132766463038957E-5</c:v>
                </c:pt>
                <c:pt idx="307">
                  <c:v>-5.6003997691199146E-5</c:v>
                </c:pt>
                <c:pt idx="308">
                  <c:v>-5.3864700326799669E-5</c:v>
                </c:pt>
                <c:pt idx="309">
                  <c:v>-5.171489421144114E-5</c:v>
                </c:pt>
                <c:pt idx="310">
                  <c:v>-4.5202621775621935E-5</c:v>
                </c:pt>
                <c:pt idx="311">
                  <c:v>-4.3010979072437554E-5</c:v>
                </c:pt>
                <c:pt idx="312">
                  <c:v>-4.0808926826298956E-5</c:v>
                </c:pt>
                <c:pt idx="313">
                  <c:v>-3.859648487880732E-5</c:v>
                </c:pt>
                <c:pt idx="314">
                  <c:v>-3.6373673071563354E-5</c:v>
                </c:pt>
                <c:pt idx="315">
                  <c:v>-2.9643216907328173E-5</c:v>
                </c:pt>
                <c:pt idx="316">
                  <c:v>-2.7379124077084974E-5</c:v>
                </c:pt>
                <c:pt idx="317">
                  <c:v>-2.5104760595094565E-5</c:v>
                </c:pt>
                <c:pt idx="318">
                  <c:v>-2.2820146302957476E-5</c:v>
                </c:pt>
                <c:pt idx="319">
                  <c:v>-2.05253010422749E-5</c:v>
                </c:pt>
                <c:pt idx="320">
                  <c:v>-1.3579577864964118E-5</c:v>
                </c:pt>
                <c:pt idx="321">
                  <c:v>-1.124400714610912E-5</c:v>
                </c:pt>
                <c:pt idx="322">
                  <c:v>-8.8983046667135513E-6</c:v>
                </c:pt>
                <c:pt idx="323">
                  <c:v>-6.5424902683780794E-6</c:v>
                </c:pt>
                <c:pt idx="324">
                  <c:v>-4.1765837927039661E-6</c:v>
                </c:pt>
                <c:pt idx="325">
                  <c:v>2.9814896823420563E-6</c:v>
                </c:pt>
                <c:pt idx="326">
                  <c:v>5.3875660513620275E-6</c:v>
                </c:pt>
                <c:pt idx="327">
                  <c:v>7.8036352897158188E-6</c:v>
                </c:pt>
                <c:pt idx="328">
                  <c:v>1.02296775558029E-5</c:v>
                </c:pt>
                <c:pt idx="329">
                  <c:v>1.2665673008021845E-5</c:v>
                </c:pt>
                <c:pt idx="330">
                  <c:v>2.0033180065462394E-5</c:v>
                </c:pt>
                <c:pt idx="331">
                  <c:v>2.2508789846200443E-5</c:v>
                </c:pt>
                <c:pt idx="332">
                  <c:v>2.499425360506563E-5</c:v>
                </c:pt>
                <c:pt idx="333">
                  <c:v>2.7489551500457465E-5</c:v>
                </c:pt>
                <c:pt idx="334">
                  <c:v>2.9994663690774428E-5</c:v>
                </c:pt>
                <c:pt idx="335">
                  <c:v>3.7568687615268791E-5</c:v>
                </c:pt>
                <c:pt idx="336">
                  <c:v>4.0112858569277954E-5</c:v>
                </c:pt>
                <c:pt idx="337">
                  <c:v>4.2666744610207898E-5</c:v>
                </c:pt>
                <c:pt idx="338">
                  <c:v>4.5230325896457308E-5</c:v>
                </c:pt>
                <c:pt idx="339">
                  <c:v>4.7803582586425705E-5</c:v>
                </c:pt>
                <c:pt idx="340">
                  <c:v>5.5581206662633426E-5</c:v>
                </c:pt>
                <c:pt idx="341">
                  <c:v>5.8192966551466943E-5</c:v>
                </c:pt>
                <c:pt idx="342">
                  <c:v>6.0814302636014601E-5</c:v>
                </c:pt>
                <c:pt idx="343">
                  <c:v>6.3445195074675001E-5</c:v>
                </c:pt>
                <c:pt idx="344">
                  <c:v>6.6085624025847693E-5</c:v>
                </c:pt>
                <c:pt idx="345">
                  <c:v>7.4063931538428181E-5</c:v>
                </c:pt>
                <c:pt idx="346">
                  <c:v>7.6742308123639211E-5</c:v>
                </c:pt>
                <c:pt idx="347">
                  <c:v>7.9430122013357686E-5</c:v>
                </c:pt>
                <c:pt idx="348">
                  <c:v>8.2127353365982344E-5</c:v>
                </c:pt>
                <c:pt idx="349">
                  <c:v>8.4833982339912464E-5</c:v>
                </c:pt>
                <c:pt idx="350">
                  <c:v>9.3010056573524896E-5</c:v>
                </c:pt>
                <c:pt idx="351">
                  <c:v>9.5754077616666842E-5</c:v>
                </c:pt>
                <c:pt idx="352">
                  <c:v>9.8507397073109104E-5</c:v>
                </c:pt>
                <c:pt idx="353">
                  <c:v>1.0126999510125121E-4</c:v>
                </c:pt>
                <c:pt idx="354">
                  <c:v>1.0404185185949188E-4</c:v>
                </c:pt>
                <c:pt idx="355">
                  <c:v>1.1241277609879601E-4</c:v>
                </c:pt>
                <c:pt idx="356">
                  <c:v>1.1522146936142179E-4</c:v>
                </c:pt>
                <c:pt idx="357">
                  <c:v>1.1803932214614118E-4</c:v>
                </c:pt>
                <c:pt idx="358">
                  <c:v>1.208663146113537E-4</c:v>
                </c:pt>
                <c:pt idx="359">
                  <c:v>1.237024269154579E-4</c:v>
                </c:pt>
                <c:pt idx="360">
                  <c:v>1.3226528444511331E-4</c:v>
                </c:pt>
                <c:pt idx="361">
                  <c:v>1.3513767768877602E-4</c:v>
                </c:pt>
                <c:pt idx="362">
                  <c:v>1.3801909156332571E-4</c:v>
                </c:pt>
                <c:pt idx="363">
                  <c:v>1.4090950622716177E-4</c:v>
                </c:pt>
                <c:pt idx="364">
                  <c:v>1.4380890183868296E-4</c:v>
                </c:pt>
                <c:pt idx="365">
                  <c:v>1.5256077594334882E-4</c:v>
                </c:pt>
                <c:pt idx="366">
                  <c:v>1.5549589692960138E-4</c:v>
                </c:pt>
                <c:pt idx="367">
                  <c:v>1.5843989965553474E-4</c:v>
                </c:pt>
                <c:pt idx="368">
                  <c:v>1.6139276427954756E-4</c:v>
                </c:pt>
                <c:pt idx="369">
                  <c:v>1.6435447096003873E-4</c:v>
                </c:pt>
                <c:pt idx="370">
                  <c:v>1.7329244492437452E-4</c:v>
                </c:pt>
                <c:pt idx="371">
                  <c:v>1.7628932141477033E-4</c:v>
                </c:pt>
                <c:pt idx="372">
                  <c:v>1.792949407536402E-4</c:v>
                </c:pt>
                <c:pt idx="373">
                  <c:v>1.8230928309938274E-4</c:v>
                </c:pt>
                <c:pt idx="374">
                  <c:v>1.8533232861039732E-4</c:v>
                </c:pt>
                <c:pt idx="375">
                  <c:v>1.9445348571906247E-4</c:v>
                </c:pt>
                <c:pt idx="376">
                  <c:v>1.9751114547515467E-4</c:v>
                </c:pt>
                <c:pt idx="377">
                  <c:v>2.0057740918851425E-4</c:v>
                </c:pt>
                <c:pt idx="378">
                  <c:v>2.0365225701753973E-4</c:v>
                </c:pt>
                <c:pt idx="379">
                  <c:v>2.0673566912063061E-4</c:v>
                </c:pt>
                <c:pt idx="380">
                  <c:v>2.1603709265828429E-4</c:v>
                </c:pt>
                <c:pt idx="381">
                  <c:v>2.1915456344162633E-4</c:v>
                </c:pt>
                <c:pt idx="382">
                  <c:v>2.2228049929102884E-4</c:v>
                </c:pt>
                <c:pt idx="383">
                  <c:v>2.254148803648904E-4</c:v>
                </c:pt>
                <c:pt idx="384">
                  <c:v>2.2855768682161084E-4</c:v>
                </c:pt>
                <c:pt idx="385">
                  <c:v>2.3803646007291272E-4</c:v>
                </c:pt>
                <c:pt idx="386">
                  <c:v>2.4121276964505744E-4</c:v>
                </c:pt>
                <c:pt idx="387">
                  <c:v>2.4439740539205568E-4</c:v>
                </c:pt>
                <c:pt idx="388">
                  <c:v>2.4759034747230674E-4</c:v>
                </c:pt>
                <c:pt idx="389">
                  <c:v>2.5079157604420972E-4</c:v>
                </c:pt>
                <c:pt idx="390">
                  <c:v>2.6044478229381933E-4</c:v>
                </c:pt>
                <c:pt idx="391">
                  <c:v>2.6367895841631988E-4</c:v>
                </c:pt>
                <c:pt idx="392">
                  <c:v>2.6692132182246715E-4</c:v>
                </c:pt>
                <c:pt idx="393">
                  <c:v>2.701718526706609E-4</c:v>
                </c:pt>
                <c:pt idx="394">
                  <c:v>2.7343053111929922E-4</c:v>
                </c:pt>
                <c:pt idx="395">
                  <c:v>2.8325525365187619E-4</c:v>
                </c:pt>
                <c:pt idx="396">
                  <c:v>2.8654632408628585E-4</c:v>
                </c:pt>
                <c:pt idx="397">
                  <c:v>2.8984544291313526E-4</c:v>
                </c:pt>
                <c:pt idx="398">
                  <c:v>2.9315259029082466E-4</c:v>
                </c:pt>
                <c:pt idx="399">
                  <c:v>2.9646774637775183E-4</c:v>
                </c:pt>
                <c:pt idx="400">
                  <c:v>3.0646106847795535E-4</c:v>
                </c:pt>
                <c:pt idx="401">
                  <c:v>3.0980806098582675E-4</c:v>
                </c:pt>
                <c:pt idx="402">
                  <c:v>3.1316296299493203E-4</c:v>
                </c:pt>
                <c:pt idx="403">
                  <c:v>3.1652575466367011E-4</c:v>
                </c:pt>
                <c:pt idx="404">
                  <c:v>3.1989641615043943E-4</c:v>
                </c:pt>
                <c:pt idx="405">
                  <c:v>3.3686707639872938E-4</c:v>
                </c:pt>
                <c:pt idx="406">
                  <c:v>3.4028454012006884E-4</c:v>
                </c:pt>
                <c:pt idx="407">
                  <c:v>3.4370973476823376E-4</c:v>
                </c:pt>
                <c:pt idx="408">
                  <c:v>3.5748742579712355E-4</c:v>
                </c:pt>
                <c:pt idx="409">
                  <c:v>3.6095097745539903E-4</c:v>
                </c:pt>
                <c:pt idx="410">
                  <c:v>3.6442214099089364E-4</c:v>
                </c:pt>
                <c:pt idx="411">
                  <c:v>3.6790089656200693E-4</c:v>
                </c:pt>
                <c:pt idx="412">
                  <c:v>3.7838251707304619E-4</c:v>
                </c:pt>
                <c:pt idx="413">
                  <c:v>3.8189144237062308E-4</c:v>
                </c:pt>
                <c:pt idx="414">
                  <c:v>3.8540786049581348E-4</c:v>
                </c:pt>
                <c:pt idx="415">
                  <c:v>3.8893175160701617E-4</c:v>
                </c:pt>
                <c:pt idx="416">
                  <c:v>3.9246309586263056E-4</c:v>
                </c:pt>
                <c:pt idx="417">
                  <c:v>4.0310164907993477E-4</c:v>
                </c:pt>
                <c:pt idx="418">
                  <c:v>4.0666260749718604E-4</c:v>
                </c:pt>
                <c:pt idx="419">
                  <c:v>4.1023091985084429E-4</c:v>
                </c:pt>
                <c:pt idx="420">
                  <c:v>4.1380656629930862E-4</c:v>
                </c:pt>
                <c:pt idx="421">
                  <c:v>4.1738952700097785E-4</c:v>
                </c:pt>
                <c:pt idx="422">
                  <c:v>4.2818209620920514E-4</c:v>
                </c:pt>
                <c:pt idx="423">
                  <c:v>4.3179411550768457E-4</c:v>
                </c:pt>
                <c:pt idx="424">
                  <c:v>4.3541334985136408E-4</c:v>
                </c:pt>
                <c:pt idx="425">
                  <c:v>4.3903977939864269E-4</c:v>
                </c:pt>
                <c:pt idx="426">
                  <c:v>4.4267338430791935E-4</c:v>
                </c:pt>
                <c:pt idx="427">
                  <c:v>4.536170527917301E-4</c:v>
                </c:pt>
                <c:pt idx="428">
                  <c:v>4.5727916073299017E-4</c:v>
                </c:pt>
                <c:pt idx="429">
                  <c:v>4.6094834482824412E-4</c:v>
                </c:pt>
                <c:pt idx="430">
                  <c:v>4.6462458523589042E-4</c:v>
                </c:pt>
                <c:pt idx="431">
                  <c:v>4.6830786211432811E-4</c:v>
                </c:pt>
                <c:pt idx="432">
                  <c:v>4.7939971315838118E-4</c:v>
                </c:pt>
                <c:pt idx="433">
                  <c:v>4.831109375039759E-4</c:v>
                </c:pt>
                <c:pt idx="434">
                  <c:v>4.8682909911235687E-4</c:v>
                </c:pt>
                <c:pt idx="435">
                  <c:v>4.9055417814192366E-4</c:v>
                </c:pt>
                <c:pt idx="436">
                  <c:v>4.9428615475107581E-4</c:v>
                </c:pt>
                <c:pt idx="437">
                  <c:v>5.0552327164003091E-4</c:v>
                </c:pt>
                <c:pt idx="438">
                  <c:v>5.0928264015151243E-4</c:v>
                </c:pt>
                <c:pt idx="439">
                  <c:v>5.1304880703457437E-4</c:v>
                </c:pt>
                <c:pt idx="440">
                  <c:v>5.1682175244761538E-4</c:v>
                </c:pt>
                <c:pt idx="441">
                  <c:v>5.2060145654903413E-4</c:v>
                </c:pt>
                <c:pt idx="442">
                  <c:v>5.3198092256755082E-4</c:v>
                </c:pt>
                <c:pt idx="443">
                  <c:v>5.3578746300647281E-4</c:v>
                </c:pt>
                <c:pt idx="444">
                  <c:v>5.3960066292576821E-4</c:v>
                </c:pt>
                <c:pt idx="445">
                  <c:v>5.4342050248383619E-4</c:v>
                </c:pt>
                <c:pt idx="446">
                  <c:v>5.4724696183907566E-4</c:v>
                </c:pt>
                <c:pt idx="447">
                  <c:v>5.587658602718129E-4</c:v>
                </c:pt>
                <c:pt idx="448">
                  <c:v>5.626186003997286E-4</c:v>
                </c:pt>
                <c:pt idx="449">
                  <c:v>5.6647786111681123E-4</c:v>
                </c:pt>
                <c:pt idx="450">
                  <c:v>5.7034362258145911E-4</c:v>
                </c:pt>
                <c:pt idx="451">
                  <c:v>5.7421586495207176E-4</c:v>
                </c:pt>
                <c:pt idx="452">
                  <c:v>5.8587127908368982E-4</c:v>
                </c:pt>
                <c:pt idx="453">
                  <c:v>5.8976924666215215E-4</c:v>
                </c:pt>
                <c:pt idx="454">
                  <c:v>5.9367359593857428E-4</c:v>
                </c:pt>
                <c:pt idx="455">
                  <c:v>5.9758430707135572E-4</c:v>
                </c:pt>
                <c:pt idx="456">
                  <c:v>6.0150136021889546E-4</c:v>
                </c:pt>
                <c:pt idx="457">
                  <c:v>6.1329037333405253E-4</c:v>
                </c:pt>
                <c:pt idx="458">
                  <c:v>6.1723259612461495E-4</c:v>
                </c:pt>
                <c:pt idx="459">
                  <c:v>6.2118106172193068E-4</c:v>
                </c:pt>
                <c:pt idx="460">
                  <c:v>6.2513575028439838E-4</c:v>
                </c:pt>
                <c:pt idx="461">
                  <c:v>6.2909664197041736E-4</c:v>
                </c:pt>
                <c:pt idx="462">
                  <c:v>6.4101633735377393E-4</c:v>
                </c:pt>
                <c:pt idx="463">
                  <c:v>6.4500184311798913E-4</c:v>
                </c:pt>
                <c:pt idx="464">
                  <c:v>6.4899345279775095E-4</c:v>
                </c:pt>
                <c:pt idx="465">
                  <c:v>6.5299114655145859E-4</c:v>
                </c:pt>
                <c:pt idx="466">
                  <c:v>6.5699490453751059E-4</c:v>
                </c:pt>
                <c:pt idx="467">
                  <c:v>6.6904236547372584E-4</c:v>
                </c:pt>
                <c:pt idx="468">
                  <c:v>6.7307018197314738E-4</c:v>
                </c:pt>
                <c:pt idx="469">
                  <c:v>6.7710396349690842E-4</c:v>
                </c:pt>
                <c:pt idx="470">
                  <c:v>6.8114369020340847E-4</c:v>
                </c:pt>
                <c:pt idx="471">
                  <c:v>7.0143080702096043E-4</c:v>
                </c:pt>
                <c:pt idx="472">
                  <c:v>7.0550578815027458E-4</c:v>
                </c:pt>
                <c:pt idx="473">
                  <c:v>7.0958657557112072E-4</c:v>
                </c:pt>
                <c:pt idx="474">
                  <c:v>7.1367314944189805E-4</c:v>
                </c:pt>
                <c:pt idx="475">
                  <c:v>7.2596739133780883E-4</c:v>
                </c:pt>
                <c:pt idx="476">
                  <c:v>7.3007691259230161E-4</c:v>
                </c:pt>
                <c:pt idx="477">
                  <c:v>7.3419212108872113E-4</c:v>
                </c:pt>
                <c:pt idx="478">
                  <c:v>7.3831299698546638E-4</c:v>
                </c:pt>
                <c:pt idx="479">
                  <c:v>7.4243952044093634E-4</c:v>
                </c:pt>
                <c:pt idx="480">
                  <c:v>7.5485277774368345E-4</c:v>
                </c:pt>
                <c:pt idx="481">
                  <c:v>7.5900169301804218E-4</c:v>
                </c:pt>
                <c:pt idx="482">
                  <c:v>7.6315615664312097E-4</c:v>
                </c:pt>
                <c:pt idx="483">
                  <c:v>7.6731614877731814E-4</c:v>
                </c:pt>
                <c:pt idx="484">
                  <c:v>7.7148164957903311E-4</c:v>
                </c:pt>
                <c:pt idx="485">
                  <c:v>7.8401100557327734E-4</c:v>
                </c:pt>
                <c:pt idx="486">
                  <c:v>7.8819834262905462E-4</c:v>
                </c:pt>
                <c:pt idx="487">
                  <c:v>7.9239108914434472E-4</c:v>
                </c:pt>
                <c:pt idx="488">
                  <c:v>7.965892252775477E-4</c:v>
                </c:pt>
                <c:pt idx="489">
                  <c:v>8.0079273118706157E-4</c:v>
                </c:pt>
                <c:pt idx="490">
                  <c:v>8.1343526915746091E-4</c:v>
                </c:pt>
                <c:pt idx="491">
                  <c:v>8.2189011292326615E-4</c:v>
                </c:pt>
                <c:pt idx="492">
                  <c:v>8.261254208170272E-4</c:v>
                </c:pt>
                <c:pt idx="493">
                  <c:v>8.3036595959589256E-4</c:v>
                </c:pt>
                <c:pt idx="494">
                  <c:v>8.4311876282710727E-4</c:v>
                </c:pt>
                <c:pt idx="495">
                  <c:v>8.4738002673038126E-4</c:v>
                </c:pt>
                <c:pt idx="496">
                  <c:v>8.5164642231075555E-4</c:v>
                </c:pt>
                <c:pt idx="497">
                  <c:v>8.5591792972662835E-4</c:v>
                </c:pt>
                <c:pt idx="498">
                  <c:v>8.6019452913639897E-4</c:v>
                </c:pt>
                <c:pt idx="499">
                  <c:v>8.7305468091308834E-4</c:v>
                </c:pt>
                <c:pt idx="500">
                  <c:v>8.7735144988244072E-4</c:v>
                </c:pt>
                <c:pt idx="501">
                  <c:v>8.8165321163768604E-4</c:v>
                </c:pt>
                <c:pt idx="502">
                  <c:v>8.8595994633722328E-4</c:v>
                </c:pt>
                <c:pt idx="503">
                  <c:v>8.902716341394522E-4</c:v>
                </c:pt>
                <c:pt idx="504">
                  <c:v>9.0323621774627519E-4</c:v>
                </c:pt>
                <c:pt idx="505">
                  <c:v>9.0756751954325897E-4</c:v>
                </c:pt>
                <c:pt idx="506">
                  <c:v>9.1190367523492921E-4</c:v>
                </c:pt>
                <c:pt idx="507">
                  <c:v>9.1624466497968479E-4</c:v>
                </c:pt>
                <c:pt idx="508">
                  <c:v>9.2059046893592459E-4</c:v>
                </c:pt>
                <c:pt idx="509">
                  <c:v>9.3365656765754135E-4</c:v>
                </c:pt>
                <c:pt idx="510">
                  <c:v>9.3802143004370934E-4</c:v>
                </c:pt>
                <c:pt idx="511">
                  <c:v>9.4239100743335688E-4</c:v>
                </c:pt>
                <c:pt idx="512">
                  <c:v>9.467652799848836E-4</c:v>
                </c:pt>
                <c:pt idx="513">
                  <c:v>9.5114422785668785E-4</c:v>
                </c:pt>
                <c:pt idx="514">
                  <c:v>9.6430892497775735E-4</c:v>
                </c:pt>
                <c:pt idx="515">
                  <c:v>9.6870637713124567E-4</c:v>
                </c:pt>
                <c:pt idx="516">
                  <c:v>9.7310841389650169E-4</c:v>
                </c:pt>
                <c:pt idx="517">
                  <c:v>9.7751502393141911E-4</c:v>
                </c:pt>
                <c:pt idx="518">
                  <c:v>9.8192619589389197E-4</c:v>
                </c:pt>
                <c:pt idx="519">
                  <c:v>9.9518696992557791E-4</c:v>
                </c:pt>
                <c:pt idx="520">
                  <c:v>9.996162761772094E-4</c:v>
                </c:pt>
                <c:pt idx="521">
                  <c:v>1.004050087645865E-3</c:v>
                </c:pt>
                <c:pt idx="522">
                  <c:v>1.0084883929894386E-3</c:v>
                </c:pt>
                <c:pt idx="523">
                  <c:v>1.0129311808658235E-3</c:v>
                </c:pt>
                <c:pt idx="524">
                  <c:v>1.0262863262707864E-3</c:v>
                </c:pt>
                <c:pt idx="525">
                  <c:v>1.030746930857356E-3</c:v>
                </c:pt>
                <c:pt idx="526">
                  <c:v>1.0352119612662054E-3</c:v>
                </c:pt>
                <c:pt idx="527">
                  <c:v>1.0396814061552299E-3</c:v>
                </c:pt>
                <c:pt idx="528">
                  <c:v>1.0441552541823225E-3</c:v>
                </c:pt>
                <c:pt idx="529">
                  <c:v>1.0576031036709465E-3</c:v>
                </c:pt>
                <c:pt idx="530">
                  <c:v>1.0620944508292493E-3</c:v>
                </c:pt>
                <c:pt idx="531">
                  <c:v>1.0665901444150883E-3</c:v>
                </c:pt>
                <c:pt idx="532">
                  <c:v>1.0710901730863589E-3</c:v>
                </c:pt>
                <c:pt idx="533">
                  <c:v>1.0755945255009529E-3</c:v>
                </c:pt>
                <c:pt idx="534">
                  <c:v>1.0891334117836225E-3</c:v>
                </c:pt>
                <c:pt idx="535">
                  <c:v>1.0936549457504531E-3</c:v>
                </c:pt>
                <c:pt idx="536">
                  <c:v>1.0981807467500774E-3</c:v>
                </c:pt>
                <c:pt idx="537">
                  <c:v>1.1027108034403889E-3</c:v>
                </c:pt>
                <c:pt idx="538">
                  <c:v>1.1072451044792802E-3</c:v>
                </c:pt>
                <c:pt idx="539">
                  <c:v>1.1208733602663798E-3</c:v>
                </c:pt>
                <c:pt idx="540">
                  <c:v>1.1254245252785334E-3</c:v>
                </c:pt>
                <c:pt idx="541">
                  <c:v>1.129979877928737E-3</c:v>
                </c:pt>
                <c:pt idx="542">
                  <c:v>1.134539406874884E-3</c:v>
                </c:pt>
                <c:pt idx="543">
                  <c:v>1.1391031007748687E-3</c:v>
                </c:pt>
                <c:pt idx="544">
                  <c:v>1.1528190587767834E-3</c:v>
                </c:pt>
                <c:pt idx="545">
                  <c:v>1.1573992990710543E-3</c:v>
                </c:pt>
                <c:pt idx="546">
                  <c:v>1.1619836476086322E-3</c:v>
                </c:pt>
                <c:pt idx="547">
                  <c:v>1.1665720930474103E-3</c:v>
                </c:pt>
                <c:pt idx="548">
                  <c:v>1.171164624045282E-3</c:v>
                </c:pt>
                <c:pt idx="549">
                  <c:v>1.184966616972397E-3</c:v>
                </c:pt>
                <c:pt idx="550">
                  <c:v>1.1895753767855815E-3</c:v>
                </c:pt>
                <c:pt idx="551">
                  <c:v>1.1941881654473287E-3</c:v>
                </c:pt>
                <c:pt idx="552">
                  <c:v>1.1988049716155317E-3</c:v>
                </c:pt>
                <c:pt idx="553">
                  <c:v>1.2034257839480856E-3</c:v>
                </c:pt>
                <c:pt idx="554">
                  <c:v>1.2173121445107861E-3</c:v>
                </c:pt>
                <c:pt idx="555">
                  <c:v>1.2219488680796785E-3</c:v>
                </c:pt>
                <c:pt idx="556">
                  <c:v>1.2265895411023892E-3</c:v>
                </c:pt>
                <c:pt idx="557">
                  <c:v>1.2312341522368135E-3</c:v>
                </c:pt>
                <c:pt idx="558">
                  <c:v>1.235882690140844E-3</c:v>
                </c:pt>
                <c:pt idx="559">
                  <c:v>1.2498517510495144E-3</c:v>
                </c:pt>
                <c:pt idx="560">
                  <c:v>1.2545158826109096E-3</c:v>
                </c:pt>
                <c:pt idx="561">
                  <c:v>1.25918388423138E-3</c:v>
                </c:pt>
                <c:pt idx="562">
                  <c:v>1.2638557445688202E-3</c:v>
                </c:pt>
                <c:pt idx="563">
                  <c:v>1.2685314522811225E-3</c:v>
                </c:pt>
                <c:pt idx="564">
                  <c:v>1.2825815462461469E-3</c:v>
                </c:pt>
                <c:pt idx="565">
                  <c:v>1.2872725300368401E-3</c:v>
                </c:pt>
                <c:pt idx="566">
                  <c:v>1.2919673044918649E-3</c:v>
                </c:pt>
                <c:pt idx="567">
                  <c:v>1.2966658582691155E-3</c:v>
                </c:pt>
                <c:pt idx="568">
                  <c:v>1.3013681800264857E-3</c:v>
                </c:pt>
                <c:pt idx="569">
                  <c:v>1.3154976397582495E-3</c:v>
                </c:pt>
                <c:pt idx="570">
                  <c:v>1.3202149200150343E-3</c:v>
                </c:pt>
                <c:pt idx="571">
                  <c:v>1.3249359115414085E-3</c:v>
                </c:pt>
                <c:pt idx="572">
                  <c:v>1.3296606029952647E-3</c:v>
                </c:pt>
                <c:pt idx="573">
                  <c:v>1.3343889830344964E-3</c:v>
                </c:pt>
                <c:pt idx="574">
                  <c:v>1.3485961412433858E-3</c:v>
                </c:pt>
                <c:pt idx="575">
                  <c:v>1.3533391622030586E-3</c:v>
                </c:pt>
                <c:pt idx="576">
                  <c:v>1.3580858150375767E-3</c:v>
                </c:pt>
                <c:pt idx="577">
                  <c:v>1.3628360884048324E-3</c:v>
                </c:pt>
                <c:pt idx="578">
                  <c:v>1.3675899709627213E-3</c:v>
                </c:pt>
                <c:pt idx="579">
                  <c:v>1.3818731603591199E-3</c:v>
                </c:pt>
                <c:pt idx="580">
                  <c:v>1.3866413662584757E-3</c:v>
                </c:pt>
                <c:pt idx="581">
                  <c:v>1.3914131246379328E-3</c:v>
                </c:pt>
                <c:pt idx="582">
                  <c:v>1.396188424155384E-3</c:v>
                </c:pt>
                <c:pt idx="583">
                  <c:v>1.4009672534687249E-3</c:v>
                </c:pt>
                <c:pt idx="584">
                  <c:v>1.4153248067630168E-3</c:v>
                </c:pt>
                <c:pt idx="585">
                  <c:v>1.4201176418388501E-3</c:v>
                </c:pt>
                <c:pt idx="586">
                  <c:v>1.4249139500000414E-3</c:v>
                </c:pt>
                <c:pt idx="587">
                  <c:v>1.4297137199044839E-3</c:v>
                </c:pt>
                <c:pt idx="588">
                  <c:v>1.4345169402100715E-3</c:v>
                </c:pt>
                <c:pt idx="589">
                  <c:v>1.4489471901126412E-3</c:v>
                </c:pt>
                <c:pt idx="590">
                  <c:v>1.4537640986017474E-3</c:v>
                </c:pt>
                <c:pt idx="591">
                  <c:v>1.4585844007814674E-3</c:v>
                </c:pt>
                <c:pt idx="592">
                  <c:v>1.4634080853096955E-3</c:v>
                </c:pt>
                <c:pt idx="593">
                  <c:v>1.4682351408443245E-3</c:v>
                </c:pt>
                <c:pt idx="594">
                  <c:v>1.4827364200655593E-3</c:v>
                </c:pt>
                <c:pt idx="595">
                  <c:v>1.4875768462047328E-3</c:v>
                </c:pt>
                <c:pt idx="596">
                  <c:v>1.4924205866397755E-3</c:v>
                </c:pt>
                <c:pt idx="597">
                  <c:v>1.4972676300285838E-3</c:v>
                </c:pt>
                <c:pt idx="598">
                  <c:v>1.50211796502905E-3</c:v>
                </c:pt>
                <c:pt idx="599">
                  <c:v>1.516688606279334E-3</c:v>
                </c:pt>
                <c:pt idx="600">
                  <c:v>1.5215519943053699E-3</c:v>
                </c:pt>
                <c:pt idx="601">
                  <c:v>1.5264186172325319E-3</c:v>
                </c:pt>
                <c:pt idx="602">
                  <c:v>1.5312884637187153E-3</c:v>
                </c:pt>
                <c:pt idx="603">
                  <c:v>1.5361615224218125E-3</c:v>
                </c:pt>
                <c:pt idx="604">
                  <c:v>1.5507998584115298E-3</c:v>
                </c:pt>
                <c:pt idx="605">
                  <c:v>1.5556856525612232E-3</c:v>
                </c:pt>
                <c:pt idx="606">
                  <c:v>1.5605746022172996E-3</c:v>
                </c:pt>
                <c:pt idx="607">
                  <c:v>1.5654666960376524E-3</c:v>
                </c:pt>
                <c:pt idx="608">
                  <c:v>1.5703619226801772E-3</c:v>
                </c:pt>
                <c:pt idx="609">
                  <c:v>1.5850662861197121E-3</c:v>
                </c:pt>
                <c:pt idx="610">
                  <c:v>1.5899739306298578E-3</c:v>
                </c:pt>
                <c:pt idx="611">
                  <c:v>1.5948846512516429E-3</c:v>
                </c:pt>
                <c:pt idx="612">
                  <c:v>1.5997984366429617E-3</c:v>
                </c:pt>
                <c:pt idx="613">
                  <c:v>1.6047152754617075E-3</c:v>
                </c:pt>
                <c:pt idx="614">
                  <c:v>1.6194839990614463E-3</c:v>
                </c:pt>
                <c:pt idx="615">
                  <c:v>1.6244129381688382E-3</c:v>
                </c:pt>
                <c:pt idx="616">
                  <c:v>1.6293448739931272E-3</c:v>
                </c:pt>
                <c:pt idx="617">
                  <c:v>1.6342797951922059E-3</c:v>
                </c:pt>
                <c:pt idx="618">
                  <c:v>1.6392176904239685E-3</c:v>
                </c:pt>
                <c:pt idx="619">
                  <c:v>1.6540491068942952E-3</c:v>
                </c:pt>
                <c:pt idx="620">
                  <c:v>1.6589987848357301E-3</c:v>
                </c:pt>
                <c:pt idx="621">
                  <c:v>1.6639513800993169E-3</c:v>
                </c:pt>
                <c:pt idx="622">
                  <c:v>1.6689068813429508E-3</c:v>
                </c:pt>
                <c:pt idx="623">
                  <c:v>1.6738652772245249E-3</c:v>
                </c:pt>
                <c:pt idx="624">
                  <c:v>1.6887577192758252E-3</c:v>
                </c:pt>
                <c:pt idx="625">
                  <c:v>1.6937275802880972E-3</c:v>
                </c:pt>
                <c:pt idx="626">
                  <c:v>1.6987002792277777E-3</c:v>
                </c:pt>
                <c:pt idx="627">
                  <c:v>1.7036758047527616E-3</c:v>
                </c:pt>
                <c:pt idx="628">
                  <c:v>1.7086541455209412E-3</c:v>
                </c:pt>
                <c:pt idx="629">
                  <c:v>1.7236059458635993E-3</c:v>
                </c:pt>
                <c:pt idx="630">
                  <c:v>1.7285954341835035E-3</c:v>
                </c:pt>
                <c:pt idx="631">
                  <c:v>1.7335876810360732E-3</c:v>
                </c:pt>
                <c:pt idx="632">
                  <c:v>1.738582675079202E-3</c:v>
                </c:pt>
                <c:pt idx="633">
                  <c:v>1.743580404970783E-3</c:v>
                </c:pt>
                <c:pt idx="634">
                  <c:v>1.7585898963151834E-3</c:v>
                </c:pt>
                <c:pt idx="635">
                  <c:v>1.7635984561795142E-3</c:v>
                </c:pt>
                <c:pt idx="636">
                  <c:v>1.7686096951817678E-3</c:v>
                </c:pt>
                <c:pt idx="637">
                  <c:v>1.7736236019798364E-3</c:v>
                </c:pt>
                <c:pt idx="638">
                  <c:v>1.7786401652316146E-3</c:v>
                </c:pt>
                <c:pt idx="639">
                  <c:v>1.793705680288142E-3</c:v>
                </c:pt>
                <c:pt idx="640">
                  <c:v>1.7987327559336945E-3</c:v>
                </c:pt>
                <c:pt idx="641">
                  <c:v>1.8037624313224263E-3</c:v>
                </c:pt>
                <c:pt idx="642">
                  <c:v>1.80879469511223E-3</c:v>
                </c:pt>
                <c:pt idx="643">
                  <c:v>1.8138295359609992E-3</c:v>
                </c:pt>
                <c:pt idx="644">
                  <c:v>1.8289494074400401E-3</c:v>
                </c:pt>
                <c:pt idx="645">
                  <c:v>1.8339944431036096E-3</c:v>
                </c:pt>
                <c:pt idx="646">
                  <c:v>1.8390419991156147E-3</c:v>
                </c:pt>
                <c:pt idx="647">
                  <c:v>1.8440920641339474E-3</c:v>
                </c:pt>
                <c:pt idx="648">
                  <c:v>1.8491446268165028E-3</c:v>
                </c:pt>
                <c:pt idx="649">
                  <c:v>1.8643171874284407E-3</c:v>
                </c:pt>
                <c:pt idx="650">
                  <c:v>1.8693796273468232E-3</c:v>
                </c:pt>
                <c:pt idx="651">
                  <c:v>1.8744445082188963E-3</c:v>
                </c:pt>
                <c:pt idx="652">
                  <c:v>1.8795118187025536E-3</c:v>
                </c:pt>
                <c:pt idx="653">
                  <c:v>1.8845815474556908E-3</c:v>
                </c:pt>
                <c:pt idx="654">
                  <c:v>1.8998051299109098E-3</c:v>
                </c:pt>
                <c:pt idx="655">
                  <c:v>1.9048844183208991E-3</c:v>
                </c:pt>
                <c:pt idx="656">
                  <c:v>1.9099660682898355E-3</c:v>
                </c:pt>
                <c:pt idx="657">
                  <c:v>1.9150500684756136E-3</c:v>
                </c:pt>
                <c:pt idx="658">
                  <c:v>1.9201364075361266E-3</c:v>
                </c:pt>
                <c:pt idx="659">
                  <c:v>1.9354093445450118E-3</c:v>
                </c:pt>
                <c:pt idx="660">
                  <c:v>1.9507029231106904E-3</c:v>
                </c:pt>
                <c:pt idx="661">
                  <c:v>1.9558053167153745E-3</c:v>
                </c:pt>
                <c:pt idx="662">
                  <c:v>1.9711259409883122E-3</c:v>
                </c:pt>
                <c:pt idx="663">
                  <c:v>1.9813507799649474E-3</c:v>
                </c:pt>
                <c:pt idx="664">
                  <c:v>1.9864664922653497E-3</c:v>
                </c:pt>
                <c:pt idx="665">
                  <c:v>1.9915843846510001E-3</c:v>
                </c:pt>
                <c:pt idx="666">
                  <c:v>2.0069510288983753E-3</c:v>
                </c:pt>
                <c:pt idx="667">
                  <c:v>2.0120775282039538E-3</c:v>
                </c:pt>
                <c:pt idx="668">
                  <c:v>2.0172061508842501E-3</c:v>
                </c:pt>
                <c:pt idx="669">
                  <c:v>2.0223368855971568E-3</c:v>
                </c:pt>
                <c:pt idx="670">
                  <c:v>2.027469721000567E-3</c:v>
                </c:pt>
                <c:pt idx="671">
                  <c:v>2.042880717932764E-3</c:v>
                </c:pt>
                <c:pt idx="672">
                  <c:v>2.04802184267713E-3</c:v>
                </c:pt>
                <c:pt idx="673">
                  <c:v>2.0531650114014696E-3</c:v>
                </c:pt>
                <c:pt idx="674">
                  <c:v>2.0583102127636746E-3</c:v>
                </c:pt>
                <c:pt idx="675">
                  <c:v>2.0634574354216413E-3</c:v>
                </c:pt>
                <c:pt idx="676">
                  <c:v>2.0789111177490441E-3</c:v>
                </c:pt>
                <c:pt idx="677">
                  <c:v>2.0840663121689919E-3</c:v>
                </c:pt>
                <c:pt idx="678">
                  <c:v>2.089223471174169E-3</c:v>
                </c:pt>
                <c:pt idx="679">
                  <c:v>2.0943825834224697E-3</c:v>
                </c:pt>
                <c:pt idx="680">
                  <c:v>2.0995436375717881E-3</c:v>
                </c:pt>
                <c:pt idx="681">
                  <c:v>2.1150383380047818E-3</c:v>
                </c:pt>
                <c:pt idx="682">
                  <c:v>2.120207046337105E-3</c:v>
                </c:pt>
                <c:pt idx="683">
                  <c:v>2.1253776398599154E-3</c:v>
                </c:pt>
                <c:pt idx="684">
                  <c:v>2.1305501072311057E-3</c:v>
                </c:pt>
                <c:pt idx="685">
                  <c:v>2.1357244371085693E-3</c:v>
                </c:pt>
                <c:pt idx="686">
                  <c:v>2.1512584883575389E-3</c:v>
                </c:pt>
                <c:pt idx="687">
                  <c:v>2.1564401548390347E-3</c:v>
                </c:pt>
                <c:pt idx="688">
                  <c:v>2.1616236271162735E-3</c:v>
                </c:pt>
                <c:pt idx="689">
                  <c:v>2.166808893847147E-3</c:v>
                </c:pt>
                <c:pt idx="690">
                  <c:v>2.1719959436895518E-3</c:v>
                </c:pt>
                <c:pt idx="691">
                  <c:v>2.1875676784648829E-3</c:v>
                </c:pt>
                <c:pt idx="692">
                  <c:v>2.1927617473323454E-3</c:v>
                </c:pt>
                <c:pt idx="693">
                  <c:v>2.1979575426008058E-3</c:v>
                </c:pt>
                <c:pt idx="694">
                  <c:v>2.2031550529281593E-3</c:v>
                </c:pt>
                <c:pt idx="695">
                  <c:v>2.2083542669722998E-3</c:v>
                </c:pt>
                <c:pt idx="696">
                  <c:v>2.2239620179843765E-3</c:v>
                </c:pt>
                <c:pt idx="697">
                  <c:v>2.2291679334746003E-3</c:v>
                </c:pt>
                <c:pt idx="698">
                  <c:v>2.2343754959710791E-3</c:v>
                </c:pt>
                <c:pt idx="699">
                  <c:v>2.2395846941317063E-3</c:v>
                </c:pt>
                <c:pt idx="700">
                  <c:v>2.244795516614378E-3</c:v>
                </c:pt>
                <c:pt idx="701">
                  <c:v>2.2604376165735848E-3</c:v>
                </c:pt>
                <c:pt idx="702">
                  <c:v>2.2656548229233651E-3</c:v>
                </c:pt>
                <c:pt idx="703">
                  <c:v>2.2708735968846568E-3</c:v>
                </c:pt>
                <c:pt idx="704">
                  <c:v>2.276093927115354E-3</c:v>
                </c:pt>
                <c:pt idx="705">
                  <c:v>2.2813158022733505E-3</c:v>
                </c:pt>
                <c:pt idx="706">
                  <c:v>2.2969905838900731E-3</c:v>
                </c:pt>
                <c:pt idx="707">
                  <c:v>2.3022185253362046E-3</c:v>
                </c:pt>
                <c:pt idx="708">
                  <c:v>2.3074479549991035E-3</c:v>
                </c:pt>
                <c:pt idx="709">
                  <c:v>2.3126788615366648E-3</c:v>
                </c:pt>
                <c:pt idx="710">
                  <c:v>2.3179112336067821E-3</c:v>
                </c:pt>
                <c:pt idx="711">
                  <c:v>2.3336170295914054E-3</c:v>
                </c:pt>
                <c:pt idx="712">
                  <c:v>2.3388551503706833E-3</c:v>
                </c:pt>
                <c:pt idx="713">
                  <c:v>2.3440946799719851E-3</c:v>
                </c:pt>
                <c:pt idx="714">
                  <c:v>2.349335607053206E-3</c:v>
                </c:pt>
                <c:pt idx="715">
                  <c:v>2.3545779202722378E-3</c:v>
                </c:pt>
                <c:pt idx="716">
                  <c:v>2.3703130633351468E-3</c:v>
                </c:pt>
                <c:pt idx="717">
                  <c:v>2.3755608076843657E-3</c:v>
                </c:pt>
                <c:pt idx="718">
                  <c:v>2.380809881460865E-3</c:v>
                </c:pt>
                <c:pt idx="719">
                  <c:v>2.3860602733225393E-3</c:v>
                </c:pt>
                <c:pt idx="720">
                  <c:v>2.3913119719272827E-3</c:v>
                </c:pt>
                <c:pt idx="721">
                  <c:v>2.4070747947788607E-3</c:v>
                </c:pt>
                <c:pt idx="722">
                  <c:v>2.4123316069348164E-3</c:v>
                </c:pt>
                <c:pt idx="723">
                  <c:v>2.4175896691233092E-3</c:v>
                </c:pt>
                <c:pt idx="724">
                  <c:v>2.4228489700022331E-3</c:v>
                </c:pt>
                <c:pt idx="725">
                  <c:v>2.4281094982294806E-3</c:v>
                </c:pt>
                <c:pt idx="726">
                  <c:v>2.4438983335801135E-3</c:v>
                </c:pt>
                <c:pt idx="727">
                  <c:v>2.4491636577796002E-3</c:v>
                </c:pt>
                <c:pt idx="728">
                  <c:v>2.4544301526168797E-3</c:v>
                </c:pt>
                <c:pt idx="729">
                  <c:v>2.4596978067498478E-3</c:v>
                </c:pt>
                <c:pt idx="730">
                  <c:v>2.464966608836397E-3</c:v>
                </c:pt>
                <c:pt idx="731">
                  <c:v>2.4807797893964694E-3</c:v>
                </c:pt>
                <c:pt idx="732">
                  <c:v>2.4860530698762821E-3</c:v>
                </c:pt>
                <c:pt idx="733">
                  <c:v>2.4913274415991437E-3</c:v>
                </c:pt>
                <c:pt idx="734">
                  <c:v>2.4966028932229506E-3</c:v>
                </c:pt>
                <c:pt idx="735">
                  <c:v>2.5018794134055952E-3</c:v>
                </c:pt>
                <c:pt idx="736">
                  <c:v>2.5177152718854931E-3</c:v>
                </c:pt>
                <c:pt idx="737">
                  <c:v>2.5229959528824258E-3</c:v>
                </c:pt>
                <c:pt idx="738">
                  <c:v>2.528277645727666E-3</c:v>
                </c:pt>
                <c:pt idx="739">
                  <c:v>2.533560339079107E-3</c:v>
                </c:pt>
                <c:pt idx="740">
                  <c:v>2.5599884164555975E-3</c:v>
                </c:pt>
                <c:pt idx="741">
                  <c:v>2.5652768746600098E-3</c:v>
                </c:pt>
                <c:pt idx="742">
                  <c:v>2.5705662539758783E-3</c:v>
                </c:pt>
                <c:pt idx="743">
                  <c:v>2.5758565430610988E-3</c:v>
                </c:pt>
                <c:pt idx="744">
                  <c:v>2.5917327555117996E-3</c:v>
                </c:pt>
                <c:pt idx="745">
                  <c:v>2.5970265702533603E-3</c:v>
                </c:pt>
                <c:pt idx="746">
                  <c:v>2.6076167475708335E-3</c:v>
                </c:pt>
                <c:pt idx="747">
                  <c:v>2.6129130874625334E-3</c:v>
                </c:pt>
                <c:pt idx="748">
                  <c:v>2.628806975964214E-3</c:v>
                </c:pt>
                <c:pt idx="749">
                  <c:v>2.6341065239332789E-3</c:v>
                </c:pt>
                <c:pt idx="750">
                  <c:v>2.6394068455664211E-3</c:v>
                </c:pt>
                <c:pt idx="751">
                  <c:v>2.6447079295215331E-3</c:v>
                </c:pt>
                <c:pt idx="752">
                  <c:v>2.650009764456509E-3</c:v>
                </c:pt>
                <c:pt idx="753">
                  <c:v>2.6659196617195534E-3</c:v>
                </c:pt>
                <c:pt idx="754">
                  <c:v>2.6712243871529207E-3</c:v>
                </c:pt>
                <c:pt idx="755">
                  <c:v>2.6765298068556196E-3</c:v>
                </c:pt>
                <c:pt idx="756">
                  <c:v>2.6818359094855446E-3</c:v>
                </c:pt>
                <c:pt idx="757">
                  <c:v>2.6871426837005901E-3</c:v>
                </c:pt>
                <c:pt idx="758">
                  <c:v>2.7030669224353838E-3</c:v>
                </c:pt>
                <c:pt idx="759">
                  <c:v>2.7083762695698462E-3</c:v>
                </c:pt>
                <c:pt idx="760">
                  <c:v>2.7136862315788979E-3</c:v>
                </c:pt>
                <c:pt idx="761">
                  <c:v>2.7189967971204322E-3</c:v>
                </c:pt>
                <c:pt idx="762">
                  <c:v>2.7243079548523426E-3</c:v>
                </c:pt>
                <c:pt idx="763">
                  <c:v>2.7402448677692698E-3</c:v>
                </c:pt>
                <c:pt idx="764">
                  <c:v>2.7455582808416233E-3</c:v>
                </c:pt>
                <c:pt idx="765">
                  <c:v>2.7508722293938222E-3</c:v>
                </c:pt>
                <c:pt idx="766">
                  <c:v>2.7561867020837595E-3</c:v>
                </c:pt>
                <c:pt idx="767">
                  <c:v>2.76150168756933E-3</c:v>
                </c:pt>
                <c:pt idx="768">
                  <c:v>2.7774496073787753E-3</c:v>
                </c:pt>
                <c:pt idx="769">
                  <c:v>2.7827665346881465E-3</c:v>
                </c:pt>
                <c:pt idx="770">
                  <c:v>2.7880839424566117E-3</c:v>
                </c:pt>
                <c:pt idx="771">
                  <c:v>2.7934018437160545E-3</c:v>
                </c:pt>
                <c:pt idx="772">
                  <c:v>2.7987202514983631E-3</c:v>
                </c:pt>
                <c:pt idx="773">
                  <c:v>2.8146786443013277E-3</c:v>
                </c:pt>
                <c:pt idx="774">
                  <c:v>2.8199992084939479E-3</c:v>
                </c:pt>
                <c:pt idx="775">
                  <c:v>2.8253203443688603E-3</c:v>
                </c:pt>
                <c:pt idx="776">
                  <c:v>2.8306420649579513E-3</c:v>
                </c:pt>
                <c:pt idx="777">
                  <c:v>2.8359643832931046E-3</c:v>
                </c:pt>
                <c:pt idx="778">
                  <c:v>2.8519350550937983E-3</c:v>
                </c:pt>
                <c:pt idx="779">
                  <c:v>2.8572598947320576E-3</c:v>
                </c:pt>
                <c:pt idx="780">
                  <c:v>2.8625853972758099E-3</c:v>
                </c:pt>
                <c:pt idx="781">
                  <c:v>2.8679115757569359E-3</c:v>
                </c:pt>
                <c:pt idx="782">
                  <c:v>2.8732384432073252E-3</c:v>
                </c:pt>
                <c:pt idx="783">
                  <c:v>2.8892233096929174E-3</c:v>
                </c:pt>
                <c:pt idx="784">
                  <c:v>2.8945530633392091E-3</c:v>
                </c:pt>
                <c:pt idx="785">
                  <c:v>2.8998835711141887E-3</c:v>
                </c:pt>
                <c:pt idx="786">
                  <c:v>2.905214846049743E-3</c:v>
                </c:pt>
                <c:pt idx="787">
                  <c:v>2.9105469011777587E-3</c:v>
                </c:pt>
                <c:pt idx="788">
                  <c:v>2.9265478780354211E-3</c:v>
                </c:pt>
                <c:pt idx="789">
                  <c:v>2.9318831842521324E-3</c:v>
                </c:pt>
                <c:pt idx="790">
                  <c:v>2.9372193358207324E-3</c:v>
                </c:pt>
                <c:pt idx="791">
                  <c:v>2.9425563457731053E-3</c:v>
                </c:pt>
                <c:pt idx="792">
                  <c:v>2.947894227141137E-3</c:v>
                </c:pt>
                <c:pt idx="793">
                  <c:v>2.9639132300580402E-3</c:v>
                </c:pt>
                <c:pt idx="794">
                  <c:v>2.9692547274075627E-3</c:v>
                </c:pt>
                <c:pt idx="795">
                  <c:v>2.9745971613321718E-3</c:v>
                </c:pt>
                <c:pt idx="796">
                  <c:v>2.9799405448637539E-3</c:v>
                </c:pt>
                <c:pt idx="797">
                  <c:v>2.9852848910341926E-3</c:v>
                </c:pt>
                <c:pt idx="798">
                  <c:v>3.0013238356975088E-3</c:v>
                </c:pt>
                <c:pt idx="799">
                  <c:v>3.006672162742233E-3</c:v>
                </c:pt>
                <c:pt idx="800">
                  <c:v>3.0120215175852413E-3</c:v>
                </c:pt>
                <c:pt idx="801">
                  <c:v>3.017371913258422E-3</c:v>
                </c:pt>
                <c:pt idx="802">
                  <c:v>3.0227233627936581E-3</c:v>
                </c:pt>
                <c:pt idx="803">
                  <c:v>3.0387841648905588E-3</c:v>
                </c:pt>
                <c:pt idx="804">
                  <c:v>3.0441399601928748E-3</c:v>
                </c:pt>
                <c:pt idx="805">
                  <c:v>3.0494968745166744E-3</c:v>
                </c:pt>
                <c:pt idx="806">
                  <c:v>3.0548549208938439E-3</c:v>
                </c:pt>
                <c:pt idx="807">
                  <c:v>3.060214112356267E-3</c:v>
                </c:pt>
                <c:pt idx="808">
                  <c:v>3.0762986875739235E-3</c:v>
                </c:pt>
                <c:pt idx="809">
                  <c:v>3.0816625896962217E-3</c:v>
                </c:pt>
                <c:pt idx="810">
                  <c:v>3.0870277020632031E-3</c:v>
                </c:pt>
                <c:pt idx="811">
                  <c:v>3.0923940377067505E-3</c:v>
                </c:pt>
                <c:pt idx="812">
                  <c:v>3.0977616096587533E-3</c:v>
                </c:pt>
                <c:pt idx="813">
                  <c:v>3.1138718736843348E-3</c:v>
                </c:pt>
                <c:pt idx="814">
                  <c:v>3.1192445211890058E-3</c:v>
                </c:pt>
                <c:pt idx="815">
                  <c:v>3.1246184701615586E-3</c:v>
                </c:pt>
                <c:pt idx="816">
                  <c:v>3.1299937336338778E-3</c:v>
                </c:pt>
                <c:pt idx="817">
                  <c:v>3.135370324637848E-3</c:v>
                </c:pt>
                <c:pt idx="818">
                  <c:v>3.1515081931585268E-3</c:v>
                </c:pt>
                <c:pt idx="819">
                  <c:v>3.156890224607961E-3</c:v>
                </c:pt>
                <c:pt idx="820">
                  <c:v>3.1622736487484752E-3</c:v>
                </c:pt>
                <c:pt idx="821">
                  <c:v>3.1676584786119542E-3</c:v>
                </c:pt>
                <c:pt idx="822">
                  <c:v>3.1730447272302845E-3</c:v>
                </c:pt>
                <c:pt idx="823">
                  <c:v>3.1892121159332321E-3</c:v>
                </c:pt>
                <c:pt idx="824">
                  <c:v>3.1946041698898203E-3</c:v>
                </c:pt>
                <c:pt idx="825">
                  <c:v>3.1999977077606851E-3</c:v>
                </c:pt>
                <c:pt idx="826">
                  <c:v>3.2053927425777155E-3</c:v>
                </c:pt>
                <c:pt idx="827">
                  <c:v>3.2107892873727947E-3</c:v>
                </c:pt>
                <c:pt idx="828">
                  <c:v>3.2269881119451837E-3</c:v>
                </c:pt>
                <c:pt idx="829">
                  <c:v>3.2323908269713156E-3</c:v>
                </c:pt>
                <c:pt idx="830">
                  <c:v>3.2377951171349236E-3</c:v>
                </c:pt>
                <c:pt idx="831">
                  <c:v>3.2432009954678942E-3</c:v>
                </c:pt>
                <c:pt idx="832">
                  <c:v>3.2486084750021123E-3</c:v>
                </c:pt>
                <c:pt idx="833">
                  <c:v>3.2648406511311123E-3</c:v>
                </c:pt>
                <c:pt idx="834">
                  <c:v>3.2702546657891788E-3</c:v>
                </c:pt>
                <c:pt idx="835">
                  <c:v>3.2756703468079205E-3</c:v>
                </c:pt>
                <c:pt idx="836">
                  <c:v>3.2810877072192231E-3</c:v>
                </c:pt>
                <c:pt idx="837">
                  <c:v>3.2865067600549719E-3</c:v>
                </c:pt>
                <c:pt idx="838">
                  <c:v>3.302774203427753E-3</c:v>
                </c:pt>
                <c:pt idx="839">
                  <c:v>3.3082001562801441E-3</c:v>
                </c:pt>
                <c:pt idx="840">
                  <c:v>3.3136278667164096E-3</c:v>
                </c:pt>
                <c:pt idx="841">
                  <c:v>3.3190573477684337E-3</c:v>
                </c:pt>
                <c:pt idx="842">
                  <c:v>3.3244886124681036E-3</c:v>
                </c:pt>
                <c:pt idx="843">
                  <c:v>3.340793238771839E-3</c:v>
                </c:pt>
                <c:pt idx="844">
                  <c:v>3.3462317683809442E-3</c:v>
                </c:pt>
                <c:pt idx="845">
                  <c:v>3.3516721467971231E-3</c:v>
                </c:pt>
                <c:pt idx="846">
                  <c:v>3.3571143870522596E-3</c:v>
                </c:pt>
                <c:pt idx="847">
                  <c:v>3.3625585021782411E-3</c:v>
                </c:pt>
                <c:pt idx="848">
                  <c:v>3.3789022271001022E-3</c:v>
                </c:pt>
                <c:pt idx="849">
                  <c:v>3.384353972028313E-3</c:v>
                </c:pt>
                <c:pt idx="850">
                  <c:v>3.3898076569867956E-3</c:v>
                </c:pt>
                <c:pt idx="851">
                  <c:v>3.3952632950074346E-3</c:v>
                </c:pt>
                <c:pt idx="852">
                  <c:v>3.4007208991221169E-3</c:v>
                </c:pt>
                <c:pt idx="853">
                  <c:v>3.4171056383492742E-3</c:v>
                </c:pt>
                <c:pt idx="854">
                  <c:v>3.4225712371589814E-3</c:v>
                </c:pt>
                <c:pt idx="855">
                  <c:v>3.4280388672221587E-3</c:v>
                </c:pt>
                <c:pt idx="856">
                  <c:v>3.4335085415706916E-3</c:v>
                </c:pt>
                <c:pt idx="857">
                  <c:v>3.4389802732364655E-3</c:v>
                </c:pt>
                <c:pt idx="858">
                  <c:v>3.4554079424560886E-3</c:v>
                </c:pt>
                <c:pt idx="859">
                  <c:v>3.4608880337096827E-3</c:v>
                </c:pt>
                <c:pt idx="860">
                  <c:v>3.4663702474399447E-3</c:v>
                </c:pt>
                <c:pt idx="861">
                  <c:v>3.4718545966787619E-3</c:v>
                </c:pt>
                <c:pt idx="862">
                  <c:v>3.4773410944580175E-3</c:v>
                </c:pt>
                <c:pt idx="863">
                  <c:v>3.4938136093572792E-3</c:v>
                </c:pt>
                <c:pt idx="864">
                  <c:v>3.4993088316171497E-3</c:v>
                </c:pt>
                <c:pt idx="865">
                  <c:v>3.5048062675768878E-3</c:v>
                </c:pt>
                <c:pt idx="866">
                  <c:v>3.510305930268378E-3</c:v>
                </c:pt>
                <c:pt idx="867">
                  <c:v>3.5158078327235075E-3</c:v>
                </c:pt>
                <c:pt idx="868">
                  <c:v>3.5323271089895791E-3</c:v>
                </c:pt>
                <c:pt idx="869">
                  <c:v>3.5378381008181171E-3</c:v>
                </c:pt>
                <c:pt idx="870">
                  <c:v>3.5433513975697195E-3</c:v>
                </c:pt>
                <c:pt idx="871">
                  <c:v>3.5488670122762749E-3</c:v>
                </c:pt>
                <c:pt idx="872">
                  <c:v>3.5543849579696665E-3</c:v>
                </c:pt>
                <c:pt idx="873">
                  <c:v>3.57095291128972E-3</c:v>
                </c:pt>
                <c:pt idx="874">
                  <c:v>3.5764803112493145E-3</c:v>
                </c:pt>
                <c:pt idx="875">
                  <c:v>3.5820101073551739E-3</c:v>
                </c:pt>
                <c:pt idx="876">
                  <c:v>3.5875423126391828E-3</c:v>
                </c:pt>
                <c:pt idx="877">
                  <c:v>3.5930769401332288E-3</c:v>
                </c:pt>
                <c:pt idx="878">
                  <c:v>3.6096954861944341E-3</c:v>
                </c:pt>
                <c:pt idx="879">
                  <c:v>3.6152399328474773E-3</c:v>
                </c:pt>
                <c:pt idx="880">
                  <c:v>3.6207868668699833E-3</c:v>
                </c:pt>
                <c:pt idx="881">
                  <c:v>3.6263363012938379E-3</c:v>
                </c:pt>
                <c:pt idx="882">
                  <c:v>3.6318882491509267E-3</c:v>
                </c:pt>
                <c:pt idx="883">
                  <c:v>3.6485593036404548E-3</c:v>
                </c:pt>
                <c:pt idx="884">
                  <c:v>3.6541214355493368E-3</c:v>
                </c:pt>
                <c:pt idx="885">
                  <c:v>3.6596861460508798E-3</c:v>
                </c:pt>
                <c:pt idx="886">
                  <c:v>3.6652534481769706E-3</c:v>
                </c:pt>
                <c:pt idx="887">
                  <c:v>3.6708233549594947E-3</c:v>
                </c:pt>
                <c:pt idx="888">
                  <c:v>3.6875488335645157E-3</c:v>
                </c:pt>
                <c:pt idx="889">
                  <c:v>3.6931292892916261E-3</c:v>
                </c:pt>
                <c:pt idx="890">
                  <c:v>3.6987124148345962E-3</c:v>
                </c:pt>
                <c:pt idx="891">
                  <c:v>3.7042982232253136E-3</c:v>
                </c:pt>
                <c:pt idx="892">
                  <c:v>3.7098867274956617E-3</c:v>
                </c:pt>
                <c:pt idx="893">
                  <c:v>3.7266685459033501E-3</c:v>
                </c:pt>
                <c:pt idx="894">
                  <c:v>3.7322679640110789E-3</c:v>
                </c:pt>
                <c:pt idx="895">
                  <c:v>3.737870143157867E-3</c:v>
                </c:pt>
                <c:pt idx="896">
                  <c:v>3.7434750963755998E-3</c:v>
                </c:pt>
                <c:pt idx="897">
                  <c:v>3.7490828366961628E-3</c:v>
                </c:pt>
                <c:pt idx="898">
                  <c:v>3.7659229105936895E-3</c:v>
                </c:pt>
                <c:pt idx="899">
                  <c:v>3.7715419296444285E-3</c:v>
                </c:pt>
                <c:pt idx="900">
                  <c:v>3.7771638009574241E-3</c:v>
                </c:pt>
                <c:pt idx="901">
                  <c:v>3.7827885375645645E-3</c:v>
                </c:pt>
                <c:pt idx="902">
                  <c:v>3.7884161524977321E-3</c:v>
                </c:pt>
                <c:pt idx="903">
                  <c:v>3.8053163975722663E-3</c:v>
                </c:pt>
                <c:pt idx="904">
                  <c:v>3.8109556561284046E-3</c:v>
                </c:pt>
                <c:pt idx="905">
                  <c:v>3.81659785817E-3</c:v>
                </c:pt>
                <c:pt idx="906">
                  <c:v>3.822243016728938E-3</c:v>
                </c:pt>
                <c:pt idx="907">
                  <c:v>3.8278911448371014E-3</c:v>
                </c:pt>
                <c:pt idx="908">
                  <c:v>3.8448534767758138E-3</c:v>
                </c:pt>
                <c:pt idx="909">
                  <c:v>3.8505136133997436E-3</c:v>
                </c:pt>
                <c:pt idx="910">
                  <c:v>3.8561767847323271E-3</c:v>
                </c:pt>
                <c:pt idx="911">
                  <c:v>3.8618430038054523E-3</c:v>
                </c:pt>
                <c:pt idx="912">
                  <c:v>3.8675122836510038E-3</c:v>
                </c:pt>
                <c:pt idx="913">
                  <c:v>3.884538618141066E-3</c:v>
                </c:pt>
                <c:pt idx="914">
                  <c:v>3.8902202713951757E-3</c:v>
                </c:pt>
                <c:pt idx="915">
                  <c:v>3.9072840388761701E-3</c:v>
                </c:pt>
                <c:pt idx="916">
                  <c:v>3.9243762916047554E-3</c:v>
                </c:pt>
                <c:pt idx="917">
                  <c:v>3.9300801000514357E-3</c:v>
                </c:pt>
                <c:pt idx="918">
                  <c:v>3.9414661690573317E-3</c:v>
                </c:pt>
                <c:pt idx="919">
                  <c:v>3.9471640352721563E-3</c:v>
                </c:pt>
                <c:pt idx="920">
                  <c:v>3.9642771158684333E-3</c:v>
                </c:pt>
                <c:pt idx="921">
                  <c:v>3.969988013135653E-3</c:v>
                </c:pt>
                <c:pt idx="922">
                  <c:v>3.9757022004793686E-3</c:v>
                </c:pt>
                <c:pt idx="923">
                  <c:v>3.981419690824938E-3</c:v>
                </c:pt>
                <c:pt idx="924">
                  <c:v>3.987140497097719E-3</c:v>
                </c:pt>
                <c:pt idx="925">
                  <c:v>4.004322940732918E-3</c:v>
                </c:pt>
                <c:pt idx="926">
                  <c:v>4.0100571399681309E-3</c:v>
                </c:pt>
                <c:pt idx="927">
                  <c:v>4.0157947197573462E-3</c:v>
                </c:pt>
                <c:pt idx="928">
                  <c:v>4.0215356930259245E-3</c:v>
                </c:pt>
                <c:pt idx="929">
                  <c:v>4.0272800726992236E-3</c:v>
                </c:pt>
                <c:pt idx="930">
                  <c:v>4.0445337794010267E-3</c:v>
                </c:pt>
                <c:pt idx="931">
                  <c:v>4.0502919139467899E-3</c:v>
                </c:pt>
                <c:pt idx="932">
                  <c:v>4.0560535195240674E-3</c:v>
                </c:pt>
                <c:pt idx="933">
                  <c:v>4.0618186090582145E-3</c:v>
                </c:pt>
                <c:pt idx="934">
                  <c:v>4.0675871954745898E-3</c:v>
                </c:pt>
                <c:pt idx="935">
                  <c:v>4.084914065270678E-3</c:v>
                </c:pt>
                <c:pt idx="936">
                  <c:v>4.0906967684695549E-3</c:v>
                </c:pt>
                <c:pt idx="937">
                  <c:v>4.0964830331774518E-3</c:v>
                </c:pt>
                <c:pt idx="938">
                  <c:v>4.1022728723197274E-3</c:v>
                </c:pt>
                <c:pt idx="939">
                  <c:v>4.1080662988217422E-3</c:v>
                </c:pt>
                <c:pt idx="940">
                  <c:v>4.1254682317397959E-3</c:v>
                </c:pt>
                <c:pt idx="941">
                  <c:v>4.1312761369343446E-3</c:v>
                </c:pt>
                <c:pt idx="942">
                  <c:v>4.1370876941154225E-3</c:v>
                </c:pt>
                <c:pt idx="943">
                  <c:v>4.1429029162083891E-3</c:v>
                </c:pt>
                <c:pt idx="944">
                  <c:v>4.1487218161386022E-3</c:v>
                </c:pt>
                <c:pt idx="945">
                  <c:v>4.1662007122063027E-3</c:v>
                </c:pt>
                <c:pt idx="946">
                  <c:v>4.1720344527390839E-3</c:v>
                </c:pt>
                <c:pt idx="947">
                  <c:v>4.1778719357359042E-3</c:v>
                </c:pt>
                <c:pt idx="948">
                  <c:v>4.1837131741221207E-3</c:v>
                </c:pt>
                <c:pt idx="949">
                  <c:v>4.1895581808230912E-3</c:v>
                </c:pt>
                <c:pt idx="950">
                  <c:v>4.2071159400681188E-3</c:v>
                </c:pt>
                <c:pt idx="951">
                  <c:v>4.2129761492816949E-3</c:v>
                </c:pt>
                <c:pt idx="952">
                  <c:v>4.2188401914368158E-3</c:v>
                </c:pt>
                <c:pt idx="953">
                  <c:v>4.224708079458842E-3</c:v>
                </c:pt>
                <c:pt idx="954">
                  <c:v>4.2305798262731332E-3</c:v>
                </c:pt>
                <c:pt idx="955">
                  <c:v>4.2482183487231682E-3</c:v>
                </c:pt>
                <c:pt idx="956">
                  <c:v>4.2541056599600963E-3</c:v>
                </c:pt>
                <c:pt idx="957">
                  <c:v>4.2599968946160803E-3</c:v>
                </c:pt>
                <c:pt idx="958">
                  <c:v>4.265892065616477E-3</c:v>
                </c:pt>
                <c:pt idx="959">
                  <c:v>4.2717911858866468E-3</c:v>
                </c:pt>
                <c:pt idx="960">
                  <c:v>4.2895123715693713E-3</c:v>
                </c:pt>
                <c:pt idx="961">
                  <c:v>4.295427418172214E-3</c:v>
                </c:pt>
                <c:pt idx="962">
                  <c:v>4.301346478671619E-3</c:v>
                </c:pt>
                <c:pt idx="963">
                  <c:v>4.3072695659929477E-3</c:v>
                </c:pt>
                <c:pt idx="964">
                  <c:v>4.3131966930615561E-3</c:v>
                </c:pt>
                <c:pt idx="965">
                  <c:v>4.3310024420046512E-3</c:v>
                </c:pt>
                <c:pt idx="966">
                  <c:v>4.3369458573159683E-3</c:v>
                </c:pt>
                <c:pt idx="967">
                  <c:v>4.3428933770013559E-3</c:v>
                </c:pt>
                <c:pt idx="968">
                  <c:v>4.3488450139861747E-3</c:v>
                </c:pt>
                <c:pt idx="969">
                  <c:v>4.354800781195785E-3</c:v>
                </c:pt>
                <c:pt idx="970">
                  <c:v>4.3726929934269319E-3</c:v>
                </c:pt>
                <c:pt idx="971">
                  <c:v>4.3786654107892797E-3</c:v>
                </c:pt>
                <c:pt idx="972">
                  <c:v>4.3846420230032115E-3</c:v>
                </c:pt>
                <c:pt idx="973">
                  <c:v>4.3906228429940828E-3</c:v>
                </c:pt>
                <c:pt idx="974">
                  <c:v>4.3966078836872504E-3</c:v>
                </c:pt>
                <c:pt idx="975">
                  <c:v>4.4145884592341296E-3</c:v>
                </c:pt>
                <c:pt idx="976">
                  <c:v>4.4205905119900756E-3</c:v>
                </c:pt>
                <c:pt idx="977">
                  <c:v>4.4265968500751089E-3</c:v>
                </c:pt>
                <c:pt idx="978">
                  <c:v>4.4326074864145908E-3</c:v>
                </c:pt>
                <c:pt idx="979">
                  <c:v>4.4386224339338816E-3</c:v>
                </c:pt>
                <c:pt idx="980">
                  <c:v>4.4566932728241724E-3</c:v>
                </c:pt>
                <c:pt idx="981">
                  <c:v>4.4627255943162714E-3</c:v>
                </c:pt>
                <c:pt idx="982">
                  <c:v>4.4687622916149694E-3</c:v>
                </c:pt>
                <c:pt idx="983">
                  <c:v>4.4748033776456234E-3</c:v>
                </c:pt>
                <c:pt idx="984">
                  <c:v>4.4808488653335938E-3</c:v>
                </c:pt>
                <c:pt idx="985">
                  <c:v>4.4990118675949783E-3</c:v>
                </c:pt>
                <c:pt idx="986">
                  <c:v>4.5050750911657944E-3</c:v>
                </c:pt>
                <c:pt idx="987">
                  <c:v>4.5111427810207152E-3</c:v>
                </c:pt>
                <c:pt idx="988">
                  <c:v>4.5172149500851012E-3</c:v>
                </c:pt>
                <c:pt idx="989">
                  <c:v>4.5476434359365617E-3</c:v>
                </c:pt>
                <c:pt idx="990">
                  <c:v>4.5537427516902677E-3</c:v>
                </c:pt>
                <c:pt idx="991">
                  <c:v>4.5598466371309463E-3</c:v>
                </c:pt>
                <c:pt idx="992">
                  <c:v>4.5659551051839588E-3</c:v>
                </c:pt>
                <c:pt idx="993">
                  <c:v>4.5843081342705743E-3</c:v>
                </c:pt>
                <c:pt idx="994">
                  <c:v>4.5904350620264989E-3</c:v>
                </c:pt>
                <c:pt idx="995">
                  <c:v>4.5965666370215491E-3</c:v>
                </c:pt>
                <c:pt idx="996">
                  <c:v>4.6027028721810827E-3</c:v>
                </c:pt>
                <c:pt idx="997">
                  <c:v>4.608843780430456E-3</c:v>
                </c:pt>
                <c:pt idx="998">
                  <c:v>4.6272946729712071E-3</c:v>
                </c:pt>
                <c:pt idx="999">
                  <c:v>4.6334544028335291E-3</c:v>
                </c:pt>
                <c:pt idx="1000">
                  <c:v>4.6396188704124824E-3</c:v>
                </c:pt>
                <c:pt idx="1001">
                  <c:v>4.6457880886334292E-3</c:v>
                </c:pt>
                <c:pt idx="1002">
                  <c:v>4.6705127264442927E-3</c:v>
                </c:pt>
                <c:pt idx="1003">
                  <c:v>4.6767058917555719E-3</c:v>
                </c:pt>
                <c:pt idx="1004">
                  <c:v>4.6829038852609908E-3</c:v>
                </c:pt>
                <c:pt idx="1005">
                  <c:v>4.6891067198859089E-3</c:v>
                </c:pt>
                <c:pt idx="1006">
                  <c:v>4.6953144085556875E-3</c:v>
                </c:pt>
                <c:pt idx="1007">
                  <c:v>4.7139667280877541E-3</c:v>
                </c:pt>
                <c:pt idx="1008">
                  <c:v>4.7201939621905487E-3</c:v>
                </c:pt>
                <c:pt idx="1009">
                  <c:v>4.726426114964993E-3</c:v>
                </c:pt>
                <c:pt idx="1010">
                  <c:v>4.7326631993364456E-3</c:v>
                </c:pt>
                <c:pt idx="1011">
                  <c:v>4.738905228230267E-3</c:v>
                </c:pt>
                <c:pt idx="1012">
                  <c:v>4.757661111299512E-3</c:v>
                </c:pt>
                <c:pt idx="1013">
                  <c:v>4.7639230475363835E-3</c:v>
                </c:pt>
                <c:pt idx="1014">
                  <c:v>4.7701899929224129E-3</c:v>
                </c:pt>
                <c:pt idx="1015">
                  <c:v>4.7764619603829599E-3</c:v>
                </c:pt>
                <c:pt idx="1016">
                  <c:v>4.7827389628433839E-3</c:v>
                </c:pt>
                <c:pt idx="1017">
                  <c:v>4.8016003094774893E-3</c:v>
                </c:pt>
                <c:pt idx="1018">
                  <c:v>4.8078975811909975E-3</c:v>
                </c:pt>
                <c:pt idx="1019">
                  <c:v>4.8141999525311736E-3</c:v>
                </c:pt>
                <c:pt idx="1020">
                  <c:v>4.8205074364233757E-3</c:v>
                </c:pt>
                <c:pt idx="1021">
                  <c:v>4.8268200457929605E-3</c:v>
                </c:pt>
                <c:pt idx="1022">
                  <c:v>4.8457887560196065E-3</c:v>
                </c:pt>
                <c:pt idx="1023">
                  <c:v>4.8521219965523138E-3</c:v>
                </c:pt>
                <c:pt idx="1024">
                  <c:v>4.8584604226714866E-3</c:v>
                </c:pt>
                <c:pt idx="1025">
                  <c:v>4.8648040247139439E-3</c:v>
                </c:pt>
                <c:pt idx="1026">
                  <c:v>4.8711527884987907E-3</c:v>
                </c:pt>
                <c:pt idx="1027">
                  <c:v>4.8902299084987392E-3</c:v>
                </c:pt>
                <c:pt idx="1028">
                  <c:v>4.8965991774442144E-3</c:v>
                </c:pt>
                <c:pt idx="1029">
                  <c:v>4.9029735372276171E-3</c:v>
                </c:pt>
                <c:pt idx="1030">
                  <c:v>4.9093529736680486E-3</c:v>
                </c:pt>
                <c:pt idx="1031">
                  <c:v>4.9157374725846206E-3</c:v>
                </c:pt>
                <c:pt idx="1032">
                  <c:v>4.9349212023822404E-3</c:v>
                </c:pt>
                <c:pt idx="1033">
                  <c:v>4.9413258093944368E-3</c:v>
                </c:pt>
                <c:pt idx="1034">
                  <c:v>4.9477354079783082E-3</c:v>
                </c:pt>
                <c:pt idx="1035">
                  <c:v>4.9541499839529613E-3</c:v>
                </c:pt>
                <c:pt idx="1036">
                  <c:v>4.9605695231375001E-3</c:v>
                </c:pt>
                <c:pt idx="1037">
                  <c:v>4.9798577781415164E-3</c:v>
                </c:pt>
                <c:pt idx="1038">
                  <c:v>4.9862970283566762E-3</c:v>
                </c:pt>
                <c:pt idx="1039">
                  <c:v>4.9927411708772613E-3</c:v>
                </c:pt>
                <c:pt idx="1040">
                  <c:v>4.9991901915223741E-3</c:v>
                </c:pt>
                <c:pt idx="1041">
                  <c:v>5.0056440761111253E-3</c:v>
                </c:pt>
                <c:pt idx="1042">
                  <c:v>5.0250347717302659E-3</c:v>
                </c:pt>
                <c:pt idx="1043">
                  <c:v>5.0315079702846323E-3</c:v>
                </c:pt>
                <c:pt idx="1044">
                  <c:v>5.0379859618781718E-3</c:v>
                </c:pt>
                <c:pt idx="1045">
                  <c:v>5.0444687323299882E-3</c:v>
                </c:pt>
                <c:pt idx="1046">
                  <c:v>5.0509562674591908E-3</c:v>
                </c:pt>
                <c:pt idx="1047">
                  <c:v>5.0704473191021853E-3</c:v>
                </c:pt>
                <c:pt idx="1048">
                  <c:v>5.0769537711319998E-3</c:v>
                </c:pt>
                <c:pt idx="1049">
                  <c:v>5.0834649169347349E-3</c:v>
                </c:pt>
                <c:pt idx="1050">
                  <c:v>5.0899807423294991E-3</c:v>
                </c:pt>
                <c:pt idx="1051">
                  <c:v>5.0965012331353971E-3</c:v>
                </c:pt>
                <c:pt idx="1052">
                  <c:v>5.116090556210969E-3</c:v>
                </c:pt>
                <c:pt idx="1053">
                  <c:v>5.1226295668524748E-3</c:v>
                </c:pt>
                <c:pt idx="1054">
                  <c:v>5.1291731720006515E-3</c:v>
                </c:pt>
                <c:pt idx="1055">
                  <c:v>5.1357213574746039E-3</c:v>
                </c:pt>
                <c:pt idx="1056">
                  <c:v>5.1422741090934414E-3</c:v>
                </c:pt>
                <c:pt idx="1057">
                  <c:v>5.1619596190103168E-3</c:v>
                </c:pt>
                <c:pt idx="1058">
                  <c:v>5.1685304933997587E-3</c:v>
                </c:pt>
                <c:pt idx="1059">
                  <c:v>5.1751058630296158E-3</c:v>
                </c:pt>
                <c:pt idx="1060">
                  <c:v>5.1816857137190007E-3</c:v>
                </c:pt>
                <c:pt idx="1061">
                  <c:v>5.1882700312870155E-3</c:v>
                </c:pt>
                <c:pt idx="1062">
                  <c:v>5.2080496434539275E-3</c:v>
                </c:pt>
                <c:pt idx="1063">
                  <c:v>5.2146516867275453E-3</c:v>
                </c:pt>
                <c:pt idx="1064">
                  <c:v>5.2212581259753277E-3</c:v>
                </c:pt>
                <c:pt idx="1065">
                  <c:v>5.2278689470163838E-3</c:v>
                </c:pt>
                <c:pt idx="1066">
                  <c:v>5.2344841356698245E-3</c:v>
                </c:pt>
                <c:pt idx="1067">
                  <c:v>5.2543557654954982E-3</c:v>
                </c:pt>
                <c:pt idx="1068">
                  <c:v>5.2609882827895308E-3</c:v>
                </c:pt>
                <c:pt idx="1069">
                  <c:v>5.26762509679148E-3</c:v>
                </c:pt>
                <c:pt idx="1070">
                  <c:v>5.2742661933204539E-3</c:v>
                </c:pt>
                <c:pt idx="1071">
                  <c:v>5.2809115581955585E-3</c:v>
                </c:pt>
                <c:pt idx="1072">
                  <c:v>5.30087312108872E-3</c:v>
                </c:pt>
                <c:pt idx="1073">
                  <c:v>5.3075354175394157E-3</c:v>
                </c:pt>
                <c:pt idx="1074">
                  <c:v>5.3142019114317757E-3</c:v>
                </c:pt>
                <c:pt idx="1075">
                  <c:v>5.3208725885849082E-3</c:v>
                </c:pt>
                <c:pt idx="1076">
                  <c:v>5.3275474348179188E-3</c:v>
                </c:pt>
                <c:pt idx="1077">
                  <c:v>5.3475968461872969E-3</c:v>
                </c:pt>
                <c:pt idx="1078">
                  <c:v>5.3542882269308938E-3</c:v>
                </c:pt>
                <c:pt idx="1079">
                  <c:v>5.3609837058499069E-3</c:v>
                </c:pt>
                <c:pt idx="1080">
                  <c:v>5.3676832687634393E-3</c:v>
                </c:pt>
                <c:pt idx="1081">
                  <c:v>5.3743869014905993E-3</c:v>
                </c:pt>
                <c:pt idx="1082">
                  <c:v>5.3945220767449235E-3</c:v>
                </c:pt>
                <c:pt idx="1083">
                  <c:v>5.4012418469176673E-3</c:v>
                </c:pt>
                <c:pt idx="1084">
                  <c:v>5.4079656159995715E-3</c:v>
                </c:pt>
                <c:pt idx="1085">
                  <c:v>5.4146933698097496E-3</c:v>
                </c:pt>
                <c:pt idx="1086">
                  <c:v>5.4214250941673021E-3</c:v>
                </c:pt>
                <c:pt idx="1087">
                  <c:v>5.4416439487152942E-3</c:v>
                </c:pt>
                <c:pt idx="1088">
                  <c:v>5.4483914134534255E-3</c:v>
                </c:pt>
                <c:pt idx="1089">
                  <c:v>5.4551427778344701E-3</c:v>
                </c:pt>
                <c:pt idx="1090">
                  <c:v>5.4618980276775319E-3</c:v>
                </c:pt>
                <c:pt idx="1091">
                  <c:v>5.468657148801721E-3</c:v>
                </c:pt>
                <c:pt idx="1092">
                  <c:v>5.4889575980521113E-3</c:v>
                </c:pt>
                <c:pt idx="1093">
                  <c:v>5.4957320624918734E-3</c:v>
                </c:pt>
                <c:pt idx="1094">
                  <c:v>5.5025103273082972E-3</c:v>
                </c:pt>
                <c:pt idx="1095">
                  <c:v>5.5092923783204868E-3</c:v>
                </c:pt>
                <c:pt idx="1096">
                  <c:v>5.516078201347553E-3</c:v>
                </c:pt>
                <c:pt idx="1097">
                  <c:v>5.5364581607090695E-3</c:v>
                </c:pt>
                <c:pt idx="1098">
                  <c:v>5.5432589299867037E-3</c:v>
                </c:pt>
                <c:pt idx="1099">
                  <c:v>5.550063400374749E-3</c:v>
                </c:pt>
                <c:pt idx="1100">
                  <c:v>5.5568715576923087E-3</c:v>
                </c:pt>
                <c:pt idx="1101">
                  <c:v>5.5636833877584961E-3</c:v>
                </c:pt>
                <c:pt idx="1102">
                  <c:v>5.5841407726398649E-3</c:v>
                </c:pt>
                <c:pt idx="1103">
                  <c:v>5.5909671518916135E-3</c:v>
                </c:pt>
                <c:pt idx="1104">
                  <c:v>5.5977971329875245E-3</c:v>
                </c:pt>
                <c:pt idx="1105">
                  <c:v>5.6046307017466974E-3</c:v>
                </c:pt>
                <c:pt idx="1106">
                  <c:v>5.6114678439882467E-3</c:v>
                </c:pt>
                <c:pt idx="1107">
                  <c:v>5.6320005697981946E-3</c:v>
                </c:pt>
                <c:pt idx="1108">
                  <c:v>5.6388518641603026E-3</c:v>
                </c:pt>
                <c:pt idx="1109">
                  <c:v>5.6457066611003189E-3</c:v>
                </c:pt>
                <c:pt idx="1110">
                  <c:v>5.65256494643735E-3</c:v>
                </c:pt>
                <c:pt idx="1111">
                  <c:v>5.6594267059905017E-3</c:v>
                </c:pt>
                <c:pt idx="1112">
                  <c:v>5.6800326881377575E-3</c:v>
                </c:pt>
                <c:pt idx="1113">
                  <c:v>5.6869082027464673E-3</c:v>
                </c:pt>
                <c:pt idx="1114">
                  <c:v>5.6937871206668321E-3</c:v>
                </c:pt>
                <c:pt idx="1115">
                  <c:v>5.7006694277179594E-3</c:v>
                </c:pt>
                <c:pt idx="1116">
                  <c:v>5.7075551097189601E-3</c:v>
                </c:pt>
                <c:pt idx="1117">
                  <c:v>5.7282322636122507E-3</c:v>
                </c:pt>
                <c:pt idx="1118">
                  <c:v>5.7351313036038019E-3</c:v>
                </c:pt>
                <c:pt idx="1119">
                  <c:v>5.7420336476407575E-3</c:v>
                </c:pt>
                <c:pt idx="1120">
                  <c:v>5.7489392815422286E-3</c:v>
                </c:pt>
                <c:pt idx="1121">
                  <c:v>5.7558481911273154E-3</c:v>
                </c:pt>
                <c:pt idx="1122">
                  <c:v>5.7765944321753688E-3</c:v>
                </c:pt>
                <c:pt idx="1123">
                  <c:v>5.7835163026860072E-3</c:v>
                </c:pt>
                <c:pt idx="1124">
                  <c:v>5.7904413779757968E-3</c:v>
                </c:pt>
                <c:pt idx="1125">
                  <c:v>5.7973696438638504E-3</c:v>
                </c:pt>
                <c:pt idx="1126">
                  <c:v>5.8043010861692709E-3</c:v>
                </c:pt>
                <c:pt idx="1127">
                  <c:v>5.8251143297808122E-3</c:v>
                </c:pt>
                <c:pt idx="1128">
                  <c:v>5.8320583359467767E-3</c:v>
                </c:pt>
                <c:pt idx="1129">
                  <c:v>5.8390054476256453E-3</c:v>
                </c:pt>
                <c:pt idx="1130">
                  <c:v>5.845955650636522E-3</c:v>
                </c:pt>
                <c:pt idx="1131">
                  <c:v>5.8529089307985177E-3</c:v>
                </c:pt>
                <c:pt idx="1132">
                  <c:v>5.8737870923822773E-3</c:v>
                </c:pt>
                <c:pt idx="1133">
                  <c:v>5.8807525393398119E-3</c:v>
                </c:pt>
                <c:pt idx="1134">
                  <c:v>5.8877209925439974E-3</c:v>
                </c:pt>
                <c:pt idx="1135">
                  <c:v>5.8946924378139448E-3</c:v>
                </c:pt>
                <c:pt idx="1136">
                  <c:v>5.9016668609687562E-3</c:v>
                </c:pt>
                <c:pt idx="1137">
                  <c:v>5.9226078559334594E-3</c:v>
                </c:pt>
                <c:pt idx="1138">
                  <c:v>5.9295940488188047E-3</c:v>
                </c:pt>
                <c:pt idx="1139">
                  <c:v>5.9365831486845547E-3</c:v>
                </c:pt>
                <c:pt idx="1140">
                  <c:v>5.9435751413498099E-3</c:v>
                </c:pt>
                <c:pt idx="1141">
                  <c:v>5.9505700126336828E-3</c:v>
                </c:pt>
                <c:pt idx="1142">
                  <c:v>5.9715717563880574E-3</c:v>
                </c:pt>
                <c:pt idx="1143">
                  <c:v>5.9785780003374584E-3</c:v>
                </c:pt>
                <c:pt idx="1144">
                  <c:v>5.9855870520010117E-3</c:v>
                </c:pt>
                <c:pt idx="1145">
                  <c:v>5.9925988971978195E-3</c:v>
                </c:pt>
                <c:pt idx="1146">
                  <c:v>5.9996135217469928E-3</c:v>
                </c:pt>
                <c:pt idx="1147">
                  <c:v>6.0206739296997684E-3</c:v>
                </c:pt>
                <c:pt idx="1148">
                  <c:v>6.0276995298494656E-3</c:v>
                </c:pt>
                <c:pt idx="1149">
                  <c:v>6.0347278384470645E-3</c:v>
                </c:pt>
                <c:pt idx="1150">
                  <c:v>6.0417588413116665E-3</c:v>
                </c:pt>
                <c:pt idx="1151">
                  <c:v>6.048792524262386E-3</c:v>
                </c:pt>
                <c:pt idx="1152">
                  <c:v>6.069909511822286E-3</c:v>
                </c:pt>
                <c:pt idx="1153">
                  <c:v>6.0769537733085235E-3</c:v>
                </c:pt>
                <c:pt idx="1154">
                  <c:v>6.084000643976413E-3</c:v>
                </c:pt>
                <c:pt idx="1155">
                  <c:v>6.0910501096450541E-3</c:v>
                </c:pt>
                <c:pt idx="1156">
                  <c:v>6.0981021561335612E-3</c:v>
                </c:pt>
                <c:pt idx="1157">
                  <c:v>6.1192736387093109E-3</c:v>
                </c:pt>
                <c:pt idx="1158">
                  <c:v>6.1263358666683336E-3</c:v>
                </c:pt>
                <c:pt idx="1159">
                  <c:v>6.1334006045427516E-3</c:v>
                </c:pt>
                <c:pt idx="1160">
                  <c:v>6.1404678381516749E-3</c:v>
                </c:pt>
                <c:pt idx="1161">
                  <c:v>6.1475375533142085E-3</c:v>
                </c:pt>
                <c:pt idx="1162">
                  <c:v>6.1687614463145409E-3</c:v>
                </c:pt>
                <c:pt idx="1163">
                  <c:v>6.1758409458825894E-3</c:v>
                </c:pt>
                <c:pt idx="1164">
                  <c:v>6.1829228560997818E-3</c:v>
                </c:pt>
                <c:pt idx="1165">
                  <c:v>6.1900071627852254E-3</c:v>
                </c:pt>
                <c:pt idx="1166">
                  <c:v>6.1970938517580312E-3</c:v>
                </c:pt>
                <c:pt idx="1167">
                  <c:v>6.2183680705916742E-3</c:v>
                </c:pt>
                <c:pt idx="1168">
                  <c:v>6.2254641469049864E-3</c:v>
                </c:pt>
                <c:pt idx="1169">
                  <c:v>6.2325625346011946E-3</c:v>
                </c:pt>
                <c:pt idx="1170">
                  <c:v>6.239663219499406E-3</c:v>
                </c:pt>
                <c:pt idx="1171">
                  <c:v>6.2680886474944016E-3</c:v>
                </c:pt>
                <c:pt idx="1172">
                  <c:v>6.2752006056892261E-3</c:v>
                </c:pt>
                <c:pt idx="1173">
                  <c:v>6.2823147760006914E-3</c:v>
                </c:pt>
                <c:pt idx="1174">
                  <c:v>6.2894311442479112E-3</c:v>
                </c:pt>
                <c:pt idx="1175">
                  <c:v>6.317996407176044E-3</c:v>
                </c:pt>
                <c:pt idx="1176">
                  <c:v>6.3251431050173907E-3</c:v>
                </c:pt>
                <c:pt idx="1177">
                  <c:v>6.3322919271069254E-3</c:v>
                </c:pt>
                <c:pt idx="1178">
                  <c:v>6.3394428591468854E-3</c:v>
                </c:pt>
                <c:pt idx="1179">
                  <c:v>6.3465958868394968E-3</c:v>
                </c:pt>
                <c:pt idx="1180">
                  <c:v>6.3680674008555743E-3</c:v>
                </c:pt>
                <c:pt idx="1181">
                  <c:v>6.3752286681811217E-3</c:v>
                </c:pt>
                <c:pt idx="1182">
                  <c:v>6.3823919596704831E-3</c:v>
                </c:pt>
                <c:pt idx="1183">
                  <c:v>6.3895572610258924E-3</c:v>
                </c:pt>
                <c:pt idx="1184">
                  <c:v>6.3967245579495775E-3</c:v>
                </c:pt>
                <c:pt idx="1185">
                  <c:v>6.4182382791526261E-3</c:v>
                </c:pt>
                <c:pt idx="1186">
                  <c:v>6.4254134153717453E-3</c:v>
                </c:pt>
                <c:pt idx="1187">
                  <c:v>6.4325904756703037E-3</c:v>
                </c:pt>
                <c:pt idx="1188">
                  <c:v>6.4397694457505334E-3</c:v>
                </c:pt>
                <c:pt idx="1189">
                  <c:v>6.4469503113146658E-3</c:v>
                </c:pt>
                <c:pt idx="1190">
                  <c:v>6.4685041379328005E-3</c:v>
                </c:pt>
                <c:pt idx="1191">
                  <c:v>6.4756924424548661E-3</c:v>
                </c:pt>
                <c:pt idx="1192">
                  <c:v>6.4828825709719942E-3</c:v>
                </c:pt>
                <c:pt idx="1193">
                  <c:v>6.4900745091864154E-3</c:v>
                </c:pt>
                <c:pt idx="1194">
                  <c:v>6.4972682428003654E-3</c:v>
                </c:pt>
                <c:pt idx="1195">
                  <c:v>6.518860073061703E-3</c:v>
                </c:pt>
                <c:pt idx="1196">
                  <c:v>6.5260608452960851E-3</c:v>
                </c:pt>
                <c:pt idx="1197">
                  <c:v>6.5332633414411541E-3</c:v>
                </c:pt>
                <c:pt idx="1198">
                  <c:v>6.540467547199144E-3</c:v>
                </c:pt>
                <c:pt idx="1199">
                  <c:v>6.5476734482722851E-3</c:v>
                </c:pt>
                <c:pt idx="1200">
                  <c:v>6.5693011804049389E-3</c:v>
                </c:pt>
                <c:pt idx="1201">
                  <c:v>6.5765137197610095E-3</c:v>
                </c:pt>
                <c:pt idx="1202">
                  <c:v>6.5837278829433904E-3</c:v>
                </c:pt>
                <c:pt idx="1203">
                  <c:v>6.5909436556543174E-3</c:v>
                </c:pt>
                <c:pt idx="1204">
                  <c:v>6.5981610235960218E-3</c:v>
                </c:pt>
                <c:pt idx="1205">
                  <c:v>6.619822555828111E-3</c:v>
                </c:pt>
                <c:pt idx="1206">
                  <c:v>6.627046161715242E-3</c:v>
                </c:pt>
                <c:pt idx="1207">
                  <c:v>6.6342712913443078E-3</c:v>
                </c:pt>
                <c:pt idx="1208">
                  <c:v>6.6414979304175456E-3</c:v>
                </c:pt>
                <c:pt idx="1209">
                  <c:v>6.6487260646371843E-3</c:v>
                </c:pt>
                <c:pt idx="1210">
                  <c:v>6.6704192951968257E-3</c:v>
                </c:pt>
                <c:pt idx="1211">
                  <c:v>6.6776532670243891E-3</c:v>
                </c:pt>
                <c:pt idx="1212">
                  <c:v>6.6848886625095125E-3</c:v>
                </c:pt>
                <c:pt idx="1213">
                  <c:v>6.6921254673544305E-3</c:v>
                </c:pt>
                <c:pt idx="1214">
                  <c:v>6.6993636672613753E-3</c:v>
                </c:pt>
                <c:pt idx="1215">
                  <c:v>6.7210864943766839E-3</c:v>
                </c:pt>
                <c:pt idx="1216">
                  <c:v>6.7283301315540518E-3</c:v>
                </c:pt>
                <c:pt idx="1217">
                  <c:v>6.7355750923046047E-3</c:v>
                </c:pt>
                <c:pt idx="1218">
                  <c:v>6.74282136233058E-3</c:v>
                </c:pt>
                <c:pt idx="1219">
                  <c:v>6.7500689273342004E-3</c:v>
                </c:pt>
                <c:pt idx="1220">
                  <c:v>6.771819249233293E-3</c:v>
                </c:pt>
                <c:pt idx="1221">
                  <c:v>6.779071851169838E-3</c:v>
                </c:pt>
                <c:pt idx="1222">
                  <c:v>6.786325676595195E-3</c:v>
                </c:pt>
                <c:pt idx="1223">
                  <c:v>6.7935807112115918E-3</c:v>
                </c:pt>
                <c:pt idx="1224">
                  <c:v>6.8008369407212641E-3</c:v>
                </c:pt>
                <c:pt idx="1225">
                  <c:v>6.8226126556322556E-3</c:v>
                </c:pt>
                <c:pt idx="1226">
                  <c:v>6.8298735217373488E-3</c:v>
                </c:pt>
                <c:pt idx="1227">
                  <c:v>6.8371355112468784E-3</c:v>
                </c:pt>
                <c:pt idx="1228">
                  <c:v>6.8443986098630748E-3</c:v>
                </c:pt>
                <c:pt idx="1229">
                  <c:v>6.8516628032881718E-3</c:v>
                </c:pt>
                <c:pt idx="1230">
                  <c:v>6.8734618094391763E-3</c:v>
                </c:pt>
                <c:pt idx="1231">
                  <c:v>6.8807302391221906E-3</c:v>
                </c:pt>
                <c:pt idx="1232">
                  <c:v>6.8879996921252656E-3</c:v>
                </c:pt>
                <c:pt idx="1233">
                  <c:v>6.8952701541506334E-3</c:v>
                </c:pt>
                <c:pt idx="1234">
                  <c:v>6.9025416109005236E-3</c:v>
                </c:pt>
                <c:pt idx="1235">
                  <c:v>6.9243618065196622E-3</c:v>
                </c:pt>
                <c:pt idx="1236">
                  <c:v>6.9316370991899679E-3</c:v>
                </c:pt>
                <c:pt idx="1237">
                  <c:v>6.9389133150959594E-3</c:v>
                </c:pt>
                <c:pt idx="1238">
                  <c:v>6.9461904399398689E-3</c:v>
                </c:pt>
                <c:pt idx="1239">
                  <c:v>6.9825891978062852E-3</c:v>
                </c:pt>
                <c:pt idx="1240">
                  <c:v>6.9898714760245687E-3</c:v>
                </c:pt>
                <c:pt idx="1241">
                  <c:v>6.9971545630963883E-3</c:v>
                </c:pt>
                <c:pt idx="1242">
                  <c:v>7.0044384447239842E-3</c:v>
                </c:pt>
                <c:pt idx="1243">
                  <c:v>7.0262947139637343E-3</c:v>
                </c:pt>
                <c:pt idx="1244">
                  <c:v>7.0335816308367436E-3</c:v>
                </c:pt>
                <c:pt idx="1245">
                  <c:v>7.0408692707766883E-3</c:v>
                </c:pt>
                <c:pt idx="1246">
                  <c:v>7.0481576194857979E-3</c:v>
                </c:pt>
                <c:pt idx="1247">
                  <c:v>7.0554466626663046E-3</c:v>
                </c:pt>
                <c:pt idx="1248">
                  <c:v>7.0773178160585329E-3</c:v>
                </c:pt>
                <c:pt idx="1249">
                  <c:v>7.0846094941469503E-3</c:v>
                </c:pt>
                <c:pt idx="1250">
                  <c:v>7.0919017952179282E-3</c:v>
                </c:pt>
                <c:pt idx="1251">
                  <c:v>7.0991947049736971E-3</c:v>
                </c:pt>
                <c:pt idx="1252">
                  <c:v>7.1064882091164865E-3</c:v>
                </c:pt>
                <c:pt idx="1253">
                  <c:v>7.1283721448893098E-3</c:v>
                </c:pt>
                <c:pt idx="1254">
                  <c:v>7.1356678836025107E-3</c:v>
                </c:pt>
                <c:pt idx="1255">
                  <c:v>7.142964145213892E-3</c:v>
                </c:pt>
                <c:pt idx="1256">
                  <c:v>7.1502609154256913E-3</c:v>
                </c:pt>
                <c:pt idx="1257">
                  <c:v>7.1575581799401362E-3</c:v>
                </c:pt>
                <c:pt idx="1258">
                  <c:v>7.1794527963216729E-3</c:v>
                </c:pt>
                <c:pt idx="1259">
                  <c:v>7.1867518950690283E-3</c:v>
                </c:pt>
                <c:pt idx="1260">
                  <c:v>7.194051416630186E-3</c:v>
                </c:pt>
                <c:pt idx="1261">
                  <c:v>7.2013513467073876E-3</c:v>
                </c:pt>
                <c:pt idx="1262">
                  <c:v>7.2086516710028583E-3</c:v>
                </c:pt>
                <c:pt idx="1263">
                  <c:v>7.2305548662212242E-3</c:v>
                </c:pt>
                <c:pt idx="1264">
                  <c:v>7.2378566244121027E-3</c:v>
                </c:pt>
                <c:pt idx="1265">
                  <c:v>7.2451587053324138E-3</c:v>
                </c:pt>
                <c:pt idx="1266">
                  <c:v>7.2524610946843896E-3</c:v>
                </c:pt>
                <c:pt idx="1267">
                  <c:v>7.2597637781702581E-3</c:v>
                </c:pt>
                <c:pt idx="1268">
                  <c:v>7.2816734504535675E-3</c:v>
                </c:pt>
                <c:pt idx="1269">
                  <c:v>7.2889771674973444E-3</c:v>
                </c:pt>
                <c:pt idx="1270">
                  <c:v>7.2962811071861765E-3</c:v>
                </c:pt>
                <c:pt idx="1271">
                  <c:v>7.3035852552222986E-3</c:v>
                </c:pt>
                <c:pt idx="1272">
                  <c:v>7.3108895973079402E-3</c:v>
                </c:pt>
                <c:pt idx="1273">
                  <c:v>7.3328036448843089E-3</c:v>
                </c:pt>
                <c:pt idx="1274">
                  <c:v>7.3401086201903545E-3</c:v>
                </c:pt>
                <c:pt idx="1275">
                  <c:v>7.3474137180570814E-3</c:v>
                </c:pt>
                <c:pt idx="1276">
                  <c:v>7.3547189241867199E-3</c:v>
                </c:pt>
                <c:pt idx="1277">
                  <c:v>7.3620242242815057E-3</c:v>
                </c:pt>
                <c:pt idx="1278">
                  <c:v>7.3839405453790521E-3</c:v>
                </c:pt>
                <c:pt idx="1279">
                  <c:v>7.3912460783567384E-3</c:v>
                </c:pt>
                <c:pt idx="1280">
                  <c:v>7.3985516338107302E-3</c:v>
                </c:pt>
                <c:pt idx="1281">
                  <c:v>7.4058571992490756E-3</c:v>
                </c:pt>
                <c:pt idx="1282">
                  <c:v>7.4131627694030812E-3</c:v>
                </c:pt>
                <c:pt idx="1283">
                  <c:v>7.4350794735302764E-3</c:v>
                </c:pt>
                <c:pt idx="1284">
                  <c:v>7.4423850279181428E-3</c:v>
                </c:pt>
                <c:pt idx="1285">
                  <c:v>7.4496905697072797E-3</c:v>
                </c:pt>
                <c:pt idx="1286">
                  <c:v>7.4569960954348046E-3</c:v>
                </c:pt>
                <c:pt idx="1287">
                  <c:v>7.4643016016378485E-3</c:v>
                </c:pt>
                <c:pt idx="1288">
                  <c:v>7.4862179684712865E-3</c:v>
                </c:pt>
                <c:pt idx="1289">
                  <c:v>7.4935233619476084E-3</c:v>
                </c:pt>
                <c:pt idx="1290">
                  <c:v>7.5008287185850554E-3</c:v>
                </c:pt>
                <c:pt idx="1291">
                  <c:v>7.50813403492075E-3</c:v>
                </c:pt>
                <c:pt idx="1292">
                  <c:v>7.5154393074918146E-3</c:v>
                </c:pt>
                <c:pt idx="1293">
                  <c:v>7.5373548279884404E-3</c:v>
                </c:pt>
                <c:pt idx="1294">
                  <c:v>7.5446598908722028E-3</c:v>
                </c:pt>
                <c:pt idx="1295">
                  <c:v>7.5519648926769458E-3</c:v>
                </c:pt>
                <c:pt idx="1296">
                  <c:v>7.5592698299397892E-3</c:v>
                </c:pt>
                <c:pt idx="1297">
                  <c:v>7.5665746991978571E-3</c:v>
                </c:pt>
                <c:pt idx="1298">
                  <c:v>7.5884888643146251E-3</c:v>
                </c:pt>
                <c:pt idx="1299">
                  <c:v>7.5957934269248089E-3</c:v>
                </c:pt>
                <c:pt idx="1300">
                  <c:v>7.6030979042158286E-3</c:v>
                </c:pt>
                <c:pt idx="1301">
                  <c:v>7.6104022927248058E-3</c:v>
                </c:pt>
                <c:pt idx="1302">
                  <c:v>7.6177065889888604E-3</c:v>
                </c:pt>
                <c:pt idx="1303">
                  <c:v>7.6396188896827189E-3</c:v>
                </c:pt>
                <c:pt idx="1304">
                  <c:v>7.64692278233831E-3</c:v>
                </c:pt>
                <c:pt idx="1305">
                  <c:v>7.6542265654345873E-3</c:v>
                </c:pt>
                <c:pt idx="1306">
                  <c:v>7.6615302355086791E-3</c:v>
                </c:pt>
                <c:pt idx="1307">
                  <c:v>7.6688337890977046E-3</c:v>
                </c:pt>
                <c:pt idx="1308">
                  <c:v>7.690743716325602E-3</c:v>
                </c:pt>
                <c:pt idx="1309">
                  <c:v>7.6980467693455812E-3</c:v>
                </c:pt>
                <c:pt idx="1310">
                  <c:v>7.7053496885661028E-3</c:v>
                </c:pt>
                <c:pt idx="1311">
                  <c:v>7.7126524705242961E-3</c:v>
                </c:pt>
                <c:pt idx="1312">
                  <c:v>7.7199551117572715E-3</c:v>
                </c:pt>
                <c:pt idx="1313">
                  <c:v>7.7418621564761562E-3</c:v>
                </c:pt>
                <c:pt idx="1314">
                  <c:v>7.7491642001795086E-3</c:v>
                </c:pt>
                <c:pt idx="1315">
                  <c:v>7.7564660858432588E-3</c:v>
                </c:pt>
                <c:pt idx="1316">
                  <c:v>7.7637678100045309E-3</c:v>
                </c:pt>
                <c:pt idx="1317">
                  <c:v>7.7710693692004422E-3</c:v>
                </c:pt>
                <c:pt idx="1318">
                  <c:v>7.7929730223672642E-3</c:v>
                </c:pt>
                <c:pt idx="1319">
                  <c:v>7.8002738870729723E-3</c:v>
                </c:pt>
                <c:pt idx="1320">
                  <c:v>7.8075745694989318E-3</c:v>
                </c:pt>
                <c:pt idx="1321">
                  <c:v>7.8148750661822686E-3</c:v>
                </c:pt>
                <c:pt idx="1322">
                  <c:v>7.8221753736601E-3</c:v>
                </c:pt>
                <c:pt idx="1323">
                  <c:v>7.8440751262318087E-3</c:v>
                </c:pt>
                <c:pt idx="1324">
                  <c:v>7.8513746422588515E-3</c:v>
                </c:pt>
                <c:pt idx="1325">
                  <c:v>7.8586739517660046E-3</c:v>
                </c:pt>
                <c:pt idx="1326">
                  <c:v>7.8659730512903887E-3</c:v>
                </c:pt>
                <c:pt idx="1327">
                  <c:v>7.8732719373691244E-3</c:v>
                </c:pt>
                <c:pt idx="1328">
                  <c:v>7.895167280302668E-3</c:v>
                </c:pt>
                <c:pt idx="1329">
                  <c:v>7.9024652779700316E-3</c:v>
                </c:pt>
                <c:pt idx="1330">
                  <c:v>7.9097630448773625E-3</c:v>
                </c:pt>
                <c:pt idx="1331">
                  <c:v>7.9170605775617745E-3</c:v>
                </c:pt>
                <c:pt idx="1332">
                  <c:v>7.9243578725603971E-3</c:v>
                </c:pt>
                <c:pt idx="1333">
                  <c:v>7.9462482968127215E-3</c:v>
                </c:pt>
                <c:pt idx="1334">
                  <c:v>7.9535446064393934E-3</c:v>
                </c:pt>
                <c:pt idx="1335">
                  <c:v>7.9608406610658829E-3</c:v>
                </c:pt>
                <c:pt idx="1336">
                  <c:v>7.9681364572293072E-3</c:v>
                </c:pt>
                <c:pt idx="1337">
                  <c:v>7.9754319914667991E-3</c:v>
                </c:pt>
                <c:pt idx="1338">
                  <c:v>7.9973169879948569E-3</c:v>
                </c:pt>
                <c:pt idx="1339">
                  <c:v>8.0046114398998145E-3</c:v>
                </c:pt>
                <c:pt idx="1340">
                  <c:v>8.0119056125644451E-3</c:v>
                </c:pt>
                <c:pt idx="1341">
                  <c:v>8.0191995025258693E-3</c:v>
                </c:pt>
                <c:pt idx="1342">
                  <c:v>8.0264931063212096E-3</c:v>
                </c:pt>
                <c:pt idx="1343">
                  <c:v>8.0483721660819518E-3</c:v>
                </c:pt>
                <c:pt idx="1344">
                  <c:v>8.0556645905841794E-3</c:v>
                </c:pt>
                <c:pt idx="1345">
                  <c:v>8.0629567116059335E-3</c:v>
                </c:pt>
                <c:pt idx="1346">
                  <c:v>8.0702485256843367E-3</c:v>
                </c:pt>
                <c:pt idx="1347">
                  <c:v>8.0775400293565131E-3</c:v>
                </c:pt>
                <c:pt idx="1348">
                  <c:v>8.0994126433068855E-3</c:v>
                </c:pt>
                <c:pt idx="1349">
                  <c:v>8.1067028707253689E-3</c:v>
                </c:pt>
                <c:pt idx="1350">
                  <c:v>8.1139927704232308E-3</c:v>
                </c:pt>
                <c:pt idx="1351">
                  <c:v>8.1212823389375972E-3</c:v>
                </c:pt>
                <c:pt idx="1352">
                  <c:v>8.1285715728055905E-3</c:v>
                </c:pt>
                <c:pt idx="1353">
                  <c:v>8.1504372319025457E-3</c:v>
                </c:pt>
                <c:pt idx="1354">
                  <c:v>8.1577250925562641E-3</c:v>
                </c:pt>
                <c:pt idx="1355">
                  <c:v>8.1650126012492164E-3</c:v>
                </c:pt>
                <c:pt idx="1356">
                  <c:v>8.1722997545185302E-3</c:v>
                </c:pt>
                <c:pt idx="1357">
                  <c:v>8.1795865489013228E-3</c:v>
                </c:pt>
                <c:pt idx="1358">
                  <c:v>8.2014447441018067E-3</c:v>
                </c:pt>
                <c:pt idx="1359">
                  <c:v>8.2087300683097442E-3</c:v>
                </c:pt>
                <c:pt idx="1360">
                  <c:v>8.216015016316771E-3</c:v>
                </c:pt>
                <c:pt idx="1361">
                  <c:v>8.223299584660013E-3</c:v>
                </c:pt>
                <c:pt idx="1362">
                  <c:v>8.2305837698765892E-3</c:v>
                </c:pt>
                <c:pt idx="1363">
                  <c:v>8.2524339921375527E-3</c:v>
                </c:pt>
                <c:pt idx="1364">
                  <c:v>8.2597166102186936E-3</c:v>
                </c:pt>
                <c:pt idx="1365">
                  <c:v>8.2669988278587792E-3</c:v>
                </c:pt>
                <c:pt idx="1366">
                  <c:v>8.2742806415949319E-3</c:v>
                </c:pt>
                <c:pt idx="1367">
                  <c:v>8.2815620479642759E-3</c:v>
                </c:pt>
                <c:pt idx="1368">
                  <c:v>8.3034037882426682E-3</c:v>
                </c:pt>
                <c:pt idx="1369">
                  <c:v>8.3106835305159898E-3</c:v>
                </c:pt>
                <c:pt idx="1370">
                  <c:v>8.3179628481081166E-3</c:v>
                </c:pt>
                <c:pt idx="1371">
                  <c:v>8.325241737556166E-3</c:v>
                </c:pt>
                <c:pt idx="1372">
                  <c:v>8.3325201953972604E-3</c:v>
                </c:pt>
                <c:pt idx="1373">
                  <c:v>8.354352944650029E-3</c:v>
                </c:pt>
                <c:pt idx="1374">
                  <c:v>8.3616296414345207E-3</c:v>
                </c:pt>
                <c:pt idx="1375">
                  <c:v>8.3689058892976714E-3</c:v>
                </c:pt>
                <c:pt idx="1376">
                  <c:v>8.3761816847765964E-3</c:v>
                </c:pt>
                <c:pt idx="1377">
                  <c:v>8.3834570244084219E-3</c:v>
                </c:pt>
                <c:pt idx="1378">
                  <c:v>8.4052802735925195E-3</c:v>
                </c:pt>
                <c:pt idx="1379">
                  <c:v>8.4125537552071656E-3</c:v>
                </c:pt>
                <c:pt idx="1380">
                  <c:v>8.4198267636603208E-3</c:v>
                </c:pt>
                <c:pt idx="1381">
                  <c:v>8.4270992954891058E-3</c:v>
                </c:pt>
                <c:pt idx="1382">
                  <c:v>8.43437134723065E-3</c:v>
                </c:pt>
                <c:pt idx="1383">
                  <c:v>8.4561845873030207E-3</c:v>
                </c:pt>
                <c:pt idx="1384">
                  <c:v>8.4634546840667985E-3</c:v>
                </c:pt>
                <c:pt idx="1385">
                  <c:v>8.4707242834289442E-3</c:v>
                </c:pt>
                <c:pt idx="1386">
                  <c:v>8.4779933819265751E-3</c:v>
                </c:pt>
                <c:pt idx="1387">
                  <c:v>8.4852619760968188E-3</c:v>
                </c:pt>
                <c:pt idx="1388">
                  <c:v>8.5070646980144101E-3</c:v>
                </c:pt>
                <c:pt idx="1389">
                  <c:v>8.5143312402463107E-3</c:v>
                </c:pt>
                <c:pt idx="1390">
                  <c:v>8.5215972608364277E-3</c:v>
                </c:pt>
                <c:pt idx="1391">
                  <c:v>8.528862756321887E-3</c:v>
                </c:pt>
                <c:pt idx="1392">
                  <c:v>8.5361277232398093E-3</c:v>
                </c:pt>
                <c:pt idx="1393">
                  <c:v>8.5579194179595773E-3</c:v>
                </c:pt>
                <c:pt idx="1394">
                  <c:v>8.5651822359785763E-3</c:v>
                </c:pt>
                <c:pt idx="1395">
                  <c:v>8.5724445081156488E-3</c:v>
                </c:pt>
                <c:pt idx="1396">
                  <c:v>8.579706230907919E-3</c:v>
                </c:pt>
                <c:pt idx="1397">
                  <c:v>8.5869674008925041E-3</c:v>
                </c:pt>
                <c:pt idx="1398">
                  <c:v>8.6087475593714016E-3</c:v>
                </c:pt>
                <c:pt idx="1399">
                  <c:v>8.6160064834964814E-3</c:v>
                </c:pt>
                <c:pt idx="1400">
                  <c:v>8.6232648374994902E-3</c:v>
                </c:pt>
                <c:pt idx="1401">
                  <c:v>8.630522617917552E-3</c:v>
                </c:pt>
                <c:pt idx="1402">
                  <c:v>8.6377798212877895E-3</c:v>
                </c:pt>
                <c:pt idx="1403">
                  <c:v>8.6595479344827551E-3</c:v>
                </c:pt>
                <c:pt idx="1404">
                  <c:v>8.6668027950329053E-3</c:v>
                </c:pt>
                <c:pt idx="1405">
                  <c:v>8.6740570612208381E-3</c:v>
                </c:pt>
                <c:pt idx="1406">
                  <c:v>8.6813107295836758E-3</c:v>
                </c:pt>
                <c:pt idx="1407">
                  <c:v>8.6885637966585411E-3</c:v>
                </c:pt>
                <c:pt idx="1408">
                  <c:v>8.7103193555265277E-3</c:v>
                </c:pt>
                <c:pt idx="1409">
                  <c:v>8.7175699828207272E-3</c:v>
                </c:pt>
                <c:pt idx="1410">
                  <c:v>8.7248199915125647E-3</c:v>
                </c:pt>
                <c:pt idx="1411">
                  <c:v>8.7320693781391644E-3</c:v>
                </c:pt>
                <c:pt idx="1412">
                  <c:v>8.7393181392376434E-3</c:v>
                </c:pt>
                <c:pt idx="1413">
                  <c:v>8.7610606347356002E-3</c:v>
                </c:pt>
                <c:pt idx="1414">
                  <c:v>8.7683068590928316E-3</c:v>
                </c:pt>
                <c:pt idx="1415">
                  <c:v>8.7755524406075563E-3</c:v>
                </c:pt>
                <c:pt idx="1416">
                  <c:v>8.7827973758168969E-3</c:v>
                </c:pt>
                <c:pt idx="1417">
                  <c:v>8.7900416612579756E-3</c:v>
                </c:pt>
                <c:pt idx="1418">
                  <c:v>8.8117705843428536E-3</c:v>
                </c:pt>
                <c:pt idx="1419">
                  <c:v>8.8190122360820977E-3</c:v>
                </c:pt>
                <c:pt idx="1420">
                  <c:v>8.8262532207386956E-3</c:v>
                </c:pt>
                <c:pt idx="1421">
                  <c:v>8.8334935348497595E-3</c:v>
                </c:pt>
                <c:pt idx="1422">
                  <c:v>8.8407331749524171E-3</c:v>
                </c:pt>
                <c:pt idx="1423">
                  <c:v>8.8624480165811655E-3</c:v>
                </c:pt>
                <c:pt idx="1424">
                  <c:v>8.8696849260214115E-3</c:v>
                </c:pt>
                <c:pt idx="1425">
                  <c:v>8.8769211441388617E-3</c:v>
                </c:pt>
                <c:pt idx="1426">
                  <c:v>8.8841566674706333E-3</c:v>
                </c:pt>
                <c:pt idx="1427">
                  <c:v>8.8913914925538556E-3</c:v>
                </c:pt>
                <c:pt idx="1428">
                  <c:v>8.9130917436834201E-3</c:v>
                </c:pt>
                <c:pt idx="1429">
                  <c:v>8.920323741143649E-3</c:v>
                </c:pt>
                <c:pt idx="1430">
                  <c:v>8.9275550230409357E-3</c:v>
                </c:pt>
                <c:pt idx="1431">
                  <c:v>8.9347855859124026E-3</c:v>
                </c:pt>
                <c:pt idx="1432">
                  <c:v>8.9420154262951686E-3</c:v>
                </c:pt>
                <c:pt idx="1433">
                  <c:v>8.9637005778824986E-3</c:v>
                </c:pt>
                <c:pt idx="1434">
                  <c:v>8.9709274936816928E-3</c:v>
                </c:pt>
                <c:pt idx="1435">
                  <c:v>8.9781536696778002E-3</c:v>
                </c:pt>
                <c:pt idx="1436">
                  <c:v>8.9853791024079397E-3</c:v>
                </c:pt>
                <c:pt idx="1437">
                  <c:v>8.9926037884092355E-3</c:v>
                </c:pt>
                <c:pt idx="1438">
                  <c:v>9.0142733314112818E-3</c:v>
                </c:pt>
                <c:pt idx="1439">
                  <c:v>9.0214949958684256E-3</c:v>
                </c:pt>
                <c:pt idx="1440">
                  <c:v>9.0287158962823345E-3</c:v>
                </c:pt>
                <c:pt idx="1441">
                  <c:v>9.0359360291901326E-3</c:v>
                </c:pt>
                <c:pt idx="1442">
                  <c:v>9.0431553911289406E-3</c:v>
                </c:pt>
                <c:pt idx="1443">
                  <c:v>9.0648088165026543E-3</c:v>
                </c:pt>
                <c:pt idx="1444">
                  <c:v>9.0720250599367266E-3</c:v>
                </c:pt>
                <c:pt idx="1445">
                  <c:v>9.0792405150874212E-3</c:v>
                </c:pt>
                <c:pt idx="1446">
                  <c:v>9.0864551784918587E-3</c:v>
                </c:pt>
                <c:pt idx="1447">
                  <c:v>9.0936690466871632E-3</c:v>
                </c:pt>
                <c:pt idx="1448">
                  <c:v>9.1153058453894917E-3</c:v>
                </c:pt>
                <c:pt idx="1449">
                  <c:v>9.1225164981194803E-3</c:v>
                </c:pt>
                <c:pt idx="1450">
                  <c:v>9.1297263383259449E-3</c:v>
                </c:pt>
                <c:pt idx="1451">
                  <c:v>9.1369353625460076E-3</c:v>
                </c:pt>
                <c:pt idx="1452">
                  <c:v>9.1441435673167877E-3</c:v>
                </c:pt>
                <c:pt idx="1453">
                  <c:v>9.1657632303046802E-3</c:v>
                </c:pt>
                <c:pt idx="1454">
                  <c:v>9.1729681226495659E-3</c:v>
                </c:pt>
                <c:pt idx="1455">
                  <c:v>9.1801721782307812E-3</c:v>
                </c:pt>
                <c:pt idx="1456">
                  <c:v>9.1873753935854501E-3</c:v>
                </c:pt>
                <c:pt idx="1457">
                  <c:v>9.1945777652506933E-3</c:v>
                </c:pt>
                <c:pt idx="1458">
                  <c:v>9.2161797834810957E-3</c:v>
                </c:pt>
                <c:pt idx="1459">
                  <c:v>9.2233787457598644E-3</c:v>
                </c:pt>
                <c:pt idx="1460">
                  <c:v>9.2305768470348128E-3</c:v>
                </c:pt>
                <c:pt idx="1461">
                  <c:v>9.2377740838430721E-3</c:v>
                </c:pt>
                <c:pt idx="1462">
                  <c:v>9.244970452721761E-3</c:v>
                </c:pt>
                <c:pt idx="1463">
                  <c:v>9.2665543171516276E-3</c:v>
                </c:pt>
                <c:pt idx="1464">
                  <c:v>9.273747179683255E-3</c:v>
                </c:pt>
                <c:pt idx="1465">
                  <c:v>9.280939156970926E-3</c:v>
                </c:pt>
                <c:pt idx="1466">
                  <c:v>9.2881302455517564E-3</c:v>
                </c:pt>
                <c:pt idx="1467">
                  <c:v>9.2953204419628736E-3</c:v>
                </c:pt>
                <c:pt idx="1468">
                  <c:v>9.3168856435491502E-3</c:v>
                </c:pt>
                <c:pt idx="1469">
                  <c:v>9.3240722366526273E-3</c:v>
                </c:pt>
                <c:pt idx="1470">
                  <c:v>9.3312579202719983E-3</c:v>
                </c:pt>
                <c:pt idx="1471">
                  <c:v>9.3384426909443822E-3</c:v>
                </c:pt>
                <c:pt idx="1472">
                  <c:v>9.3456265452069118E-3</c:v>
                </c:pt>
                <c:pt idx="1473">
                  <c:v>9.3671725749065477E-3</c:v>
                </c:pt>
                <c:pt idx="1474">
                  <c:v>9.3743527289008519E-3</c:v>
                </c:pt>
                <c:pt idx="1475">
                  <c:v>9.381531949170907E-3</c:v>
                </c:pt>
                <c:pt idx="1476">
                  <c:v>9.3887102322538322E-3</c:v>
                </c:pt>
                <c:pt idx="1477">
                  <c:v>9.3958875746867551E-3</c:v>
                </c:pt>
                <c:pt idx="1478">
                  <c:v>9.4174139234567012E-3</c:v>
                </c:pt>
                <c:pt idx="1479">
                  <c:v>9.4245874686608184E-3</c:v>
                </c:pt>
                <c:pt idx="1480">
                  <c:v>9.4317600559005402E-3</c:v>
                </c:pt>
                <c:pt idx="1481">
                  <c:v>9.4389316817129875E-3</c:v>
                </c:pt>
                <c:pt idx="1482">
                  <c:v>9.4461023426352878E-3</c:v>
                </c:pt>
                <c:pt idx="1483">
                  <c:v>9.4676085014324899E-3</c:v>
                </c:pt>
                <c:pt idx="1484">
                  <c:v>9.4747752681654026E-3</c:v>
                </c:pt>
                <c:pt idx="1485">
                  <c:v>9.4819410526937771E-3</c:v>
                </c:pt>
                <c:pt idx="1486">
                  <c:v>9.4891058515547289E-3</c:v>
                </c:pt>
                <c:pt idx="1487">
                  <c:v>9.4962696612853875E-3</c:v>
                </c:pt>
                <c:pt idx="1488">
                  <c:v>9.5177551210667982E-3</c:v>
                </c:pt>
                <c:pt idx="1489">
                  <c:v>9.5249149396474889E-3</c:v>
                </c:pt>
                <c:pt idx="1490">
                  <c:v>9.5320737517834951E-3</c:v>
                </c:pt>
                <c:pt idx="1491">
                  <c:v>9.5392315540119392E-3</c:v>
                </c:pt>
                <c:pt idx="1492">
                  <c:v>9.5463883428699384E-3</c:v>
                </c:pt>
                <c:pt idx="1493">
                  <c:v>9.5678525945925089E-3</c:v>
                </c:pt>
                <c:pt idx="1494">
                  <c:v>9.5750052953399618E-3</c:v>
                </c:pt>
                <c:pt idx="1495">
                  <c:v>9.5821569654025822E-3</c:v>
                </c:pt>
                <c:pt idx="1496">
                  <c:v>9.5893076013174958E-3</c:v>
                </c:pt>
                <c:pt idx="1497">
                  <c:v>9.5964571996218218E-3</c:v>
                </c:pt>
                <c:pt idx="1498">
                  <c:v>9.6178997342424976E-3</c:v>
                </c:pt>
                <c:pt idx="1499">
                  <c:v>9.6250451474756953E-3</c:v>
                </c:pt>
              </c:numCache>
            </c:numRef>
          </c:val>
          <c:smooth val="0"/>
        </c:ser>
        <c:dLbls>
          <c:showLegendKey val="0"/>
          <c:showVal val="0"/>
          <c:showCatName val="0"/>
          <c:showSerName val="0"/>
          <c:showPercent val="0"/>
          <c:showBubbleSize val="0"/>
        </c:dLbls>
        <c:marker val="1"/>
        <c:smooth val="0"/>
        <c:axId val="434263168"/>
        <c:axId val="434295168"/>
      </c:lineChart>
      <c:dateAx>
        <c:axId val="434263168"/>
        <c:scaling>
          <c:orientation val="minMax"/>
        </c:scaling>
        <c:delete val="0"/>
        <c:axPos val="b"/>
        <c:numFmt formatCode="d\-mmm\-yy" sourceLinked="1"/>
        <c:majorTickMark val="out"/>
        <c:minorTickMark val="none"/>
        <c:tickLblPos val="nextTo"/>
        <c:crossAx val="434295168"/>
        <c:crosses val="autoZero"/>
        <c:auto val="1"/>
        <c:lblOffset val="100"/>
        <c:baseTimeUnit val="days"/>
      </c:dateAx>
      <c:valAx>
        <c:axId val="434295168"/>
        <c:scaling>
          <c:orientation val="minMax"/>
        </c:scaling>
        <c:delete val="0"/>
        <c:axPos val="l"/>
        <c:majorGridlines/>
        <c:numFmt formatCode="0.00000%" sourceLinked="1"/>
        <c:majorTickMark val="out"/>
        <c:minorTickMark val="none"/>
        <c:tickLblPos val="nextTo"/>
        <c:crossAx val="434263168"/>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xdr:row>
      <xdr:rowOff>57151</xdr:rowOff>
    </xdr:from>
    <xdr:to>
      <xdr:col>12</xdr:col>
      <xdr:colOff>590550</xdr:colOff>
      <xdr:row>85</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85</xdr:row>
      <xdr:rowOff>57150</xdr:rowOff>
    </xdr:from>
    <xdr:to>
      <xdr:col>15</xdr:col>
      <xdr:colOff>561975</xdr:colOff>
      <xdr:row>85</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26</xdr:col>
      <xdr:colOff>28575</xdr:colOff>
      <xdr:row>84</xdr:row>
      <xdr:rowOff>57151</xdr:rowOff>
    </xdr:from>
    <xdr:to>
      <xdr:col>30</xdr:col>
      <xdr:colOff>590550</xdr:colOff>
      <xdr:row>84</xdr:row>
      <xdr:rowOff>66675</xdr:rowOff>
    </xdr:to>
    <xdr:cxnSp macro="">
      <xdr:nvCxnSpPr>
        <xdr:cNvPr id="2" name="Straight Arrow Connector 1"/>
        <xdr:cNvCxnSpPr/>
      </xdr:nvCxnSpPr>
      <xdr:spPr>
        <a:xfrm>
          <a:off x="24660225" y="16163926"/>
          <a:ext cx="30003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28575</xdr:colOff>
      <xdr:row>84</xdr:row>
      <xdr:rowOff>57150</xdr:rowOff>
    </xdr:from>
    <xdr:to>
      <xdr:col>25</xdr:col>
      <xdr:colOff>561975</xdr:colOff>
      <xdr:row>84</xdr:row>
      <xdr:rowOff>57150</xdr:rowOff>
    </xdr:to>
    <xdr:cxnSp macro="">
      <xdr:nvCxnSpPr>
        <xdr:cNvPr id="3" name="Straight Arrow Connector 2"/>
        <xdr:cNvCxnSpPr/>
      </xdr:nvCxnSpPr>
      <xdr:spPr>
        <a:xfrm>
          <a:off x="228314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28575</xdr:colOff>
      <xdr:row>84</xdr:row>
      <xdr:rowOff>57150</xdr:rowOff>
    </xdr:from>
    <xdr:to>
      <xdr:col>33</xdr:col>
      <xdr:colOff>561975</xdr:colOff>
      <xdr:row>84</xdr:row>
      <xdr:rowOff>57150</xdr:rowOff>
    </xdr:to>
    <xdr:cxnSp macro="">
      <xdr:nvCxnSpPr>
        <xdr:cNvPr id="4" name="Straight Arrow Connector 3"/>
        <xdr:cNvCxnSpPr/>
      </xdr:nvCxnSpPr>
      <xdr:spPr>
        <a:xfrm>
          <a:off x="277082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_xll.meCurveFrequency($F$20,$F21)</f>
        <v>1D</v>
      </c>
      <c r="H21" s="130"/>
      <c r="I21" s="130"/>
      <c r="J21" s="130"/>
      <c r="K21" s="130"/>
      <c r="L21" s="83"/>
    </row>
    <row r="22" spans="2:12" x14ac:dyDescent="0.25">
      <c r="B22" s="82"/>
      <c r="C22" s="130"/>
      <c r="D22" s="130"/>
      <c r="E22" s="431" t="s">
        <v>387</v>
      </c>
      <c r="F22" s="105" t="s">
        <v>201</v>
      </c>
      <c r="G22" s="166" t="str">
        <f>_xll.meCurveFrequency($F$20,$F22)</f>
        <v>1M</v>
      </c>
      <c r="H22" s="130"/>
      <c r="I22" s="130"/>
      <c r="J22" s="130"/>
      <c r="K22" s="130"/>
      <c r="L22" s="83"/>
    </row>
    <row r="23" spans="2:12" x14ac:dyDescent="0.25">
      <c r="B23" s="82"/>
      <c r="C23" s="130"/>
      <c r="D23" s="130"/>
      <c r="E23" s="431" t="s">
        <v>387</v>
      </c>
      <c r="F23" s="105" t="s">
        <v>170</v>
      </c>
      <c r="G23" s="166" t="str">
        <f>_xll.meCurveFrequency($F$20,$F23)</f>
        <v>3M</v>
      </c>
      <c r="H23" s="130"/>
      <c r="I23" s="130"/>
      <c r="J23" s="130"/>
      <c r="K23" s="130"/>
      <c r="L23" s="83"/>
    </row>
    <row r="24" spans="2:12" x14ac:dyDescent="0.25">
      <c r="B24" s="82"/>
      <c r="C24" s="130"/>
      <c r="D24" s="130"/>
      <c r="E24" s="431" t="s">
        <v>387</v>
      </c>
      <c r="F24" s="105" t="s">
        <v>162</v>
      </c>
      <c r="G24" s="166" t="str">
        <f>_xll.meCurveFrequency($F$20,$F24)</f>
        <v>6M</v>
      </c>
      <c r="H24" s="130"/>
      <c r="I24" s="130"/>
      <c r="J24" s="130"/>
      <c r="K24" s="130"/>
      <c r="L24" s="83"/>
    </row>
    <row r="25" spans="2:12" x14ac:dyDescent="0.25">
      <c r="B25" s="82"/>
      <c r="C25" s="130"/>
      <c r="D25" s="130"/>
      <c r="E25" s="432" t="s">
        <v>387</v>
      </c>
      <c r="F25" s="106" t="s">
        <v>208</v>
      </c>
      <c r="G25" s="167" t="str">
        <f>_xll.meCurveFrequency($F$20,$F25)</f>
        <v>1Y</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(0.01600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(0.01500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(0.01600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40"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1"/>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1"/>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1"/>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1"/>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1"/>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1"/>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1"/>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1"/>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1"/>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1"/>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1"/>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1"/>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1"/>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2"/>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3"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4"/>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4"/>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4"/>
      <c r="F53" s="219" t="s">
        <v>140</v>
      </c>
      <c r="G53" s="152" t="s">
        <v>22</v>
      </c>
      <c r="H53" s="201"/>
      <c r="I53" s="48"/>
      <c r="J53" s="74"/>
      <c r="K53" s="191"/>
      <c r="L53" s="192"/>
      <c r="M53" s="193"/>
      <c r="N53" s="39"/>
    </row>
    <row r="54" spans="2:16" ht="30" x14ac:dyDescent="0.25">
      <c r="B54" s="4"/>
      <c r="C54" s="175" t="s">
        <v>301</v>
      </c>
      <c r="D54" s="130"/>
      <c r="E54" s="444"/>
      <c r="F54" s="219" t="s">
        <v>141</v>
      </c>
      <c r="G54" s="138" t="s">
        <v>101</v>
      </c>
      <c r="H54" s="202"/>
      <c r="I54" s="48"/>
      <c r="J54" s="74"/>
      <c r="K54" s="191"/>
      <c r="L54" s="192"/>
      <c r="M54" s="193"/>
      <c r="N54" s="39"/>
    </row>
    <row r="55" spans="2:16" ht="30" x14ac:dyDescent="0.25">
      <c r="B55" s="4"/>
      <c r="C55" s="175" t="s">
        <v>302</v>
      </c>
      <c r="D55" s="130"/>
      <c r="E55" s="444"/>
      <c r="F55" s="219" t="s">
        <v>142</v>
      </c>
      <c r="G55" s="138" t="s">
        <v>9</v>
      </c>
      <c r="H55" s="202"/>
      <c r="I55" s="48"/>
      <c r="J55" s="74"/>
      <c r="K55" s="191"/>
      <c r="L55" s="192"/>
      <c r="M55" s="193"/>
      <c r="N55" s="39"/>
    </row>
    <row r="56" spans="2:16" ht="30" x14ac:dyDescent="0.25">
      <c r="B56" s="4"/>
      <c r="C56" s="175" t="s">
        <v>303</v>
      </c>
      <c r="D56" s="130"/>
      <c r="E56" s="444"/>
      <c r="F56" s="219" t="s">
        <v>143</v>
      </c>
      <c r="G56" s="205" t="s">
        <v>82</v>
      </c>
      <c r="H56" s="203" t="s">
        <v>182</v>
      </c>
      <c r="I56" s="48"/>
      <c r="J56" s="74"/>
      <c r="K56" s="191"/>
      <c r="L56" s="192"/>
      <c r="M56" s="193"/>
      <c r="N56" s="39"/>
    </row>
    <row r="57" spans="2:16" ht="30" x14ac:dyDescent="0.25">
      <c r="B57" s="4"/>
      <c r="C57" s="175" t="s">
        <v>304</v>
      </c>
      <c r="D57" s="130"/>
      <c r="E57" s="444"/>
      <c r="F57" s="219" t="s">
        <v>144</v>
      </c>
      <c r="G57" s="152" t="s">
        <v>94</v>
      </c>
      <c r="H57" s="202"/>
      <c r="I57" s="48"/>
      <c r="J57" s="74"/>
      <c r="K57" s="191"/>
      <c r="L57" s="192"/>
      <c r="M57" s="193"/>
      <c r="N57" s="39"/>
      <c r="P57" s="115"/>
    </row>
    <row r="58" spans="2:16" ht="30" x14ac:dyDescent="0.25">
      <c r="B58" s="4"/>
      <c r="C58" s="175" t="s">
        <v>305</v>
      </c>
      <c r="D58" s="130"/>
      <c r="E58" s="444"/>
      <c r="F58" s="219" t="s">
        <v>146</v>
      </c>
      <c r="G58" s="138" t="s">
        <v>124</v>
      </c>
      <c r="H58" s="202"/>
      <c r="I58" s="48"/>
      <c r="J58" s="74"/>
      <c r="K58" s="191"/>
      <c r="L58" s="192"/>
      <c r="M58" s="193"/>
      <c r="N58" s="39"/>
      <c r="P58" s="115"/>
    </row>
    <row r="59" spans="2:16" ht="30" x14ac:dyDescent="0.25">
      <c r="B59" s="4"/>
      <c r="C59" s="175" t="s">
        <v>306</v>
      </c>
      <c r="D59" s="130"/>
      <c r="E59" s="444"/>
      <c r="F59" s="219" t="s">
        <v>147</v>
      </c>
      <c r="G59" s="138" t="s">
        <v>2</v>
      </c>
      <c r="H59" s="202"/>
      <c r="I59" s="48"/>
      <c r="J59" s="74"/>
      <c r="K59" s="191"/>
      <c r="L59" s="192"/>
      <c r="M59" s="193"/>
      <c r="N59" s="39"/>
      <c r="P59" s="115"/>
    </row>
    <row r="60" spans="2:16" ht="30" x14ac:dyDescent="0.25">
      <c r="B60" s="4"/>
      <c r="C60" s="175" t="s">
        <v>307</v>
      </c>
      <c r="D60" s="130"/>
      <c r="E60" s="444"/>
      <c r="F60" s="219" t="s">
        <v>148</v>
      </c>
      <c r="G60" s="138" t="s">
        <v>91</v>
      </c>
      <c r="H60" s="202"/>
      <c r="I60" s="48"/>
      <c r="J60" s="74"/>
      <c r="K60" s="191"/>
      <c r="L60" s="192"/>
      <c r="M60" s="193"/>
      <c r="N60" s="39"/>
      <c r="P60" s="115"/>
    </row>
    <row r="61" spans="2:16" ht="30" x14ac:dyDescent="0.25">
      <c r="B61" s="4"/>
      <c r="C61" s="175" t="s">
        <v>308</v>
      </c>
      <c r="D61" s="130"/>
      <c r="E61" s="444"/>
      <c r="F61" s="219" t="s">
        <v>149</v>
      </c>
      <c r="G61" s="138" t="s">
        <v>2</v>
      </c>
      <c r="H61" s="202"/>
      <c r="I61" s="48"/>
      <c r="J61" s="74"/>
      <c r="K61" s="191"/>
      <c r="L61" s="192"/>
      <c r="M61" s="193"/>
      <c r="N61" s="39"/>
      <c r="P61" s="115"/>
    </row>
    <row r="62" spans="2:16" ht="30" x14ac:dyDescent="0.25">
      <c r="B62" s="4"/>
      <c r="C62" s="175" t="s">
        <v>309</v>
      </c>
      <c r="D62" s="130"/>
      <c r="E62" s="444"/>
      <c r="F62" s="219" t="s">
        <v>150</v>
      </c>
      <c r="G62" s="138">
        <v>2</v>
      </c>
      <c r="H62" s="202"/>
      <c r="I62" s="48"/>
      <c r="J62" s="74"/>
      <c r="K62" s="191"/>
      <c r="L62" s="192"/>
      <c r="M62" s="193"/>
      <c r="N62" s="39"/>
      <c r="P62" s="115"/>
    </row>
    <row r="63" spans="2:16" ht="30" x14ac:dyDescent="0.25">
      <c r="B63" s="4"/>
      <c r="C63" s="175" t="s">
        <v>310</v>
      </c>
      <c r="D63" s="130"/>
      <c r="E63" s="445"/>
      <c r="F63" s="237" t="s">
        <v>151</v>
      </c>
      <c r="G63" s="152" t="s">
        <v>22</v>
      </c>
      <c r="H63" s="202"/>
      <c r="I63" s="48"/>
      <c r="J63" s="74"/>
      <c r="K63" s="191"/>
      <c r="L63" s="192"/>
      <c r="M63" s="193"/>
      <c r="N63" s="39"/>
      <c r="P63" s="115"/>
    </row>
    <row r="64" spans="2:16" ht="30" x14ac:dyDescent="0.25">
      <c r="B64" s="4"/>
      <c r="C64" s="175" t="s">
        <v>311</v>
      </c>
      <c r="D64" s="130"/>
      <c r="E64" s="446"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47"/>
      <c r="F65" s="219" t="s">
        <v>112</v>
      </c>
      <c r="G65" s="138" t="b">
        <v>1</v>
      </c>
      <c r="H65" s="202"/>
      <c r="I65" s="48"/>
      <c r="J65" s="74"/>
      <c r="K65" s="191"/>
      <c r="L65" s="192"/>
      <c r="M65" s="193"/>
      <c r="N65" s="39"/>
      <c r="P65" s="115"/>
    </row>
    <row r="66" spans="2:16" ht="30" x14ac:dyDescent="0.25">
      <c r="B66" s="4"/>
      <c r="C66" s="176" t="s">
        <v>314</v>
      </c>
      <c r="D66" s="130"/>
      <c r="E66" s="447"/>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47"/>
      <c r="F67" s="219" t="s">
        <v>155</v>
      </c>
      <c r="G67" s="138" t="b">
        <v>1</v>
      </c>
      <c r="H67" s="202"/>
      <c r="I67" s="48"/>
      <c r="J67" s="74"/>
      <c r="K67" s="191"/>
      <c r="L67" s="192"/>
      <c r="M67" s="193"/>
      <c r="N67" s="39"/>
      <c r="P67" s="115"/>
    </row>
    <row r="68" spans="2:16" ht="45" x14ac:dyDescent="0.25">
      <c r="B68" s="4"/>
      <c r="C68" s="176" t="s">
        <v>316</v>
      </c>
      <c r="D68" s="130"/>
      <c r="E68" s="447"/>
      <c r="F68" s="219" t="s">
        <v>156</v>
      </c>
      <c r="G68" s="138" t="b">
        <v>1</v>
      </c>
      <c r="H68" s="202"/>
      <c r="I68" s="48"/>
      <c r="J68" s="74"/>
      <c r="K68" s="191"/>
      <c r="L68" s="192"/>
      <c r="M68" s="193"/>
      <c r="N68" s="39"/>
      <c r="P68" s="115"/>
    </row>
    <row r="69" spans="2:16" ht="45" x14ac:dyDescent="0.25">
      <c r="B69" s="4"/>
      <c r="C69" s="176" t="s">
        <v>317</v>
      </c>
      <c r="D69" s="130"/>
      <c r="E69" s="447"/>
      <c r="F69" s="219" t="s">
        <v>157</v>
      </c>
      <c r="G69" s="152" t="s">
        <v>94</v>
      </c>
      <c r="H69" s="202"/>
      <c r="I69" s="48"/>
      <c r="J69" s="74"/>
      <c r="K69" s="191"/>
      <c r="L69" s="192"/>
      <c r="M69" s="193"/>
      <c r="N69" s="39"/>
    </row>
    <row r="70" spans="2:16" ht="30" x14ac:dyDescent="0.25">
      <c r="B70" s="4"/>
      <c r="C70" s="176" t="s">
        <v>318</v>
      </c>
      <c r="D70" s="130"/>
      <c r="E70" s="447"/>
      <c r="F70" s="219" t="s">
        <v>158</v>
      </c>
      <c r="G70" s="138" t="b">
        <v>0</v>
      </c>
      <c r="H70" s="202"/>
      <c r="I70" s="48"/>
      <c r="J70" s="74"/>
      <c r="K70" s="191"/>
      <c r="L70" s="192"/>
      <c r="M70" s="193"/>
      <c r="N70" s="39"/>
    </row>
    <row r="71" spans="2:16" ht="30" x14ac:dyDescent="0.25">
      <c r="B71" s="4"/>
      <c r="C71" s="176" t="s">
        <v>258</v>
      </c>
      <c r="D71" s="130"/>
      <c r="E71" s="447"/>
      <c r="F71" s="219" t="s">
        <v>113</v>
      </c>
      <c r="G71" s="140">
        <v>1.0000000000000001E-9</v>
      </c>
      <c r="H71" s="202"/>
      <c r="I71" s="48"/>
      <c r="J71" s="74"/>
      <c r="K71" s="191"/>
      <c r="L71" s="192"/>
      <c r="M71" s="193"/>
      <c r="N71" s="39"/>
    </row>
    <row r="72" spans="2:16" ht="30" x14ac:dyDescent="0.25">
      <c r="B72" s="4"/>
      <c r="C72" s="177" t="s">
        <v>259</v>
      </c>
      <c r="D72" s="130"/>
      <c r="E72" s="447"/>
      <c r="F72" s="219" t="s">
        <v>114</v>
      </c>
      <c r="G72" s="164">
        <v>1000</v>
      </c>
      <c r="H72" s="202"/>
      <c r="I72" s="48"/>
      <c r="J72" s="74"/>
      <c r="K72" s="191"/>
      <c r="L72" s="192"/>
      <c r="M72" s="193"/>
      <c r="N72" s="39"/>
    </row>
    <row r="73" spans="2:16" x14ac:dyDescent="0.25">
      <c r="B73" s="4"/>
      <c r="C73" s="173"/>
      <c r="D73" s="130"/>
      <c r="E73" s="447"/>
      <c r="F73" s="219"/>
      <c r="G73" s="138"/>
      <c r="H73" s="202"/>
      <c r="I73" s="48"/>
      <c r="J73" s="74"/>
      <c r="K73" s="191"/>
      <c r="L73" s="192"/>
      <c r="M73" s="193"/>
      <c r="N73" s="39"/>
    </row>
    <row r="74" spans="2:16" x14ac:dyDescent="0.25">
      <c r="B74" s="4"/>
      <c r="C74" s="173"/>
      <c r="D74" s="130"/>
      <c r="E74" s="447"/>
      <c r="F74" s="219"/>
      <c r="G74" s="138"/>
      <c r="H74" s="202"/>
      <c r="I74" s="48"/>
      <c r="J74" s="74"/>
      <c r="K74" s="191"/>
      <c r="L74" s="192"/>
      <c r="M74" s="193"/>
      <c r="N74" s="39"/>
    </row>
    <row r="75" spans="2:16" x14ac:dyDescent="0.25">
      <c r="B75" s="4"/>
      <c r="C75" s="173"/>
      <c r="D75" s="130"/>
      <c r="E75" s="447"/>
      <c r="F75" s="219"/>
      <c r="G75" s="138"/>
      <c r="H75" s="202"/>
      <c r="I75" s="48"/>
      <c r="J75" s="74"/>
      <c r="K75" s="191"/>
      <c r="L75" s="192"/>
      <c r="M75" s="193"/>
      <c r="N75" s="39"/>
    </row>
    <row r="76" spans="2:16" x14ac:dyDescent="0.25">
      <c r="B76" s="4"/>
      <c r="C76" s="174"/>
      <c r="D76" s="130"/>
      <c r="E76" s="448"/>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election activeCell="G8" sqref="G8"/>
    </sheetView>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40"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1"/>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1"/>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1"/>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1"/>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1"/>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1"/>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1"/>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1"/>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1"/>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1"/>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1"/>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1"/>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1"/>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2"/>
      <c r="F49" s="237" t="s">
        <v>136</v>
      </c>
      <c r="G49" s="152" t="s">
        <v>22</v>
      </c>
      <c r="H49" s="201"/>
      <c r="I49" s="156"/>
      <c r="J49" s="161"/>
      <c r="K49" s="191"/>
      <c r="L49" s="192"/>
      <c r="M49" s="193"/>
      <c r="N49" s="145"/>
    </row>
    <row r="50" spans="2:16" ht="30" x14ac:dyDescent="0.25">
      <c r="B50" s="129"/>
      <c r="C50" s="175" t="s">
        <v>297</v>
      </c>
      <c r="D50" s="130"/>
      <c r="E50" s="443" t="s">
        <v>166</v>
      </c>
      <c r="F50" s="236" t="s">
        <v>137</v>
      </c>
      <c r="G50" s="169" t="s">
        <v>2</v>
      </c>
      <c r="H50" s="201"/>
      <c r="I50" s="156"/>
      <c r="J50" s="161"/>
      <c r="K50" s="191"/>
      <c r="L50" s="192"/>
      <c r="M50" s="193"/>
      <c r="N50" s="145"/>
    </row>
    <row r="51" spans="2:16" ht="30" x14ac:dyDescent="0.25">
      <c r="B51" s="129"/>
      <c r="C51" s="175" t="s">
        <v>298</v>
      </c>
      <c r="D51" s="130"/>
      <c r="E51" s="444"/>
      <c r="F51" s="219" t="s">
        <v>138</v>
      </c>
      <c r="G51" s="138" t="s">
        <v>124</v>
      </c>
      <c r="H51" s="201"/>
      <c r="I51" s="156"/>
      <c r="J51" s="161"/>
      <c r="K51" s="191"/>
      <c r="L51" s="192"/>
      <c r="M51" s="193"/>
      <c r="N51" s="145"/>
    </row>
    <row r="52" spans="2:16" ht="30" x14ac:dyDescent="0.25">
      <c r="B52" s="129"/>
      <c r="C52" s="175" t="s">
        <v>299</v>
      </c>
      <c r="D52" s="130"/>
      <c r="E52" s="444"/>
      <c r="F52" s="219" t="s">
        <v>139</v>
      </c>
      <c r="G52" s="152" t="s">
        <v>200</v>
      </c>
      <c r="H52" s="201"/>
      <c r="I52" s="156"/>
      <c r="J52" s="161"/>
      <c r="K52" s="191"/>
      <c r="L52" s="192"/>
      <c r="M52" s="193"/>
      <c r="N52" s="145"/>
    </row>
    <row r="53" spans="2:16" ht="30" x14ac:dyDescent="0.25">
      <c r="B53" s="129"/>
      <c r="C53" s="175" t="s">
        <v>300</v>
      </c>
      <c r="D53" s="130"/>
      <c r="E53" s="444"/>
      <c r="F53" s="219" t="s">
        <v>140</v>
      </c>
      <c r="G53" s="152" t="s">
        <v>22</v>
      </c>
      <c r="H53" s="201"/>
      <c r="I53" s="156"/>
      <c r="J53" s="161"/>
      <c r="K53" s="191"/>
      <c r="L53" s="192"/>
      <c r="M53" s="193"/>
      <c r="N53" s="145"/>
    </row>
    <row r="54" spans="2:16" ht="30" x14ac:dyDescent="0.25">
      <c r="B54" s="129"/>
      <c r="C54" s="175" t="s">
        <v>301</v>
      </c>
      <c r="D54" s="130"/>
      <c r="E54" s="444"/>
      <c r="F54" s="219" t="s">
        <v>141</v>
      </c>
      <c r="G54" s="138" t="s">
        <v>101</v>
      </c>
      <c r="H54" s="202"/>
      <c r="I54" s="156"/>
      <c r="J54" s="161"/>
      <c r="K54" s="191"/>
      <c r="L54" s="192"/>
      <c r="M54" s="193"/>
      <c r="N54" s="145"/>
    </row>
    <row r="55" spans="2:16" ht="30" x14ac:dyDescent="0.25">
      <c r="B55" s="129"/>
      <c r="C55" s="175" t="s">
        <v>302</v>
      </c>
      <c r="D55" s="130"/>
      <c r="E55" s="444"/>
      <c r="F55" s="219" t="s">
        <v>142</v>
      </c>
      <c r="G55" s="138" t="s">
        <v>9</v>
      </c>
      <c r="H55" s="202"/>
      <c r="I55" s="156"/>
      <c r="J55" s="161"/>
      <c r="K55" s="191"/>
      <c r="L55" s="192"/>
      <c r="M55" s="193"/>
      <c r="N55" s="145"/>
    </row>
    <row r="56" spans="2:16" ht="30" x14ac:dyDescent="0.25">
      <c r="B56" s="129"/>
      <c r="C56" s="175" t="s">
        <v>303</v>
      </c>
      <c r="D56" s="130"/>
      <c r="E56" s="444"/>
      <c r="F56" s="219" t="s">
        <v>143</v>
      </c>
      <c r="G56" s="205" t="s">
        <v>82</v>
      </c>
      <c r="H56" s="203" t="s">
        <v>182</v>
      </c>
      <c r="I56" s="156"/>
      <c r="J56" s="161"/>
      <c r="K56" s="191"/>
      <c r="L56" s="192"/>
      <c r="M56" s="193"/>
      <c r="N56" s="145"/>
    </row>
    <row r="57" spans="2:16" ht="30" x14ac:dyDescent="0.25">
      <c r="B57" s="129"/>
      <c r="C57" s="175" t="s">
        <v>304</v>
      </c>
      <c r="D57" s="130"/>
      <c r="E57" s="444"/>
      <c r="F57" s="219" t="s">
        <v>144</v>
      </c>
      <c r="G57" s="152" t="s">
        <v>161</v>
      </c>
      <c r="H57" s="202"/>
      <c r="I57" s="156"/>
      <c r="J57" s="161"/>
      <c r="K57" s="191"/>
      <c r="L57" s="192"/>
      <c r="M57" s="193"/>
      <c r="N57" s="145"/>
      <c r="P57" s="115"/>
    </row>
    <row r="58" spans="2:16" ht="30" x14ac:dyDescent="0.25">
      <c r="B58" s="129"/>
      <c r="C58" s="175" t="s">
        <v>305</v>
      </c>
      <c r="D58" s="130"/>
      <c r="E58" s="444"/>
      <c r="F58" s="219" t="s">
        <v>146</v>
      </c>
      <c r="G58" s="138" t="s">
        <v>124</v>
      </c>
      <c r="H58" s="202"/>
      <c r="I58" s="156"/>
      <c r="J58" s="161"/>
      <c r="K58" s="191"/>
      <c r="L58" s="192"/>
      <c r="M58" s="193"/>
      <c r="N58" s="145"/>
      <c r="P58" s="115"/>
    </row>
    <row r="59" spans="2:16" ht="30" x14ac:dyDescent="0.25">
      <c r="B59" s="129"/>
      <c r="C59" s="175" t="s">
        <v>306</v>
      </c>
      <c r="D59" s="130"/>
      <c r="E59" s="444"/>
      <c r="F59" s="219" t="s">
        <v>147</v>
      </c>
      <c r="G59" s="138" t="s">
        <v>2</v>
      </c>
      <c r="H59" s="202"/>
      <c r="I59" s="156"/>
      <c r="J59" s="161"/>
      <c r="K59" s="191"/>
      <c r="L59" s="192"/>
      <c r="M59" s="193"/>
      <c r="N59" s="145"/>
      <c r="P59" s="115"/>
    </row>
    <row r="60" spans="2:16" ht="30" x14ac:dyDescent="0.25">
      <c r="B60" s="129"/>
      <c r="C60" s="175" t="s">
        <v>307</v>
      </c>
      <c r="D60" s="130"/>
      <c r="E60" s="444"/>
      <c r="F60" s="219" t="s">
        <v>148</v>
      </c>
      <c r="G60" s="138" t="s">
        <v>91</v>
      </c>
      <c r="H60" s="202"/>
      <c r="I60" s="156"/>
      <c r="J60" s="161"/>
      <c r="K60" s="191"/>
      <c r="L60" s="192"/>
      <c r="M60" s="193"/>
      <c r="N60" s="145"/>
      <c r="P60" s="115"/>
    </row>
    <row r="61" spans="2:16" ht="30" x14ac:dyDescent="0.25">
      <c r="B61" s="129"/>
      <c r="C61" s="175" t="s">
        <v>308</v>
      </c>
      <c r="D61" s="130"/>
      <c r="E61" s="444"/>
      <c r="F61" s="219" t="s">
        <v>149</v>
      </c>
      <c r="G61" s="138" t="s">
        <v>2</v>
      </c>
      <c r="H61" s="202"/>
      <c r="I61" s="156"/>
      <c r="J61" s="161"/>
      <c r="K61" s="191"/>
      <c r="L61" s="192"/>
      <c r="M61" s="193"/>
      <c r="N61" s="145"/>
      <c r="P61" s="115"/>
    </row>
    <row r="62" spans="2:16" ht="30" x14ac:dyDescent="0.25">
      <c r="B62" s="129"/>
      <c r="C62" s="175" t="s">
        <v>309</v>
      </c>
      <c r="D62" s="130"/>
      <c r="E62" s="444"/>
      <c r="F62" s="219" t="s">
        <v>150</v>
      </c>
      <c r="G62" s="138">
        <v>2</v>
      </c>
      <c r="H62" s="202"/>
      <c r="I62" s="156"/>
      <c r="J62" s="161"/>
      <c r="K62" s="191"/>
      <c r="L62" s="192"/>
      <c r="M62" s="193"/>
      <c r="N62" s="145"/>
      <c r="P62" s="115"/>
    </row>
    <row r="63" spans="2:16" ht="30" x14ac:dyDescent="0.25">
      <c r="B63" s="129"/>
      <c r="C63" s="175" t="s">
        <v>310</v>
      </c>
      <c r="D63" s="130"/>
      <c r="E63" s="445"/>
      <c r="F63" s="237" t="s">
        <v>151</v>
      </c>
      <c r="G63" s="152" t="s">
        <v>22</v>
      </c>
      <c r="H63" s="202"/>
      <c r="I63" s="156"/>
      <c r="J63" s="161"/>
      <c r="K63" s="191"/>
      <c r="L63" s="192"/>
      <c r="M63" s="193"/>
      <c r="N63" s="145"/>
      <c r="P63" s="115"/>
    </row>
    <row r="64" spans="2:16" ht="30" x14ac:dyDescent="0.25">
      <c r="B64" s="129"/>
      <c r="C64" s="175" t="s">
        <v>311</v>
      </c>
      <c r="D64" s="130"/>
      <c r="E64" s="446"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7"/>
      <c r="F65" s="219" t="s">
        <v>112</v>
      </c>
      <c r="G65" s="138" t="b">
        <v>1</v>
      </c>
      <c r="H65" s="202"/>
      <c r="I65" s="156"/>
      <c r="J65" s="161"/>
      <c r="K65" s="191"/>
      <c r="L65" s="192"/>
      <c r="M65" s="193"/>
      <c r="N65" s="145"/>
      <c r="P65" s="115"/>
    </row>
    <row r="66" spans="2:16" ht="30" x14ac:dyDescent="0.25">
      <c r="B66" s="129"/>
      <c r="C66" s="176" t="s">
        <v>314</v>
      </c>
      <c r="D66" s="130"/>
      <c r="E66" s="447"/>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7"/>
      <c r="F67" s="219" t="s">
        <v>155</v>
      </c>
      <c r="G67" s="138" t="b">
        <v>1</v>
      </c>
      <c r="H67" s="202"/>
      <c r="I67" s="156"/>
      <c r="J67" s="161"/>
      <c r="K67" s="191"/>
      <c r="L67" s="192"/>
      <c r="M67" s="193"/>
      <c r="N67" s="145"/>
      <c r="P67" s="115"/>
    </row>
    <row r="68" spans="2:16" ht="45" x14ac:dyDescent="0.25">
      <c r="B68" s="129"/>
      <c r="C68" s="176" t="s">
        <v>316</v>
      </c>
      <c r="D68" s="130"/>
      <c r="E68" s="447"/>
      <c r="F68" s="219" t="s">
        <v>156</v>
      </c>
      <c r="G68" s="138" t="b">
        <v>1</v>
      </c>
      <c r="H68" s="202"/>
      <c r="I68" s="156"/>
      <c r="J68" s="161"/>
      <c r="K68" s="191"/>
      <c r="L68" s="192"/>
      <c r="M68" s="193"/>
      <c r="N68" s="145"/>
      <c r="P68" s="115"/>
    </row>
    <row r="69" spans="2:16" ht="45" x14ac:dyDescent="0.25">
      <c r="B69" s="129"/>
      <c r="C69" s="176" t="s">
        <v>317</v>
      </c>
      <c r="D69" s="130"/>
      <c r="E69" s="447"/>
      <c r="F69" s="219" t="s">
        <v>157</v>
      </c>
      <c r="G69" s="152" t="s">
        <v>161</v>
      </c>
      <c r="H69" s="202"/>
      <c r="I69" s="156"/>
      <c r="J69" s="161"/>
      <c r="K69" s="191"/>
      <c r="L69" s="192"/>
      <c r="M69" s="193"/>
      <c r="N69" s="145"/>
    </row>
    <row r="70" spans="2:16" ht="30" x14ac:dyDescent="0.25">
      <c r="B70" s="129"/>
      <c r="C70" s="176" t="s">
        <v>318</v>
      </c>
      <c r="D70" s="130"/>
      <c r="E70" s="447"/>
      <c r="F70" s="219" t="s">
        <v>158</v>
      </c>
      <c r="G70" s="138" t="b">
        <v>0</v>
      </c>
      <c r="H70" s="202"/>
      <c r="I70" s="156"/>
      <c r="J70" s="161"/>
      <c r="K70" s="191"/>
      <c r="L70" s="192"/>
      <c r="M70" s="193"/>
      <c r="N70" s="145"/>
    </row>
    <row r="71" spans="2:16" ht="30" x14ac:dyDescent="0.25">
      <c r="B71" s="129"/>
      <c r="C71" s="176" t="s">
        <v>258</v>
      </c>
      <c r="D71" s="130"/>
      <c r="E71" s="447"/>
      <c r="F71" s="219" t="s">
        <v>113</v>
      </c>
      <c r="G71" s="140">
        <v>1.0000000000000001E-9</v>
      </c>
      <c r="H71" s="202"/>
      <c r="I71" s="156"/>
      <c r="J71" s="161"/>
      <c r="K71" s="191"/>
      <c r="L71" s="192"/>
      <c r="M71" s="193"/>
      <c r="N71" s="145"/>
    </row>
    <row r="72" spans="2:16" ht="30" x14ac:dyDescent="0.25">
      <c r="B72" s="129"/>
      <c r="C72" s="177" t="s">
        <v>259</v>
      </c>
      <c r="D72" s="130"/>
      <c r="E72" s="447"/>
      <c r="F72" s="219" t="s">
        <v>114</v>
      </c>
      <c r="G72" s="164">
        <v>1000</v>
      </c>
      <c r="H72" s="202"/>
      <c r="I72" s="156"/>
      <c r="J72" s="161"/>
      <c r="K72" s="191"/>
      <c r="L72" s="192"/>
      <c r="M72" s="193"/>
      <c r="N72" s="145"/>
    </row>
    <row r="73" spans="2:16" x14ac:dyDescent="0.25">
      <c r="B73" s="129"/>
      <c r="C73" s="173"/>
      <c r="D73" s="130"/>
      <c r="E73" s="447"/>
      <c r="F73" s="219"/>
      <c r="G73" s="138"/>
      <c r="H73" s="202"/>
      <c r="I73" s="156"/>
      <c r="J73" s="161"/>
      <c r="K73" s="191"/>
      <c r="L73" s="192"/>
      <c r="M73" s="193"/>
      <c r="N73" s="145"/>
    </row>
    <row r="74" spans="2:16" x14ac:dyDescent="0.25">
      <c r="B74" s="129"/>
      <c r="C74" s="173"/>
      <c r="D74" s="130"/>
      <c r="E74" s="447"/>
      <c r="F74" s="219"/>
      <c r="G74" s="138"/>
      <c r="H74" s="202"/>
      <c r="I74" s="156"/>
      <c r="J74" s="161"/>
      <c r="K74" s="191"/>
      <c r="L74" s="192"/>
      <c r="M74" s="193"/>
      <c r="N74" s="145"/>
    </row>
    <row r="75" spans="2:16" x14ac:dyDescent="0.25">
      <c r="B75" s="129"/>
      <c r="C75" s="173"/>
      <c r="D75" s="130"/>
      <c r="E75" s="447"/>
      <c r="F75" s="219"/>
      <c r="G75" s="138"/>
      <c r="H75" s="202"/>
      <c r="I75" s="156"/>
      <c r="J75" s="161"/>
      <c r="K75" s="191"/>
      <c r="L75" s="192"/>
      <c r="M75" s="193"/>
      <c r="N75" s="145"/>
    </row>
    <row r="76" spans="2:16" x14ac:dyDescent="0.25">
      <c r="B76" s="129"/>
      <c r="C76" s="174"/>
      <c r="D76" s="130"/>
      <c r="E76" s="448"/>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40"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1"/>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1"/>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1"/>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1"/>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1"/>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1"/>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1"/>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1"/>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1"/>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1"/>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1"/>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1"/>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1"/>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2"/>
      <c r="F49" s="237" t="s">
        <v>136</v>
      </c>
      <c r="G49" s="152" t="s">
        <v>22</v>
      </c>
      <c r="H49" s="201"/>
      <c r="I49" s="156"/>
      <c r="J49" s="161"/>
      <c r="K49" s="191"/>
      <c r="L49" s="192"/>
      <c r="M49" s="193"/>
      <c r="N49" s="145"/>
    </row>
    <row r="50" spans="2:16" ht="30" x14ac:dyDescent="0.25">
      <c r="B50" s="129"/>
      <c r="C50" s="175" t="s">
        <v>297</v>
      </c>
      <c r="D50" s="130"/>
      <c r="E50" s="443" t="s">
        <v>166</v>
      </c>
      <c r="F50" s="236" t="s">
        <v>137</v>
      </c>
      <c r="G50" s="169" t="s">
        <v>2</v>
      </c>
      <c r="H50" s="201"/>
      <c r="I50" s="156"/>
      <c r="J50" s="161"/>
      <c r="K50" s="191"/>
      <c r="L50" s="192"/>
      <c r="M50" s="193"/>
      <c r="N50" s="145"/>
    </row>
    <row r="51" spans="2:16" ht="30" x14ac:dyDescent="0.25">
      <c r="B51" s="129"/>
      <c r="C51" s="175" t="s">
        <v>298</v>
      </c>
      <c r="D51" s="130"/>
      <c r="E51" s="444"/>
      <c r="F51" s="219" t="s">
        <v>138</v>
      </c>
      <c r="G51" s="138" t="s">
        <v>124</v>
      </c>
      <c r="H51" s="201"/>
      <c r="I51" s="156"/>
      <c r="J51" s="161"/>
      <c r="K51" s="191"/>
      <c r="L51" s="192"/>
      <c r="M51" s="193"/>
      <c r="N51" s="145"/>
    </row>
    <row r="52" spans="2:16" ht="30" x14ac:dyDescent="0.25">
      <c r="B52" s="129"/>
      <c r="C52" s="175" t="s">
        <v>299</v>
      </c>
      <c r="D52" s="130"/>
      <c r="E52" s="444"/>
      <c r="F52" s="219" t="s">
        <v>139</v>
      </c>
      <c r="G52" s="152" t="s">
        <v>26</v>
      </c>
      <c r="H52" s="201"/>
      <c r="I52" s="156"/>
      <c r="J52" s="161"/>
      <c r="K52" s="191"/>
      <c r="L52" s="192"/>
      <c r="M52" s="193"/>
      <c r="N52" s="145"/>
    </row>
    <row r="53" spans="2:16" ht="30" x14ac:dyDescent="0.25">
      <c r="B53" s="129"/>
      <c r="C53" s="175" t="s">
        <v>300</v>
      </c>
      <c r="D53" s="130"/>
      <c r="E53" s="444"/>
      <c r="F53" s="219" t="s">
        <v>140</v>
      </c>
      <c r="G53" s="152" t="s">
        <v>22</v>
      </c>
      <c r="H53" s="201"/>
      <c r="I53" s="156"/>
      <c r="J53" s="161"/>
      <c r="K53" s="191"/>
      <c r="L53" s="192"/>
      <c r="M53" s="193"/>
      <c r="N53" s="145"/>
    </row>
    <row r="54" spans="2:16" ht="30" x14ac:dyDescent="0.25">
      <c r="B54" s="129"/>
      <c r="C54" s="175" t="s">
        <v>301</v>
      </c>
      <c r="D54" s="130"/>
      <c r="E54" s="444"/>
      <c r="F54" s="219" t="s">
        <v>141</v>
      </c>
      <c r="G54" s="138" t="s">
        <v>101</v>
      </c>
      <c r="H54" s="202"/>
      <c r="I54" s="156"/>
      <c r="J54" s="161"/>
      <c r="K54" s="191"/>
      <c r="L54" s="192"/>
      <c r="M54" s="193"/>
      <c r="N54" s="145"/>
    </row>
    <row r="55" spans="2:16" ht="30" x14ac:dyDescent="0.25">
      <c r="B55" s="129"/>
      <c r="C55" s="175" t="s">
        <v>302</v>
      </c>
      <c r="D55" s="130"/>
      <c r="E55" s="444"/>
      <c r="F55" s="219" t="s">
        <v>142</v>
      </c>
      <c r="G55" s="138" t="s">
        <v>9</v>
      </c>
      <c r="H55" s="202"/>
      <c r="I55" s="156"/>
      <c r="J55" s="161"/>
      <c r="K55" s="191"/>
      <c r="L55" s="192"/>
      <c r="M55" s="193"/>
      <c r="N55" s="145"/>
    </row>
    <row r="56" spans="2:16" ht="30" x14ac:dyDescent="0.25">
      <c r="B56" s="129"/>
      <c r="C56" s="175" t="s">
        <v>303</v>
      </c>
      <c r="D56" s="130"/>
      <c r="E56" s="444"/>
      <c r="F56" s="219" t="s">
        <v>143</v>
      </c>
      <c r="G56" s="205" t="s">
        <v>82</v>
      </c>
      <c r="H56" s="203" t="s">
        <v>182</v>
      </c>
      <c r="I56" s="156"/>
      <c r="J56" s="161"/>
      <c r="K56" s="191"/>
      <c r="L56" s="192"/>
      <c r="M56" s="193"/>
      <c r="N56" s="145"/>
    </row>
    <row r="57" spans="2:16" ht="30" x14ac:dyDescent="0.25">
      <c r="B57" s="129"/>
      <c r="C57" s="175" t="s">
        <v>304</v>
      </c>
      <c r="D57" s="130"/>
      <c r="E57" s="444"/>
      <c r="F57" s="219" t="s">
        <v>144</v>
      </c>
      <c r="G57" s="152" t="s">
        <v>56</v>
      </c>
      <c r="H57" s="202"/>
      <c r="I57" s="156"/>
      <c r="J57" s="161"/>
      <c r="K57" s="191"/>
      <c r="L57" s="192"/>
      <c r="M57" s="193"/>
      <c r="N57" s="145"/>
      <c r="P57" s="115"/>
    </row>
    <row r="58" spans="2:16" ht="30" x14ac:dyDescent="0.25">
      <c r="B58" s="129"/>
      <c r="C58" s="175" t="s">
        <v>305</v>
      </c>
      <c r="D58" s="130"/>
      <c r="E58" s="444"/>
      <c r="F58" s="219" t="s">
        <v>146</v>
      </c>
      <c r="G58" s="138" t="s">
        <v>124</v>
      </c>
      <c r="H58" s="202"/>
      <c r="I58" s="156"/>
      <c r="J58" s="161"/>
      <c r="K58" s="191"/>
      <c r="L58" s="192"/>
      <c r="M58" s="193"/>
      <c r="N58" s="145"/>
      <c r="P58" s="115"/>
    </row>
    <row r="59" spans="2:16" ht="30" x14ac:dyDescent="0.25">
      <c r="B59" s="129"/>
      <c r="C59" s="175" t="s">
        <v>306</v>
      </c>
      <c r="D59" s="130"/>
      <c r="E59" s="444"/>
      <c r="F59" s="219" t="s">
        <v>147</v>
      </c>
      <c r="G59" s="138" t="s">
        <v>2</v>
      </c>
      <c r="H59" s="202"/>
      <c r="I59" s="156"/>
      <c r="J59" s="161"/>
      <c r="K59" s="191"/>
      <c r="L59" s="192"/>
      <c r="M59" s="193"/>
      <c r="N59" s="145"/>
      <c r="P59" s="115"/>
    </row>
    <row r="60" spans="2:16" ht="30" x14ac:dyDescent="0.25">
      <c r="B60" s="129"/>
      <c r="C60" s="175" t="s">
        <v>307</v>
      </c>
      <c r="D60" s="130"/>
      <c r="E60" s="444"/>
      <c r="F60" s="219" t="s">
        <v>148</v>
      </c>
      <c r="G60" s="138" t="s">
        <v>91</v>
      </c>
      <c r="H60" s="202"/>
      <c r="I60" s="156"/>
      <c r="J60" s="161"/>
      <c r="K60" s="191"/>
      <c r="L60" s="192"/>
      <c r="M60" s="193"/>
      <c r="N60" s="145"/>
      <c r="P60" s="115"/>
    </row>
    <row r="61" spans="2:16" ht="30" x14ac:dyDescent="0.25">
      <c r="B61" s="129"/>
      <c r="C61" s="175" t="s">
        <v>308</v>
      </c>
      <c r="D61" s="130"/>
      <c r="E61" s="444"/>
      <c r="F61" s="219" t="s">
        <v>149</v>
      </c>
      <c r="G61" s="138" t="s">
        <v>2</v>
      </c>
      <c r="H61" s="202"/>
      <c r="I61" s="156"/>
      <c r="J61" s="161"/>
      <c r="K61" s="191"/>
      <c r="L61" s="192"/>
      <c r="M61" s="193"/>
      <c r="N61" s="145"/>
      <c r="P61" s="115"/>
    </row>
    <row r="62" spans="2:16" ht="30" x14ac:dyDescent="0.25">
      <c r="B62" s="129"/>
      <c r="C62" s="175" t="s">
        <v>309</v>
      </c>
      <c r="D62" s="130"/>
      <c r="E62" s="444"/>
      <c r="F62" s="219" t="s">
        <v>150</v>
      </c>
      <c r="G62" s="138">
        <v>2</v>
      </c>
      <c r="H62" s="202"/>
      <c r="I62" s="156"/>
      <c r="J62" s="161"/>
      <c r="K62" s="191"/>
      <c r="L62" s="192"/>
      <c r="M62" s="193"/>
      <c r="N62" s="145"/>
      <c r="P62" s="115"/>
    </row>
    <row r="63" spans="2:16" ht="30" x14ac:dyDescent="0.25">
      <c r="B63" s="129"/>
      <c r="C63" s="175" t="s">
        <v>310</v>
      </c>
      <c r="D63" s="130"/>
      <c r="E63" s="445"/>
      <c r="F63" s="237" t="s">
        <v>151</v>
      </c>
      <c r="G63" s="152" t="s">
        <v>22</v>
      </c>
      <c r="H63" s="202"/>
      <c r="I63" s="156"/>
      <c r="J63" s="161"/>
      <c r="K63" s="191"/>
      <c r="L63" s="192"/>
      <c r="M63" s="193"/>
      <c r="N63" s="145"/>
      <c r="P63" s="115"/>
    </row>
    <row r="64" spans="2:16" ht="30" x14ac:dyDescent="0.25">
      <c r="B64" s="129"/>
      <c r="C64" s="175" t="s">
        <v>311</v>
      </c>
      <c r="D64" s="130"/>
      <c r="E64" s="446"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7"/>
      <c r="F65" s="219" t="s">
        <v>112</v>
      </c>
      <c r="G65" s="138" t="b">
        <v>1</v>
      </c>
      <c r="H65" s="202"/>
      <c r="I65" s="156"/>
      <c r="J65" s="161"/>
      <c r="K65" s="191"/>
      <c r="L65" s="192"/>
      <c r="M65" s="193"/>
      <c r="N65" s="145"/>
      <c r="P65" s="115"/>
    </row>
    <row r="66" spans="2:16" ht="30" x14ac:dyDescent="0.25">
      <c r="B66" s="129"/>
      <c r="C66" s="176" t="s">
        <v>314</v>
      </c>
      <c r="D66" s="130"/>
      <c r="E66" s="447"/>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7"/>
      <c r="F67" s="219" t="s">
        <v>155</v>
      </c>
      <c r="G67" s="138" t="b">
        <v>1</v>
      </c>
      <c r="H67" s="202"/>
      <c r="I67" s="156"/>
      <c r="J67" s="161"/>
      <c r="K67" s="191"/>
      <c r="L67" s="192"/>
      <c r="M67" s="193"/>
      <c r="N67" s="145"/>
      <c r="P67" s="115"/>
    </row>
    <row r="68" spans="2:16" ht="45" x14ac:dyDescent="0.25">
      <c r="B68" s="129"/>
      <c r="C68" s="176" t="s">
        <v>316</v>
      </c>
      <c r="D68" s="130"/>
      <c r="E68" s="447"/>
      <c r="F68" s="219" t="s">
        <v>156</v>
      </c>
      <c r="G68" s="138" t="b">
        <v>1</v>
      </c>
      <c r="H68" s="202"/>
      <c r="I68" s="156"/>
      <c r="J68" s="161"/>
      <c r="K68" s="191"/>
      <c r="L68" s="192"/>
      <c r="M68" s="193"/>
      <c r="N68" s="145"/>
      <c r="P68" s="115"/>
    </row>
    <row r="69" spans="2:16" ht="45" x14ac:dyDescent="0.25">
      <c r="B69" s="129"/>
      <c r="C69" s="176" t="s">
        <v>317</v>
      </c>
      <c r="D69" s="130"/>
      <c r="E69" s="447"/>
      <c r="F69" s="219" t="s">
        <v>157</v>
      </c>
      <c r="G69" s="152" t="s">
        <v>56</v>
      </c>
      <c r="H69" s="202"/>
      <c r="I69" s="156"/>
      <c r="J69" s="161"/>
      <c r="K69" s="191"/>
      <c r="L69" s="192"/>
      <c r="M69" s="193"/>
      <c r="N69" s="145"/>
    </row>
    <row r="70" spans="2:16" ht="30" x14ac:dyDescent="0.25">
      <c r="B70" s="129"/>
      <c r="C70" s="176" t="s">
        <v>318</v>
      </c>
      <c r="D70" s="130"/>
      <c r="E70" s="447"/>
      <c r="F70" s="219" t="s">
        <v>158</v>
      </c>
      <c r="G70" s="138" t="b">
        <v>0</v>
      </c>
      <c r="H70" s="202"/>
      <c r="I70" s="156"/>
      <c r="J70" s="161"/>
      <c r="K70" s="191"/>
      <c r="L70" s="192"/>
      <c r="M70" s="193"/>
      <c r="N70" s="145"/>
    </row>
    <row r="71" spans="2:16" ht="30" x14ac:dyDescent="0.25">
      <c r="B71" s="129"/>
      <c r="C71" s="176" t="s">
        <v>258</v>
      </c>
      <c r="D71" s="130"/>
      <c r="E71" s="447"/>
      <c r="F71" s="219" t="s">
        <v>113</v>
      </c>
      <c r="G71" s="140">
        <v>1.0000000000000001E-9</v>
      </c>
      <c r="H71" s="202"/>
      <c r="I71" s="156"/>
      <c r="J71" s="161"/>
      <c r="K71" s="191"/>
      <c r="L71" s="192"/>
      <c r="M71" s="193"/>
      <c r="N71" s="145"/>
    </row>
    <row r="72" spans="2:16" ht="30" x14ac:dyDescent="0.25">
      <c r="B72" s="129"/>
      <c r="C72" s="177" t="s">
        <v>259</v>
      </c>
      <c r="D72" s="130"/>
      <c r="E72" s="447"/>
      <c r="F72" s="219" t="s">
        <v>114</v>
      </c>
      <c r="G72" s="164">
        <v>1000</v>
      </c>
      <c r="H72" s="202"/>
      <c r="I72" s="156"/>
      <c r="J72" s="161"/>
      <c r="K72" s="191"/>
      <c r="L72" s="192"/>
      <c r="M72" s="193"/>
      <c r="N72" s="145"/>
    </row>
    <row r="73" spans="2:16" x14ac:dyDescent="0.25">
      <c r="B73" s="129"/>
      <c r="C73" s="173"/>
      <c r="D73" s="130"/>
      <c r="E73" s="447"/>
      <c r="F73" s="219"/>
      <c r="G73" s="138"/>
      <c r="H73" s="202"/>
      <c r="I73" s="156"/>
      <c r="J73" s="161"/>
      <c r="K73" s="191"/>
      <c r="L73" s="192"/>
      <c r="M73" s="193"/>
      <c r="N73" s="145"/>
    </row>
    <row r="74" spans="2:16" x14ac:dyDescent="0.25">
      <c r="B74" s="129"/>
      <c r="C74" s="173"/>
      <c r="D74" s="130"/>
      <c r="E74" s="447"/>
      <c r="F74" s="219"/>
      <c r="G74" s="138"/>
      <c r="H74" s="202"/>
      <c r="I74" s="156"/>
      <c r="J74" s="161"/>
      <c r="K74" s="191"/>
      <c r="L74" s="192"/>
      <c r="M74" s="193"/>
      <c r="N74" s="145"/>
    </row>
    <row r="75" spans="2:16" x14ac:dyDescent="0.25">
      <c r="B75" s="129"/>
      <c r="C75" s="173"/>
      <c r="D75" s="130"/>
      <c r="E75" s="447"/>
      <c r="F75" s="219"/>
      <c r="G75" s="138"/>
      <c r="H75" s="202"/>
      <c r="I75" s="156"/>
      <c r="J75" s="161"/>
      <c r="K75" s="191"/>
      <c r="L75" s="192"/>
      <c r="M75" s="193"/>
      <c r="N75" s="145"/>
    </row>
    <row r="76" spans="2:16" x14ac:dyDescent="0.25">
      <c r="B76" s="129"/>
      <c r="C76" s="174"/>
      <c r="D76" s="130"/>
      <c r="E76" s="448"/>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-3.488007533009453E-3</v>
      </c>
      <c r="H15" s="92" t="s">
        <v>4</v>
      </c>
      <c r="I15" s="93">
        <f>COB</f>
        <v>42521</v>
      </c>
      <c r="J15" s="94">
        <f t="array" aca="1" ref="J15:J1514" ca="1">IF(AND(isEUROISLoaded,J$10,NOW()),_xll.meCurveForwardRates(I$15:I$1514,J$8,J$9))</f>
        <v>-2.6080766995103936E-3</v>
      </c>
      <c r="K15" s="5" t="s">
        <v>4</v>
      </c>
      <c r="L15" s="93">
        <f>COB</f>
        <v>42521</v>
      </c>
      <c r="M15" s="94">
        <f t="array" aca="1" ref="M15:M1514" ca="1">IF(AND(isEUROISLoaded,M$10,NOW()),_xll.meCurveForwardRates(L$15:L$1514,M$8,M$9))</f>
        <v>-1.5284199509291829E-3</v>
      </c>
      <c r="N15" s="5" t="s">
        <v>4</v>
      </c>
      <c r="O15" s="93">
        <f>COB</f>
        <v>42521</v>
      </c>
      <c r="P15" s="94">
        <f t="array" aca="1" ref="P15:P1514" ca="1">IF(AND(isEUROISLoaded,P$10,NOW()),_xll.meCurveForwardRates(O$15:O$1514,P$8,P$9))</f>
        <v>-1.4842024893791002E-4</v>
      </c>
      <c r="Q15" s="5" t="s">
        <v>4</v>
      </c>
      <c r="R15" s="83" t="s">
        <v>4</v>
      </c>
    </row>
    <row r="16" spans="1:18" x14ac:dyDescent="0.25">
      <c r="A16" s="88">
        <v>2</v>
      </c>
      <c r="B16" s="82"/>
      <c r="C16" s="97">
        <f>_xll.meDateFromTenor(C15,"1D","FOLLOWING","TGT")</f>
        <v>42522</v>
      </c>
      <c r="D16" s="95">
        <f ca="1"/>
        <v>-3.4440720625016352E-3</v>
      </c>
      <c r="E16" s="92"/>
      <c r="F16" s="97">
        <f>_xll.meDateFromTenor(F15,"1D","FOLLOWING","TGT")</f>
        <v>42522</v>
      </c>
      <c r="G16" s="95">
        <f ca="1"/>
        <v>-3.489003889974493E-3</v>
      </c>
      <c r="H16" s="92" t="s">
        <v>4</v>
      </c>
      <c r="I16" s="97">
        <f>_xll.meDateFromTenor(I15,"1D","FOLLOWING","TGT")</f>
        <v>42522</v>
      </c>
      <c r="J16" s="95">
        <f ca="1"/>
        <v>-2.6090385604947549E-3</v>
      </c>
      <c r="K16" s="5" t="s">
        <v>4</v>
      </c>
      <c r="L16" s="97">
        <f>_xll.meDateFromTenor(L15,"1D","FOLLOWING","TGT")</f>
        <v>42522</v>
      </c>
      <c r="M16" s="95">
        <f ca="1"/>
        <v>-1.5292099703044567E-3</v>
      </c>
      <c r="N16" s="5" t="s">
        <v>4</v>
      </c>
      <c r="O16" s="97">
        <f>_xll.meDateFromTenor(O15,"1D","FOLLOWING","TGT")</f>
        <v>42522</v>
      </c>
      <c r="P16" s="95">
        <f ca="1"/>
        <v>-1.4921009125356567E-4</v>
      </c>
      <c r="Q16" s="5" t="s">
        <v>4</v>
      </c>
      <c r="R16" s="83" t="s">
        <v>4</v>
      </c>
    </row>
    <row r="17" spans="1:18" x14ac:dyDescent="0.25">
      <c r="A17" s="88">
        <v>3</v>
      </c>
      <c r="B17" s="82"/>
      <c r="C17" s="97">
        <f>_xll.meDateFromTenor(C16,"1D","FOLLOWING","TGT")</f>
        <v>42523</v>
      </c>
      <c r="D17" s="95">
        <f ca="1"/>
        <v>-3.3942425462049064E-3</v>
      </c>
      <c r="E17" s="92"/>
      <c r="F17" s="97">
        <f>_xll.meDateFromTenor(F16,"1D","FOLLOWING","TGT")</f>
        <v>42523</v>
      </c>
      <c r="G17" s="95">
        <f ca="1"/>
        <v>-3.4899996600863854E-3</v>
      </c>
      <c r="H17" s="92" t="s">
        <v>4</v>
      </c>
      <c r="I17" s="97">
        <f>_xll.meDateFromTenor(I16,"1D","FOLLOWING","TGT")</f>
        <v>42523</v>
      </c>
      <c r="J17" s="95">
        <f ca="1"/>
        <v>-2.6099999999999574E-3</v>
      </c>
      <c r="K17" s="5" t="s">
        <v>4</v>
      </c>
      <c r="L17" s="97">
        <f>_xll.meDateFromTenor(L16,"1D","FOLLOWING","TGT")</f>
        <v>42523</v>
      </c>
      <c r="M17" s="95">
        <f ca="1"/>
        <v>-1.5299999979029974E-3</v>
      </c>
      <c r="N17" s="5" t="s">
        <v>4</v>
      </c>
      <c r="O17" s="97">
        <f>_xll.meDateFromTenor(O16,"1D","FOLLOWING","TGT")</f>
        <v>42523</v>
      </c>
      <c r="P17" s="95">
        <f ca="1"/>
        <v>-1.4999996589649012E-4</v>
      </c>
      <c r="Q17" s="5" t="s">
        <v>4</v>
      </c>
      <c r="R17" s="83" t="s">
        <v>4</v>
      </c>
    </row>
    <row r="18" spans="1:18" x14ac:dyDescent="0.25">
      <c r="A18" s="88">
        <v>4</v>
      </c>
      <c r="B18" s="82"/>
      <c r="C18" s="97">
        <f>_xll.meDateFromTenor(C17,"1D","FOLLOWING","TGT")</f>
        <v>42524</v>
      </c>
      <c r="D18" s="95">
        <f ca="1"/>
        <v>-3.3896203136407621E-3</v>
      </c>
      <c r="E18" s="92"/>
      <c r="F18" s="97">
        <f>_xll.meDateFromTenor(F17,"1D","FOLLOWING","TGT")</f>
        <v>42524</v>
      </c>
      <c r="G18" s="95">
        <f ca="1"/>
        <v>-3.4909954301982778E-3</v>
      </c>
      <c r="H18" s="92" t="s">
        <v>4</v>
      </c>
      <c r="I18" s="97">
        <f>_xll.meDateFromTenor(I17,"1D","FOLLOWING","TGT")</f>
        <v>42524</v>
      </c>
      <c r="J18" s="95">
        <f ca="1"/>
        <v>-2.6109614395051599E-3</v>
      </c>
      <c r="K18" s="5" t="s">
        <v>4</v>
      </c>
      <c r="L18" s="97">
        <f>_xll.meDateFromTenor(L17,"1D","FOLLOWING","TGT")</f>
        <v>42524</v>
      </c>
      <c r="M18" s="95">
        <f ca="1"/>
        <v>-1.5307900255015381E-3</v>
      </c>
      <c r="N18" s="5" t="s">
        <v>4</v>
      </c>
      <c r="O18" s="97">
        <f>_xll.meDateFromTenor(O17,"1D","FOLLOWING","TGT")</f>
        <v>42524</v>
      </c>
      <c r="P18" s="95">
        <f ca="1"/>
        <v>-1.5078984053941451E-4</v>
      </c>
      <c r="Q18" s="5" t="s">
        <v>4</v>
      </c>
      <c r="R18" s="83" t="s">
        <v>4</v>
      </c>
    </row>
    <row r="19" spans="1:18" x14ac:dyDescent="0.25">
      <c r="A19" s="88">
        <v>5</v>
      </c>
      <c r="B19" s="82"/>
      <c r="C19" s="97">
        <f>_xll.meDateFromTenor(C18,"1D","FOLLOWING","TGT")</f>
        <v>42527</v>
      </c>
      <c r="D19" s="95">
        <f ca="1"/>
        <v>-3.3942425461650494E-3</v>
      </c>
      <c r="E19" s="92"/>
      <c r="F19" s="97">
        <f>_xll.meDateFromTenor(F18,"1D","FOLLOWING","TGT")</f>
        <v>42527</v>
      </c>
      <c r="G19" s="95">
        <f ca="1"/>
        <v>-3.4939886090654231E-3</v>
      </c>
      <c r="H19" s="92" t="s">
        <v>4</v>
      </c>
      <c r="I19" s="97">
        <f>_xll.meDateFromTenor(I18,"1D","FOLLOWING","TGT")</f>
        <v>42527</v>
      </c>
      <c r="J19" s="95">
        <f ca="1"/>
        <v>-2.6138499728123577E-3</v>
      </c>
      <c r="K19" s="5" t="s">
        <v>4</v>
      </c>
      <c r="L19" s="97">
        <f>_xll.meDateFromTenor(L18,"1D","FOLLOWING","TGT")</f>
        <v>42527</v>
      </c>
      <c r="M19" s="95">
        <f ca="1"/>
        <v>-1.533160026064488E-3</v>
      </c>
      <c r="N19" s="5" t="s">
        <v>4</v>
      </c>
      <c r="O19" s="97">
        <f>_xll.meDateFromTenor(O18,"1D","FOLLOWING","TGT")</f>
        <v>42527</v>
      </c>
      <c r="P19" s="95">
        <f ca="1"/>
        <v>-1.5315914119550051E-4</v>
      </c>
      <c r="Q19" s="5" t="s">
        <v>4</v>
      </c>
      <c r="R19" s="83" t="s">
        <v>4</v>
      </c>
    </row>
    <row r="20" spans="1:18" x14ac:dyDescent="0.25">
      <c r="A20" s="88">
        <v>6</v>
      </c>
      <c r="B20" s="82"/>
      <c r="C20" s="97">
        <f>_xll.meDateFromTenor(C19,"1D","FOLLOWING","TGT")</f>
        <v>42528</v>
      </c>
      <c r="D20" s="95">
        <f ca="1"/>
        <v>-3.3942425462447634E-3</v>
      </c>
      <c r="E20" s="92"/>
      <c r="F20" s="97">
        <f>_xll.meDateFromTenor(F19,"1D","FOLLOWING","TGT")</f>
        <v>42528</v>
      </c>
      <c r="G20" s="95">
        <f ca="1"/>
        <v>-3.4949902477087822E-3</v>
      </c>
      <c r="H20" s="92" t="s">
        <v>4</v>
      </c>
      <c r="I20" s="97">
        <f>_xll.meDateFromTenor(I19,"1D","FOLLOWING","TGT")</f>
        <v>42528</v>
      </c>
      <c r="J20" s="95">
        <f ca="1"/>
        <v>-2.6148156271091506E-3</v>
      </c>
      <c r="K20" s="5" t="s">
        <v>4</v>
      </c>
      <c r="L20" s="97">
        <f>_xll.meDateFromTenor(L19,"1D","FOLLOWING","TGT")</f>
        <v>42528</v>
      </c>
      <c r="M20" s="95">
        <f ca="1"/>
        <v>-1.5339499714303556E-3</v>
      </c>
      <c r="N20" s="5" t="s">
        <v>4</v>
      </c>
      <c r="O20" s="97">
        <f>_xll.meDateFromTenor(O19,"1D","FOLLOWING","TGT")</f>
        <v>42528</v>
      </c>
      <c r="P20" s="95">
        <f ca="1"/>
        <v>-1.5394869256573767E-4</v>
      </c>
      <c r="Q20" s="5" t="s">
        <v>4</v>
      </c>
      <c r="R20" s="83" t="s">
        <v>4</v>
      </c>
    </row>
    <row r="21" spans="1:18" x14ac:dyDescent="0.25">
      <c r="A21" s="88">
        <v>7</v>
      </c>
      <c r="B21" s="82"/>
      <c r="C21" s="97">
        <f>_xll.meDateFromTenor(C20,"1D","FOLLOWING","TGT")</f>
        <v>42529</v>
      </c>
      <c r="D21" s="95">
        <f ca="1"/>
        <v>-3.3942425462049064E-3</v>
      </c>
      <c r="E21" s="92"/>
      <c r="F21" s="97">
        <f>_xll.meDateFromTenor(F20,"1D","FOLLOWING","TGT")</f>
        <v>42529</v>
      </c>
      <c r="G21" s="95">
        <f ca="1"/>
        <v>-3.4959948206178745E-3</v>
      </c>
      <c r="H21" s="92" t="s">
        <v>4</v>
      </c>
      <c r="I21" s="97">
        <f>_xll.meDateFromTenor(I20,"1D","FOLLOWING","TGT")</f>
        <v>42529</v>
      </c>
      <c r="J21" s="95">
        <f ca="1"/>
        <v>-2.6157833888017382E-3</v>
      </c>
      <c r="K21" s="5" t="s">
        <v>4</v>
      </c>
      <c r="L21" s="97">
        <f>_xll.meDateFromTenor(L20,"1D","FOLLOWING","TGT")</f>
        <v>42529</v>
      </c>
      <c r="M21" s="95">
        <f ca="1"/>
        <v>-1.5347398756798867E-3</v>
      </c>
      <c r="N21" s="5" t="s">
        <v>4</v>
      </c>
      <c r="O21" s="97">
        <f>_xll.meDateFromTenor(O20,"1D","FOLLOWING","TGT")</f>
        <v>42529</v>
      </c>
      <c r="P21" s="95">
        <f ca="1"/>
        <v>-1.547380822996313E-4</v>
      </c>
      <c r="Q21" s="5" t="s">
        <v>4</v>
      </c>
      <c r="R21" s="83" t="s">
        <v>4</v>
      </c>
    </row>
    <row r="22" spans="1:18" x14ac:dyDescent="0.25">
      <c r="A22" s="88">
        <v>8</v>
      </c>
      <c r="B22" s="82"/>
      <c r="C22" s="97">
        <f>_xll.meDateFromTenor(C21,"1D","FOLLOWING","TGT")</f>
        <v>42530</v>
      </c>
      <c r="D22" s="95">
        <f ca="1"/>
        <v>-3.3942425462846204E-3</v>
      </c>
      <c r="E22" s="92"/>
      <c r="F22" s="97">
        <f>_xll.meDateFromTenor(F21,"1D","FOLLOWING","TGT")</f>
        <v>42530</v>
      </c>
      <c r="G22" s="95">
        <f ca="1"/>
        <v>-3.4970029146458477E-3</v>
      </c>
      <c r="H22" s="92" t="s">
        <v>4</v>
      </c>
      <c r="I22" s="97">
        <f>_xll.meDateFromTenor(I21,"1D","FOLLOWING","TGT")</f>
        <v>42530</v>
      </c>
      <c r="J22" s="95">
        <f ca="1"/>
        <v>-2.6167536793692795E-3</v>
      </c>
      <c r="K22" s="5" t="s">
        <v>4</v>
      </c>
      <c r="L22" s="97">
        <f>_xll.meDateFromTenor(L21,"1D","FOLLOWING","TGT")</f>
        <v>42530</v>
      </c>
      <c r="M22" s="95">
        <f ca="1"/>
        <v>-1.5355297305898136E-3</v>
      </c>
      <c r="N22" s="5" t="s">
        <v>4</v>
      </c>
      <c r="O22" s="97">
        <f>_xll.meDateFromTenor(O21,"1D","FOLLOWING","TGT")</f>
        <v>42530</v>
      </c>
      <c r="P22" s="95">
        <f ca="1"/>
        <v>-1.5552727806991242E-4</v>
      </c>
      <c r="Q22" s="5" t="s">
        <v>4</v>
      </c>
      <c r="R22" s="83" t="s">
        <v>4</v>
      </c>
    </row>
    <row r="23" spans="1:18" x14ac:dyDescent="0.25">
      <c r="A23" s="88">
        <v>9</v>
      </c>
      <c r="B23" s="82"/>
      <c r="C23" s="97">
        <f>_xll.meDateFromTenor(C22,"1D","FOLLOWING","TGT")</f>
        <v>42531</v>
      </c>
      <c r="D23" s="95">
        <f ca="1"/>
        <v>-3.394274962330357E-3</v>
      </c>
      <c r="E23" s="92"/>
      <c r="F23" s="97">
        <f>_xll.meDateFromTenor(F22,"1D","FOLLOWING","TGT")</f>
        <v>42531</v>
      </c>
      <c r="G23" s="95">
        <f ca="1"/>
        <v>-3.4980151166458472E-3</v>
      </c>
      <c r="H23" s="92" t="s">
        <v>4</v>
      </c>
      <c r="I23" s="97">
        <f>_xll.meDateFromTenor(I22,"1D","FOLLOWING","TGT")</f>
        <v>42531</v>
      </c>
      <c r="J23" s="95">
        <f ca="1"/>
        <v>-2.6177269202909349E-3</v>
      </c>
      <c r="K23" s="5" t="s">
        <v>4</v>
      </c>
      <c r="L23" s="97">
        <f>_xll.meDateFromTenor(L22,"1D","FOLLOWING","TGT")</f>
        <v>42531</v>
      </c>
      <c r="M23" s="95">
        <f ca="1"/>
        <v>-1.5363195279368693E-3</v>
      </c>
      <c r="N23" s="5" t="s">
        <v>4</v>
      </c>
      <c r="O23" s="97">
        <f>_xll.meDateFromTenor(O22,"1D","FOLLOWING","TGT")</f>
        <v>42531</v>
      </c>
      <c r="P23" s="95">
        <f ca="1"/>
        <v>-1.5631624754931263E-4</v>
      </c>
      <c r="Q23" s="5" t="s">
        <v>4</v>
      </c>
      <c r="R23" s="83" t="s">
        <v>4</v>
      </c>
    </row>
    <row r="24" spans="1:18" x14ac:dyDescent="0.25">
      <c r="A24" s="88">
        <v>10</v>
      </c>
      <c r="B24" s="82"/>
      <c r="C24" s="97">
        <f>_xll.meDateFromTenor(C23,"1D","FOLLOWING","TGT")</f>
        <v>42534</v>
      </c>
      <c r="D24" s="95">
        <f ca="1"/>
        <v>-3.3942425462447634E-3</v>
      </c>
      <c r="E24" s="92"/>
      <c r="F24" s="97">
        <f>_xll.meDateFromTenor(F23,"1D","FOLLOWING","TGT")</f>
        <v>42534</v>
      </c>
      <c r="G24" s="95">
        <f ca="1"/>
        <v>-3.5010822390094715E-3</v>
      </c>
      <c r="H24" s="92" t="s">
        <v>4</v>
      </c>
      <c r="I24" s="97">
        <f>_xll.meDateFromTenor(I23,"1D","FOLLOWING","TGT")</f>
        <v>42534</v>
      </c>
      <c r="J24" s="95">
        <f ca="1"/>
        <v>-2.6206685599721681E-3</v>
      </c>
      <c r="K24" s="5" t="s">
        <v>4</v>
      </c>
      <c r="L24" s="97">
        <f>_xll.meDateFromTenor(L23,"1D","FOLLOWING","TGT")</f>
        <v>42534</v>
      </c>
      <c r="M24" s="95">
        <f ca="1"/>
        <v>-1.5386884923681355E-3</v>
      </c>
      <c r="N24" s="5" t="s">
        <v>4</v>
      </c>
      <c r="O24" s="97">
        <f>_xll.meDateFromTenor(O23,"1D","FOLLOWING","TGT")</f>
        <v>42534</v>
      </c>
      <c r="P24" s="95">
        <f ca="1"/>
        <v>-1.5868147496953948E-4</v>
      </c>
      <c r="Q24" s="5" t="s">
        <v>4</v>
      </c>
      <c r="R24" s="83" t="s">
        <v>4</v>
      </c>
    </row>
    <row r="25" spans="1:18" x14ac:dyDescent="0.25">
      <c r="A25" s="88">
        <v>11</v>
      </c>
      <c r="B25" s="82"/>
      <c r="C25" s="97">
        <f>_xll.meDateFromTenor(C24,"1D","FOLLOWING","TGT")</f>
        <v>42535</v>
      </c>
      <c r="D25" s="95">
        <f ca="1"/>
        <v>-3.3942425461650494E-3</v>
      </c>
      <c r="E25" s="92"/>
      <c r="F25" s="97">
        <f>_xll.meDateFromTenor(F24,"1D","FOLLOWING","TGT")</f>
        <v>42535</v>
      </c>
      <c r="G25" s="95">
        <f ca="1"/>
        <v>-3.502116741429044E-3</v>
      </c>
      <c r="H25" s="92" t="s">
        <v>4</v>
      </c>
      <c r="I25" s="97">
        <f>_xll.meDateFromTenor(I24,"1D","FOLLOWING","TGT")</f>
        <v>42535</v>
      </c>
      <c r="J25" s="95">
        <f ca="1"/>
        <v>-2.6216578171018644E-3</v>
      </c>
      <c r="K25" s="5" t="s">
        <v>4</v>
      </c>
      <c r="L25" s="97">
        <f>_xll.meDateFromTenor(L24,"1D","FOLLOWING","TGT")</f>
        <v>42535</v>
      </c>
      <c r="M25" s="95">
        <f ca="1"/>
        <v>-1.5394779772310329E-3</v>
      </c>
      <c r="N25" s="5" t="s">
        <v>4</v>
      </c>
      <c r="O25" s="97">
        <f>_xll.meDateFromTenor(O24,"1D","FOLLOWING","TGT")</f>
        <v>42535</v>
      </c>
      <c r="P25" s="95">
        <f ca="1"/>
        <v>-1.5946921601272821E-4</v>
      </c>
      <c r="Q25" s="5" t="s">
        <v>4</v>
      </c>
      <c r="R25" s="83" t="s">
        <v>4</v>
      </c>
    </row>
    <row r="26" spans="1:18" x14ac:dyDescent="0.25">
      <c r="A26" s="88">
        <v>12</v>
      </c>
      <c r="B26" s="82"/>
      <c r="C26" s="97">
        <f>_xll.meDateFromTenor(C25,"1D","FOLLOWING","TGT")</f>
        <v>42536</v>
      </c>
      <c r="D26" s="95">
        <f ca="1"/>
        <v>-3.3942425462845094E-3</v>
      </c>
      <c r="E26" s="92"/>
      <c r="F26" s="97">
        <f>_xll.meDateFromTenor(F25,"1D","FOLLOWING","TGT")</f>
        <v>42536</v>
      </c>
      <c r="G26" s="95">
        <f ca="1"/>
        <v>-3.5031582860863765E-3</v>
      </c>
      <c r="H26" s="92" t="s">
        <v>4</v>
      </c>
      <c r="I26" s="97">
        <f>_xll.meDateFromTenor(I25,"1D","FOLLOWING","TGT")</f>
        <v>42536</v>
      </c>
      <c r="J26" s="95">
        <f ca="1"/>
        <v>-2.6226521319814705E-3</v>
      </c>
      <c r="K26" s="5" t="s">
        <v>4</v>
      </c>
      <c r="L26" s="97">
        <f>_xll.meDateFromTenor(L25,"1D","FOLLOWING","TGT")</f>
        <v>42536</v>
      </c>
      <c r="M26" s="95">
        <f ca="1"/>
        <v>-1.5402673634147223E-3</v>
      </c>
      <c r="N26" s="5" t="s">
        <v>4</v>
      </c>
      <c r="O26" s="97">
        <f>_xll.meDateFromTenor(O25,"1D","FOLLOWING","TGT")</f>
        <v>42536</v>
      </c>
      <c r="P26" s="95">
        <f ca="1"/>
        <v>-1.6025656912869218E-4</v>
      </c>
      <c r="Q26" s="5" t="s">
        <v>4</v>
      </c>
      <c r="R26" s="83" t="s">
        <v>4</v>
      </c>
    </row>
    <row r="27" spans="1:18" x14ac:dyDescent="0.25">
      <c r="A27" s="88">
        <v>13</v>
      </c>
      <c r="B27" s="82"/>
      <c r="C27" s="97">
        <f>_xll.meDateFromTenor(C26,"1D","FOLLOWING","TGT")</f>
        <v>42537</v>
      </c>
      <c r="D27" s="95">
        <f ca="1"/>
        <v>-3.3942425462447634E-3</v>
      </c>
      <c r="E27" s="92"/>
      <c r="F27" s="97">
        <f>_xll.meDateFromTenor(F26,"1D","FOLLOWING","TGT")</f>
        <v>42537</v>
      </c>
      <c r="G27" s="95">
        <f ca="1"/>
        <v>-3.5042074598346153E-3</v>
      </c>
      <c r="H27" s="92" t="s">
        <v>4</v>
      </c>
      <c r="I27" s="97">
        <f>_xll.meDateFromTenor(I26,"1D","FOLLOWING","TGT")</f>
        <v>42537</v>
      </c>
      <c r="J27" s="95">
        <f ca="1"/>
        <v>-2.6236519260901424E-3</v>
      </c>
      <c r="K27" s="5" t="s">
        <v>4</v>
      </c>
      <c r="L27" s="97">
        <f>_xll.meDateFromTenor(L26,"1D","FOLLOWING","TGT")</f>
        <v>42537</v>
      </c>
      <c r="M27" s="95">
        <f ca="1"/>
        <v>-1.5410566426959363E-3</v>
      </c>
      <c r="N27" s="5" t="s">
        <v>4</v>
      </c>
      <c r="O27" s="97">
        <f>_xll.meDateFromTenor(O26,"1D","FOLLOWING","TGT")</f>
        <v>42537</v>
      </c>
      <c r="P27" s="95">
        <f ca="1"/>
        <v>-1.610435019901628E-4</v>
      </c>
      <c r="Q27" s="5" t="s">
        <v>4</v>
      </c>
      <c r="R27" s="83" t="s">
        <v>4</v>
      </c>
    </row>
    <row r="28" spans="1:18" x14ac:dyDescent="0.25">
      <c r="A28" s="88">
        <v>14</v>
      </c>
      <c r="B28" s="82"/>
      <c r="C28" s="97">
        <f>_xll.meDateFromTenor(C27,"1D","FOLLOWING","TGT")</f>
        <v>42538</v>
      </c>
      <c r="D28" s="95">
        <f ca="1"/>
        <v>-3.3942700526261582E-3</v>
      </c>
      <c r="E28" s="92"/>
      <c r="F28" s="97">
        <f>_xll.meDateFromTenor(F27,"1D","FOLLOWING","TGT")</f>
        <v>42538</v>
      </c>
      <c r="G28" s="95">
        <f ca="1"/>
        <v>-3.5052648495269081E-3</v>
      </c>
      <c r="H28" s="92" t="s">
        <v>4</v>
      </c>
      <c r="I28" s="97">
        <f>_xll.meDateFromTenor(I27,"1D","FOLLOWING","TGT")</f>
        <v>42538</v>
      </c>
      <c r="J28" s="95">
        <f ca="1"/>
        <v>-2.6246576209070409E-3</v>
      </c>
      <c r="K28" s="5" t="s">
        <v>4</v>
      </c>
      <c r="L28" s="97">
        <f>_xll.meDateFromTenor(L27,"1D","FOLLOWING","TGT")</f>
        <v>42538</v>
      </c>
      <c r="M28" s="95">
        <f ca="1"/>
        <v>-1.5418458068514075E-3</v>
      </c>
      <c r="N28" s="5" t="s">
        <v>4</v>
      </c>
      <c r="O28" s="97">
        <f>_xll.meDateFromTenor(O27,"1D","FOLLOWING","TGT")</f>
        <v>42538</v>
      </c>
      <c r="P28" s="95">
        <f ca="1"/>
        <v>-1.6182998226987129E-4</v>
      </c>
      <c r="Q28" s="5" t="s">
        <v>4</v>
      </c>
      <c r="R28" s="83" t="s">
        <v>4</v>
      </c>
    </row>
    <row r="29" spans="1:18" x14ac:dyDescent="0.25">
      <c r="A29" s="88">
        <v>15</v>
      </c>
      <c r="B29" s="82"/>
      <c r="C29" s="97">
        <f>_xll.meDateFromTenor(C28,"1D","FOLLOWING","TGT")</f>
        <v>42541</v>
      </c>
      <c r="D29" s="95">
        <f ca="1"/>
        <v>-3.3942425462447634E-3</v>
      </c>
      <c r="E29" s="92"/>
      <c r="F29" s="97">
        <f>_xll.meDateFromTenor(F28,"1D","FOLLOWING","TGT")</f>
        <v>42541</v>
      </c>
      <c r="G29" s="95">
        <f ca="1"/>
        <v>-3.5084921827995726E-3</v>
      </c>
      <c r="H29" s="92" t="s">
        <v>4</v>
      </c>
      <c r="I29" s="97">
        <f>_xll.meDateFromTenor(I28,"1D","FOLLOWING","TGT")</f>
        <v>42541</v>
      </c>
      <c r="J29" s="95">
        <f ca="1"/>
        <v>-2.6277143243986826E-3</v>
      </c>
      <c r="K29" s="5" t="s">
        <v>4</v>
      </c>
      <c r="L29" s="97">
        <f>_xll.meDateFromTenor(L28,"1D","FOLLOWING","TGT")</f>
        <v>42541</v>
      </c>
      <c r="M29" s="95">
        <f ca="1"/>
        <v>-1.5442125263306931E-3</v>
      </c>
      <c r="N29" s="5" t="s">
        <v>4</v>
      </c>
      <c r="O29" s="97">
        <f>_xll.meDateFromTenor(O28,"1D","FOLLOWING","TGT")</f>
        <v>42541</v>
      </c>
      <c r="P29" s="95">
        <f ca="1"/>
        <v>-1.6418638434573677E-4</v>
      </c>
      <c r="Q29" s="5" t="s">
        <v>4</v>
      </c>
      <c r="R29" s="83" t="s">
        <v>4</v>
      </c>
    </row>
    <row r="30" spans="1:18" x14ac:dyDescent="0.25">
      <c r="A30" s="88">
        <v>16</v>
      </c>
      <c r="B30" s="82"/>
      <c r="C30" s="97">
        <f>_xll.meDateFromTenor(C29,"1D","FOLLOWING","TGT")</f>
        <v>42542</v>
      </c>
      <c r="D30" s="95">
        <f ca="1"/>
        <v>-3.3942425462049064E-3</v>
      </c>
      <c r="E30" s="92"/>
      <c r="F30" s="97">
        <f>_xll.meDateFromTenor(F29,"1D","FOLLOWING","TGT")</f>
        <v>42542</v>
      </c>
      <c r="G30" s="95">
        <f ca="1"/>
        <v>-3.5095883047995447E-3</v>
      </c>
      <c r="H30" s="92" t="s">
        <v>4</v>
      </c>
      <c r="I30" s="97">
        <f>_xll.meDateFromTenor(I29,"1D","FOLLOWING","TGT")</f>
        <v>42542</v>
      </c>
      <c r="J30" s="95">
        <f ca="1"/>
        <v>-2.6287478368400763E-3</v>
      </c>
      <c r="K30" s="5" t="s">
        <v>4</v>
      </c>
      <c r="L30" s="97">
        <f>_xll.meDateFromTenor(L29,"1D","FOLLOWING","TGT")</f>
        <v>42542</v>
      </c>
      <c r="M30" s="95">
        <f ca="1"/>
        <v>-1.5450011477505206E-3</v>
      </c>
      <c r="N30" s="5" t="s">
        <v>4</v>
      </c>
      <c r="O30" s="97">
        <f>_xll.meDateFromTenor(O29,"1D","FOLLOWING","TGT")</f>
        <v>42542</v>
      </c>
      <c r="P30" s="95">
        <f ca="1"/>
        <v>-1.6497073102570949E-4</v>
      </c>
      <c r="Q30" s="5" t="s">
        <v>4</v>
      </c>
      <c r="R30" s="83" t="s">
        <v>4</v>
      </c>
    </row>
    <row r="31" spans="1:18" x14ac:dyDescent="0.25">
      <c r="A31" s="88">
        <v>17</v>
      </c>
      <c r="B31" s="82"/>
      <c r="C31" s="97">
        <f>_xll.meDateFromTenor(C30,"1D","FOLLOWING","TGT")</f>
        <v>42543</v>
      </c>
      <c r="D31" s="95">
        <f ca="1"/>
        <v>-3.3942425462447634E-3</v>
      </c>
      <c r="E31" s="92"/>
      <c r="F31" s="97">
        <f>_xll.meDateFromTenor(F30,"1D","FOLLOWING","TGT")</f>
        <v>42543</v>
      </c>
      <c r="G31" s="95">
        <f ca="1"/>
        <v>-3.5106955770093031E-3</v>
      </c>
      <c r="H31" s="92" t="s">
        <v>4</v>
      </c>
      <c r="I31" s="97">
        <f>_xll.meDateFromTenor(I30,"1D","FOLLOWING","TGT")</f>
        <v>42543</v>
      </c>
      <c r="J31" s="95">
        <f ca="1"/>
        <v>-2.6297893573854901E-3</v>
      </c>
      <c r="K31" s="5" t="s">
        <v>4</v>
      </c>
      <c r="L31" s="97">
        <f>_xll.meDateFromTenor(L30,"1D","FOLLOWING","TGT")</f>
        <v>42543</v>
      </c>
      <c r="M31" s="95">
        <f ca="1"/>
        <v>-1.545789612928269E-3</v>
      </c>
      <c r="N31" s="5" t="s">
        <v>4</v>
      </c>
      <c r="O31" s="97">
        <f>_xll.meDateFromTenor(O30,"1D","FOLLOWING","TGT")</f>
        <v>42543</v>
      </c>
      <c r="P31" s="95">
        <f ca="1"/>
        <v>-1.6575446348757652E-4</v>
      </c>
      <c r="Q31" s="5" t="s">
        <v>4</v>
      </c>
      <c r="R31" s="83" t="s">
        <v>4</v>
      </c>
    </row>
    <row r="32" spans="1:18" x14ac:dyDescent="0.25">
      <c r="A32" s="88">
        <v>18</v>
      </c>
      <c r="B32" s="82"/>
      <c r="C32" s="97">
        <f>_xll.meDateFromTenor(C31,"1D","FOLLOWING","TGT")</f>
        <v>42544</v>
      </c>
      <c r="D32" s="95">
        <f ca="1"/>
        <v>-3.3942425462447634E-3</v>
      </c>
      <c r="E32" s="92"/>
      <c r="F32" s="97">
        <f>_xll.meDateFromTenor(F31,"1D","FOLLOWING","TGT")</f>
        <v>42544</v>
      </c>
      <c r="G32" s="95">
        <f ca="1"/>
        <v>-3.5118145862819954E-3</v>
      </c>
      <c r="H32" s="92" t="s">
        <v>4</v>
      </c>
      <c r="I32" s="97">
        <f>_xll.meDateFromTenor(I31,"1D","FOLLOWING","TGT")</f>
        <v>42544</v>
      </c>
      <c r="J32" s="95">
        <f ca="1"/>
        <v>-2.6308393075140843E-3</v>
      </c>
      <c r="K32" s="5" t="s">
        <v>4</v>
      </c>
      <c r="L32" s="97">
        <f>_xll.meDateFromTenor(L31,"1D","FOLLOWING","TGT")</f>
        <v>42544</v>
      </c>
      <c r="M32" s="95">
        <f ca="1"/>
        <v>-1.5465779136406711E-3</v>
      </c>
      <c r="N32" s="5" t="s">
        <v>4</v>
      </c>
      <c r="O32" s="97">
        <f>_xll.meDateFromTenor(O31,"1D","FOLLOWING","TGT")</f>
        <v>42544</v>
      </c>
      <c r="P32" s="95">
        <f ca="1"/>
        <v>-1.6653754940406905E-4</v>
      </c>
      <c r="Q32" s="5" t="s">
        <v>4</v>
      </c>
      <c r="R32" s="83" t="s">
        <v>4</v>
      </c>
    </row>
    <row r="33" spans="1:18" x14ac:dyDescent="0.25">
      <c r="A33" s="88">
        <v>19</v>
      </c>
      <c r="B33" s="82"/>
      <c r="C33" s="97">
        <f>_xll.meDateFromTenor(C32,"1D","FOLLOWING","TGT")</f>
        <v>42545</v>
      </c>
      <c r="D33" s="95">
        <f ca="1"/>
        <v>-3.3942700578442064E-3</v>
      </c>
      <c r="E33" s="92"/>
      <c r="F33" s="97">
        <f>_xll.meDateFromTenor(F32,"1D","FOLLOWING","TGT")</f>
        <v>42545</v>
      </c>
      <c r="G33" s="95">
        <f ca="1"/>
        <v>-3.5129459194707668E-3</v>
      </c>
      <c r="H33" s="92" t="s">
        <v>4</v>
      </c>
      <c r="I33" s="97">
        <f>_xll.meDateFromTenor(I32,"1D","FOLLOWING","TGT")</f>
        <v>42545</v>
      </c>
      <c r="J33" s="95">
        <f ca="1"/>
        <v>-2.6318981087050178E-3</v>
      </c>
      <c r="K33" s="5" t="s">
        <v>4</v>
      </c>
      <c r="L33" s="97">
        <f>_xll.meDateFromTenor(L32,"1D","FOLLOWING","TGT")</f>
        <v>42545</v>
      </c>
      <c r="M33" s="95">
        <f ca="1"/>
        <v>-1.5473660416644593E-3</v>
      </c>
      <c r="N33" s="5" t="s">
        <v>4</v>
      </c>
      <c r="O33" s="97">
        <f>_xll.meDateFromTenor(O32,"1D","FOLLOWING","TGT")</f>
        <v>42545</v>
      </c>
      <c r="P33" s="95">
        <f ca="1"/>
        <v>-1.6731995644791848E-4</v>
      </c>
      <c r="Q33" s="5" t="s">
        <v>4</v>
      </c>
      <c r="R33" s="83" t="s">
        <v>4</v>
      </c>
    </row>
    <row r="34" spans="1:18" x14ac:dyDescent="0.25">
      <c r="A34" s="88">
        <v>20</v>
      </c>
      <c r="B34" s="82"/>
      <c r="C34" s="97">
        <f>_xll.meDateFromTenor(C33,"1D","FOLLOWING","TGT")</f>
        <v>42548</v>
      </c>
      <c r="D34" s="95">
        <f ca="1"/>
        <v>-3.3942425462447634E-3</v>
      </c>
      <c r="E34" s="92"/>
      <c r="F34" s="97">
        <f>_xll.meDateFromTenor(F33,"1D","FOLLOWING","TGT")</f>
        <v>42548</v>
      </c>
      <c r="G34" s="95">
        <f ca="1"/>
        <v>-3.5164197310650299E-3</v>
      </c>
      <c r="H34" s="92" t="s">
        <v>4</v>
      </c>
      <c r="I34" s="97">
        <f>_xll.meDateFromTenor(I33,"1D","FOLLOWING","TGT")</f>
        <v>42548</v>
      </c>
      <c r="J34" s="95">
        <f ca="1"/>
        <v>-2.6351318334434429E-3</v>
      </c>
      <c r="K34" s="5" t="s">
        <v>4</v>
      </c>
      <c r="L34" s="97">
        <f>_xll.meDateFromTenor(L33,"1D","FOLLOWING","TGT")</f>
        <v>42548</v>
      </c>
      <c r="M34" s="95">
        <f ca="1"/>
        <v>-1.5497293073714667E-3</v>
      </c>
      <c r="N34" s="5" t="s">
        <v>4</v>
      </c>
      <c r="O34" s="97">
        <f>_xll.meDateFromTenor(O33,"1D","FOLLOWING","TGT")</f>
        <v>42548</v>
      </c>
      <c r="P34" s="95">
        <f ca="1"/>
        <v>-1.6966278107092024E-4</v>
      </c>
      <c r="Q34" s="5" t="s">
        <v>4</v>
      </c>
      <c r="R34" s="83" t="s">
        <v>4</v>
      </c>
    </row>
    <row r="35" spans="1:18" x14ac:dyDescent="0.25">
      <c r="A35" s="88">
        <v>21</v>
      </c>
      <c r="B35" s="82"/>
      <c r="C35" s="97">
        <f>_xll.meDateFromTenor(C34,"1D","FOLLOWING","TGT")</f>
        <v>42549</v>
      </c>
      <c r="D35" s="95">
        <f ca="1"/>
        <v>-3.3942425462447634E-3</v>
      </c>
      <c r="E35" s="92"/>
      <c r="F35" s="97">
        <f>_xll.meDateFromTenor(F34,"1D","FOLLOWING","TGT")</f>
        <v>42549</v>
      </c>
      <c r="G35" s="95">
        <f ca="1"/>
        <v>-3.5176062284495886E-3</v>
      </c>
      <c r="H35" s="92" t="s">
        <v>4</v>
      </c>
      <c r="I35" s="97">
        <f>_xll.meDateFromTenor(I34,"1D","FOLLOWING","TGT")</f>
        <v>42549</v>
      </c>
      <c r="J35" s="95">
        <f ca="1"/>
        <v>-2.6362302536753236E-3</v>
      </c>
      <c r="K35" s="5" t="s">
        <v>4</v>
      </c>
      <c r="L35" s="97">
        <f>_xll.meDateFromTenor(L34,"1D","FOLLOWING","TGT")</f>
        <v>42549</v>
      </c>
      <c r="M35" s="95">
        <f ca="1"/>
        <v>-1.5505166624081258E-3</v>
      </c>
      <c r="N35" s="5" t="s">
        <v>4</v>
      </c>
      <c r="O35" s="97">
        <f>_xll.meDateFromTenor(O34,"1D","FOLLOWING","TGT")</f>
        <v>42549</v>
      </c>
      <c r="P35" s="95">
        <f ca="1"/>
        <v>-1.7044214935150963E-4</v>
      </c>
      <c r="Q35" s="5" t="s">
        <v>4</v>
      </c>
      <c r="R35" s="83" t="s">
        <v>4</v>
      </c>
    </row>
    <row r="36" spans="1:18" x14ac:dyDescent="0.25">
      <c r="A36" s="88">
        <v>22</v>
      </c>
      <c r="B36" s="82"/>
      <c r="C36" s="97">
        <f>_xll.meDateFromTenor(C35,"1D","FOLLOWING","TGT")</f>
        <v>42550</v>
      </c>
      <c r="D36" s="95">
        <f ca="1"/>
        <v>-3.3942425461650494E-3</v>
      </c>
      <c r="E36" s="92"/>
      <c r="F36" s="97">
        <f>_xll.meDateFromTenor(F35,"1D","FOLLOWING","TGT")</f>
        <v>42550</v>
      </c>
      <c r="G36" s="95">
        <f ca="1"/>
        <v>-3.5188079840159604E-3</v>
      </c>
      <c r="H36" s="92" t="s">
        <v>4</v>
      </c>
      <c r="I36" s="97">
        <f>_xll.meDateFromTenor(I35,"1D","FOLLOWING","TGT")</f>
        <v>42550</v>
      </c>
      <c r="J36" s="95">
        <f ca="1"/>
        <v>-2.6373396323653374E-3</v>
      </c>
      <c r="K36" s="5" t="s">
        <v>4</v>
      </c>
      <c r="L36" s="97">
        <f>_xll.meDateFromTenor(L35,"1D","FOLLOWING","TGT")</f>
        <v>42550</v>
      </c>
      <c r="M36" s="95">
        <f ca="1"/>
        <v>-1.5513038036398343E-3</v>
      </c>
      <c r="N36" s="5" t="s">
        <v>4</v>
      </c>
      <c r="O36" s="97">
        <f>_xll.meDateFromTenor(O35,"1D","FOLLOWING","TGT")</f>
        <v>42550</v>
      </c>
      <c r="P36" s="95">
        <f ca="1"/>
        <v>-1.712206771231122E-4</v>
      </c>
      <c r="Q36" s="5" t="s">
        <v>4</v>
      </c>
      <c r="R36" s="83" t="s">
        <v>4</v>
      </c>
    </row>
    <row r="37" spans="1:18" x14ac:dyDescent="0.25">
      <c r="A37" s="88">
        <v>23</v>
      </c>
      <c r="B37" s="82"/>
      <c r="C37" s="97">
        <f>_xll.meDateFromTenor(C36,"1D","FOLLOWING","TGT")</f>
        <v>42551</v>
      </c>
      <c r="D37" s="95">
        <f ca="1"/>
        <v>-3.3942425462049064E-3</v>
      </c>
      <c r="E37" s="92"/>
      <c r="F37" s="97">
        <f>_xll.meDateFromTenor(F36,"1D","FOLLOWING","TGT")</f>
        <v>42551</v>
      </c>
      <c r="G37" s="95">
        <f ca="1"/>
        <v>-3.5200255846172916E-3</v>
      </c>
      <c r="H37" s="92" t="s">
        <v>4</v>
      </c>
      <c r="I37" s="97">
        <f>_xll.meDateFromTenor(I36,"1D","FOLLOWING","TGT")</f>
        <v>42551</v>
      </c>
      <c r="J37" s="95">
        <f ca="1"/>
        <v>-2.638460390992645E-3</v>
      </c>
      <c r="K37" s="5" t="s">
        <v>4</v>
      </c>
      <c r="L37" s="97">
        <f>_xll.meDateFromTenor(L36,"1D","FOLLOWING","TGT")</f>
        <v>42551</v>
      </c>
      <c r="M37" s="95">
        <f ca="1"/>
        <v>-1.552090722843325E-3</v>
      </c>
      <c r="N37" s="5" t="s">
        <v>4</v>
      </c>
      <c r="O37" s="97">
        <f>_xll.meDateFromTenor(O36,"1D","FOLLOWING","TGT")</f>
        <v>42551</v>
      </c>
      <c r="P37" s="95">
        <f ca="1"/>
        <v>-1.7199833205845932E-4</v>
      </c>
      <c r="Q37" s="5" t="s">
        <v>4</v>
      </c>
      <c r="R37" s="83" t="s">
        <v>4</v>
      </c>
    </row>
    <row r="38" spans="1:18" x14ac:dyDescent="0.25">
      <c r="A38" s="88">
        <v>24</v>
      </c>
      <c r="B38" s="82"/>
      <c r="C38" s="97">
        <f>_xll.meDateFromTenor(C37,"1D","FOLLOWING","TGT")</f>
        <v>42552</v>
      </c>
      <c r="D38" s="95">
        <f ca="1"/>
        <v>-3.3942700582425545E-3</v>
      </c>
      <c r="E38" s="92"/>
      <c r="F38" s="97">
        <f>_xll.meDateFromTenor(F37,"1D","FOLLOWING","TGT")</f>
        <v>42552</v>
      </c>
      <c r="G38" s="95">
        <f ca="1"/>
        <v>-3.52125961710673E-3</v>
      </c>
      <c r="H38" s="92" t="s">
        <v>4</v>
      </c>
      <c r="I38" s="97">
        <f>_xll.meDateFromTenor(I37,"1D","FOLLOWING","TGT")</f>
        <v>42552</v>
      </c>
      <c r="J38" s="95">
        <f ca="1"/>
        <v>-2.6395929510364051E-3</v>
      </c>
      <c r="K38" s="5" t="s">
        <v>4</v>
      </c>
      <c r="L38" s="97">
        <f>_xll.meDateFromTenor(L37,"1D","FOLLOWING","TGT")</f>
        <v>42552</v>
      </c>
      <c r="M38" s="95">
        <f ca="1"/>
        <v>-1.5528774117953305E-3</v>
      </c>
      <c r="N38" s="5" t="s">
        <v>4</v>
      </c>
      <c r="O38" s="97">
        <f>_xll.meDateFromTenor(O37,"1D","FOLLOWING","TGT")</f>
        <v>42552</v>
      </c>
      <c r="P38" s="95">
        <f ca="1"/>
        <v>-1.7277508183028209E-4</v>
      </c>
      <c r="Q38" s="5" t="s">
        <v>4</v>
      </c>
      <c r="R38" s="83" t="s">
        <v>4</v>
      </c>
    </row>
    <row r="39" spans="1:18" x14ac:dyDescent="0.25">
      <c r="A39" s="88">
        <v>25</v>
      </c>
      <c r="B39" s="82"/>
      <c r="C39" s="97">
        <f>_xll.meDateFromTenor(C38,"1D","FOLLOWING","TGT")</f>
        <v>42555</v>
      </c>
      <c r="D39" s="95">
        <f ca="1"/>
        <v>-3.3942425462845094E-3</v>
      </c>
      <c r="E39" s="92"/>
      <c r="F39" s="97">
        <f>_xll.meDateFromTenor(F38,"1D","FOLLOWING","TGT")</f>
        <v>42555</v>
      </c>
      <c r="G39" s="95">
        <f ca="1"/>
        <v>-3.5250661744351507E-3</v>
      </c>
      <c r="H39" s="92" t="s">
        <v>4</v>
      </c>
      <c r="I39" s="97">
        <f>_xll.meDateFromTenor(I38,"1D","FOLLOWING","TGT")</f>
        <v>42555</v>
      </c>
      <c r="J39" s="95">
        <f ca="1"/>
        <v>-2.6430656544579882E-3</v>
      </c>
      <c r="K39" s="5" t="s">
        <v>4</v>
      </c>
      <c r="L39" s="97">
        <f>_xll.meDateFromTenor(L38,"1D","FOLLOWING","TGT")</f>
        <v>42555</v>
      </c>
      <c r="M39" s="95">
        <f ca="1"/>
        <v>-1.5552360149097626E-3</v>
      </c>
      <c r="N39" s="5" t="s">
        <v>4</v>
      </c>
      <c r="O39" s="97">
        <f>_xll.meDateFromTenor(O38,"1D","FOLLOWING","TGT")</f>
        <v>42555</v>
      </c>
      <c r="P39" s="95">
        <f ca="1"/>
        <v>-1.750995768919179E-4</v>
      </c>
      <c r="Q39" s="5" t="s">
        <v>4</v>
      </c>
      <c r="R39" s="83" t="s">
        <v>4</v>
      </c>
    </row>
    <row r="40" spans="1:18" x14ac:dyDescent="0.25">
      <c r="A40" s="88">
        <v>26</v>
      </c>
      <c r="B40" s="82"/>
      <c r="C40" s="97">
        <f>_xll.meDateFromTenor(C39,"1D","FOLLOWING","TGT")</f>
        <v>42556</v>
      </c>
      <c r="D40" s="95">
        <f ca="1"/>
        <v>-3.3942425462049064E-3</v>
      </c>
      <c r="E40" s="92"/>
      <c r="F40" s="97">
        <f>_xll.meDateFromTenor(F39,"1D","FOLLOWING","TGT")</f>
        <v>42556</v>
      </c>
      <c r="G40" s="95">
        <f ca="1"/>
        <v>-3.5263715597850767E-3</v>
      </c>
      <c r="H40" s="92" t="s">
        <v>4</v>
      </c>
      <c r="I40" s="97">
        <f>_xll.meDateFromTenor(I39,"1D","FOLLOWING","TGT")</f>
        <v>42556</v>
      </c>
      <c r="J40" s="95">
        <f ca="1"/>
        <v>-2.6442496349591465E-3</v>
      </c>
      <c r="K40" s="5" t="s">
        <v>4</v>
      </c>
      <c r="L40" s="97">
        <f>_xll.meDateFromTenor(L39,"1D","FOLLOWING","TGT")</f>
        <v>42556</v>
      </c>
      <c r="M40" s="95">
        <f ca="1"/>
        <v>-1.556021700623154E-3</v>
      </c>
      <c r="N40" s="5" t="s">
        <v>4</v>
      </c>
      <c r="O40" s="97">
        <f>_xll.meDateFromTenor(O39,"1D","FOLLOWING","TGT")</f>
        <v>42556</v>
      </c>
      <c r="P40" s="95">
        <f ca="1"/>
        <v>-1.7587238273695648E-4</v>
      </c>
      <c r="Q40" s="5" t="s">
        <v>4</v>
      </c>
      <c r="R40" s="83" t="s">
        <v>4</v>
      </c>
    </row>
    <row r="41" spans="1:18" x14ac:dyDescent="0.25">
      <c r="A41" s="88">
        <v>27</v>
      </c>
      <c r="B41" s="82"/>
      <c r="C41" s="97">
        <f>_xll.meDateFromTenor(C40,"1D","FOLLOWING","TGT")</f>
        <v>42557</v>
      </c>
      <c r="D41" s="95">
        <f ca="1"/>
        <v>-3.3942425462447634E-3</v>
      </c>
      <c r="E41" s="92"/>
      <c r="F41" s="97">
        <f>_xll.meDateFromTenor(F40,"1D","FOLLOWING","TGT")</f>
        <v>42557</v>
      </c>
      <c r="G41" s="95">
        <f ca="1"/>
        <v>-3.5276948519484133E-3</v>
      </c>
      <c r="H41" s="92" t="s">
        <v>4</v>
      </c>
      <c r="I41" s="97">
        <f>_xll.meDateFromTenor(I40,"1D","FOLLOWING","TGT")</f>
        <v>42557</v>
      </c>
      <c r="J41" s="95">
        <f ca="1"/>
        <v>-2.6454475242725524E-3</v>
      </c>
      <c r="K41" s="5" t="s">
        <v>4</v>
      </c>
      <c r="L41" s="97">
        <f>_xll.meDateFromTenor(L40,"1D","FOLLOWING","TGT")</f>
        <v>42557</v>
      </c>
      <c r="M41" s="95">
        <f ca="1"/>
        <v>-1.5568071149687237E-3</v>
      </c>
      <c r="N41" s="5" t="s">
        <v>4</v>
      </c>
      <c r="O41" s="97">
        <f>_xll.meDateFromTenor(O40,"1D","FOLLOWING","TGT")</f>
        <v>42557</v>
      </c>
      <c r="P41" s="95">
        <f ca="1"/>
        <v>-1.7664412178212724E-4</v>
      </c>
      <c r="Q41" s="5" t="s">
        <v>4</v>
      </c>
      <c r="R41" s="83" t="s">
        <v>4</v>
      </c>
    </row>
    <row r="42" spans="1:18" x14ac:dyDescent="0.25">
      <c r="A42" s="88">
        <v>28</v>
      </c>
      <c r="B42" s="82"/>
      <c r="C42" s="97">
        <f>_xll.meDateFromTenor(C41,"1D","FOLLOWING","TGT")</f>
        <v>42558</v>
      </c>
      <c r="D42" s="95">
        <f ca="1"/>
        <v>-3.3942425462447634E-3</v>
      </c>
      <c r="E42" s="92"/>
      <c r="F42" s="97">
        <f>_xll.meDateFromTenor(F41,"1D","FOLLOWING","TGT")</f>
        <v>42558</v>
      </c>
      <c r="G42" s="95">
        <f ca="1"/>
        <v>-3.529035178437878E-3</v>
      </c>
      <c r="H42" s="92" t="s">
        <v>4</v>
      </c>
      <c r="I42" s="97">
        <f>_xll.meDateFromTenor(I41,"1D","FOLLOWING","TGT")</f>
        <v>42558</v>
      </c>
      <c r="J42" s="95">
        <f ca="1"/>
        <v>-2.6466597438773651E-3</v>
      </c>
      <c r="K42" s="5" t="s">
        <v>4</v>
      </c>
      <c r="L42" s="97">
        <f>_xll.meDateFromTenor(L41,"1D","FOLLOWING","TGT")</f>
        <v>42558</v>
      </c>
      <c r="M42" s="95">
        <f ca="1"/>
        <v>-1.5575922497232041E-3</v>
      </c>
      <c r="N42" s="5" t="s">
        <v>4</v>
      </c>
      <c r="O42" s="97">
        <f>_xll.meDateFromTenor(O41,"1D","FOLLOWING","TGT")</f>
        <v>42558</v>
      </c>
      <c r="P42" s="95">
        <f ca="1"/>
        <v>-1.7741476170016139E-4</v>
      </c>
      <c r="Q42" s="5" t="s">
        <v>4</v>
      </c>
      <c r="R42" s="83" t="s">
        <v>4</v>
      </c>
    </row>
    <row r="43" spans="1:18" x14ac:dyDescent="0.25">
      <c r="A43" s="88">
        <v>29</v>
      </c>
      <c r="B43" s="82"/>
      <c r="C43" s="97">
        <f>_xll.meDateFromTenor(C42,"1D","FOLLOWING","TGT")</f>
        <v>42559</v>
      </c>
      <c r="D43" s="95">
        <f ca="1"/>
        <v>-3.3942696492399449E-3</v>
      </c>
      <c r="E43" s="92"/>
      <c r="F43" s="97">
        <f>_xll.meDateFromTenor(F42,"1D","FOLLOWING","TGT")</f>
        <v>42559</v>
      </c>
      <c r="G43" s="95">
        <f ca="1"/>
        <v>-3.5303916667661869E-3</v>
      </c>
      <c r="H43" s="92" t="s">
        <v>4</v>
      </c>
      <c r="I43" s="97">
        <f>_xll.meDateFromTenor(I42,"1D","FOLLOWING","TGT")</f>
        <v>42559</v>
      </c>
      <c r="J43" s="95">
        <f ca="1"/>
        <v>-2.6478867152527424E-3</v>
      </c>
      <c r="K43" s="5" t="s">
        <v>4</v>
      </c>
      <c r="L43" s="97">
        <f>_xll.meDateFromTenor(L42,"1D","FOLLOWING","TGT")</f>
        <v>42559</v>
      </c>
      <c r="M43" s="95">
        <f ca="1"/>
        <v>-1.5583770966633278E-3</v>
      </c>
      <c r="N43" s="5" t="s">
        <v>4</v>
      </c>
      <c r="O43" s="97">
        <f>_xll.meDateFromTenor(O42,"1D","FOLLOWING","TGT")</f>
        <v>42559</v>
      </c>
      <c r="P43" s="95">
        <f ca="1"/>
        <v>-1.7818427016379022E-4</v>
      </c>
      <c r="Q43" s="5" t="s">
        <v>4</v>
      </c>
      <c r="R43" s="83" t="s">
        <v>4</v>
      </c>
    </row>
    <row r="44" spans="1:18" x14ac:dyDescent="0.25">
      <c r="A44" s="88">
        <v>30</v>
      </c>
      <c r="B44" s="82"/>
      <c r="C44" s="97">
        <f>_xll.meDateFromTenor(C43,"1D","FOLLOWING","TGT")</f>
        <v>42562</v>
      </c>
      <c r="D44" s="95">
        <f ca="1"/>
        <v>-3.3942425462845094E-3</v>
      </c>
      <c r="E44" s="92"/>
      <c r="F44" s="97">
        <f>_xll.meDateFromTenor(F43,"1D","FOLLOWING","TGT")</f>
        <v>42562</v>
      </c>
      <c r="G44" s="95">
        <f ca="1"/>
        <v>-3.5345493779113542E-3</v>
      </c>
      <c r="H44" s="92" t="s">
        <v>4</v>
      </c>
      <c r="I44" s="97">
        <f>_xll.meDateFromTenor(I43,"1D","FOLLOWING","TGT")</f>
        <v>42562</v>
      </c>
      <c r="J44" s="95">
        <f ca="1"/>
        <v>-2.6516603547938572E-3</v>
      </c>
      <c r="K44" s="5" t="s">
        <v>4</v>
      </c>
      <c r="L44" s="97">
        <f>_xll.meDateFromTenor(L43,"1D","FOLLOWING","TGT")</f>
        <v>42562</v>
      </c>
      <c r="M44" s="95">
        <f ca="1"/>
        <v>-1.5607298283648872E-3</v>
      </c>
      <c r="N44" s="5" t="s">
        <v>4</v>
      </c>
      <c r="O44" s="97">
        <f>_xll.meDateFromTenor(O43,"1D","FOLLOWING","TGT")</f>
        <v>42562</v>
      </c>
      <c r="P44" s="95">
        <f ca="1"/>
        <v>-1.8048568355555773E-4</v>
      </c>
      <c r="Q44" s="5" t="s">
        <v>4</v>
      </c>
      <c r="R44" s="83" t="s">
        <v>4</v>
      </c>
    </row>
    <row r="45" spans="1:18" x14ac:dyDescent="0.25">
      <c r="A45" s="88">
        <v>31</v>
      </c>
      <c r="B45" s="82"/>
      <c r="C45" s="97">
        <f>_xll.meDateFromTenor(C44,"1D","FOLLOWING","TGT")</f>
        <v>42563</v>
      </c>
      <c r="D45" s="95">
        <f ca="1"/>
        <v>-3.3942425462447634E-3</v>
      </c>
      <c r="E45" s="92"/>
      <c r="F45" s="97">
        <f>_xll.meDateFromTenor(F44,"1D","FOLLOWING","TGT")</f>
        <v>42563</v>
      </c>
      <c r="G45" s="95">
        <f ca="1"/>
        <v>-3.5359617887222149E-3</v>
      </c>
      <c r="H45" s="92" t="s">
        <v>4</v>
      </c>
      <c r="I45" s="97">
        <f>_xll.meDateFromTenor(I44,"1D","FOLLOWING","TGT")</f>
        <v>42563</v>
      </c>
      <c r="J45" s="95">
        <f ca="1"/>
        <v>-2.6529505480430856E-3</v>
      </c>
      <c r="K45" s="5" t="s">
        <v>4</v>
      </c>
      <c r="L45" s="97">
        <f>_xll.meDateFromTenor(L44,"1D","FOLLOWING","TGT")</f>
        <v>42563</v>
      </c>
      <c r="M45" s="95">
        <f ca="1"/>
        <v>-1.561513441814912E-3</v>
      </c>
      <c r="N45" s="5" t="s">
        <v>4</v>
      </c>
      <c r="O45" s="97">
        <f>_xll.meDateFromTenor(O44,"1D","FOLLOWING","TGT")</f>
        <v>42563</v>
      </c>
      <c r="P45" s="95">
        <f ca="1"/>
        <v>-1.8125034292887807E-4</v>
      </c>
      <c r="Q45" s="5" t="s">
        <v>4</v>
      </c>
      <c r="R45" s="83" t="s">
        <v>4</v>
      </c>
    </row>
    <row r="46" spans="1:18" x14ac:dyDescent="0.25">
      <c r="A46" s="88">
        <v>32</v>
      </c>
      <c r="B46" s="82"/>
      <c r="C46" s="97">
        <f>_xll.meDateFromTenor(C45,"1D","FOLLOWING","TGT")</f>
        <v>42564</v>
      </c>
      <c r="D46" s="95">
        <f ca="1"/>
        <v>-3.3942425462447634E-3</v>
      </c>
      <c r="E46" s="92"/>
      <c r="F46" s="97">
        <f>_xll.meDateFromTenor(F45,"1D","FOLLOWING","TGT")</f>
        <v>42564</v>
      </c>
      <c r="G46" s="95">
        <f ca="1"/>
        <v>-3.5373859989355047E-3</v>
      </c>
      <c r="H46" s="92" t="s">
        <v>4</v>
      </c>
      <c r="I46" s="97">
        <f>_xll.meDateFromTenor(I45,"1D","FOLLOWING","TGT")</f>
        <v>42564</v>
      </c>
      <c r="J46" s="95">
        <f ca="1"/>
        <v>-2.6542576004586747E-3</v>
      </c>
      <c r="K46" s="5" t="s">
        <v>4</v>
      </c>
      <c r="L46" s="97">
        <f>_xll.meDateFromTenor(L45,"1D","FOLLOWING","TGT")</f>
        <v>42564</v>
      </c>
      <c r="M46" s="95">
        <f ca="1"/>
        <v>-1.5622967263342435E-3</v>
      </c>
      <c r="N46" s="5" t="s">
        <v>4</v>
      </c>
      <c r="O46" s="97">
        <f>_xll.meDateFromTenor(O45,"1D","FOLLOWING","TGT")</f>
        <v>42564</v>
      </c>
      <c r="P46" s="95">
        <f ca="1"/>
        <v>-1.820137092114496E-4</v>
      </c>
      <c r="Q46" s="5" t="s">
        <v>4</v>
      </c>
      <c r="R46" s="83" t="s">
        <v>4</v>
      </c>
    </row>
    <row r="47" spans="1:18" x14ac:dyDescent="0.25">
      <c r="A47" s="88">
        <v>33</v>
      </c>
      <c r="B47" s="82"/>
      <c r="C47" s="97">
        <f>_xll.meDateFromTenor(C46,"1D","FOLLOWING","TGT")</f>
        <v>42565</v>
      </c>
      <c r="D47" s="95">
        <f ca="1"/>
        <v>-3.3942425461650494E-3</v>
      </c>
      <c r="E47" s="92"/>
      <c r="F47" s="97">
        <f>_xll.meDateFromTenor(F46,"1D","FOLLOWING","TGT")</f>
        <v>42565</v>
      </c>
      <c r="G47" s="95">
        <f ca="1"/>
        <v>-3.5388211360639428E-3</v>
      </c>
      <c r="H47" s="92" t="s">
        <v>4</v>
      </c>
      <c r="I47" s="97">
        <f>_xll.meDateFromTenor(I46,"1D","FOLLOWING","TGT")</f>
        <v>42565</v>
      </c>
      <c r="J47" s="95">
        <f ca="1"/>
        <v>-2.6555819335197829E-3</v>
      </c>
      <c r="K47" s="5" t="s">
        <v>4</v>
      </c>
      <c r="L47" s="97">
        <f>_xll.meDateFromTenor(L46,"1D","FOLLOWING","TGT")</f>
        <v>42565</v>
      </c>
      <c r="M47" s="95">
        <f ca="1"/>
        <v>-1.5630796736996145E-3</v>
      </c>
      <c r="N47" s="5" t="s">
        <v>4</v>
      </c>
      <c r="O47" s="97">
        <f>_xll.meDateFromTenor(O46,"1D","FOLLOWING","TGT")</f>
        <v>42565</v>
      </c>
      <c r="P47" s="95">
        <f ca="1"/>
        <v>-1.8277575007600335E-4</v>
      </c>
      <c r="Q47" s="5" t="s">
        <v>4</v>
      </c>
      <c r="R47" s="83" t="s">
        <v>4</v>
      </c>
    </row>
    <row r="48" spans="1:18" x14ac:dyDescent="0.25">
      <c r="A48" s="88">
        <v>34</v>
      </c>
      <c r="B48" s="82"/>
      <c r="C48" s="97">
        <f>_xll.meDateFromTenor(C47,"1D","FOLLOWING","TGT")</f>
        <v>42566</v>
      </c>
      <c r="D48" s="95">
        <f ca="1"/>
        <v>-3.3946573714039863E-3</v>
      </c>
      <c r="E48" s="92"/>
      <c r="F48" s="97">
        <f>_xll.meDateFromTenor(F47,"1D","FOLLOWING","TGT")</f>
        <v>42566</v>
      </c>
      <c r="G48" s="95">
        <f ca="1"/>
        <v>-3.5402663276202467E-3</v>
      </c>
      <c r="H48" s="92" t="s">
        <v>4</v>
      </c>
      <c r="I48" s="97">
        <f>_xll.meDateFromTenor(I47,"1D","FOLLOWING","TGT")</f>
        <v>42566</v>
      </c>
      <c r="J48" s="95">
        <f ca="1"/>
        <v>-2.6569239687055696E-3</v>
      </c>
      <c r="K48" s="5" t="s">
        <v>4</v>
      </c>
      <c r="L48" s="97">
        <f>_xll.meDateFromTenor(L47,"1D","FOLLOWING","TGT")</f>
        <v>42566</v>
      </c>
      <c r="M48" s="95">
        <f ca="1"/>
        <v>-1.5638622756877576E-3</v>
      </c>
      <c r="N48" s="5" t="s">
        <v>4</v>
      </c>
      <c r="O48" s="97">
        <f>_xll.meDateFromTenor(O47,"1D","FOLLOWING","TGT")</f>
        <v>42566</v>
      </c>
      <c r="P48" s="95">
        <f ca="1"/>
        <v>-1.8353643319527082E-4</v>
      </c>
      <c r="Q48" s="5" t="s">
        <v>4</v>
      </c>
      <c r="R48" s="83" t="s">
        <v>4</v>
      </c>
    </row>
    <row r="49" spans="1:18" x14ac:dyDescent="0.25">
      <c r="A49" s="88">
        <v>35</v>
      </c>
      <c r="B49" s="82"/>
      <c r="C49" s="97">
        <f>_xll.meDateFromTenor(C48,"1D","FOLLOWING","TGT")</f>
        <v>42569</v>
      </c>
      <c r="D49" s="95">
        <f ca="1"/>
        <v>-3.3942425462846204E-3</v>
      </c>
      <c r="E49" s="92"/>
      <c r="F49" s="97">
        <f>_xll.meDateFromTenor(F48,"1D","FOLLOWING","TGT")</f>
        <v>42569</v>
      </c>
      <c r="G49" s="95">
        <f ca="1"/>
        <v>-3.5446535039835177E-3</v>
      </c>
      <c r="H49" s="92" t="s">
        <v>4</v>
      </c>
      <c r="I49" s="97">
        <f>_xll.meDateFromTenor(I48,"1D","FOLLOWING","TGT")</f>
        <v>42569</v>
      </c>
      <c r="J49" s="95">
        <f ca="1"/>
        <v>-2.6610605018025902E-3</v>
      </c>
      <c r="K49" s="5" t="s">
        <v>4</v>
      </c>
      <c r="L49" s="97">
        <f>_xll.meDateFromTenor(L48,"1D","FOLLOWING","TGT")</f>
        <v>42569</v>
      </c>
      <c r="M49" s="95">
        <f ca="1"/>
        <v>-1.566207927156147E-3</v>
      </c>
      <c r="N49" s="5" t="s">
        <v>4</v>
      </c>
      <c r="O49" s="97">
        <f>_xll.meDateFromTenor(O48,"1D","FOLLOWING","TGT")</f>
        <v>42569</v>
      </c>
      <c r="P49" s="95">
        <f ca="1"/>
        <v>-1.8581001280866769E-4</v>
      </c>
      <c r="Q49" s="5" t="s">
        <v>4</v>
      </c>
      <c r="R49" s="83" t="s">
        <v>4</v>
      </c>
    </row>
    <row r="50" spans="1:18" x14ac:dyDescent="0.25">
      <c r="A50" s="88">
        <v>36</v>
      </c>
      <c r="B50" s="82"/>
      <c r="C50" s="97">
        <f>_xll.meDateFromTenor(C49,"1D","FOLLOWING","TGT")</f>
        <v>42570</v>
      </c>
      <c r="D50" s="95">
        <f ca="1"/>
        <v>-3.3942425462049064E-3</v>
      </c>
      <c r="E50" s="92"/>
      <c r="F50" s="97">
        <f>_xll.meDateFromTenor(F49,"1D","FOLLOWING","TGT")</f>
        <v>42570</v>
      </c>
      <c r="G50" s="95">
        <f ca="1"/>
        <v>-3.5461301883784532E-3</v>
      </c>
      <c r="H50" s="92" t="s">
        <v>4</v>
      </c>
      <c r="I50" s="97">
        <f>_xll.meDateFromTenor(I49,"1D","FOLLOWING","TGT")</f>
        <v>42570</v>
      </c>
      <c r="J50" s="95">
        <f ca="1"/>
        <v>-2.6624775602786806E-3</v>
      </c>
      <c r="K50" s="5" t="s">
        <v>4</v>
      </c>
      <c r="L50" s="97">
        <f>_xll.meDateFromTenor(L49,"1D","FOLLOWING","TGT")</f>
        <v>42570</v>
      </c>
      <c r="M50" s="95">
        <f ca="1"/>
        <v>-1.5669890654027058E-3</v>
      </c>
      <c r="N50" s="5" t="s">
        <v>4</v>
      </c>
      <c r="O50" s="97">
        <f>_xll.meDateFromTenor(O49,"1D","FOLLOWING","TGT")</f>
        <v>42570</v>
      </c>
      <c r="P50" s="95">
        <f ca="1"/>
        <v>-1.8656494167410245E-4</v>
      </c>
      <c r="Q50" s="5" t="s">
        <v>4</v>
      </c>
      <c r="R50" s="83" t="s">
        <v>4</v>
      </c>
    </row>
    <row r="51" spans="1:18" x14ac:dyDescent="0.25">
      <c r="A51" s="88">
        <v>37</v>
      </c>
      <c r="B51" s="82"/>
      <c r="C51" s="97">
        <f>_xll.meDateFromTenor(C50,"1D","FOLLOWING","TGT")</f>
        <v>42571</v>
      </c>
      <c r="D51" s="95">
        <f ca="1"/>
        <v>-3.3942425462447634E-3</v>
      </c>
      <c r="E51" s="92"/>
      <c r="F51" s="97">
        <f>_xll.meDateFromTenor(F50,"1D","FOLLOWING","TGT")</f>
        <v>42571</v>
      </c>
      <c r="G51" s="95">
        <f ca="1"/>
        <v>-3.5476125647648394E-3</v>
      </c>
      <c r="H51" s="92" t="s">
        <v>4</v>
      </c>
      <c r="I51" s="97">
        <f>_xll.meDateFromTenor(I50,"1D","FOLLOWING","TGT")</f>
        <v>42571</v>
      </c>
      <c r="J51" s="95">
        <f ca="1"/>
        <v>-2.6639144282752433E-3</v>
      </c>
      <c r="K51" s="5" t="s">
        <v>4</v>
      </c>
      <c r="L51" s="97">
        <f>_xll.meDateFromTenor(L50,"1D","FOLLOWING","TGT")</f>
        <v>42571</v>
      </c>
      <c r="M51" s="95">
        <f ca="1"/>
        <v>-1.5677698171557E-3</v>
      </c>
      <c r="N51" s="5" t="s">
        <v>4</v>
      </c>
      <c r="O51" s="97">
        <f>_xll.meDateFromTenor(O50,"1D","FOLLOWING","TGT")</f>
        <v>42571</v>
      </c>
      <c r="P51" s="95">
        <f ca="1"/>
        <v>-1.8731835115790718E-4</v>
      </c>
      <c r="Q51" s="5" t="s">
        <v>4</v>
      </c>
      <c r="R51" s="83" t="s">
        <v>4</v>
      </c>
    </row>
    <row r="52" spans="1:18" x14ac:dyDescent="0.25">
      <c r="A52" s="88">
        <v>38</v>
      </c>
      <c r="B52" s="82"/>
      <c r="C52" s="97">
        <f>_xll.meDateFromTenor(C51,"1D","FOLLOWING","TGT")</f>
        <v>42572</v>
      </c>
      <c r="D52" s="95">
        <f ca="1"/>
        <v>-3.4938990941222325E-3</v>
      </c>
      <c r="E52" s="92"/>
      <c r="F52" s="97">
        <f>_xll.meDateFromTenor(F51,"1D","FOLLOWING","TGT")</f>
        <v>42572</v>
      </c>
      <c r="G52" s="95">
        <f ca="1"/>
        <v>-3.5490997606553928E-3</v>
      </c>
      <c r="H52" s="92" t="s">
        <v>4</v>
      </c>
      <c r="I52" s="97">
        <f>_xll.meDateFromTenor(I51,"1D","FOLLOWING","TGT")</f>
        <v>42572</v>
      </c>
      <c r="J52" s="95">
        <f ca="1"/>
        <v>-2.6653715272714393E-3</v>
      </c>
      <c r="K52" s="5" t="s">
        <v>4</v>
      </c>
      <c r="L52" s="97">
        <f>_xll.meDateFromTenor(L51,"1D","FOLLOWING","TGT")</f>
        <v>42572</v>
      </c>
      <c r="M52" s="95">
        <f ca="1"/>
        <v>-1.5685501741918625E-3</v>
      </c>
      <c r="N52" s="5" t="s">
        <v>4</v>
      </c>
      <c r="O52" s="97">
        <f>_xll.meDateFromTenor(O51,"1D","FOLLOWING","TGT")</f>
        <v>42572</v>
      </c>
      <c r="P52" s="95">
        <f ca="1"/>
        <v>-1.8807020893281325E-4</v>
      </c>
      <c r="Q52" s="5" t="s">
        <v>4</v>
      </c>
      <c r="R52" s="83" t="s">
        <v>4</v>
      </c>
    </row>
    <row r="53" spans="1:18" x14ac:dyDescent="0.25">
      <c r="A53" s="88">
        <v>39</v>
      </c>
      <c r="B53" s="82"/>
      <c r="C53" s="97">
        <f>_xll.meDateFromTenor(C52,"1D","FOLLOWING","TGT")</f>
        <v>42573</v>
      </c>
      <c r="D53" s="95">
        <f ca="1"/>
        <v>-3.5032713609643995E-3</v>
      </c>
      <c r="E53" s="92"/>
      <c r="F53" s="97">
        <f>_xll.meDateFromTenor(F52,"1D","FOLLOWING","TGT")</f>
        <v>42573</v>
      </c>
      <c r="G53" s="95">
        <f ca="1"/>
        <v>-3.5505909035628319E-3</v>
      </c>
      <c r="H53" s="92" t="s">
        <v>4</v>
      </c>
      <c r="I53" s="97">
        <f>_xll.meDateFromTenor(I52,"1D","FOLLOWING","TGT")</f>
        <v>42573</v>
      </c>
      <c r="J53" s="95">
        <f ca="1"/>
        <v>-2.6668492787464272E-3</v>
      </c>
      <c r="K53" s="5" t="s">
        <v>4</v>
      </c>
      <c r="L53" s="97">
        <f>_xll.meDateFromTenor(L52,"1D","FOLLOWING","TGT")</f>
        <v>42573</v>
      </c>
      <c r="M53" s="95">
        <f ca="1"/>
        <v>-1.5693301282879259E-3</v>
      </c>
      <c r="N53" s="5" t="s">
        <v>4</v>
      </c>
      <c r="O53" s="97">
        <f>_xll.meDateFromTenor(O52,"1D","FOLLOWING","TGT")</f>
        <v>42573</v>
      </c>
      <c r="P53" s="95">
        <f ca="1"/>
        <v>-1.8882048267155181E-4</v>
      </c>
      <c r="Q53" s="5" t="s">
        <v>4</v>
      </c>
      <c r="R53" s="83" t="s">
        <v>4</v>
      </c>
    </row>
    <row r="54" spans="1:18" x14ac:dyDescent="0.25">
      <c r="A54" s="88">
        <v>40</v>
      </c>
      <c r="B54" s="82"/>
      <c r="C54" s="97">
        <f>_xll.meDateFromTenor(C53,"1D","FOLLOWING","TGT")</f>
        <v>42576</v>
      </c>
      <c r="D54" s="95">
        <f ca="1"/>
        <v>-3.4938990941620895E-3</v>
      </c>
      <c r="E54" s="92"/>
      <c r="F54" s="97">
        <f>_xll.meDateFromTenor(F53,"1D","FOLLOWING","TGT")</f>
        <v>42576</v>
      </c>
      <c r="G54" s="95">
        <f ca="1"/>
        <v>-3.5550792895136327E-3</v>
      </c>
      <c r="H54" s="92" t="s">
        <v>4</v>
      </c>
      <c r="I54" s="97">
        <f>_xll.meDateFromTenor(I53,"1D","FOLLOWING","TGT")</f>
        <v>42576</v>
      </c>
      <c r="J54" s="95">
        <f ca="1"/>
        <v>-2.6714106628357272E-3</v>
      </c>
      <c r="K54" s="5" t="s">
        <v>4</v>
      </c>
      <c r="L54" s="97">
        <f>_xll.meDateFromTenor(L53,"1D","FOLLOWING","TGT")</f>
        <v>42576</v>
      </c>
      <c r="M54" s="95">
        <f ca="1"/>
        <v>-1.571667490702848E-3</v>
      </c>
      <c r="N54" s="5" t="s">
        <v>4</v>
      </c>
      <c r="O54" s="97">
        <f>_xll.meDateFromTenor(O53,"1D","FOLLOWING","TGT")</f>
        <v>42576</v>
      </c>
      <c r="P54" s="95">
        <f ca="1"/>
        <v>-1.910614763980759E-4</v>
      </c>
      <c r="Q54" s="5" t="s">
        <v>4</v>
      </c>
      <c r="R54" s="83" t="s">
        <v>4</v>
      </c>
    </row>
    <row r="55" spans="1:18" x14ac:dyDescent="0.25">
      <c r="A55" s="88">
        <v>41</v>
      </c>
      <c r="B55" s="82"/>
      <c r="C55" s="97">
        <f>_xll.meDateFromTenor(C54,"1D","FOLLOWING","TGT")</f>
        <v>42577</v>
      </c>
      <c r="D55" s="95">
        <f ca="1"/>
        <v>-3.4938990941222325E-3</v>
      </c>
      <c r="E55" s="92"/>
      <c r="F55" s="97">
        <f>_xll.meDateFromTenor(F54,"1D","FOLLOWING","TGT")</f>
        <v>42577</v>
      </c>
      <c r="G55" s="95">
        <f ca="1"/>
        <v>-3.5565774956157841E-3</v>
      </c>
      <c r="H55" s="92" t="s">
        <v>4</v>
      </c>
      <c r="I55" s="97">
        <f>_xll.meDateFromTenor(I54,"1D","FOLLOWING","TGT")</f>
        <v>42577</v>
      </c>
      <c r="J55" s="95">
        <f ca="1"/>
        <v>-2.6729752390174696E-3</v>
      </c>
      <c r="K55" s="5" t="s">
        <v>4</v>
      </c>
      <c r="L55" s="97">
        <f>_xll.meDateFromTenor(L54,"1D","FOLLOWING","TGT")</f>
        <v>42577</v>
      </c>
      <c r="M55" s="95">
        <f ca="1"/>
        <v>-1.5724457508058418E-3</v>
      </c>
      <c r="N55" s="5" t="s">
        <v>4</v>
      </c>
      <c r="O55" s="97">
        <f>_xll.meDateFromTenor(O54,"1D","FOLLOWING","TGT")</f>
        <v>42577</v>
      </c>
      <c r="P55" s="95">
        <f ca="1"/>
        <v>-1.9180509071945747E-4</v>
      </c>
      <c r="Q55" s="5" t="s">
        <v>4</v>
      </c>
      <c r="R55" s="83" t="s">
        <v>4</v>
      </c>
    </row>
    <row r="56" spans="1:18" x14ac:dyDescent="0.25">
      <c r="A56" s="88">
        <v>42</v>
      </c>
      <c r="B56" s="82"/>
      <c r="C56" s="97">
        <f>_xll.meDateFromTenor(C55,"1D","FOLLOWING","TGT")</f>
        <v>42578</v>
      </c>
      <c r="D56" s="95">
        <f ca="1"/>
        <v>-3.4938990941620895E-3</v>
      </c>
      <c r="E56" s="92"/>
      <c r="F56" s="97">
        <f>_xll.meDateFromTenor(F55,"1D","FOLLOWING","TGT")</f>
        <v>42578</v>
      </c>
      <c r="G56" s="95">
        <f ca="1"/>
        <v>-3.5580752862984072E-3</v>
      </c>
      <c r="H56" s="92" t="s">
        <v>4</v>
      </c>
      <c r="I56" s="97">
        <f>_xll.meDateFromTenor(I55,"1D","FOLLOWING","TGT")</f>
        <v>42578</v>
      </c>
      <c r="J56" s="95">
        <f ca="1"/>
        <v>-2.674562575073799E-3</v>
      </c>
      <c r="K56" s="5" t="s">
        <v>4</v>
      </c>
      <c r="L56" s="97">
        <f>_xll.meDateFromTenor(L55,"1D","FOLLOWING","TGT")</f>
        <v>42578</v>
      </c>
      <c r="M56" s="95">
        <f ca="1"/>
        <v>-1.5732235668523998E-3</v>
      </c>
      <c r="N56" s="5" t="s">
        <v>4</v>
      </c>
      <c r="O56" s="97">
        <f>_xll.meDateFromTenor(O55,"1D","FOLLOWING","TGT")</f>
        <v>42578</v>
      </c>
      <c r="P56" s="95">
        <f ca="1"/>
        <v>-1.9254695936832809E-4</v>
      </c>
      <c r="Q56" s="5" t="s">
        <v>4</v>
      </c>
      <c r="R56" s="83" t="s">
        <v>4</v>
      </c>
    </row>
    <row r="57" spans="1:18" x14ac:dyDescent="0.25">
      <c r="A57" s="88">
        <v>43</v>
      </c>
      <c r="B57" s="82"/>
      <c r="C57" s="97">
        <f>_xll.meDateFromTenor(C56,"1D","FOLLOWING","TGT")</f>
        <v>42579</v>
      </c>
      <c r="D57" s="95">
        <f ca="1"/>
        <v>-3.4938990941222325E-3</v>
      </c>
      <c r="E57" s="92"/>
      <c r="F57" s="97">
        <f>_xll.meDateFromTenor(F56,"1D","FOLLOWING","TGT")</f>
        <v>42579</v>
      </c>
      <c r="G57" s="95">
        <f ca="1"/>
        <v>-3.5595717890742184E-3</v>
      </c>
      <c r="H57" s="92" t="s">
        <v>4</v>
      </c>
      <c r="I57" s="97">
        <f>_xll.meDateFromTenor(I56,"1D","FOLLOWING","TGT")</f>
        <v>42579</v>
      </c>
      <c r="J57" s="95">
        <f ca="1"/>
        <v>-2.6761730924838739E-3</v>
      </c>
      <c r="K57" s="5" t="s">
        <v>4</v>
      </c>
      <c r="L57" s="97">
        <f>_xll.meDateFromTenor(L56,"1D","FOLLOWING","TGT")</f>
        <v>42579</v>
      </c>
      <c r="M57" s="95">
        <f ca="1"/>
        <v>-1.5740009306192547E-3</v>
      </c>
      <c r="N57" s="5" t="s">
        <v>4</v>
      </c>
      <c r="O57" s="97">
        <f>_xll.meDateFromTenor(O56,"1D","FOLLOWING","TGT")</f>
        <v>42579</v>
      </c>
      <c r="P57" s="95">
        <f ca="1"/>
        <v>-1.9328705001741891E-4</v>
      </c>
      <c r="Q57" s="5" t="s">
        <v>4</v>
      </c>
      <c r="R57" s="83" t="s">
        <v>4</v>
      </c>
    </row>
    <row r="58" spans="1:18" x14ac:dyDescent="0.25">
      <c r="A58" s="88">
        <v>44</v>
      </c>
      <c r="B58" s="82"/>
      <c r="C58" s="97">
        <f>_xll.meDateFromTenor(C57,"1D","FOLLOWING","TGT")</f>
        <v>42580</v>
      </c>
      <c r="D58" s="95">
        <f ca="1"/>
        <v>-3.4939183900070114E-3</v>
      </c>
      <c r="E58" s="92"/>
      <c r="F58" s="97">
        <f>_xll.meDateFromTenor(F57,"1D","FOLLOWING","TGT")</f>
        <v>42580</v>
      </c>
      <c r="G58" s="95">
        <f ca="1"/>
        <v>-3.561066131455935E-3</v>
      </c>
      <c r="H58" s="92" t="s">
        <v>4</v>
      </c>
      <c r="I58" s="97">
        <f>_xll.meDateFromTenor(I57,"1D","FOLLOWING","TGT")</f>
        <v>42580</v>
      </c>
      <c r="J58" s="95">
        <f ca="1"/>
        <v>-2.6778072127268526E-3</v>
      </c>
      <c r="K58" s="5" t="s">
        <v>4</v>
      </c>
      <c r="L58" s="97">
        <f>_xll.meDateFromTenor(L57,"1D","FOLLOWING","TGT")</f>
        <v>42580</v>
      </c>
      <c r="M58" s="95">
        <f ca="1"/>
        <v>-1.574777833883139E-3</v>
      </c>
      <c r="N58" s="5" t="s">
        <v>4</v>
      </c>
      <c r="O58" s="97">
        <f>_xll.meDateFromTenor(O57,"1D","FOLLOWING","TGT")</f>
        <v>42580</v>
      </c>
      <c r="P58" s="95">
        <f ca="1"/>
        <v>-1.9402533033946126E-4</v>
      </c>
      <c r="Q58" s="5" t="s">
        <v>4</v>
      </c>
      <c r="R58" s="83" t="s">
        <v>4</v>
      </c>
    </row>
    <row r="59" spans="1:18" x14ac:dyDescent="0.25">
      <c r="A59" s="88">
        <v>45</v>
      </c>
      <c r="B59" s="82"/>
      <c r="C59" s="97">
        <f>_xll.meDateFromTenor(C58,"1D","FOLLOWING","TGT")</f>
        <v>42583</v>
      </c>
      <c r="D59" s="95">
        <f ca="1"/>
        <v>-3.4938990940823755E-3</v>
      </c>
      <c r="E59" s="92"/>
      <c r="F59" s="97">
        <f>_xll.meDateFromTenor(F58,"1D","FOLLOWING","TGT")</f>
        <v>42583</v>
      </c>
      <c r="G59" s="95">
        <f ca="1"/>
        <v>-3.5655274713636892E-3</v>
      </c>
      <c r="H59" s="92" t="s">
        <v>4</v>
      </c>
      <c r="I59" s="97">
        <f>_xll.meDateFromTenor(I58,"1D","FOLLOWING","TGT")</f>
        <v>42583</v>
      </c>
      <c r="J59" s="95">
        <f ca="1"/>
        <v>-2.6828554052448069E-3</v>
      </c>
      <c r="K59" s="5" t="s">
        <v>4</v>
      </c>
      <c r="L59" s="97">
        <f>_xll.meDateFromTenor(L58,"1D","FOLLOWING","TGT")</f>
        <v>42583</v>
      </c>
      <c r="M59" s="95">
        <f ca="1"/>
        <v>-1.5771056984242966E-3</v>
      </c>
      <c r="N59" s="5" t="s">
        <v>4</v>
      </c>
      <c r="O59" s="97">
        <f>_xll.meDateFromTenor(O58,"1D","FOLLOWING","TGT")</f>
        <v>42583</v>
      </c>
      <c r="P59" s="95">
        <f ca="1"/>
        <v>-1.9622898607061007E-4</v>
      </c>
      <c r="Q59" s="5" t="s">
        <v>4</v>
      </c>
      <c r="R59" s="83" t="s">
        <v>4</v>
      </c>
    </row>
    <row r="60" spans="1:18" x14ac:dyDescent="0.25">
      <c r="A60" s="88">
        <v>46</v>
      </c>
      <c r="B60" s="82"/>
      <c r="C60" s="97">
        <f>_xll.meDateFromTenor(C59,"1D","FOLLOWING","TGT")</f>
        <v>42584</v>
      </c>
      <c r="D60" s="95">
        <f ca="1"/>
        <v>-3.4938990942018355E-3</v>
      </c>
      <c r="E60" s="92"/>
      <c r="F60" s="97">
        <f>_xll.meDateFromTenor(F59,"1D","FOLLOWING","TGT")</f>
        <v>42584</v>
      </c>
      <c r="G60" s="95">
        <f ca="1"/>
        <v>-3.5670044472961991E-3</v>
      </c>
      <c r="H60" s="92" t="s">
        <v>4</v>
      </c>
      <c r="I60" s="97">
        <f>_xll.meDateFromTenor(I59,"1D","FOLLOWING","TGT")</f>
        <v>42584</v>
      </c>
      <c r="J60" s="95">
        <f ca="1"/>
        <v>-2.6845881516109941E-3</v>
      </c>
      <c r="K60" s="5" t="s">
        <v>4</v>
      </c>
      <c r="L60" s="97">
        <f>_xll.meDateFromTenor(L59,"1D","FOLLOWING","TGT")</f>
        <v>42584</v>
      </c>
      <c r="M60" s="95">
        <f ca="1"/>
        <v>-1.5778806774436262E-3</v>
      </c>
      <c r="N60" s="5" t="s">
        <v>4</v>
      </c>
      <c r="O60" s="97">
        <f>_xll.meDateFromTenor(O59,"1D","FOLLOWING","TGT")</f>
        <v>42584</v>
      </c>
      <c r="P60" s="95">
        <f ca="1"/>
        <v>-1.9695970181177124E-4</v>
      </c>
      <c r="Q60" s="5" t="s">
        <v>4</v>
      </c>
      <c r="R60" s="83" t="s">
        <v>4</v>
      </c>
    </row>
    <row r="61" spans="1:18" x14ac:dyDescent="0.25">
      <c r="A61" s="88">
        <v>47</v>
      </c>
      <c r="B61" s="82"/>
      <c r="C61" s="97">
        <f>_xll.meDateFromTenor(C60,"1D","FOLLOWING","TGT")</f>
        <v>42585</v>
      </c>
      <c r="D61" s="95">
        <f ca="1"/>
        <v>-3.4938990941620895E-3</v>
      </c>
      <c r="E61" s="92"/>
      <c r="F61" s="97">
        <f>_xll.meDateFromTenor(F60,"1D","FOLLOWING","TGT")</f>
        <v>42585</v>
      </c>
      <c r="G61" s="95">
        <f ca="1"/>
        <v>-3.5684750833912221E-3</v>
      </c>
      <c r="H61" s="92" t="s">
        <v>4</v>
      </c>
      <c r="I61" s="97">
        <f>_xll.meDateFromTenor(I60,"1D","FOLLOWING","TGT")</f>
        <v>42585</v>
      </c>
      <c r="J61" s="95">
        <f ca="1"/>
        <v>-2.6863466082058807E-3</v>
      </c>
      <c r="K61" s="5" t="s">
        <v>4</v>
      </c>
      <c r="L61" s="97">
        <f>_xll.meDateFromTenor(L60,"1D","FOLLOWING","TGT")</f>
        <v>42585</v>
      </c>
      <c r="M61" s="95">
        <f ca="1"/>
        <v>-1.5786551548436485E-3</v>
      </c>
      <c r="N61" s="5" t="s">
        <v>4</v>
      </c>
      <c r="O61" s="97">
        <f>_xll.meDateFromTenor(O60,"1D","FOLLOWING","TGT")</f>
        <v>42585</v>
      </c>
      <c r="P61" s="95">
        <f ca="1"/>
        <v>-1.9768844558954024E-4</v>
      </c>
      <c r="Q61" s="5" t="s">
        <v>4</v>
      </c>
      <c r="R61" s="83" t="s">
        <v>4</v>
      </c>
    </row>
    <row r="62" spans="1:18" x14ac:dyDescent="0.25">
      <c r="A62" s="88">
        <v>48</v>
      </c>
      <c r="B62" s="82"/>
      <c r="C62" s="97">
        <f>_xll.meDateFromTenor(C61,"1D","FOLLOWING","TGT")</f>
        <v>42586</v>
      </c>
      <c r="D62" s="95">
        <f ca="1"/>
        <v>-3.4938990941222325E-3</v>
      </c>
      <c r="E62" s="92"/>
      <c r="F62" s="97">
        <f>_xll.meDateFromTenor(F61,"1D","FOLLOWING","TGT")</f>
        <v>42586</v>
      </c>
      <c r="G62" s="95">
        <f ca="1"/>
        <v>-3.5699394221265844E-3</v>
      </c>
      <c r="H62" s="92" t="s">
        <v>4</v>
      </c>
      <c r="I62" s="97">
        <f>_xll.meDateFromTenor(I61,"1D","FOLLOWING","TGT")</f>
        <v>42586</v>
      </c>
      <c r="J62" s="95">
        <f ca="1"/>
        <v>-2.6881311965086256E-3</v>
      </c>
      <c r="K62" s="5" t="s">
        <v>4</v>
      </c>
      <c r="L62" s="97">
        <f>_xll.meDateFromTenor(L61,"1D","FOLLOWING","TGT")</f>
        <v>42586</v>
      </c>
      <c r="M62" s="95">
        <f ca="1"/>
        <v>-1.5794291224010965E-3</v>
      </c>
      <c r="N62" s="5" t="s">
        <v>4</v>
      </c>
      <c r="O62" s="97">
        <f>_xll.meDateFromTenor(O61,"1D","FOLLOWING","TGT")</f>
        <v>42586</v>
      </c>
      <c r="P62" s="95">
        <f ca="1"/>
        <v>-1.9841518507664847E-4</v>
      </c>
      <c r="Q62" s="5" t="s">
        <v>4</v>
      </c>
      <c r="R62" s="83" t="s">
        <v>4</v>
      </c>
    </row>
    <row r="63" spans="1:18" x14ac:dyDescent="0.25">
      <c r="A63" s="88">
        <v>49</v>
      </c>
      <c r="B63" s="82"/>
      <c r="C63" s="97">
        <f>_xll.meDateFromTenor(C62,"1D","FOLLOWING","TGT")</f>
        <v>42587</v>
      </c>
      <c r="D63" s="95">
        <f ca="1"/>
        <v>-3.4939282553944073E-3</v>
      </c>
      <c r="E63" s="92"/>
      <c r="F63" s="97">
        <f>_xll.meDateFromTenor(F62,"1D","FOLLOWING","TGT")</f>
        <v>42587</v>
      </c>
      <c r="G63" s="95">
        <f ca="1"/>
        <v>-3.5713976889731325E-3</v>
      </c>
      <c r="H63" s="92" t="s">
        <v>4</v>
      </c>
      <c r="I63" s="97">
        <f>_xll.meDateFromTenor(I62,"1D","FOLLOWING","TGT")</f>
        <v>42587</v>
      </c>
      <c r="J63" s="95">
        <f ca="1"/>
        <v>-2.6899423379983882E-3</v>
      </c>
      <c r="K63" s="5" t="s">
        <v>4</v>
      </c>
      <c r="L63" s="97">
        <f>_xll.meDateFromTenor(L62,"1D","FOLLOWING","TGT")</f>
        <v>42587</v>
      </c>
      <c r="M63" s="95">
        <f ca="1"/>
        <v>-1.5802025718927031E-3</v>
      </c>
      <c r="N63" s="5" t="s">
        <v>4</v>
      </c>
      <c r="O63" s="97">
        <f>_xll.meDateFromTenor(O62,"1D","FOLLOWING","TGT")</f>
        <v>42587</v>
      </c>
      <c r="P63" s="95">
        <f ca="1"/>
        <v>-1.9913988794582701E-4</v>
      </c>
      <c r="Q63" s="5" t="s">
        <v>4</v>
      </c>
      <c r="R63" s="83" t="s">
        <v>4</v>
      </c>
    </row>
    <row r="64" spans="1:18" x14ac:dyDescent="0.25">
      <c r="A64" s="88">
        <v>50</v>
      </c>
      <c r="B64" s="82"/>
      <c r="C64" s="97">
        <f>_xll.meDateFromTenor(C63,"1D","FOLLOWING","TGT")</f>
        <v>42590</v>
      </c>
      <c r="D64" s="95">
        <f ca="1"/>
        <v>-3.4938990942019466E-3</v>
      </c>
      <c r="E64" s="92"/>
      <c r="F64" s="97">
        <f>_xll.meDateFromTenor(F63,"1D","FOLLOWING","TGT")</f>
        <v>42590</v>
      </c>
      <c r="G64" s="95">
        <f ca="1"/>
        <v>-3.5757383128883725E-3</v>
      </c>
      <c r="H64" s="92" t="s">
        <v>4</v>
      </c>
      <c r="I64" s="97">
        <f>_xll.meDateFromTenor(I63,"1D","FOLLOWING","TGT")</f>
        <v>42590</v>
      </c>
      <c r="J64" s="95">
        <f ca="1"/>
        <v>-2.6955392963813707E-3</v>
      </c>
      <c r="K64" s="5" t="s">
        <v>4</v>
      </c>
      <c r="L64" s="97">
        <f>_xll.meDateFromTenor(L63,"1D","FOLLOWING","TGT")</f>
        <v>42590</v>
      </c>
      <c r="M64" s="95">
        <f ca="1"/>
        <v>-1.5825197297397991E-3</v>
      </c>
      <c r="N64" s="5" t="s">
        <v>4</v>
      </c>
      <c r="O64" s="97">
        <f>_xll.meDateFromTenor(O63,"1D","FOLLOWING","TGT")</f>
        <v>42590</v>
      </c>
      <c r="P64" s="95">
        <f ca="1"/>
        <v>-2.0130145357309841E-4</v>
      </c>
      <c r="Q64" s="5" t="s">
        <v>4</v>
      </c>
      <c r="R64" s="83" t="s">
        <v>4</v>
      </c>
    </row>
    <row r="65" spans="1:18" x14ac:dyDescent="0.25">
      <c r="A65" s="88">
        <v>51</v>
      </c>
      <c r="B65" s="82"/>
      <c r="C65" s="97">
        <f>_xll.meDateFromTenor(C64,"1D","FOLLOWING","TGT")</f>
        <v>42591</v>
      </c>
      <c r="D65" s="95">
        <f ca="1"/>
        <v>-3.4938990941620895E-3</v>
      </c>
      <c r="E65" s="92"/>
      <c r="F65" s="97">
        <f>_xll.meDateFromTenor(F64,"1D","FOLLOWING","TGT")</f>
        <v>42591</v>
      </c>
      <c r="G65" s="95">
        <f ca="1"/>
        <v>-3.5771745468881418E-3</v>
      </c>
      <c r="H65" s="92" t="s">
        <v>4</v>
      </c>
      <c r="I65" s="97">
        <f>_xll.meDateFromTenor(I64,"1D","FOLLOWING","TGT")</f>
        <v>42591</v>
      </c>
      <c r="J65" s="95">
        <f ca="1"/>
        <v>-2.697460865410793E-3</v>
      </c>
      <c r="K65" s="5" t="s">
        <v>4</v>
      </c>
      <c r="L65" s="97">
        <f>_xll.meDateFromTenor(L64,"1D","FOLLOWING","TGT")</f>
        <v>42591</v>
      </c>
      <c r="M65" s="95">
        <f ca="1"/>
        <v>-1.5832910247353651E-3</v>
      </c>
      <c r="N65" s="5" t="s">
        <v>4</v>
      </c>
      <c r="O65" s="97">
        <f>_xll.meDateFromTenor(O64,"1D","FOLLOWING","TGT")</f>
        <v>42591</v>
      </c>
      <c r="P65" s="95">
        <f ca="1"/>
        <v>-2.0201768669787155E-4</v>
      </c>
      <c r="Q65" s="5" t="s">
        <v>4</v>
      </c>
      <c r="R65" s="83" t="s">
        <v>4</v>
      </c>
    </row>
    <row r="66" spans="1:18" x14ac:dyDescent="0.25">
      <c r="A66" s="88">
        <v>52</v>
      </c>
      <c r="B66" s="82"/>
      <c r="C66" s="97">
        <f>_xll.meDateFromTenor(C65,"1D","FOLLOWING","TGT")</f>
        <v>42592</v>
      </c>
      <c r="D66" s="95">
        <f ca="1"/>
        <v>-3.4938990941620895E-3</v>
      </c>
      <c r="E66" s="92"/>
      <c r="F66" s="97">
        <f>_xll.meDateFromTenor(F65,"1D","FOLLOWING","TGT")</f>
        <v>42592</v>
      </c>
      <c r="G66" s="95">
        <f ca="1"/>
        <v>-3.5786058363533354E-3</v>
      </c>
      <c r="H66" s="92" t="s">
        <v>4</v>
      </c>
      <c r="I66" s="97">
        <f>_xll.meDateFromTenor(I65,"1D","FOLLOWING","TGT")</f>
        <v>42592</v>
      </c>
      <c r="J66" s="95">
        <f ca="1"/>
        <v>-2.6994110950230277E-3</v>
      </c>
      <c r="K66" s="5" t="s">
        <v>4</v>
      </c>
      <c r="L66" s="97">
        <f>_xll.meDateFromTenor(L65,"1D","FOLLOWING","TGT")</f>
        <v>42592</v>
      </c>
      <c r="M66" s="95">
        <f ca="1"/>
        <v>-1.5840617605487532E-3</v>
      </c>
      <c r="N66" s="5" t="s">
        <v>4</v>
      </c>
      <c r="O66" s="97">
        <f>_xll.meDateFromTenor(O65,"1D","FOLLOWING","TGT")</f>
        <v>42592</v>
      </c>
      <c r="P66" s="95">
        <f ca="1"/>
        <v>-2.0273172156837162E-4</v>
      </c>
      <c r="Q66" s="5" t="s">
        <v>4</v>
      </c>
      <c r="R66" s="83" t="s">
        <v>4</v>
      </c>
    </row>
    <row r="67" spans="1:18" x14ac:dyDescent="0.25">
      <c r="A67" s="88">
        <v>53</v>
      </c>
      <c r="B67" s="82"/>
      <c r="C67" s="97">
        <f>_xll.meDateFromTenor(C66,"1D","FOLLOWING","TGT")</f>
        <v>42593</v>
      </c>
      <c r="D67" s="95">
        <f ca="1"/>
        <v>-3.4938990941222325E-3</v>
      </c>
      <c r="E67" s="92"/>
      <c r="F67" s="97">
        <f>_xll.meDateFromTenor(F66,"1D","FOLLOWING","TGT")</f>
        <v>42593</v>
      </c>
      <c r="G67" s="95">
        <f ca="1"/>
        <v>-3.5800324067548012E-3</v>
      </c>
      <c r="H67" s="92" t="s">
        <v>4</v>
      </c>
      <c r="I67" s="97">
        <f>_xll.meDateFromTenor(I66,"1D","FOLLOWING","TGT")</f>
        <v>42593</v>
      </c>
      <c r="J67" s="95">
        <f ca="1"/>
        <v>-2.7013904066972346E-3</v>
      </c>
      <c r="K67" s="5" t="s">
        <v>4</v>
      </c>
      <c r="L67" s="97">
        <f>_xll.meDateFromTenor(L66,"1D","FOLLOWING","TGT")</f>
        <v>42593</v>
      </c>
      <c r="M67" s="95">
        <f ca="1"/>
        <v>-1.5848319289566955E-3</v>
      </c>
      <c r="N67" s="5" t="s">
        <v>4</v>
      </c>
      <c r="O67" s="97">
        <f>_xll.meDateFromTenor(O66,"1D","FOLLOWING","TGT")</f>
        <v>42593</v>
      </c>
      <c r="P67" s="95">
        <f ca="1"/>
        <v>-2.034435258573297E-4</v>
      </c>
      <c r="Q67" s="5" t="s">
        <v>4</v>
      </c>
      <c r="R67" s="83" t="s">
        <v>4</v>
      </c>
    </row>
    <row r="68" spans="1:18" x14ac:dyDescent="0.25">
      <c r="A68" s="88">
        <v>54</v>
      </c>
      <c r="B68" s="82"/>
      <c r="C68" s="97">
        <f>_xll.meDateFromTenor(C67,"1D","FOLLOWING","TGT")</f>
        <v>42594</v>
      </c>
      <c r="D68" s="95">
        <f ca="1"/>
        <v>-3.4939282449593101E-3</v>
      </c>
      <c r="E68" s="92"/>
      <c r="F68" s="97">
        <f>_xll.meDateFromTenor(F67,"1D","FOLLOWING","TGT")</f>
        <v>42594</v>
      </c>
      <c r="G68" s="95">
        <f ca="1"/>
        <v>-3.5814544835633868E-3</v>
      </c>
      <c r="H68" s="92" t="s">
        <v>4</v>
      </c>
      <c r="I68" s="97">
        <f>_xll.meDateFromTenor(I67,"1D","FOLLOWING","TGT")</f>
        <v>42594</v>
      </c>
      <c r="J68" s="95">
        <f ca="1"/>
        <v>-2.7033992219125716E-3</v>
      </c>
      <c r="K68" s="5" t="s">
        <v>4</v>
      </c>
      <c r="L68" s="97">
        <f>_xll.meDateFromTenor(L67,"1D","FOLLOWING","TGT")</f>
        <v>42594</v>
      </c>
      <c r="M68" s="95">
        <f ca="1"/>
        <v>-1.5856015217359247E-3</v>
      </c>
      <c r="N68" s="5" t="s">
        <v>4</v>
      </c>
      <c r="O68" s="97">
        <f>_xll.meDateFromTenor(O67,"1D","FOLLOWING","TGT")</f>
        <v>42594</v>
      </c>
      <c r="P68" s="95">
        <f ca="1"/>
        <v>-2.0415306723747722E-4</v>
      </c>
      <c r="Q68" s="5" t="s">
        <v>4</v>
      </c>
      <c r="R68" s="83" t="s">
        <v>4</v>
      </c>
    </row>
    <row r="69" spans="1:18" x14ac:dyDescent="0.25">
      <c r="A69" s="88">
        <v>55</v>
      </c>
      <c r="B69" s="82"/>
      <c r="C69" s="97">
        <f>_xll.meDateFromTenor(C68,"1D","FOLLOWING","TGT")</f>
        <v>42597</v>
      </c>
      <c r="D69" s="95">
        <f ca="1"/>
        <v>-3.4938990942019466E-3</v>
      </c>
      <c r="E69" s="92"/>
      <c r="F69" s="97">
        <f>_xll.meDateFromTenor(F68,"1D","FOLLOWING","TGT")</f>
        <v>42597</v>
      </c>
      <c r="G69" s="95">
        <f ca="1"/>
        <v>-3.5856960071403328E-3</v>
      </c>
      <c r="H69" s="92" t="s">
        <v>4</v>
      </c>
      <c r="I69" s="97">
        <f>_xll.meDateFromTenor(I68,"1D","FOLLOWING","TGT")</f>
        <v>42597</v>
      </c>
      <c r="J69" s="95">
        <f ca="1"/>
        <v>-2.7096069035969562E-3</v>
      </c>
      <c r="K69" s="5" t="s">
        <v>4</v>
      </c>
      <c r="L69" s="97">
        <f>_xll.meDateFromTenor(L68,"1D","FOLLOWING","TGT")</f>
        <v>42597</v>
      </c>
      <c r="M69" s="95">
        <f ca="1"/>
        <v>-1.5879067640686612E-3</v>
      </c>
      <c r="N69" s="5" t="s">
        <v>4</v>
      </c>
      <c r="O69" s="97">
        <f>_xll.meDateFromTenor(O68,"1D","FOLLOWING","TGT")</f>
        <v>42597</v>
      </c>
      <c r="P69" s="95">
        <f ca="1"/>
        <v>-2.0626779065236877E-4</v>
      </c>
      <c r="Q69" s="5" t="s">
        <v>4</v>
      </c>
      <c r="R69" s="83" t="s">
        <v>4</v>
      </c>
    </row>
    <row r="70" spans="1:18" x14ac:dyDescent="0.25">
      <c r="A70" s="88">
        <v>56</v>
      </c>
      <c r="B70" s="82"/>
      <c r="C70" s="97">
        <f>_xll.meDateFromTenor(C69,"1D","FOLLOWING","TGT")</f>
        <v>42598</v>
      </c>
      <c r="D70" s="95">
        <f ca="1"/>
        <v>-3.4938990941620895E-3</v>
      </c>
      <c r="E70" s="92"/>
      <c r="F70" s="97">
        <f>_xll.meDateFromTenor(F69,"1D","FOLLOWING","TGT")</f>
        <v>42598</v>
      </c>
      <c r="G70" s="95">
        <f ca="1"/>
        <v>-3.5871023642858714E-3</v>
      </c>
      <c r="H70" s="92" t="s">
        <v>4</v>
      </c>
      <c r="I70" s="97">
        <f>_xll.meDateFromTenor(I69,"1D","FOLLOWING","TGT")</f>
        <v>42598</v>
      </c>
      <c r="J70" s="95">
        <f ca="1"/>
        <v>-2.7117379477684059E-3</v>
      </c>
      <c r="K70" s="5" t="s">
        <v>4</v>
      </c>
      <c r="L70" s="97">
        <f>_xll.meDateFromTenor(L69,"1D","FOLLOWING","TGT")</f>
        <v>42598</v>
      </c>
      <c r="M70" s="95">
        <f ca="1"/>
        <v>-1.5886739721003651E-3</v>
      </c>
      <c r="N70" s="5" t="s">
        <v>4</v>
      </c>
      <c r="O70" s="97">
        <f>_xll.meDateFromTenor(O69,"1D","FOLLOWING","TGT")</f>
        <v>42598</v>
      </c>
      <c r="P70" s="95">
        <f ca="1"/>
        <v>-2.0696795712458655E-4</v>
      </c>
      <c r="Q70" s="5" t="s">
        <v>4</v>
      </c>
      <c r="R70" s="83" t="s">
        <v>4</v>
      </c>
    </row>
    <row r="71" spans="1:18" x14ac:dyDescent="0.25">
      <c r="A71" s="88">
        <v>57</v>
      </c>
      <c r="B71" s="82"/>
      <c r="C71" s="97">
        <f>_xll.meDateFromTenor(C70,"1D","FOLLOWING","TGT")</f>
        <v>42599</v>
      </c>
      <c r="D71" s="95">
        <f ca="1"/>
        <v>-3.4938990942019466E-3</v>
      </c>
      <c r="E71" s="92"/>
      <c r="F71" s="97">
        <f>_xll.meDateFromTenor(F70,"1D","FOLLOWING","TGT")</f>
        <v>42599</v>
      </c>
      <c r="G71" s="95">
        <f ca="1"/>
        <v>-3.5885053551927659E-3</v>
      </c>
      <c r="H71" s="92" t="s">
        <v>4</v>
      </c>
      <c r="I71" s="97">
        <f>_xll.meDateFromTenor(I70,"1D","FOLLOWING","TGT")</f>
        <v>42599</v>
      </c>
      <c r="J71" s="95">
        <f ca="1"/>
        <v>-2.713900602876781E-3</v>
      </c>
      <c r="K71" s="5" t="s">
        <v>4</v>
      </c>
      <c r="L71" s="97">
        <f>_xll.meDateFromTenor(L70,"1D","FOLLOWING","TGT")</f>
        <v>42599</v>
      </c>
      <c r="M71" s="95">
        <f ca="1"/>
        <v>-1.5894405633870197E-3</v>
      </c>
      <c r="N71" s="5" t="s">
        <v>4</v>
      </c>
      <c r="O71" s="97">
        <f>_xll.meDateFromTenor(O70,"1D","FOLLOWING","TGT")</f>
        <v>42599</v>
      </c>
      <c r="P71" s="95">
        <f ca="1"/>
        <v>-2.0766569905165014E-4</v>
      </c>
      <c r="Q71" s="5" t="s">
        <v>4</v>
      </c>
      <c r="R71" s="83" t="s">
        <v>4</v>
      </c>
    </row>
    <row r="72" spans="1:18" x14ac:dyDescent="0.25">
      <c r="A72" s="88">
        <v>58</v>
      </c>
      <c r="B72" s="82"/>
      <c r="C72" s="97">
        <f>_xll.meDateFromTenor(C71,"1D","FOLLOWING","TGT")</f>
        <v>42600</v>
      </c>
      <c r="D72" s="95">
        <f ca="1"/>
        <v>-3.4938990941222325E-3</v>
      </c>
      <c r="E72" s="92"/>
      <c r="F72" s="97">
        <f>_xll.meDateFromTenor(F71,"1D","FOLLOWING","TGT")</f>
        <v>42600</v>
      </c>
      <c r="G72" s="95">
        <f ca="1"/>
        <v>-3.5899052053318657E-3</v>
      </c>
      <c r="H72" s="92" t="s">
        <v>4</v>
      </c>
      <c r="I72" s="97">
        <f>_xll.meDateFromTenor(I71,"1D","FOLLOWING","TGT")</f>
        <v>42600</v>
      </c>
      <c r="J72" s="95">
        <f ca="1"/>
        <v>-2.7160952904012408E-3</v>
      </c>
      <c r="K72" s="5" t="s">
        <v>4</v>
      </c>
      <c r="L72" s="97">
        <f>_xll.meDateFromTenor(L71,"1D","FOLLOWING","TGT")</f>
        <v>42600</v>
      </c>
      <c r="M72" s="95">
        <f ca="1"/>
        <v>-1.5902065297053571E-3</v>
      </c>
      <c r="N72" s="5" t="s">
        <v>4</v>
      </c>
      <c r="O72" s="97">
        <f>_xll.meDateFromTenor(O71,"1D","FOLLOWING","TGT")</f>
        <v>42600</v>
      </c>
      <c r="P72" s="95">
        <f ca="1"/>
        <v>-2.083609841062907E-4</v>
      </c>
      <c r="Q72" s="5" t="s">
        <v>4</v>
      </c>
      <c r="R72" s="83" t="s">
        <v>4</v>
      </c>
    </row>
    <row r="73" spans="1:18" x14ac:dyDescent="0.25">
      <c r="A73" s="88">
        <v>59</v>
      </c>
      <c r="B73" s="82"/>
      <c r="C73" s="97">
        <f>_xll.meDateFromTenor(C72,"1D","FOLLOWING","TGT")</f>
        <v>42601</v>
      </c>
      <c r="D73" s="95">
        <f ca="1"/>
        <v>-3.4939282459549581E-3</v>
      </c>
      <c r="E73" s="92"/>
      <c r="F73" s="97">
        <f>_xll.meDateFromTenor(F72,"1D","FOLLOWING","TGT")</f>
        <v>42601</v>
      </c>
      <c r="G73" s="95">
        <f ca="1"/>
        <v>-3.5913021401740171E-3</v>
      </c>
      <c r="H73" s="92" t="s">
        <v>4</v>
      </c>
      <c r="I73" s="97">
        <f>_xll.meDateFromTenor(I72,"1D","FOLLOWING","TGT")</f>
        <v>42601</v>
      </c>
      <c r="J73" s="95">
        <f ca="1"/>
        <v>-2.718322431820944E-3</v>
      </c>
      <c r="K73" s="5" t="s">
        <v>4</v>
      </c>
      <c r="L73" s="97">
        <f>_xll.meDateFromTenor(L72,"1D","FOLLOWING","TGT")</f>
        <v>42601</v>
      </c>
      <c r="M73" s="95">
        <f ca="1"/>
        <v>-1.5909718628321103E-3</v>
      </c>
      <c r="N73" s="5" t="s">
        <v>4</v>
      </c>
      <c r="O73" s="97">
        <f>_xll.meDateFromTenor(O72,"1D","FOLLOWING","TGT")</f>
        <v>42601</v>
      </c>
      <c r="P73" s="95">
        <f ca="1"/>
        <v>-2.090537799612397E-4</v>
      </c>
      <c r="Q73" s="5" t="s">
        <v>4</v>
      </c>
      <c r="R73" s="83" t="s">
        <v>4</v>
      </c>
    </row>
    <row r="74" spans="1:18" x14ac:dyDescent="0.25">
      <c r="A74" s="88">
        <v>60</v>
      </c>
      <c r="B74" s="82"/>
      <c r="C74" s="97">
        <f>_xll.meDateFromTenor(C73,"1D","FOLLOWING","TGT")</f>
        <v>42604</v>
      </c>
      <c r="D74" s="95">
        <f ca="1"/>
        <v>-3.4938990941222325E-3</v>
      </c>
      <c r="E74" s="92"/>
      <c r="F74" s="97">
        <f>_xll.meDateFromTenor(F73,"1D","FOLLOWING","TGT")</f>
        <v>42604</v>
      </c>
      <c r="G74" s="95">
        <f ca="1"/>
        <v>-3.5954777076272612E-3</v>
      </c>
      <c r="H74" s="92" t="s">
        <v>4</v>
      </c>
      <c r="I74" s="97">
        <f>_xll.meDateFromTenor(I73,"1D","FOLLOWING","TGT")</f>
        <v>42604</v>
      </c>
      <c r="J74" s="95">
        <f ca="1"/>
        <v>-2.7252027942431052E-3</v>
      </c>
      <c r="K74" s="5" t="s">
        <v>4</v>
      </c>
      <c r="L74" s="97">
        <f>_xll.meDateFromTenor(L73,"1D","FOLLOWING","TGT")</f>
        <v>42604</v>
      </c>
      <c r="M74" s="95">
        <f ca="1"/>
        <v>-1.59326398083019E-3</v>
      </c>
      <c r="N74" s="5" t="s">
        <v>4</v>
      </c>
      <c r="O74" s="97">
        <f>_xll.meDateFromTenor(O73,"1D","FOLLOWING","TGT")</f>
        <v>42604</v>
      </c>
      <c r="P74" s="95">
        <f ca="1"/>
        <v>-2.1111690905524914E-4</v>
      </c>
      <c r="Q74" s="5" t="s">
        <v>4</v>
      </c>
      <c r="R74" s="83" t="s">
        <v>4</v>
      </c>
    </row>
    <row r="75" spans="1:18" x14ac:dyDescent="0.25">
      <c r="A75" s="88">
        <v>61</v>
      </c>
      <c r="B75" s="82"/>
      <c r="C75" s="97">
        <f>_xll.meDateFromTenor(C74,"1D","FOLLOWING","TGT")</f>
        <v>42605</v>
      </c>
      <c r="D75" s="95">
        <f ca="1"/>
        <v>-3.4938990941620895E-3</v>
      </c>
      <c r="E75" s="92"/>
      <c r="F75" s="97">
        <f>_xll.meDateFromTenor(F74,"1D","FOLLOWING","TGT")</f>
        <v>42605</v>
      </c>
      <c r="G75" s="95">
        <f ca="1"/>
        <v>-3.596865235990098E-3</v>
      </c>
      <c r="H75" s="92" t="s">
        <v>4</v>
      </c>
      <c r="I75" s="97">
        <f>_xll.meDateFromTenor(I74,"1D","FOLLOWING","TGT")</f>
        <v>42605</v>
      </c>
      <c r="J75" s="95">
        <f ca="1"/>
        <v>-2.7275639660353729E-3</v>
      </c>
      <c r="K75" s="5" t="s">
        <v>4</v>
      </c>
      <c r="L75" s="97">
        <f>_xll.meDateFromTenor(L74,"1D","FOLLOWING","TGT")</f>
        <v>42605</v>
      </c>
      <c r="M75" s="95">
        <f ca="1"/>
        <v>-1.5940266989579327E-3</v>
      </c>
      <c r="N75" s="5" t="s">
        <v>4</v>
      </c>
      <c r="O75" s="97">
        <f>_xll.meDateFromTenor(O74,"1D","FOLLOWING","TGT")</f>
        <v>42605</v>
      </c>
      <c r="P75" s="95">
        <f ca="1"/>
        <v>-2.1179942483874414E-4</v>
      </c>
      <c r="Q75" s="5" t="s">
        <v>4</v>
      </c>
      <c r="R75" s="83" t="s">
        <v>4</v>
      </c>
    </row>
    <row r="76" spans="1:18" x14ac:dyDescent="0.25">
      <c r="A76" s="88">
        <v>62</v>
      </c>
      <c r="B76" s="82"/>
      <c r="C76" s="97">
        <f>_xll.meDateFromTenor(C75,"1D","FOLLOWING","TGT")</f>
        <v>42606</v>
      </c>
      <c r="D76" s="95">
        <f ca="1"/>
        <v>-3.4938990942018355E-3</v>
      </c>
      <c r="E76" s="92"/>
      <c r="F76" s="97">
        <f>_xll.meDateFromTenor(F75,"1D","FOLLOWING","TGT")</f>
        <v>42606</v>
      </c>
      <c r="G76" s="95">
        <f ca="1"/>
        <v>-3.5982509764102234E-3</v>
      </c>
      <c r="H76" s="92" t="s">
        <v>4</v>
      </c>
      <c r="I76" s="97">
        <f>_xll.meDateFromTenor(I75,"1D","FOLLOWING","TGT")</f>
        <v>42606</v>
      </c>
      <c r="J76" s="95">
        <f ca="1"/>
        <v>-2.7299596991186793E-3</v>
      </c>
      <c r="K76" s="5" t="s">
        <v>4</v>
      </c>
      <c r="L76" s="97">
        <f>_xll.meDateFromTenor(L75,"1D","FOLLOWING","TGT")</f>
        <v>42606</v>
      </c>
      <c r="M76" s="95">
        <f ca="1"/>
        <v>-1.5947887427777544E-3</v>
      </c>
      <c r="N76" s="5" t="s">
        <v>4</v>
      </c>
      <c r="O76" s="97">
        <f>_xll.meDateFromTenor(O75,"1D","FOLLOWING","TGT")</f>
        <v>42606</v>
      </c>
      <c r="P76" s="95">
        <f ca="1"/>
        <v>-2.1247928978620383E-4</v>
      </c>
      <c r="Q76" s="5" t="s">
        <v>4</v>
      </c>
      <c r="R76" s="83" t="s">
        <v>4</v>
      </c>
    </row>
    <row r="77" spans="1:18" x14ac:dyDescent="0.25">
      <c r="A77" s="88">
        <v>63</v>
      </c>
      <c r="B77" s="82"/>
      <c r="C77" s="97">
        <f>_xll.meDateFromTenor(C76,"1D","FOLLOWING","TGT")</f>
        <v>42607</v>
      </c>
      <c r="D77" s="95">
        <f ca="1"/>
        <v>-3.4938990940823755E-3</v>
      </c>
      <c r="E77" s="92"/>
      <c r="F77" s="97">
        <f>_xll.meDateFromTenor(F76,"1D","FOLLOWING","TGT")</f>
        <v>42607</v>
      </c>
      <c r="G77" s="95">
        <f ca="1"/>
        <v>-3.5996351543584881E-3</v>
      </c>
      <c r="H77" s="92" t="s">
        <v>4</v>
      </c>
      <c r="I77" s="97">
        <f>_xll.meDateFromTenor(I76,"1D","FOLLOWING","TGT")</f>
        <v>42607</v>
      </c>
      <c r="J77" s="95">
        <f ca="1"/>
        <v>-2.7323904149721837E-3</v>
      </c>
      <c r="K77" s="5" t="s">
        <v>4</v>
      </c>
      <c r="L77" s="97">
        <f>_xll.meDateFromTenor(L76,"1D","FOLLOWING","TGT")</f>
        <v>42607</v>
      </c>
      <c r="M77" s="95">
        <f ca="1"/>
        <v>-1.5955501040663877E-3</v>
      </c>
      <c r="N77" s="5" t="s">
        <v>4</v>
      </c>
      <c r="O77" s="97">
        <f>_xll.meDateFromTenor(O76,"1D","FOLLOWING","TGT")</f>
        <v>42607</v>
      </c>
      <c r="P77" s="95">
        <f ca="1"/>
        <v>-2.1315647157035952E-4</v>
      </c>
      <c r="Q77" s="5" t="s">
        <v>4</v>
      </c>
      <c r="R77" s="83" t="s">
        <v>4</v>
      </c>
    </row>
    <row r="78" spans="1:18" x14ac:dyDescent="0.25">
      <c r="A78" s="88">
        <v>64</v>
      </c>
      <c r="B78" s="82"/>
      <c r="C78" s="97">
        <f>_xll.meDateFromTenor(C77,"1D","FOLLOWING","TGT")</f>
        <v>42608</v>
      </c>
      <c r="D78" s="95">
        <f ca="1"/>
        <v>-3.4939273870475684E-3</v>
      </c>
      <c r="E78" s="92"/>
      <c r="F78" s="97">
        <f>_xll.meDateFromTenor(F77,"1D","FOLLOWING","TGT")</f>
        <v>42608</v>
      </c>
      <c r="G78" s="95">
        <f ca="1"/>
        <v>-3.6010179953057373E-3</v>
      </c>
      <c r="H78" s="92" t="s">
        <v>4</v>
      </c>
      <c r="I78" s="97">
        <f>_xll.meDateFromTenor(I77,"1D","FOLLOWING","TGT")</f>
        <v>42608</v>
      </c>
      <c r="J78" s="95">
        <f ca="1"/>
        <v>-2.7348565350750445E-3</v>
      </c>
      <c r="K78" s="5" t="s">
        <v>4</v>
      </c>
      <c r="L78" s="97">
        <f>_xll.meDateFromTenor(L77,"1D","FOLLOWING","TGT")</f>
        <v>42608</v>
      </c>
      <c r="M78" s="95">
        <f ca="1"/>
        <v>-1.5963107746005654E-3</v>
      </c>
      <c r="N78" s="5" t="s">
        <v>4</v>
      </c>
      <c r="O78" s="97">
        <f>_xll.meDateFromTenor(O77,"1D","FOLLOWING","TGT")</f>
        <v>42608</v>
      </c>
      <c r="P78" s="95">
        <f ca="1"/>
        <v>-2.1383093786394244E-4</v>
      </c>
      <c r="Q78" s="5" t="s">
        <v>4</v>
      </c>
      <c r="R78" s="83" t="s">
        <v>4</v>
      </c>
    </row>
    <row r="79" spans="1:18" x14ac:dyDescent="0.25">
      <c r="A79" s="88">
        <v>65</v>
      </c>
      <c r="B79" s="82"/>
      <c r="C79" s="97">
        <f>_xll.meDateFromTenor(C78,"1D","FOLLOWING","TGT")</f>
        <v>42611</v>
      </c>
      <c r="D79" s="95">
        <f ca="1"/>
        <v>-3.4938990940823755E-3</v>
      </c>
      <c r="E79" s="92"/>
      <c r="F79" s="97">
        <f>_xll.meDateFromTenor(F78,"1D","FOLLOWING","TGT")</f>
        <v>42611</v>
      </c>
      <c r="G79" s="95">
        <f ca="1"/>
        <v>-3.6051607508498697E-3</v>
      </c>
      <c r="H79" s="92" t="s">
        <v>4</v>
      </c>
      <c r="I79" s="97">
        <f>_xll.meDateFromTenor(I78,"1D","FOLLOWING","TGT")</f>
        <v>42611</v>
      </c>
      <c r="J79" s="95">
        <f ca="1"/>
        <v>-2.7424715356713565E-3</v>
      </c>
      <c r="K79" s="5" t="s">
        <v>4</v>
      </c>
      <c r="L79" s="97">
        <f>_xll.meDateFromTenor(L78,"1D","FOLLOWING","TGT")</f>
        <v>42611</v>
      </c>
      <c r="M79" s="95">
        <f ca="1"/>
        <v>-1.5985885594436916E-3</v>
      </c>
      <c r="N79" s="5" t="s">
        <v>4</v>
      </c>
      <c r="O79" s="97">
        <f>_xll.meDateFromTenor(O78,"1D","FOLLOWING","TGT")</f>
        <v>42611</v>
      </c>
      <c r="P79" s="95">
        <f ca="1"/>
        <v>-2.1583772052856758E-4</v>
      </c>
      <c r="Q79" s="5" t="s">
        <v>4</v>
      </c>
      <c r="R79" s="83" t="s">
        <v>4</v>
      </c>
    </row>
    <row r="80" spans="1:18" x14ac:dyDescent="0.25">
      <c r="A80" s="88">
        <v>66</v>
      </c>
      <c r="B80" s="82"/>
      <c r="C80" s="97">
        <f>_xll.meDateFromTenor(C79,"1D","FOLLOWING","TGT")</f>
        <v>42612</v>
      </c>
      <c r="D80" s="95">
        <f ca="1"/>
        <v>-3.4938990942019466E-3</v>
      </c>
      <c r="E80" s="92"/>
      <c r="F80" s="97">
        <f>_xll.meDateFromTenor(F79,"1D","FOLLOWING","TGT")</f>
        <v>42612</v>
      </c>
      <c r="G80" s="95">
        <f ca="1"/>
        <v>-3.6065404985015344E-3</v>
      </c>
      <c r="H80" s="92" t="s">
        <v>4</v>
      </c>
      <c r="I80" s="97">
        <f>_xll.meDateFromTenor(I79,"1D","FOLLOWING","TGT")</f>
        <v>42612</v>
      </c>
      <c r="J80" s="95">
        <f ca="1"/>
        <v>-2.7450834875632339E-3</v>
      </c>
      <c r="K80" s="5" t="s">
        <v>4</v>
      </c>
      <c r="L80" s="97">
        <f>_xll.meDateFromTenor(L79,"1D","FOLLOWING","TGT")</f>
        <v>42612</v>
      </c>
      <c r="M80" s="95">
        <f ca="1"/>
        <v>-1.5993463847273736E-3</v>
      </c>
      <c r="N80" s="5" t="s">
        <v>4</v>
      </c>
      <c r="O80" s="97">
        <f>_xll.meDateFromTenor(O79,"1D","FOLLOWING","TGT")</f>
        <v>42612</v>
      </c>
      <c r="P80" s="95">
        <f ca="1"/>
        <v>-2.1650100158717231E-4</v>
      </c>
      <c r="Q80" s="5" t="s">
        <v>4</v>
      </c>
      <c r="R80" s="83" t="s">
        <v>4</v>
      </c>
    </row>
    <row r="81" spans="1:18" x14ac:dyDescent="0.25">
      <c r="A81" s="88">
        <v>67</v>
      </c>
      <c r="B81" s="82"/>
      <c r="C81" s="97">
        <f>_xll.meDateFromTenor(C80,"1D","FOLLOWING","TGT")</f>
        <v>42613</v>
      </c>
      <c r="D81" s="95">
        <f ca="1"/>
        <v>-3.4938990941619785E-3</v>
      </c>
      <c r="E81" s="92"/>
      <c r="F81" s="97">
        <f>_xll.meDateFromTenor(F80,"1D","FOLLOWING","TGT")</f>
        <v>42613</v>
      </c>
      <c r="G81" s="95">
        <f ca="1"/>
        <v>-3.6079200365064226E-3</v>
      </c>
      <c r="H81" s="92" t="s">
        <v>4</v>
      </c>
      <c r="I81" s="97">
        <f>_xll.meDateFromTenor(I80,"1D","FOLLOWING","TGT")</f>
        <v>42613</v>
      </c>
      <c r="J81" s="95">
        <f ca="1"/>
        <v>-2.7477329511002629E-3</v>
      </c>
      <c r="K81" s="5" t="s">
        <v>4</v>
      </c>
      <c r="L81" s="97">
        <f>_xll.meDateFromTenor(L80,"1D","FOLLOWING","TGT")</f>
        <v>42613</v>
      </c>
      <c r="M81" s="95">
        <f ca="1"/>
        <v>-1.6001034781402636E-3</v>
      </c>
      <c r="N81" s="5" t="s">
        <v>4</v>
      </c>
      <c r="O81" s="97">
        <f>_xll.meDateFromTenor(O80,"1D","FOLLOWING","TGT")</f>
        <v>42613</v>
      </c>
      <c r="P81" s="95">
        <f ca="1"/>
        <v>-2.1716140551886071E-4</v>
      </c>
      <c r="Q81" s="5" t="s">
        <v>4</v>
      </c>
      <c r="R81" s="83" t="s">
        <v>4</v>
      </c>
    </row>
    <row r="82" spans="1:18" x14ac:dyDescent="0.25">
      <c r="A82" s="88">
        <v>68</v>
      </c>
      <c r="B82" s="82"/>
      <c r="C82" s="97">
        <f>_xll.meDateFromTenor(C81,"1D","FOLLOWING","TGT")</f>
        <v>42614</v>
      </c>
      <c r="D82" s="95">
        <f ca="1"/>
        <v>-3.4938990941620895E-3</v>
      </c>
      <c r="E82" s="92"/>
      <c r="F82" s="97">
        <f>_xll.meDateFromTenor(F81,"1D","FOLLOWING","TGT")</f>
        <v>42614</v>
      </c>
      <c r="G82" s="95">
        <f ca="1"/>
        <v>-3.6092995903353807E-3</v>
      </c>
      <c r="H82" s="92" t="s">
        <v>4</v>
      </c>
      <c r="I82" s="97">
        <f>_xll.meDateFromTenor(I81,"1D","FOLLOWING","TGT")</f>
        <v>42614</v>
      </c>
      <c r="J82" s="95">
        <f ca="1"/>
        <v>-2.7504203477616024E-3</v>
      </c>
      <c r="K82" s="5" t="s">
        <v>4</v>
      </c>
      <c r="L82" s="97">
        <f>_xll.meDateFromTenor(L81,"1D","FOLLOWING","TGT")</f>
        <v>42614</v>
      </c>
      <c r="M82" s="95">
        <f ca="1"/>
        <v>-1.6008598314590937E-3</v>
      </c>
      <c r="N82" s="5" t="s">
        <v>4</v>
      </c>
      <c r="O82" s="97">
        <f>_xll.meDateFromTenor(O81,"1D","FOLLOWING","TGT")</f>
        <v>42614</v>
      </c>
      <c r="P82" s="95">
        <f ca="1"/>
        <v>-2.17818899996364E-4</v>
      </c>
      <c r="Q82" s="5" t="s">
        <v>4</v>
      </c>
      <c r="R82" s="83" t="s">
        <v>4</v>
      </c>
    </row>
    <row r="83" spans="1:18" x14ac:dyDescent="0.25">
      <c r="A83" s="88">
        <v>69</v>
      </c>
      <c r="B83" s="82"/>
      <c r="C83" s="97">
        <f>_xll.meDateFromTenor(C82,"1D","FOLLOWING","TGT")</f>
        <v>42615</v>
      </c>
      <c r="D83" s="95">
        <f ca="1"/>
        <v>-3.4947415233921308E-3</v>
      </c>
      <c r="E83" s="92"/>
      <c r="F83" s="97">
        <f>_xll.meDateFromTenor(F82,"1D","FOLLOWING","TGT")</f>
        <v>42615</v>
      </c>
      <c r="G83" s="95">
        <f ca="1"/>
        <v>-3.6106793854592568E-3</v>
      </c>
      <c r="H83" s="92" t="s">
        <v>4</v>
      </c>
      <c r="I83" s="97">
        <f>_xll.meDateFromTenor(I82,"1D","FOLLOWING","TGT")</f>
        <v>42615</v>
      </c>
      <c r="J83" s="95">
        <f ca="1"/>
        <v>-2.7531460990264122E-3</v>
      </c>
      <c r="K83" s="5" t="s">
        <v>4</v>
      </c>
      <c r="L83" s="97">
        <f>_xll.meDateFromTenor(L82,"1D","FOLLOWING","TGT")</f>
        <v>42615</v>
      </c>
      <c r="M83" s="95">
        <f ca="1"/>
        <v>-1.6016154364605966E-3</v>
      </c>
      <c r="N83" s="5" t="s">
        <v>4</v>
      </c>
      <c r="O83" s="97">
        <f>_xll.meDateFromTenor(O82,"1D","FOLLOWING","TGT")</f>
        <v>42615</v>
      </c>
      <c r="P83" s="95">
        <f ca="1"/>
        <v>-2.1847345269241351E-4</v>
      </c>
      <c r="Q83" s="5" t="s">
        <v>4</v>
      </c>
      <c r="R83" s="83" t="s">
        <v>4</v>
      </c>
    </row>
    <row r="84" spans="1:18" x14ac:dyDescent="0.25">
      <c r="A84" s="88">
        <v>70</v>
      </c>
      <c r="B84" s="82"/>
      <c r="C84" s="97">
        <f>_xll.meDateFromTenor(C83,"1D","FOLLOWING","TGT")</f>
        <v>42618</v>
      </c>
      <c r="D84" s="95">
        <f ca="1"/>
        <v>-3.4938990941620895E-3</v>
      </c>
      <c r="E84" s="92"/>
      <c r="F84" s="97">
        <f>_xll.meDateFromTenor(F83,"1D","FOLLOWING","TGT")</f>
        <v>42618</v>
      </c>
      <c r="G84" s="95">
        <f ca="1"/>
        <v>-3.6148217183376323E-3</v>
      </c>
      <c r="H84" s="92" t="s">
        <v>4</v>
      </c>
      <c r="I84" s="97">
        <f>_xll.meDateFromTenor(I83,"1D","FOLLOWING","TGT")</f>
        <v>42618</v>
      </c>
      <c r="J84" s="95">
        <f ca="1"/>
        <v>-2.7615161929133462E-3</v>
      </c>
      <c r="K84" s="5" t="s">
        <v>4</v>
      </c>
      <c r="L84" s="97">
        <f>_xll.meDateFromTenor(L83,"1D","FOLLOWING","TGT")</f>
        <v>42618</v>
      </c>
      <c r="M84" s="95">
        <f ca="1"/>
        <v>-1.6038776793284718E-3</v>
      </c>
      <c r="N84" s="5" t="s">
        <v>4</v>
      </c>
      <c r="O84" s="97">
        <f>_xll.meDateFromTenor(O83,"1D","FOLLOWING","TGT")</f>
        <v>42618</v>
      </c>
      <c r="P84" s="95">
        <f ca="1"/>
        <v>-2.2041913681915195E-4</v>
      </c>
      <c r="Q84" s="5" t="s">
        <v>4</v>
      </c>
      <c r="R84" s="83" t="s">
        <v>4</v>
      </c>
    </row>
    <row r="85" spans="1:18" x14ac:dyDescent="0.25">
      <c r="A85" s="88">
        <v>71</v>
      </c>
      <c r="B85" s="82"/>
      <c r="C85" s="97">
        <f>_xll.meDateFromTenor(C84,"1D","FOLLOWING","TGT")</f>
        <v>42619</v>
      </c>
      <c r="D85" s="95">
        <f ca="1"/>
        <v>-3.4938990941222325E-3</v>
      </c>
      <c r="E85" s="92"/>
      <c r="F85" s="97">
        <f>_xll.meDateFromTenor(F84,"1D","FOLLOWING","TGT")</f>
        <v>42619</v>
      </c>
      <c r="G85" s="95">
        <f ca="1"/>
        <v>-3.6162036987594415E-3</v>
      </c>
      <c r="H85" s="92" t="s">
        <v>4</v>
      </c>
      <c r="I85" s="97">
        <f>_xll.meDateFromTenor(I84,"1D","FOLLOWING","TGT")</f>
        <v>42619</v>
      </c>
      <c r="J85" s="95">
        <f ca="1"/>
        <v>-2.7643427038341294E-3</v>
      </c>
      <c r="K85" s="5" t="s">
        <v>4</v>
      </c>
      <c r="L85" s="97">
        <f>_xll.meDateFromTenor(L84,"1D","FOLLOWING","TGT")</f>
        <v>42619</v>
      </c>
      <c r="M85" s="95">
        <f ca="1"/>
        <v>-1.6046302088279943E-3</v>
      </c>
      <c r="N85" s="5" t="s">
        <v>4</v>
      </c>
      <c r="O85" s="97">
        <f>_xll.meDateFromTenor(O84,"1D","FOLLOWING","TGT")</f>
        <v>42619</v>
      </c>
      <c r="P85" s="95">
        <f ca="1"/>
        <v>-2.2106159911669906E-4</v>
      </c>
      <c r="Q85" s="5" t="s">
        <v>4</v>
      </c>
      <c r="R85" s="83" t="s">
        <v>4</v>
      </c>
    </row>
    <row r="86" spans="1:18" x14ac:dyDescent="0.25">
      <c r="A86" s="88">
        <v>72</v>
      </c>
      <c r="B86" s="82"/>
      <c r="C86" s="97">
        <f>_xll.meDateFromTenor(C85,"1D","FOLLOWING","TGT")</f>
        <v>42620</v>
      </c>
      <c r="D86" s="95">
        <f ca="1"/>
        <v>-3.4938990941620895E-3</v>
      </c>
      <c r="E86" s="92"/>
      <c r="F86" s="97">
        <f>_xll.meDateFromTenor(F85,"1D","FOLLOWING","TGT")</f>
        <v>42620</v>
      </c>
      <c r="G86" s="95">
        <f ca="1"/>
        <v>-3.6175863767448639E-3</v>
      </c>
      <c r="H86" s="92" t="s">
        <v>4</v>
      </c>
      <c r="I86" s="97">
        <f>_xll.meDateFromTenor(I85,"1D","FOLLOWING","TGT")</f>
        <v>42620</v>
      </c>
      <c r="J86" s="95">
        <f ca="1"/>
        <v>-2.7671727858031513E-3</v>
      </c>
      <c r="K86" s="5" t="s">
        <v>4</v>
      </c>
      <c r="L86" s="97">
        <f>_xll.meDateFromTenor(L85,"1D","FOLLOWING","TGT")</f>
        <v>42620</v>
      </c>
      <c r="M86" s="95">
        <f ca="1"/>
        <v>-1.6053819488938529E-3</v>
      </c>
      <c r="N86" s="5" t="s">
        <v>4</v>
      </c>
      <c r="O86" s="97">
        <f>_xll.meDateFromTenor(O85,"1D","FOLLOWING","TGT")</f>
        <v>42620</v>
      </c>
      <c r="P86" s="95">
        <f ca="1"/>
        <v>-2.2170095799644868E-4</v>
      </c>
      <c r="Q86" s="5" t="s">
        <v>4</v>
      </c>
      <c r="R86" s="83" t="s">
        <v>4</v>
      </c>
    </row>
    <row r="87" spans="1:18" x14ac:dyDescent="0.25">
      <c r="A87" s="88">
        <v>73</v>
      </c>
      <c r="B87" s="82"/>
      <c r="C87" s="97">
        <f>_xll.meDateFromTenor(C86,"1D","FOLLOWING","TGT")</f>
        <v>42621</v>
      </c>
      <c r="D87" s="95">
        <f ca="1"/>
        <v>-3.7031454990306134E-3</v>
      </c>
      <c r="E87" s="92"/>
      <c r="F87" s="97">
        <f>_xll.meDateFromTenor(F86,"1D","FOLLOWING","TGT")</f>
        <v>42621</v>
      </c>
      <c r="G87" s="95">
        <f ca="1"/>
        <v>-3.6189698099933589E-3</v>
      </c>
      <c r="H87" s="92" t="s">
        <v>4</v>
      </c>
      <c r="I87" s="97">
        <f>_xll.meDateFromTenor(I86,"1D","FOLLOWING","TGT")</f>
        <v>42621</v>
      </c>
      <c r="J87" s="95">
        <f ca="1"/>
        <v>-2.7699976375618173E-3</v>
      </c>
      <c r="K87" s="5" t="s">
        <v>4</v>
      </c>
      <c r="L87" s="97">
        <f>_xll.meDateFromTenor(L86,"1D","FOLLOWING","TGT")</f>
        <v>42621</v>
      </c>
      <c r="M87" s="95">
        <f ca="1"/>
        <v>-1.6061328913027811E-3</v>
      </c>
      <c r="N87" s="5" t="s">
        <v>4</v>
      </c>
      <c r="O87" s="97">
        <f>_xll.meDateFromTenor(O86,"1D","FOLLOWING","TGT")</f>
        <v>42621</v>
      </c>
      <c r="P87" s="95">
        <f ca="1"/>
        <v>-2.223371811311322E-4</v>
      </c>
      <c r="Q87" s="5" t="s">
        <v>4</v>
      </c>
      <c r="R87" s="83" t="s">
        <v>4</v>
      </c>
    </row>
    <row r="88" spans="1:18" x14ac:dyDescent="0.25">
      <c r="A88" s="88">
        <v>74</v>
      </c>
      <c r="B88" s="82"/>
      <c r="C88" s="97">
        <f>_xll.meDateFromTenor(C87,"1D","FOLLOWING","TGT")</f>
        <v>42622</v>
      </c>
      <c r="D88" s="95">
        <f ca="1"/>
        <v>-3.7227945487662284E-3</v>
      </c>
      <c r="E88" s="92"/>
      <c r="F88" s="97">
        <f>_xll.meDateFromTenor(F87,"1D","FOLLOWING","TGT")</f>
        <v>42622</v>
      </c>
      <c r="G88" s="95">
        <f ca="1"/>
        <v>-3.6203540562043889E-3</v>
      </c>
      <c r="H88" s="92" t="s">
        <v>4</v>
      </c>
      <c r="I88" s="97">
        <f>_xll.meDateFromTenor(I87,"1D","FOLLOWING","TGT")</f>
        <v>42622</v>
      </c>
      <c r="J88" s="95">
        <f ca="1"/>
        <v>-2.7728084578515287E-3</v>
      </c>
      <c r="K88" s="5" t="s">
        <v>4</v>
      </c>
      <c r="L88" s="97">
        <f>_xll.meDateFromTenor(L87,"1D","FOLLOWING","TGT")</f>
        <v>42622</v>
      </c>
      <c r="M88" s="95">
        <f ca="1"/>
        <v>-1.6068830278315109E-3</v>
      </c>
      <c r="N88" s="5" t="s">
        <v>4</v>
      </c>
      <c r="O88" s="97">
        <f>_xll.meDateFromTenor(O87,"1D","FOLLOWING","TGT")</f>
        <v>42622</v>
      </c>
      <c r="P88" s="95">
        <f ca="1"/>
        <v>-2.229702361934808E-4</v>
      </c>
      <c r="Q88" s="5" t="s">
        <v>4</v>
      </c>
      <c r="R88" s="83" t="s">
        <v>4</v>
      </c>
    </row>
    <row r="89" spans="1:18" x14ac:dyDescent="0.25">
      <c r="A89" s="88">
        <v>75</v>
      </c>
      <c r="B89" s="82"/>
      <c r="C89" s="97">
        <f>_xll.meDateFromTenor(C88,"1D","FOLLOWING","TGT")</f>
        <v>42625</v>
      </c>
      <c r="D89" s="95">
        <f ca="1"/>
        <v>-3.7031454990306134E-3</v>
      </c>
      <c r="E89" s="92"/>
      <c r="F89" s="97">
        <f>_xll.meDateFromTenor(F88,"1D","FOLLOWING","TGT")</f>
        <v>42625</v>
      </c>
      <c r="G89" s="95">
        <f ca="1"/>
        <v>-3.6245122496073039E-3</v>
      </c>
      <c r="H89" s="92" t="s">
        <v>4</v>
      </c>
      <c r="I89" s="97">
        <f>_xll.meDateFromTenor(I88,"1D","FOLLOWING","TGT")</f>
        <v>42625</v>
      </c>
      <c r="J89" s="95">
        <f ca="1"/>
        <v>-2.7810687173209694E-3</v>
      </c>
      <c r="K89" s="5" t="s">
        <v>4</v>
      </c>
      <c r="L89" s="97">
        <f>_xll.meDateFromTenor(L88,"1D","FOLLOWING","TGT")</f>
        <v>42625</v>
      </c>
      <c r="M89" s="95">
        <f ca="1"/>
        <v>-1.6091285199038375E-3</v>
      </c>
      <c r="N89" s="5" t="s">
        <v>4</v>
      </c>
      <c r="O89" s="97">
        <f>_xll.meDateFromTenor(O88,"1D","FOLLOWING","TGT")</f>
        <v>42625</v>
      </c>
      <c r="P89" s="95">
        <f ca="1"/>
        <v>-2.2485006967383036E-4</v>
      </c>
      <c r="Q89" s="5" t="s">
        <v>4</v>
      </c>
      <c r="R89" s="83" t="s">
        <v>4</v>
      </c>
    </row>
    <row r="90" spans="1:18" x14ac:dyDescent="0.25">
      <c r="A90" s="88">
        <v>76</v>
      </c>
      <c r="B90" s="82"/>
      <c r="C90" s="97">
        <f>_xll.meDateFromTenor(C89,"1D","FOLLOWING","TGT")</f>
        <v>42626</v>
      </c>
      <c r="D90" s="95">
        <f ca="1"/>
        <v>-3.7031454990306134E-3</v>
      </c>
      <c r="E90" s="92"/>
      <c r="F90" s="97">
        <f>_xll.meDateFromTenor(F89,"1D","FOLLOWING","TGT")</f>
        <v>42626</v>
      </c>
      <c r="G90" s="95">
        <f ca="1"/>
        <v>-3.6259003246630886E-3</v>
      </c>
      <c r="H90" s="92" t="s">
        <v>4</v>
      </c>
      <c r="I90" s="97">
        <f>_xll.meDateFromTenor(I89,"1D","FOLLOWING","TGT")</f>
        <v>42626</v>
      </c>
      <c r="J90" s="95">
        <f ca="1"/>
        <v>-2.7837353991488943E-3</v>
      </c>
      <c r="K90" s="5" t="s">
        <v>4</v>
      </c>
      <c r="L90" s="97">
        <f>_xll.meDateFromTenor(L89,"1D","FOLLOWING","TGT")</f>
        <v>42626</v>
      </c>
      <c r="M90" s="95">
        <f ca="1"/>
        <v>-1.609875350679101E-3</v>
      </c>
      <c r="N90" s="5" t="s">
        <v>4</v>
      </c>
      <c r="O90" s="97">
        <f>_xll.meDateFromTenor(O89,"1D","FOLLOWING","TGT")</f>
        <v>42626</v>
      </c>
      <c r="P90" s="95">
        <f ca="1"/>
        <v>-2.254701291741523E-4</v>
      </c>
      <c r="Q90" s="5" t="s">
        <v>4</v>
      </c>
      <c r="R90" s="83" t="s">
        <v>4</v>
      </c>
    </row>
    <row r="91" spans="1:18" x14ac:dyDescent="0.25">
      <c r="A91" s="88">
        <v>77</v>
      </c>
      <c r="B91" s="82"/>
      <c r="C91" s="97">
        <f>_xll.meDateFromTenor(C90,"1D","FOLLOWING","TGT")</f>
        <v>42627</v>
      </c>
      <c r="D91" s="95">
        <f ca="1"/>
        <v>-3.7031454989908674E-3</v>
      </c>
      <c r="E91" s="92"/>
      <c r="F91" s="97">
        <f>_xll.meDateFromTenor(F90,"1D","FOLLOWING","TGT")</f>
        <v>42627</v>
      </c>
      <c r="G91" s="95">
        <f ca="1"/>
        <v>-3.6272895011787158E-3</v>
      </c>
      <c r="H91" s="92" t="s">
        <v>4</v>
      </c>
      <c r="I91" s="97">
        <f>_xll.meDateFromTenor(I90,"1D","FOLLOWING","TGT")</f>
        <v>42627</v>
      </c>
      <c r="J91" s="95">
        <f ca="1"/>
        <v>-2.7863440432148797E-3</v>
      </c>
      <c r="K91" s="5" t="s">
        <v>4</v>
      </c>
      <c r="L91" s="97">
        <f>_xll.meDateFromTenor(L90,"1D","FOLLOWING","TGT")</f>
        <v>42627</v>
      </c>
      <c r="M91" s="95">
        <f ca="1"/>
        <v>-1.6106213344578299E-3</v>
      </c>
      <c r="N91" s="5" t="s">
        <v>4</v>
      </c>
      <c r="O91" s="97">
        <f>_xll.meDateFromTenor(O90,"1D","FOLLOWING","TGT")</f>
        <v>42627</v>
      </c>
      <c r="P91" s="95">
        <f ca="1"/>
        <v>-2.2608685896579575E-4</v>
      </c>
      <c r="Q91" s="5" t="s">
        <v>4</v>
      </c>
      <c r="R91" s="83" t="s">
        <v>4</v>
      </c>
    </row>
    <row r="92" spans="1:18" x14ac:dyDescent="0.25">
      <c r="A92" s="88">
        <v>78</v>
      </c>
      <c r="B92" s="82"/>
      <c r="C92" s="97">
        <f>_xll.meDateFromTenor(C91,"1D","FOLLOWING","TGT")</f>
        <v>42628</v>
      </c>
      <c r="D92" s="95">
        <f ca="1"/>
        <v>-3.7031454991103274E-3</v>
      </c>
      <c r="E92" s="92"/>
      <c r="F92" s="97">
        <f>_xll.meDateFromTenor(F91,"1D","FOLLOWING","TGT")</f>
        <v>42628</v>
      </c>
      <c r="G92" s="95">
        <f ca="1"/>
        <v>-3.6286798368536485E-3</v>
      </c>
      <c r="H92" s="92" t="s">
        <v>4</v>
      </c>
      <c r="I92" s="97">
        <f>_xll.meDateFromTenor(I91,"1D","FOLLOWING","TGT")</f>
        <v>42628</v>
      </c>
      <c r="J92" s="95">
        <f ca="1"/>
        <v>-2.7888858482603284E-3</v>
      </c>
      <c r="K92" s="5" t="s">
        <v>4</v>
      </c>
      <c r="L92" s="97">
        <f>_xll.meDateFromTenor(L91,"1D","FOLLOWING","TGT")</f>
        <v>42628</v>
      </c>
      <c r="M92" s="95">
        <f ca="1"/>
        <v>-1.6113664630167566E-3</v>
      </c>
      <c r="N92" s="5" t="s">
        <v>4</v>
      </c>
      <c r="O92" s="97">
        <f>_xll.meDateFromTenor(O91,"1D","FOLLOWING","TGT")</f>
        <v>42628</v>
      </c>
      <c r="P92" s="95">
        <f ca="1"/>
        <v>-2.2670022672149204E-4</v>
      </c>
      <c r="Q92" s="5" t="s">
        <v>4</v>
      </c>
      <c r="R92" s="83" t="s">
        <v>4</v>
      </c>
    </row>
    <row r="93" spans="1:18" x14ac:dyDescent="0.25">
      <c r="A93" s="88">
        <v>79</v>
      </c>
      <c r="B93" s="82"/>
      <c r="C93" s="97">
        <f>_xll.meDateFromTenor(C92,"1D","FOLLOWING","TGT")</f>
        <v>42629</v>
      </c>
      <c r="D93" s="95">
        <f ca="1"/>
        <v>-3.7031575551441653E-3</v>
      </c>
      <c r="E93" s="92"/>
      <c r="F93" s="97">
        <f>_xll.meDateFromTenor(F92,"1D","FOLLOWING","TGT")</f>
        <v>42629</v>
      </c>
      <c r="G93" s="95">
        <f ca="1"/>
        <v>-3.6300713893873461E-3</v>
      </c>
      <c r="H93" s="92" t="s">
        <v>4</v>
      </c>
      <c r="I93" s="97">
        <f>_xll.meDateFromTenor(I92,"1D","FOLLOWING","TGT")</f>
        <v>42629</v>
      </c>
      <c r="J93" s="95">
        <f ca="1"/>
        <v>-2.7913520130266431E-3</v>
      </c>
      <c r="K93" s="5" t="s">
        <v>4</v>
      </c>
      <c r="L93" s="97">
        <f>_xll.meDateFromTenor(L92,"1D","FOLLOWING","TGT")</f>
        <v>42629</v>
      </c>
      <c r="M93" s="95">
        <f ca="1"/>
        <v>-1.6121107281326138E-3</v>
      </c>
      <c r="N93" s="5" t="s">
        <v>4</v>
      </c>
      <c r="O93" s="97">
        <f>_xll.meDateFromTenor(O92,"1D","FOLLOWING","TGT")</f>
        <v>42629</v>
      </c>
      <c r="P93" s="95">
        <f ca="1"/>
        <v>-2.2731020011397239E-4</v>
      </c>
      <c r="Q93" s="5" t="s">
        <v>4</v>
      </c>
      <c r="R93" s="83" t="s">
        <v>4</v>
      </c>
    </row>
    <row r="94" spans="1:18" x14ac:dyDescent="0.25">
      <c r="A94" s="88">
        <v>80</v>
      </c>
      <c r="B94" s="82"/>
      <c r="C94" s="97">
        <f>_xll.meDateFromTenor(C93,"1D","FOLLOWING","TGT")</f>
        <v>42632</v>
      </c>
      <c r="D94" s="95">
        <f ca="1"/>
        <v>-3.7031454990306134E-3</v>
      </c>
      <c r="E94" s="92"/>
      <c r="F94" s="97">
        <f>_xll.meDateFromTenor(F93,"1D","FOLLOWING","TGT")</f>
        <v>42632</v>
      </c>
      <c r="G94" s="95">
        <f ca="1"/>
        <v>-3.6342539251356478E-3</v>
      </c>
      <c r="H94" s="92" t="s">
        <v>4</v>
      </c>
      <c r="I94" s="97">
        <f>_xll.meDateFromTenor(I93,"1D","FOLLOWING","TGT")</f>
        <v>42632</v>
      </c>
      <c r="J94" s="95">
        <f ca="1"/>
        <v>-2.7982086530648135E-3</v>
      </c>
      <c r="K94" s="5" t="s">
        <v>4</v>
      </c>
      <c r="L94" s="97">
        <f>_xll.meDateFromTenor(L93,"1D","FOLLOWING","TGT")</f>
        <v>42632</v>
      </c>
      <c r="M94" s="95">
        <f ca="1"/>
        <v>-1.6143382605890945E-3</v>
      </c>
      <c r="N94" s="5" t="s">
        <v>4</v>
      </c>
      <c r="O94" s="97">
        <f>_xll.meDateFromTenor(O93,"1D","FOLLOWING","TGT")</f>
        <v>42632</v>
      </c>
      <c r="P94" s="95">
        <f ca="1"/>
        <v>-2.2911943083943066E-4</v>
      </c>
      <c r="Q94" s="5" t="s">
        <v>4</v>
      </c>
      <c r="R94" s="83" t="s">
        <v>4</v>
      </c>
    </row>
    <row r="95" spans="1:18" x14ac:dyDescent="0.25">
      <c r="A95" s="88">
        <v>81</v>
      </c>
      <c r="B95" s="82"/>
      <c r="C95" s="97">
        <f>_xll.meDateFromTenor(C94,"1D","FOLLOWING","TGT")</f>
        <v>42633</v>
      </c>
      <c r="D95" s="95">
        <f ca="1"/>
        <v>-3.7031454989908674E-3</v>
      </c>
      <c r="E95" s="92"/>
      <c r="F95" s="97">
        <f>_xll.meDateFromTenor(F94,"1D","FOLLOWING","TGT")</f>
        <v>42633</v>
      </c>
      <c r="G95" s="95">
        <f ca="1"/>
        <v>-3.6356509220990233E-3</v>
      </c>
      <c r="H95" s="92" t="s">
        <v>4</v>
      </c>
      <c r="I95" s="97">
        <f>_xll.meDateFromTenor(I94,"1D","FOLLOWING","TGT")</f>
        <v>42633</v>
      </c>
      <c r="J95" s="95">
        <f ca="1"/>
        <v>-2.8002842441286215E-3</v>
      </c>
      <c r="K95" s="5" t="s">
        <v>4</v>
      </c>
      <c r="L95" s="97">
        <f>_xll.meDateFromTenor(L94,"1D","FOLLOWING","TGT")</f>
        <v>42633</v>
      </c>
      <c r="M95" s="95">
        <f ca="1"/>
        <v>-1.6150789897000004E-3</v>
      </c>
      <c r="N95" s="5" t="s">
        <v>4</v>
      </c>
      <c r="O95" s="97">
        <f>_xll.meDateFromTenor(O94,"1D","FOLLOWING","TGT")</f>
        <v>42633</v>
      </c>
      <c r="P95" s="95">
        <f ca="1"/>
        <v>-2.2971550350636E-4</v>
      </c>
      <c r="Q95" s="5" t="s">
        <v>4</v>
      </c>
      <c r="R95" s="83" t="s">
        <v>4</v>
      </c>
    </row>
    <row r="96" spans="1:18" x14ac:dyDescent="0.25">
      <c r="A96" s="88">
        <v>82</v>
      </c>
      <c r="B96" s="82"/>
      <c r="C96" s="97">
        <f>_xll.meDateFromTenor(C95,"1D","FOLLOWING","TGT")</f>
        <v>42634</v>
      </c>
      <c r="D96" s="95">
        <f ca="1"/>
        <v>-3.7031454989908674E-3</v>
      </c>
      <c r="E96" s="92"/>
      <c r="F96" s="97">
        <f>_xll.meDateFromTenor(F95,"1D","FOLLOWING","TGT")</f>
        <v>42634</v>
      </c>
      <c r="G96" s="95">
        <f ca="1"/>
        <v>-3.6370494244184716E-3</v>
      </c>
      <c r="H96" s="92" t="s">
        <v>4</v>
      </c>
      <c r="I96" s="97">
        <f>_xll.meDateFromTenor(I95,"1D","FOLLOWING","TGT")</f>
        <v>42634</v>
      </c>
      <c r="J96" s="95">
        <f ca="1"/>
        <v>-2.8022401886203109E-3</v>
      </c>
      <c r="K96" s="5" t="s">
        <v>4</v>
      </c>
      <c r="L96" s="97">
        <f>_xll.meDateFromTenor(L95,"1D","FOLLOWING","TGT")</f>
        <v>42634</v>
      </c>
      <c r="M96" s="95">
        <f ca="1"/>
        <v>-1.6158188142515002E-3</v>
      </c>
      <c r="N96" s="5" t="s">
        <v>4</v>
      </c>
      <c r="O96" s="97">
        <f>_xll.meDateFromTenor(O95,"1D","FOLLOWING","TGT")</f>
        <v>42634</v>
      </c>
      <c r="P96" s="95">
        <f ca="1"/>
        <v>-2.3030802017372991E-4</v>
      </c>
      <c r="Q96" s="5" t="s">
        <v>4</v>
      </c>
      <c r="R96" s="83" t="s">
        <v>4</v>
      </c>
    </row>
    <row r="97" spans="1:18" x14ac:dyDescent="0.25">
      <c r="A97" s="88">
        <v>83</v>
      </c>
      <c r="B97" s="82"/>
      <c r="C97" s="97">
        <f>_xll.meDateFromTenor(C96,"1D","FOLLOWING","TGT")</f>
        <v>42635</v>
      </c>
      <c r="D97" s="95">
        <f ca="1"/>
        <v>-3.7031454990704704E-3</v>
      </c>
      <c r="E97" s="92"/>
      <c r="F97" s="97">
        <f>_xll.meDateFromTenor(F96,"1D","FOLLOWING","TGT")</f>
        <v>42635</v>
      </c>
      <c r="G97" s="95">
        <f ca="1"/>
        <v>-3.638449489793456E-3</v>
      </c>
      <c r="H97" s="92" t="s">
        <v>4</v>
      </c>
      <c r="I97" s="97">
        <f>_xll.meDateFromTenor(I96,"1D","FOLLOWING","TGT")</f>
        <v>42635</v>
      </c>
      <c r="J97" s="95">
        <f ca="1"/>
        <v>-2.8040827242680195E-3</v>
      </c>
      <c r="K97" s="5" t="s">
        <v>4</v>
      </c>
      <c r="L97" s="97">
        <f>_xll.meDateFromTenor(L96,"1D","FOLLOWING","TGT")</f>
        <v>42635</v>
      </c>
      <c r="M97" s="95">
        <f ca="1"/>
        <v>-1.6165577260203261E-3</v>
      </c>
      <c r="N97" s="5" t="s">
        <v>4</v>
      </c>
      <c r="O97" s="97">
        <f>_xll.meDateFromTenor(O96,"1D","FOLLOWING","TGT")</f>
        <v>42635</v>
      </c>
      <c r="P97" s="95">
        <f ca="1"/>
        <v>-2.3089694851427149E-4</v>
      </c>
      <c r="Q97" s="5" t="s">
        <v>4</v>
      </c>
      <c r="R97" s="83" t="s">
        <v>4</v>
      </c>
    </row>
    <row r="98" spans="1:18" x14ac:dyDescent="0.25">
      <c r="A98" s="88">
        <v>84</v>
      </c>
      <c r="B98" s="82"/>
      <c r="C98" s="97">
        <f>_xll.meDateFromTenor(C97,"1D","FOLLOWING","TGT")</f>
        <v>42636</v>
      </c>
      <c r="D98" s="95">
        <f ca="1"/>
        <v>-3.7031782679801672E-3</v>
      </c>
      <c r="E98" s="92"/>
      <c r="F98" s="97">
        <f>_xll.meDateFromTenor(F97,"1D","FOLLOWING","TGT")</f>
        <v>42636</v>
      </c>
      <c r="G98" s="95">
        <f ca="1"/>
        <v>-3.6398511759234372E-3</v>
      </c>
      <c r="H98" s="92" t="s">
        <v>4</v>
      </c>
      <c r="I98" s="97">
        <f>_xll.meDateFromTenor(I97,"1D","FOLLOWING","TGT")</f>
        <v>42636</v>
      </c>
      <c r="J98" s="95">
        <f ca="1"/>
        <v>-2.8058782447468299E-3</v>
      </c>
      <c r="K98" s="5" t="s">
        <v>4</v>
      </c>
      <c r="L98" s="97">
        <f>_xll.meDateFromTenor(L97,"1D","FOLLOWING","TGT")</f>
        <v>42636</v>
      </c>
      <c r="M98" s="95">
        <f ca="1"/>
        <v>-1.6172957167832113E-3</v>
      </c>
      <c r="N98" s="5" t="s">
        <v>4</v>
      </c>
      <c r="O98" s="97">
        <f>_xll.meDateFromTenor(O97,"1D","FOLLOWING","TGT")</f>
        <v>42636</v>
      </c>
      <c r="P98" s="95">
        <f ca="1"/>
        <v>-2.3148225620071616E-4</v>
      </c>
      <c r="Q98" s="5" t="s">
        <v>4</v>
      </c>
      <c r="R98" s="83" t="s">
        <v>4</v>
      </c>
    </row>
    <row r="99" spans="1:18" x14ac:dyDescent="0.25">
      <c r="A99" s="88">
        <v>85</v>
      </c>
      <c r="B99" s="82"/>
      <c r="C99" s="97">
        <f>_xll.meDateFromTenor(C98,"1D","FOLLOWING","TGT")</f>
        <v>42639</v>
      </c>
      <c r="D99" s="95">
        <f ca="1"/>
        <v>-3.7031454990306134E-3</v>
      </c>
      <c r="E99" s="92"/>
      <c r="F99" s="97">
        <f>_xll.meDateFromTenor(F98,"1D","FOLLOWING","TGT")</f>
        <v>42639</v>
      </c>
      <c r="G99" s="95">
        <f ca="1"/>
        <v>-3.6440665358379743E-3</v>
      </c>
      <c r="H99" s="92" t="s">
        <v>4</v>
      </c>
      <c r="I99" s="97">
        <f>_xll.meDateFromTenor(I98,"1D","FOLLOWING","TGT")</f>
        <v>42639</v>
      </c>
      <c r="J99" s="95">
        <f ca="1"/>
        <v>-2.8113370167077031E-3</v>
      </c>
      <c r="K99" s="5" t="s">
        <v>4</v>
      </c>
      <c r="L99" s="97">
        <f>_xll.meDateFromTenor(L98,"1D","FOLLOWING","TGT")</f>
        <v>42639</v>
      </c>
      <c r="M99" s="95">
        <f ca="1"/>
        <v>-1.6195040808035495E-3</v>
      </c>
      <c r="N99" s="5" t="s">
        <v>4</v>
      </c>
      <c r="O99" s="97">
        <f>_xll.meDateFromTenor(O98,"1D","FOLLOWING","TGT")</f>
        <v>42639</v>
      </c>
      <c r="P99" s="95">
        <f ca="1"/>
        <v>-2.3321613206278081E-4</v>
      </c>
      <c r="Q99" s="5" t="s">
        <v>4</v>
      </c>
      <c r="R99" s="83" t="s">
        <v>4</v>
      </c>
    </row>
    <row r="100" spans="1:18" x14ac:dyDescent="0.25">
      <c r="A100" s="88">
        <v>86</v>
      </c>
      <c r="B100" s="82"/>
      <c r="C100" s="97">
        <f>_xll.meDateFromTenor(C99,"1D","FOLLOWING","TGT")</f>
        <v>42640</v>
      </c>
      <c r="D100" s="95">
        <f ca="1"/>
        <v>-3.7031454989908674E-3</v>
      </c>
      <c r="E100" s="92"/>
      <c r="F100" s="97">
        <f>_xll.meDateFromTenor(F99,"1D","FOLLOWING","TGT")</f>
        <v>42640</v>
      </c>
      <c r="G100" s="95">
        <f ca="1"/>
        <v>-3.6454752819825567E-3</v>
      </c>
      <c r="H100" s="92" t="s">
        <v>4</v>
      </c>
      <c r="I100" s="97">
        <f>_xll.meDateFromTenor(I99,"1D","FOLLOWING","TGT")</f>
        <v>42640</v>
      </c>
      <c r="J100" s="95">
        <f ca="1"/>
        <v>-2.8131543570021826E-3</v>
      </c>
      <c r="K100" s="5" t="s">
        <v>4</v>
      </c>
      <c r="L100" s="97">
        <f>_xll.meDateFromTenor(L99,"1D","FOLLOWING","TGT")</f>
        <v>42640</v>
      </c>
      <c r="M100" s="95">
        <f ca="1"/>
        <v>-1.6202383053099982E-3</v>
      </c>
      <c r="N100" s="5" t="s">
        <v>4</v>
      </c>
      <c r="O100" s="97">
        <f>_xll.meDateFromTenor(O99,"1D","FOLLOWING","TGT")</f>
        <v>42640</v>
      </c>
      <c r="P100" s="95">
        <f ca="1"/>
        <v>-2.3378663386015028E-4</v>
      </c>
      <c r="Q100" s="5" t="s">
        <v>4</v>
      </c>
      <c r="R100" s="83" t="s">
        <v>4</v>
      </c>
    </row>
    <row r="101" spans="1:18" x14ac:dyDescent="0.25">
      <c r="A101" s="88">
        <v>87</v>
      </c>
      <c r="B101" s="82"/>
      <c r="C101" s="97">
        <f>_xll.meDateFromTenor(C100,"1D","FOLLOWING","TGT")</f>
        <v>42641</v>
      </c>
      <c r="D101" s="95">
        <f ca="1"/>
        <v>-3.7031454991102164E-3</v>
      </c>
      <c r="E101" s="92"/>
      <c r="F101" s="97">
        <f>_xll.meDateFromTenor(F100,"1D","FOLLOWING","TGT")</f>
        <v>42641</v>
      </c>
      <c r="G101" s="95">
        <f ca="1"/>
        <v>-3.646885937379443E-3</v>
      </c>
      <c r="H101" s="92" t="s">
        <v>4</v>
      </c>
      <c r="I101" s="97">
        <f>_xll.meDateFromTenor(I100,"1D","FOLLOWING","TGT")</f>
        <v>42641</v>
      </c>
      <c r="J101" s="95">
        <f ca="1"/>
        <v>-2.8149729328274943E-3</v>
      </c>
      <c r="K101" s="5" t="s">
        <v>4</v>
      </c>
      <c r="L101" s="97">
        <f>_xll.meDateFromTenor(L100,"1D","FOLLOWING","TGT")</f>
        <v>42641</v>
      </c>
      <c r="M101" s="95">
        <f ca="1"/>
        <v>-1.6209715676941694E-3</v>
      </c>
      <c r="N101" s="5" t="s">
        <v>4</v>
      </c>
      <c r="O101" s="97">
        <f>_xll.meDateFromTenor(O100,"1D","FOLLOWING","TGT")</f>
        <v>42641</v>
      </c>
      <c r="P101" s="95">
        <f ca="1"/>
        <v>-2.3435335336707911E-4</v>
      </c>
      <c r="Q101" s="5" t="s">
        <v>4</v>
      </c>
      <c r="R101" s="83" t="s">
        <v>4</v>
      </c>
    </row>
    <row r="102" spans="1:18" x14ac:dyDescent="0.25">
      <c r="A102" s="88">
        <v>88</v>
      </c>
      <c r="B102" s="82"/>
      <c r="C102" s="97">
        <f>_xll.meDateFromTenor(C101,"1D","FOLLOWING","TGT")</f>
        <v>42642</v>
      </c>
      <c r="D102" s="95">
        <f ca="1"/>
        <v>-3.7031454990704704E-3</v>
      </c>
      <c r="E102" s="92"/>
      <c r="F102" s="97">
        <f>_xll.meDateFromTenor(F101,"1D","FOLLOWING","TGT")</f>
        <v>42642</v>
      </c>
      <c r="G102" s="95">
        <f ca="1"/>
        <v>-3.6482985597280954E-3</v>
      </c>
      <c r="H102" s="92" t="s">
        <v>4</v>
      </c>
      <c r="I102" s="97">
        <f>_xll.meDateFromTenor(I101,"1D","FOLLOWING","TGT")</f>
        <v>42642</v>
      </c>
      <c r="J102" s="95">
        <f ca="1"/>
        <v>-2.816792413128644E-3</v>
      </c>
      <c r="K102" s="5" t="s">
        <v>4</v>
      </c>
      <c r="L102" s="97">
        <f>_xll.meDateFromTenor(L101,"1D","FOLLOWING","TGT")</f>
        <v>42642</v>
      </c>
      <c r="M102" s="95">
        <f ca="1"/>
        <v>-1.6217038597327962E-3</v>
      </c>
      <c r="N102" s="5" t="s">
        <v>4</v>
      </c>
      <c r="O102" s="97">
        <f>_xll.meDateFromTenor(O101,"1D","FOLLOWING","TGT")</f>
        <v>42642</v>
      </c>
      <c r="P102" s="95">
        <f ca="1"/>
        <v>-2.3491625825629867E-4</v>
      </c>
      <c r="Q102" s="5" t="s">
        <v>4</v>
      </c>
      <c r="R102" s="83" t="s">
        <v>4</v>
      </c>
    </row>
    <row r="103" spans="1:18" x14ac:dyDescent="0.25">
      <c r="A103" s="88">
        <v>89</v>
      </c>
      <c r="B103" s="82"/>
      <c r="C103" s="97">
        <f>_xll.meDateFromTenor(C102,"1D","FOLLOWING","TGT")</f>
        <v>42643</v>
      </c>
      <c r="D103" s="95">
        <f ca="1"/>
        <v>-3.7031782465967167E-3</v>
      </c>
      <c r="E103" s="92"/>
      <c r="F103" s="97">
        <f>_xll.meDateFromTenor(F102,"1D","FOLLOWING","TGT")</f>
        <v>42643</v>
      </c>
      <c r="G103" s="95">
        <f ca="1"/>
        <v>-3.6497132067279752E-3</v>
      </c>
      <c r="H103" s="92" t="s">
        <v>4</v>
      </c>
      <c r="I103" s="97">
        <f>_xll.meDateFromTenor(I102,"1D","FOLLOWING","TGT")</f>
        <v>42643</v>
      </c>
      <c r="J103" s="95">
        <f ca="1"/>
        <v>-2.8186115623748753E-3</v>
      </c>
      <c r="K103" s="5" t="s">
        <v>4</v>
      </c>
      <c r="L103" s="97">
        <f>_xll.meDateFromTenor(L102,"1D","FOLLOWING","TGT")</f>
        <v>42643</v>
      </c>
      <c r="M103" s="95">
        <f ca="1"/>
        <v>-1.6224351732026107E-3</v>
      </c>
      <c r="N103" s="5" t="s">
        <v>4</v>
      </c>
      <c r="O103" s="97">
        <f>_xll.meDateFromTenor(O102,"1D","FOLLOWING","TGT")</f>
        <v>42643</v>
      </c>
      <c r="P103" s="95">
        <f ca="1"/>
        <v>-2.3547531620054005E-4</v>
      </c>
      <c r="Q103" s="5" t="s">
        <v>4</v>
      </c>
      <c r="R103" s="83" t="s">
        <v>4</v>
      </c>
    </row>
    <row r="104" spans="1:18" x14ac:dyDescent="0.25">
      <c r="A104" s="88">
        <v>90</v>
      </c>
      <c r="B104" s="82"/>
      <c r="C104" s="97">
        <f>_xll.meDateFromTenor(C103,"1D","FOLLOWING","TGT")</f>
        <v>42646</v>
      </c>
      <c r="D104" s="95">
        <f ca="1"/>
        <v>-3.7031454990704704E-3</v>
      </c>
      <c r="E104" s="92"/>
      <c r="F104" s="97">
        <f>_xll.meDateFromTenor(F103,"1D","FOLLOWING","TGT")</f>
        <v>42646</v>
      </c>
      <c r="G104" s="95">
        <f ca="1"/>
        <v>-3.6539698726295953E-3</v>
      </c>
      <c r="H104" s="92" t="s">
        <v>4</v>
      </c>
      <c r="I104" s="97">
        <f>_xll.meDateFromTenor(I103,"1D","FOLLOWING","TGT")</f>
        <v>42646</v>
      </c>
      <c r="J104" s="95">
        <f ca="1"/>
        <v>-2.8240685253840955E-3</v>
      </c>
      <c r="K104" s="5" t="s">
        <v>4</v>
      </c>
      <c r="L104" s="97">
        <f>_xll.meDateFromTenor(L103,"1D","FOLLOWING","TGT")</f>
        <v>42646</v>
      </c>
      <c r="M104" s="95">
        <f ca="1"/>
        <v>-1.6246231599665081E-3</v>
      </c>
      <c r="N104" s="5" t="s">
        <v>4</v>
      </c>
      <c r="O104" s="97">
        <f>_xll.meDateFromTenor(O103,"1D","FOLLOWING","TGT")</f>
        <v>42646</v>
      </c>
      <c r="P104" s="95">
        <f ca="1"/>
        <v>-2.3712908509070893E-4</v>
      </c>
      <c r="Q104" s="5" t="s">
        <v>4</v>
      </c>
      <c r="R104" s="83" t="s">
        <v>4</v>
      </c>
    </row>
    <row r="105" spans="1:18" x14ac:dyDescent="0.25">
      <c r="A105" s="88">
        <v>91</v>
      </c>
      <c r="B105" s="82"/>
      <c r="C105" s="97">
        <f>_xll.meDateFromTenor(C104,"1D","FOLLOWING","TGT")</f>
        <v>42647</v>
      </c>
      <c r="D105" s="95">
        <f ca="1"/>
        <v>-3.7031454989907564E-3</v>
      </c>
      <c r="E105" s="92"/>
      <c r="F105" s="97">
        <f>_xll.meDateFromTenor(F104,"1D","FOLLOWING","TGT")</f>
        <v>42647</v>
      </c>
      <c r="G105" s="95">
        <f ca="1"/>
        <v>-3.6553931550851789E-3</v>
      </c>
      <c r="H105" s="92" t="s">
        <v>4</v>
      </c>
      <c r="I105" s="97">
        <f>_xll.meDateFromTenor(I104,"1D","FOLLOWING","TGT")</f>
        <v>42647</v>
      </c>
      <c r="J105" s="95">
        <f ca="1"/>
        <v>-2.8258875622307889E-3</v>
      </c>
      <c r="K105" s="5" t="s">
        <v>4</v>
      </c>
      <c r="L105" s="97">
        <f>_xll.meDateFromTenor(L104,"1D","FOLLOWING","TGT")</f>
        <v>42647</v>
      </c>
      <c r="M105" s="95">
        <f ca="1"/>
        <v>-1.6253504769284009E-3</v>
      </c>
      <c r="N105" s="5" t="s">
        <v>4</v>
      </c>
      <c r="O105" s="97">
        <f>_xll.meDateFromTenor(O104,"1D","FOLLOWING","TGT")</f>
        <v>42647</v>
      </c>
      <c r="P105" s="95">
        <f ca="1"/>
        <v>-2.3767243198235098E-4</v>
      </c>
      <c r="Q105" s="5" t="s">
        <v>4</v>
      </c>
      <c r="R105" s="83" t="s">
        <v>4</v>
      </c>
    </row>
    <row r="106" spans="1:18" x14ac:dyDescent="0.25">
      <c r="A106" s="88">
        <v>92</v>
      </c>
      <c r="B106" s="82"/>
      <c r="C106" s="97">
        <f>_xll.meDateFromTenor(C105,"1D","FOLLOWING","TGT")</f>
        <v>42648</v>
      </c>
      <c r="D106" s="95">
        <f ca="1"/>
        <v>-3.7031454990704704E-3</v>
      </c>
      <c r="E106" s="92"/>
      <c r="F106" s="97">
        <f>_xll.meDateFromTenor(F105,"1D","FOLLOWING","TGT")</f>
        <v>42648</v>
      </c>
      <c r="G106" s="95">
        <f ca="1"/>
        <v>-3.6568185098263682E-3</v>
      </c>
      <c r="H106" s="92" t="s">
        <v>4</v>
      </c>
      <c r="I106" s="97">
        <f>_xll.meDateFromTenor(I105,"1D","FOLLOWING","TGT")</f>
        <v>42648</v>
      </c>
      <c r="J106" s="95">
        <f ca="1"/>
        <v>-2.8277065815108244E-3</v>
      </c>
      <c r="K106" s="5" t="s">
        <v>4</v>
      </c>
      <c r="L106" s="97">
        <f>_xll.meDateFromTenor(L105,"1D","FOLLOWING","TGT")</f>
        <v>42648</v>
      </c>
      <c r="M106" s="95">
        <f ca="1"/>
        <v>-1.626076774205145E-3</v>
      </c>
      <c r="N106" s="5" t="s">
        <v>4</v>
      </c>
      <c r="O106" s="97">
        <f>_xll.meDateFromTenor(O105,"1D","FOLLOWING","TGT")</f>
        <v>42648</v>
      </c>
      <c r="P106" s="95">
        <f ca="1"/>
        <v>-2.3821177029267134E-4</v>
      </c>
      <c r="Q106" s="5" t="s">
        <v>4</v>
      </c>
      <c r="R106" s="83" t="s">
        <v>4</v>
      </c>
    </row>
    <row r="107" spans="1:18" x14ac:dyDescent="0.25">
      <c r="A107" s="88">
        <v>93</v>
      </c>
      <c r="B107" s="82"/>
      <c r="C107" s="97">
        <f>_xll.meDateFromTenor(C106,"1D","FOLLOWING","TGT")</f>
        <v>42649</v>
      </c>
      <c r="D107" s="95">
        <f ca="1"/>
        <v>-3.7031454990306134E-3</v>
      </c>
      <c r="E107" s="92"/>
      <c r="F107" s="97">
        <f>_xll.meDateFromTenor(F106,"1D","FOLLOWING","TGT")</f>
        <v>42649</v>
      </c>
      <c r="G107" s="95">
        <f ca="1"/>
        <v>-3.6582457536896967E-3</v>
      </c>
      <c r="H107" s="92" t="s">
        <v>4</v>
      </c>
      <c r="I107" s="97">
        <f>_xll.meDateFromTenor(I106,"1D","FOLLOWING","TGT")</f>
        <v>42649</v>
      </c>
      <c r="J107" s="95">
        <f ca="1"/>
        <v>-2.8295256069324659E-3</v>
      </c>
      <c r="K107" s="5" t="s">
        <v>4</v>
      </c>
      <c r="L107" s="97">
        <f>_xll.meDateFromTenor(L106,"1D","FOLLOWING","TGT")</f>
        <v>42649</v>
      </c>
      <c r="M107" s="95">
        <f ca="1"/>
        <v>-1.6268020435734731E-3</v>
      </c>
      <c r="N107" s="5" t="s">
        <v>4</v>
      </c>
      <c r="O107" s="97">
        <f>_xll.meDateFromTenor(O106,"1D","FOLLOWING","TGT")</f>
        <v>42649</v>
      </c>
      <c r="P107" s="95">
        <f ca="1"/>
        <v>-2.3874706769440134E-4</v>
      </c>
      <c r="Q107" s="5" t="s">
        <v>4</v>
      </c>
      <c r="R107" s="83" t="s">
        <v>4</v>
      </c>
    </row>
    <row r="108" spans="1:18" x14ac:dyDescent="0.25">
      <c r="A108" s="88">
        <v>94</v>
      </c>
      <c r="B108" s="82"/>
      <c r="C108" s="97">
        <f>_xll.meDateFromTenor(C107,"1D","FOLLOWING","TGT")</f>
        <v>42650</v>
      </c>
      <c r="D108" s="95">
        <f ca="1"/>
        <v>-3.7031777968646873E-3</v>
      </c>
      <c r="E108" s="92"/>
      <c r="F108" s="97">
        <f>_xll.meDateFromTenor(F107,"1D","FOLLOWING","TGT")</f>
        <v>42650</v>
      </c>
      <c r="G108" s="95">
        <f ca="1"/>
        <v>-3.6596747035116954E-3</v>
      </c>
      <c r="H108" s="92" t="s">
        <v>4</v>
      </c>
      <c r="I108" s="97">
        <f>_xll.meDateFromTenor(I107,"1D","FOLLOWING","TGT")</f>
        <v>42650</v>
      </c>
      <c r="J108" s="95">
        <f ca="1"/>
        <v>-2.8313446376381935E-3</v>
      </c>
      <c r="K108" s="5" t="s">
        <v>4</v>
      </c>
      <c r="L108" s="97">
        <f>_xll.meDateFromTenor(L107,"1D","FOLLOWING","TGT")</f>
        <v>42650</v>
      </c>
      <c r="M108" s="95">
        <f ca="1"/>
        <v>-1.6275262768101176E-3</v>
      </c>
      <c r="N108" s="5" t="s">
        <v>4</v>
      </c>
      <c r="O108" s="97">
        <f>_xll.meDateFromTenor(O107,"1D","FOLLOWING","TGT")</f>
        <v>42650</v>
      </c>
      <c r="P108" s="95">
        <f ca="1"/>
        <v>-2.3927829186027222E-4</v>
      </c>
      <c r="Q108" s="5" t="s">
        <v>4</v>
      </c>
      <c r="R108" s="83" t="s">
        <v>4</v>
      </c>
    </row>
    <row r="109" spans="1:18" x14ac:dyDescent="0.25">
      <c r="A109" s="88">
        <v>95</v>
      </c>
      <c r="B109" s="82"/>
      <c r="C109" s="97">
        <f>_xll.meDateFromTenor(C108,"1D","FOLLOWING","TGT")</f>
        <v>42653</v>
      </c>
      <c r="D109" s="95">
        <f ca="1"/>
        <v>-3.7031454989907564E-3</v>
      </c>
      <c r="E109" s="92"/>
      <c r="F109" s="97">
        <f>_xll.meDateFromTenor(F108,"1D","FOLLOWING","TGT")</f>
        <v>42653</v>
      </c>
      <c r="G109" s="95">
        <f ca="1"/>
        <v>-3.6639699570950447E-3</v>
      </c>
      <c r="H109" s="92" t="s">
        <v>4</v>
      </c>
      <c r="I109" s="97">
        <f>_xll.meDateFromTenor(I108,"1D","FOLLOWING","TGT")</f>
        <v>42653</v>
      </c>
      <c r="J109" s="95">
        <f ca="1"/>
        <v>-2.8368017173322105E-3</v>
      </c>
      <c r="K109" s="5" t="s">
        <v>4</v>
      </c>
      <c r="L109" s="97">
        <f>_xll.meDateFromTenor(L108,"1D","FOLLOWING","TGT")</f>
        <v>42653</v>
      </c>
      <c r="M109" s="95">
        <f ca="1"/>
        <v>-1.6296926774972775E-3</v>
      </c>
      <c r="N109" s="5" t="s">
        <v>4</v>
      </c>
      <c r="O109" s="97">
        <f>_xll.meDateFromTenor(O108,"1D","FOLLOWING","TGT")</f>
        <v>42653</v>
      </c>
      <c r="P109" s="95">
        <f ca="1"/>
        <v>-2.408472016700429E-4</v>
      </c>
      <c r="Q109" s="5" t="s">
        <v>4</v>
      </c>
      <c r="R109" s="83" t="s">
        <v>4</v>
      </c>
    </row>
    <row r="110" spans="1:18" x14ac:dyDescent="0.25">
      <c r="A110" s="88">
        <v>96</v>
      </c>
      <c r="B110" s="82"/>
      <c r="C110" s="97">
        <f>_xll.meDateFromTenor(C109,"1D","FOLLOWING","TGT")</f>
        <v>42654</v>
      </c>
      <c r="D110" s="95">
        <f ca="1"/>
        <v>-3.7031454990704704E-3</v>
      </c>
      <c r="E110" s="92"/>
      <c r="F110" s="97">
        <f>_xll.meDateFromTenor(F109,"1D","FOLLOWING","TGT")</f>
        <v>42654</v>
      </c>
      <c r="G110" s="95">
        <f ca="1"/>
        <v>-3.6654038991170532E-3</v>
      </c>
      <c r="H110" s="92" t="s">
        <v>4</v>
      </c>
      <c r="I110" s="97">
        <f>_xll.meDateFromTenor(I109,"1D","FOLLOWING","TGT")</f>
        <v>42654</v>
      </c>
      <c r="J110" s="95">
        <f ca="1"/>
        <v>-2.838620749891857E-3</v>
      </c>
      <c r="K110" s="5" t="s">
        <v>4</v>
      </c>
      <c r="L110" s="97">
        <f>_xll.meDateFromTenor(L109,"1D","FOLLOWING","TGT")</f>
        <v>42654</v>
      </c>
      <c r="M110" s="95">
        <f ca="1"/>
        <v>-1.630412683974515E-3</v>
      </c>
      <c r="N110" s="5" t="s">
        <v>4</v>
      </c>
      <c r="O110" s="97">
        <f>_xll.meDateFromTenor(O109,"1D","FOLLOWING","TGT")</f>
        <v>42654</v>
      </c>
      <c r="P110" s="95">
        <f ca="1"/>
        <v>-2.4136180961979015E-4</v>
      </c>
      <c r="Q110" s="5" t="s">
        <v>4</v>
      </c>
      <c r="R110" s="83" t="s">
        <v>4</v>
      </c>
    </row>
    <row r="111" spans="1:18" x14ac:dyDescent="0.25">
      <c r="A111" s="88">
        <v>97</v>
      </c>
      <c r="B111" s="82"/>
      <c r="C111" s="97">
        <f>_xll.meDateFromTenor(C110,"1D","FOLLOWING","TGT")</f>
        <v>42655</v>
      </c>
      <c r="D111" s="95">
        <f ca="1"/>
        <v>-3.7031454990306134E-3</v>
      </c>
      <c r="E111" s="92"/>
      <c r="F111" s="97">
        <f>_xll.meDateFromTenor(F110,"1D","FOLLOWING","TGT")</f>
        <v>42655</v>
      </c>
      <c r="G111" s="95">
        <f ca="1"/>
        <v>-3.6668386312803951E-3</v>
      </c>
      <c r="H111" s="92" t="s">
        <v>4</v>
      </c>
      <c r="I111" s="97">
        <f>_xll.meDateFromTenor(I110,"1D","FOLLOWING","TGT")</f>
        <v>42655</v>
      </c>
      <c r="J111" s="95">
        <f ca="1"/>
        <v>-2.8404397941563624E-3</v>
      </c>
      <c r="K111" s="5" t="s">
        <v>4</v>
      </c>
      <c r="L111" s="97">
        <f>_xll.meDateFromTenor(L110,"1D","FOLLOWING","TGT")</f>
        <v>42655</v>
      </c>
      <c r="M111" s="95">
        <f ca="1"/>
        <v>-1.6311316132037327E-3</v>
      </c>
      <c r="N111" s="5" t="s">
        <v>4</v>
      </c>
      <c r="O111" s="97">
        <f>_xll.meDateFromTenor(O110,"1D","FOLLOWING","TGT")</f>
        <v>42655</v>
      </c>
      <c r="P111" s="95">
        <f ca="1"/>
        <v>-2.4187218269733457E-4</v>
      </c>
      <c r="Q111" s="5" t="s">
        <v>4</v>
      </c>
      <c r="R111" s="83" t="s">
        <v>4</v>
      </c>
    </row>
    <row r="112" spans="1:18" x14ac:dyDescent="0.25">
      <c r="A112" s="88">
        <v>98</v>
      </c>
      <c r="B112" s="82"/>
      <c r="C112" s="97">
        <f>_xll.meDateFromTenor(C111,"1D","FOLLOWING","TGT")</f>
        <v>42656</v>
      </c>
      <c r="D112" s="95">
        <f ca="1"/>
        <v>-3.7031454991103274E-3</v>
      </c>
      <c r="E112" s="92"/>
      <c r="F112" s="97">
        <f>_xll.meDateFromTenor(F111,"1D","FOLLOWING","TGT")</f>
        <v>42656</v>
      </c>
      <c r="G112" s="95">
        <f ca="1"/>
        <v>-3.6682739704216026E-3</v>
      </c>
      <c r="H112" s="92" t="s">
        <v>4</v>
      </c>
      <c r="I112" s="97">
        <f>_xll.meDateFromTenor(I111,"1D","FOLLOWING","TGT")</f>
        <v>42656</v>
      </c>
      <c r="J112" s="95">
        <f ca="1"/>
        <v>-2.842258806019553E-3</v>
      </c>
      <c r="K112" s="5" t="s">
        <v>4</v>
      </c>
      <c r="L112" s="97">
        <f>_xll.meDateFromTenor(L111,"1D","FOLLOWING","TGT")</f>
        <v>42656</v>
      </c>
      <c r="M112" s="95">
        <f ca="1"/>
        <v>-1.6318494569616626E-3</v>
      </c>
      <c r="N112" s="5" t="s">
        <v>4</v>
      </c>
      <c r="O112" s="97">
        <f>_xll.meDateFromTenor(O111,"1D","FOLLOWING","TGT")</f>
        <v>42656</v>
      </c>
      <c r="P112" s="95">
        <f ca="1"/>
        <v>-2.4237828857540762E-4</v>
      </c>
      <c r="Q112" s="5" t="s">
        <v>4</v>
      </c>
      <c r="R112" s="83" t="s">
        <v>4</v>
      </c>
    </row>
    <row r="113" spans="1:18" x14ac:dyDescent="0.25">
      <c r="A113" s="88">
        <v>99</v>
      </c>
      <c r="B113" s="82"/>
      <c r="C113" s="97">
        <f>_xll.meDateFromTenor(C112,"1D","FOLLOWING","TGT")</f>
        <v>42657</v>
      </c>
      <c r="D113" s="95">
        <f ca="1"/>
        <v>-3.7036041612912296E-3</v>
      </c>
      <c r="E113" s="92"/>
      <c r="F113" s="97">
        <f>_xll.meDateFromTenor(F112,"1D","FOLLOWING","TGT")</f>
        <v>42657</v>
      </c>
      <c r="G113" s="95">
        <f ca="1"/>
        <v>-3.669709733377209E-3</v>
      </c>
      <c r="H113" s="92" t="s">
        <v>4</v>
      </c>
      <c r="I113" s="97">
        <f>_xll.meDateFromTenor(I112,"1D","FOLLOWING","TGT")</f>
        <v>42657</v>
      </c>
      <c r="J113" s="95">
        <f ca="1"/>
        <v>-2.8440777737766001E-3</v>
      </c>
      <c r="K113" s="5" t="s">
        <v>4</v>
      </c>
      <c r="L113" s="97">
        <f>_xll.meDateFromTenor(L112,"1D","FOLLOWING","TGT")</f>
        <v>42657</v>
      </c>
      <c r="M113" s="95">
        <f ca="1"/>
        <v>-1.632566207025038E-3</v>
      </c>
      <c r="N113" s="5" t="s">
        <v>4</v>
      </c>
      <c r="O113" s="97">
        <f>_xll.meDateFromTenor(O112,"1D","FOLLOWING","TGT")</f>
        <v>42657</v>
      </c>
      <c r="P113" s="95">
        <f ca="1"/>
        <v>-2.4288009492674041E-4</v>
      </c>
      <c r="Q113" s="5" t="s">
        <v>4</v>
      </c>
      <c r="R113" s="83" t="s">
        <v>4</v>
      </c>
    </row>
    <row r="114" spans="1:18" x14ac:dyDescent="0.25">
      <c r="A114" s="88">
        <v>100</v>
      </c>
      <c r="B114" s="82"/>
      <c r="C114" s="97">
        <f>_xll.meDateFromTenor(C113,"1D","FOLLOWING","TGT")</f>
        <v>42660</v>
      </c>
      <c r="D114" s="95">
        <f ca="1"/>
        <v>-3.7031454990306134E-3</v>
      </c>
      <c r="E114" s="92"/>
      <c r="F114" s="97">
        <f>_xll.meDateFromTenor(F113,"1D","FOLLOWING","TGT")</f>
        <v>42660</v>
      </c>
      <c r="G114" s="95">
        <f ca="1"/>
        <v>-3.6740177334957432E-3</v>
      </c>
      <c r="H114" s="92" t="s">
        <v>4</v>
      </c>
      <c r="I114" s="97">
        <f>_xll.meDateFromTenor(I113,"1D","FOLLOWING","TGT")</f>
        <v>42660</v>
      </c>
      <c r="J114" s="95">
        <f ca="1"/>
        <v>-2.8495349182730868E-3</v>
      </c>
      <c r="K114" s="5" t="s">
        <v>4</v>
      </c>
      <c r="L114" s="97">
        <f>_xll.meDateFromTenor(L113,"1D","FOLLOWING","TGT")</f>
        <v>42660</v>
      </c>
      <c r="M114" s="95">
        <f ca="1"/>
        <v>-1.6347098128151633E-3</v>
      </c>
      <c r="N114" s="5" t="s">
        <v>4</v>
      </c>
      <c r="O114" s="97">
        <f>_xll.meDateFromTenor(O113,"1D","FOLLOWING","TGT")</f>
        <v>42660</v>
      </c>
      <c r="P114" s="95">
        <f ca="1"/>
        <v>-2.4435939354761077E-4</v>
      </c>
      <c r="Q114" s="5" t="s">
        <v>4</v>
      </c>
      <c r="R114" s="83" t="s">
        <v>4</v>
      </c>
    </row>
    <row r="115" spans="1:18" x14ac:dyDescent="0.25">
      <c r="A115" s="88">
        <v>101</v>
      </c>
      <c r="B115" s="82"/>
      <c r="C115" s="97">
        <f>_xll.meDateFromTenor(C114,"1D","FOLLOWING","TGT")</f>
        <v>42661</v>
      </c>
      <c r="D115" s="95">
        <f ca="1"/>
        <v>-3.7031454990306134E-3</v>
      </c>
      <c r="E115" s="92"/>
      <c r="F115" s="97">
        <f>_xll.meDateFromTenor(F114,"1D","FOLLOWING","TGT")</f>
        <v>42661</v>
      </c>
      <c r="G115" s="95">
        <f ca="1"/>
        <v>-3.6754533600742681E-3</v>
      </c>
      <c r="H115" s="92" t="s">
        <v>4</v>
      </c>
      <c r="I115" s="97">
        <f>_xll.meDateFromTenor(I114,"1D","FOLLOWING","TGT")</f>
        <v>42661</v>
      </c>
      <c r="J115" s="95">
        <f ca="1"/>
        <v>-2.8513531065428579E-3</v>
      </c>
      <c r="K115" s="5" t="s">
        <v>4</v>
      </c>
      <c r="L115" s="97">
        <f>_xll.meDateFromTenor(L114,"1D","FOLLOWING","TGT")</f>
        <v>42661</v>
      </c>
      <c r="M115" s="95">
        <f ca="1"/>
        <v>-1.6354221058676463E-3</v>
      </c>
      <c r="N115" s="5" t="s">
        <v>4</v>
      </c>
      <c r="O115" s="97">
        <f>_xll.meDateFromTenor(O114,"1D","FOLLOWING","TGT")</f>
        <v>42661</v>
      </c>
      <c r="P115" s="95">
        <f ca="1"/>
        <v>-2.4484367851929567E-4</v>
      </c>
      <c r="Q115" s="5" t="s">
        <v>4</v>
      </c>
      <c r="R115" s="83" t="s">
        <v>4</v>
      </c>
    </row>
    <row r="116" spans="1:18" x14ac:dyDescent="0.25">
      <c r="A116" s="88">
        <v>102</v>
      </c>
      <c r="B116" s="82"/>
      <c r="C116" s="97">
        <f>_xll.meDateFromTenor(C115,"1D","FOLLOWING","TGT")</f>
        <v>42662</v>
      </c>
      <c r="D116" s="95">
        <f ca="1"/>
        <v>-3.7031454989908674E-3</v>
      </c>
      <c r="E116" s="92"/>
      <c r="F116" s="97">
        <f>_xll.meDateFromTenor(F115,"1D","FOLLOWING","TGT")</f>
        <v>42662</v>
      </c>
      <c r="G116" s="95">
        <f ca="1"/>
        <v>-3.6768884946498537E-3</v>
      </c>
      <c r="H116" s="92" t="s">
        <v>4</v>
      </c>
      <c r="I116" s="97">
        <f>_xll.meDateFromTenor(I115,"1D","FOLLOWING","TGT")</f>
        <v>42662</v>
      </c>
      <c r="J116" s="95">
        <f ca="1"/>
        <v>-2.8531729744004416E-3</v>
      </c>
      <c r="K116" s="5" t="s">
        <v>4</v>
      </c>
      <c r="L116" s="97">
        <f>_xll.meDateFromTenor(L115,"1D","FOLLOWING","TGT")</f>
        <v>42662</v>
      </c>
      <c r="M116" s="95">
        <f ca="1"/>
        <v>-1.6361332641092387E-3</v>
      </c>
      <c r="N116" s="5" t="s">
        <v>4</v>
      </c>
      <c r="O116" s="97">
        <f>_xll.meDateFromTenor(O115,"1D","FOLLOWING","TGT")</f>
        <v>42662</v>
      </c>
      <c r="P116" s="95">
        <f ca="1"/>
        <v>-2.4532350232789682E-4</v>
      </c>
      <c r="Q116" s="5" t="s">
        <v>4</v>
      </c>
      <c r="R116" s="83" t="s">
        <v>4</v>
      </c>
    </row>
    <row r="117" spans="1:18" x14ac:dyDescent="0.25">
      <c r="A117" s="88">
        <v>103</v>
      </c>
      <c r="B117" s="82"/>
      <c r="C117" s="97">
        <f>_xll.meDateFromTenor(C116,"1D","FOLLOWING","TGT")</f>
        <v>42663</v>
      </c>
      <c r="D117" s="95">
        <f ca="1"/>
        <v>-3.8127332717218243E-3</v>
      </c>
      <c r="E117" s="92"/>
      <c r="F117" s="97">
        <f>_xll.meDateFromTenor(F116,"1D","FOLLOWING","TGT")</f>
        <v>42663</v>
      </c>
      <c r="G117" s="95">
        <f ca="1"/>
        <v>-3.6783229540590331E-3</v>
      </c>
      <c r="H117" s="92" t="s">
        <v>4</v>
      </c>
      <c r="I117" s="97">
        <f>_xll.meDateFromTenor(I116,"1D","FOLLOWING","TGT")</f>
        <v>42663</v>
      </c>
      <c r="J117" s="95">
        <f ca="1"/>
        <v>-2.8549964612631499E-3</v>
      </c>
      <c r="K117" s="5" t="s">
        <v>4</v>
      </c>
      <c r="L117" s="97">
        <f>_xll.meDateFromTenor(L116,"1D","FOLLOWING","TGT")</f>
        <v>42663</v>
      </c>
      <c r="M117" s="95">
        <f ca="1"/>
        <v>-1.636843279316672E-3</v>
      </c>
      <c r="N117" s="5" t="s">
        <v>4</v>
      </c>
      <c r="O117" s="97">
        <f>_xll.meDateFromTenor(O116,"1D","FOLLOWING","TGT")</f>
        <v>42663</v>
      </c>
      <c r="P117" s="95">
        <f ca="1"/>
        <v>-2.4579883264614543E-4</v>
      </c>
      <c r="Q117" s="5" t="s">
        <v>4</v>
      </c>
      <c r="R117" s="83" t="s">
        <v>4</v>
      </c>
    </row>
    <row r="118" spans="1:18" x14ac:dyDescent="0.25">
      <c r="A118" s="88">
        <v>104</v>
      </c>
      <c r="B118" s="82"/>
      <c r="C118" s="97">
        <f>_xll.meDateFromTenor(C117,"1D","FOLLOWING","TGT")</f>
        <v>42664</v>
      </c>
      <c r="D118" s="95">
        <f ca="1"/>
        <v>-3.8230421054191721E-3</v>
      </c>
      <c r="E118" s="92"/>
      <c r="F118" s="97">
        <f>_xll.meDateFromTenor(F117,"1D","FOLLOWING","TGT")</f>
        <v>42664</v>
      </c>
      <c r="G118" s="95">
        <f ca="1"/>
        <v>-3.6797565551383378E-3</v>
      </c>
      <c r="H118" s="92" t="s">
        <v>4</v>
      </c>
      <c r="I118" s="97">
        <f>_xll.meDateFromTenor(I117,"1D","FOLLOWING","TGT")</f>
        <v>42664</v>
      </c>
      <c r="J118" s="95">
        <f ca="1"/>
        <v>-2.8568216277167833E-3</v>
      </c>
      <c r="K118" s="5" t="s">
        <v>4</v>
      </c>
      <c r="L118" s="97">
        <f>_xll.meDateFromTenor(L117,"1D","FOLLOWING","TGT")</f>
        <v>42664</v>
      </c>
      <c r="M118" s="95">
        <f ca="1"/>
        <v>-1.6375521432666791E-3</v>
      </c>
      <c r="N118" s="5" t="s">
        <v>4</v>
      </c>
      <c r="O118" s="97">
        <f>_xll.meDateFromTenor(O117,"1D","FOLLOWING","TGT")</f>
        <v>42664</v>
      </c>
      <c r="P118" s="95">
        <f ca="1"/>
        <v>-2.4626963714677281E-4</v>
      </c>
      <c r="Q118" s="5" t="s">
        <v>4</v>
      </c>
      <c r="R118" s="83" t="s">
        <v>4</v>
      </c>
    </row>
    <row r="119" spans="1:18" x14ac:dyDescent="0.25">
      <c r="A119" s="88">
        <v>105</v>
      </c>
      <c r="B119" s="82"/>
      <c r="C119" s="97">
        <f>_xll.meDateFromTenor(C118,"1D","FOLLOWING","TGT")</f>
        <v>42667</v>
      </c>
      <c r="D119" s="95">
        <f ca="1"/>
        <v>-3.8127332717218243E-3</v>
      </c>
      <c r="E119" s="92"/>
      <c r="F119" s="97">
        <f>_xll.meDateFromTenor(F118,"1D","FOLLOWING","TGT")</f>
        <v>42667</v>
      </c>
      <c r="G119" s="95">
        <f ca="1"/>
        <v>-3.684050376762333E-3</v>
      </c>
      <c r="H119" s="92" t="s">
        <v>4</v>
      </c>
      <c r="I119" s="97">
        <f>_xll.meDateFromTenor(I118,"1D","FOLLOWING","TGT")</f>
        <v>42667</v>
      </c>
      <c r="J119" s="95">
        <f ca="1"/>
        <v>-2.862294547368235E-3</v>
      </c>
      <c r="K119" s="5" t="s">
        <v>4</v>
      </c>
      <c r="L119" s="97">
        <f>_xll.meDateFromTenor(L118,"1D","FOLLOWING","TGT")</f>
        <v>42667</v>
      </c>
      <c r="M119" s="95">
        <f ca="1"/>
        <v>-1.6396717453394721E-3</v>
      </c>
      <c r="N119" s="5" t="s">
        <v>4</v>
      </c>
      <c r="O119" s="97">
        <f>_xll.meDateFromTenor(O118,"1D","FOLLOWING","TGT")</f>
        <v>42667</v>
      </c>
      <c r="P119" s="95">
        <f ca="1"/>
        <v>-2.4765457247024036E-4</v>
      </c>
      <c r="Q119" s="5" t="s">
        <v>4</v>
      </c>
      <c r="R119" s="83" t="s">
        <v>4</v>
      </c>
    </row>
    <row r="120" spans="1:18" x14ac:dyDescent="0.25">
      <c r="A120" s="88">
        <v>106</v>
      </c>
      <c r="B120" s="82"/>
      <c r="C120" s="97">
        <f>_xll.meDateFromTenor(C119,"1D","FOLLOWING","TGT")</f>
        <v>42668</v>
      </c>
      <c r="D120" s="95">
        <f ca="1"/>
        <v>-3.8127332717218243E-3</v>
      </c>
      <c r="E120" s="92"/>
      <c r="F120" s="97">
        <f>_xll.meDateFromTenor(F119,"1D","FOLLOWING","TGT")</f>
        <v>42668</v>
      </c>
      <c r="G120" s="95">
        <f ca="1"/>
        <v>-3.6854787128874664E-3</v>
      </c>
      <c r="H120" s="92" t="s">
        <v>4</v>
      </c>
      <c r="I120" s="97">
        <f>_xll.meDateFromTenor(I119,"1D","FOLLOWING","TGT")</f>
        <v>42668</v>
      </c>
      <c r="J120" s="95">
        <f ca="1"/>
        <v>-2.8641189343492019E-3</v>
      </c>
      <c r="K120" s="5" t="s">
        <v>4</v>
      </c>
      <c r="L120" s="97">
        <f>_xll.meDateFromTenor(L119,"1D","FOLLOWING","TGT")</f>
        <v>42668</v>
      </c>
      <c r="M120" s="95">
        <f ca="1"/>
        <v>-1.6403759220271019E-3</v>
      </c>
      <c r="N120" s="5" t="s">
        <v>4</v>
      </c>
      <c r="O120" s="97">
        <f>_xll.meDateFromTenor(O119,"1D","FOLLOWING","TGT")</f>
        <v>42668</v>
      </c>
      <c r="P120" s="95">
        <f ca="1"/>
        <v>-2.4810695042769558E-4</v>
      </c>
      <c r="Q120" s="5" t="s">
        <v>4</v>
      </c>
      <c r="R120" s="83" t="s">
        <v>4</v>
      </c>
    </row>
    <row r="121" spans="1:18" x14ac:dyDescent="0.25">
      <c r="A121" s="88">
        <v>107</v>
      </c>
      <c r="B121" s="82"/>
      <c r="C121" s="97">
        <f>_xll.meDateFromTenor(C120,"1D","FOLLOWING","TGT")</f>
        <v>42669</v>
      </c>
      <c r="D121" s="95">
        <f ca="1"/>
        <v>-3.8127332716819673E-3</v>
      </c>
      <c r="E121" s="92"/>
      <c r="F121" s="97">
        <f>_xll.meDateFromTenor(F120,"1D","FOLLOWING","TGT")</f>
        <v>42669</v>
      </c>
      <c r="G121" s="95">
        <f ca="1"/>
        <v>-3.6869052748653877E-3</v>
      </c>
      <c r="H121" s="92" t="s">
        <v>4</v>
      </c>
      <c r="I121" s="97">
        <f>_xll.meDateFromTenor(I120,"1D","FOLLOWING","TGT")</f>
        <v>42669</v>
      </c>
      <c r="J121" s="95">
        <f ca="1"/>
        <v>-2.8659432772703925E-3</v>
      </c>
      <c r="K121" s="5" t="s">
        <v>4</v>
      </c>
      <c r="L121" s="97">
        <f>_xll.meDateFromTenor(L120,"1D","FOLLOWING","TGT")</f>
        <v>42669</v>
      </c>
      <c r="M121" s="95">
        <f ca="1"/>
        <v>-1.6410789063409691E-3</v>
      </c>
      <c r="N121" s="5" t="s">
        <v>4</v>
      </c>
      <c r="O121" s="97">
        <f>_xll.meDateFromTenor(O120,"1D","FOLLOWING","TGT")</f>
        <v>42669</v>
      </c>
      <c r="P121" s="95">
        <f ca="1"/>
        <v>-2.4855464093118595E-4</v>
      </c>
      <c r="Q121" s="5" t="s">
        <v>4</v>
      </c>
      <c r="R121" s="83" t="s">
        <v>4</v>
      </c>
    </row>
    <row r="122" spans="1:18" x14ac:dyDescent="0.25">
      <c r="A122" s="88">
        <v>108</v>
      </c>
      <c r="B122" s="82"/>
      <c r="C122" s="97">
        <f>_xll.meDateFromTenor(C121,"1D","FOLLOWING","TGT")</f>
        <v>42670</v>
      </c>
      <c r="D122" s="95">
        <f ca="1"/>
        <v>-3.8127332716819673E-3</v>
      </c>
      <c r="E122" s="92"/>
      <c r="F122" s="97">
        <f>_xll.meDateFromTenor(F121,"1D","FOLLOWING","TGT")</f>
        <v>42670</v>
      </c>
      <c r="G122" s="95">
        <f ca="1"/>
        <v>-3.6883298795326301E-3</v>
      </c>
      <c r="H122" s="92" t="s">
        <v>4</v>
      </c>
      <c r="I122" s="97">
        <f>_xll.meDateFromTenor(I121,"1D","FOLLOWING","TGT")</f>
        <v>42670</v>
      </c>
      <c r="J122" s="95">
        <f ca="1"/>
        <v>-2.8677675876653042E-3</v>
      </c>
      <c r="K122" s="5" t="s">
        <v>4</v>
      </c>
      <c r="L122" s="97">
        <f>_xll.meDateFromTenor(L121,"1D","FOLLOWING","TGT")</f>
        <v>42670</v>
      </c>
      <c r="M122" s="95">
        <f ca="1"/>
        <v>-1.6417806900578065E-3</v>
      </c>
      <c r="N122" s="5" t="s">
        <v>4</v>
      </c>
      <c r="O122" s="97">
        <f>_xll.meDateFromTenor(O121,"1D","FOLLOWING","TGT")</f>
        <v>42670</v>
      </c>
      <c r="P122" s="95">
        <f ca="1"/>
        <v>-2.4899761165344273E-4</v>
      </c>
      <c r="Q122" s="5" t="s">
        <v>4</v>
      </c>
      <c r="R122" s="83" t="s">
        <v>4</v>
      </c>
    </row>
    <row r="123" spans="1:18" x14ac:dyDescent="0.25">
      <c r="A123" s="88">
        <v>109</v>
      </c>
      <c r="B123" s="82"/>
      <c r="C123" s="97">
        <f>_xll.meDateFromTenor(C122,"1D","FOLLOWING","TGT")</f>
        <v>42671</v>
      </c>
      <c r="D123" s="95">
        <f ca="1"/>
        <v>-3.8127571487780454E-3</v>
      </c>
      <c r="E123" s="92"/>
      <c r="F123" s="97">
        <f>_xll.meDateFromTenor(F122,"1D","FOLLOWING","TGT")</f>
        <v>42671</v>
      </c>
      <c r="G123" s="95">
        <f ca="1"/>
        <v>-3.6897523437257255E-3</v>
      </c>
      <c r="H123" s="92" t="s">
        <v>4</v>
      </c>
      <c r="I123" s="97">
        <f>_xll.meDateFromTenor(I122,"1D","FOLLOWING","TGT")</f>
        <v>42671</v>
      </c>
      <c r="J123" s="95">
        <f ca="1"/>
        <v>-2.8695919095937791E-3</v>
      </c>
      <c r="K123" s="5" t="s">
        <v>4</v>
      </c>
      <c r="L123" s="97">
        <f>_xll.meDateFromTenor(L122,"1D","FOLLOWING","TGT")</f>
        <v>42671</v>
      </c>
      <c r="M123" s="95">
        <f ca="1"/>
        <v>-1.6424812649543465E-3</v>
      </c>
      <c r="N123" s="5" t="s">
        <v>4</v>
      </c>
      <c r="O123" s="97">
        <f>_xll.meDateFromTenor(O122,"1D","FOLLOWING","TGT")</f>
        <v>42671</v>
      </c>
      <c r="P123" s="95">
        <f ca="1"/>
        <v>-2.4943583026719728E-4</v>
      </c>
      <c r="Q123" s="5" t="s">
        <v>4</v>
      </c>
      <c r="R123" s="83" t="s">
        <v>4</v>
      </c>
    </row>
    <row r="124" spans="1:18" x14ac:dyDescent="0.25">
      <c r="A124" s="88">
        <v>110</v>
      </c>
      <c r="B124" s="82"/>
      <c r="C124" s="97">
        <f>_xll.meDateFromTenor(C123,"1D","FOLLOWING","TGT")</f>
        <v>42674</v>
      </c>
      <c r="D124" s="95">
        <f ca="1"/>
        <v>-3.8127332717218243E-3</v>
      </c>
      <c r="E124" s="92"/>
      <c r="F124" s="97">
        <f>_xll.meDateFromTenor(F123,"1D","FOLLOWING","TGT")</f>
        <v>42674</v>
      </c>
      <c r="G124" s="95">
        <f ca="1"/>
        <v>-3.6940050618254569E-3</v>
      </c>
      <c r="H124" s="92" t="s">
        <v>4</v>
      </c>
      <c r="I124" s="97">
        <f>_xll.meDateFromTenor(I123,"1D","FOLLOWING","TGT")</f>
        <v>42674</v>
      </c>
      <c r="J124" s="95">
        <f ca="1"/>
        <v>-2.8750648942978459E-3</v>
      </c>
      <c r="K124" s="5" t="s">
        <v>4</v>
      </c>
      <c r="L124" s="97">
        <f>_xll.meDateFromTenor(L123,"1D","FOLLOWING","TGT")</f>
        <v>42674</v>
      </c>
      <c r="M124" s="95">
        <f ca="1"/>
        <v>-1.6445756544895096E-3</v>
      </c>
      <c r="N124" s="5" t="s">
        <v>4</v>
      </c>
      <c r="O124" s="97">
        <f>_xll.meDateFromTenor(O123,"1D","FOLLOWING","TGT")</f>
        <v>42674</v>
      </c>
      <c r="P124" s="95">
        <f ca="1"/>
        <v>-2.5072165018475974E-4</v>
      </c>
      <c r="Q124" s="5" t="s">
        <v>4</v>
      </c>
      <c r="R124" s="83" t="s">
        <v>4</v>
      </c>
    </row>
    <row r="125" spans="1:18" x14ac:dyDescent="0.25">
      <c r="A125" s="88">
        <v>111</v>
      </c>
      <c r="B125" s="82"/>
      <c r="C125" s="97">
        <f>_xll.meDateFromTenor(C124,"1D","FOLLOWING","TGT")</f>
        <v>42675</v>
      </c>
      <c r="D125" s="95">
        <f ca="1"/>
        <v>-3.8127332716421103E-3</v>
      </c>
      <c r="E125" s="92"/>
      <c r="F125" s="97">
        <f>_xll.meDateFromTenor(F124,"1D","FOLLOWING","TGT")</f>
        <v>42675</v>
      </c>
      <c r="G125" s="95">
        <f ca="1"/>
        <v>-3.6954171324872901E-3</v>
      </c>
      <c r="H125" s="92" t="s">
        <v>4</v>
      </c>
      <c r="I125" s="97">
        <f>_xll.meDateFromTenor(I124,"1D","FOLLOWING","TGT")</f>
        <v>42675</v>
      </c>
      <c r="J125" s="95">
        <f ca="1"/>
        <v>-2.8768892150649056E-3</v>
      </c>
      <c r="K125" s="5" t="s">
        <v>4</v>
      </c>
      <c r="L125" s="97">
        <f>_xll.meDateFromTenor(L124,"1D","FOLLOWING","TGT")</f>
        <v>42675</v>
      </c>
      <c r="M125" s="95">
        <f ca="1"/>
        <v>-1.6452713118721872E-3</v>
      </c>
      <c r="N125" s="5" t="s">
        <v>4</v>
      </c>
      <c r="O125" s="97">
        <f>_xll.meDateFromTenor(O124,"1D","FOLLOWING","TGT")</f>
        <v>42675</v>
      </c>
      <c r="P125" s="95">
        <f ca="1"/>
        <v>-2.5114053709181792E-4</v>
      </c>
      <c r="Q125" s="5" t="s">
        <v>4</v>
      </c>
      <c r="R125" s="83" t="s">
        <v>4</v>
      </c>
    </row>
    <row r="126" spans="1:18" x14ac:dyDescent="0.25">
      <c r="A126" s="88">
        <v>112</v>
      </c>
      <c r="B126" s="82"/>
      <c r="C126" s="97">
        <f>_xll.meDateFromTenor(C125,"1D","FOLLOWING","TGT")</f>
        <v>42676</v>
      </c>
      <c r="D126" s="95">
        <f ca="1"/>
        <v>-3.8127332717218243E-3</v>
      </c>
      <c r="E126" s="92"/>
      <c r="F126" s="97">
        <f>_xll.meDateFromTenor(F125,"1D","FOLLOWING","TGT")</f>
        <v>42676</v>
      </c>
      <c r="G126" s="95">
        <f ca="1"/>
        <v>-3.6968261468576392E-3</v>
      </c>
      <c r="H126" s="92" t="s">
        <v>4</v>
      </c>
      <c r="I126" s="97">
        <f>_xll.meDateFromTenor(I125,"1D","FOLLOWING","TGT")</f>
        <v>42676</v>
      </c>
      <c r="J126" s="95">
        <f ca="1"/>
        <v>-2.8787135476143547E-3</v>
      </c>
      <c r="K126" s="5" t="s">
        <v>4</v>
      </c>
      <c r="L126" s="97">
        <f>_xll.meDateFromTenor(L125,"1D","FOLLOWING","TGT")</f>
        <v>42676</v>
      </c>
      <c r="M126" s="95">
        <f ca="1"/>
        <v>-1.6459657193182307E-3</v>
      </c>
      <c r="N126" s="5" t="s">
        <v>4</v>
      </c>
      <c r="O126" s="97">
        <f>_xll.meDateFromTenor(O125,"1D","FOLLOWING","TGT")</f>
        <v>42676</v>
      </c>
      <c r="P126" s="95">
        <f ca="1"/>
        <v>-2.5155451025403008E-4</v>
      </c>
      <c r="Q126" s="5" t="s">
        <v>4</v>
      </c>
      <c r="R126" s="83" t="s">
        <v>4</v>
      </c>
    </row>
    <row r="127" spans="1:18" x14ac:dyDescent="0.25">
      <c r="A127" s="88">
        <v>113</v>
      </c>
      <c r="B127" s="82"/>
      <c r="C127" s="97">
        <f>_xll.meDateFromTenor(C126,"1D","FOLLOWING","TGT")</f>
        <v>42677</v>
      </c>
      <c r="D127" s="95">
        <f ca="1"/>
        <v>-3.8127332716819673E-3</v>
      </c>
      <c r="E127" s="92"/>
      <c r="F127" s="97">
        <f>_xll.meDateFromTenor(F126,"1D","FOLLOWING","TGT")</f>
        <v>42677</v>
      </c>
      <c r="G127" s="95">
        <f ca="1"/>
        <v>-3.6982320911637672E-3</v>
      </c>
      <c r="H127" s="92" t="s">
        <v>4</v>
      </c>
      <c r="I127" s="97">
        <f>_xll.meDateFromTenor(I126,"1D","FOLLOWING","TGT")</f>
        <v>42677</v>
      </c>
      <c r="J127" s="95">
        <f ca="1"/>
        <v>-2.8805378951820317E-3</v>
      </c>
      <c r="K127" s="5" t="s">
        <v>4</v>
      </c>
      <c r="L127" s="97">
        <f>_xll.meDateFromTenor(L126,"1D","FOLLOWING","TGT")</f>
        <v>42677</v>
      </c>
      <c r="M127" s="95">
        <f ca="1"/>
        <v>-1.6466588686043732E-3</v>
      </c>
      <c r="N127" s="5" t="s">
        <v>4</v>
      </c>
      <c r="O127" s="97">
        <f>_xll.meDateFromTenor(O126,"1D","FOLLOWING","TGT")</f>
        <v>42677</v>
      </c>
      <c r="P127" s="95">
        <f ca="1"/>
        <v>-2.5196353734412765E-4</v>
      </c>
      <c r="Q127" s="5" t="s">
        <v>4</v>
      </c>
      <c r="R127" s="83" t="s">
        <v>4</v>
      </c>
    </row>
    <row r="128" spans="1:18" x14ac:dyDescent="0.25">
      <c r="A128" s="88">
        <v>114</v>
      </c>
      <c r="B128" s="82"/>
      <c r="C128" s="97">
        <f>_xll.meDateFromTenor(C127,"1D","FOLLOWING","TGT")</f>
        <v>42678</v>
      </c>
      <c r="D128" s="95">
        <f ca="1"/>
        <v>-3.8127679971022843E-3</v>
      </c>
      <c r="E128" s="92"/>
      <c r="F128" s="97">
        <f>_xll.meDateFromTenor(F127,"1D","FOLLOWING","TGT")</f>
        <v>42678</v>
      </c>
      <c r="G128" s="95">
        <f ca="1"/>
        <v>-3.6996356291958588E-3</v>
      </c>
      <c r="H128" s="92" t="s">
        <v>4</v>
      </c>
      <c r="I128" s="97">
        <f>_xll.meDateFromTenor(I127,"1D","FOLLOWING","TGT")</f>
        <v>42678</v>
      </c>
      <c r="J128" s="95">
        <f ca="1"/>
        <v>-2.8823622009297172E-3</v>
      </c>
      <c r="K128" s="5" t="s">
        <v>4</v>
      </c>
      <c r="L128" s="97">
        <f>_xll.meDateFromTenor(L127,"1D","FOLLOWING","TGT")</f>
        <v>42678</v>
      </c>
      <c r="M128" s="95">
        <f ca="1"/>
        <v>-1.6473507515073467E-3</v>
      </c>
      <c r="N128" s="5" t="s">
        <v>4</v>
      </c>
      <c r="O128" s="97">
        <f>_xll.meDateFromTenor(O127,"1D","FOLLOWING","TGT")</f>
        <v>42678</v>
      </c>
      <c r="P128" s="95">
        <f ca="1"/>
        <v>-2.5236758603484178E-4</v>
      </c>
      <c r="Q128" s="5" t="s">
        <v>4</v>
      </c>
      <c r="R128" s="83" t="s">
        <v>4</v>
      </c>
    </row>
    <row r="129" spans="1:18" x14ac:dyDescent="0.25">
      <c r="A129" s="88">
        <v>115</v>
      </c>
      <c r="B129" s="82"/>
      <c r="C129" s="97">
        <f>_xll.meDateFromTenor(C128,"1D","FOLLOWING","TGT")</f>
        <v>42681</v>
      </c>
      <c r="D129" s="95">
        <f ca="1"/>
        <v>-3.8127332716819673E-3</v>
      </c>
      <c r="E129" s="92"/>
      <c r="F129" s="97">
        <f>_xll.meDateFromTenor(F128,"1D","FOLLOWING","TGT")</f>
        <v>42681</v>
      </c>
      <c r="G129" s="95">
        <f ca="1"/>
        <v>-3.7038401374570704E-3</v>
      </c>
      <c r="H129" s="92" t="s">
        <v>4</v>
      </c>
      <c r="I129" s="97">
        <f>_xll.meDateFromTenor(I128,"1D","FOLLOWING","TGT")</f>
        <v>42681</v>
      </c>
      <c r="J129" s="95">
        <f ca="1"/>
        <v>-2.8878354709884206E-3</v>
      </c>
      <c r="K129" s="5" t="s">
        <v>4</v>
      </c>
      <c r="L129" s="97">
        <f>_xll.meDateFromTenor(L128,"1D","FOLLOWING","TGT")</f>
        <v>42681</v>
      </c>
      <c r="M129" s="95">
        <f ca="1"/>
        <v>-1.6494187196845829E-3</v>
      </c>
      <c r="N129" s="5" t="s">
        <v>4</v>
      </c>
      <c r="O129" s="97">
        <f>_xll.meDateFromTenor(O128,"1D","FOLLOWING","TGT")</f>
        <v>42681</v>
      </c>
      <c r="P129" s="95">
        <f ca="1"/>
        <v>-2.5354953843799698E-4</v>
      </c>
      <c r="Q129" s="5" t="s">
        <v>4</v>
      </c>
      <c r="R129" s="83" t="s">
        <v>4</v>
      </c>
    </row>
    <row r="130" spans="1:18" x14ac:dyDescent="0.25">
      <c r="A130" s="88">
        <v>116</v>
      </c>
      <c r="B130" s="82"/>
      <c r="C130" s="97">
        <f>_xll.meDateFromTenor(C129,"1D","FOLLOWING","TGT")</f>
        <v>42682</v>
      </c>
      <c r="D130" s="95">
        <f ca="1"/>
        <v>-3.8127332717218243E-3</v>
      </c>
      <c r="E130" s="92"/>
      <c r="F130" s="97">
        <f>_xll.meDateFromTenor(F129,"1D","FOLLOWING","TGT")</f>
        <v>42682</v>
      </c>
      <c r="G130" s="95">
        <f ca="1"/>
        <v>-3.7052423822021728E-3</v>
      </c>
      <c r="H130" s="92" t="s">
        <v>4</v>
      </c>
      <c r="I130" s="97">
        <f>_xll.meDateFromTenor(I129,"1D","FOLLOWING","TGT")</f>
        <v>42682</v>
      </c>
      <c r="J130" s="95">
        <f ca="1"/>
        <v>-2.8896595075627914E-3</v>
      </c>
      <c r="K130" s="5" t="s">
        <v>4</v>
      </c>
      <c r="L130" s="97">
        <f>_xll.meDateFromTenor(L129,"1D","FOLLOWING","TGT")</f>
        <v>42682</v>
      </c>
      <c r="M130" s="95">
        <f ca="1"/>
        <v>-1.650105454822209E-3</v>
      </c>
      <c r="N130" s="5" t="s">
        <v>4</v>
      </c>
      <c r="O130" s="97">
        <f>_xll.meDateFromTenor(O129,"1D","FOLLOWING","TGT")</f>
        <v>42682</v>
      </c>
      <c r="P130" s="95">
        <f ca="1"/>
        <v>-2.5393335025849053E-4</v>
      </c>
      <c r="Q130" s="5" t="s">
        <v>4</v>
      </c>
      <c r="R130" s="83" t="s">
        <v>4</v>
      </c>
    </row>
    <row r="131" spans="1:18" x14ac:dyDescent="0.25">
      <c r="A131" s="88">
        <v>117</v>
      </c>
      <c r="B131" s="82"/>
      <c r="C131" s="97">
        <f>_xll.meDateFromTenor(C130,"1D","FOLLOWING","TGT")</f>
        <v>42683</v>
      </c>
      <c r="D131" s="95">
        <f ca="1"/>
        <v>-3.8127332717218243E-3</v>
      </c>
      <c r="E131" s="92"/>
      <c r="F131" s="97">
        <f>_xll.meDateFromTenor(F130,"1D","FOLLOWING","TGT")</f>
        <v>42683</v>
      </c>
      <c r="G131" s="95">
        <f ca="1"/>
        <v>-3.7066463865778154E-3</v>
      </c>
      <c r="H131" s="92" t="s">
        <v>4</v>
      </c>
      <c r="I131" s="97">
        <f>_xll.meDateFromTenor(I130,"1D","FOLLOWING","TGT")</f>
        <v>42683</v>
      </c>
      <c r="J131" s="95">
        <f ca="1"/>
        <v>-2.8914827516330331E-3</v>
      </c>
      <c r="K131" s="5" t="s">
        <v>4</v>
      </c>
      <c r="L131" s="97">
        <f>_xll.meDateFromTenor(L130,"1D","FOLLOWING","TGT")</f>
        <v>42683</v>
      </c>
      <c r="M131" s="95">
        <f ca="1"/>
        <v>-1.6507908824603295E-3</v>
      </c>
      <c r="N131" s="5" t="s">
        <v>4</v>
      </c>
      <c r="O131" s="97">
        <f>_xll.meDateFromTenor(O130,"1D","FOLLOWING","TGT")</f>
        <v>42683</v>
      </c>
      <c r="P131" s="95">
        <f ca="1"/>
        <v>-2.5431202204325711E-4</v>
      </c>
      <c r="Q131" s="5" t="s">
        <v>4</v>
      </c>
      <c r="R131" s="83" t="s">
        <v>4</v>
      </c>
    </row>
    <row r="132" spans="1:18" x14ac:dyDescent="0.25">
      <c r="A132" s="88">
        <v>118</v>
      </c>
      <c r="B132" s="82"/>
      <c r="C132" s="97">
        <f>_xll.meDateFromTenor(C131,"1D","FOLLOWING","TGT")</f>
        <v>42684</v>
      </c>
      <c r="D132" s="95">
        <f ca="1"/>
        <v>-3.8127332717218243E-3</v>
      </c>
      <c r="E132" s="92"/>
      <c r="F132" s="97">
        <f>_xll.meDateFromTenor(F131,"1D","FOLLOWING","TGT")</f>
        <v>42684</v>
      </c>
      <c r="G132" s="95">
        <f ca="1"/>
        <v>-3.7080529837649149E-3</v>
      </c>
      <c r="H132" s="92" t="s">
        <v>4</v>
      </c>
      <c r="I132" s="97">
        <f>_xll.meDateFromTenor(I131,"1D","FOLLOWING","TGT")</f>
        <v>42684</v>
      </c>
      <c r="J132" s="95">
        <f ca="1"/>
        <v>-2.8933081608774245E-3</v>
      </c>
      <c r="K132" s="5" t="s">
        <v>4</v>
      </c>
      <c r="L132" s="97">
        <f>_xll.meDateFromTenor(L131,"1D","FOLLOWING","TGT")</f>
        <v>42684</v>
      </c>
      <c r="M132" s="95">
        <f ca="1"/>
        <v>-1.6514749943756777E-3</v>
      </c>
      <c r="N132" s="5" t="s">
        <v>4</v>
      </c>
      <c r="O132" s="97">
        <f>_xll.meDateFromTenor(O131,"1D","FOLLOWING","TGT")</f>
        <v>42684</v>
      </c>
      <c r="P132" s="95">
        <f ca="1"/>
        <v>-2.5468552146502789E-4</v>
      </c>
      <c r="Q132" s="5" t="s">
        <v>4</v>
      </c>
      <c r="R132" s="83" t="s">
        <v>4</v>
      </c>
    </row>
    <row r="133" spans="1:18" x14ac:dyDescent="0.25">
      <c r="A133" s="88">
        <v>119</v>
      </c>
      <c r="B133" s="82"/>
      <c r="C133" s="97">
        <f>_xll.meDateFromTenor(C132,"1D","FOLLOWING","TGT")</f>
        <v>42685</v>
      </c>
      <c r="D133" s="95">
        <f ca="1"/>
        <v>-3.8127679856750918E-3</v>
      </c>
      <c r="E133" s="92"/>
      <c r="F133" s="97">
        <f>_xll.meDateFromTenor(F132,"1D","FOLLOWING","TGT")</f>
        <v>42685</v>
      </c>
      <c r="G133" s="95">
        <f ca="1"/>
        <v>-3.7094630069443879E-3</v>
      </c>
      <c r="H133" s="92" t="s">
        <v>4</v>
      </c>
      <c r="I133" s="97">
        <f>_xll.meDateFromTenor(I132,"1D","FOLLOWING","TGT")</f>
        <v>42685</v>
      </c>
      <c r="J133" s="95">
        <f ca="1"/>
        <v>-2.8951365278001061E-3</v>
      </c>
      <c r="K133" s="5" t="s">
        <v>4</v>
      </c>
      <c r="L133" s="97">
        <f>_xll.meDateFromTenor(L132,"1D","FOLLOWING","TGT")</f>
        <v>42685</v>
      </c>
      <c r="M133" s="95">
        <f ca="1"/>
        <v>-1.6521577823449859E-3</v>
      </c>
      <c r="N133" s="5" t="s">
        <v>4</v>
      </c>
      <c r="O133" s="97">
        <f>_xll.meDateFromTenor(O132,"1D","FOLLOWING","TGT")</f>
        <v>42685</v>
      </c>
      <c r="P133" s="95">
        <f ca="1"/>
        <v>-2.5505381619653439E-4</v>
      </c>
      <c r="Q133" s="5" t="s">
        <v>4</v>
      </c>
      <c r="R133" s="83" t="s">
        <v>4</v>
      </c>
    </row>
    <row r="134" spans="1:18" x14ac:dyDescent="0.25">
      <c r="A134" s="88">
        <v>120</v>
      </c>
      <c r="B134" s="82"/>
      <c r="C134" s="97">
        <f>_xll.meDateFromTenor(C133,"1D","FOLLOWING","TGT")</f>
        <v>42688</v>
      </c>
      <c r="D134" s="95">
        <f ca="1"/>
        <v>-3.8127332717616813E-3</v>
      </c>
      <c r="E134" s="92"/>
      <c r="F134" s="97">
        <f>_xll.meDateFromTenor(F133,"1D","FOLLOWING","TGT")</f>
        <v>42688</v>
      </c>
      <c r="G134" s="95">
        <f ca="1"/>
        <v>-3.7137219642461947E-3</v>
      </c>
      <c r="H134" s="92" t="s">
        <v>4</v>
      </c>
      <c r="I134" s="97">
        <f>_xll.meDateFromTenor(I133,"1D","FOLLOWING","TGT")</f>
        <v>42688</v>
      </c>
      <c r="J134" s="95">
        <f ca="1"/>
        <v>-2.9006054675101613E-3</v>
      </c>
      <c r="K134" s="5" t="s">
        <v>4</v>
      </c>
      <c r="L134" s="97">
        <f>_xll.meDateFromTenor(L133,"1D","FOLLOWING","TGT")</f>
        <v>42688</v>
      </c>
      <c r="M134" s="95">
        <f ca="1"/>
        <v>-1.654198120343998E-3</v>
      </c>
      <c r="N134" s="5" t="s">
        <v>4</v>
      </c>
      <c r="O134" s="97">
        <f>_xll.meDateFromTenor(O133,"1D","FOLLOWING","TGT")</f>
        <v>42688</v>
      </c>
      <c r="P134" s="95">
        <f ca="1"/>
        <v>-2.5612714897677995E-4</v>
      </c>
      <c r="Q134" s="5" t="s">
        <v>4</v>
      </c>
      <c r="R134" s="83" t="s">
        <v>4</v>
      </c>
    </row>
    <row r="135" spans="1:18" x14ac:dyDescent="0.25">
      <c r="A135" s="88">
        <v>121</v>
      </c>
      <c r="B135" s="82"/>
      <c r="C135" s="97">
        <f>_xll.meDateFromTenor(C134,"1D","FOLLOWING","TGT")</f>
        <v>42689</v>
      </c>
      <c r="D135" s="95">
        <f ca="1"/>
        <v>-3.8127332717218243E-3</v>
      </c>
      <c r="E135" s="92"/>
      <c r="F135" s="97">
        <f>_xll.meDateFromTenor(F134,"1D","FOLLOWING","TGT")</f>
        <v>42689</v>
      </c>
      <c r="G135" s="95">
        <f ca="1"/>
        <v>-3.7151540232043118E-3</v>
      </c>
      <c r="H135" s="92" t="s">
        <v>4</v>
      </c>
      <c r="I135" s="97">
        <f>_xll.meDateFromTenor(I134,"1D","FOLLOWING","TGT")</f>
        <v>42689</v>
      </c>
      <c r="J135" s="95">
        <f ca="1"/>
        <v>-2.9024860677849297E-3</v>
      </c>
      <c r="K135" s="5" t="s">
        <v>4</v>
      </c>
      <c r="L135" s="97">
        <f>_xll.meDateFromTenor(L134,"1D","FOLLOWING","TGT")</f>
        <v>42689</v>
      </c>
      <c r="M135" s="95">
        <f ca="1"/>
        <v>-1.6548755302964731E-3</v>
      </c>
      <c r="N135" s="5" t="s">
        <v>4</v>
      </c>
      <c r="O135" s="97">
        <f>_xll.meDateFromTenor(O134,"1D","FOLLOWING","TGT")</f>
        <v>42689</v>
      </c>
      <c r="P135" s="95">
        <f ca="1"/>
        <v>-2.5647430167454149E-4</v>
      </c>
      <c r="Q135" s="5" t="s">
        <v>4</v>
      </c>
      <c r="R135" s="83" t="s">
        <v>4</v>
      </c>
    </row>
    <row r="136" spans="1:18" x14ac:dyDescent="0.25">
      <c r="A136" s="88">
        <v>122</v>
      </c>
      <c r="B136" s="82"/>
      <c r="C136" s="97">
        <f>_xll.meDateFromTenor(C135,"1D","FOLLOWING","TGT")</f>
        <v>42690</v>
      </c>
      <c r="D136" s="95">
        <f ca="1"/>
        <v>-3.8127332716819673E-3</v>
      </c>
      <c r="E136" s="92"/>
      <c r="F136" s="97">
        <f>_xll.meDateFromTenor(F135,"1D","FOLLOWING","TGT")</f>
        <v>42690</v>
      </c>
      <c r="G136" s="95">
        <f ca="1"/>
        <v>-3.7165936740593802E-3</v>
      </c>
      <c r="H136" s="92" t="s">
        <v>4</v>
      </c>
      <c r="I136" s="97">
        <f>_xll.meDateFromTenor(I135,"1D","FOLLOWING","TGT")</f>
        <v>42690</v>
      </c>
      <c r="J136" s="95">
        <f ca="1"/>
        <v>-2.9042541208269979E-3</v>
      </c>
      <c r="K136" s="5" t="s">
        <v>4</v>
      </c>
      <c r="L136" s="97">
        <f>_xll.meDateFromTenor(L135,"1D","FOLLOWING","TGT")</f>
        <v>42690</v>
      </c>
      <c r="M136" s="95">
        <f ca="1"/>
        <v>-1.6555515751865719E-3</v>
      </c>
      <c r="N136" s="5" t="s">
        <v>4</v>
      </c>
      <c r="O136" s="97">
        <f>_xll.meDateFromTenor(O135,"1D","FOLLOWING","TGT")</f>
        <v>42690</v>
      </c>
      <c r="P136" s="95">
        <f ca="1"/>
        <v>-2.5681608804569496E-4</v>
      </c>
      <c r="Q136" s="5" t="s">
        <v>4</v>
      </c>
      <c r="R136" s="83" t="s">
        <v>4</v>
      </c>
    </row>
    <row r="137" spans="1:18" x14ac:dyDescent="0.25">
      <c r="A137" s="88">
        <v>123</v>
      </c>
      <c r="B137" s="82"/>
      <c r="C137" s="97">
        <f>_xll.meDateFromTenor(C136,"1D","FOLLOWING","TGT")</f>
        <v>42691</v>
      </c>
      <c r="D137" s="95">
        <f ca="1"/>
        <v>-3.8127332717616813E-3</v>
      </c>
      <c r="E137" s="92"/>
      <c r="F137" s="97">
        <f>_xll.meDateFromTenor(F136,"1D","FOLLOWING","TGT")</f>
        <v>42691</v>
      </c>
      <c r="G137" s="95">
        <f ca="1"/>
        <v>-3.7180417499923131E-3</v>
      </c>
      <c r="H137" s="92" t="s">
        <v>4</v>
      </c>
      <c r="I137" s="97">
        <f>_xll.meDateFromTenor(I136,"1D","FOLLOWING","TGT")</f>
        <v>42691</v>
      </c>
      <c r="J137" s="95">
        <f ca="1"/>
        <v>-2.9057796523328456E-3</v>
      </c>
      <c r="K137" s="5" t="s">
        <v>4</v>
      </c>
      <c r="L137" s="97">
        <f>_xll.meDateFromTenor(L136,"1D","FOLLOWING","TGT")</f>
        <v>42691</v>
      </c>
      <c r="M137" s="95">
        <f ca="1"/>
        <v>-1.6562262467910269E-3</v>
      </c>
      <c r="N137" s="5" t="s">
        <v>4</v>
      </c>
      <c r="O137" s="97">
        <f>_xll.meDateFromTenor(O136,"1D","FOLLOWING","TGT")</f>
        <v>42691</v>
      </c>
      <c r="P137" s="95">
        <f ca="1"/>
        <v>-2.5715247576297174E-4</v>
      </c>
      <c r="Q137" s="5" t="s">
        <v>4</v>
      </c>
      <c r="R137" s="83" t="s">
        <v>4</v>
      </c>
    </row>
    <row r="138" spans="1:18" x14ac:dyDescent="0.25">
      <c r="A138" s="88">
        <v>124</v>
      </c>
      <c r="B138" s="82"/>
      <c r="C138" s="97">
        <f>_xll.meDateFromTenor(C137,"1D","FOLLOWING","TGT")</f>
        <v>42692</v>
      </c>
      <c r="D138" s="95">
        <f ca="1"/>
        <v>-3.8127679857148378E-3</v>
      </c>
      <c r="E138" s="92"/>
      <c r="F138" s="97">
        <f>_xll.meDateFromTenor(F137,"1D","FOLLOWING","TGT")</f>
        <v>42692</v>
      </c>
      <c r="G138" s="95">
        <f ca="1"/>
        <v>-3.719499084184028E-3</v>
      </c>
      <c r="H138" s="92" t="s">
        <v>4</v>
      </c>
      <c r="I138" s="97">
        <f>_xll.meDateFromTenor(I137,"1D","FOLLOWING","TGT")</f>
        <v>42692</v>
      </c>
      <c r="J138" s="95">
        <f ca="1"/>
        <v>-2.9071925408887186E-3</v>
      </c>
      <c r="K138" s="5" t="s">
        <v>4</v>
      </c>
      <c r="L138" s="97">
        <f>_xll.meDateFromTenor(L137,"1D","FOLLOWING","TGT")</f>
        <v>42692</v>
      </c>
      <c r="M138" s="95">
        <f ca="1"/>
        <v>-1.6568995368865704E-3</v>
      </c>
      <c r="N138" s="5" t="s">
        <v>4</v>
      </c>
      <c r="O138" s="97">
        <f>_xll.meDateFromTenor(O137,"1D","FOLLOWING","TGT")</f>
        <v>42692</v>
      </c>
      <c r="P138" s="95">
        <f ca="1"/>
        <v>-2.5748343249910297E-4</v>
      </c>
      <c r="Q138" s="5" t="s">
        <v>4</v>
      </c>
      <c r="R138" s="83" t="s">
        <v>4</v>
      </c>
    </row>
    <row r="139" spans="1:18" x14ac:dyDescent="0.25">
      <c r="A139" s="88">
        <v>125</v>
      </c>
      <c r="B139" s="82"/>
      <c r="C139" s="97">
        <f>_xll.meDateFromTenor(C138,"1D","FOLLOWING","TGT")</f>
        <v>42695</v>
      </c>
      <c r="D139" s="95">
        <f ca="1"/>
        <v>-3.8127332716422213E-3</v>
      </c>
      <c r="E139" s="92"/>
      <c r="F139" s="97">
        <f>_xll.meDateFromTenor(F138,"1D","FOLLOWING","TGT")</f>
        <v>42695</v>
      </c>
      <c r="G139" s="95">
        <f ca="1"/>
        <v>-3.7239349681210134E-3</v>
      </c>
      <c r="H139" s="92" t="s">
        <v>4</v>
      </c>
      <c r="I139" s="97">
        <f>_xll.meDateFromTenor(I138,"1D","FOLLOWING","TGT")</f>
        <v>42695</v>
      </c>
      <c r="J139" s="95">
        <f ca="1"/>
        <v>-2.9116047376878166E-3</v>
      </c>
      <c r="K139" s="5" t="s">
        <v>4</v>
      </c>
      <c r="L139" s="97">
        <f>_xll.meDateFromTenor(L138,"1D","FOLLOWING","TGT")</f>
        <v>42695</v>
      </c>
      <c r="M139" s="95">
        <f ca="1"/>
        <v>-1.6589110358870608E-3</v>
      </c>
      <c r="N139" s="5" t="s">
        <v>4</v>
      </c>
      <c r="O139" s="97">
        <f>_xll.meDateFromTenor(O138,"1D","FOLLOWING","TGT")</f>
        <v>42695</v>
      </c>
      <c r="P139" s="95">
        <f ca="1"/>
        <v>-2.5844339354793661E-4</v>
      </c>
      <c r="Q139" s="5" t="s">
        <v>4</v>
      </c>
      <c r="R139" s="83" t="s">
        <v>4</v>
      </c>
    </row>
    <row r="140" spans="1:18" x14ac:dyDescent="0.25">
      <c r="A140" s="88">
        <v>126</v>
      </c>
      <c r="B140" s="82"/>
      <c r="C140" s="97">
        <f>_xll.meDateFromTenor(C139,"1D","FOLLOWING","TGT")</f>
        <v>42696</v>
      </c>
      <c r="D140" s="95">
        <f ca="1"/>
        <v>-3.8127332717218243E-3</v>
      </c>
      <c r="E140" s="92"/>
      <c r="F140" s="97">
        <f>_xll.meDateFromTenor(F139,"1D","FOLLOWING","TGT")</f>
        <v>42696</v>
      </c>
      <c r="G140" s="95">
        <f ca="1"/>
        <v>-3.7254376671570083E-3</v>
      </c>
      <c r="H140" s="92" t="s">
        <v>4</v>
      </c>
      <c r="I140" s="97">
        <f>_xll.meDateFromTenor(I139,"1D","FOLLOWING","TGT")</f>
        <v>42696</v>
      </c>
      <c r="J140" s="95">
        <f ca="1"/>
        <v>-2.9130693810113049E-3</v>
      </c>
      <c r="K140" s="5" t="s">
        <v>4</v>
      </c>
      <c r="L140" s="97">
        <f>_xll.meDateFromTenor(L139,"1D","FOLLOWING","TGT")</f>
        <v>42696</v>
      </c>
      <c r="M140" s="95">
        <f ca="1"/>
        <v>-1.6595787177142863E-3</v>
      </c>
      <c r="N140" s="5" t="s">
        <v>4</v>
      </c>
      <c r="O140" s="97">
        <f>_xll.meDateFromTenor(O139,"1D","FOLLOWING","TGT")</f>
        <v>42696</v>
      </c>
      <c r="P140" s="95">
        <f ca="1"/>
        <v>-2.5875230308679872E-4</v>
      </c>
      <c r="Q140" s="5" t="s">
        <v>4</v>
      </c>
      <c r="R140" s="83" t="s">
        <v>4</v>
      </c>
    </row>
    <row r="141" spans="1:18" x14ac:dyDescent="0.25">
      <c r="A141" s="88">
        <v>127</v>
      </c>
      <c r="B141" s="82"/>
      <c r="C141" s="97">
        <f>_xll.meDateFromTenor(C140,"1D","FOLLOWING","TGT")</f>
        <v>42697</v>
      </c>
      <c r="D141" s="95">
        <f ca="1"/>
        <v>-3.8127332716819673E-3</v>
      </c>
      <c r="E141" s="92"/>
      <c r="F141" s="97">
        <f>_xll.meDateFromTenor(F140,"1D","FOLLOWING","TGT")</f>
        <v>42697</v>
      </c>
      <c r="G141" s="95">
        <f ca="1"/>
        <v>-3.7269537903563623E-3</v>
      </c>
      <c r="H141" s="92" t="s">
        <v>4</v>
      </c>
      <c r="I141" s="97">
        <f>_xll.meDateFromTenor(I140,"1D","FOLLOWING","TGT")</f>
        <v>42697</v>
      </c>
      <c r="J141" s="95">
        <f ca="1"/>
        <v>-2.9145355462590443E-3</v>
      </c>
      <c r="K141" s="5" t="s">
        <v>4</v>
      </c>
      <c r="L141" s="97">
        <f>_xll.meDateFromTenor(L140,"1D","FOLLOWING","TGT")</f>
        <v>42697</v>
      </c>
      <c r="M141" s="95">
        <f ca="1"/>
        <v>-1.660244976916264E-3</v>
      </c>
      <c r="N141" s="5" t="s">
        <v>4</v>
      </c>
      <c r="O141" s="97">
        <f>_xll.meDateFromTenor(O140,"1D","FOLLOWING","TGT")</f>
        <v>42697</v>
      </c>
      <c r="P141" s="95">
        <f ca="1"/>
        <v>-2.5905562000817176E-4</v>
      </c>
      <c r="Q141" s="5" t="s">
        <v>4</v>
      </c>
      <c r="R141" s="83" t="s">
        <v>4</v>
      </c>
    </row>
    <row r="142" spans="1:18" x14ac:dyDescent="0.25">
      <c r="A142" s="88">
        <v>128</v>
      </c>
      <c r="B142" s="82"/>
      <c r="C142" s="97">
        <f>_xll.meDateFromTenor(C141,"1D","FOLLOWING","TGT")</f>
        <v>42698</v>
      </c>
      <c r="D142" s="95">
        <f ca="1"/>
        <v>-3.8127332717615703E-3</v>
      </c>
      <c r="E142" s="92"/>
      <c r="F142" s="97">
        <f>_xll.meDateFromTenor(F141,"1D","FOLLOWING","TGT")</f>
        <v>42698</v>
      </c>
      <c r="G142" s="95">
        <f ca="1"/>
        <v>-3.7284841708999897E-3</v>
      </c>
      <c r="H142" s="92" t="s">
        <v>4</v>
      </c>
      <c r="I142" s="97">
        <f>_xll.meDateFromTenor(I141,"1D","FOLLOWING","TGT")</f>
        <v>42698</v>
      </c>
      <c r="J142" s="95">
        <f ca="1"/>
        <v>-2.916007801073706E-3</v>
      </c>
      <c r="K142" s="5" t="s">
        <v>4</v>
      </c>
      <c r="L142" s="97">
        <f>_xll.meDateFromTenor(L141,"1D","FOLLOWING","TGT")</f>
        <v>42698</v>
      </c>
      <c r="M142" s="95">
        <f ca="1"/>
        <v>-1.6609098052697265E-3</v>
      </c>
      <c r="N142" s="5" t="s">
        <v>4</v>
      </c>
      <c r="O142" s="97">
        <f>_xll.meDateFromTenor(O141,"1D","FOLLOWING","TGT")</f>
        <v>42698</v>
      </c>
      <c r="P142" s="95">
        <f ca="1"/>
        <v>-2.5935331198478689E-4</v>
      </c>
      <c r="Q142" s="5" t="s">
        <v>4</v>
      </c>
      <c r="R142" s="83" t="s">
        <v>4</v>
      </c>
    </row>
    <row r="143" spans="1:18" x14ac:dyDescent="0.25">
      <c r="A143" s="88">
        <v>129</v>
      </c>
      <c r="B143" s="82"/>
      <c r="C143" s="97">
        <f>_xll.meDateFromTenor(C142,"1D","FOLLOWING","TGT")</f>
        <v>42699</v>
      </c>
      <c r="D143" s="95">
        <f ca="1"/>
        <v>-3.8127679780701751E-3</v>
      </c>
      <c r="E143" s="92"/>
      <c r="F143" s="97">
        <f>_xll.meDateFromTenor(F142,"1D","FOLLOWING","TGT")</f>
        <v>42699</v>
      </c>
      <c r="G143" s="95">
        <f ca="1"/>
        <v>-3.7300296419688077E-3</v>
      </c>
      <c r="H143" s="92" t="s">
        <v>4</v>
      </c>
      <c r="I143" s="97">
        <f>_xll.meDateFromTenor(I142,"1D","FOLLOWING","TGT")</f>
        <v>42699</v>
      </c>
      <c r="J143" s="95">
        <f ca="1"/>
        <v>-2.9174846235310481E-3</v>
      </c>
      <c r="K143" s="5" t="s">
        <v>4</v>
      </c>
      <c r="L143" s="97">
        <f>_xll.meDateFromTenor(L142,"1D","FOLLOWING","TGT")</f>
        <v>42699</v>
      </c>
      <c r="M143" s="95">
        <f ca="1"/>
        <v>-1.6615731945514064E-3</v>
      </c>
      <c r="N143" s="5" t="s">
        <v>4</v>
      </c>
      <c r="O143" s="97">
        <f>_xll.meDateFromTenor(O142,"1D","FOLLOWING","TGT")</f>
        <v>42699</v>
      </c>
      <c r="P143" s="95">
        <f ca="1"/>
        <v>-2.5964534668937553E-4</v>
      </c>
      <c r="Q143" s="5" t="s">
        <v>4</v>
      </c>
      <c r="R143" s="83" t="s">
        <v>4</v>
      </c>
    </row>
    <row r="144" spans="1:18" x14ac:dyDescent="0.25">
      <c r="A144" s="88">
        <v>130</v>
      </c>
      <c r="B144" s="82"/>
      <c r="C144" s="97">
        <f>_xll.meDateFromTenor(C143,"1D","FOLLOWING","TGT")</f>
        <v>42702</v>
      </c>
      <c r="D144" s="95">
        <f ca="1"/>
        <v>-3.8127332717616813E-3</v>
      </c>
      <c r="E144" s="92"/>
      <c r="F144" s="97">
        <f>_xll.meDateFromTenor(F143,"1D","FOLLOWING","TGT")</f>
        <v>42702</v>
      </c>
      <c r="G144" s="95">
        <f ca="1"/>
        <v>-3.734764930135556E-3</v>
      </c>
      <c r="H144" s="92" t="s">
        <v>4</v>
      </c>
      <c r="I144" s="97">
        <f>_xll.meDateFromTenor(I143,"1D","FOLLOWING","TGT")</f>
        <v>42702</v>
      </c>
      <c r="J144" s="95">
        <f ca="1"/>
        <v>-2.9218846411948949E-3</v>
      </c>
      <c r="K144" s="5" t="s">
        <v>4</v>
      </c>
      <c r="L144" s="97">
        <f>_xll.meDateFromTenor(L143,"1D","FOLLOWING","TGT")</f>
        <v>42702</v>
      </c>
      <c r="M144" s="95">
        <f ca="1"/>
        <v>-1.6635546457330779E-3</v>
      </c>
      <c r="N144" s="5" t="s">
        <v>4</v>
      </c>
      <c r="O144" s="97">
        <f>_xll.meDateFromTenor(O143,"1D","FOLLOWING","TGT")</f>
        <v>42702</v>
      </c>
      <c r="P144" s="95">
        <f ca="1"/>
        <v>-2.6048718389829498E-4</v>
      </c>
      <c r="Q144" s="5" t="s">
        <v>4</v>
      </c>
      <c r="R144" s="83" t="s">
        <v>4</v>
      </c>
    </row>
    <row r="145" spans="1:18" x14ac:dyDescent="0.25">
      <c r="A145" s="88">
        <v>131</v>
      </c>
      <c r="B145" s="82"/>
      <c r="C145" s="97">
        <f>_xll.meDateFromTenor(C144,"1D","FOLLOWING","TGT")</f>
        <v>42703</v>
      </c>
      <c r="D145" s="95">
        <f ca="1"/>
        <v>-3.8127332716819673E-3</v>
      </c>
      <c r="E145" s="92"/>
      <c r="F145" s="97">
        <f>_xll.meDateFromTenor(F144,"1D","FOLLOWING","TGT")</f>
        <v>42703</v>
      </c>
      <c r="G145" s="95">
        <f ca="1"/>
        <v>-3.736379095114289E-3</v>
      </c>
      <c r="H145" s="92" t="s">
        <v>4</v>
      </c>
      <c r="I145" s="97">
        <f>_xll.meDateFromTenor(I144,"1D","FOLLOWING","TGT")</f>
        <v>42703</v>
      </c>
      <c r="J145" s="95">
        <f ca="1"/>
        <v>-2.923455858487941E-3</v>
      </c>
      <c r="K145" s="5" t="s">
        <v>4</v>
      </c>
      <c r="L145" s="97">
        <f>_xll.meDateFromTenor(L144,"1D","FOLLOWING","TGT")</f>
        <v>42703</v>
      </c>
      <c r="M145" s="95">
        <f ca="1"/>
        <v>-1.6642121964949548E-3</v>
      </c>
      <c r="N145" s="5" t="s">
        <v>4</v>
      </c>
      <c r="O145" s="97">
        <f>_xll.meDateFromTenor(O144,"1D","FOLLOWING","TGT")</f>
        <v>42703</v>
      </c>
      <c r="P145" s="95">
        <f ca="1"/>
        <v>-2.6075626624209023E-4</v>
      </c>
      <c r="Q145" s="5" t="s">
        <v>4</v>
      </c>
      <c r="R145" s="83" t="s">
        <v>4</v>
      </c>
    </row>
    <row r="146" spans="1:18" x14ac:dyDescent="0.25">
      <c r="A146" s="88">
        <v>132</v>
      </c>
      <c r="B146" s="82"/>
      <c r="C146" s="97">
        <f>_xll.meDateFromTenor(C145,"1D","FOLLOWING","TGT")</f>
        <v>42704</v>
      </c>
      <c r="D146" s="95">
        <f ca="1"/>
        <v>-3.8127332716819673E-3</v>
      </c>
      <c r="E146" s="92"/>
      <c r="F146" s="97">
        <f>_xll.meDateFromTenor(F145,"1D","FOLLOWING","TGT")</f>
        <v>42704</v>
      </c>
      <c r="G146" s="95">
        <f ca="1"/>
        <v>-3.7380125165227896E-3</v>
      </c>
      <c r="H146" s="92" t="s">
        <v>4</v>
      </c>
      <c r="I146" s="97">
        <f>_xll.meDateFromTenor(I145,"1D","FOLLOWING","TGT")</f>
        <v>42704</v>
      </c>
      <c r="J146" s="95">
        <f ca="1"/>
        <v>-2.9248230612555466E-3</v>
      </c>
      <c r="K146" s="5" t="s">
        <v>4</v>
      </c>
      <c r="L146" s="97">
        <f>_xll.meDateFromTenor(L145,"1D","FOLLOWING","TGT")</f>
        <v>42704</v>
      </c>
      <c r="M146" s="95">
        <f ca="1"/>
        <v>-1.6648682670687121E-3</v>
      </c>
      <c r="N146" s="5" t="s">
        <v>4</v>
      </c>
      <c r="O146" s="97">
        <f>_xll.meDateFromTenor(O145,"1D","FOLLOWING","TGT")</f>
        <v>42704</v>
      </c>
      <c r="P146" s="95">
        <f ca="1"/>
        <v>-2.6101952967751531E-4</v>
      </c>
      <c r="Q146" s="5" t="s">
        <v>4</v>
      </c>
      <c r="R146" s="83" t="s">
        <v>4</v>
      </c>
    </row>
    <row r="147" spans="1:18" x14ac:dyDescent="0.25">
      <c r="A147" s="88">
        <v>133</v>
      </c>
      <c r="B147" s="82"/>
      <c r="C147" s="97">
        <f>_xll.meDateFromTenor(C146,"1D","FOLLOWING","TGT")</f>
        <v>42705</v>
      </c>
      <c r="D147" s="95">
        <f ca="1"/>
        <v>-3.8127332717218243E-3</v>
      </c>
      <c r="E147" s="92"/>
      <c r="F147" s="97">
        <f>_xll.meDateFromTenor(F146,"1D","FOLLOWING","TGT")</f>
        <v>42705</v>
      </c>
      <c r="G147" s="95">
        <f ca="1"/>
        <v>-3.739666027541973E-3</v>
      </c>
      <c r="H147" s="92" t="s">
        <v>4</v>
      </c>
      <c r="I147" s="97">
        <f>_xll.meDateFromTenor(I146,"1D","FOLLOWING","TGT")</f>
        <v>42705</v>
      </c>
      <c r="J147" s="95">
        <f ca="1"/>
        <v>-2.925811577867205E-3</v>
      </c>
      <c r="K147" s="5" t="s">
        <v>4</v>
      </c>
      <c r="L147" s="97">
        <f>_xll.meDateFromTenor(L146,"1D","FOLLOWING","TGT")</f>
        <v>42705</v>
      </c>
      <c r="M147" s="95">
        <f ca="1"/>
        <v>-1.6655228492310833E-3</v>
      </c>
      <c r="N147" s="5" t="s">
        <v>4</v>
      </c>
      <c r="O147" s="97">
        <f>_xll.meDateFromTenor(O146,"1D","FOLLOWING","TGT")</f>
        <v>42705</v>
      </c>
      <c r="P147" s="95">
        <f ca="1"/>
        <v>-2.6127694187730153E-4</v>
      </c>
      <c r="Q147" s="5" t="s">
        <v>4</v>
      </c>
      <c r="R147" s="83" t="s">
        <v>4</v>
      </c>
    </row>
    <row r="148" spans="1:18" x14ac:dyDescent="0.25">
      <c r="A148" s="88">
        <v>134</v>
      </c>
      <c r="B148" s="82"/>
      <c r="C148" s="97">
        <f>_xll.meDateFromTenor(C147,"1D","FOLLOWING","TGT")</f>
        <v>42706</v>
      </c>
      <c r="D148" s="95">
        <f ca="1"/>
        <v>-3.8127752486024624E-3</v>
      </c>
      <c r="E148" s="92"/>
      <c r="F148" s="97">
        <f>_xll.meDateFromTenor(F147,"1D","FOLLOWING","TGT")</f>
        <v>42706</v>
      </c>
      <c r="G148" s="95">
        <f ca="1"/>
        <v>-3.7413404613527556E-3</v>
      </c>
      <c r="H148" s="92" t="s">
        <v>4</v>
      </c>
      <c r="I148" s="97">
        <f>_xll.meDateFromTenor(I147,"1D","FOLLOWING","TGT")</f>
        <v>42706</v>
      </c>
      <c r="J148" s="95">
        <f ca="1"/>
        <v>-2.9269609269980293E-3</v>
      </c>
      <c r="K148" s="5" t="s">
        <v>4</v>
      </c>
      <c r="L148" s="97">
        <f>_xll.meDateFromTenor(L147,"1D","FOLLOWING","TGT")</f>
        <v>42706</v>
      </c>
      <c r="M148" s="95">
        <f ca="1"/>
        <v>-1.6661759347588003E-3</v>
      </c>
      <c r="N148" s="5" t="s">
        <v>4</v>
      </c>
      <c r="O148" s="97">
        <f>_xll.meDateFromTenor(O147,"1D","FOLLOWING","TGT")</f>
        <v>42706</v>
      </c>
      <c r="P148" s="95">
        <f ca="1"/>
        <v>-2.615284705141801E-4</v>
      </c>
      <c r="Q148" s="5" t="s">
        <v>4</v>
      </c>
      <c r="R148" s="83" t="s">
        <v>4</v>
      </c>
    </row>
    <row r="149" spans="1:18" x14ac:dyDescent="0.25">
      <c r="A149" s="88">
        <v>135</v>
      </c>
      <c r="B149" s="82"/>
      <c r="C149" s="97">
        <f>_xll.meDateFromTenor(C148,"1D","FOLLOWING","TGT")</f>
        <v>42709</v>
      </c>
      <c r="D149" s="95">
        <f ca="1"/>
        <v>-3.8127332716023643E-3</v>
      </c>
      <c r="E149" s="92"/>
      <c r="F149" s="97">
        <f>_xll.meDateFromTenor(F148,"1D","FOLLOWING","TGT")</f>
        <v>42709</v>
      </c>
      <c r="G149" s="95">
        <f ca="1"/>
        <v>-3.7464866003622953E-3</v>
      </c>
      <c r="H149" s="92" t="s">
        <v>4</v>
      </c>
      <c r="I149" s="97">
        <f>_xll.meDateFromTenor(I148,"1D","FOLLOWING","TGT")</f>
        <v>42709</v>
      </c>
      <c r="J149" s="95">
        <f ca="1"/>
        <v>-2.9322715201776412E-3</v>
      </c>
      <c r="K149" s="5" t="s">
        <v>4</v>
      </c>
      <c r="L149" s="97">
        <f>_xll.meDateFromTenor(L148,"1D","FOLLOWING","TGT")</f>
        <v>42709</v>
      </c>
      <c r="M149" s="95">
        <f ca="1"/>
        <v>-1.6681261804364932E-3</v>
      </c>
      <c r="N149" s="5" t="s">
        <v>4</v>
      </c>
      <c r="O149" s="97">
        <f>_xll.meDateFromTenor(O148,"1D","FOLLOWING","TGT")</f>
        <v>42709</v>
      </c>
      <c r="P149" s="95">
        <f ca="1"/>
        <v>-2.6224743177468302E-4</v>
      </c>
      <c r="Q149" s="5" t="s">
        <v>4</v>
      </c>
      <c r="R149" s="83" t="s">
        <v>4</v>
      </c>
    </row>
    <row r="150" spans="1:18" x14ac:dyDescent="0.25">
      <c r="A150" s="88">
        <v>136</v>
      </c>
      <c r="B150" s="82"/>
      <c r="C150" s="97">
        <f>_xll.meDateFromTenor(C149,"1D","FOLLOWING","TGT")</f>
        <v>42710</v>
      </c>
      <c r="D150" s="95">
        <f ca="1"/>
        <v>-3.8127332717218243E-3</v>
      </c>
      <c r="E150" s="92"/>
      <c r="F150" s="97">
        <f>_xll.meDateFromTenor(F149,"1D","FOLLOWING","TGT")</f>
        <v>42710</v>
      </c>
      <c r="G150" s="95">
        <f ca="1"/>
        <v>-3.7482379406183508E-3</v>
      </c>
      <c r="H150" s="92" t="s">
        <v>4</v>
      </c>
      <c r="I150" s="97">
        <f>_xll.meDateFromTenor(I149,"1D","FOLLOWING","TGT")</f>
        <v>42710</v>
      </c>
      <c r="J150" s="95">
        <f ca="1"/>
        <v>-2.9336383214404178E-3</v>
      </c>
      <c r="K150" s="5" t="s">
        <v>4</v>
      </c>
      <c r="L150" s="97">
        <f>_xll.meDateFromTenor(L149,"1D","FOLLOWING","TGT")</f>
        <v>42710</v>
      </c>
      <c r="M150" s="95">
        <f ca="1"/>
        <v>-1.6687732672669992E-3</v>
      </c>
      <c r="N150" s="5" t="s">
        <v>4</v>
      </c>
      <c r="O150" s="97">
        <f>_xll.meDateFromTenor(O149,"1D","FOLLOWING","TGT")</f>
        <v>42710</v>
      </c>
      <c r="P150" s="95">
        <f ca="1"/>
        <v>-2.62475102887244E-4</v>
      </c>
      <c r="Q150" s="5" t="s">
        <v>4</v>
      </c>
      <c r="R150" s="83" t="s">
        <v>4</v>
      </c>
    </row>
    <row r="151" spans="1:18" x14ac:dyDescent="0.25">
      <c r="A151" s="88">
        <v>137</v>
      </c>
      <c r="B151" s="82"/>
      <c r="C151" s="97">
        <f>_xll.meDateFromTenor(C150,"1D","FOLLOWING","TGT")</f>
        <v>42711</v>
      </c>
      <c r="D151" s="95">
        <f ca="1"/>
        <v>-3.8127332716422213E-3</v>
      </c>
      <c r="E151" s="92"/>
      <c r="F151" s="97">
        <f>_xll.meDateFromTenor(F150,"1D","FOLLOWING","TGT")</f>
        <v>42711</v>
      </c>
      <c r="G151" s="95">
        <f ca="1"/>
        <v>-3.7500045642536442E-3</v>
      </c>
      <c r="H151" s="92" t="s">
        <v>4</v>
      </c>
      <c r="I151" s="97">
        <f>_xll.meDateFromTenor(I150,"1D","FOLLOWING","TGT")</f>
        <v>42711</v>
      </c>
      <c r="J151" s="95">
        <f ca="1"/>
        <v>-2.9350786543636343E-3</v>
      </c>
      <c r="K151" s="5" t="s">
        <v>4</v>
      </c>
      <c r="L151" s="97">
        <f>_xll.meDateFromTenor(L150,"1D","FOLLOWING","TGT")</f>
        <v>42711</v>
      </c>
      <c r="M151" s="95">
        <f ca="1"/>
        <v>-1.6694188617999703E-3</v>
      </c>
      <c r="N151" s="5" t="s">
        <v>4</v>
      </c>
      <c r="O151" s="97">
        <f>_xll.meDateFromTenor(O150,"1D","FOLLOWING","TGT")</f>
        <v>42711</v>
      </c>
      <c r="P151" s="95">
        <f ca="1"/>
        <v>-2.6269672880055369E-4</v>
      </c>
      <c r="Q151" s="5" t="s">
        <v>4</v>
      </c>
      <c r="R151" s="83" t="s">
        <v>4</v>
      </c>
    </row>
    <row r="152" spans="1:18" x14ac:dyDescent="0.25">
      <c r="A152" s="88">
        <v>138</v>
      </c>
      <c r="B152" s="82"/>
      <c r="C152" s="97">
        <f>_xll.meDateFromTenor(C151,"1D","FOLLOWING","TGT")</f>
        <v>42712</v>
      </c>
      <c r="D152" s="95">
        <f ca="1"/>
        <v>-3.8151900648164538E-3</v>
      </c>
      <c r="E152" s="92"/>
      <c r="F152" s="97">
        <f>_xll.meDateFromTenor(F151,"1D","FOLLOWING","TGT")</f>
        <v>42712</v>
      </c>
      <c r="G152" s="95">
        <f ca="1"/>
        <v>-3.7517848531198579E-3</v>
      </c>
      <c r="H152" s="92" t="s">
        <v>4</v>
      </c>
      <c r="I152" s="97">
        <f>_xll.meDateFromTenor(I151,"1D","FOLLOWING","TGT")</f>
        <v>42712</v>
      </c>
      <c r="J152" s="95">
        <f ca="1"/>
        <v>-2.9365767415017959E-3</v>
      </c>
      <c r="K152" s="5" t="s">
        <v>4</v>
      </c>
      <c r="L152" s="97">
        <f>_xll.meDateFromTenor(L151,"1D","FOLLOWING","TGT")</f>
        <v>42712</v>
      </c>
      <c r="M152" s="95">
        <f ca="1"/>
        <v>-1.6700629671755028E-3</v>
      </c>
      <c r="N152" s="5" t="s">
        <v>4</v>
      </c>
      <c r="O152" s="97">
        <f>_xll.meDateFromTenor(O151,"1D","FOLLOWING","TGT")</f>
        <v>42712</v>
      </c>
      <c r="P152" s="95">
        <f ca="1"/>
        <v>-2.6291227718734352E-4</v>
      </c>
      <c r="Q152" s="5" t="s">
        <v>4</v>
      </c>
      <c r="R152" s="83" t="s">
        <v>4</v>
      </c>
    </row>
    <row r="153" spans="1:18" x14ac:dyDescent="0.25">
      <c r="A153" s="88">
        <v>139</v>
      </c>
      <c r="B153" s="82"/>
      <c r="C153" s="97">
        <f>_xll.meDateFromTenor(C152,"1D","FOLLOWING","TGT")</f>
        <v>42713</v>
      </c>
      <c r="D153" s="95">
        <f ca="1"/>
        <v>-3.8183106078510942E-3</v>
      </c>
      <c r="E153" s="92"/>
      <c r="F153" s="97">
        <f>_xll.meDateFromTenor(F152,"1D","FOLLOWING","TGT")</f>
        <v>42713</v>
      </c>
      <c r="G153" s="95">
        <f ca="1"/>
        <v>-3.7535771890686736E-3</v>
      </c>
      <c r="H153" s="92" t="s">
        <v>4</v>
      </c>
      <c r="I153" s="97">
        <f>_xll.meDateFromTenor(I152,"1D","FOLLOWING","TGT")</f>
        <v>42713</v>
      </c>
      <c r="J153" s="95">
        <f ca="1"/>
        <v>-2.9380590511945445E-3</v>
      </c>
      <c r="K153" s="5" t="s">
        <v>4</v>
      </c>
      <c r="L153" s="97">
        <f>_xll.meDateFromTenor(L152,"1D","FOLLOWING","TGT")</f>
        <v>42713</v>
      </c>
      <c r="M153" s="95">
        <f ca="1"/>
        <v>-1.6707055865336936E-3</v>
      </c>
      <c r="N153" s="5" t="s">
        <v>4</v>
      </c>
      <c r="O153" s="97">
        <f>_xll.meDateFromTenor(O152,"1D","FOLLOWING","TGT")</f>
        <v>42713</v>
      </c>
      <c r="P153" s="95">
        <f ca="1"/>
        <v>-2.6312171572034459E-4</v>
      </c>
      <c r="Q153" s="5" t="s">
        <v>4</v>
      </c>
      <c r="R153" s="83" t="s">
        <v>4</v>
      </c>
    </row>
    <row r="154" spans="1:18" x14ac:dyDescent="0.25">
      <c r="A154" s="88">
        <v>140</v>
      </c>
      <c r="B154" s="82"/>
      <c r="C154" s="97">
        <f>_xll.meDateFromTenor(C153,"1D","FOLLOWING","TGT")</f>
        <v>42716</v>
      </c>
      <c r="D154" s="95">
        <f ca="1"/>
        <v>-3.8276848478687731E-3</v>
      </c>
      <c r="E154" s="92"/>
      <c r="F154" s="97">
        <f>_xll.meDateFromTenor(F153,"1D","FOLLOWING","TGT")</f>
        <v>42716</v>
      </c>
      <c r="G154" s="95">
        <f ca="1"/>
        <v>-3.759010297927543E-3</v>
      </c>
      <c r="H154" s="92" t="s">
        <v>4</v>
      </c>
      <c r="I154" s="97">
        <f>_xll.meDateFromTenor(I153,"1D","FOLLOWING","TGT")</f>
        <v>42716</v>
      </c>
      <c r="J154" s="95">
        <f ca="1"/>
        <v>-2.9424535816240647E-3</v>
      </c>
      <c r="K154" s="5" t="s">
        <v>4</v>
      </c>
      <c r="L154" s="97">
        <f>_xll.meDateFromTenor(L153,"1D","FOLLOWING","TGT")</f>
        <v>42716</v>
      </c>
      <c r="M154" s="95">
        <f ca="1"/>
        <v>-1.6726245599051805E-3</v>
      </c>
      <c r="N154" s="5" t="s">
        <v>4</v>
      </c>
      <c r="O154" s="97">
        <f>_xll.meDateFromTenor(O153,"1D","FOLLOWING","TGT")</f>
        <v>42716</v>
      </c>
      <c r="P154" s="95">
        <f ca="1"/>
        <v>-2.6371304892392877E-4</v>
      </c>
      <c r="Q154" s="5" t="s">
        <v>4</v>
      </c>
      <c r="R154" s="83" t="s">
        <v>4</v>
      </c>
    </row>
    <row r="155" spans="1:18" x14ac:dyDescent="0.25">
      <c r="A155" s="88">
        <v>141</v>
      </c>
      <c r="B155" s="82"/>
      <c r="C155" s="97">
        <f>_xll.meDateFromTenor(C154,"1D","FOLLOWING","TGT")</f>
        <v>42717</v>
      </c>
      <c r="D155" s="95">
        <f ca="1"/>
        <v>-3.8308127128133806E-3</v>
      </c>
      <c r="E155" s="92"/>
      <c r="F155" s="97">
        <f>_xll.meDateFromTenor(F154,"1D","FOLLOWING","TGT")</f>
        <v>42717</v>
      </c>
      <c r="G155" s="95">
        <f ca="1"/>
        <v>-3.7608346407235777E-3</v>
      </c>
      <c r="H155" s="92" t="s">
        <v>4</v>
      </c>
      <c r="I155" s="97">
        <f>_xll.meDateFromTenor(I154,"1D","FOLLOWING","TGT")</f>
        <v>42717</v>
      </c>
      <c r="J155" s="95">
        <f ca="1"/>
        <v>-2.9440426834885501E-3</v>
      </c>
      <c r="K155" s="5" t="s">
        <v>4</v>
      </c>
      <c r="L155" s="97">
        <f>_xll.meDateFromTenor(L154,"1D","FOLLOWING","TGT")</f>
        <v>42717</v>
      </c>
      <c r="M155" s="95">
        <f ca="1"/>
        <v>-1.6732612665949693E-3</v>
      </c>
      <c r="N155" s="5" t="s">
        <v>4</v>
      </c>
      <c r="O155" s="97">
        <f>_xll.meDateFromTenor(O154,"1D","FOLLOWING","TGT")</f>
        <v>42717</v>
      </c>
      <c r="P155" s="95">
        <f ca="1"/>
        <v>-2.6389772476908798E-4</v>
      </c>
      <c r="Q155" s="5" t="s">
        <v>4</v>
      </c>
      <c r="R155" s="83" t="s">
        <v>4</v>
      </c>
    </row>
    <row r="156" spans="1:18" x14ac:dyDescent="0.25">
      <c r="A156" s="88">
        <v>142</v>
      </c>
      <c r="B156" s="82"/>
      <c r="C156" s="97">
        <f>_xll.meDateFromTenor(C155,"1D","FOLLOWING","TGT")</f>
        <v>42718</v>
      </c>
      <c r="D156" s="95">
        <f ca="1"/>
        <v>-3.8339417930388642E-3</v>
      </c>
      <c r="E156" s="92"/>
      <c r="F156" s="97">
        <f>_xll.meDateFromTenor(F155,"1D","FOLLOWING","TGT")</f>
        <v>42718</v>
      </c>
      <c r="G156" s="95">
        <f ca="1"/>
        <v>-3.7626629398606211E-3</v>
      </c>
      <c r="H156" s="92" t="s">
        <v>4</v>
      </c>
      <c r="I156" s="97">
        <f>_xll.meDateFromTenor(I155,"1D","FOLLOWING","TGT")</f>
        <v>42718</v>
      </c>
      <c r="J156" s="95">
        <f ca="1"/>
        <v>-2.9457032444034003E-3</v>
      </c>
      <c r="K156" s="5" t="s">
        <v>4</v>
      </c>
      <c r="L156" s="97">
        <f>_xll.meDateFromTenor(L155,"1D","FOLLOWING","TGT")</f>
        <v>42718</v>
      </c>
      <c r="M156" s="95">
        <f ca="1"/>
        <v>-1.6738965029678993E-3</v>
      </c>
      <c r="N156" s="5" t="s">
        <v>4</v>
      </c>
      <c r="O156" s="97">
        <f>_xll.meDateFromTenor(O155,"1D","FOLLOWING","TGT")</f>
        <v>42718</v>
      </c>
      <c r="P156" s="95">
        <f ca="1"/>
        <v>-2.6407612912411491E-4</v>
      </c>
      <c r="Q156" s="5" t="s">
        <v>4</v>
      </c>
      <c r="R156" s="83" t="s">
        <v>4</v>
      </c>
    </row>
    <row r="157" spans="1:18" x14ac:dyDescent="0.25">
      <c r="A157" s="88">
        <v>143</v>
      </c>
      <c r="B157" s="82"/>
      <c r="C157" s="97">
        <f>_xll.meDateFromTenor(C156,"1D","FOLLOWING","TGT")</f>
        <v>42719</v>
      </c>
      <c r="D157" s="95">
        <f ca="1"/>
        <v>-3.8370718619057387E-3</v>
      </c>
      <c r="E157" s="92"/>
      <c r="F157" s="97">
        <f>_xll.meDateFromTenor(F156,"1D","FOLLOWING","TGT")</f>
        <v>42719</v>
      </c>
      <c r="G157" s="95">
        <f ca="1"/>
        <v>-3.7644935771903526E-3</v>
      </c>
      <c r="H157" s="92" t="s">
        <v>4</v>
      </c>
      <c r="I157" s="97">
        <f>_xll.meDateFromTenor(I156,"1D","FOLLOWING","TGT")</f>
        <v>42719</v>
      </c>
      <c r="J157" s="95">
        <f ca="1"/>
        <v>-2.9473917935077094E-3</v>
      </c>
      <c r="K157" s="5" t="s">
        <v>4</v>
      </c>
      <c r="L157" s="97">
        <f>_xll.meDateFromTenor(L156,"1D","FOLLOWING","TGT")</f>
        <v>42719</v>
      </c>
      <c r="M157" s="95">
        <f ca="1"/>
        <v>-1.6745302721640663E-3</v>
      </c>
      <c r="N157" s="5" t="s">
        <v>4</v>
      </c>
      <c r="O157" s="97">
        <f>_xll.meDateFromTenor(O156,"1D","FOLLOWING","TGT")</f>
        <v>42719</v>
      </c>
      <c r="P157" s="95">
        <f ca="1"/>
        <v>-2.6424822966174082E-4</v>
      </c>
      <c r="Q157" s="5" t="s">
        <v>4</v>
      </c>
      <c r="R157" s="83" t="s">
        <v>4</v>
      </c>
    </row>
    <row r="158" spans="1:18" x14ac:dyDescent="0.25">
      <c r="A158" s="88">
        <v>144</v>
      </c>
      <c r="B158" s="82"/>
      <c r="C158" s="97">
        <f>_xll.meDateFromTenor(C157,"1D","FOLLOWING","TGT")</f>
        <v>42720</v>
      </c>
      <c r="D158" s="95">
        <f ca="1"/>
        <v>-3.840202755765465E-3</v>
      </c>
      <c r="E158" s="92"/>
      <c r="F158" s="97">
        <f>_xll.meDateFromTenor(F157,"1D","FOLLOWING","TGT")</f>
        <v>42720</v>
      </c>
      <c r="G158" s="95">
        <f ca="1"/>
        <v>-3.7663249345644551E-3</v>
      </c>
      <c r="H158" s="92" t="s">
        <v>4</v>
      </c>
      <c r="I158" s="97">
        <f>_xll.meDateFromTenor(I157,"1D","FOLLOWING","TGT")</f>
        <v>42720</v>
      </c>
      <c r="J158" s="95">
        <f ca="1"/>
        <v>-2.9490648599405762E-3</v>
      </c>
      <c r="K158" s="5" t="s">
        <v>4</v>
      </c>
      <c r="L158" s="97">
        <f>_xll.meDateFromTenor(L157,"1D","FOLLOWING","TGT")</f>
        <v>42720</v>
      </c>
      <c r="M158" s="95">
        <f ca="1"/>
        <v>-1.6751625773235681E-3</v>
      </c>
      <c r="N158" s="5" t="s">
        <v>4</v>
      </c>
      <c r="O158" s="97">
        <f>_xll.meDateFromTenor(O157,"1D","FOLLOWING","TGT")</f>
        <v>42720</v>
      </c>
      <c r="P158" s="95">
        <f ca="1"/>
        <v>-2.6441399405469703E-4</v>
      </c>
      <c r="Q158" s="5" t="s">
        <v>4</v>
      </c>
      <c r="R158" s="83" t="s">
        <v>4</v>
      </c>
    </row>
    <row r="159" spans="1:18" x14ac:dyDescent="0.25">
      <c r="A159" s="88">
        <v>145</v>
      </c>
      <c r="B159" s="82"/>
      <c r="C159" s="97">
        <f>_xll.meDateFromTenor(C158,"1D","FOLLOWING","TGT")</f>
        <v>42723</v>
      </c>
      <c r="D159" s="95">
        <f ca="1"/>
        <v>-3.8495975036905161E-3</v>
      </c>
      <c r="E159" s="92"/>
      <c r="F159" s="97">
        <f>_xll.meDateFromTenor(F158,"1D","FOLLOWING","TGT")</f>
        <v>42723</v>
      </c>
      <c r="G159" s="95">
        <f ca="1"/>
        <v>-3.7718071454697962E-3</v>
      </c>
      <c r="H159" s="92" t="s">
        <v>4</v>
      </c>
      <c r="I159" s="97">
        <f>_xll.meDateFromTenor(I158,"1D","FOLLOWING","TGT")</f>
        <v>42723</v>
      </c>
      <c r="J159" s="95">
        <f ca="1"/>
        <v>-2.9535564546014624E-3</v>
      </c>
      <c r="K159" s="5" t="s">
        <v>4</v>
      </c>
      <c r="L159" s="97">
        <f>_xll.meDateFromTenor(L158,"1D","FOLLOWING","TGT")</f>
        <v>42723</v>
      </c>
      <c r="M159" s="95">
        <f ca="1"/>
        <v>-1.6770507399830417E-3</v>
      </c>
      <c r="N159" s="5" t="s">
        <v>4</v>
      </c>
      <c r="O159" s="97">
        <f>_xll.meDateFromTenor(O158,"1D","FOLLOWING","TGT")</f>
        <v>42723</v>
      </c>
      <c r="P159" s="95">
        <f ca="1"/>
        <v>-2.6487294709286006E-4</v>
      </c>
      <c r="Q159" s="5" t="s">
        <v>4</v>
      </c>
      <c r="R159" s="83" t="s">
        <v>4</v>
      </c>
    </row>
    <row r="160" spans="1:18" x14ac:dyDescent="0.25">
      <c r="A160" s="88">
        <v>146</v>
      </c>
      <c r="B160" s="82"/>
      <c r="C160" s="97">
        <f>_xll.meDateFromTenor(C159,"1D","FOLLOWING","TGT")</f>
        <v>42724</v>
      </c>
      <c r="D160" s="95">
        <f ca="1"/>
        <v>-3.8527291242826944E-3</v>
      </c>
      <c r="E160" s="92"/>
      <c r="F160" s="97">
        <f>_xll.meDateFromTenor(F159,"1D","FOLLOWING","TGT")</f>
        <v>42724</v>
      </c>
      <c r="G160" s="95">
        <f ca="1"/>
        <v>-3.7736252015381916E-3</v>
      </c>
      <c r="H160" s="92" t="s">
        <v>4</v>
      </c>
      <c r="I160" s="97">
        <f>_xll.meDateFromTenor(I159,"1D","FOLLOWING","TGT")</f>
        <v>42724</v>
      </c>
      <c r="J160" s="95">
        <f ca="1"/>
        <v>-2.954732881739505E-3</v>
      </c>
      <c r="K160" s="5" t="s">
        <v>4</v>
      </c>
      <c r="L160" s="97">
        <f>_xll.meDateFromTenor(L159,"1D","FOLLOWING","TGT")</f>
        <v>42724</v>
      </c>
      <c r="M160" s="95">
        <f ca="1"/>
        <v>-1.6776772203968447E-3</v>
      </c>
      <c r="N160" s="5" t="s">
        <v>4</v>
      </c>
      <c r="O160" s="97">
        <f>_xll.meDateFromTenor(O159,"1D","FOLLOWING","TGT")</f>
        <v>42724</v>
      </c>
      <c r="P160" s="95">
        <f ca="1"/>
        <v>-2.6501304363445014E-4</v>
      </c>
      <c r="Q160" s="5" t="s">
        <v>4</v>
      </c>
      <c r="R160" s="83" t="s">
        <v>4</v>
      </c>
    </row>
    <row r="161" spans="1:18" x14ac:dyDescent="0.25">
      <c r="A161" s="88">
        <v>147</v>
      </c>
      <c r="B161" s="82"/>
      <c r="C161" s="97">
        <f>_xll.meDateFromTenor(C160,"1D","FOLLOWING","TGT")</f>
        <v>42725</v>
      </c>
      <c r="D161" s="95">
        <f ca="1"/>
        <v>-3.8558603768076294E-3</v>
      </c>
      <c r="E161" s="92"/>
      <c r="F161" s="97">
        <f>_xll.meDateFromTenor(F160,"1D","FOLLOWING","TGT")</f>
        <v>42725</v>
      </c>
      <c r="G161" s="95">
        <f ca="1"/>
        <v>-3.7754358869093643E-3</v>
      </c>
      <c r="H161" s="92" t="s">
        <v>4</v>
      </c>
      <c r="I161" s="97">
        <f>_xll.meDateFromTenor(I160,"1D","FOLLOWING","TGT")</f>
        <v>42725</v>
      </c>
      <c r="J161" s="95">
        <f ca="1"/>
        <v>-2.9556764719015816E-3</v>
      </c>
      <c r="K161" s="5" t="s">
        <v>4</v>
      </c>
      <c r="L161" s="97">
        <f>_xll.meDateFromTenor(L160,"1D","FOLLOWING","TGT")</f>
        <v>42725</v>
      </c>
      <c r="M161" s="95">
        <f ca="1"/>
        <v>-1.6783022524744647E-3</v>
      </c>
      <c r="N161" s="5" t="s">
        <v>4</v>
      </c>
      <c r="O161" s="97">
        <f>_xll.meDateFromTenor(O160,"1D","FOLLOWING","TGT")</f>
        <v>42725</v>
      </c>
      <c r="P161" s="95">
        <f ca="1"/>
        <v>-2.6514664239502683E-4</v>
      </c>
      <c r="Q161" s="5" t="s">
        <v>4</v>
      </c>
      <c r="R161" s="83" t="s">
        <v>4</v>
      </c>
    </row>
    <row r="162" spans="1:18" x14ac:dyDescent="0.25">
      <c r="A162" s="88">
        <v>148</v>
      </c>
      <c r="B162" s="82"/>
      <c r="C162" s="97">
        <f>_xll.meDateFromTenor(C161,"1D","FOLLOWING","TGT")</f>
        <v>42726</v>
      </c>
      <c r="D162" s="95">
        <f ca="1"/>
        <v>-3.8589910347260892E-3</v>
      </c>
      <c r="E162" s="92"/>
      <c r="F162" s="97">
        <f>_xll.meDateFromTenor(F161,"1D","FOLLOWING","TGT")</f>
        <v>42726</v>
      </c>
      <c r="G162" s="95">
        <f ca="1"/>
        <v>-3.7772375834349949E-3</v>
      </c>
      <c r="H162" s="92" t="s">
        <v>4</v>
      </c>
      <c r="I162" s="97">
        <f>_xll.meDateFromTenor(I161,"1D","FOLLOWING","TGT")</f>
        <v>42726</v>
      </c>
      <c r="J162" s="95">
        <f ca="1"/>
        <v>-2.9563801947283422E-3</v>
      </c>
      <c r="K162" s="5" t="s">
        <v>4</v>
      </c>
      <c r="L162" s="97">
        <f>_xll.meDateFromTenor(L161,"1D","FOLLOWING","TGT")</f>
        <v>42726</v>
      </c>
      <c r="M162" s="95">
        <f ca="1"/>
        <v>-1.6789258393559976E-3</v>
      </c>
      <c r="N162" s="5" t="s">
        <v>4</v>
      </c>
      <c r="O162" s="97">
        <f>_xll.meDateFromTenor(O161,"1D","FOLLOWING","TGT")</f>
        <v>42726</v>
      </c>
      <c r="P162" s="95">
        <f ca="1"/>
        <v>-2.6527371104732151E-4</v>
      </c>
      <c r="Q162" s="5" t="s">
        <v>4</v>
      </c>
      <c r="R162" s="83" t="s">
        <v>4</v>
      </c>
    </row>
    <row r="163" spans="1:18" x14ac:dyDescent="0.25">
      <c r="A163" s="88">
        <v>149</v>
      </c>
      <c r="B163" s="82"/>
      <c r="C163" s="97">
        <f>_xll.meDateFromTenor(C162,"1D","FOLLOWING","TGT")</f>
        <v>42727</v>
      </c>
      <c r="D163" s="95">
        <f ca="1"/>
        <v>-3.8621210104923254E-3</v>
      </c>
      <c r="E163" s="92"/>
      <c r="F163" s="97">
        <f>_xll.meDateFromTenor(F162,"1D","FOLLOWING","TGT")</f>
        <v>42727</v>
      </c>
      <c r="G163" s="95">
        <f ca="1"/>
        <v>-3.779028672966765E-3</v>
      </c>
      <c r="H163" s="92" t="s">
        <v>4</v>
      </c>
      <c r="I163" s="97">
        <f>_xll.meDateFromTenor(I162,"1D","FOLLOWING","TGT")</f>
        <v>42727</v>
      </c>
      <c r="J163" s="95">
        <f ca="1"/>
        <v>-2.9569827818666595E-3</v>
      </c>
      <c r="K163" s="5" t="s">
        <v>4</v>
      </c>
      <c r="L163" s="97">
        <f>_xll.meDateFromTenor(L162,"1D","FOLLOWING","TGT")</f>
        <v>42727</v>
      </c>
      <c r="M163" s="95">
        <f ca="1"/>
        <v>-1.6795479841815407E-3</v>
      </c>
      <c r="N163" s="5" t="s">
        <v>4</v>
      </c>
      <c r="O163" s="97">
        <f>_xll.meDateFromTenor(O162,"1D","FOLLOWING","TGT")</f>
        <v>42727</v>
      </c>
      <c r="P163" s="95">
        <f ca="1"/>
        <v>-2.6539421726406537E-4</v>
      </c>
      <c r="Q163" s="5" t="s">
        <v>4</v>
      </c>
      <c r="R163" s="83" t="s">
        <v>4</v>
      </c>
    </row>
    <row r="164" spans="1:18" x14ac:dyDescent="0.25">
      <c r="A164" s="88">
        <v>150</v>
      </c>
      <c r="B164" s="82"/>
      <c r="C164" s="97">
        <f>_xll.meDateFromTenor(C163,"1D","FOLLOWING","TGT")</f>
        <v>42731</v>
      </c>
      <c r="D164" s="95">
        <f ca="1"/>
        <v>-3.8746274907087708E-3</v>
      </c>
      <c r="E164" s="92"/>
      <c r="F164" s="97">
        <f>_xll.meDateFromTenor(F163,"1D","FOLLOWING","TGT")</f>
        <v>42731</v>
      </c>
      <c r="G164" s="95">
        <f ca="1"/>
        <v>-3.7860545981888592E-3</v>
      </c>
      <c r="H164" s="92" t="s">
        <v>4</v>
      </c>
      <c r="I164" s="97">
        <f>_xll.meDateFromTenor(I163,"1D","FOLLOWING","TGT")</f>
        <v>42731</v>
      </c>
      <c r="J164" s="95">
        <f ca="1"/>
        <v>-2.9595954017975325E-3</v>
      </c>
      <c r="K164" s="5" t="s">
        <v>4</v>
      </c>
      <c r="L164" s="97">
        <f>_xll.meDateFromTenor(L163,"1D","FOLLOWING","TGT")</f>
        <v>42731</v>
      </c>
      <c r="M164" s="95">
        <f ca="1"/>
        <v>-1.6820222057257427E-3</v>
      </c>
      <c r="N164" s="5" t="s">
        <v>4</v>
      </c>
      <c r="O164" s="97">
        <f>_xll.meDateFromTenor(O163,"1D","FOLLOWING","TGT")</f>
        <v>42731</v>
      </c>
      <c r="P164" s="95">
        <f ca="1"/>
        <v>-2.6580997123015846E-4</v>
      </c>
      <c r="Q164" s="5" t="s">
        <v>4</v>
      </c>
      <c r="R164" s="83" t="s">
        <v>4</v>
      </c>
    </row>
    <row r="165" spans="1:18" x14ac:dyDescent="0.25">
      <c r="A165" s="88">
        <v>151</v>
      </c>
      <c r="B165" s="82"/>
      <c r="C165" s="97">
        <f>_xll.meDateFromTenor(C164,"1D","FOLLOWING","TGT")</f>
        <v>42732</v>
      </c>
      <c r="D165" s="95">
        <f ca="1"/>
        <v>-3.8777498316201475E-3</v>
      </c>
      <c r="E165" s="92"/>
      <c r="F165" s="97">
        <f>_xll.meDateFromTenor(F164,"1D","FOLLOWING","TGT")</f>
        <v>42732</v>
      </c>
      <c r="G165" s="95">
        <f ca="1"/>
        <v>-3.787768380526543E-3</v>
      </c>
      <c r="H165" s="92" t="s">
        <v>4</v>
      </c>
      <c r="I165" s="97">
        <f>_xll.meDateFromTenor(I164,"1D","FOLLOWING","TGT")</f>
        <v>42732</v>
      </c>
      <c r="J165" s="95">
        <f ca="1"/>
        <v>-2.960247583935839E-3</v>
      </c>
      <c r="K165" s="5" t="s">
        <v>4</v>
      </c>
      <c r="L165" s="97">
        <f>_xll.meDateFromTenor(L164,"1D","FOLLOWING","TGT")</f>
        <v>42732</v>
      </c>
      <c r="M165" s="95">
        <f ca="1"/>
        <v>-1.6826371873727836E-3</v>
      </c>
      <c r="N165" s="5" t="s">
        <v>4</v>
      </c>
      <c r="O165" s="97">
        <f>_xll.meDateFromTenor(O164,"1D","FOLLOWING","TGT")</f>
        <v>42732</v>
      </c>
      <c r="P165" s="95">
        <f ca="1"/>
        <v>-2.6589718036011754E-4</v>
      </c>
      <c r="Q165" s="5" t="s">
        <v>4</v>
      </c>
      <c r="R165" s="83" t="s">
        <v>4</v>
      </c>
    </row>
    <row r="166" spans="1:18" x14ac:dyDescent="0.25">
      <c r="A166" s="88">
        <v>152</v>
      </c>
      <c r="B166" s="82"/>
      <c r="C166" s="97">
        <f>_xll.meDateFromTenor(C165,"1D","FOLLOWING","TGT")</f>
        <v>42733</v>
      </c>
      <c r="D166" s="95">
        <f ca="1"/>
        <v>-3.8808699950145797E-3</v>
      </c>
      <c r="E166" s="92"/>
      <c r="F166" s="97">
        <f>_xll.meDateFromTenor(F165,"1D","FOLLOWING","TGT")</f>
        <v>42733</v>
      </c>
      <c r="G166" s="95">
        <f ca="1"/>
        <v>-3.7894618469804524E-3</v>
      </c>
      <c r="H166" s="92" t="s">
        <v>4</v>
      </c>
      <c r="I166" s="97">
        <f>_xll.meDateFromTenor(I165,"1D","FOLLOWING","TGT")</f>
        <v>42733</v>
      </c>
      <c r="J166" s="95">
        <f ca="1"/>
        <v>-2.9609017117627938E-3</v>
      </c>
      <c r="K166" s="5" t="s">
        <v>4</v>
      </c>
      <c r="L166" s="97">
        <f>_xll.meDateFromTenor(L165,"1D","FOLLOWING","TGT")</f>
        <v>42733</v>
      </c>
      <c r="M166" s="95">
        <f ca="1"/>
        <v>-1.6832507458044133E-3</v>
      </c>
      <c r="N166" s="5" t="s">
        <v>4</v>
      </c>
      <c r="O166" s="97">
        <f>_xll.meDateFromTenor(O165,"1D","FOLLOWING","TGT")</f>
        <v>42733</v>
      </c>
      <c r="P166" s="95">
        <f ca="1"/>
        <v>-2.6597763309091349E-4</v>
      </c>
      <c r="Q166" s="5" t="s">
        <v>4</v>
      </c>
      <c r="R166" s="83" t="s">
        <v>4</v>
      </c>
    </row>
    <row r="167" spans="1:18" x14ac:dyDescent="0.25">
      <c r="A167" s="88">
        <v>153</v>
      </c>
      <c r="B167" s="82"/>
      <c r="C167" s="97">
        <f>_xll.meDateFromTenor(C166,"1D","FOLLOWING","TGT")</f>
        <v>42734</v>
      </c>
      <c r="D167" s="95">
        <f ca="1"/>
        <v>-3.8839878175986886E-3</v>
      </c>
      <c r="E167" s="92"/>
      <c r="F167" s="97">
        <f>_xll.meDateFromTenor(F166,"1D","FOLLOWING","TGT")</f>
        <v>42734</v>
      </c>
      <c r="G167" s="95">
        <f ca="1"/>
        <v>-3.7911333794022708E-3</v>
      </c>
      <c r="H167" s="92" t="s">
        <v>4</v>
      </c>
      <c r="I167" s="97">
        <f>_xll.meDateFromTenor(I166,"1D","FOLLOWING","TGT")</f>
        <v>42734</v>
      </c>
      <c r="J167" s="95">
        <f ca="1"/>
        <v>-2.961555127507778E-3</v>
      </c>
      <c r="K167" s="5" t="s">
        <v>4</v>
      </c>
      <c r="L167" s="97">
        <f>_xll.meDateFromTenor(L166,"1D","FOLLOWING","TGT")</f>
        <v>42734</v>
      </c>
      <c r="M167" s="95">
        <f ca="1"/>
        <v>-1.683862884160729E-3</v>
      </c>
      <c r="N167" s="5" t="s">
        <v>4</v>
      </c>
      <c r="O167" s="97">
        <f>_xll.meDateFromTenor(O166,"1D","FOLLOWING","TGT")</f>
        <v>42734</v>
      </c>
      <c r="P167" s="95">
        <f ca="1"/>
        <v>-2.6605129709527758E-4</v>
      </c>
      <c r="Q167" s="5" t="s">
        <v>4</v>
      </c>
      <c r="R167" s="83" t="s">
        <v>4</v>
      </c>
    </row>
    <row r="168" spans="1:18" x14ac:dyDescent="0.25">
      <c r="A168" s="88">
        <v>154</v>
      </c>
      <c r="B168" s="82"/>
      <c r="C168" s="97">
        <f>_xll.meDateFromTenor(C167,"1D","FOLLOWING","TGT")</f>
        <v>42737</v>
      </c>
      <c r="D168" s="95">
        <f ca="1"/>
        <v>-3.9039914824171573E-3</v>
      </c>
      <c r="E168" s="92"/>
      <c r="F168" s="97">
        <f>_xll.meDateFromTenor(F167,"1D","FOLLOWING","TGT")</f>
        <v>42737</v>
      </c>
      <c r="G168" s="95">
        <f ca="1"/>
        <v>-3.7960088595398178E-3</v>
      </c>
      <c r="H168" s="92" t="s">
        <v>4</v>
      </c>
      <c r="I168" s="97">
        <f>_xll.meDateFromTenor(I167,"1D","FOLLOWING","TGT")</f>
        <v>42737</v>
      </c>
      <c r="J168" s="95">
        <f ca="1"/>
        <v>-2.9635179106260222E-3</v>
      </c>
      <c r="K168" s="5" t="s">
        <v>4</v>
      </c>
      <c r="L168" s="97">
        <f>_xll.meDateFromTenor(L167,"1D","FOLLOWING","TGT")</f>
        <v>42737</v>
      </c>
      <c r="M168" s="95">
        <f ca="1"/>
        <v>-1.6856941372408599E-3</v>
      </c>
      <c r="N168" s="5" t="s">
        <v>4</v>
      </c>
      <c r="O168" s="97">
        <f>_xll.meDateFromTenor(O167,"1D","FOLLOWING","TGT")</f>
        <v>42737</v>
      </c>
      <c r="P168" s="95">
        <f ca="1"/>
        <v>-2.6623150542929918E-4</v>
      </c>
      <c r="Q168" s="5" t="s">
        <v>4</v>
      </c>
      <c r="R168" s="83" t="s">
        <v>4</v>
      </c>
    </row>
    <row r="169" spans="1:18" x14ac:dyDescent="0.25">
      <c r="A169" s="88">
        <v>155</v>
      </c>
      <c r="B169" s="82"/>
      <c r="C169" s="97">
        <f>_xll.meDateFromTenor(C168,"1D","FOLLOWING","TGT")</f>
        <v>42738</v>
      </c>
      <c r="D169" s="95">
        <f ca="1"/>
        <v>-3.9071143441749001E-3</v>
      </c>
      <c r="E169" s="92"/>
      <c r="F169" s="97">
        <f>_xll.meDateFromTenor(F168,"1D","FOLLOWING","TGT")</f>
        <v>42738</v>
      </c>
      <c r="G169" s="95">
        <f ca="1"/>
        <v>-3.7975811038459691E-3</v>
      </c>
      <c r="H169" s="92" t="s">
        <v>4</v>
      </c>
      <c r="I169" s="97">
        <f>_xll.meDateFromTenor(I168,"1D","FOLLOWING","TGT")</f>
        <v>42738</v>
      </c>
      <c r="J169" s="95">
        <f ca="1"/>
        <v>-2.9641728738659954E-3</v>
      </c>
      <c r="K169" s="5" t="s">
        <v>4</v>
      </c>
      <c r="L169" s="97">
        <f>_xll.meDateFromTenor(L168,"1D","FOLLOWING","TGT")</f>
        <v>42738</v>
      </c>
      <c r="M169" s="95">
        <f ca="1"/>
        <v>-1.6863022786564833E-3</v>
      </c>
      <c r="N169" s="5" t="s">
        <v>4</v>
      </c>
      <c r="O169" s="97">
        <f>_xll.meDateFromTenor(O168,"1D","FOLLOWING","TGT")</f>
        <v>42738</v>
      </c>
      <c r="P169" s="95">
        <f ca="1"/>
        <v>-2.6627777015895005E-4</v>
      </c>
      <c r="Q169" s="5" t="s">
        <v>4</v>
      </c>
      <c r="R169" s="83" t="s">
        <v>4</v>
      </c>
    </row>
    <row r="170" spans="1:18" x14ac:dyDescent="0.25">
      <c r="A170" s="88">
        <v>156</v>
      </c>
      <c r="B170" s="82"/>
      <c r="C170" s="97">
        <f>_xll.meDateFromTenor(C169,"1D","FOLLOWING","TGT")</f>
        <v>42739</v>
      </c>
      <c r="D170" s="95">
        <f ca="1"/>
        <v>-3.9102336397475179E-3</v>
      </c>
      <c r="E170" s="92"/>
      <c r="F170" s="97">
        <f>_xll.meDateFromTenor(F169,"1D","FOLLOWING","TGT")</f>
        <v>42739</v>
      </c>
      <c r="G170" s="95">
        <f ca="1"/>
        <v>-3.7991263596144397E-3</v>
      </c>
      <c r="H170" s="92" t="s">
        <v>4</v>
      </c>
      <c r="I170" s="97">
        <f>_xll.meDateFromTenor(I169,"1D","FOLLOWING","TGT")</f>
        <v>42739</v>
      </c>
      <c r="J170" s="95">
        <f ca="1"/>
        <v>-2.9648277995224705E-3</v>
      </c>
      <c r="K170" s="5" t="s">
        <v>4</v>
      </c>
      <c r="L170" s="97">
        <f>_xll.meDateFromTenor(L169,"1D","FOLLOWING","TGT")</f>
        <v>42739</v>
      </c>
      <c r="M170" s="95">
        <f ca="1"/>
        <v>-1.6869090080174805E-3</v>
      </c>
      <c r="N170" s="5" t="s">
        <v>4</v>
      </c>
      <c r="O170" s="97">
        <f>_xll.meDateFromTenor(O169,"1D","FOLLOWING","TGT")</f>
        <v>42739</v>
      </c>
      <c r="P170" s="95">
        <f ca="1"/>
        <v>-2.6631704612231437E-4</v>
      </c>
      <c r="Q170" s="5" t="s">
        <v>4</v>
      </c>
      <c r="R170" s="83" t="s">
        <v>4</v>
      </c>
    </row>
    <row r="171" spans="1:18" x14ac:dyDescent="0.25">
      <c r="A171" s="88">
        <v>157</v>
      </c>
      <c r="B171" s="82"/>
      <c r="C171" s="97">
        <f>_xll.meDateFromTenor(C170,"1D","FOLLOWING","TGT")</f>
        <v>42740</v>
      </c>
      <c r="D171" s="95">
        <f ca="1"/>
        <v>-3.9133491407664645E-3</v>
      </c>
      <c r="E171" s="92"/>
      <c r="F171" s="97">
        <f>_xll.meDateFromTenor(F170,"1D","FOLLOWING","TGT")</f>
        <v>42740</v>
      </c>
      <c r="G171" s="95">
        <f ca="1"/>
        <v>-3.8006462097140963E-3</v>
      </c>
      <c r="H171" s="92" t="s">
        <v>4</v>
      </c>
      <c r="I171" s="97">
        <f>_xll.meDateFromTenor(I170,"1D","FOLLOWING","TGT")</f>
        <v>42740</v>
      </c>
      <c r="J171" s="95">
        <f ca="1"/>
        <v>-2.9654827389359408E-3</v>
      </c>
      <c r="K171" s="5" t="s">
        <v>4</v>
      </c>
      <c r="L171" s="97">
        <f>_xll.meDateFromTenor(L170,"1D","FOLLOWING","TGT")</f>
        <v>42740</v>
      </c>
      <c r="M171" s="95">
        <f ca="1"/>
        <v>-1.6875143284898267E-3</v>
      </c>
      <c r="N171" s="5" t="s">
        <v>4</v>
      </c>
      <c r="O171" s="97">
        <f>_xll.meDateFromTenor(O170,"1D","FOLLOWING","TGT")</f>
        <v>42740</v>
      </c>
      <c r="P171" s="95">
        <f ca="1"/>
        <v>-2.6634930072569102E-4</v>
      </c>
      <c r="Q171" s="5" t="s">
        <v>4</v>
      </c>
      <c r="R171" s="83" t="s">
        <v>4</v>
      </c>
    </row>
    <row r="172" spans="1:18" x14ac:dyDescent="0.25">
      <c r="A172" s="88">
        <v>158</v>
      </c>
      <c r="B172" s="82"/>
      <c r="C172" s="97">
        <f>_xll.meDateFromTenor(C171,"1D","FOLLOWING","TGT")</f>
        <v>42741</v>
      </c>
      <c r="D172" s="95">
        <f ca="1"/>
        <v>-3.9164606808138602E-3</v>
      </c>
      <c r="E172" s="92"/>
      <c r="F172" s="97">
        <f>_xll.meDateFromTenor(F171,"1D","FOLLOWING","TGT")</f>
        <v>42741</v>
      </c>
      <c r="G172" s="95">
        <f ca="1"/>
        <v>-3.8021422370138058E-3</v>
      </c>
      <c r="H172" s="92" t="s">
        <v>4</v>
      </c>
      <c r="I172" s="97">
        <f>_xll.meDateFromTenor(I171,"1D","FOLLOWING","TGT")</f>
        <v>42741</v>
      </c>
      <c r="J172" s="95">
        <f ca="1"/>
        <v>-2.966137688419873E-3</v>
      </c>
      <c r="K172" s="5" t="s">
        <v>4</v>
      </c>
      <c r="L172" s="97">
        <f>_xll.meDateFromTenor(L171,"1D","FOLLOWING","TGT")</f>
        <v>42741</v>
      </c>
      <c r="M172" s="95">
        <f ca="1"/>
        <v>-1.6881182432394988E-3</v>
      </c>
      <c r="N172" s="5" t="s">
        <v>4</v>
      </c>
      <c r="O172" s="97">
        <f>_xll.meDateFromTenor(O171,"1D","FOLLOWING","TGT")</f>
        <v>42741</v>
      </c>
      <c r="P172" s="95">
        <f ca="1"/>
        <v>-2.663745013753792E-4</v>
      </c>
      <c r="Q172" s="5" t="s">
        <v>4</v>
      </c>
      <c r="R172" s="83" t="s">
        <v>4</v>
      </c>
    </row>
    <row r="173" spans="1:18" x14ac:dyDescent="0.25">
      <c r="A173" s="88">
        <v>159</v>
      </c>
      <c r="B173" s="82"/>
      <c r="C173" s="97">
        <f>_xll.meDateFromTenor(C172,"1D","FOLLOWING","TGT")</f>
        <v>42744</v>
      </c>
      <c r="D173" s="95">
        <f ca="1"/>
        <v>-3.9257686237567091E-3</v>
      </c>
      <c r="E173" s="92"/>
      <c r="F173" s="97">
        <f>_xll.meDateFromTenor(F172,"1D","FOLLOWING","TGT")</f>
        <v>42744</v>
      </c>
      <c r="G173" s="95">
        <f ca="1"/>
        <v>-3.8065032108019286E-3</v>
      </c>
      <c r="H173" s="92" t="s">
        <v>4</v>
      </c>
      <c r="I173" s="97">
        <f>_xll.meDateFromTenor(I172,"1D","FOLLOWING","TGT")</f>
        <v>42744</v>
      </c>
      <c r="J173" s="95">
        <f ca="1"/>
        <v>-2.9681025214036432E-3</v>
      </c>
      <c r="K173" s="5" t="s">
        <v>4</v>
      </c>
      <c r="L173" s="97">
        <f>_xll.meDateFromTenor(L172,"1D","FOLLOWING","TGT")</f>
        <v>42744</v>
      </c>
      <c r="M173" s="95">
        <f ca="1"/>
        <v>-1.6899215848122336E-3</v>
      </c>
      <c r="N173" s="5" t="s">
        <v>4</v>
      </c>
      <c r="O173" s="97">
        <f>_xll.meDateFromTenor(O172,"1D","FOLLOWING","TGT")</f>
        <v>42744</v>
      </c>
      <c r="P173" s="95">
        <f ca="1"/>
        <v>-2.6640745366530359E-4</v>
      </c>
      <c r="Q173" s="5" t="s">
        <v>4</v>
      </c>
      <c r="R173" s="83" t="s">
        <v>4</v>
      </c>
    </row>
    <row r="174" spans="1:18" x14ac:dyDescent="0.25">
      <c r="A174" s="88">
        <v>160</v>
      </c>
      <c r="B174" s="82"/>
      <c r="C174" s="97">
        <f>_xll.meDateFromTenor(C173,"1D","FOLLOWING","TGT")</f>
        <v>42745</v>
      </c>
      <c r="D174" s="95">
        <f ca="1"/>
        <v>-3.9288617211258314E-3</v>
      </c>
      <c r="E174" s="92"/>
      <c r="F174" s="97">
        <f>_xll.meDateFromTenor(F173,"1D","FOLLOWING","TGT")</f>
        <v>42745</v>
      </c>
      <c r="G174" s="95">
        <f ca="1"/>
        <v>-3.8079197755905253E-3</v>
      </c>
      <c r="H174" s="92" t="s">
        <v>4</v>
      </c>
      <c r="I174" s="97">
        <f>_xll.meDateFromTenor(I173,"1D","FOLLOWING","TGT")</f>
        <v>42745</v>
      </c>
      <c r="J174" s="95">
        <f ca="1"/>
        <v>-2.9687574662139609E-3</v>
      </c>
      <c r="K174" s="5" t="s">
        <v>4</v>
      </c>
      <c r="L174" s="97">
        <f>_xll.meDateFromTenor(L173,"1D","FOLLOWING","TGT")</f>
        <v>42745</v>
      </c>
      <c r="M174" s="95">
        <f ca="1"/>
        <v>-1.6905199083309729E-3</v>
      </c>
      <c r="N174" s="5" t="s">
        <v>4</v>
      </c>
      <c r="O174" s="97">
        <f>_xll.meDateFromTenor(O173,"1D","FOLLOWING","TGT")</f>
        <v>42745</v>
      </c>
      <c r="P174" s="95">
        <f ca="1"/>
        <v>-2.6640411256322857E-4</v>
      </c>
      <c r="Q174" s="5" t="s">
        <v>4</v>
      </c>
      <c r="R174" s="83" t="s">
        <v>4</v>
      </c>
    </row>
    <row r="175" spans="1:18" x14ac:dyDescent="0.25">
      <c r="A175" s="88">
        <v>161</v>
      </c>
      <c r="B175" s="82"/>
      <c r="C175" s="97">
        <f>_xll.meDateFromTenor(C174,"1D","FOLLOWING","TGT")</f>
        <v>42746</v>
      </c>
      <c r="D175" s="95">
        <f ca="1"/>
        <v>-3.9319496520380248E-3</v>
      </c>
      <c r="E175" s="92"/>
      <c r="F175" s="97">
        <f>_xll.meDateFromTenor(F174,"1D","FOLLOWING","TGT")</f>
        <v>42746</v>
      </c>
      <c r="G175" s="95">
        <f ca="1"/>
        <v>-3.8093204319235127E-3</v>
      </c>
      <c r="H175" s="92" t="s">
        <v>4</v>
      </c>
      <c r="I175" s="97">
        <f>_xll.meDateFromTenor(I174,"1D","FOLLOWING","TGT")</f>
        <v>42746</v>
      </c>
      <c r="J175" s="95">
        <f ca="1"/>
        <v>-2.9694124107590447E-3</v>
      </c>
      <c r="K175" s="5" t="s">
        <v>4</v>
      </c>
      <c r="L175" s="97">
        <f>_xll.meDateFromTenor(L174,"1D","FOLLOWING","TGT")</f>
        <v>42746</v>
      </c>
      <c r="M175" s="95">
        <f ca="1"/>
        <v>-1.6911168419569194E-3</v>
      </c>
      <c r="N175" s="5" t="s">
        <v>4</v>
      </c>
      <c r="O175" s="97">
        <f>_xll.meDateFromTenor(O174,"1D","FOLLOWING","TGT")</f>
        <v>42746</v>
      </c>
      <c r="P175" s="95">
        <f ca="1"/>
        <v>-2.6639355453896051E-4</v>
      </c>
      <c r="Q175" s="5" t="s">
        <v>4</v>
      </c>
      <c r="R175" s="83" t="s">
        <v>4</v>
      </c>
    </row>
    <row r="176" spans="1:18" x14ac:dyDescent="0.25">
      <c r="A176" s="88">
        <v>162</v>
      </c>
      <c r="B176" s="82"/>
      <c r="C176" s="97">
        <f>_xll.meDateFromTenor(C175,"1D","FOLLOWING","TGT")</f>
        <v>42747</v>
      </c>
      <c r="D176" s="95">
        <f ca="1"/>
        <v>-3.9350321877064109E-3</v>
      </c>
      <c r="E176" s="92"/>
      <c r="F176" s="97">
        <f>_xll.meDateFromTenor(F175,"1D","FOLLOWING","TGT")</f>
        <v>42747</v>
      </c>
      <c r="G176" s="95">
        <f ca="1"/>
        <v>-3.810706762669756E-3</v>
      </c>
      <c r="H176" s="92" t="s">
        <v>4</v>
      </c>
      <c r="I176" s="97">
        <f>_xll.meDateFromTenor(I175,"1D","FOLLOWING","TGT")</f>
        <v>42747</v>
      </c>
      <c r="J176" s="95">
        <f ca="1"/>
        <v>-2.9700673551102158E-3</v>
      </c>
      <c r="K176" s="5" t="s">
        <v>4</v>
      </c>
      <c r="L176" s="97">
        <f>_xll.meDateFromTenor(L175,"1D","FOLLOWING","TGT")</f>
        <v>42747</v>
      </c>
      <c r="M176" s="95">
        <f ca="1"/>
        <v>-1.69171238885605E-3</v>
      </c>
      <c r="N176" s="5" t="s">
        <v>4</v>
      </c>
      <c r="O176" s="97">
        <f>_xll.meDateFromTenor(O175,"1D","FOLLOWING","TGT")</f>
        <v>42747</v>
      </c>
      <c r="P176" s="95">
        <f ca="1"/>
        <v>-2.6637574699879833E-4</v>
      </c>
      <c r="Q176" s="5" t="s">
        <v>4</v>
      </c>
      <c r="R176" s="83" t="s">
        <v>4</v>
      </c>
    </row>
    <row r="177" spans="1:18" x14ac:dyDescent="0.25">
      <c r="A177" s="88">
        <v>163</v>
      </c>
      <c r="B177" s="82"/>
      <c r="C177" s="97">
        <f>_xll.meDateFromTenor(C176,"1D","FOLLOWING","TGT")</f>
        <v>42748</v>
      </c>
      <c r="D177" s="95">
        <f ca="1"/>
        <v>-3.9381091620890318E-3</v>
      </c>
      <c r="E177" s="92"/>
      <c r="F177" s="97">
        <f>_xll.meDateFromTenor(F176,"1D","FOLLOWING","TGT")</f>
        <v>42748</v>
      </c>
      <c r="G177" s="95">
        <f ca="1"/>
        <v>-3.8120803506981249E-3</v>
      </c>
      <c r="H177" s="92" t="s">
        <v>4</v>
      </c>
      <c r="I177" s="97">
        <f>_xll.meDateFromTenor(I176,"1D","FOLLOWING","TGT")</f>
        <v>42748</v>
      </c>
      <c r="J177" s="95">
        <f ca="1"/>
        <v>-2.9707222995326676E-3</v>
      </c>
      <c r="K177" s="5" t="s">
        <v>4</v>
      </c>
      <c r="L177" s="97">
        <f>_xll.meDateFromTenor(L176,"1D","FOLLOWING","TGT")</f>
        <v>42748</v>
      </c>
      <c r="M177" s="95">
        <f ca="1"/>
        <v>-1.6923065521943408E-3</v>
      </c>
      <c r="N177" s="5" t="s">
        <v>4</v>
      </c>
      <c r="O177" s="97">
        <f>_xll.meDateFromTenor(O176,"1D","FOLLOWING","TGT")</f>
        <v>42748</v>
      </c>
      <c r="P177" s="95">
        <f ca="1"/>
        <v>-2.663506573490413E-4</v>
      </c>
      <c r="Q177" s="5" t="s">
        <v>4</v>
      </c>
      <c r="R177" s="83" t="s">
        <v>4</v>
      </c>
    </row>
    <row r="178" spans="1:18" x14ac:dyDescent="0.25">
      <c r="A178" s="88">
        <v>164</v>
      </c>
      <c r="B178" s="82"/>
      <c r="C178" s="97">
        <f>_xll.meDateFromTenor(C177,"1D","FOLLOWING","TGT")</f>
        <v>42751</v>
      </c>
      <c r="D178" s="95">
        <f ca="1"/>
        <v>-3.947303805922453E-3</v>
      </c>
      <c r="E178" s="92"/>
      <c r="F178" s="97">
        <f>_xll.meDateFromTenor(F177,"1D","FOLLOWING","TGT")</f>
        <v>42751</v>
      </c>
      <c r="G178" s="95">
        <f ca="1"/>
        <v>-3.8161404871646524E-3</v>
      </c>
      <c r="H178" s="92" t="s">
        <v>4</v>
      </c>
      <c r="I178" s="97">
        <f>_xll.meDateFromTenor(I177,"1D","FOLLOWING","TGT")</f>
        <v>42751</v>
      </c>
      <c r="J178" s="95">
        <f ca="1"/>
        <v>-2.9726871329055649E-3</v>
      </c>
      <c r="K178" s="5" t="s">
        <v>4</v>
      </c>
      <c r="L178" s="97">
        <f>_xll.meDateFromTenor(L177,"1D","FOLLOWING","TGT")</f>
        <v>42751</v>
      </c>
      <c r="M178" s="95">
        <f ca="1"/>
        <v>-1.6940807725039379E-3</v>
      </c>
      <c r="N178" s="5" t="s">
        <v>4</v>
      </c>
      <c r="O178" s="97">
        <f>_xll.meDateFromTenor(O177,"1D","FOLLOWING","TGT")</f>
        <v>42751</v>
      </c>
      <c r="P178" s="95">
        <f ca="1"/>
        <v>-2.6623136980519121E-4</v>
      </c>
      <c r="Q178" s="5" t="s">
        <v>4</v>
      </c>
      <c r="R178" s="83" t="s">
        <v>4</v>
      </c>
    </row>
    <row r="179" spans="1:18" x14ac:dyDescent="0.25">
      <c r="A179" s="88">
        <v>165</v>
      </c>
      <c r="B179" s="82"/>
      <c r="C179" s="97">
        <f>_xll.meDateFromTenor(C178,"1D","FOLLOWING","TGT")</f>
        <v>42752</v>
      </c>
      <c r="D179" s="95">
        <f ca="1"/>
        <v>-3.9503559361325769E-3</v>
      </c>
      <c r="E179" s="92"/>
      <c r="F179" s="97">
        <f>_xll.meDateFromTenor(F178,"1D","FOLLOWING","TGT")</f>
        <v>42752</v>
      </c>
      <c r="G179" s="95">
        <f ca="1"/>
        <v>-3.817478933010193E-3</v>
      </c>
      <c r="H179" s="92" t="s">
        <v>4</v>
      </c>
      <c r="I179" s="97">
        <f>_xll.meDateFromTenor(I178,"1D","FOLLOWING","TGT")</f>
        <v>42752</v>
      </c>
      <c r="J179" s="95">
        <f ca="1"/>
        <v>-2.9733420773516376E-3</v>
      </c>
      <c r="K179" s="5" t="s">
        <v>4</v>
      </c>
      <c r="L179" s="97">
        <f>_xll.meDateFromTenor(L178,"1D","FOLLOWING","TGT")</f>
        <v>42752</v>
      </c>
      <c r="M179" s="95">
        <f ca="1"/>
        <v>-1.6946694332586332E-3</v>
      </c>
      <c r="N179" s="5" t="s">
        <v>4</v>
      </c>
      <c r="O179" s="97">
        <f>_xll.meDateFromTenor(O178,"1D","FOLLOWING","TGT")</f>
        <v>42752</v>
      </c>
      <c r="P179" s="95">
        <f ca="1"/>
        <v>-2.6617682578004517E-4</v>
      </c>
      <c r="Q179" s="5" t="s">
        <v>4</v>
      </c>
      <c r="R179" s="83" t="s">
        <v>4</v>
      </c>
    </row>
    <row r="180" spans="1:18" x14ac:dyDescent="0.25">
      <c r="A180" s="88">
        <v>166</v>
      </c>
      <c r="B180" s="82"/>
      <c r="C180" s="97">
        <f>_xll.meDateFromTenor(C179,"1D","FOLLOWING","TGT")</f>
        <v>42753</v>
      </c>
      <c r="D180" s="95">
        <f ca="1"/>
        <v>-3.9534012995890988E-3</v>
      </c>
      <c r="E180" s="92"/>
      <c r="F180" s="97">
        <f>_xll.meDateFromTenor(F179,"1D","FOLLOWING","TGT")</f>
        <v>42753</v>
      </c>
      <c r="G180" s="95">
        <f ca="1"/>
        <v>-3.8188125504821941E-3</v>
      </c>
      <c r="H180" s="92" t="s">
        <v>4</v>
      </c>
      <c r="I180" s="97">
        <f>_xll.meDateFromTenor(I179,"1D","FOLLOWING","TGT")</f>
        <v>42753</v>
      </c>
      <c r="J180" s="95">
        <f ca="1"/>
        <v>-2.9739970218014169E-3</v>
      </c>
      <c r="K180" s="5" t="s">
        <v>4</v>
      </c>
      <c r="L180" s="97">
        <f>_xll.meDateFromTenor(L179,"1D","FOLLOWING","TGT")</f>
        <v>42753</v>
      </c>
      <c r="M180" s="95">
        <f ca="1"/>
        <v>-1.69525672628237E-3</v>
      </c>
      <c r="N180" s="5" t="s">
        <v>4</v>
      </c>
      <c r="O180" s="97">
        <f>_xll.meDateFromTenor(O179,"1D","FOLLOWING","TGT")</f>
        <v>42753</v>
      </c>
      <c r="P180" s="95">
        <f ca="1"/>
        <v>-2.6611483667679959E-4</v>
      </c>
      <c r="Q180" s="5" t="s">
        <v>4</v>
      </c>
      <c r="R180" s="83" t="s">
        <v>4</v>
      </c>
    </row>
    <row r="181" spans="1:18" x14ac:dyDescent="0.25">
      <c r="A181" s="88">
        <v>167</v>
      </c>
      <c r="B181" s="82"/>
      <c r="C181" s="97">
        <f>_xll.meDateFromTenor(C180,"1D","FOLLOWING","TGT")</f>
        <v>42754</v>
      </c>
      <c r="D181" s="95">
        <f ca="1"/>
        <v>-3.9564396674046654E-3</v>
      </c>
      <c r="E181" s="92"/>
      <c r="F181" s="97">
        <f>_xll.meDateFromTenor(F180,"1D","FOLLOWING","TGT")</f>
        <v>42754</v>
      </c>
      <c r="G181" s="95">
        <f ca="1"/>
        <v>-3.8201429224495251E-3</v>
      </c>
      <c r="H181" s="92" t="s">
        <v>4</v>
      </c>
      <c r="I181" s="97">
        <f>_xll.meDateFromTenor(I180,"1D","FOLLOWING","TGT")</f>
        <v>42754</v>
      </c>
      <c r="J181" s="95">
        <f ca="1"/>
        <v>-2.9746519662506589E-3</v>
      </c>
      <c r="K181" s="5" t="s">
        <v>4</v>
      </c>
      <c r="L181" s="97">
        <f>_xll.meDateFromTenor(L180,"1D","FOLLOWING","TGT")</f>
        <v>42754</v>
      </c>
      <c r="M181" s="95">
        <f ca="1"/>
        <v>-1.6958426547411256E-3</v>
      </c>
      <c r="N181" s="5" t="s">
        <v>4</v>
      </c>
      <c r="O181" s="97">
        <f>_xll.meDateFromTenor(O180,"1D","FOLLOWING","TGT")</f>
        <v>42754</v>
      </c>
      <c r="P181" s="95">
        <f ca="1"/>
        <v>-2.6604536990175351E-4</v>
      </c>
      <c r="Q181" s="5" t="s">
        <v>4</v>
      </c>
      <c r="R181" s="83" t="s">
        <v>4</v>
      </c>
    </row>
    <row r="182" spans="1:18" x14ac:dyDescent="0.25">
      <c r="A182" s="88">
        <v>168</v>
      </c>
      <c r="B182" s="82"/>
      <c r="C182" s="97">
        <f>_xll.meDateFromTenor(C181,"1D","FOLLOWING","TGT")</f>
        <v>42755</v>
      </c>
      <c r="D182" s="95">
        <f ca="1"/>
        <v>-3.9594708737541451E-3</v>
      </c>
      <c r="E182" s="92"/>
      <c r="F182" s="97">
        <f>_xll.meDateFromTenor(F181,"1D","FOLLOWING","TGT")</f>
        <v>42755</v>
      </c>
      <c r="G182" s="95">
        <f ca="1"/>
        <v>-3.8214716317810518E-3</v>
      </c>
      <c r="H182" s="92" t="s">
        <v>4</v>
      </c>
      <c r="I182" s="97">
        <f>_xll.meDateFromTenor(I181,"1D","FOLLOWING","TGT")</f>
        <v>42755</v>
      </c>
      <c r="J182" s="95">
        <f ca="1"/>
        <v>-2.9753069106990457E-3</v>
      </c>
      <c r="K182" s="5" t="s">
        <v>4</v>
      </c>
      <c r="L182" s="97">
        <f>_xll.meDateFromTenor(L181,"1D","FOLLOWING","TGT")</f>
        <v>42755</v>
      </c>
      <c r="M182" s="95">
        <f ca="1"/>
        <v>-1.6964272218008753E-3</v>
      </c>
      <c r="N182" s="5" t="s">
        <v>4</v>
      </c>
      <c r="O182" s="97">
        <f>_xll.meDateFromTenor(O181,"1D","FOLLOWING","TGT")</f>
        <v>42755</v>
      </c>
      <c r="P182" s="95">
        <f ca="1"/>
        <v>-2.6596839286120602E-4</v>
      </c>
      <c r="Q182" s="5" t="s">
        <v>4</v>
      </c>
      <c r="R182" s="83" t="s">
        <v>4</v>
      </c>
    </row>
    <row r="183" spans="1:18" x14ac:dyDescent="0.25">
      <c r="A183" s="88">
        <v>169</v>
      </c>
      <c r="B183" s="82"/>
      <c r="C183" s="97">
        <f>_xll.meDateFromTenor(C182,"1D","FOLLOWING","TGT")</f>
        <v>42758</v>
      </c>
      <c r="D183" s="95">
        <f ca="1"/>
        <v>-3.9685186117688342E-3</v>
      </c>
      <c r="E183" s="92"/>
      <c r="F183" s="97">
        <f>_xll.meDateFromTenor(F182,"1D","FOLLOWING","TGT")</f>
        <v>42758</v>
      </c>
      <c r="G183" s="95">
        <f ca="1"/>
        <v>-3.8254636126494796E-3</v>
      </c>
      <c r="H183" s="92" t="s">
        <v>4</v>
      </c>
      <c r="I183" s="97">
        <f>_xll.meDateFromTenor(I182,"1D","FOLLOWING","TGT")</f>
        <v>42758</v>
      </c>
      <c r="J183" s="95">
        <f ca="1"/>
        <v>-2.9772717440437768E-3</v>
      </c>
      <c r="K183" s="5" t="s">
        <v>4</v>
      </c>
      <c r="L183" s="97">
        <f>_xll.meDateFromTenor(L182,"1D","FOLLOWING","TGT")</f>
        <v>42758</v>
      </c>
      <c r="M183" s="95">
        <f ca="1"/>
        <v>-1.6981727862458564E-3</v>
      </c>
      <c r="N183" s="5" t="s">
        <v>4</v>
      </c>
      <c r="O183" s="97">
        <f>_xll.meDateFromTenor(O182,"1D","FOLLOWING","TGT")</f>
        <v>42758</v>
      </c>
      <c r="P183" s="95">
        <f ca="1"/>
        <v>-2.65692074209546E-4</v>
      </c>
      <c r="Q183" s="5" t="s">
        <v>4</v>
      </c>
      <c r="R183" s="83" t="s">
        <v>4</v>
      </c>
    </row>
    <row r="184" spans="1:18" x14ac:dyDescent="0.25">
      <c r="A184" s="88">
        <v>170</v>
      </c>
      <c r="B184" s="82"/>
      <c r="C184" s="97">
        <f>_xll.meDateFromTenor(C183,"1D","FOLLOWING","TGT")</f>
        <v>42759</v>
      </c>
      <c r="D184" s="95">
        <f ca="1"/>
        <v>-3.9715185729382041E-3</v>
      </c>
      <c r="E184" s="92"/>
      <c r="F184" s="97">
        <f>_xll.meDateFromTenor(F183,"1D","FOLLOWING","TGT")</f>
        <v>42759</v>
      </c>
      <c r="G184" s="95">
        <f ca="1"/>
        <v>-3.8268015001264636E-3</v>
      </c>
      <c r="H184" s="92" t="s">
        <v>4</v>
      </c>
      <c r="I184" s="97">
        <f>_xll.meDateFromTenor(I183,"1D","FOLLOWING","TGT")</f>
        <v>42759</v>
      </c>
      <c r="J184" s="95">
        <f ca="1"/>
        <v>-2.9779266884924879E-3</v>
      </c>
      <c r="K184" s="5" t="s">
        <v>4</v>
      </c>
      <c r="L184" s="97">
        <f>_xll.meDateFromTenor(L183,"1D","FOLLOWING","TGT")</f>
        <v>42759</v>
      </c>
      <c r="M184" s="95">
        <f ca="1"/>
        <v>-1.698751939369348E-3</v>
      </c>
      <c r="N184" s="5" t="s">
        <v>4</v>
      </c>
      <c r="O184" s="97">
        <f>_xll.meDateFromTenor(O183,"1D","FOLLOWING","TGT")</f>
        <v>42759</v>
      </c>
      <c r="P184" s="95">
        <f ca="1"/>
        <v>-2.6558473016998374E-4</v>
      </c>
      <c r="Q184" s="5" t="s">
        <v>4</v>
      </c>
      <c r="R184" s="83" t="s">
        <v>4</v>
      </c>
    </row>
    <row r="185" spans="1:18" x14ac:dyDescent="0.25">
      <c r="A185" s="88">
        <v>171</v>
      </c>
      <c r="B185" s="82"/>
      <c r="C185" s="97">
        <f>_xll.meDateFromTenor(C184,"1D","FOLLOWING","TGT")</f>
        <v>42760</v>
      </c>
      <c r="D185" s="95">
        <f ca="1"/>
        <v>-3.9745101672274963E-3</v>
      </c>
      <c r="E185" s="92"/>
      <c r="F185" s="97">
        <f>_xll.meDateFromTenor(F184,"1D","FOLLOWING","TGT")</f>
        <v>42760</v>
      </c>
      <c r="G185" s="95">
        <f ca="1"/>
        <v>-3.828145639311979E-3</v>
      </c>
      <c r="H185" s="92" t="s">
        <v>4</v>
      </c>
      <c r="I185" s="97">
        <f>_xll.meDateFromTenor(I184,"1D","FOLLOWING","TGT")</f>
        <v>42760</v>
      </c>
      <c r="J185" s="95">
        <f ca="1"/>
        <v>-2.978581632941334E-3</v>
      </c>
      <c r="K185" s="5" t="s">
        <v>4</v>
      </c>
      <c r="L185" s="97">
        <f>_xll.meDateFromTenor(L184,"1D","FOLLOWING","TGT")</f>
        <v>42760</v>
      </c>
      <c r="M185" s="95">
        <f ca="1"/>
        <v>-1.6993297469237159E-3</v>
      </c>
      <c r="N185" s="5" t="s">
        <v>4</v>
      </c>
      <c r="O185" s="97">
        <f>_xll.meDateFromTenor(O184,"1D","FOLLOWING","TGT")</f>
        <v>42760</v>
      </c>
      <c r="P185" s="95">
        <f ca="1"/>
        <v>-2.6546971289641546E-4</v>
      </c>
      <c r="Q185" s="5" t="s">
        <v>4</v>
      </c>
      <c r="R185" s="83" t="s">
        <v>4</v>
      </c>
    </row>
    <row r="186" spans="1:18" x14ac:dyDescent="0.25">
      <c r="A186" s="88">
        <v>172</v>
      </c>
      <c r="B186" s="82"/>
      <c r="C186" s="97">
        <f>_xll.meDateFromTenor(C185,"1D","FOLLOWING","TGT")</f>
        <v>42761</v>
      </c>
      <c r="D186" s="95">
        <f ca="1"/>
        <v>-3.9774931657275969E-3</v>
      </c>
      <c r="E186" s="92"/>
      <c r="F186" s="97">
        <f>_xll.meDateFromTenor(F185,"1D","FOLLOWING","TGT")</f>
        <v>42761</v>
      </c>
      <c r="G186" s="95">
        <f ca="1"/>
        <v>-3.8294976130748945E-3</v>
      </c>
      <c r="H186" s="92" t="s">
        <v>4</v>
      </c>
      <c r="I186" s="97">
        <f>_xll.meDateFromTenor(I185,"1D","FOLLOWING","TGT")</f>
        <v>42761</v>
      </c>
      <c r="J186" s="95">
        <f ca="1"/>
        <v>-2.9792365773896167E-3</v>
      </c>
      <c r="K186" s="5" t="s">
        <v>4</v>
      </c>
      <c r="L186" s="97">
        <f>_xll.meDateFromTenor(L185,"1D","FOLLOWING","TGT")</f>
        <v>42761</v>
      </c>
      <c r="M186" s="95">
        <f ca="1"/>
        <v>-1.6999062120749365E-3</v>
      </c>
      <c r="N186" s="5" t="s">
        <v>4</v>
      </c>
      <c r="O186" s="97">
        <f>_xll.meDateFromTenor(O185,"1D","FOLLOWING","TGT")</f>
        <v>42761</v>
      </c>
      <c r="P186" s="95">
        <f ca="1"/>
        <v>-2.6534698979514034E-4</v>
      </c>
      <c r="Q186" s="5" t="s">
        <v>4</v>
      </c>
      <c r="R186" s="83" t="s">
        <v>4</v>
      </c>
    </row>
    <row r="187" spans="1:18" x14ac:dyDescent="0.25">
      <c r="A187" s="88">
        <v>173</v>
      </c>
      <c r="B187" s="82"/>
      <c r="C187" s="97">
        <f>_xll.meDateFromTenor(C186,"1D","FOLLOWING","TGT")</f>
        <v>42762</v>
      </c>
      <c r="D187" s="95">
        <f ca="1"/>
        <v>-3.9804674023907749E-3</v>
      </c>
      <c r="E187" s="92"/>
      <c r="F187" s="97">
        <f>_xll.meDateFromTenor(F186,"1D","FOLLOWING","TGT")</f>
        <v>42762</v>
      </c>
      <c r="G187" s="95">
        <f ca="1"/>
        <v>-3.8308590042840773E-3</v>
      </c>
      <c r="H187" s="92" t="s">
        <v>4</v>
      </c>
      <c r="I187" s="97">
        <f>_xll.meDateFromTenor(I186,"1D","FOLLOWING","TGT")</f>
        <v>42762</v>
      </c>
      <c r="J187" s="95">
        <f ca="1"/>
        <v>-2.9798915218371903E-3</v>
      </c>
      <c r="K187" s="5" t="s">
        <v>4</v>
      </c>
      <c r="L187" s="97">
        <f>_xll.meDateFromTenor(L186,"1D","FOLLOWING","TGT")</f>
        <v>42762</v>
      </c>
      <c r="M187" s="95">
        <f ca="1"/>
        <v>-1.7004813379889862E-3</v>
      </c>
      <c r="N187" s="5" t="s">
        <v>4</v>
      </c>
      <c r="O187" s="97">
        <f>_xll.meDateFromTenor(O186,"1D","FOLLOWING","TGT")</f>
        <v>42762</v>
      </c>
      <c r="P187" s="95">
        <f ca="1"/>
        <v>-2.6521652827245728E-4</v>
      </c>
      <c r="Q187" s="5" t="s">
        <v>4</v>
      </c>
      <c r="R187" s="83" t="s">
        <v>4</v>
      </c>
    </row>
    <row r="188" spans="1:18" x14ac:dyDescent="0.25">
      <c r="A188" s="88">
        <v>174</v>
      </c>
      <c r="B188" s="82"/>
      <c r="C188" s="97">
        <f>_xll.meDateFromTenor(C187,"1D","FOLLOWING","TGT")</f>
        <v>42765</v>
      </c>
      <c r="D188" s="95">
        <f ca="1"/>
        <v>-3.9893346309867184E-3</v>
      </c>
      <c r="E188" s="92"/>
      <c r="F188" s="97">
        <f>_xll.meDateFromTenor(F187,"1D","FOLLOWING","TGT")</f>
        <v>42765</v>
      </c>
      <c r="G188" s="95">
        <f ca="1"/>
        <v>-3.8350155112779022E-3</v>
      </c>
      <c r="H188" s="92" t="s">
        <v>4</v>
      </c>
      <c r="I188" s="97">
        <f>_xll.meDateFromTenor(I187,"1D","FOLLOWING","TGT")</f>
        <v>42765</v>
      </c>
      <c r="J188" s="95">
        <f ca="1"/>
        <v>-2.9818563551834466E-3</v>
      </c>
      <c r="K188" s="5" t="s">
        <v>4</v>
      </c>
      <c r="L188" s="97">
        <f>_xll.meDateFromTenor(L187,"1D","FOLLOWING","TGT")</f>
        <v>42765</v>
      </c>
      <c r="M188" s="95">
        <f ca="1"/>
        <v>-1.7021987119678727E-3</v>
      </c>
      <c r="N188" s="5" t="s">
        <v>4</v>
      </c>
      <c r="O188" s="97">
        <f>_xll.meDateFromTenor(O187,"1D","FOLLOWING","TGT")</f>
        <v>42765</v>
      </c>
      <c r="P188" s="95">
        <f ca="1"/>
        <v>-2.6477838723895191E-4</v>
      </c>
      <c r="Q188" s="5" t="s">
        <v>4</v>
      </c>
      <c r="R188" s="83" t="s">
        <v>4</v>
      </c>
    </row>
    <row r="189" spans="1:18" x14ac:dyDescent="0.25">
      <c r="A189" s="88">
        <v>175</v>
      </c>
      <c r="B189" s="82"/>
      <c r="C189" s="97">
        <f>_xll.meDateFromTenor(C188,"1D","FOLLOWING","TGT")</f>
        <v>42766</v>
      </c>
      <c r="D189" s="95">
        <f ca="1"/>
        <v>-3.9922712220473722E-3</v>
      </c>
      <c r="E189" s="92"/>
      <c r="F189" s="97">
        <f>_xll.meDateFromTenor(F188,"1D","FOLLOWING","TGT")</f>
        <v>42766</v>
      </c>
      <c r="G189" s="95">
        <f ca="1"/>
        <v>-3.8364304009608275E-3</v>
      </c>
      <c r="H189" s="92" t="s">
        <v>4</v>
      </c>
      <c r="I189" s="97">
        <f>_xll.meDateFromTenor(I188,"1D","FOLLOWING","TGT")</f>
        <v>42766</v>
      </c>
      <c r="J189" s="95">
        <f ca="1"/>
        <v>-2.9825112996181018E-3</v>
      </c>
      <c r="K189" s="5" t="s">
        <v>4</v>
      </c>
      <c r="L189" s="97">
        <f>_xll.meDateFromTenor(L188,"1D","FOLLOWING","TGT")</f>
        <v>42766</v>
      </c>
      <c r="M189" s="95">
        <f ca="1"/>
        <v>-1.7027685125930016E-3</v>
      </c>
      <c r="N189" s="5" t="s">
        <v>4</v>
      </c>
      <c r="O189" s="97">
        <f>_xll.meDateFromTenor(O188,"1D","FOLLOWING","TGT")</f>
        <v>42766</v>
      </c>
      <c r="P189" s="95">
        <f ca="1"/>
        <v>-2.6461664609362827E-4</v>
      </c>
      <c r="Q189" s="5" t="s">
        <v>4</v>
      </c>
      <c r="R189" s="83" t="s">
        <v>4</v>
      </c>
    </row>
    <row r="190" spans="1:18" x14ac:dyDescent="0.25">
      <c r="A190" s="88">
        <v>176</v>
      </c>
      <c r="B190" s="82"/>
      <c r="C190" s="97">
        <f>_xll.meDateFromTenor(C189,"1D","FOLLOWING","TGT")</f>
        <v>42767</v>
      </c>
      <c r="D190" s="95">
        <f ca="1"/>
        <v>-3.9951978463048654E-3</v>
      </c>
      <c r="E190" s="92"/>
      <c r="F190" s="97">
        <f>_xll.meDateFromTenor(F189,"1D","FOLLOWING","TGT")</f>
        <v>42767</v>
      </c>
      <c r="G190" s="95">
        <f ca="1"/>
        <v>-3.8378626224343558E-3</v>
      </c>
      <c r="H190" s="92" t="s">
        <v>4</v>
      </c>
      <c r="I190" s="97">
        <f>_xll.meDateFromTenor(I189,"1D","FOLLOWING","TGT")</f>
        <v>42767</v>
      </c>
      <c r="J190" s="95">
        <f ca="1"/>
        <v>-2.9831662440795467E-3</v>
      </c>
      <c r="K190" s="5" t="s">
        <v>4</v>
      </c>
      <c r="L190" s="97">
        <f>_xll.meDateFromTenor(L189,"1D","FOLLOWING","TGT")</f>
        <v>42767</v>
      </c>
      <c r="M190" s="95">
        <f ca="1"/>
        <v>-1.7033369898108413E-3</v>
      </c>
      <c r="N190" s="5" t="s">
        <v>4</v>
      </c>
      <c r="O190" s="97">
        <f>_xll.meDateFromTenor(O189,"1D","FOLLOWING","TGT")</f>
        <v>42767</v>
      </c>
      <c r="P190" s="95">
        <f ca="1"/>
        <v>-2.6444700355839225E-4</v>
      </c>
      <c r="Q190" s="5" t="s">
        <v>4</v>
      </c>
      <c r="R190" s="83" t="s">
        <v>4</v>
      </c>
    </row>
    <row r="191" spans="1:18" x14ac:dyDescent="0.25">
      <c r="A191" s="88">
        <v>177</v>
      </c>
      <c r="B191" s="82"/>
      <c r="C191" s="97">
        <f>_xll.meDateFromTenor(C190,"1D","FOLLOWING","TGT")</f>
        <v>42768</v>
      </c>
      <c r="D191" s="95">
        <f ca="1"/>
        <v>-3.9981142743894527E-3</v>
      </c>
      <c r="E191" s="92"/>
      <c r="F191" s="97">
        <f>_xll.meDateFromTenor(F190,"1D","FOLLOWING","TGT")</f>
        <v>42768</v>
      </c>
      <c r="G191" s="95">
        <f ca="1"/>
        <v>-3.8393137585673552E-3</v>
      </c>
      <c r="H191" s="92" t="s">
        <v>4</v>
      </c>
      <c r="I191" s="97">
        <f>_xll.meDateFromTenor(I190,"1D","FOLLOWING","TGT")</f>
        <v>42768</v>
      </c>
      <c r="J191" s="95">
        <f ca="1"/>
        <v>-2.9838211885779547E-3</v>
      </c>
      <c r="K191" s="5" t="s">
        <v>4</v>
      </c>
      <c r="L191" s="97">
        <f>_xll.meDateFromTenor(L190,"1D","FOLLOWING","TGT")</f>
        <v>42768</v>
      </c>
      <c r="M191" s="95">
        <f ca="1"/>
        <v>-1.7039041467873681E-3</v>
      </c>
      <c r="N191" s="5" t="s">
        <v>4</v>
      </c>
      <c r="O191" s="97">
        <f>_xll.meDateFromTenor(O190,"1D","FOLLOWING","TGT")</f>
        <v>42768</v>
      </c>
      <c r="P191" s="95">
        <f ca="1"/>
        <v>-2.6426942703954281E-4</v>
      </c>
      <c r="Q191" s="5" t="s">
        <v>4</v>
      </c>
      <c r="R191" s="83" t="s">
        <v>4</v>
      </c>
    </row>
    <row r="192" spans="1:18" x14ac:dyDescent="0.25">
      <c r="A192" s="88">
        <v>178</v>
      </c>
      <c r="B192" s="82"/>
      <c r="C192" s="97">
        <f>_xll.meDateFromTenor(C191,"1D","FOLLOWING","TGT")</f>
        <v>42769</v>
      </c>
      <c r="D192" s="95">
        <f ca="1"/>
        <v>-4.001020340946182E-3</v>
      </c>
      <c r="E192" s="92"/>
      <c r="F192" s="97">
        <f>_xll.meDateFromTenor(F191,"1D","FOLLOWING","TGT")</f>
        <v>42769</v>
      </c>
      <c r="G192" s="95">
        <f ca="1"/>
        <v>-3.8407849117307407E-3</v>
      </c>
      <c r="H192" s="92" t="s">
        <v>4</v>
      </c>
      <c r="I192" s="97">
        <f>_xll.meDateFromTenor(I191,"1D","FOLLOWING","TGT")</f>
        <v>42769</v>
      </c>
      <c r="J192" s="95">
        <f ca="1"/>
        <v>-2.9844761329772813E-3</v>
      </c>
      <c r="K192" s="5" t="s">
        <v>4</v>
      </c>
      <c r="L192" s="97">
        <f>_xll.meDateFromTenor(L191,"1D","FOLLOWING","TGT")</f>
        <v>42769</v>
      </c>
      <c r="M192" s="95">
        <f ca="1"/>
        <v>-1.704469986688558E-3</v>
      </c>
      <c r="N192" s="5" t="s">
        <v>4</v>
      </c>
      <c r="O192" s="97">
        <f>_xll.meDateFromTenor(O191,"1D","FOLLOWING","TGT")</f>
        <v>42769</v>
      </c>
      <c r="P192" s="95">
        <f ca="1"/>
        <v>-2.6408388394337902E-4</v>
      </c>
      <c r="Q192" s="5" t="s">
        <v>4</v>
      </c>
      <c r="R192" s="83" t="s">
        <v>4</v>
      </c>
    </row>
    <row r="193" spans="1:18" x14ac:dyDescent="0.25">
      <c r="A193" s="88">
        <v>179</v>
      </c>
      <c r="B193" s="82"/>
      <c r="C193" s="97">
        <f>_xll.meDateFromTenor(C192,"1D","FOLLOWING","TGT")</f>
        <v>42772</v>
      </c>
      <c r="D193" s="95">
        <f ca="1"/>
        <v>-4.0096734589472049E-3</v>
      </c>
      <c r="E193" s="92"/>
      <c r="F193" s="97">
        <f>_xll.meDateFromTenor(F192,"1D","FOLLOWING","TGT")</f>
        <v>42772</v>
      </c>
      <c r="G193" s="95">
        <f ca="1"/>
        <v>-3.8453083552024169E-3</v>
      </c>
      <c r="H193" s="92" t="s">
        <v>4</v>
      </c>
      <c r="I193" s="97">
        <f>_xll.meDateFromTenor(I192,"1D","FOLLOWING","TGT")</f>
        <v>42772</v>
      </c>
      <c r="J193" s="95">
        <f ca="1"/>
        <v>-2.9864409670133482E-3</v>
      </c>
      <c r="K193" s="5" t="s">
        <v>4</v>
      </c>
      <c r="L193" s="97">
        <f>_xll.meDateFromTenor(L192,"1D","FOLLOWING","TGT")</f>
        <v>42772</v>
      </c>
      <c r="M193" s="95">
        <f ca="1"/>
        <v>-1.7061596355998714E-3</v>
      </c>
      <c r="N193" s="5" t="s">
        <v>4</v>
      </c>
      <c r="O193" s="97">
        <f>_xll.meDateFromTenor(O192,"1D","FOLLOWING","TGT")</f>
        <v>42772</v>
      </c>
      <c r="P193" s="95">
        <f ca="1"/>
        <v>-2.6347912925399287E-4</v>
      </c>
      <c r="Q193" s="5" t="s">
        <v>4</v>
      </c>
      <c r="R193" s="83" t="s">
        <v>4</v>
      </c>
    </row>
    <row r="194" spans="1:18" x14ac:dyDescent="0.25">
      <c r="A194" s="88">
        <v>180</v>
      </c>
      <c r="B194" s="82"/>
      <c r="C194" s="97">
        <f>_xll.meDateFromTenor(C193,"1D","FOLLOWING","TGT")</f>
        <v>42773</v>
      </c>
      <c r="D194" s="95">
        <f ca="1"/>
        <v>-4.0125354798372648E-3</v>
      </c>
      <c r="E194" s="92"/>
      <c r="F194" s="97">
        <f>_xll.meDateFromTenor(F193,"1D","FOLLOWING","TGT")</f>
        <v>42773</v>
      </c>
      <c r="G194" s="95">
        <f ca="1"/>
        <v>-3.8468484972906465E-3</v>
      </c>
      <c r="H194" s="92" t="s">
        <v>4</v>
      </c>
      <c r="I194" s="97">
        <f>_xll.meDateFromTenor(I193,"1D","FOLLOWING","TGT")</f>
        <v>42773</v>
      </c>
      <c r="J194" s="95">
        <f ca="1"/>
        <v>-2.9870959107708927E-3</v>
      </c>
      <c r="K194" s="5" t="s">
        <v>4</v>
      </c>
      <c r="L194" s="97">
        <f>_xll.meDateFromTenor(L193,"1D","FOLLOWING","TGT")</f>
        <v>42773</v>
      </c>
      <c r="M194" s="95">
        <f ca="1"/>
        <v>-1.7067202388594783E-3</v>
      </c>
      <c r="N194" s="5" t="s">
        <v>4</v>
      </c>
      <c r="O194" s="97">
        <f>_xll.meDateFromTenor(O193,"1D","FOLLOWING","TGT")</f>
        <v>42773</v>
      </c>
      <c r="P194" s="95">
        <f ca="1"/>
        <v>-2.632613939115627E-4</v>
      </c>
      <c r="Q194" s="5" t="s">
        <v>4</v>
      </c>
      <c r="R194" s="83" t="s">
        <v>4</v>
      </c>
    </row>
    <row r="195" spans="1:18" x14ac:dyDescent="0.25">
      <c r="A195" s="88">
        <v>181</v>
      </c>
      <c r="B195" s="82"/>
      <c r="C195" s="97">
        <f>_xll.meDateFromTenor(C194,"1D","FOLLOWING","TGT")</f>
        <v>42774</v>
      </c>
      <c r="D195" s="95">
        <f ca="1"/>
        <v>-4.0153859337992426E-3</v>
      </c>
      <c r="E195" s="92"/>
      <c r="F195" s="97">
        <f>_xll.meDateFromTenor(F194,"1D","FOLLOWING","TGT")</f>
        <v>42774</v>
      </c>
      <c r="G195" s="95">
        <f ca="1"/>
        <v>-3.8484026363129588E-3</v>
      </c>
      <c r="H195" s="92" t="s">
        <v>4</v>
      </c>
      <c r="I195" s="97">
        <f>_xll.meDateFromTenor(I194,"1D","FOLLOWING","TGT")</f>
        <v>42774</v>
      </c>
      <c r="J195" s="95">
        <f ca="1"/>
        <v>-2.9877508526408047E-3</v>
      </c>
      <c r="K195" s="5" t="s">
        <v>4</v>
      </c>
      <c r="L195" s="97">
        <f>_xll.meDateFromTenor(L194,"1D","FOLLOWING","TGT")</f>
        <v>42774</v>
      </c>
      <c r="M195" s="95">
        <f ca="1"/>
        <v>-1.7072795408736301E-3</v>
      </c>
      <c r="N195" s="5" t="s">
        <v>4</v>
      </c>
      <c r="O195" s="97">
        <f>_xll.meDateFromTenor(O194,"1D","FOLLOWING","TGT")</f>
        <v>42774</v>
      </c>
      <c r="P195" s="95">
        <f ca="1"/>
        <v>-2.6303552902331366E-4</v>
      </c>
      <c r="Q195" s="5" t="s">
        <v>4</v>
      </c>
      <c r="R195" s="83" t="s">
        <v>4</v>
      </c>
    </row>
    <row r="196" spans="1:18" x14ac:dyDescent="0.25">
      <c r="A196" s="88">
        <v>182</v>
      </c>
      <c r="B196" s="82"/>
      <c r="C196" s="97">
        <f>_xll.meDateFromTenor(C195,"1D","FOLLOWING","TGT")</f>
        <v>42775</v>
      </c>
      <c r="D196" s="95">
        <f ca="1"/>
        <v>-4.0182245920771242E-3</v>
      </c>
      <c r="E196" s="92"/>
      <c r="F196" s="97">
        <f>_xll.meDateFromTenor(F195,"1D","FOLLOWING","TGT")</f>
        <v>42775</v>
      </c>
      <c r="G196" s="95">
        <f ca="1"/>
        <v>-3.8499694721505049E-3</v>
      </c>
      <c r="H196" s="92" t="s">
        <v>4</v>
      </c>
      <c r="I196" s="97">
        <f>_xll.meDateFromTenor(I195,"1D","FOLLOWING","TGT")</f>
        <v>42775</v>
      </c>
      <c r="J196" s="95">
        <f ca="1"/>
        <v>-2.9884057996677304E-3</v>
      </c>
      <c r="K196" s="5" t="s">
        <v>4</v>
      </c>
      <c r="L196" s="97">
        <f>_xll.meDateFromTenor(L195,"1D","FOLLOWING","TGT")</f>
        <v>42775</v>
      </c>
      <c r="M196" s="95">
        <f ca="1"/>
        <v>-1.7078375448083033E-3</v>
      </c>
      <c r="N196" s="5" t="s">
        <v>4</v>
      </c>
      <c r="O196" s="97">
        <f>_xll.meDateFromTenor(O195,"1D","FOLLOWING","TGT")</f>
        <v>42775</v>
      </c>
      <c r="P196" s="95">
        <f ca="1"/>
        <v>-2.6280150199554486E-4</v>
      </c>
      <c r="Q196" s="5" t="s">
        <v>4</v>
      </c>
      <c r="R196" s="83" t="s">
        <v>4</v>
      </c>
    </row>
    <row r="197" spans="1:18" x14ac:dyDescent="0.25">
      <c r="A197" s="88">
        <v>183</v>
      </c>
      <c r="B197" s="82"/>
      <c r="C197" s="97">
        <f>_xll.meDateFromTenor(C196,"1D","FOLLOWING","TGT")</f>
        <v>42776</v>
      </c>
      <c r="D197" s="95">
        <f ca="1"/>
        <v>-4.0210512886135197E-3</v>
      </c>
      <c r="E197" s="92"/>
      <c r="F197" s="97">
        <f>_xll.meDateFromTenor(F196,"1D","FOLLOWING","TGT")</f>
        <v>42776</v>
      </c>
      <c r="G197" s="95">
        <f ca="1"/>
        <v>-3.8515477046844313E-3</v>
      </c>
      <c r="H197" s="92" t="s">
        <v>4</v>
      </c>
      <c r="I197" s="97">
        <f>_xll.meDateFromTenor(I196,"1D","FOLLOWING","TGT")</f>
        <v>42776</v>
      </c>
      <c r="J197" s="95">
        <f ca="1"/>
        <v>-2.9890607537395087E-3</v>
      </c>
      <c r="K197" s="5" t="s">
        <v>4</v>
      </c>
      <c r="L197" s="97">
        <f>_xll.meDateFromTenor(L196,"1D","FOLLOWING","TGT")</f>
        <v>42776</v>
      </c>
      <c r="M197" s="95">
        <f ca="1"/>
        <v>-1.7083942538294742E-3</v>
      </c>
      <c r="N197" s="5" t="s">
        <v>4</v>
      </c>
      <c r="O197" s="97">
        <f>_xll.meDateFromTenor(O196,"1D","FOLLOWING","TGT")</f>
        <v>42776</v>
      </c>
      <c r="P197" s="95">
        <f ca="1"/>
        <v>-2.6255928023455528E-4</v>
      </c>
      <c r="Q197" s="5" t="s">
        <v>4</v>
      </c>
      <c r="R197" s="83" t="s">
        <v>4</v>
      </c>
    </row>
    <row r="198" spans="1:18" x14ac:dyDescent="0.25">
      <c r="A198" s="88">
        <v>184</v>
      </c>
      <c r="B198" s="82"/>
      <c r="C198" s="97">
        <f>_xll.meDateFromTenor(C197,"1D","FOLLOWING","TGT")</f>
        <v>42779</v>
      </c>
      <c r="D198" s="95">
        <f ca="1"/>
        <v>-4.0294566969933943E-3</v>
      </c>
      <c r="E198" s="92"/>
      <c r="F198" s="97">
        <f>_xll.meDateFromTenor(F197,"1D","FOLLOWING","TGT")</f>
        <v>42779</v>
      </c>
      <c r="G198" s="95">
        <f ca="1"/>
        <v>-3.8563377812759949E-3</v>
      </c>
      <c r="H198" s="92" t="s">
        <v>4</v>
      </c>
      <c r="I198" s="97">
        <f>_xll.meDateFromTenor(I197,"1D","FOLLOWING","TGT")</f>
        <v>42779</v>
      </c>
      <c r="J198" s="95">
        <f ca="1"/>
        <v>-2.9910255774621901E-3</v>
      </c>
      <c r="K198" s="5" t="s">
        <v>4</v>
      </c>
      <c r="L198" s="97">
        <f>_xll.meDateFromTenor(L197,"1D","FOLLOWING","TGT")</f>
        <v>42779</v>
      </c>
      <c r="M198" s="95">
        <f ca="1"/>
        <v>-1.7100566430717366E-3</v>
      </c>
      <c r="N198" s="5" t="s">
        <v>4</v>
      </c>
      <c r="O198" s="97">
        <f>_xll.meDateFromTenor(O197,"1D","FOLLOWING","TGT")</f>
        <v>42779</v>
      </c>
      <c r="P198" s="95">
        <f ca="1"/>
        <v>-2.6178312061525278E-4</v>
      </c>
      <c r="Q198" s="5" t="s">
        <v>4</v>
      </c>
      <c r="R198" s="83" t="s">
        <v>4</v>
      </c>
    </row>
    <row r="199" spans="1:18" x14ac:dyDescent="0.25">
      <c r="A199" s="88">
        <v>185</v>
      </c>
      <c r="B199" s="82"/>
      <c r="C199" s="97">
        <f>_xll.meDateFromTenor(C198,"1D","FOLLOWING","TGT")</f>
        <v>42780</v>
      </c>
      <c r="D199" s="95">
        <f ca="1"/>
        <v>-4.0322329484042685E-3</v>
      </c>
      <c r="E199" s="92"/>
      <c r="F199" s="97">
        <f>_xll.meDateFromTenor(F198,"1D","FOLLOWING","TGT")</f>
        <v>42780</v>
      </c>
      <c r="G199" s="95">
        <f ca="1"/>
        <v>-3.8579485994069385E-3</v>
      </c>
      <c r="H199" s="92" t="s">
        <v>4</v>
      </c>
      <c r="I199" s="97">
        <f>_xll.meDateFromTenor(I198,"1D","FOLLOWING","TGT")</f>
        <v>42780</v>
      </c>
      <c r="J199" s="95">
        <f ca="1"/>
        <v>-2.9916806559338485E-3</v>
      </c>
      <c r="K199" s="5" t="s">
        <v>4</v>
      </c>
      <c r="L199" s="97">
        <f>_xll.meDateFromTenor(L198,"1D","FOLLOWING","TGT")</f>
        <v>42780</v>
      </c>
      <c r="M199" s="95">
        <f ca="1"/>
        <v>-1.7106082040986618E-3</v>
      </c>
      <c r="N199" s="5" t="s">
        <v>4</v>
      </c>
      <c r="O199" s="97">
        <f>_xll.meDateFromTenor(O198,"1D","FOLLOWING","TGT")</f>
        <v>42780</v>
      </c>
      <c r="P199" s="95">
        <f ca="1"/>
        <v>-2.61507793984371E-4</v>
      </c>
      <c r="Q199" s="5" t="s">
        <v>4</v>
      </c>
      <c r="R199" s="83" t="s">
        <v>4</v>
      </c>
    </row>
    <row r="200" spans="1:18" x14ac:dyDescent="0.25">
      <c r="A200" s="88">
        <v>186</v>
      </c>
      <c r="B200" s="82"/>
      <c r="C200" s="97">
        <f>_xll.meDateFromTenor(C199,"1D","FOLLOWING","TGT")</f>
        <v>42781</v>
      </c>
      <c r="D200" s="95">
        <f ca="1"/>
        <v>-4.0349960329904011E-3</v>
      </c>
      <c r="E200" s="92"/>
      <c r="F200" s="97">
        <f>_xll.meDateFromTenor(F199,"1D","FOLLOWING","TGT")</f>
        <v>42781</v>
      </c>
      <c r="G200" s="95">
        <f ca="1"/>
        <v>-3.8595643136400105E-3</v>
      </c>
      <c r="H200" s="92" t="s">
        <v>4</v>
      </c>
      <c r="I200" s="97">
        <f>_xll.meDateFromTenor(I199,"1D","FOLLOWING","TGT")</f>
        <v>42781</v>
      </c>
      <c r="J200" s="95">
        <f ca="1"/>
        <v>-2.9923354663588643E-3</v>
      </c>
      <c r="K200" s="5" t="s">
        <v>4</v>
      </c>
      <c r="L200" s="97">
        <f>_xll.meDateFromTenor(L199,"1D","FOLLOWING","TGT")</f>
        <v>42781</v>
      </c>
      <c r="M200" s="95">
        <f ca="1"/>
        <v>-1.7111584860419664E-3</v>
      </c>
      <c r="N200" s="5" t="s">
        <v>4</v>
      </c>
      <c r="O200" s="97">
        <f>_xll.meDateFromTenor(O199,"1D","FOLLOWING","TGT")</f>
        <v>42781</v>
      </c>
      <c r="P200" s="95">
        <f ca="1"/>
        <v>-2.6122410965176386E-4</v>
      </c>
      <c r="Q200" s="5" t="s">
        <v>4</v>
      </c>
      <c r="R200" s="83" t="s">
        <v>4</v>
      </c>
    </row>
    <row r="201" spans="1:18" x14ac:dyDescent="0.25">
      <c r="A201" s="88">
        <v>187</v>
      </c>
      <c r="B201" s="82"/>
      <c r="C201" s="97">
        <f>_xll.meDateFromTenor(C200,"1D","FOLLOWING","TGT")</f>
        <v>42782</v>
      </c>
      <c r="D201" s="95">
        <f ca="1"/>
        <v>-4.0377457218905288E-3</v>
      </c>
      <c r="E201" s="92"/>
      <c r="F201" s="97">
        <f>_xll.meDateFromTenor(F200,"1D","FOLLOWING","TGT")</f>
        <v>42782</v>
      </c>
      <c r="G201" s="95">
        <f ca="1"/>
        <v>-3.8611836238563583E-3</v>
      </c>
      <c r="H201" s="92" t="s">
        <v>4</v>
      </c>
      <c r="I201" s="97">
        <f>_xll.meDateFromTenor(I200,"1D","FOLLOWING","TGT")</f>
        <v>42782</v>
      </c>
      <c r="J201" s="95">
        <f ca="1"/>
        <v>-2.9929899106249558E-3</v>
      </c>
      <c r="K201" s="5" t="s">
        <v>4</v>
      </c>
      <c r="L201" s="97">
        <f>_xll.meDateFromTenor(L200,"1D","FOLLOWING","TGT")</f>
        <v>42782</v>
      </c>
      <c r="M201" s="95">
        <f ca="1"/>
        <v>-1.7117074920676267E-3</v>
      </c>
      <c r="N201" s="5" t="s">
        <v>4</v>
      </c>
      <c r="O201" s="97">
        <f>_xll.meDateFromTenor(O200,"1D","FOLLOWING","TGT")</f>
        <v>42782</v>
      </c>
      <c r="P201" s="95">
        <f ca="1"/>
        <v>-2.6093203502373046E-4</v>
      </c>
      <c r="Q201" s="5" t="s">
        <v>4</v>
      </c>
      <c r="R201" s="83" t="s">
        <v>4</v>
      </c>
    </row>
    <row r="202" spans="1:18" x14ac:dyDescent="0.25">
      <c r="A202" s="88">
        <v>188</v>
      </c>
      <c r="B202" s="82"/>
      <c r="C202" s="97">
        <f>_xll.meDateFromTenor(C201,"1D","FOLLOWING","TGT")</f>
        <v>42783</v>
      </c>
      <c r="D202" s="95">
        <f ca="1"/>
        <v>-4.0404818494987893E-3</v>
      </c>
      <c r="E202" s="92"/>
      <c r="F202" s="97">
        <f>_xll.meDateFromTenor(F201,"1D","FOLLOWING","TGT")</f>
        <v>42783</v>
      </c>
      <c r="G202" s="95">
        <f ca="1"/>
        <v>-3.8628052299371309E-3</v>
      </c>
      <c r="H202" s="92" t="s">
        <v>4</v>
      </c>
      <c r="I202" s="97">
        <f>_xll.meDateFromTenor(I201,"1D","FOLLOWING","TGT")</f>
        <v>42783</v>
      </c>
      <c r="J202" s="95">
        <f ca="1"/>
        <v>-2.9936453552556396E-3</v>
      </c>
      <c r="K202" s="5" t="s">
        <v>4</v>
      </c>
      <c r="L202" s="97">
        <f>_xll.meDateFromTenor(L201,"1D","FOLLOWING","TGT")</f>
        <v>42783</v>
      </c>
      <c r="M202" s="95">
        <f ca="1"/>
        <v>-1.7122552253416193E-3</v>
      </c>
      <c r="N202" s="5" t="s">
        <v>4</v>
      </c>
      <c r="O202" s="97">
        <f>_xll.meDateFromTenor(O201,"1D","FOLLOWING","TGT")</f>
        <v>42783</v>
      </c>
      <c r="P202" s="95">
        <f ca="1"/>
        <v>-2.6063153750656984E-4</v>
      </c>
      <c r="Q202" s="5" t="s">
        <v>4</v>
      </c>
      <c r="R202" s="83" t="s">
        <v>4</v>
      </c>
    </row>
    <row r="203" spans="1:18" x14ac:dyDescent="0.25">
      <c r="A203" s="88">
        <v>189</v>
      </c>
      <c r="B203" s="82"/>
      <c r="C203" s="97">
        <f>_xll.meDateFromTenor(C202,"1D","FOLLOWING","TGT")</f>
        <v>42786</v>
      </c>
      <c r="D203" s="95">
        <f ca="1"/>
        <v>-4.0486059519557749E-3</v>
      </c>
      <c r="E203" s="92"/>
      <c r="F203" s="97">
        <f>_xll.meDateFromTenor(F202,"1D","FOLLOWING","TGT")</f>
        <v>42786</v>
      </c>
      <c r="G203" s="95">
        <f ca="1"/>
        <v>-3.867670822177489E-3</v>
      </c>
      <c r="H203" s="92" t="s">
        <v>4</v>
      </c>
      <c r="I203" s="97">
        <f>_xll.meDateFromTenor(I202,"1D","FOLLOWING","TGT")</f>
        <v>42786</v>
      </c>
      <c r="J203" s="95">
        <f ca="1"/>
        <v>-2.9956032219606897E-3</v>
      </c>
      <c r="K203" s="5" t="s">
        <v>4</v>
      </c>
      <c r="L203" s="97">
        <f>_xll.meDateFromTenor(L202,"1D","FOLLOWING","TGT")</f>
        <v>42786</v>
      </c>
      <c r="M203" s="95">
        <f ca="1"/>
        <v>-1.7138908203133526E-3</v>
      </c>
      <c r="N203" s="5" t="s">
        <v>4</v>
      </c>
      <c r="O203" s="97">
        <f>_xll.meDateFromTenor(O202,"1D","FOLLOWING","TGT")</f>
        <v>42786</v>
      </c>
      <c r="P203" s="95">
        <f ca="1"/>
        <v>-2.596791816833156E-4</v>
      </c>
      <c r="Q203" s="5" t="s">
        <v>4</v>
      </c>
      <c r="R203" s="83" t="s">
        <v>4</v>
      </c>
    </row>
    <row r="204" spans="1:18" x14ac:dyDescent="0.25">
      <c r="A204" s="88">
        <v>190</v>
      </c>
      <c r="B204" s="82"/>
      <c r="C204" s="97">
        <f>_xll.meDateFromTenor(C203,"1D","FOLLOWING","TGT")</f>
        <v>42787</v>
      </c>
      <c r="D204" s="95">
        <f ca="1"/>
        <v>-4.0512852353091766E-3</v>
      </c>
      <c r="E204" s="92"/>
      <c r="F204" s="97">
        <f>_xll.meDateFromTenor(F203,"1D","FOLLOWING","TGT")</f>
        <v>42787</v>
      </c>
      <c r="G204" s="95">
        <f ca="1"/>
        <v>-3.8692886105274518E-3</v>
      </c>
      <c r="H204" s="92" t="s">
        <v>4</v>
      </c>
      <c r="I204" s="97">
        <f>_xll.meDateFromTenor(I203,"1D","FOLLOWING","TGT")</f>
        <v>42787</v>
      </c>
      <c r="J204" s="95">
        <f ca="1"/>
        <v>-2.9962651330501223E-3</v>
      </c>
      <c r="K204" s="5" t="s">
        <v>4</v>
      </c>
      <c r="L204" s="97">
        <f>_xll.meDateFromTenor(L203,"1D","FOLLOWING","TGT")</f>
        <v>42787</v>
      </c>
      <c r="M204" s="95">
        <f ca="1"/>
        <v>-1.7144334942404366E-3</v>
      </c>
      <c r="N204" s="5" t="s">
        <v>4</v>
      </c>
      <c r="O204" s="97">
        <f>_xll.meDateFromTenor(O203,"1D","FOLLOWING","TGT")</f>
        <v>42787</v>
      </c>
      <c r="P204" s="95">
        <f ca="1"/>
        <v>-2.5934466667263702E-4</v>
      </c>
      <c r="Q204" s="5" t="s">
        <v>4</v>
      </c>
      <c r="R204" s="83" t="s">
        <v>4</v>
      </c>
    </row>
    <row r="205" spans="1:18" x14ac:dyDescent="0.25">
      <c r="A205" s="88">
        <v>191</v>
      </c>
      <c r="B205" s="82"/>
      <c r="C205" s="97">
        <f>_xll.meDateFromTenor(C204,"1D","FOLLOWING","TGT")</f>
        <v>42788</v>
      </c>
      <c r="D205" s="95">
        <f ca="1"/>
        <v>-4.0539497518007339E-3</v>
      </c>
      <c r="E205" s="92"/>
      <c r="F205" s="97">
        <f>_xll.meDateFromTenor(F204,"1D","FOLLOWING","TGT")</f>
        <v>42788</v>
      </c>
      <c r="G205" s="95">
        <f ca="1"/>
        <v>-3.8709021941475859E-3</v>
      </c>
      <c r="H205" s="92" t="s">
        <v>4</v>
      </c>
      <c r="I205" s="97">
        <f>_xll.meDateFromTenor(I204,"1D","FOLLOWING","TGT")</f>
        <v>42788</v>
      </c>
      <c r="J205" s="95">
        <f ca="1"/>
        <v>-2.9969460773558647E-3</v>
      </c>
      <c r="K205" s="5" t="s">
        <v>4</v>
      </c>
      <c r="L205" s="97">
        <f>_xll.meDateFromTenor(L204,"1D","FOLLOWING","TGT")</f>
        <v>42788</v>
      </c>
      <c r="M205" s="95">
        <f ca="1"/>
        <v>-1.7149749112457344E-3</v>
      </c>
      <c r="N205" s="5" t="s">
        <v>4</v>
      </c>
      <c r="O205" s="97">
        <f>_xll.meDateFromTenor(O204,"1D","FOLLOWING","TGT")</f>
        <v>42788</v>
      </c>
      <c r="P205" s="95">
        <f ca="1"/>
        <v>-2.5900156580432659E-4</v>
      </c>
      <c r="Q205" s="5" t="s">
        <v>4</v>
      </c>
      <c r="R205" s="83" t="s">
        <v>4</v>
      </c>
    </row>
    <row r="206" spans="1:18" x14ac:dyDescent="0.25">
      <c r="A206" s="88">
        <v>192</v>
      </c>
      <c r="B206" s="82"/>
      <c r="C206" s="97">
        <f>_xll.meDateFromTenor(C205,"1D","FOLLOWING","TGT")</f>
        <v>42789</v>
      </c>
      <c r="D206" s="95">
        <f ca="1"/>
        <v>-4.0565992732590761E-3</v>
      </c>
      <c r="E206" s="92"/>
      <c r="F206" s="97">
        <f>_xll.meDateFromTenor(F205,"1D","FOLLOWING","TGT")</f>
        <v>42789</v>
      </c>
      <c r="G206" s="95">
        <f ca="1"/>
        <v>-3.8725102729190385E-3</v>
      </c>
      <c r="H206" s="92" t="s">
        <v>4</v>
      </c>
      <c r="I206" s="97">
        <f>_xll.meDateFromTenor(I205,"1D","FOLLOWING","TGT")</f>
        <v>42789</v>
      </c>
      <c r="J206" s="95">
        <f ca="1"/>
        <v>-2.9975750219466157E-3</v>
      </c>
      <c r="K206" s="5" t="s">
        <v>4</v>
      </c>
      <c r="L206" s="97">
        <f>_xll.meDateFromTenor(L205,"1D","FOLLOWING","TGT")</f>
        <v>42789</v>
      </c>
      <c r="M206" s="95">
        <f ca="1"/>
        <v>-1.7155150744952224E-3</v>
      </c>
      <c r="N206" s="5" t="s">
        <v>4</v>
      </c>
      <c r="O206" s="97">
        <f>_xll.meDateFromTenor(O205,"1D","FOLLOWING","TGT")</f>
        <v>42789</v>
      </c>
      <c r="P206" s="95">
        <f ca="1"/>
        <v>-2.5864984648468346E-4</v>
      </c>
      <c r="Q206" s="5" t="s">
        <v>4</v>
      </c>
      <c r="R206" s="83" t="s">
        <v>4</v>
      </c>
    </row>
    <row r="207" spans="1:18" x14ac:dyDescent="0.25">
      <c r="A207" s="88">
        <v>193</v>
      </c>
      <c r="B207" s="82"/>
      <c r="C207" s="97">
        <f>_xll.meDateFromTenor(C206,"1D","FOLLOWING","TGT")</f>
        <v>42790</v>
      </c>
      <c r="D207" s="95">
        <f ca="1"/>
        <v>-4.0592336333739043E-3</v>
      </c>
      <c r="E207" s="92"/>
      <c r="F207" s="97">
        <f>_xll.meDateFromTenor(F206,"1D","FOLLOWING","TGT")</f>
        <v>42790</v>
      </c>
      <c r="G207" s="95">
        <f ca="1"/>
        <v>-3.8741115467229594E-3</v>
      </c>
      <c r="H207" s="92" t="s">
        <v>4</v>
      </c>
      <c r="I207" s="97">
        <f>_xll.meDateFromTenor(I206,"1D","FOLLOWING","TGT")</f>
        <v>42790</v>
      </c>
      <c r="J207" s="95">
        <f ca="1"/>
        <v>-2.9981329336061513E-3</v>
      </c>
      <c r="K207" s="5" t="s">
        <v>4</v>
      </c>
      <c r="L207" s="97">
        <f>_xll.meDateFromTenor(L206,"1D","FOLLOWING","TGT")</f>
        <v>42790</v>
      </c>
      <c r="M207" s="95">
        <f ca="1"/>
        <v>-1.7160539871548769E-3</v>
      </c>
      <c r="N207" s="5" t="s">
        <v>4</v>
      </c>
      <c r="O207" s="97">
        <f>_xll.meDateFromTenor(O206,"1D","FOLLOWING","TGT")</f>
        <v>42790</v>
      </c>
      <c r="P207" s="95">
        <f ca="1"/>
        <v>-2.5828947612000674E-4</v>
      </c>
      <c r="Q207" s="5" t="s">
        <v>4</v>
      </c>
      <c r="R207" s="83" t="s">
        <v>4</v>
      </c>
    </row>
    <row r="208" spans="1:18" x14ac:dyDescent="0.25">
      <c r="A208" s="88">
        <v>194</v>
      </c>
      <c r="B208" s="82"/>
      <c r="C208" s="97">
        <f>_xll.meDateFromTenor(C207,"1D","FOLLOWING","TGT")</f>
        <v>42793</v>
      </c>
      <c r="D208" s="95">
        <f ca="1"/>
        <v>-4.0670428355260579E-3</v>
      </c>
      <c r="E208" s="92"/>
      <c r="F208" s="97">
        <f>_xll.meDateFromTenor(F207,"1D","FOLLOWING","TGT")</f>
        <v>42793</v>
      </c>
      <c r="G208" s="95">
        <f ca="1"/>
        <v>-3.8788615371410221E-3</v>
      </c>
      <c r="H208" s="92" t="s">
        <v>4</v>
      </c>
      <c r="I208" s="97">
        <f>_xll.meDateFromTenor(I207,"1D","FOLLOWING","TGT")</f>
        <v>42793</v>
      </c>
      <c r="J208" s="95">
        <f ca="1"/>
        <v>-3.0001947997409326E-3</v>
      </c>
      <c r="K208" s="5" t="s">
        <v>4</v>
      </c>
      <c r="L208" s="97">
        <f>_xll.meDateFromTenor(L207,"1D","FOLLOWING","TGT")</f>
        <v>42793</v>
      </c>
      <c r="M208" s="95">
        <f ca="1"/>
        <v>-1.7176632532546023E-3</v>
      </c>
      <c r="N208" s="5" t="s">
        <v>4</v>
      </c>
      <c r="O208" s="97">
        <f>_xll.meDateFromTenor(O207,"1D","FOLLOWING","TGT")</f>
        <v>42793</v>
      </c>
      <c r="P208" s="95">
        <f ca="1"/>
        <v>-2.5715613281876535E-4</v>
      </c>
      <c r="Q208" s="5" t="s">
        <v>4</v>
      </c>
      <c r="R208" s="83" t="s">
        <v>4</v>
      </c>
    </row>
    <row r="209" spans="1:18" x14ac:dyDescent="0.25">
      <c r="A209" s="88">
        <v>195</v>
      </c>
      <c r="B209" s="82"/>
      <c r="C209" s="97">
        <f>_xll.meDateFromTenor(C208,"1D","FOLLOWING","TGT")</f>
        <v>42794</v>
      </c>
      <c r="D209" s="95">
        <f ca="1"/>
        <v>-4.0696139525836506E-3</v>
      </c>
      <c r="E209" s="92"/>
      <c r="F209" s="97">
        <f>_xll.meDateFromTenor(F208,"1D","FOLLOWING","TGT")</f>
        <v>42794</v>
      </c>
      <c r="G209" s="95">
        <f ca="1"/>
        <v>-3.8804225898863075E-3</v>
      </c>
      <c r="H209" s="92" t="s">
        <v>4</v>
      </c>
      <c r="I209" s="97">
        <f>_xll.meDateFromTenor(I208,"1D","FOLLOWING","TGT")</f>
        <v>42794</v>
      </c>
      <c r="J209" s="95">
        <f ca="1"/>
        <v>-2.9994982517769129E-3</v>
      </c>
      <c r="K209" s="5" t="s">
        <v>4</v>
      </c>
      <c r="L209" s="97">
        <f>_xll.meDateFromTenor(L208,"1D","FOLLOWING","TGT")</f>
        <v>42794</v>
      </c>
      <c r="M209" s="95">
        <f ca="1"/>
        <v>-1.7181971952146863E-3</v>
      </c>
      <c r="N209" s="5" t="s">
        <v>4</v>
      </c>
      <c r="O209" s="97">
        <f>_xll.meDateFromTenor(O208,"1D","FOLLOWING","TGT")</f>
        <v>42794</v>
      </c>
      <c r="P209" s="95">
        <f ca="1"/>
        <v>-2.5676083233694478E-4</v>
      </c>
      <c r="Q209" s="5" t="s">
        <v>4</v>
      </c>
      <c r="R209" s="83" t="s">
        <v>4</v>
      </c>
    </row>
    <row r="210" spans="1:18" x14ac:dyDescent="0.25">
      <c r="A210" s="88">
        <v>196</v>
      </c>
      <c r="B210" s="82"/>
      <c r="C210" s="97">
        <f>_xll.meDateFromTenor(C209,"1D","FOLLOWING","TGT")</f>
        <v>42795</v>
      </c>
      <c r="D210" s="95">
        <f ca="1"/>
        <v>-4.0721687035464305E-3</v>
      </c>
      <c r="E210" s="92"/>
      <c r="F210" s="97">
        <f>_xll.meDateFromTenor(F209,"1D","FOLLOWING","TGT")</f>
        <v>42795</v>
      </c>
      <c r="G210" s="95">
        <f ca="1"/>
        <v>-3.8819703370698059E-3</v>
      </c>
      <c r="H210" s="92" t="s">
        <v>4</v>
      </c>
      <c r="I210" s="97">
        <f>_xll.meDateFromTenor(I209,"1D","FOLLOWING","TGT")</f>
        <v>42795</v>
      </c>
      <c r="J210" s="95">
        <f ca="1"/>
        <v>-3.0015046886374885E-3</v>
      </c>
      <c r="K210" s="5" t="s">
        <v>4</v>
      </c>
      <c r="L210" s="97">
        <f>_xll.meDateFromTenor(L209,"1D","FOLLOWING","TGT")</f>
        <v>42795</v>
      </c>
      <c r="M210" s="95">
        <f ca="1"/>
        <v>-1.718729902414818E-3</v>
      </c>
      <c r="N210" s="5" t="s">
        <v>4</v>
      </c>
      <c r="O210" s="97">
        <f>_xll.meDateFromTenor(O209,"1D","FOLLOWING","TGT")</f>
        <v>42795</v>
      </c>
      <c r="P210" s="95">
        <f ca="1"/>
        <v>-2.5635671784158599E-4</v>
      </c>
      <c r="Q210" s="5" t="s">
        <v>4</v>
      </c>
      <c r="R210" s="83" t="s">
        <v>4</v>
      </c>
    </row>
    <row r="211" spans="1:18" x14ac:dyDescent="0.25">
      <c r="A211" s="88">
        <v>197</v>
      </c>
      <c r="B211" s="82"/>
      <c r="C211" s="97">
        <f>_xll.meDateFromTenor(C210,"1D","FOLLOWING","TGT")</f>
        <v>42796</v>
      </c>
      <c r="D211" s="95">
        <f ca="1"/>
        <v>-4.0747068592993374E-3</v>
      </c>
      <c r="E211" s="92"/>
      <c r="F211" s="97">
        <f>_xll.meDateFromTenor(F210,"1D","FOLLOWING","TGT")</f>
        <v>42796</v>
      </c>
      <c r="G211" s="95">
        <f ca="1"/>
        <v>-3.8835034785726663E-3</v>
      </c>
      <c r="H211" s="92" t="s">
        <v>4</v>
      </c>
      <c r="I211" s="97">
        <f>_xll.meDateFromTenor(I210,"1D","FOLLOWING","TGT")</f>
        <v>42796</v>
      </c>
      <c r="J211" s="95">
        <f ca="1"/>
        <v>-3.0062327851322177E-3</v>
      </c>
      <c r="K211" s="5" t="s">
        <v>4</v>
      </c>
      <c r="L211" s="97">
        <f>_xll.meDateFromTenor(L210,"1D","FOLLOWING","TGT")</f>
        <v>42796</v>
      </c>
      <c r="M211" s="95">
        <f ca="1"/>
        <v>-1.7192613780209743E-3</v>
      </c>
      <c r="N211" s="5" t="s">
        <v>4</v>
      </c>
      <c r="O211" s="97">
        <f>_xll.meDateFromTenor(O210,"1D","FOLLOWING","TGT")</f>
        <v>42796</v>
      </c>
      <c r="P211" s="95">
        <f ca="1"/>
        <v>-2.55943756738988E-4</v>
      </c>
      <c r="Q211" s="5" t="s">
        <v>4</v>
      </c>
      <c r="R211" s="83" t="s">
        <v>4</v>
      </c>
    </row>
    <row r="212" spans="1:18" x14ac:dyDescent="0.25">
      <c r="A212" s="88">
        <v>198</v>
      </c>
      <c r="B212" s="82"/>
      <c r="C212" s="97">
        <f>_xll.meDateFromTenor(C211,"1D","FOLLOWING","TGT")</f>
        <v>42797</v>
      </c>
      <c r="D212" s="95">
        <f ca="1"/>
        <v>-4.0772282967314055E-3</v>
      </c>
      <c r="E212" s="92"/>
      <c r="F212" s="97">
        <f>_xll.meDateFromTenor(F211,"1D","FOLLOWING","TGT")</f>
        <v>42797</v>
      </c>
      <c r="G212" s="95">
        <f ca="1"/>
        <v>-3.8850210743518053E-3</v>
      </c>
      <c r="H212" s="92" t="s">
        <v>4</v>
      </c>
      <c r="I212" s="97">
        <f>_xll.meDateFromTenor(I211,"1D","FOLLOWING","TGT")</f>
        <v>42797</v>
      </c>
      <c r="J212" s="95">
        <f ca="1"/>
        <v>-3.0028145775353628E-3</v>
      </c>
      <c r="K212" s="5" t="s">
        <v>4</v>
      </c>
      <c r="L212" s="97">
        <f>_xll.meDateFromTenor(L211,"1D","FOLLOWING","TGT")</f>
        <v>42797</v>
      </c>
      <c r="M212" s="95">
        <f ca="1"/>
        <v>-1.7197916251991312E-3</v>
      </c>
      <c r="N212" s="5" t="s">
        <v>4</v>
      </c>
      <c r="O212" s="97">
        <f>_xll.meDateFromTenor(O211,"1D","FOLLOWING","TGT")</f>
        <v>42797</v>
      </c>
      <c r="P212" s="95">
        <f ca="1"/>
        <v>-2.5552191643544992E-4</v>
      </c>
      <c r="Q212" s="5" t="s">
        <v>4</v>
      </c>
      <c r="R212" s="83" t="s">
        <v>4</v>
      </c>
    </row>
    <row r="213" spans="1:18" x14ac:dyDescent="0.25">
      <c r="A213" s="88">
        <v>199</v>
      </c>
      <c r="B213" s="82"/>
      <c r="C213" s="97">
        <f>_xll.meDateFromTenor(C212,"1D","FOLLOWING","TGT")</f>
        <v>42800</v>
      </c>
      <c r="D213" s="95">
        <f ca="1"/>
        <v>-4.0846889591114044E-3</v>
      </c>
      <c r="E213" s="92"/>
      <c r="F213" s="97">
        <f>_xll.meDateFromTenor(F212,"1D","FOLLOWING","TGT")</f>
        <v>42800</v>
      </c>
      <c r="G213" s="95">
        <f ca="1"/>
        <v>-3.8894870302497663E-3</v>
      </c>
      <c r="H213" s="92" t="s">
        <v>4</v>
      </c>
      <c r="I213" s="97">
        <f>_xll.meDateFromTenor(I212,"1D","FOLLOWING","TGT")</f>
        <v>42800</v>
      </c>
      <c r="J213" s="95">
        <f ca="1"/>
        <v>-3.0051416026946587E-3</v>
      </c>
      <c r="K213" s="5" t="s">
        <v>4</v>
      </c>
      <c r="L213" s="97">
        <f>_xll.meDateFromTenor(L212,"1D","FOLLOWING","TGT")</f>
        <v>42800</v>
      </c>
      <c r="M213" s="95">
        <f ca="1"/>
        <v>-1.7213750278253712E-3</v>
      </c>
      <c r="N213" s="5" t="s">
        <v>4</v>
      </c>
      <c r="O213" s="97">
        <f>_xll.meDateFromTenor(O212,"1D","FOLLOWING","TGT")</f>
        <v>42800</v>
      </c>
      <c r="P213" s="95">
        <f ca="1"/>
        <v>-2.5420279438218582E-4</v>
      </c>
      <c r="Q213" s="5" t="s">
        <v>4</v>
      </c>
      <c r="R213" s="83" t="s">
        <v>4</v>
      </c>
    </row>
    <row r="214" spans="1:18" x14ac:dyDescent="0.25">
      <c r="A214" s="88">
        <v>200</v>
      </c>
      <c r="B214" s="82"/>
      <c r="C214" s="97">
        <f>_xll.meDateFromTenor(C213,"1D","FOLLOWING","TGT")</f>
        <v>42801</v>
      </c>
      <c r="D214" s="95">
        <f ca="1"/>
        <v>-4.0871407103417745E-3</v>
      </c>
      <c r="E214" s="92"/>
      <c r="F214" s="97">
        <f>_xll.meDateFromTenor(F213,"1D","FOLLOWING","TGT")</f>
        <v>42801</v>
      </c>
      <c r="G214" s="95">
        <f ca="1"/>
        <v>-3.890949606188427E-3</v>
      </c>
      <c r="H214" s="92" t="s">
        <v>4</v>
      </c>
      <c r="I214" s="97">
        <f>_xll.meDateFromTenor(I213,"1D","FOLLOWING","TGT")</f>
        <v>42801</v>
      </c>
      <c r="J214" s="95">
        <f ca="1"/>
        <v>-3.0054343553288045E-3</v>
      </c>
      <c r="K214" s="5" t="s">
        <v>4</v>
      </c>
      <c r="L214" s="97">
        <f>_xll.meDateFromTenor(L213,"1D","FOLLOWING","TGT")</f>
        <v>42801</v>
      </c>
      <c r="M214" s="95">
        <f ca="1"/>
        <v>-1.7219003929512949E-3</v>
      </c>
      <c r="N214" s="5" t="s">
        <v>4</v>
      </c>
      <c r="O214" s="97">
        <f>_xll.meDateFromTenor(O213,"1D","FOLLOWING","TGT")</f>
        <v>42801</v>
      </c>
      <c r="P214" s="95">
        <f ca="1"/>
        <v>-2.537451113378782E-4</v>
      </c>
      <c r="Q214" s="5" t="s">
        <v>4</v>
      </c>
      <c r="R214" s="83" t="s">
        <v>4</v>
      </c>
    </row>
    <row r="215" spans="1:18" x14ac:dyDescent="0.25">
      <c r="A215" s="88">
        <v>201</v>
      </c>
      <c r="B215" s="82"/>
      <c r="C215" s="97">
        <f>_xll.meDateFromTenor(C214,"1D","FOLLOWING","TGT")</f>
        <v>42802</v>
      </c>
      <c r="D215" s="95">
        <f ca="1"/>
        <v>-4.0895744953647339E-3</v>
      </c>
      <c r="E215" s="92"/>
      <c r="F215" s="97">
        <f>_xll.meDateFromTenor(F214,"1D","FOLLOWING","TGT")</f>
        <v>42802</v>
      </c>
      <c r="G215" s="95">
        <f ca="1"/>
        <v>-3.8924005780063358E-3</v>
      </c>
      <c r="H215" s="92" t="s">
        <v>4</v>
      </c>
      <c r="I215" s="97">
        <f>_xll.meDateFromTenor(I214,"1D","FOLLOWING","TGT")</f>
        <v>42802</v>
      </c>
      <c r="J215" s="95">
        <f ca="1"/>
        <v>-3.0059920400618942E-3</v>
      </c>
      <c r="K215" s="5" t="s">
        <v>4</v>
      </c>
      <c r="L215" s="97">
        <f>_xll.meDateFromTenor(L214,"1D","FOLLOWING","TGT")</f>
        <v>42802</v>
      </c>
      <c r="M215" s="95">
        <f ca="1"/>
        <v>-1.7224245454791011E-3</v>
      </c>
      <c r="N215" s="5" t="s">
        <v>4</v>
      </c>
      <c r="O215" s="97">
        <f>_xll.meDateFromTenor(O214,"1D","FOLLOWING","TGT")</f>
        <v>42802</v>
      </c>
      <c r="P215" s="95">
        <f ca="1"/>
        <v>-2.5327838612412579E-4</v>
      </c>
      <c r="Q215" s="5" t="s">
        <v>4</v>
      </c>
      <c r="R215" s="83" t="s">
        <v>4</v>
      </c>
    </row>
    <row r="216" spans="1:18" x14ac:dyDescent="0.25">
      <c r="A216" s="88">
        <v>202</v>
      </c>
      <c r="B216" s="82"/>
      <c r="C216" s="97">
        <f>_xll.meDateFromTenor(C215,"1D","FOLLOWING","TGT")</f>
        <v>42803</v>
      </c>
      <c r="D216" s="95">
        <f ca="1"/>
        <v>-4.0919900852739444E-3</v>
      </c>
      <c r="E216" s="92"/>
      <c r="F216" s="97">
        <f>_xll.meDateFromTenor(F215,"1D","FOLLOWING","TGT")</f>
        <v>42803</v>
      </c>
      <c r="G216" s="95">
        <f ca="1"/>
        <v>-3.8938408060392423E-3</v>
      </c>
      <c r="H216" s="92" t="s">
        <v>4</v>
      </c>
      <c r="I216" s="97">
        <f>_xll.meDateFromTenor(I215,"1D","FOLLOWING","TGT")</f>
        <v>42803</v>
      </c>
      <c r="J216" s="95">
        <f ca="1"/>
        <v>-3.0067442442265097E-3</v>
      </c>
      <c r="K216" s="5" t="s">
        <v>4</v>
      </c>
      <c r="L216" s="97">
        <f>_xll.meDateFromTenor(L215,"1D","FOLLOWING","TGT")</f>
        <v>42803</v>
      </c>
      <c r="M216" s="95">
        <f ca="1"/>
        <v>-1.7229474885747662E-3</v>
      </c>
      <c r="N216" s="5" t="s">
        <v>4</v>
      </c>
      <c r="O216" s="97">
        <f>_xll.meDateFromTenor(O215,"1D","FOLLOWING","TGT")</f>
        <v>42803</v>
      </c>
      <c r="P216" s="95">
        <f ca="1"/>
        <v>-2.5280258614722776E-4</v>
      </c>
      <c r="Q216" s="5" t="s">
        <v>4</v>
      </c>
      <c r="R216" s="83" t="s">
        <v>4</v>
      </c>
    </row>
    <row r="217" spans="1:18" x14ac:dyDescent="0.25">
      <c r="A217" s="88">
        <v>203</v>
      </c>
      <c r="B217" s="82"/>
      <c r="C217" s="97">
        <f>_xll.meDateFromTenor(C216,"1D","FOLLOWING","TGT")</f>
        <v>42804</v>
      </c>
      <c r="D217" s="95">
        <f ca="1"/>
        <v>-4.0943467473526507E-3</v>
      </c>
      <c r="E217" s="92"/>
      <c r="F217" s="97">
        <f>_xll.meDateFromTenor(F216,"1D","FOLLOWING","TGT")</f>
        <v>42804</v>
      </c>
      <c r="G217" s="95">
        <f ca="1"/>
        <v>-3.8952711506228918E-3</v>
      </c>
      <c r="H217" s="92" t="s">
        <v>4</v>
      </c>
      <c r="I217" s="97">
        <f>_xll.meDateFromTenor(I216,"1D","FOLLOWING","TGT")</f>
        <v>42804</v>
      </c>
      <c r="J217" s="95">
        <f ca="1"/>
        <v>-3.0074260357236412E-3</v>
      </c>
      <c r="K217" s="5" t="s">
        <v>4</v>
      </c>
      <c r="L217" s="97">
        <f>_xll.meDateFromTenor(L216,"1D","FOLLOWING","TGT")</f>
        <v>42804</v>
      </c>
      <c r="M217" s="95">
        <f ca="1"/>
        <v>-1.7234692254042667E-3</v>
      </c>
      <c r="N217" s="5" t="s">
        <v>4</v>
      </c>
      <c r="O217" s="97">
        <f>_xll.meDateFromTenor(O216,"1D","FOLLOWING","TGT")</f>
        <v>42804</v>
      </c>
      <c r="P217" s="95">
        <f ca="1"/>
        <v>-2.5231767881348324E-4</v>
      </c>
      <c r="Q217" s="5" t="s">
        <v>4</v>
      </c>
      <c r="R217" s="83" t="s">
        <v>4</v>
      </c>
    </row>
    <row r="218" spans="1:18" x14ac:dyDescent="0.25">
      <c r="A218" s="88">
        <v>204</v>
      </c>
      <c r="B218" s="82"/>
      <c r="C218" s="97">
        <f>_xll.meDateFromTenor(C217,"1D","FOLLOWING","TGT")</f>
        <v>42807</v>
      </c>
      <c r="D218" s="95">
        <f ca="1"/>
        <v>-4.1016955365631436E-3</v>
      </c>
      <c r="E218" s="92"/>
      <c r="F218" s="97">
        <f>_xll.meDateFromTenor(F217,"1D","FOLLOWING","TGT")</f>
        <v>42807</v>
      </c>
      <c r="G218" s="95">
        <f ca="1"/>
        <v>-3.8995114870357798E-3</v>
      </c>
      <c r="H218" s="92" t="s">
        <v>4</v>
      </c>
      <c r="I218" s="97">
        <f>_xll.meDateFromTenor(I217,"1D","FOLLOWING","TGT")</f>
        <v>42807</v>
      </c>
      <c r="J218" s="95">
        <f ca="1"/>
        <v>-3.0093640220208821E-3</v>
      </c>
      <c r="K218" s="5" t="s">
        <v>4</v>
      </c>
      <c r="L218" s="97">
        <f>_xll.meDateFromTenor(L217,"1D","FOLLOWING","TGT")</f>
        <v>42807</v>
      </c>
      <c r="M218" s="95">
        <f ca="1"/>
        <v>-1.7250272299555421E-3</v>
      </c>
      <c r="N218" s="5" t="s">
        <v>4</v>
      </c>
      <c r="O218" s="97">
        <f>_xll.meDateFromTenor(O217,"1D","FOLLOWING","TGT")</f>
        <v>42807</v>
      </c>
      <c r="P218" s="95">
        <f ca="1"/>
        <v>-2.5080798673416109E-4</v>
      </c>
      <c r="Q218" s="5" t="s">
        <v>4</v>
      </c>
      <c r="R218" s="83" t="s">
        <v>4</v>
      </c>
    </row>
    <row r="219" spans="1:18" x14ac:dyDescent="0.25">
      <c r="A219" s="88">
        <v>205</v>
      </c>
      <c r="B219" s="82"/>
      <c r="C219" s="97">
        <f>_xll.meDateFromTenor(C218,"1D","FOLLOWING","TGT")</f>
        <v>42808</v>
      </c>
      <c r="D219" s="95">
        <f ca="1"/>
        <v>-4.104182870944606E-3</v>
      </c>
      <c r="E219" s="92"/>
      <c r="F219" s="97">
        <f>_xll.meDateFromTenor(F218,"1D","FOLLOWING","TGT")</f>
        <v>42808</v>
      </c>
      <c r="G219" s="95">
        <f ca="1"/>
        <v>-3.9009109011798812E-3</v>
      </c>
      <c r="H219" s="92" t="s">
        <v>4</v>
      </c>
      <c r="I219" s="97">
        <f>_xll.meDateFromTenor(I218,"1D","FOLLOWING","TGT")</f>
        <v>42808</v>
      </c>
      <c r="J219" s="95">
        <f ca="1"/>
        <v>-3.0100326333461773E-3</v>
      </c>
      <c r="K219" s="5" t="s">
        <v>4</v>
      </c>
      <c r="L219" s="97">
        <f>_xll.meDateFromTenor(L218,"1D","FOLLOWING","TGT")</f>
        <v>42808</v>
      </c>
      <c r="M219" s="95">
        <f ca="1"/>
        <v>-1.7255441733801467E-3</v>
      </c>
      <c r="N219" s="5" t="s">
        <v>4</v>
      </c>
      <c r="O219" s="97">
        <f>_xll.meDateFromTenor(O218,"1D","FOLLOWING","TGT")</f>
        <v>42808</v>
      </c>
      <c r="P219" s="95">
        <f ca="1"/>
        <v>-2.5028632403602117E-4</v>
      </c>
      <c r="Q219" s="5" t="s">
        <v>4</v>
      </c>
      <c r="R219" s="83" t="s">
        <v>4</v>
      </c>
    </row>
    <row r="220" spans="1:18" x14ac:dyDescent="0.25">
      <c r="A220" s="88">
        <v>206</v>
      </c>
      <c r="B220" s="82"/>
      <c r="C220" s="97">
        <f>_xll.meDateFromTenor(C219,"1D","FOLLOWING","TGT")</f>
        <v>42809</v>
      </c>
      <c r="D220" s="95">
        <f ca="1"/>
        <v>-4.1066396259279436E-3</v>
      </c>
      <c r="E220" s="92"/>
      <c r="F220" s="97">
        <f>_xll.meDateFromTenor(F219,"1D","FOLLOWING","TGT")</f>
        <v>42809</v>
      </c>
      <c r="G220" s="95">
        <f ca="1"/>
        <v>-3.9023047335534637E-3</v>
      </c>
      <c r="H220" s="92" t="s">
        <v>4</v>
      </c>
      <c r="I220" s="97">
        <f>_xll.meDateFromTenor(I219,"1D","FOLLOWING","TGT")</f>
        <v>42809</v>
      </c>
      <c r="J220" s="95">
        <f ca="1"/>
        <v>-3.0106739109164219E-3</v>
      </c>
      <c r="K220" s="5" t="s">
        <v>4</v>
      </c>
      <c r="L220" s="97">
        <f>_xll.meDateFromTenor(L219,"1D","FOLLOWING","TGT")</f>
        <v>42809</v>
      </c>
      <c r="M220" s="95">
        <f ca="1"/>
        <v>-1.7260599263684683E-3</v>
      </c>
      <c r="N220" s="5" t="s">
        <v>4</v>
      </c>
      <c r="O220" s="97">
        <f>_xll.meDateFromTenor(O219,"1D","FOLLOWING","TGT")</f>
        <v>42809</v>
      </c>
      <c r="P220" s="95">
        <f ca="1"/>
        <v>-2.4975539101253008E-4</v>
      </c>
      <c r="Q220" s="5" t="s">
        <v>4</v>
      </c>
      <c r="R220" s="83" t="s">
        <v>4</v>
      </c>
    </row>
    <row r="221" spans="1:18" x14ac:dyDescent="0.25">
      <c r="A221" s="88">
        <v>207</v>
      </c>
      <c r="B221" s="82"/>
      <c r="C221" s="97">
        <f>_xll.meDateFromTenor(C220,"1D","FOLLOWING","TGT")</f>
        <v>42810</v>
      </c>
      <c r="D221" s="95">
        <f ca="1"/>
        <v>-4.1090658031717187E-3</v>
      </c>
      <c r="E221" s="92"/>
      <c r="F221" s="97">
        <f>_xll.meDateFromTenor(F220,"1D","FOLLOWING","TGT")</f>
        <v>42810</v>
      </c>
      <c r="G221" s="95">
        <f ca="1"/>
        <v>-3.9036938444922745E-3</v>
      </c>
      <c r="H221" s="92" t="s">
        <v>4</v>
      </c>
      <c r="I221" s="97">
        <f>_xll.meDateFromTenor(I220,"1D","FOLLOWING","TGT")</f>
        <v>42810</v>
      </c>
      <c r="J221" s="95">
        <f ca="1"/>
        <v>-3.0112657033307703E-3</v>
      </c>
      <c r="K221" s="5" t="s">
        <v>4</v>
      </c>
      <c r="L221" s="97">
        <f>_xll.meDateFromTenor(L220,"1D","FOLLOWING","TGT")</f>
        <v>42810</v>
      </c>
      <c r="M221" s="95">
        <f ca="1"/>
        <v>-1.7265744920864829E-3</v>
      </c>
      <c r="N221" s="5" t="s">
        <v>4</v>
      </c>
      <c r="O221" s="97">
        <f>_xll.meDateFromTenor(O220,"1D","FOLLOWING","TGT")</f>
        <v>42810</v>
      </c>
      <c r="P221" s="95">
        <f ca="1"/>
        <v>-2.4921515506998691E-4</v>
      </c>
      <c r="Q221" s="5" t="s">
        <v>4</v>
      </c>
      <c r="R221" s="83" t="s">
        <v>4</v>
      </c>
    </row>
    <row r="222" spans="1:18" x14ac:dyDescent="0.25">
      <c r="A222" s="88">
        <v>208</v>
      </c>
      <c r="B222" s="82"/>
      <c r="C222" s="97">
        <f>_xll.meDateFromTenor(C221,"1D","FOLLOWING","TGT")</f>
        <v>42811</v>
      </c>
      <c r="D222" s="95">
        <f ca="1"/>
        <v>-4.1114614039736708E-3</v>
      </c>
      <c r="E222" s="92"/>
      <c r="F222" s="97">
        <f>_xll.meDateFromTenor(F221,"1D","FOLLOWING","TGT")</f>
        <v>42811</v>
      </c>
      <c r="G222" s="95">
        <f ca="1"/>
        <v>-3.9050790943320627E-3</v>
      </c>
      <c r="H222" s="92" t="s">
        <v>4</v>
      </c>
      <c r="I222" s="97">
        <f>_xll.meDateFromTenor(I221,"1D","FOLLOWING","TGT")</f>
        <v>42811</v>
      </c>
      <c r="J222" s="95">
        <f ca="1"/>
        <v>-3.0118348957625983E-3</v>
      </c>
      <c r="K222" s="5" t="s">
        <v>4</v>
      </c>
      <c r="L222" s="97">
        <f>_xll.meDateFromTenor(L221,"1D","FOLLOWING","TGT")</f>
        <v>42811</v>
      </c>
      <c r="M222" s="95">
        <f ca="1"/>
        <v>-1.7270878737001669E-3</v>
      </c>
      <c r="N222" s="5" t="s">
        <v>4</v>
      </c>
      <c r="O222" s="97">
        <f>_xll.meDateFromTenor(O221,"1D","FOLLOWING","TGT")</f>
        <v>42811</v>
      </c>
      <c r="P222" s="95">
        <f ca="1"/>
        <v>-2.4866558361469072E-4</v>
      </c>
      <c r="Q222" s="5" t="s">
        <v>4</v>
      </c>
      <c r="R222" s="83" t="s">
        <v>4</v>
      </c>
    </row>
    <row r="223" spans="1:18" x14ac:dyDescent="0.25">
      <c r="A223" s="88">
        <v>209</v>
      </c>
      <c r="B223" s="82"/>
      <c r="C223" s="97">
        <f>_xll.meDateFromTenor(C222,"1D","FOLLOWING","TGT")</f>
        <v>42814</v>
      </c>
      <c r="D223" s="95">
        <f ca="1"/>
        <v>-4.1184647646016481E-3</v>
      </c>
      <c r="E223" s="92"/>
      <c r="F223" s="97">
        <f>_xll.meDateFromTenor(F222,"1D","FOLLOWING","TGT")</f>
        <v>42814</v>
      </c>
      <c r="G223" s="95">
        <f ca="1"/>
        <v>-3.9092202806147577E-3</v>
      </c>
      <c r="H223" s="92" t="s">
        <v>4</v>
      </c>
      <c r="I223" s="97">
        <f>_xll.meDateFromTenor(I222,"1D","FOLLOWING","TGT")</f>
        <v>42814</v>
      </c>
      <c r="J223" s="95">
        <f ca="1"/>
        <v>-3.0135771843338146E-3</v>
      </c>
      <c r="K223" s="5" t="s">
        <v>4</v>
      </c>
      <c r="L223" s="97">
        <f>_xll.meDateFromTenor(L222,"1D","FOLLOWING","TGT")</f>
        <v>42814</v>
      </c>
      <c r="M223" s="95">
        <f ca="1"/>
        <v>-1.7286209455749997E-3</v>
      </c>
      <c r="N223" s="5" t="s">
        <v>4</v>
      </c>
      <c r="O223" s="97">
        <f>_xll.meDateFromTenor(O222,"1D","FOLLOWING","TGT")</f>
        <v>42814</v>
      </c>
      <c r="P223" s="95">
        <f ca="1"/>
        <v>-2.4696053023527502E-4</v>
      </c>
      <c r="Q223" s="5" t="s">
        <v>4</v>
      </c>
      <c r="R223" s="83" t="s">
        <v>4</v>
      </c>
    </row>
    <row r="224" spans="1:18" x14ac:dyDescent="0.25">
      <c r="A224" s="88">
        <v>210</v>
      </c>
      <c r="B224" s="82"/>
      <c r="C224" s="97">
        <f>_xll.meDateFromTenor(C223,"1D","FOLLOWING","TGT")</f>
        <v>42815</v>
      </c>
      <c r="D224" s="95">
        <f ca="1"/>
        <v>-4.1207380759781254E-3</v>
      </c>
      <c r="E224" s="92"/>
      <c r="F224" s="97">
        <f>_xll.meDateFromTenor(F223,"1D","FOLLOWING","TGT")</f>
        <v>42815</v>
      </c>
      <c r="G224" s="95">
        <f ca="1"/>
        <v>-3.9105986894159266E-3</v>
      </c>
      <c r="H224" s="92" t="s">
        <v>4</v>
      </c>
      <c r="I224" s="97">
        <f>_xll.meDateFromTenor(I223,"1D","FOLLOWING","TGT")</f>
        <v>42815</v>
      </c>
      <c r="J224" s="95">
        <f ca="1"/>
        <v>-3.0141568654545123E-3</v>
      </c>
      <c r="K224" s="5" t="s">
        <v>4</v>
      </c>
      <c r="L224" s="97">
        <f>_xll.meDateFromTenor(L223,"1D","FOLLOWING","TGT")</f>
        <v>42815</v>
      </c>
      <c r="M224" s="95">
        <f ca="1"/>
        <v>-1.7291296224311256E-3</v>
      </c>
      <c r="N224" s="5" t="s">
        <v>4</v>
      </c>
      <c r="O224" s="97">
        <f>_xll.meDateFromTenor(O223,"1D","FOLLOWING","TGT")</f>
        <v>42815</v>
      </c>
      <c r="P224" s="95">
        <f ca="1"/>
        <v>-2.4637329079195771E-4</v>
      </c>
      <c r="Q224" s="5" t="s">
        <v>4</v>
      </c>
      <c r="R224" s="83" t="s">
        <v>4</v>
      </c>
    </row>
    <row r="225" spans="1:18" x14ac:dyDescent="0.25">
      <c r="A225" s="88">
        <v>211</v>
      </c>
      <c r="B225" s="82"/>
      <c r="C225" s="97">
        <f>_xll.meDateFromTenor(C224,"1D","FOLLOWING","TGT")</f>
        <v>42816</v>
      </c>
      <c r="D225" s="95">
        <f ca="1"/>
        <v>-4.1229808190696993E-3</v>
      </c>
      <c r="E225" s="92"/>
      <c r="F225" s="97">
        <f>_xll.meDateFromTenor(F224,"1D","FOLLOWING","TGT")</f>
        <v>42816</v>
      </c>
      <c r="G225" s="95">
        <f ca="1"/>
        <v>-3.911977538796808E-3</v>
      </c>
      <c r="H225" s="92" t="s">
        <v>4</v>
      </c>
      <c r="I225" s="97">
        <f>_xll.meDateFromTenor(I224,"1D","FOLLOWING","TGT")</f>
        <v>42816</v>
      </c>
      <c r="J225" s="95">
        <f ca="1"/>
        <v>-3.014737140489443E-3</v>
      </c>
      <c r="K225" s="5" t="s">
        <v>4</v>
      </c>
      <c r="L225" s="97">
        <f>_xll.meDateFromTenor(L224,"1D","FOLLOWING","TGT")</f>
        <v>42816</v>
      </c>
      <c r="M225" s="95">
        <f ca="1"/>
        <v>-1.7296371310128024E-3</v>
      </c>
      <c r="N225" s="5" t="s">
        <v>4</v>
      </c>
      <c r="O225" s="97">
        <f>_xll.meDateFromTenor(O224,"1D","FOLLOWING","TGT")</f>
        <v>42816</v>
      </c>
      <c r="P225" s="95">
        <f ca="1"/>
        <v>-2.4577655286738269E-4</v>
      </c>
      <c r="Q225" s="5" t="s">
        <v>4</v>
      </c>
      <c r="R225" s="83" t="s">
        <v>4</v>
      </c>
    </row>
    <row r="226" spans="1:18" x14ac:dyDescent="0.25">
      <c r="A226" s="88">
        <v>212</v>
      </c>
      <c r="B226" s="82"/>
      <c r="C226" s="97">
        <f>_xll.meDateFromTenor(C225,"1D","FOLLOWING","TGT")</f>
        <v>42817</v>
      </c>
      <c r="D226" s="95">
        <f ca="1"/>
        <v>-4.1251929950374411E-3</v>
      </c>
      <c r="E226" s="92"/>
      <c r="F226" s="97">
        <f>_xll.meDateFromTenor(F225,"1D","FOLLOWING","TGT")</f>
        <v>42817</v>
      </c>
      <c r="G226" s="95">
        <f ca="1"/>
        <v>-3.9133576890931507E-3</v>
      </c>
      <c r="H226" s="92" t="s">
        <v>4</v>
      </c>
      <c r="I226" s="97">
        <f>_xll.meDateFromTenor(I225,"1D","FOLLOWING","TGT")</f>
        <v>42817</v>
      </c>
      <c r="J226" s="95">
        <f ca="1"/>
        <v>-3.0153178502998427E-3</v>
      </c>
      <c r="K226" s="5" t="s">
        <v>4</v>
      </c>
      <c r="L226" s="97">
        <f>_xll.meDateFromTenor(L225,"1D","FOLLOWING","TGT")</f>
        <v>42817</v>
      </c>
      <c r="M226" s="95">
        <f ca="1"/>
        <v>-1.7301434744860071E-3</v>
      </c>
      <c r="N226" s="5" t="s">
        <v>4</v>
      </c>
      <c r="O226" s="97">
        <f>_xll.meDateFromTenor(O225,"1D","FOLLOWING","TGT")</f>
        <v>42817</v>
      </c>
      <c r="P226" s="95">
        <f ca="1"/>
        <v>-2.4517028386784927E-4</v>
      </c>
      <c r="Q226" s="5" t="s">
        <v>4</v>
      </c>
      <c r="R226" s="83" t="s">
        <v>4</v>
      </c>
    </row>
    <row r="227" spans="1:18" x14ac:dyDescent="0.25">
      <c r="A227" s="88">
        <v>213</v>
      </c>
      <c r="B227" s="82"/>
      <c r="C227" s="97">
        <f>_xll.meDateFromTenor(C226,"1D","FOLLOWING","TGT")</f>
        <v>42818</v>
      </c>
      <c r="D227" s="95">
        <f ca="1"/>
        <v>-4.1273746059155014E-3</v>
      </c>
      <c r="E227" s="92"/>
      <c r="F227" s="97">
        <f>_xll.meDateFromTenor(F226,"1D","FOLLOWING","TGT")</f>
        <v>42818</v>
      </c>
      <c r="G227" s="95">
        <f ca="1"/>
        <v>-3.9147400006407035E-3</v>
      </c>
      <c r="H227" s="92" t="s">
        <v>4</v>
      </c>
      <c r="I227" s="97">
        <f>_xll.meDateFromTenor(I226,"1D","FOLLOWING","TGT")</f>
        <v>42818</v>
      </c>
      <c r="J227" s="95">
        <f ca="1"/>
        <v>-3.0158984009712518E-3</v>
      </c>
      <c r="K227" s="5" t="s">
        <v>4</v>
      </c>
      <c r="L227" s="97">
        <f>_xll.meDateFromTenor(L226,"1D","FOLLOWING","TGT")</f>
        <v>42818</v>
      </c>
      <c r="M227" s="95">
        <f ca="1"/>
        <v>-1.7306486560167158E-3</v>
      </c>
      <c r="N227" s="5" t="s">
        <v>4</v>
      </c>
      <c r="O227" s="97">
        <f>_xll.meDateFromTenor(O226,"1D","FOLLOWING","TGT")</f>
        <v>42818</v>
      </c>
      <c r="P227" s="95">
        <f ca="1"/>
        <v>-2.4455445119965632E-4</v>
      </c>
      <c r="Q227" s="5" t="s">
        <v>4</v>
      </c>
      <c r="R227" s="83" t="s">
        <v>4</v>
      </c>
    </row>
    <row r="228" spans="1:18" x14ac:dyDescent="0.25">
      <c r="A228" s="88">
        <v>214</v>
      </c>
      <c r="B228" s="82"/>
      <c r="C228" s="97">
        <f>_xll.meDateFromTenor(C227,"1D","FOLLOWING","TGT")</f>
        <v>42821</v>
      </c>
      <c r="D228" s="95">
        <f ca="1"/>
        <v>-4.133736062101101E-3</v>
      </c>
      <c r="E228" s="92"/>
      <c r="F228" s="97">
        <f>_xll.meDateFromTenor(F227,"1D","FOLLOWING","TGT")</f>
        <v>42821</v>
      </c>
      <c r="G228" s="95">
        <f ca="1"/>
        <v>-3.9189085061480874E-3</v>
      </c>
      <c r="H228" s="92" t="s">
        <v>4</v>
      </c>
      <c r="I228" s="97">
        <f>_xll.meDateFromTenor(I227,"1D","FOLLOWING","TGT")</f>
        <v>42821</v>
      </c>
      <c r="J228" s="95">
        <f ca="1"/>
        <v>-3.0176398199907896E-3</v>
      </c>
      <c r="K228" s="5" t="s">
        <v>4</v>
      </c>
      <c r="L228" s="97">
        <f>_xll.meDateFromTenor(L227,"1D","FOLLOWING","TGT")</f>
        <v>42821</v>
      </c>
      <c r="M228" s="95">
        <f ca="1"/>
        <v>-1.7321572606136281E-3</v>
      </c>
      <c r="N228" s="5" t="s">
        <v>4</v>
      </c>
      <c r="O228" s="97">
        <f>_xll.meDateFromTenor(O227,"1D","FOLLOWING","TGT")</f>
        <v>42821</v>
      </c>
      <c r="P228" s="95">
        <f ca="1"/>
        <v>-2.4264924524611161E-4</v>
      </c>
      <c r="Q228" s="5" t="s">
        <v>4</v>
      </c>
      <c r="R228" s="83" t="s">
        <v>4</v>
      </c>
    </row>
    <row r="229" spans="1:18" x14ac:dyDescent="0.25">
      <c r="A229" s="88">
        <v>215</v>
      </c>
      <c r="B229" s="82"/>
      <c r="C229" s="97">
        <f>_xll.meDateFromTenor(C228,"1D","FOLLOWING","TGT")</f>
        <v>42822</v>
      </c>
      <c r="D229" s="95">
        <f ca="1"/>
        <v>-4.1357954271334929E-3</v>
      </c>
      <c r="E229" s="92"/>
      <c r="F229" s="97">
        <f>_xll.meDateFromTenor(F228,"1D","FOLLOWING","TGT")</f>
        <v>42822</v>
      </c>
      <c r="G229" s="95">
        <f ca="1"/>
        <v>-3.920308066057949E-3</v>
      </c>
      <c r="H229" s="92" t="s">
        <v>4</v>
      </c>
      <c r="I229" s="97">
        <f>_xll.meDateFromTenor(I228,"1D","FOLLOWING","TGT")</f>
        <v>42822</v>
      </c>
      <c r="J229" s="95">
        <f ca="1"/>
        <v>-3.0182203165954398E-3</v>
      </c>
      <c r="K229" s="5" t="s">
        <v>4</v>
      </c>
      <c r="L229" s="97">
        <f>_xll.meDateFromTenor(L228,"1D","FOLLOWING","TGT")</f>
        <v>42822</v>
      </c>
      <c r="M229" s="95">
        <f ca="1"/>
        <v>-1.7326578260341158E-3</v>
      </c>
      <c r="N229" s="5" t="s">
        <v>4</v>
      </c>
      <c r="O229" s="97">
        <f>_xll.meDateFromTenor(O228,"1D","FOLLOWING","TGT")</f>
        <v>42822</v>
      </c>
      <c r="P229" s="95">
        <f ca="1"/>
        <v>-2.4199483196627169E-4</v>
      </c>
      <c r="Q229" s="5" t="s">
        <v>4</v>
      </c>
      <c r="R229" s="83" t="s">
        <v>4</v>
      </c>
    </row>
    <row r="230" spans="1:18" x14ac:dyDescent="0.25">
      <c r="A230" s="88">
        <v>216</v>
      </c>
      <c r="B230" s="82"/>
      <c r="C230" s="97">
        <f>_xll.meDateFromTenor(C229,"1D","FOLLOWING","TGT")</f>
        <v>42823</v>
      </c>
      <c r="D230" s="95">
        <f ca="1"/>
        <v>-4.1378242348957261E-3</v>
      </c>
      <c r="E230" s="92"/>
      <c r="F230" s="97">
        <f>_xll.meDateFromTenor(F229,"1D","FOLLOWING","TGT")</f>
        <v>42823</v>
      </c>
      <c r="G230" s="95">
        <f ca="1"/>
        <v>-3.9217140888977578E-3</v>
      </c>
      <c r="H230" s="92" t="s">
        <v>4</v>
      </c>
      <c r="I230" s="97">
        <f>_xll.meDateFromTenor(I229,"1D","FOLLOWING","TGT")</f>
        <v>42823</v>
      </c>
      <c r="J230" s="95">
        <f ca="1"/>
        <v>-3.0188008048359009E-3</v>
      </c>
      <c r="K230" s="5" t="s">
        <v>4</v>
      </c>
      <c r="L230" s="97">
        <f>_xll.meDateFromTenor(L229,"1D","FOLLOWING","TGT")</f>
        <v>42823</v>
      </c>
      <c r="M230" s="95">
        <f ca="1"/>
        <v>-1.7331572453419888E-3</v>
      </c>
      <c r="N230" s="5" t="s">
        <v>4</v>
      </c>
      <c r="O230" s="97">
        <f>_xll.meDateFromTenor(O229,"1D","FOLLOWING","TGT")</f>
        <v>42823</v>
      </c>
      <c r="P230" s="95">
        <f ca="1"/>
        <v>-2.4133069204926777E-4</v>
      </c>
      <c r="Q230" s="5" t="s">
        <v>4</v>
      </c>
      <c r="R230" s="83" t="s">
        <v>4</v>
      </c>
    </row>
    <row r="231" spans="1:18" x14ac:dyDescent="0.25">
      <c r="A231" s="88">
        <v>217</v>
      </c>
      <c r="B231" s="82"/>
      <c r="C231" s="97">
        <f>_xll.meDateFromTenor(C230,"1D","FOLLOWING","TGT")</f>
        <v>42824</v>
      </c>
      <c r="D231" s="95">
        <f ca="1"/>
        <v>-4.139822486608824E-3</v>
      </c>
      <c r="E231" s="92"/>
      <c r="F231" s="97">
        <f>_xll.meDateFromTenor(F230,"1D","FOLLOWING","TGT")</f>
        <v>42824</v>
      </c>
      <c r="G231" s="95">
        <f ca="1"/>
        <v>-3.9231274350032593E-3</v>
      </c>
      <c r="H231" s="92" t="s">
        <v>4</v>
      </c>
      <c r="I231" s="97">
        <f>_xll.meDateFromTenor(I230,"1D","FOLLOWING","TGT")</f>
        <v>42824</v>
      </c>
      <c r="J231" s="95">
        <f ca="1"/>
        <v>-3.0193812961381745E-3</v>
      </c>
      <c r="K231" s="5" t="s">
        <v>4</v>
      </c>
      <c r="L231" s="97">
        <f>_xll.meDateFromTenor(L230,"1D","FOLLOWING","TGT")</f>
        <v>42824</v>
      </c>
      <c r="M231" s="95">
        <f ca="1"/>
        <v>-1.7336555217032244E-3</v>
      </c>
      <c r="N231" s="5" t="s">
        <v>4</v>
      </c>
      <c r="O231" s="97">
        <f>_xll.meDateFromTenor(O230,"1D","FOLLOWING","TGT")</f>
        <v>42824</v>
      </c>
      <c r="P231" s="95">
        <f ca="1"/>
        <v>-2.4065679290139873E-4</v>
      </c>
      <c r="Q231" s="5" t="s">
        <v>4</v>
      </c>
      <c r="R231" s="83" t="s">
        <v>4</v>
      </c>
    </row>
    <row r="232" spans="1:18" x14ac:dyDescent="0.25">
      <c r="A232" s="88">
        <v>218</v>
      </c>
      <c r="B232" s="82"/>
      <c r="C232" s="97">
        <f>_xll.meDateFromTenor(C231,"1D","FOLLOWING","TGT")</f>
        <v>42825</v>
      </c>
      <c r="D232" s="95">
        <f ca="1"/>
        <v>-4.1417901838891602E-3</v>
      </c>
      <c r="E232" s="92"/>
      <c r="F232" s="97">
        <f>_xll.meDateFromTenor(F231,"1D","FOLLOWING","TGT")</f>
        <v>42825</v>
      </c>
      <c r="G232" s="95">
        <f ca="1"/>
        <v>-3.9245489647102031E-3</v>
      </c>
      <c r="H232" s="92" t="s">
        <v>4</v>
      </c>
      <c r="I232" s="97">
        <f>_xll.meDateFromTenor(I231,"1D","FOLLOWING","TGT")</f>
        <v>42825</v>
      </c>
      <c r="J232" s="95">
        <f ca="1"/>
        <v>-3.0199617896819993E-3</v>
      </c>
      <c r="K232" s="5" t="s">
        <v>4</v>
      </c>
      <c r="L232" s="97">
        <f>_xll.meDateFromTenor(L231,"1D","FOLLOWING","TGT")</f>
        <v>42825</v>
      </c>
      <c r="M232" s="95">
        <f ca="1"/>
        <v>-1.7341526582837978E-3</v>
      </c>
      <c r="N232" s="5" t="s">
        <v>4</v>
      </c>
      <c r="O232" s="97">
        <f>_xll.meDateFromTenor(O231,"1D","FOLLOWING","TGT")</f>
        <v>42825</v>
      </c>
      <c r="P232" s="95">
        <f ca="1"/>
        <v>-2.3997310192896393E-4</v>
      </c>
      <c r="Q232" s="5" t="s">
        <v>4</v>
      </c>
      <c r="R232" s="83" t="s">
        <v>4</v>
      </c>
    </row>
    <row r="233" spans="1:18" x14ac:dyDescent="0.25">
      <c r="A233" s="88">
        <v>219</v>
      </c>
      <c r="B233" s="82"/>
      <c r="C233" s="97">
        <f>_xll.meDateFromTenor(C232,"1D","FOLLOWING","TGT")</f>
        <v>42828</v>
      </c>
      <c r="D233" s="95">
        <f ca="1"/>
        <v>-4.1475099650557512E-3</v>
      </c>
      <c r="E233" s="92"/>
      <c r="F233" s="97">
        <f>_xll.meDateFromTenor(F232,"1D","FOLLOWING","TGT")</f>
        <v>42828</v>
      </c>
      <c r="G233" s="95">
        <f ca="1"/>
        <v>-3.9288712587971543E-3</v>
      </c>
      <c r="H233" s="92" t="s">
        <v>4</v>
      </c>
      <c r="I233" s="97">
        <f>_xll.meDateFromTenor(I232,"1D","FOLLOWING","TGT")</f>
        <v>42828</v>
      </c>
      <c r="J233" s="95">
        <f ca="1"/>
        <v>-3.0217032668704781E-3</v>
      </c>
      <c r="K233" s="5" t="s">
        <v>4</v>
      </c>
      <c r="L233" s="97">
        <f>_xll.meDateFromTenor(L232,"1D","FOLLOWING","TGT")</f>
        <v>42828</v>
      </c>
      <c r="M233" s="95">
        <f ca="1"/>
        <v>-1.7356372610013117E-3</v>
      </c>
      <c r="N233" s="5" t="s">
        <v>4</v>
      </c>
      <c r="O233" s="97">
        <f>_xll.meDateFromTenor(O232,"1D","FOLLOWING","TGT")</f>
        <v>42828</v>
      </c>
      <c r="P233" s="95">
        <f ca="1"/>
        <v>-2.3786295212725473E-4</v>
      </c>
      <c r="Q233" s="5" t="s">
        <v>4</v>
      </c>
      <c r="R233" s="83" t="s">
        <v>4</v>
      </c>
    </row>
    <row r="234" spans="1:18" x14ac:dyDescent="0.25">
      <c r="A234" s="88">
        <v>220</v>
      </c>
      <c r="B234" s="82"/>
      <c r="C234" s="97">
        <f>_xll.meDateFromTenor(C233,"1D","FOLLOWING","TGT")</f>
        <v>42829</v>
      </c>
      <c r="D234" s="95">
        <f ca="1"/>
        <v>-4.1493554602740623E-3</v>
      </c>
      <c r="E234" s="92"/>
      <c r="F234" s="97">
        <f>_xll.meDateFromTenor(F233,"1D","FOLLOWING","TGT")</f>
        <v>42829</v>
      </c>
      <c r="G234" s="95">
        <f ca="1"/>
        <v>-3.9303338876946325E-3</v>
      </c>
      <c r="H234" s="92" t="s">
        <v>4</v>
      </c>
      <c r="I234" s="97">
        <f>_xll.meDateFromTenor(I233,"1D","FOLLOWING","TGT")</f>
        <v>42829</v>
      </c>
      <c r="J234" s="95">
        <f ca="1"/>
        <v>-3.0222837593731644E-3</v>
      </c>
      <c r="K234" s="5" t="s">
        <v>4</v>
      </c>
      <c r="L234" s="97">
        <f>_xll.meDateFromTenor(L233,"1D","FOLLOWING","TGT")</f>
        <v>42829</v>
      </c>
      <c r="M234" s="95">
        <f ca="1"/>
        <v>-1.7361298701190017E-3</v>
      </c>
      <c r="N234" s="5" t="s">
        <v>4</v>
      </c>
      <c r="O234" s="97">
        <f>_xll.meDateFromTenor(O233,"1D","FOLLOWING","TGT")</f>
        <v>42829</v>
      </c>
      <c r="P234" s="95">
        <f ca="1"/>
        <v>-2.371397679195471E-4</v>
      </c>
      <c r="Q234" s="5" t="s">
        <v>4</v>
      </c>
      <c r="R234" s="83" t="s">
        <v>4</v>
      </c>
    </row>
    <row r="235" spans="1:18" x14ac:dyDescent="0.25">
      <c r="A235" s="88">
        <v>221</v>
      </c>
      <c r="B235" s="82"/>
      <c r="C235" s="97">
        <f>_xll.meDateFromTenor(C234,"1D","FOLLOWING","TGT")</f>
        <v>42830</v>
      </c>
      <c r="D235" s="95">
        <f ca="1"/>
        <v>-4.1511704090193557E-3</v>
      </c>
      <c r="E235" s="92"/>
      <c r="F235" s="97">
        <f>_xll.meDateFromTenor(F234,"1D","FOLLOWING","TGT")</f>
        <v>42830</v>
      </c>
      <c r="G235" s="95">
        <f ca="1"/>
        <v>-3.9318075704360645E-3</v>
      </c>
      <c r="H235" s="92" t="s">
        <v>4</v>
      </c>
      <c r="I235" s="97">
        <f>_xll.meDateFromTenor(I234,"1D","FOLLOWING","TGT")</f>
        <v>42830</v>
      </c>
      <c r="J235" s="95">
        <f ca="1"/>
        <v>-3.0228642518175895E-3</v>
      </c>
      <c r="K235" s="5" t="s">
        <v>4</v>
      </c>
      <c r="L235" s="97">
        <f>_xll.meDateFromTenor(L234,"1D","FOLLOWING","TGT")</f>
        <v>42830</v>
      </c>
      <c r="M235" s="95">
        <f ca="1"/>
        <v>-1.7366213552859116E-3</v>
      </c>
      <c r="N235" s="5" t="s">
        <v>4</v>
      </c>
      <c r="O235" s="97">
        <f>_xll.meDateFromTenor(O234,"1D","FOLLOWING","TGT")</f>
        <v>42830</v>
      </c>
      <c r="P235" s="95">
        <f ca="1"/>
        <v>-2.3640662891876899E-4</v>
      </c>
      <c r="Q235" s="5" t="s">
        <v>4</v>
      </c>
      <c r="R235" s="83" t="s">
        <v>4</v>
      </c>
    </row>
    <row r="236" spans="1:18" x14ac:dyDescent="0.25">
      <c r="A236" s="88">
        <v>222</v>
      </c>
      <c r="B236" s="82"/>
      <c r="C236" s="97">
        <f>_xll.meDateFromTenor(C235,"1D","FOLLOWING","TGT")</f>
        <v>42831</v>
      </c>
      <c r="D236" s="95">
        <f ca="1"/>
        <v>-4.1529548124932258E-3</v>
      </c>
      <c r="E236" s="92"/>
      <c r="F236" s="97">
        <f>_xll.meDateFromTenor(F235,"1D","FOLLOWING","TGT")</f>
        <v>42831</v>
      </c>
      <c r="G236" s="95">
        <f ca="1"/>
        <v>-3.9332917359209719E-3</v>
      </c>
      <c r="H236" s="92" t="s">
        <v>4</v>
      </c>
      <c r="I236" s="97">
        <f>_xll.meDateFromTenor(I235,"1D","FOLLOWING","TGT")</f>
        <v>42831</v>
      </c>
      <c r="J236" s="95">
        <f ca="1"/>
        <v>-3.0234447442190689E-3</v>
      </c>
      <c r="K236" s="5" t="s">
        <v>4</v>
      </c>
      <c r="L236" s="97">
        <f>_xll.meDateFromTenor(L235,"1D","FOLLOWING","TGT")</f>
        <v>42831</v>
      </c>
      <c r="M236" s="95">
        <f ca="1"/>
        <v>-1.7371117196680178E-3</v>
      </c>
      <c r="N236" s="5" t="s">
        <v>4</v>
      </c>
      <c r="O236" s="97">
        <f>_xll.meDateFromTenor(O235,"1D","FOLLOWING","TGT")</f>
        <v>42831</v>
      </c>
      <c r="P236" s="95">
        <f ca="1"/>
        <v>-2.3566350253121938E-4</v>
      </c>
      <c r="Q236" s="5" t="s">
        <v>4</v>
      </c>
      <c r="R236" s="83" t="s">
        <v>4</v>
      </c>
    </row>
    <row r="237" spans="1:18" x14ac:dyDescent="0.25">
      <c r="A237" s="88">
        <v>223</v>
      </c>
      <c r="B237" s="82"/>
      <c r="C237" s="97">
        <f>_xll.meDateFromTenor(C236,"1D","FOLLOWING","TGT")</f>
        <v>42832</v>
      </c>
      <c r="D237" s="95">
        <f ca="1"/>
        <v>-4.1547086726900773E-3</v>
      </c>
      <c r="E237" s="92"/>
      <c r="F237" s="97">
        <f>_xll.meDateFromTenor(F236,"1D","FOLLOWING","TGT")</f>
        <v>42832</v>
      </c>
      <c r="G237" s="95">
        <f ca="1"/>
        <v>-3.9347858130488762E-3</v>
      </c>
      <c r="H237" s="92" t="s">
        <v>4</v>
      </c>
      <c r="I237" s="97">
        <f>_xll.meDateFromTenor(I236,"1D","FOLLOWING","TGT")</f>
        <v>42832</v>
      </c>
      <c r="J237" s="95">
        <f ca="1"/>
        <v>-3.02402523663596E-3</v>
      </c>
      <c r="K237" s="5" t="s">
        <v>4</v>
      </c>
      <c r="L237" s="97">
        <f>_xll.meDateFromTenor(L236,"1D","FOLLOWING","TGT")</f>
        <v>42832</v>
      </c>
      <c r="M237" s="95">
        <f ca="1"/>
        <v>-1.7376009664312967E-3</v>
      </c>
      <c r="N237" s="5" t="s">
        <v>4</v>
      </c>
      <c r="O237" s="97">
        <f>_xll.meDateFromTenor(O236,"1D","FOLLOWING","TGT")</f>
        <v>42832</v>
      </c>
      <c r="P237" s="95">
        <f ca="1"/>
        <v>-2.3491035616319747E-4</v>
      </c>
      <c r="Q237" s="5" t="s">
        <v>4</v>
      </c>
      <c r="R237" s="83" t="s">
        <v>4</v>
      </c>
    </row>
    <row r="238" spans="1:18" x14ac:dyDescent="0.25">
      <c r="A238" s="88">
        <v>224</v>
      </c>
      <c r="B238" s="82"/>
      <c r="C238" s="97">
        <f>_xll.meDateFromTenor(C237,"1D","FOLLOWING","TGT")</f>
        <v>42835</v>
      </c>
      <c r="D238" s="95">
        <f ca="1"/>
        <v>-4.1597870071147236E-3</v>
      </c>
      <c r="E238" s="92"/>
      <c r="F238" s="97">
        <f>_xll.meDateFromTenor(F237,"1D","FOLLOWING","TGT")</f>
        <v>42835</v>
      </c>
      <c r="G238" s="95">
        <f ca="1"/>
        <v>-3.9393218032857946E-3</v>
      </c>
      <c r="H238" s="92" t="s">
        <v>4</v>
      </c>
      <c r="I238" s="97">
        <f>_xll.meDateFromTenor(I237,"1D","FOLLOWING","TGT")</f>
        <v>42835</v>
      </c>
      <c r="J238" s="95">
        <f ca="1"/>
        <v>-3.0257667139107444E-3</v>
      </c>
      <c r="K238" s="5" t="s">
        <v>4</v>
      </c>
      <c r="L238" s="97">
        <f>_xll.meDateFromTenor(L237,"1D","FOLLOWING","TGT")</f>
        <v>42835</v>
      </c>
      <c r="M238" s="95">
        <f ca="1"/>
        <v>-1.7390620326679334E-3</v>
      </c>
      <c r="N238" s="5" t="s">
        <v>4</v>
      </c>
      <c r="O238" s="97">
        <f>_xll.meDateFromTenor(O237,"1D","FOLLOWING","TGT")</f>
        <v>42835</v>
      </c>
      <c r="P238" s="95">
        <f ca="1"/>
        <v>-2.3259047123928842E-4</v>
      </c>
      <c r="Q238" s="5" t="s">
        <v>4</v>
      </c>
      <c r="R238" s="83" t="s">
        <v>4</v>
      </c>
    </row>
    <row r="239" spans="1:18" x14ac:dyDescent="0.25">
      <c r="A239" s="88">
        <v>225</v>
      </c>
      <c r="B239" s="82"/>
      <c r="C239" s="97">
        <f>_xll.meDateFromTenor(C238,"1D","FOLLOWING","TGT")</f>
        <v>42836</v>
      </c>
      <c r="D239" s="95">
        <f ca="1"/>
        <v>-4.1614187083225396E-3</v>
      </c>
      <c r="E239" s="92"/>
      <c r="F239" s="97">
        <f>_xll.meDateFromTenor(F238,"1D","FOLLOWING","TGT")</f>
        <v>42836</v>
      </c>
      <c r="G239" s="95">
        <f ca="1"/>
        <v>-3.9408498159809093E-3</v>
      </c>
      <c r="H239" s="92" t="s">
        <v>4</v>
      </c>
      <c r="I239" s="97">
        <f>_xll.meDateFromTenor(I238,"1D","FOLLOWING","TGT")</f>
        <v>42836</v>
      </c>
      <c r="J239" s="95">
        <f ca="1"/>
        <v>-3.0263472063335678E-3</v>
      </c>
      <c r="K239" s="5" t="s">
        <v>4</v>
      </c>
      <c r="L239" s="97">
        <f>_xll.meDateFromTenor(L238,"1D","FOLLOWING","TGT")</f>
        <v>42836</v>
      </c>
      <c r="M239" s="95">
        <f ca="1"/>
        <v>-1.7395468406156665E-3</v>
      </c>
      <c r="N239" s="5" t="s">
        <v>4</v>
      </c>
      <c r="O239" s="97">
        <f>_xll.meDateFromTenor(O238,"1D","FOLLOWING","TGT")</f>
        <v>42836</v>
      </c>
      <c r="P239" s="95">
        <f ca="1"/>
        <v>-2.317969190123679E-4</v>
      </c>
      <c r="Q239" s="5" t="s">
        <v>4</v>
      </c>
      <c r="R239" s="83" t="s">
        <v>4</v>
      </c>
    </row>
    <row r="240" spans="1:18" x14ac:dyDescent="0.25">
      <c r="A240" s="88">
        <v>226</v>
      </c>
      <c r="B240" s="82"/>
      <c r="C240" s="97">
        <f>_xll.meDateFromTenor(C239,"1D","FOLLOWING","TGT")</f>
        <v>42837</v>
      </c>
      <c r="D240" s="95">
        <f ca="1"/>
        <v>-4.1630198740748581E-3</v>
      </c>
      <c r="E240" s="92"/>
      <c r="F240" s="97">
        <f>_xll.meDateFromTenor(F239,"1D","FOLLOWING","TGT")</f>
        <v>42837</v>
      </c>
      <c r="G240" s="95">
        <f ca="1"/>
        <v>-3.9423848848166333E-3</v>
      </c>
      <c r="H240" s="92" t="s">
        <v>4</v>
      </c>
      <c r="I240" s="97">
        <f>_xll.meDateFromTenor(I239,"1D","FOLLOWING","TGT")</f>
        <v>42837</v>
      </c>
      <c r="J240" s="95">
        <f ca="1"/>
        <v>-3.0269276987568454E-3</v>
      </c>
      <c r="K240" s="5" t="s">
        <v>4</v>
      </c>
      <c r="L240" s="97">
        <f>_xll.meDateFromTenor(L239,"1D","FOLLOWING","TGT")</f>
        <v>42837</v>
      </c>
      <c r="M240" s="95">
        <f ca="1"/>
        <v>-1.7400305467744537E-3</v>
      </c>
      <c r="N240" s="5" t="s">
        <v>4</v>
      </c>
      <c r="O240" s="97">
        <f>_xll.meDateFromTenor(O239,"1D","FOLLOWING","TGT")</f>
        <v>42837</v>
      </c>
      <c r="P240" s="95">
        <f ca="1"/>
        <v>-2.3099318383647046E-4</v>
      </c>
      <c r="Q240" s="5" t="s">
        <v>4</v>
      </c>
      <c r="R240" s="83" t="s">
        <v>4</v>
      </c>
    </row>
    <row r="241" spans="1:18" x14ac:dyDescent="0.25">
      <c r="A241" s="88">
        <v>227</v>
      </c>
      <c r="B241" s="82"/>
      <c r="C241" s="97">
        <f>_xll.meDateFromTenor(C240,"1D","FOLLOWING","TGT")</f>
        <v>42838</v>
      </c>
      <c r="D241" s="95">
        <f ca="1"/>
        <v>-4.1645905053145915E-3</v>
      </c>
      <c r="E241" s="92"/>
      <c r="F241" s="97">
        <f>_xll.meDateFromTenor(F240,"1D","FOLLOWING","TGT")</f>
        <v>42838</v>
      </c>
      <c r="G241" s="95">
        <f ca="1"/>
        <v>-3.9439264386924855E-3</v>
      </c>
      <c r="H241" s="92" t="s">
        <v>4</v>
      </c>
      <c r="I241" s="97">
        <f>_xll.meDateFromTenor(I240,"1D","FOLLOWING","TGT")</f>
        <v>42838</v>
      </c>
      <c r="J241" s="95">
        <f ca="1"/>
        <v>-3.0275081911793193E-3</v>
      </c>
      <c r="K241" s="5" t="s">
        <v>4</v>
      </c>
      <c r="L241" s="97">
        <f>_xll.meDateFromTenor(L240,"1D","FOLLOWING","TGT")</f>
        <v>42838</v>
      </c>
      <c r="M241" s="95">
        <f ca="1"/>
        <v>-1.7405131543102718E-3</v>
      </c>
      <c r="N241" s="5" t="s">
        <v>4</v>
      </c>
      <c r="O241" s="97">
        <f>_xll.meDateFromTenor(O240,"1D","FOLLOWING","TGT")</f>
        <v>42838</v>
      </c>
      <c r="P241" s="95">
        <f ca="1"/>
        <v>-2.3017923311789508E-4</v>
      </c>
      <c r="Q241" s="5" t="s">
        <v>4</v>
      </c>
      <c r="R241" s="83" t="s">
        <v>4</v>
      </c>
    </row>
    <row r="242" spans="1:18" x14ac:dyDescent="0.25">
      <c r="A242" s="88">
        <v>228</v>
      </c>
      <c r="B242" s="82"/>
      <c r="C242" s="97">
        <f>_xll.meDateFromTenor(C241,"1D","FOLLOWING","TGT")</f>
        <v>42843</v>
      </c>
      <c r="D242" s="95">
        <f ca="1"/>
        <v>-4.1719857015463102E-3</v>
      </c>
      <c r="E242" s="92"/>
      <c r="F242" s="97">
        <f>_xll.meDateFromTenor(F241,"1D","FOLLOWING","TGT")</f>
        <v>42843</v>
      </c>
      <c r="G242" s="95">
        <f ca="1"/>
        <v>-3.951711495156972E-3</v>
      </c>
      <c r="H242" s="92" t="s">
        <v>4</v>
      </c>
      <c r="I242" s="97">
        <f>_xll.meDateFromTenor(I241,"1D","FOLLOWING","TGT")</f>
        <v>42843</v>
      </c>
      <c r="J242" s="95">
        <f ca="1"/>
        <v>-3.0304106532926685E-3</v>
      </c>
      <c r="K242" s="5" t="s">
        <v>4</v>
      </c>
      <c r="L242" s="97">
        <f>_xll.meDateFromTenor(L241,"1D","FOLLOWING","TGT")</f>
        <v>42843</v>
      </c>
      <c r="M242" s="95">
        <f ca="1"/>
        <v>-1.7429098234539948E-3</v>
      </c>
      <c r="N242" s="5" t="s">
        <v>4</v>
      </c>
      <c r="O242" s="97">
        <f>_xll.meDateFromTenor(O241,"1D","FOLLOWING","TGT")</f>
        <v>42843</v>
      </c>
      <c r="P242" s="95">
        <f ca="1"/>
        <v>-2.2595510560531799E-4</v>
      </c>
      <c r="Q242" s="5" t="s">
        <v>4</v>
      </c>
      <c r="R242" s="83" t="s">
        <v>4</v>
      </c>
    </row>
    <row r="243" spans="1:18" x14ac:dyDescent="0.25">
      <c r="A243" s="88">
        <v>229</v>
      </c>
      <c r="B243" s="82"/>
      <c r="C243" s="97">
        <f>_xll.meDateFromTenor(C242,"1D","FOLLOWING","TGT")</f>
        <v>42844</v>
      </c>
      <c r="D243" s="95">
        <f ca="1"/>
        <v>-4.1733731595241519E-3</v>
      </c>
      <c r="E243" s="92"/>
      <c r="F243" s="97">
        <f>_xll.meDateFromTenor(F242,"1D","FOLLOWING","TGT")</f>
        <v>42844</v>
      </c>
      <c r="G243" s="95">
        <f ca="1"/>
        <v>-3.9532799661635689E-3</v>
      </c>
      <c r="H243" s="92" t="s">
        <v>4</v>
      </c>
      <c r="I243" s="97">
        <f>_xll.meDateFromTenor(I242,"1D","FOLLOWING","TGT")</f>
        <v>42844</v>
      </c>
      <c r="J243" s="95">
        <f ca="1"/>
        <v>-3.0309911457155046E-3</v>
      </c>
      <c r="K243" s="5" t="s">
        <v>4</v>
      </c>
      <c r="L243" s="97">
        <f>_xll.meDateFromTenor(L242,"1D","FOLLOWING","TGT")</f>
        <v>42844</v>
      </c>
      <c r="M243" s="95">
        <f ca="1"/>
        <v>-1.7433859057374998E-3</v>
      </c>
      <c r="N243" s="5" t="s">
        <v>4</v>
      </c>
      <c r="O243" s="97">
        <f>_xll.meDateFromTenor(O242,"1D","FOLLOWING","TGT")</f>
        <v>42844</v>
      </c>
      <c r="P243" s="95">
        <f ca="1"/>
        <v>-2.2507917716295601E-4</v>
      </c>
      <c r="Q243" s="5" t="s">
        <v>4</v>
      </c>
      <c r="R243" s="83" t="s">
        <v>4</v>
      </c>
    </row>
    <row r="244" spans="1:18" x14ac:dyDescent="0.25">
      <c r="A244" s="88">
        <v>230</v>
      </c>
      <c r="B244" s="82"/>
      <c r="C244" s="97">
        <f>_xll.meDateFromTenor(C243,"1D","FOLLOWING","TGT")</f>
        <v>42845</v>
      </c>
      <c r="D244" s="95">
        <f ca="1"/>
        <v>-4.1747300938496101E-3</v>
      </c>
      <c r="E244" s="92"/>
      <c r="F244" s="97">
        <f>_xll.meDateFromTenor(F243,"1D","FOLLOWING","TGT")</f>
        <v>42845</v>
      </c>
      <c r="G244" s="95">
        <f ca="1"/>
        <v>-3.9548509245069486E-3</v>
      </c>
      <c r="H244" s="92" t="s">
        <v>4</v>
      </c>
      <c r="I244" s="97">
        <f>_xll.meDateFromTenor(I243,"1D","FOLLOWING","TGT")</f>
        <v>42845</v>
      </c>
      <c r="J244" s="95">
        <f ca="1"/>
        <v>-3.0315716381385384E-3</v>
      </c>
      <c r="K244" s="5" t="s">
        <v>4</v>
      </c>
      <c r="L244" s="97">
        <f>_xll.meDateFromTenor(L243,"1D","FOLLOWING","TGT")</f>
        <v>42845</v>
      </c>
      <c r="M244" s="95">
        <f ca="1"/>
        <v>-1.7438609115598702E-3</v>
      </c>
      <c r="N244" s="5" t="s">
        <v>4</v>
      </c>
      <c r="O244" s="97">
        <f>_xll.meDateFromTenor(O243,"1D","FOLLOWING","TGT")</f>
        <v>42845</v>
      </c>
      <c r="P244" s="95">
        <f ca="1"/>
        <v>-2.2419280502200973E-4</v>
      </c>
      <c r="Q244" s="5" t="s">
        <v>4</v>
      </c>
      <c r="R244" s="83" t="s">
        <v>4</v>
      </c>
    </row>
    <row r="245" spans="1:18" x14ac:dyDescent="0.25">
      <c r="A245" s="88">
        <v>231</v>
      </c>
      <c r="B245" s="82"/>
      <c r="C245" s="97">
        <f>_xll.meDateFromTenor(C244,"1D","FOLLOWING","TGT")</f>
        <v>42846</v>
      </c>
      <c r="D245" s="95">
        <f ca="1"/>
        <v>-4.1760565062789468E-3</v>
      </c>
      <c r="E245" s="92"/>
      <c r="F245" s="97">
        <f>_xll.meDateFromTenor(F244,"1D","FOLLOWING","TGT")</f>
        <v>42846</v>
      </c>
      <c r="G245" s="95">
        <f ca="1"/>
        <v>-3.9564237990866368E-3</v>
      </c>
      <c r="H245" s="92" t="s">
        <v>4</v>
      </c>
      <c r="I245" s="97">
        <f>_xll.meDateFromTenor(I244,"1D","FOLLOWING","TGT")</f>
        <v>42846</v>
      </c>
      <c r="J245" s="95">
        <f ca="1"/>
        <v>-3.0321521305613974E-3</v>
      </c>
      <c r="K245" s="5" t="s">
        <v>4</v>
      </c>
      <c r="L245" s="97">
        <f>_xll.meDateFromTenor(L244,"1D","FOLLOWING","TGT")</f>
        <v>42846</v>
      </c>
      <c r="M245" s="95">
        <f ca="1"/>
        <v>-1.7443348440870821E-3</v>
      </c>
      <c r="N245" s="5" t="s">
        <v>4</v>
      </c>
      <c r="O245" s="97">
        <f>_xll.meDateFromTenor(O244,"1D","FOLLOWING","TGT")</f>
        <v>42846</v>
      </c>
      <c r="P245" s="95">
        <f ca="1"/>
        <v>-2.2329595658877822E-4</v>
      </c>
      <c r="Q245" s="5" t="s">
        <v>4</v>
      </c>
      <c r="R245" s="83" t="s">
        <v>4</v>
      </c>
    </row>
    <row r="246" spans="1:18" x14ac:dyDescent="0.25">
      <c r="A246" s="88">
        <v>232</v>
      </c>
      <c r="B246" s="82"/>
      <c r="C246" s="97">
        <f>_xll.meDateFromTenor(C245,"1D","FOLLOWING","TGT")</f>
        <v>42849</v>
      </c>
      <c r="D246" s="95">
        <f ca="1"/>
        <v>-4.1798526265669489E-3</v>
      </c>
      <c r="E246" s="92"/>
      <c r="F246" s="97">
        <f>_xll.meDateFromTenor(F245,"1D","FOLLOWING","TGT")</f>
        <v>42849</v>
      </c>
      <c r="G246" s="95">
        <f ca="1"/>
        <v>-3.9611482092387603E-3</v>
      </c>
      <c r="H246" s="92" t="s">
        <v>4</v>
      </c>
      <c r="I246" s="97">
        <f>_xll.meDateFromTenor(I245,"1D","FOLLOWING","TGT")</f>
        <v>42849</v>
      </c>
      <c r="J246" s="95">
        <f ca="1"/>
        <v>-3.0338936078312608E-3</v>
      </c>
      <c r="K246" s="5" t="s">
        <v>4</v>
      </c>
      <c r="L246" s="97">
        <f>_xll.meDateFromTenor(L245,"1D","FOLLOWING","TGT")</f>
        <v>42849</v>
      </c>
      <c r="M246" s="95">
        <f ca="1"/>
        <v>-1.7457502335575296E-3</v>
      </c>
      <c r="N246" s="5" t="s">
        <v>4</v>
      </c>
      <c r="O246" s="97">
        <f>_xll.meDateFromTenor(O245,"1D","FOLLOWING","TGT")</f>
        <v>42849</v>
      </c>
      <c r="P246" s="95">
        <f ca="1"/>
        <v>-2.2054222759836301E-4</v>
      </c>
      <c r="Q246" s="5" t="s">
        <v>4</v>
      </c>
      <c r="R246" s="83" t="s">
        <v>4</v>
      </c>
    </row>
    <row r="247" spans="1:18" x14ac:dyDescent="0.25">
      <c r="A247" s="88">
        <v>233</v>
      </c>
      <c r="B247" s="82"/>
      <c r="C247" s="97">
        <f>_xll.meDateFromTenor(C246,"1D","FOLLOWING","TGT")</f>
        <v>42850</v>
      </c>
      <c r="D247" s="95">
        <f ca="1"/>
        <v>-4.1810569660927221E-3</v>
      </c>
      <c r="E247" s="92"/>
      <c r="F247" s="97">
        <f>_xll.meDateFromTenor(F246,"1D","FOLLOWING","TGT")</f>
        <v>42850</v>
      </c>
      <c r="G247" s="95">
        <f ca="1"/>
        <v>-3.9627230377588937E-3</v>
      </c>
      <c r="H247" s="92" t="s">
        <v>4</v>
      </c>
      <c r="I247" s="97">
        <f>_xll.meDateFromTenor(I246,"1D","FOLLOWING","TGT")</f>
        <v>42850</v>
      </c>
      <c r="J247" s="95">
        <f ca="1"/>
        <v>-3.0344741002540287E-3</v>
      </c>
      <c r="K247" s="5" t="s">
        <v>4</v>
      </c>
      <c r="L247" s="97">
        <f>_xll.meDateFromTenor(L246,"1D","FOLLOWING","TGT")</f>
        <v>42850</v>
      </c>
      <c r="M247" s="95">
        <f ca="1"/>
        <v>-1.7462199045638702E-3</v>
      </c>
      <c r="N247" s="5" t="s">
        <v>4</v>
      </c>
      <c r="O247" s="97">
        <f>_xll.meDateFromTenor(O246,"1D","FOLLOWING","TGT")</f>
        <v>42850</v>
      </c>
      <c r="P247" s="95">
        <f ca="1"/>
        <v>-2.1960314805898127E-4</v>
      </c>
      <c r="Q247" s="5" t="s">
        <v>4</v>
      </c>
      <c r="R247" s="83" t="s">
        <v>4</v>
      </c>
    </row>
    <row r="248" spans="1:18" x14ac:dyDescent="0.25">
      <c r="A248" s="88">
        <v>234</v>
      </c>
      <c r="B248" s="82"/>
      <c r="C248" s="97">
        <f>_xll.meDateFromTenor(C247,"1D","FOLLOWING","TGT")</f>
        <v>42851</v>
      </c>
      <c r="D248" s="95">
        <f ca="1"/>
        <v>-4.1822307912677825E-3</v>
      </c>
      <c r="E248" s="92"/>
      <c r="F248" s="97">
        <f>_xll.meDateFromTenor(F247,"1D","FOLLOWING","TGT")</f>
        <v>42851</v>
      </c>
      <c r="G248" s="95">
        <f ca="1"/>
        <v>-3.9642969270129473E-3</v>
      </c>
      <c r="H248" s="92" t="s">
        <v>4</v>
      </c>
      <c r="I248" s="97">
        <f>_xll.meDateFromTenor(I247,"1D","FOLLOWING","TGT")</f>
        <v>42851</v>
      </c>
      <c r="J248" s="95">
        <f ca="1"/>
        <v>-3.0350545926764502E-3</v>
      </c>
      <c r="K248" s="5" t="s">
        <v>4</v>
      </c>
      <c r="L248" s="97">
        <f>_xll.meDateFromTenor(L247,"1D","FOLLOWING","TGT")</f>
        <v>42851</v>
      </c>
      <c r="M248" s="95">
        <f ca="1"/>
        <v>-1.7466885181049343E-3</v>
      </c>
      <c r="N248" s="5" t="s">
        <v>4</v>
      </c>
      <c r="O248" s="97">
        <f>_xll.meDateFromTenor(O247,"1D","FOLLOWING","TGT")</f>
        <v>42851</v>
      </c>
      <c r="P248" s="95">
        <f ca="1"/>
        <v>-2.1865342925880965E-4</v>
      </c>
      <c r="Q248" s="5" t="s">
        <v>4</v>
      </c>
      <c r="R248" s="83" t="s">
        <v>4</v>
      </c>
    </row>
    <row r="249" spans="1:18" x14ac:dyDescent="0.25">
      <c r="A249" s="88">
        <v>235</v>
      </c>
      <c r="B249" s="82"/>
      <c r="C249" s="97">
        <f>_xll.meDateFromTenor(C248,"1D","FOLLOWING","TGT")</f>
        <v>42852</v>
      </c>
      <c r="D249" s="95">
        <f ca="1"/>
        <v>-4.1833741035925964E-3</v>
      </c>
      <c r="E249" s="92"/>
      <c r="F249" s="97">
        <f>_xll.meDateFromTenor(F248,"1D","FOLLOWING","TGT")</f>
        <v>42852</v>
      </c>
      <c r="G249" s="95">
        <f ca="1"/>
        <v>-3.9658693059004381E-3</v>
      </c>
      <c r="H249" s="92" t="s">
        <v>4</v>
      </c>
      <c r="I249" s="97">
        <f>_xll.meDateFromTenor(I248,"1D","FOLLOWING","TGT")</f>
        <v>42852</v>
      </c>
      <c r="J249" s="95">
        <f ca="1"/>
        <v>-3.0356350850989592E-3</v>
      </c>
      <c r="K249" s="5" t="s">
        <v>4</v>
      </c>
      <c r="L249" s="97">
        <f>_xll.meDateFromTenor(L248,"1D","FOLLOWING","TGT")</f>
        <v>42852</v>
      </c>
      <c r="M249" s="95">
        <f ca="1"/>
        <v>-1.7471560773466975E-3</v>
      </c>
      <c r="N249" s="5" t="s">
        <v>4</v>
      </c>
      <c r="O249" s="97">
        <f>_xll.meDateFromTenor(O248,"1D","FOLLOWING","TGT")</f>
        <v>42852</v>
      </c>
      <c r="P249" s="95">
        <f ca="1"/>
        <v>-2.1769303860414731E-4</v>
      </c>
      <c r="Q249" s="5" t="s">
        <v>4</v>
      </c>
      <c r="R249" s="83" t="s">
        <v>4</v>
      </c>
    </row>
    <row r="250" spans="1:18" x14ac:dyDescent="0.25">
      <c r="A250" s="88">
        <v>236</v>
      </c>
      <c r="B250" s="82"/>
      <c r="C250" s="97">
        <f>_xll.meDateFromTenor(C249,"1D","FOLLOWING","TGT")</f>
        <v>42853</v>
      </c>
      <c r="D250" s="95">
        <f ca="1"/>
        <v>-4.1844869044858068E-3</v>
      </c>
      <c r="E250" s="92"/>
      <c r="F250" s="97">
        <f>_xll.meDateFromTenor(F249,"1D","FOLLOWING","TGT")</f>
        <v>42853</v>
      </c>
      <c r="G250" s="95">
        <f ca="1"/>
        <v>-3.9674396033208903E-3</v>
      </c>
      <c r="H250" s="92" t="s">
        <v>4</v>
      </c>
      <c r="I250" s="97">
        <f>_xll.meDateFromTenor(I249,"1D","FOLLOWING","TGT")</f>
        <v>42853</v>
      </c>
      <c r="J250" s="95">
        <f ca="1"/>
        <v>-3.0362155775218451E-3</v>
      </c>
      <c r="K250" s="5" t="s">
        <v>4</v>
      </c>
      <c r="L250" s="97">
        <f>_xll.meDateFromTenor(L249,"1D","FOLLOWING","TGT")</f>
        <v>42853</v>
      </c>
      <c r="M250" s="95">
        <f ca="1"/>
        <v>-1.7476225854551365E-3</v>
      </c>
      <c r="N250" s="5" t="s">
        <v>4</v>
      </c>
      <c r="O250" s="97">
        <f>_xll.meDateFromTenor(O249,"1D","FOLLOWING","TGT")</f>
        <v>42853</v>
      </c>
      <c r="P250" s="95">
        <f ca="1"/>
        <v>-2.167219435012933E-4</v>
      </c>
      <c r="Q250" s="5" t="s">
        <v>4</v>
      </c>
      <c r="R250" s="83" t="s">
        <v>4</v>
      </c>
    </row>
    <row r="251" spans="1:18" x14ac:dyDescent="0.25">
      <c r="A251" s="88">
        <v>237</v>
      </c>
      <c r="B251" s="82"/>
      <c r="C251" s="97">
        <f>_xll.meDateFromTenor(C250,"1D","FOLLOWING","TGT")</f>
        <v>42857</v>
      </c>
      <c r="D251" s="95">
        <f ca="1"/>
        <v>-4.18863302455319E-3</v>
      </c>
      <c r="E251" s="92"/>
      <c r="F251" s="97">
        <f>_xll.meDateFromTenor(F250,"1D","FOLLOWING","TGT")</f>
        <v>42857</v>
      </c>
      <c r="G251" s="95">
        <f ca="1"/>
        <v>-3.9736885563227556E-3</v>
      </c>
      <c r="H251" s="92" t="s">
        <v>4</v>
      </c>
      <c r="I251" s="97">
        <f>_xll.meDateFromTenor(I250,"1D","FOLLOWING","TGT")</f>
        <v>42857</v>
      </c>
      <c r="J251" s="95">
        <f ca="1"/>
        <v>-3.0385375472131966E-3</v>
      </c>
      <c r="K251" s="5" t="s">
        <v>4</v>
      </c>
      <c r="L251" s="97">
        <f>_xll.meDateFromTenor(L250,"1D","FOLLOWING","TGT")</f>
        <v>42857</v>
      </c>
      <c r="M251" s="95">
        <f ca="1"/>
        <v>-1.7494781698751774E-3</v>
      </c>
      <c r="N251" s="5" t="s">
        <v>4</v>
      </c>
      <c r="O251" s="97">
        <f>_xll.meDateFromTenor(O250,"1D","FOLLOWING","TGT")</f>
        <v>42857</v>
      </c>
      <c r="P251" s="95">
        <f ca="1"/>
        <v>-2.1272986673394169E-4</v>
      </c>
      <c r="Q251" s="5" t="s">
        <v>4</v>
      </c>
      <c r="R251" s="83" t="s">
        <v>4</v>
      </c>
    </row>
    <row r="252" spans="1:18" x14ac:dyDescent="0.25">
      <c r="A252" s="88">
        <v>238</v>
      </c>
      <c r="B252" s="82"/>
      <c r="C252" s="97">
        <f>_xll.meDateFromTenor(C251,"1D","FOLLOWING","TGT")</f>
        <v>42858</v>
      </c>
      <c r="D252" s="95">
        <f ca="1"/>
        <v>-4.1895932912534573E-3</v>
      </c>
      <c r="E252" s="92"/>
      <c r="F252" s="97">
        <f>_xll.meDateFromTenor(F251,"1D","FOLLOWING","TGT")</f>
        <v>42858</v>
      </c>
      <c r="G252" s="95">
        <f ca="1"/>
        <v>-3.9752399296979829E-3</v>
      </c>
      <c r="H252" s="92" t="s">
        <v>4</v>
      </c>
      <c r="I252" s="97">
        <f>_xll.meDateFromTenor(I251,"1D","FOLLOWING","TGT")</f>
        <v>42858</v>
      </c>
      <c r="J252" s="95">
        <f ca="1"/>
        <v>-3.0391180396431862E-3</v>
      </c>
      <c r="K252" s="5" t="s">
        <v>4</v>
      </c>
      <c r="L252" s="97">
        <f>_xll.meDateFromTenor(L251,"1D","FOLLOWING","TGT")</f>
        <v>42858</v>
      </c>
      <c r="M252" s="95">
        <f ca="1"/>
        <v>-1.7499394698066403E-3</v>
      </c>
      <c r="N252" s="5" t="s">
        <v>4</v>
      </c>
      <c r="O252" s="97">
        <f>_xll.meDateFromTenor(O251,"1D","FOLLOWING","TGT")</f>
        <v>42858</v>
      </c>
      <c r="P252" s="95">
        <f ca="1"/>
        <v>-2.1170476048461536E-4</v>
      </c>
      <c r="Q252" s="5" t="s">
        <v>4</v>
      </c>
      <c r="R252" s="83" t="s">
        <v>4</v>
      </c>
    </row>
    <row r="253" spans="1:18" x14ac:dyDescent="0.25">
      <c r="A253" s="88">
        <v>239</v>
      </c>
      <c r="B253" s="82"/>
      <c r="C253" s="97">
        <f>_xll.meDateFromTenor(C252,"1D","FOLLOWING","TGT")</f>
        <v>42859</v>
      </c>
      <c r="D253" s="95">
        <f ca="1"/>
        <v>-4.1905230555296935E-3</v>
      </c>
      <c r="E253" s="92"/>
      <c r="F253" s="97">
        <f>_xll.meDateFromTenor(F252,"1D","FOLLOWING","TGT")</f>
        <v>42859</v>
      </c>
      <c r="G253" s="95">
        <f ca="1"/>
        <v>-3.9767860937861207E-3</v>
      </c>
      <c r="H253" s="92" t="s">
        <v>4</v>
      </c>
      <c r="I253" s="97">
        <f>_xll.meDateFromTenor(I252,"1D","FOLLOWING","TGT")</f>
        <v>42859</v>
      </c>
      <c r="J253" s="95">
        <f ca="1"/>
        <v>-3.0396985320602391E-3</v>
      </c>
      <c r="K253" s="5" t="s">
        <v>4</v>
      </c>
      <c r="L253" s="97">
        <f>_xll.meDateFromTenor(L252,"1D","FOLLOWING","TGT")</f>
        <v>42859</v>
      </c>
      <c r="M253" s="95">
        <f ca="1"/>
        <v>-1.7503997376006374E-3</v>
      </c>
      <c r="N253" s="5" t="s">
        <v>4</v>
      </c>
      <c r="O253" s="97">
        <f>_xll.meDateFromTenor(O252,"1D","FOLLOWING","TGT")</f>
        <v>42859</v>
      </c>
      <c r="P253" s="95">
        <f ca="1"/>
        <v>-2.1066875422489178E-4</v>
      </c>
      <c r="Q253" s="5" t="s">
        <v>4</v>
      </c>
      <c r="R253" s="83" t="s">
        <v>4</v>
      </c>
    </row>
    <row r="254" spans="1:18" x14ac:dyDescent="0.25">
      <c r="A254" s="88">
        <v>240</v>
      </c>
      <c r="B254" s="82"/>
      <c r="C254" s="97">
        <f>_xll.meDateFromTenor(C253,"1D","FOLLOWING","TGT")</f>
        <v>42860</v>
      </c>
      <c r="D254" s="95">
        <f ca="1"/>
        <v>-4.1914223190987476E-3</v>
      </c>
      <c r="E254" s="92"/>
      <c r="F254" s="97">
        <f>_xll.meDateFromTenor(F253,"1D","FOLLOWING","TGT")</f>
        <v>42860</v>
      </c>
      <c r="G254" s="95">
        <f ca="1"/>
        <v>-3.9783267762695121E-3</v>
      </c>
      <c r="H254" s="92" t="s">
        <v>4</v>
      </c>
      <c r="I254" s="97">
        <f>_xll.meDateFromTenor(I253,"1D","FOLLOWING","TGT")</f>
        <v>42860</v>
      </c>
      <c r="J254" s="95">
        <f ca="1"/>
        <v>-3.0402790244590198E-3</v>
      </c>
      <c r="K254" s="5" t="s">
        <v>4</v>
      </c>
      <c r="L254" s="97">
        <f>_xll.meDateFromTenor(L253,"1D","FOLLOWING","TGT")</f>
        <v>42860</v>
      </c>
      <c r="M254" s="95">
        <f ca="1"/>
        <v>-1.7508589764231443E-3</v>
      </c>
      <c r="N254" s="5" t="s">
        <v>4</v>
      </c>
      <c r="O254" s="97">
        <f>_xll.meDateFromTenor(O253,"1D","FOLLOWING","TGT")</f>
        <v>42860</v>
      </c>
      <c r="P254" s="95">
        <f ca="1"/>
        <v>-2.0962181536107009E-4</v>
      </c>
      <c r="Q254" s="5" t="s">
        <v>4</v>
      </c>
      <c r="R254" s="83" t="s">
        <v>4</v>
      </c>
    </row>
    <row r="255" spans="1:18" x14ac:dyDescent="0.25">
      <c r="A255" s="88">
        <v>241</v>
      </c>
      <c r="B255" s="82"/>
      <c r="C255" s="97">
        <f>_xll.meDateFromTenor(C254,"1D","FOLLOWING","TGT")</f>
        <v>42863</v>
      </c>
      <c r="D255" s="95">
        <f ca="1"/>
        <v>-4.1939371196676456E-3</v>
      </c>
      <c r="E255" s="92"/>
      <c r="F255" s="97">
        <f>_xll.meDateFromTenor(F254,"1D","FOLLOWING","TGT")</f>
        <v>42863</v>
      </c>
      <c r="G255" s="95">
        <f ca="1"/>
        <v>-3.9829132109145968E-3</v>
      </c>
      <c r="H255" s="92" t="s">
        <v>4</v>
      </c>
      <c r="I255" s="97">
        <f>_xll.meDateFromTenor(I254,"1D","FOLLOWING","TGT")</f>
        <v>42863</v>
      </c>
      <c r="J255" s="95">
        <f ca="1"/>
        <v>-3.0420205017509254E-3</v>
      </c>
      <c r="K255" s="5" t="s">
        <v>4</v>
      </c>
      <c r="L255" s="97">
        <f>_xll.meDateFromTenor(L254,"1D","FOLLOWING","TGT")</f>
        <v>42863</v>
      </c>
      <c r="M255" s="95">
        <f ca="1"/>
        <v>-1.7522305507214893E-3</v>
      </c>
      <c r="N255" s="5" t="s">
        <v>4</v>
      </c>
      <c r="O255" s="97">
        <f>_xll.meDateFromTenor(O254,"1D","FOLLOWING","TGT")</f>
        <v>42863</v>
      </c>
      <c r="P255" s="95">
        <f ca="1"/>
        <v>-2.0641507720800688E-4</v>
      </c>
      <c r="Q255" s="5" t="s">
        <v>4</v>
      </c>
      <c r="R255" s="83" t="s">
        <v>4</v>
      </c>
    </row>
    <row r="256" spans="1:18" x14ac:dyDescent="0.25">
      <c r="A256" s="88">
        <v>242</v>
      </c>
      <c r="B256" s="82"/>
      <c r="C256" s="97">
        <f>_xll.meDateFromTenor(C255,"1D","FOLLOWING","TGT")</f>
        <v>42864</v>
      </c>
      <c r="D256" s="95">
        <f ca="1"/>
        <v>-4.1947143948563026E-3</v>
      </c>
      <c r="E256" s="92"/>
      <c r="F256" s="97">
        <f>_xll.meDateFromTenor(F255,"1D","FOLLOWING","TGT")</f>
        <v>42864</v>
      </c>
      <c r="G256" s="95">
        <f ca="1"/>
        <v>-3.9844292438023969E-3</v>
      </c>
      <c r="H256" s="92" t="s">
        <v>4</v>
      </c>
      <c r="I256" s="97">
        <f>_xll.meDateFromTenor(I255,"1D","FOLLOWING","TGT")</f>
        <v>42864</v>
      </c>
      <c r="J256" s="95">
        <f ca="1"/>
        <v>-3.0426009938454091E-3</v>
      </c>
      <c r="K256" s="5" t="s">
        <v>4</v>
      </c>
      <c r="L256" s="97">
        <f>_xll.meDateFromTenor(L255,"1D","FOLLOWING","TGT")</f>
        <v>42864</v>
      </c>
      <c r="M256" s="95">
        <f ca="1"/>
        <v>-1.7526857053178002E-3</v>
      </c>
      <c r="N256" s="5" t="s">
        <v>4</v>
      </c>
      <c r="O256" s="97">
        <f>_xll.meDateFromTenor(O255,"1D","FOLLOWING","TGT")</f>
        <v>42864</v>
      </c>
      <c r="P256" s="95">
        <f ca="1"/>
        <v>-2.0532408199078336E-4</v>
      </c>
      <c r="Q256" s="5" t="s">
        <v>4</v>
      </c>
      <c r="R256" s="83" t="s">
        <v>4</v>
      </c>
    </row>
    <row r="257" spans="1:18" x14ac:dyDescent="0.25">
      <c r="A257" s="88">
        <v>243</v>
      </c>
      <c r="B257" s="82"/>
      <c r="C257" s="97">
        <f>_xll.meDateFromTenor(C256,"1D","FOLLOWING","TGT")</f>
        <v>42865</v>
      </c>
      <c r="D257" s="95">
        <f ca="1"/>
        <v>-4.1954611766873429E-3</v>
      </c>
      <c r="E257" s="92"/>
      <c r="F257" s="97">
        <f>_xll.meDateFromTenor(F256,"1D","FOLLOWING","TGT")</f>
        <v>42865</v>
      </c>
      <c r="G257" s="95">
        <f ca="1"/>
        <v>-3.9859384334971501E-3</v>
      </c>
      <c r="H257" s="92" t="s">
        <v>4</v>
      </c>
      <c r="I257" s="97">
        <f>_xll.meDateFromTenor(I256,"1D","FOLLOWING","TGT")</f>
        <v>42865</v>
      </c>
      <c r="J257" s="95">
        <f ca="1"/>
        <v>-3.0431814865958923E-3</v>
      </c>
      <c r="K257" s="5" t="s">
        <v>4</v>
      </c>
      <c r="L257" s="97">
        <f>_xll.meDateFromTenor(L256,"1D","FOLLOWING","TGT")</f>
        <v>42865</v>
      </c>
      <c r="M257" s="95">
        <f ca="1"/>
        <v>-1.7531398467725027E-3</v>
      </c>
      <c r="N257" s="5" t="s">
        <v>4</v>
      </c>
      <c r="O257" s="97">
        <f>_xll.meDateFromTenor(O256,"1D","FOLLOWING","TGT")</f>
        <v>42865</v>
      </c>
      <c r="P257" s="95">
        <f ca="1"/>
        <v>-2.0422199120095707E-4</v>
      </c>
      <c r="Q257" s="5" t="s">
        <v>4</v>
      </c>
      <c r="R257" s="83" t="s">
        <v>4</v>
      </c>
    </row>
    <row r="258" spans="1:18" x14ac:dyDescent="0.25">
      <c r="A258" s="88">
        <v>244</v>
      </c>
      <c r="B258" s="82"/>
      <c r="C258" s="97">
        <f>_xll.meDateFromTenor(C257,"1D","FOLLOWING","TGT")</f>
        <v>42866</v>
      </c>
      <c r="D258" s="95">
        <f ca="1"/>
        <v>-4.1961774665423279E-3</v>
      </c>
      <c r="E258" s="92"/>
      <c r="F258" s="97">
        <f>_xll.meDateFromTenor(F257,"1D","FOLLOWING","TGT")</f>
        <v>42866</v>
      </c>
      <c r="G258" s="95">
        <f ca="1"/>
        <v>-3.9874405076811949E-3</v>
      </c>
      <c r="H258" s="92" t="s">
        <v>4</v>
      </c>
      <c r="I258" s="97">
        <f>_xll.meDateFromTenor(I257,"1D","FOLLOWING","TGT")</f>
        <v>42866</v>
      </c>
      <c r="J258" s="95">
        <f ca="1"/>
        <v>-3.043761980243117E-3</v>
      </c>
      <c r="K258" s="5" t="s">
        <v>4</v>
      </c>
      <c r="L258" s="97">
        <f>_xll.meDateFromTenor(L257,"1D","FOLLOWING","TGT")</f>
        <v>42866</v>
      </c>
      <c r="M258" s="95">
        <f ca="1"/>
        <v>-1.7535929782515739E-3</v>
      </c>
      <c r="N258" s="5" t="s">
        <v>4</v>
      </c>
      <c r="O258" s="97">
        <f>_xll.meDateFromTenor(O257,"1D","FOLLOWING","TGT")</f>
        <v>42866</v>
      </c>
      <c r="P258" s="95">
        <f ca="1"/>
        <v>-2.0310877224482713E-4</v>
      </c>
      <c r="Q258" s="5" t="s">
        <v>4</v>
      </c>
      <c r="R258" s="83" t="s">
        <v>4</v>
      </c>
    </row>
    <row r="259" spans="1:18" x14ac:dyDescent="0.25">
      <c r="A259" s="88">
        <v>245</v>
      </c>
      <c r="B259" s="82"/>
      <c r="C259" s="97">
        <f>_xll.meDateFromTenor(C258,"1D","FOLLOWING","TGT")</f>
        <v>42867</v>
      </c>
      <c r="D259" s="95">
        <f ca="1"/>
        <v>-4.1968632661585348E-3</v>
      </c>
      <c r="E259" s="92"/>
      <c r="F259" s="97">
        <f>_xll.meDateFromTenor(F258,"1D","FOLLOWING","TGT")</f>
        <v>42867</v>
      </c>
      <c r="G259" s="95">
        <f ca="1"/>
        <v>-3.9889351940368741E-3</v>
      </c>
      <c r="H259" s="92" t="s">
        <v>4</v>
      </c>
      <c r="I259" s="97">
        <f>_xll.meDateFromTenor(I258,"1D","FOLLOWING","TGT")</f>
        <v>42867</v>
      </c>
      <c r="J259" s="95">
        <f ca="1"/>
        <v>-3.0443424714419239E-3</v>
      </c>
      <c r="K259" s="5" t="s">
        <v>4</v>
      </c>
      <c r="L259" s="97">
        <f>_xll.meDateFromTenor(L258,"1D","FOLLOWING","TGT")</f>
        <v>42867</v>
      </c>
      <c r="M259" s="95">
        <f ca="1"/>
        <v>-1.7540451029209891E-3</v>
      </c>
      <c r="N259" s="5" t="s">
        <v>4</v>
      </c>
      <c r="O259" s="97">
        <f>_xll.meDateFromTenor(O258,"1D","FOLLOWING","TGT")</f>
        <v>42867</v>
      </c>
      <c r="P259" s="95">
        <f ca="1"/>
        <v>-2.0198439252869254E-4</v>
      </c>
      <c r="Q259" s="5" t="s">
        <v>4</v>
      </c>
      <c r="R259" s="83" t="s">
        <v>4</v>
      </c>
    </row>
    <row r="260" spans="1:18" x14ac:dyDescent="0.25">
      <c r="A260" s="88">
        <v>246</v>
      </c>
      <c r="B260" s="82"/>
      <c r="C260" s="97">
        <f>_xll.meDateFromTenor(C259,"1D","FOLLOWING","TGT")</f>
        <v>42870</v>
      </c>
      <c r="D260" s="95">
        <f ca="1"/>
        <v>-4.1987377373228219E-3</v>
      </c>
      <c r="E260" s="92"/>
      <c r="F260" s="97">
        <f>_xll.meDateFromTenor(F259,"1D","FOLLOWING","TGT")</f>
        <v>42870</v>
      </c>
      <c r="G260" s="95">
        <f ca="1"/>
        <v>-3.9933722029571088E-3</v>
      </c>
      <c r="H260" s="92" t="s">
        <v>4</v>
      </c>
      <c r="I260" s="97">
        <f>_xll.meDateFromTenor(I259,"1D","FOLLOWING","TGT")</f>
        <v>42870</v>
      </c>
      <c r="J260" s="95">
        <f ca="1"/>
        <v>-3.0460839657639491E-3</v>
      </c>
      <c r="K260" s="5" t="s">
        <v>4</v>
      </c>
      <c r="L260" s="97">
        <f>_xll.meDateFromTenor(L259,"1D","FOLLOWING","TGT")</f>
        <v>42870</v>
      </c>
      <c r="M260" s="95">
        <f ca="1"/>
        <v>-1.755395467731066E-3</v>
      </c>
      <c r="N260" s="5" t="s">
        <v>4</v>
      </c>
      <c r="O260" s="97">
        <f>_xll.meDateFromTenor(O259,"1D","FOLLOWING","TGT")</f>
        <v>42870</v>
      </c>
      <c r="P260" s="95">
        <f ca="1"/>
        <v>-1.9854396288325211E-4</v>
      </c>
      <c r="Q260" s="5" t="s">
        <v>4</v>
      </c>
      <c r="R260" s="83" t="s">
        <v>4</v>
      </c>
    </row>
    <row r="261" spans="1:18" x14ac:dyDescent="0.25">
      <c r="A261" s="88">
        <v>247</v>
      </c>
      <c r="B261" s="82"/>
      <c r="C261" s="97">
        <f>_xll.meDateFromTenor(C260,"1D","FOLLOWING","TGT")</f>
        <v>42871</v>
      </c>
      <c r="D261" s="95">
        <f ca="1"/>
        <v>-4.1993015900766428E-3</v>
      </c>
      <c r="E261" s="92"/>
      <c r="F261" s="97">
        <f>_xll.meDateFromTenor(F260,"1D","FOLLOWING","TGT")</f>
        <v>42871</v>
      </c>
      <c r="G261" s="95">
        <f ca="1"/>
        <v>-3.9948346148227206E-3</v>
      </c>
      <c r="H261" s="92" t="s">
        <v>4</v>
      </c>
      <c r="I261" s="97">
        <f>_xll.meDateFromTenor(I260,"1D","FOLLOWING","TGT")</f>
        <v>42871</v>
      </c>
      <c r="J261" s="95">
        <f ca="1"/>
        <v>-3.046664441133053E-3</v>
      </c>
      <c r="K261" s="5" t="s">
        <v>4</v>
      </c>
      <c r="L261" s="97">
        <f>_xll.meDateFromTenor(L260,"1D","FOLLOWING","TGT")</f>
        <v>42871</v>
      </c>
      <c r="M261" s="95">
        <f ca="1"/>
        <v>-1.7558435968216227E-3</v>
      </c>
      <c r="N261" s="5" t="s">
        <v>4</v>
      </c>
      <c r="O261" s="97">
        <f>_xll.meDateFromTenor(O260,"1D","FOLLOWING","TGT")</f>
        <v>42871</v>
      </c>
      <c r="P261" s="95">
        <f ca="1"/>
        <v>-1.9737461419008998E-4</v>
      </c>
      <c r="Q261" s="5" t="s">
        <v>4</v>
      </c>
      <c r="R261" s="83" t="s">
        <v>4</v>
      </c>
    </row>
    <row r="262" spans="1:18" x14ac:dyDescent="0.25">
      <c r="A262" s="88">
        <v>248</v>
      </c>
      <c r="B262" s="82"/>
      <c r="C262" s="97">
        <f>_xll.meDateFromTenor(C261,"1D","FOLLOWING","TGT")</f>
        <v>42872</v>
      </c>
      <c r="D262" s="95">
        <f ca="1"/>
        <v>-4.1998349600022022E-3</v>
      </c>
      <c r="E262" s="92"/>
      <c r="F262" s="97">
        <f>_xll.meDateFromTenor(F261,"1D","FOLLOWING","TGT")</f>
        <v>42872</v>
      </c>
      <c r="G262" s="95">
        <f ca="1"/>
        <v>-3.9962882772716654E-3</v>
      </c>
      <c r="H262" s="92" t="s">
        <v>4</v>
      </c>
      <c r="I262" s="97">
        <f>_xll.meDateFromTenor(I261,"1D","FOLLOWING","TGT")</f>
        <v>42872</v>
      </c>
      <c r="J262" s="95">
        <f ca="1"/>
        <v>-3.0472448699119447E-3</v>
      </c>
      <c r="K262" s="5" t="s">
        <v>4</v>
      </c>
      <c r="L262" s="97">
        <f>_xll.meDateFromTenor(L261,"1D","FOLLOWING","TGT")</f>
        <v>42872</v>
      </c>
      <c r="M262" s="95">
        <f ca="1"/>
        <v>-1.7562907349324055E-3</v>
      </c>
      <c r="N262" s="5" t="s">
        <v>4</v>
      </c>
      <c r="O262" s="97">
        <f>_xll.meDateFromTenor(O261,"1D","FOLLOWING","TGT")</f>
        <v>42872</v>
      </c>
      <c r="P262" s="95">
        <f ca="1"/>
        <v>-1.9619394176841864E-4</v>
      </c>
      <c r="Q262" s="5" t="s">
        <v>4</v>
      </c>
      <c r="R262" s="83" t="s">
        <v>4</v>
      </c>
    </row>
    <row r="263" spans="1:18" x14ac:dyDescent="0.25">
      <c r="A263" s="88">
        <v>249</v>
      </c>
      <c r="B263" s="82"/>
      <c r="C263" s="97">
        <f>_xll.meDateFromTenor(C262,"1D","FOLLOWING","TGT")</f>
        <v>42873</v>
      </c>
      <c r="D263" s="95">
        <f ca="1"/>
        <v>-4.2003378481829667E-3</v>
      </c>
      <c r="E263" s="92"/>
      <c r="F263" s="97">
        <f>_xll.meDateFromTenor(F262,"1D","FOLLOWING","TGT")</f>
        <v>42873</v>
      </c>
      <c r="G263" s="95">
        <f ca="1"/>
        <v>-3.9977329179862863E-3</v>
      </c>
      <c r="H263" s="92" t="s">
        <v>4</v>
      </c>
      <c r="I263" s="97">
        <f>_xll.meDateFromTenor(I262,"1D","FOLLOWING","TGT")</f>
        <v>42873</v>
      </c>
      <c r="J263" s="95">
        <f ca="1"/>
        <v>-3.0478254259790395E-3</v>
      </c>
      <c r="K263" s="5" t="s">
        <v>4</v>
      </c>
      <c r="L263" s="97">
        <f>_xll.meDateFromTenor(L262,"1D","FOLLOWING","TGT")</f>
        <v>42873</v>
      </c>
      <c r="M263" s="95">
        <f ca="1"/>
        <v>-1.7567368852293907E-3</v>
      </c>
      <c r="N263" s="5" t="s">
        <v>4</v>
      </c>
      <c r="O263" s="97">
        <f>_xll.meDateFromTenor(O262,"1D","FOLLOWING","TGT")</f>
        <v>42873</v>
      </c>
      <c r="P263" s="95">
        <f ca="1"/>
        <v>-1.9500191302453714E-4</v>
      </c>
      <c r="Q263" s="5" t="s">
        <v>4</v>
      </c>
      <c r="R263" s="83" t="s">
        <v>4</v>
      </c>
    </row>
    <row r="264" spans="1:18" x14ac:dyDescent="0.25">
      <c r="A264" s="88">
        <v>250</v>
      </c>
      <c r="B264" s="82"/>
      <c r="C264" s="97">
        <f>_xll.meDateFromTenor(C263,"1D","FOLLOWING","TGT")</f>
        <v>42874</v>
      </c>
      <c r="D264" s="95">
        <f ca="1"/>
        <v>-4.2008102565757044E-3</v>
      </c>
      <c r="E264" s="92"/>
      <c r="F264" s="97">
        <f>_xll.meDateFromTenor(F263,"1D","FOLLOWING","TGT")</f>
        <v>42874</v>
      </c>
      <c r="G264" s="95">
        <f ca="1"/>
        <v>-3.9991682646489191E-3</v>
      </c>
      <c r="H264" s="92" t="s">
        <v>4</v>
      </c>
      <c r="I264" s="97">
        <f>_xll.meDateFromTenor(I263,"1D","FOLLOWING","TGT")</f>
        <v>42874</v>
      </c>
      <c r="J264" s="95">
        <f ca="1"/>
        <v>-3.0484061559246426E-3</v>
      </c>
      <c r="K264" s="5" t="s">
        <v>4</v>
      </c>
      <c r="L264" s="97">
        <f>_xll.meDateFromTenor(L263,"1D","FOLLOWING","TGT")</f>
        <v>42874</v>
      </c>
      <c r="M264" s="95">
        <f ca="1"/>
        <v>-1.7571820508785552E-3</v>
      </c>
      <c r="N264" s="5" t="s">
        <v>4</v>
      </c>
      <c r="O264" s="97">
        <f>_xll.meDateFromTenor(O263,"1D","FOLLOWING","TGT")</f>
        <v>42874</v>
      </c>
      <c r="P264" s="95">
        <f ca="1"/>
        <v>-1.9379849536474466E-4</v>
      </c>
      <c r="Q264" s="5" t="s">
        <v>4</v>
      </c>
      <c r="R264" s="83" t="s">
        <v>4</v>
      </c>
    </row>
    <row r="265" spans="1:18" x14ac:dyDescent="0.25">
      <c r="A265" s="88">
        <v>251</v>
      </c>
      <c r="B265" s="82"/>
      <c r="C265" s="97">
        <f>_xll.meDateFromTenor(C264,"1D","FOLLOWING","TGT")</f>
        <v>42877</v>
      </c>
      <c r="D265" s="95">
        <f ca="1"/>
        <v>-4.2020446156623148E-3</v>
      </c>
      <c r="E265" s="92"/>
      <c r="F265" s="97">
        <f>_xll.meDateFromTenor(F264,"1D","FOLLOWING","TGT")</f>
        <v>42877</v>
      </c>
      <c r="G265" s="95">
        <f ca="1"/>
        <v>-4.0034158171483045E-3</v>
      </c>
      <c r="H265" s="92" t="s">
        <v>4</v>
      </c>
      <c r="I265" s="97">
        <f>_xll.meDateFromTenor(I264,"1D","FOLLOWING","TGT")</f>
        <v>42877</v>
      </c>
      <c r="J265" s="95">
        <f ca="1"/>
        <v>-3.0501473956700566E-3</v>
      </c>
      <c r="K265" s="5" t="s">
        <v>4</v>
      </c>
      <c r="L265" s="97">
        <f>_xll.meDateFromTenor(L264,"1D","FOLLOWING","TGT")</f>
        <v>42877</v>
      </c>
      <c r="M265" s="95">
        <f ca="1"/>
        <v>-1.7585116715988852E-3</v>
      </c>
      <c r="N265" s="5" t="s">
        <v>4</v>
      </c>
      <c r="O265" s="97">
        <f>_xll.meDateFromTenor(O264,"1D","FOLLOWING","TGT")</f>
        <v>42877</v>
      </c>
      <c r="P265" s="95">
        <f ca="1"/>
        <v>-1.9011958295289154E-4</v>
      </c>
      <c r="Q265" s="5" t="s">
        <v>4</v>
      </c>
      <c r="R265" s="83" t="s">
        <v>4</v>
      </c>
    </row>
    <row r="266" spans="1:18" x14ac:dyDescent="0.25">
      <c r="A266" s="88">
        <v>252</v>
      </c>
      <c r="B266" s="82"/>
      <c r="C266" s="97">
        <f>_xll.meDateFromTenor(C265,"1D","FOLLOWING","TGT")</f>
        <v>42878</v>
      </c>
      <c r="D266" s="95">
        <f ca="1"/>
        <v>-4.2023951182820207E-3</v>
      </c>
      <c r="E266" s="92"/>
      <c r="F266" s="97">
        <f>_xll.meDateFromTenor(F265,"1D","FOLLOWING","TGT")</f>
        <v>42878</v>
      </c>
      <c r="G266" s="95">
        <f ca="1"/>
        <v>-4.0048112644263953E-3</v>
      </c>
      <c r="H266" s="92" t="s">
        <v>4</v>
      </c>
      <c r="I266" s="97">
        <f>_xll.meDateFromTenor(I265,"1D","FOLLOWING","TGT")</f>
        <v>42878</v>
      </c>
      <c r="J266" s="95">
        <f ca="1"/>
        <v>-3.0507311963568857E-3</v>
      </c>
      <c r="K266" s="5" t="s">
        <v>4</v>
      </c>
      <c r="L266" s="97">
        <f>_xll.meDateFromTenor(L265,"1D","FOLLOWING","TGT")</f>
        <v>42878</v>
      </c>
      <c r="M266" s="95">
        <f ca="1"/>
        <v>-1.7589529303165285E-3</v>
      </c>
      <c r="N266" s="5" t="s">
        <v>4</v>
      </c>
      <c r="O266" s="97">
        <f>_xll.meDateFromTenor(O265,"1D","FOLLOWING","TGT")</f>
        <v>42878</v>
      </c>
      <c r="P266" s="95">
        <f ca="1"/>
        <v>-1.8887028369244562E-4</v>
      </c>
      <c r="Q266" s="5" t="s">
        <v>4</v>
      </c>
      <c r="R266" s="83" t="s">
        <v>4</v>
      </c>
    </row>
    <row r="267" spans="1:18" x14ac:dyDescent="0.25">
      <c r="A267" s="88">
        <v>253</v>
      </c>
      <c r="B267" s="82"/>
      <c r="C267" s="97">
        <f>_xll.meDateFromTenor(C266,"1D","FOLLOWING","TGT")</f>
        <v>42879</v>
      </c>
      <c r="D267" s="95">
        <f ca="1"/>
        <v>-4.2027151483864378E-3</v>
      </c>
      <c r="E267" s="92"/>
      <c r="F267" s="97">
        <f>_xll.meDateFromTenor(F266,"1D","FOLLOWING","TGT")</f>
        <v>42879</v>
      </c>
      <c r="G267" s="95">
        <f ca="1"/>
        <v>-4.0061960560642011E-3</v>
      </c>
      <c r="H267" s="92" t="s">
        <v>4</v>
      </c>
      <c r="I267" s="97">
        <f>_xll.meDateFromTenor(I266,"1D","FOLLOWING","TGT")</f>
        <v>42879</v>
      </c>
      <c r="J267" s="95">
        <f ca="1"/>
        <v>-3.0513083805161711E-3</v>
      </c>
      <c r="K267" s="5" t="s">
        <v>4</v>
      </c>
      <c r="L267" s="97">
        <f>_xll.meDateFromTenor(L266,"1D","FOLLOWING","TGT")</f>
        <v>42879</v>
      </c>
      <c r="M267" s="95">
        <f ca="1"/>
        <v>-1.7593932202162321E-3</v>
      </c>
      <c r="N267" s="5" t="s">
        <v>4</v>
      </c>
      <c r="O267" s="97">
        <f>_xll.meDateFromTenor(O266,"1D","FOLLOWING","TGT")</f>
        <v>42879</v>
      </c>
      <c r="P267" s="95">
        <f ca="1"/>
        <v>-1.8760943254758405E-4</v>
      </c>
      <c r="Q267" s="5" t="s">
        <v>4</v>
      </c>
      <c r="R267" s="83" t="s">
        <v>4</v>
      </c>
    </row>
    <row r="268" spans="1:18" x14ac:dyDescent="0.25">
      <c r="A268" s="88">
        <v>254</v>
      </c>
      <c r="B268" s="82"/>
      <c r="C268" s="97">
        <f>_xll.meDateFromTenor(C267,"1D","FOLLOWING","TGT")</f>
        <v>42880</v>
      </c>
      <c r="D268" s="95">
        <f ca="1"/>
        <v>-4.2030047068406517E-3</v>
      </c>
      <c r="E268" s="92"/>
      <c r="F268" s="97">
        <f>_xll.meDateFromTenor(F267,"1D","FOLLOWING","TGT")</f>
        <v>42880</v>
      </c>
      <c r="G268" s="95">
        <f ca="1"/>
        <v>-4.0075699197440612E-3</v>
      </c>
      <c r="H268" s="92" t="s">
        <v>4</v>
      </c>
      <c r="I268" s="97">
        <f>_xll.meDateFromTenor(I267,"1D","FOLLOWING","TGT")</f>
        <v>42880</v>
      </c>
      <c r="J268" s="95">
        <f ca="1"/>
        <v>-3.0518765263305094E-3</v>
      </c>
      <c r="K268" s="5" t="s">
        <v>4</v>
      </c>
      <c r="L268" s="97">
        <f>_xll.meDateFromTenor(L267,"1D","FOLLOWING","TGT")</f>
        <v>42880</v>
      </c>
      <c r="M268" s="95">
        <f ca="1"/>
        <v>-1.7598325444639728E-3</v>
      </c>
      <c r="N268" s="5" t="s">
        <v>4</v>
      </c>
      <c r="O268" s="97">
        <f>_xll.meDateFromTenor(O267,"1D","FOLLOWING","TGT")</f>
        <v>42880</v>
      </c>
      <c r="P268" s="95">
        <f ca="1"/>
        <v>-1.8633699692460585E-4</v>
      </c>
      <c r="Q268" s="5" t="s">
        <v>4</v>
      </c>
      <c r="R268" s="83" t="s">
        <v>4</v>
      </c>
    </row>
    <row r="269" spans="1:18" x14ac:dyDescent="0.25">
      <c r="A269" s="88">
        <v>255</v>
      </c>
      <c r="B269" s="82"/>
      <c r="C269" s="97">
        <f>_xll.meDateFromTenor(C268,"1D","FOLLOWING","TGT")</f>
        <v>42881</v>
      </c>
      <c r="D269" s="95">
        <f ca="1"/>
        <v>-4.2032637957807317E-3</v>
      </c>
      <c r="E269" s="92"/>
      <c r="F269" s="97">
        <f>_xll.meDateFromTenor(F268,"1D","FOLLOWING","TGT")</f>
        <v>42881</v>
      </c>
      <c r="G269" s="95">
        <f ca="1"/>
        <v>-4.008932583148315E-3</v>
      </c>
      <c r="H269" s="92" t="s">
        <v>4</v>
      </c>
      <c r="I269" s="97">
        <f>_xll.meDateFromTenor(I268,"1D","FOLLOWING","TGT")</f>
        <v>42881</v>
      </c>
      <c r="J269" s="95">
        <f ca="1"/>
        <v>-3.0524693653622452E-3</v>
      </c>
      <c r="K269" s="5" t="s">
        <v>4</v>
      </c>
      <c r="L269" s="97">
        <f>_xll.meDateFromTenor(L268,"1D","FOLLOWING","TGT")</f>
        <v>42881</v>
      </c>
      <c r="M269" s="95">
        <f ca="1"/>
        <v>-1.7602709062257268E-3</v>
      </c>
      <c r="N269" s="5" t="s">
        <v>4</v>
      </c>
      <c r="O269" s="97">
        <f>_xll.meDateFromTenor(O268,"1D","FOLLOWING","TGT")</f>
        <v>42881</v>
      </c>
      <c r="P269" s="95">
        <f ca="1"/>
        <v>-1.8505294422981026E-4</v>
      </c>
      <c r="Q269" s="5" t="s">
        <v>4</v>
      </c>
      <c r="R269" s="83" t="s">
        <v>4</v>
      </c>
    </row>
    <row r="270" spans="1:18" x14ac:dyDescent="0.25">
      <c r="A270" s="88">
        <v>256</v>
      </c>
      <c r="B270" s="82"/>
      <c r="C270" s="97">
        <f>_xll.meDateFromTenor(C269,"1D","FOLLOWING","TGT")</f>
        <v>42884</v>
      </c>
      <c r="D270" s="95">
        <f ca="1"/>
        <v>-4.2038582576388039E-3</v>
      </c>
      <c r="E270" s="92"/>
      <c r="F270" s="97">
        <f>_xll.meDateFromTenor(F269,"1D","FOLLOWING","TGT")</f>
        <v>42884</v>
      </c>
      <c r="G270" s="95">
        <f ca="1"/>
        <v>-4.0129506485308509E-3</v>
      </c>
      <c r="H270" s="92" t="s">
        <v>4</v>
      </c>
      <c r="I270" s="97">
        <f>_xll.meDateFromTenor(I269,"1D","FOLLOWING","TGT")</f>
        <v>42884</v>
      </c>
      <c r="J270" s="95">
        <f ca="1"/>
        <v>-3.0540388765527039E-3</v>
      </c>
      <c r="K270" s="5" t="s">
        <v>4</v>
      </c>
      <c r="L270" s="97">
        <f>_xll.meDateFromTenor(L269,"1D","FOLLOWING","TGT")</f>
        <v>42884</v>
      </c>
      <c r="M270" s="95">
        <f ca="1"/>
        <v>-1.7615802482548316E-3</v>
      </c>
      <c r="N270" s="5" t="s">
        <v>4</v>
      </c>
      <c r="O270" s="97">
        <f>_xll.meDateFromTenor(O269,"1D","FOLLOWING","TGT")</f>
        <v>42884</v>
      </c>
      <c r="P270" s="95">
        <f ca="1"/>
        <v>-1.8113075777750909E-4</v>
      </c>
      <c r="Q270" s="5" t="s">
        <v>4</v>
      </c>
      <c r="R270" s="83" t="s">
        <v>4</v>
      </c>
    </row>
    <row r="271" spans="1:18" x14ac:dyDescent="0.25">
      <c r="A271" s="88">
        <v>257</v>
      </c>
      <c r="B271" s="82"/>
      <c r="C271" s="97">
        <f>_xll.meDateFromTenor(C270,"1D","FOLLOWING","TGT")</f>
        <v>42885</v>
      </c>
      <c r="D271" s="95">
        <f ca="1"/>
        <v>-4.2039954816264213E-3</v>
      </c>
      <c r="E271" s="92"/>
      <c r="F271" s="97">
        <f>_xll.meDateFromTenor(F270,"1D","FOLLOWING","TGT")</f>
        <v>42885</v>
      </c>
      <c r="G271" s="95">
        <f ca="1"/>
        <v>-4.0142657876560874E-3</v>
      </c>
      <c r="H271" s="92" t="s">
        <v>4</v>
      </c>
      <c r="I271" s="97">
        <f>_xll.meDateFromTenor(I270,"1D","FOLLOWING","TGT")</f>
        <v>42885</v>
      </c>
      <c r="J271" s="95">
        <f ca="1"/>
        <v>-3.0547913350523407E-3</v>
      </c>
      <c r="K271" s="5" t="s">
        <v>4</v>
      </c>
      <c r="L271" s="97">
        <f>_xll.meDateFromTenor(L270,"1D","FOLLOWING","TGT")</f>
        <v>42885</v>
      </c>
      <c r="M271" s="95">
        <f ca="1"/>
        <v>-1.762014791732402E-3</v>
      </c>
      <c r="N271" s="5" t="s">
        <v>4</v>
      </c>
      <c r="O271" s="97">
        <f>_xll.meDateFromTenor(O270,"1D","FOLLOWING","TGT")</f>
        <v>42885</v>
      </c>
      <c r="P271" s="95">
        <f ca="1"/>
        <v>-1.7979991085843421E-4</v>
      </c>
      <c r="Q271" s="5" t="s">
        <v>4</v>
      </c>
      <c r="R271" s="83" t="s">
        <v>4</v>
      </c>
    </row>
    <row r="272" spans="1:18" x14ac:dyDescent="0.25">
      <c r="A272" s="88">
        <v>258</v>
      </c>
      <c r="B272" s="82"/>
      <c r="C272" s="97">
        <f>_xll.meDateFromTenor(C271,"1D","FOLLOWING","TGT")</f>
        <v>42886</v>
      </c>
      <c r="D272" s="95">
        <f ca="1"/>
        <v>-4.2041022429167851E-3</v>
      </c>
      <c r="E272" s="92"/>
      <c r="F272" s="97">
        <f>_xll.meDateFromTenor(F271,"1D","FOLLOWING","TGT")</f>
        <v>42886</v>
      </c>
      <c r="G272" s="95">
        <f ca="1"/>
        <v>-4.0155683649174189E-3</v>
      </c>
      <c r="H272" s="92" t="s">
        <v>4</v>
      </c>
      <c r="I272" s="97">
        <f>_xll.meDateFromTenor(I271,"1D","FOLLOWING","TGT")</f>
        <v>42886</v>
      </c>
      <c r="J272" s="95">
        <f ca="1"/>
        <v>-3.0560136136115463E-3</v>
      </c>
      <c r="K272" s="5" t="s">
        <v>4</v>
      </c>
      <c r="L272" s="97">
        <f>_xll.meDateFromTenor(L271,"1D","FOLLOWING","TGT")</f>
        <v>42886</v>
      </c>
      <c r="M272" s="95">
        <f ca="1"/>
        <v>-1.7624483885538673E-3</v>
      </c>
      <c r="N272" s="5" t="s">
        <v>4</v>
      </c>
      <c r="O272" s="97">
        <f>_xll.meDateFromTenor(O271,"1D","FOLLOWING","TGT")</f>
        <v>42886</v>
      </c>
      <c r="P272" s="95">
        <f ca="1"/>
        <v>-1.7845728389903728E-4</v>
      </c>
      <c r="Q272" s="5" t="s">
        <v>4</v>
      </c>
      <c r="R272" s="83" t="s">
        <v>4</v>
      </c>
    </row>
    <row r="273" spans="1:18" x14ac:dyDescent="0.25">
      <c r="A273" s="88">
        <v>259</v>
      </c>
      <c r="B273" s="82"/>
      <c r="C273" s="97">
        <f>_xll.meDateFromTenor(C272,"1D","FOLLOWING","TGT")</f>
        <v>42887</v>
      </c>
      <c r="D273" s="95">
        <f ca="1"/>
        <v>-4.2041785430718681E-3</v>
      </c>
      <c r="E273" s="92"/>
      <c r="F273" s="97">
        <f>_xll.meDateFromTenor(F272,"1D","FOLLOWING","TGT")</f>
        <v>42887</v>
      </c>
      <c r="G273" s="95">
        <f ca="1"/>
        <v>-4.0168581079971866E-3</v>
      </c>
      <c r="H273" s="92" t="s">
        <v>4</v>
      </c>
      <c r="I273" s="97">
        <f>_xll.meDateFromTenor(I272,"1D","FOLLOWING","TGT")</f>
        <v>42887</v>
      </c>
      <c r="J273" s="95">
        <f ca="1"/>
        <v>-3.0559523198993286E-3</v>
      </c>
      <c r="K273" s="5" t="s">
        <v>4</v>
      </c>
      <c r="L273" s="97">
        <f>_xll.meDateFromTenor(L272,"1D","FOLLOWING","TGT")</f>
        <v>42887</v>
      </c>
      <c r="M273" s="95">
        <f ca="1"/>
        <v>-1.7628810418852039E-3</v>
      </c>
      <c r="N273" s="5" t="s">
        <v>4</v>
      </c>
      <c r="O273" s="97">
        <f>_xll.meDateFromTenor(O272,"1D","FOLLOWING","TGT")</f>
        <v>42887</v>
      </c>
      <c r="P273" s="95">
        <f ca="1"/>
        <v>-1.7710284430561723E-4</v>
      </c>
      <c r="Q273" s="5" t="s">
        <v>4</v>
      </c>
      <c r="R273" s="83" t="s">
        <v>4</v>
      </c>
    </row>
    <row r="274" spans="1:18" x14ac:dyDescent="0.25">
      <c r="A274" s="88">
        <v>260</v>
      </c>
      <c r="B274" s="82"/>
      <c r="C274" s="97">
        <f>_xll.meDateFromTenor(C273,"1D","FOLLOWING","TGT")</f>
        <v>42888</v>
      </c>
      <c r="D274" s="95">
        <f ca="1"/>
        <v>-4.2042290008624805E-3</v>
      </c>
      <c r="E274" s="92"/>
      <c r="F274" s="97">
        <f>_xll.meDateFromTenor(F273,"1D","FOLLOWING","TGT")</f>
        <v>42888</v>
      </c>
      <c r="G274" s="95">
        <f ca="1"/>
        <v>-4.0181347445777307E-3</v>
      </c>
      <c r="H274" s="92" t="s">
        <v>4</v>
      </c>
      <c r="I274" s="97">
        <f>_xll.meDateFromTenor(I273,"1D","FOLLOWING","TGT")</f>
        <v>42888</v>
      </c>
      <c r="J274" s="95">
        <f ca="1"/>
        <v>-3.0545985896766928E-3</v>
      </c>
      <c r="K274" s="5" t="s">
        <v>4</v>
      </c>
      <c r="L274" s="97">
        <f>_xll.meDateFromTenor(L273,"1D","FOLLOWING","TGT")</f>
        <v>42888</v>
      </c>
      <c r="M274" s="95">
        <f ca="1"/>
        <v>-1.7633127548923877E-3</v>
      </c>
      <c r="N274" s="5" t="s">
        <v>4</v>
      </c>
      <c r="O274" s="97">
        <f>_xll.meDateFromTenor(O273,"1D","FOLLOWING","TGT")</f>
        <v>42888</v>
      </c>
      <c r="P274" s="95">
        <f ca="1"/>
        <v>-1.7573655948447336E-4</v>
      </c>
      <c r="Q274" s="5" t="s">
        <v>4</v>
      </c>
      <c r="R274" s="83" t="s">
        <v>4</v>
      </c>
    </row>
    <row r="275" spans="1:18" x14ac:dyDescent="0.25">
      <c r="A275" s="88">
        <v>261</v>
      </c>
      <c r="B275" s="82"/>
      <c r="C275" s="97">
        <f>_xll.meDateFromTenor(C274,"1D","FOLLOWING","TGT")</f>
        <v>42891</v>
      </c>
      <c r="D275" s="95">
        <f ca="1"/>
        <v>-4.2043499990292998E-3</v>
      </c>
      <c r="E275" s="92"/>
      <c r="F275" s="97">
        <f>_xll.meDateFromTenor(F274,"1D","FOLLOWING","TGT")</f>
        <v>42891</v>
      </c>
      <c r="G275" s="95">
        <f ca="1"/>
        <v>-4.0218848436431604E-3</v>
      </c>
      <c r="H275" s="92" t="s">
        <v>4</v>
      </c>
      <c r="I275" s="97">
        <f>_xll.meDateFromTenor(I274,"1D","FOLLOWING","TGT")</f>
        <v>42891</v>
      </c>
      <c r="J275" s="95">
        <f ca="1"/>
        <v>-3.0582742895896363E-3</v>
      </c>
      <c r="K275" s="5" t="s">
        <v>4</v>
      </c>
      <c r="L275" s="97">
        <f>_xll.meDateFromTenor(L274,"1D","FOLLOWING","TGT")</f>
        <v>42891</v>
      </c>
      <c r="M275" s="95">
        <f ca="1"/>
        <v>-1.7646016908309454E-3</v>
      </c>
      <c r="N275" s="5" t="s">
        <v>4</v>
      </c>
      <c r="O275" s="97">
        <f>_xll.meDateFromTenor(O274,"1D","FOLLOWING","TGT")</f>
        <v>42891</v>
      </c>
      <c r="P275" s="95">
        <f ca="1"/>
        <v>-1.7156654367654706E-4</v>
      </c>
      <c r="Q275" s="5" t="s">
        <v>4</v>
      </c>
      <c r="R275" s="83" t="s">
        <v>4</v>
      </c>
    </row>
    <row r="276" spans="1:18" x14ac:dyDescent="0.25">
      <c r="A276" s="88">
        <v>262</v>
      </c>
      <c r="B276" s="82"/>
      <c r="C276" s="97">
        <f>_xll.meDateFromTenor(C275,"1D","FOLLOWING","TGT")</f>
        <v>42892</v>
      </c>
      <c r="D276" s="95">
        <f ca="1"/>
        <v>-4.2043848244663895E-3</v>
      </c>
      <c r="E276" s="92"/>
      <c r="F276" s="97">
        <f>_xll.meDateFromTenor(F275,"1D","FOLLOWING","TGT")</f>
        <v>42892</v>
      </c>
      <c r="G276" s="95">
        <f ca="1"/>
        <v>-4.0231084571740044E-3</v>
      </c>
      <c r="H276" s="92" t="s">
        <v>4</v>
      </c>
      <c r="I276" s="97">
        <f>_xll.meDateFromTenor(I275,"1D","FOLLOWING","TGT")</f>
        <v>42892</v>
      </c>
      <c r="J276" s="95">
        <f ca="1"/>
        <v>-3.0586830686539614E-3</v>
      </c>
      <c r="K276" s="5" t="s">
        <v>4</v>
      </c>
      <c r="L276" s="97">
        <f>_xll.meDateFromTenor(L275,"1D","FOLLOWING","TGT")</f>
        <v>42892</v>
      </c>
      <c r="M276" s="95">
        <f ca="1"/>
        <v>-1.7650288618486821E-3</v>
      </c>
      <c r="N276" s="5" t="s">
        <v>4</v>
      </c>
      <c r="O276" s="97">
        <f>_xll.meDateFromTenor(O275,"1D","FOLLOWING","TGT")</f>
        <v>42892</v>
      </c>
      <c r="P276" s="95">
        <f ca="1"/>
        <v>-1.7015287535852635E-4</v>
      </c>
      <c r="Q276" s="5" t="s">
        <v>4</v>
      </c>
      <c r="R276" s="83" t="s">
        <v>4</v>
      </c>
    </row>
    <row r="277" spans="1:18" x14ac:dyDescent="0.25">
      <c r="A277" s="88">
        <v>263</v>
      </c>
      <c r="B277" s="82"/>
      <c r="C277" s="97">
        <f>_xll.meDateFromTenor(C276,"1D","FOLLOWING","TGT")</f>
        <v>42893</v>
      </c>
      <c r="D277" s="95">
        <f ca="1"/>
        <v>-4.2044168965872375E-3</v>
      </c>
      <c r="E277" s="92"/>
      <c r="F277" s="97">
        <f>_xll.meDateFromTenor(F276,"1D","FOLLOWING","TGT")</f>
        <v>42893</v>
      </c>
      <c r="G277" s="95">
        <f ca="1"/>
        <v>-4.0243189817246519E-3</v>
      </c>
      <c r="H277" s="92" t="s">
        <v>4</v>
      </c>
      <c r="I277" s="97">
        <f>_xll.meDateFromTenor(I276,"1D","FOLLOWING","TGT")</f>
        <v>42893</v>
      </c>
      <c r="J277" s="95">
        <f ca="1"/>
        <v>-3.059435274436785E-3</v>
      </c>
      <c r="K277" s="5" t="s">
        <v>4</v>
      </c>
      <c r="L277" s="97">
        <f>_xll.meDateFromTenor(L276,"1D","FOLLOWING","TGT")</f>
        <v>42893</v>
      </c>
      <c r="M277" s="95">
        <f ca="1"/>
        <v>-1.7654545814407314E-3</v>
      </c>
      <c r="N277" s="5" t="s">
        <v>4</v>
      </c>
      <c r="O277" s="97">
        <f>_xll.meDateFromTenor(O276,"1D","FOLLOWING","TGT")</f>
        <v>42893</v>
      </c>
      <c r="P277" s="95">
        <f ca="1"/>
        <v>-1.6872740858548465E-4</v>
      </c>
      <c r="Q277" s="5" t="s">
        <v>4</v>
      </c>
      <c r="R277" s="83" t="s">
        <v>4</v>
      </c>
    </row>
    <row r="278" spans="1:18" x14ac:dyDescent="0.25">
      <c r="A278" s="88">
        <v>264</v>
      </c>
      <c r="B278" s="82"/>
      <c r="C278" s="97">
        <f>_xll.meDateFromTenor(C277,"1D","FOLLOWING","TGT")</f>
        <v>42894</v>
      </c>
      <c r="D278" s="95">
        <f ca="1"/>
        <v>-4.2044462155901297E-3</v>
      </c>
      <c r="E278" s="92"/>
      <c r="F278" s="97">
        <f>_xll.meDateFromTenor(F277,"1D","FOLLOWING","TGT")</f>
        <v>42894</v>
      </c>
      <c r="G278" s="95">
        <f ca="1"/>
        <v>-4.0255164897542743E-3</v>
      </c>
      <c r="H278" s="92" t="s">
        <v>4</v>
      </c>
      <c r="I278" s="97">
        <f>_xll.meDateFromTenor(I277,"1D","FOLLOWING","TGT")</f>
        <v>42894</v>
      </c>
      <c r="J278" s="95">
        <f ca="1"/>
        <v>-3.0600608973405672E-3</v>
      </c>
      <c r="K278" s="5" t="s">
        <v>4</v>
      </c>
      <c r="L278" s="97">
        <f>_xll.meDateFromTenor(L277,"1D","FOLLOWING","TGT")</f>
        <v>42894</v>
      </c>
      <c r="M278" s="95">
        <f ca="1"/>
        <v>-1.765878721040215E-3</v>
      </c>
      <c r="N278" s="5" t="s">
        <v>4</v>
      </c>
      <c r="O278" s="97">
        <f>_xll.meDateFromTenor(O277,"1D","FOLLOWING","TGT")</f>
        <v>42894</v>
      </c>
      <c r="P278" s="95">
        <f ca="1"/>
        <v>-1.6729016319902277E-4</v>
      </c>
      <c r="Q278" s="5" t="s">
        <v>4</v>
      </c>
      <c r="R278" s="83" t="s">
        <v>4</v>
      </c>
    </row>
    <row r="279" spans="1:18" x14ac:dyDescent="0.25">
      <c r="A279" s="88">
        <v>265</v>
      </c>
      <c r="B279" s="82"/>
      <c r="C279" s="97">
        <f>_xll.meDateFromTenor(C278,"1D","FOLLOWING","TGT")</f>
        <v>42895</v>
      </c>
      <c r="D279" s="95">
        <f ca="1"/>
        <v>-4.2044727813959071E-3</v>
      </c>
      <c r="E279" s="92"/>
      <c r="F279" s="97">
        <f>_xll.meDateFromTenor(F278,"1D","FOLLOWING","TGT")</f>
        <v>42895</v>
      </c>
      <c r="G279" s="95">
        <f ca="1"/>
        <v>-4.0267010537220439E-3</v>
      </c>
      <c r="H279" s="92" t="s">
        <v>4</v>
      </c>
      <c r="I279" s="97">
        <f>_xll.meDateFromTenor(I278,"1D","FOLLOWING","TGT")</f>
        <v>42895</v>
      </c>
      <c r="J279" s="95">
        <f ca="1"/>
        <v>-3.0605962592824732E-3</v>
      </c>
      <c r="K279" s="5" t="s">
        <v>4</v>
      </c>
      <c r="L279" s="97">
        <f>_xll.meDateFromTenor(L278,"1D","FOLLOWING","TGT")</f>
        <v>42895</v>
      </c>
      <c r="M279" s="95">
        <f ca="1"/>
        <v>-1.7663011520802556E-3</v>
      </c>
      <c r="N279" s="5" t="s">
        <v>4</v>
      </c>
      <c r="O279" s="97">
        <f>_xll.meDateFromTenor(O278,"1D","FOLLOWING","TGT")</f>
        <v>42895</v>
      </c>
      <c r="P279" s="95">
        <f ca="1"/>
        <v>-1.6584115904074191E-4</v>
      </c>
      <c r="Q279" s="5" t="s">
        <v>4</v>
      </c>
      <c r="R279" s="83" t="s">
        <v>4</v>
      </c>
    </row>
    <row r="280" spans="1:18" x14ac:dyDescent="0.25">
      <c r="A280" s="88">
        <v>266</v>
      </c>
      <c r="B280" s="82"/>
      <c r="C280" s="97">
        <f>_xll.meDateFromTenor(C279,"1D","FOLLOWING","TGT")</f>
        <v>42898</v>
      </c>
      <c r="D280" s="95">
        <f ca="1"/>
        <v>-4.2045359616236233E-3</v>
      </c>
      <c r="E280" s="92"/>
      <c r="F280" s="97">
        <f>_xll.meDateFromTenor(F279,"1D","FOLLOWING","TGT")</f>
        <v>42898</v>
      </c>
      <c r="G280" s="95">
        <f ca="1"/>
        <v>-4.0301778058459536E-3</v>
      </c>
      <c r="H280" s="92" t="s">
        <v>4</v>
      </c>
      <c r="I280" s="97">
        <f>_xll.meDateFromTenor(I279,"1D","FOLLOWING","TGT")</f>
        <v>42898</v>
      </c>
      <c r="J280" s="95">
        <f ca="1"/>
        <v>-3.0623278403243775E-3</v>
      </c>
      <c r="K280" s="5" t="s">
        <v>4</v>
      </c>
      <c r="L280" s="97">
        <f>_xll.meDateFromTenor(L279,"1D","FOLLOWING","TGT")</f>
        <v>42898</v>
      </c>
      <c r="M280" s="95">
        <f ca="1"/>
        <v>-1.7675569081749374E-3</v>
      </c>
      <c r="N280" s="5" t="s">
        <v>4</v>
      </c>
      <c r="O280" s="97">
        <f>_xll.meDateFromTenor(O279,"1D","FOLLOWING","TGT")</f>
        <v>42898</v>
      </c>
      <c r="P280" s="95">
        <f ca="1"/>
        <v>-1.6142379235099374E-4</v>
      </c>
      <c r="Q280" s="5" t="s">
        <v>4</v>
      </c>
      <c r="R280" s="83" t="s">
        <v>4</v>
      </c>
    </row>
    <row r="281" spans="1:18" x14ac:dyDescent="0.25">
      <c r="A281" s="88">
        <v>267</v>
      </c>
      <c r="B281" s="82"/>
      <c r="C281" s="97">
        <f>_xll.meDateFromTenor(C280,"1D","FOLLOWING","TGT")</f>
        <v>42899</v>
      </c>
      <c r="D281" s="95">
        <f ca="1"/>
        <v>-4.2045515162354441E-3</v>
      </c>
      <c r="E281" s="92"/>
      <c r="F281" s="97">
        <f>_xll.meDateFromTenor(F280,"1D","FOLLOWING","TGT")</f>
        <v>42899</v>
      </c>
      <c r="G281" s="95">
        <f ca="1"/>
        <v>-4.0313113181580287E-3</v>
      </c>
      <c r="H281" s="92" t="s">
        <v>4</v>
      </c>
      <c r="I281" s="97">
        <f>_xll.meDateFromTenor(I280,"1D","FOLLOWING","TGT")</f>
        <v>42899</v>
      </c>
      <c r="J281" s="95">
        <f ca="1"/>
        <v>-3.0629182289733507E-3</v>
      </c>
      <c r="K281" s="5" t="s">
        <v>4</v>
      </c>
      <c r="L281" s="97">
        <f>_xll.meDateFromTenor(L280,"1D","FOLLOWING","TGT")</f>
        <v>42899</v>
      </c>
      <c r="M281" s="95">
        <f ca="1"/>
        <v>-1.7679712193084251E-3</v>
      </c>
      <c r="N281" s="5" t="s">
        <v>4</v>
      </c>
      <c r="O281" s="97">
        <f>_xll.meDateFromTenor(O280,"1D","FOLLOWING","TGT")</f>
        <v>42899</v>
      </c>
      <c r="P281" s="95">
        <f ca="1"/>
        <v>-1.5992795152144589E-4</v>
      </c>
      <c r="Q281" s="5" t="s">
        <v>4</v>
      </c>
      <c r="R281" s="83" t="s">
        <v>4</v>
      </c>
    </row>
    <row r="282" spans="1:18" x14ac:dyDescent="0.25">
      <c r="A282" s="88">
        <v>268</v>
      </c>
      <c r="B282" s="82"/>
      <c r="C282" s="97">
        <f>_xll.meDateFromTenor(C281,"1D","FOLLOWING","TGT")</f>
        <v>42900</v>
      </c>
      <c r="D282" s="95">
        <f ca="1"/>
        <v>-4.2045643184073223E-3</v>
      </c>
      <c r="E282" s="92"/>
      <c r="F282" s="97">
        <f>_xll.meDateFromTenor(F281,"1D","FOLLOWING","TGT")</f>
        <v>42900</v>
      </c>
      <c r="G282" s="95">
        <f ca="1"/>
        <v>-4.0324322487041101E-3</v>
      </c>
      <c r="H282" s="92" t="s">
        <v>4</v>
      </c>
      <c r="I282" s="97">
        <f>_xll.meDateFromTenor(I281,"1D","FOLLOWING","TGT")</f>
        <v>42900</v>
      </c>
      <c r="J282" s="95">
        <f ca="1"/>
        <v>-3.0635706590942981E-3</v>
      </c>
      <c r="K282" s="5" t="s">
        <v>4</v>
      </c>
      <c r="L282" s="97">
        <f>_xll.meDateFromTenor(L281,"1D","FOLLOWING","TGT")</f>
        <v>42900</v>
      </c>
      <c r="M282" s="95">
        <f ca="1"/>
        <v>-1.7683831790480801E-3</v>
      </c>
      <c r="N282" s="5" t="s">
        <v>4</v>
      </c>
      <c r="O282" s="97">
        <f>_xll.meDateFromTenor(O281,"1D","FOLLOWING","TGT")</f>
        <v>42900</v>
      </c>
      <c r="P282" s="95">
        <f ca="1"/>
        <v>-1.5842045112808361E-4</v>
      </c>
      <c r="Q282" s="5" t="s">
        <v>4</v>
      </c>
      <c r="R282" s="83" t="s">
        <v>4</v>
      </c>
    </row>
    <row r="283" spans="1:18" x14ac:dyDescent="0.25">
      <c r="A283" s="88">
        <v>269</v>
      </c>
      <c r="B283" s="82"/>
      <c r="C283" s="97">
        <f>_xll.meDateFromTenor(C282,"1D","FOLLOWING","TGT")</f>
        <v>42901</v>
      </c>
      <c r="D283" s="95">
        <f ca="1"/>
        <v>-4.2045743685772408E-3</v>
      </c>
      <c r="E283" s="92"/>
      <c r="F283" s="97">
        <f>_xll.meDateFromTenor(F282,"1D","FOLLOWING","TGT")</f>
        <v>42901</v>
      </c>
      <c r="G283" s="95">
        <f ca="1"/>
        <v>-4.0335406699433703E-3</v>
      </c>
      <c r="H283" s="92" t="s">
        <v>4</v>
      </c>
      <c r="I283" s="97">
        <f>_xll.meDateFromTenor(I282,"1D","FOLLOWING","TGT")</f>
        <v>42901</v>
      </c>
      <c r="J283" s="95">
        <f ca="1"/>
        <v>-3.0642675676614754E-3</v>
      </c>
      <c r="K283" s="5" t="s">
        <v>4</v>
      </c>
      <c r="L283" s="97">
        <f>_xll.meDateFromTenor(L282,"1D","FOLLOWING","TGT")</f>
        <v>42901</v>
      </c>
      <c r="M283" s="95">
        <f ca="1"/>
        <v>-1.7687926588270241E-3</v>
      </c>
      <c r="N283" s="5" t="s">
        <v>4</v>
      </c>
      <c r="O283" s="97">
        <f>_xll.meDateFromTenor(O282,"1D","FOLLOWING","TGT")</f>
        <v>42901</v>
      </c>
      <c r="P283" s="95">
        <f ca="1"/>
        <v>-1.5690131101250796E-4</v>
      </c>
      <c r="Q283" s="5" t="s">
        <v>4</v>
      </c>
      <c r="R283" s="83" t="s">
        <v>4</v>
      </c>
    </row>
    <row r="284" spans="1:18" x14ac:dyDescent="0.25">
      <c r="A284" s="88">
        <v>270</v>
      </c>
      <c r="B284" s="82"/>
      <c r="C284" s="97">
        <f>_xll.meDateFromTenor(C283,"1D","FOLLOWING","TGT")</f>
        <v>42902</v>
      </c>
      <c r="D284" s="95">
        <f ca="1"/>
        <v>-4.2045816661084867E-3</v>
      </c>
      <c r="E284" s="92"/>
      <c r="F284" s="97">
        <f>_xll.meDateFromTenor(F283,"1D","FOLLOWING","TGT")</f>
        <v>42902</v>
      </c>
      <c r="G284" s="95">
        <f ca="1"/>
        <v>-4.0346366543349806E-3</v>
      </c>
      <c r="H284" s="92" t="s">
        <v>4</v>
      </c>
      <c r="I284" s="97">
        <f>_xll.meDateFromTenor(I283,"1D","FOLLOWING","TGT")</f>
        <v>42902</v>
      </c>
      <c r="J284" s="95">
        <f ca="1"/>
        <v>-3.064976438637749E-3</v>
      </c>
      <c r="K284" s="5" t="s">
        <v>4</v>
      </c>
      <c r="L284" s="97">
        <f>_xll.meDateFromTenor(L283,"1D","FOLLOWING","TGT")</f>
        <v>42902</v>
      </c>
      <c r="M284" s="95">
        <f ca="1"/>
        <v>-1.7691995300783798E-3</v>
      </c>
      <c r="N284" s="5" t="s">
        <v>4</v>
      </c>
      <c r="O284" s="97">
        <f>_xll.meDateFromTenor(O283,"1D","FOLLOWING","TGT")</f>
        <v>42902</v>
      </c>
      <c r="P284" s="95">
        <f ca="1"/>
        <v>-1.5537055101631981E-4</v>
      </c>
      <c r="Q284" s="5" t="s">
        <v>4</v>
      </c>
      <c r="R284" s="83" t="s">
        <v>4</v>
      </c>
    </row>
    <row r="285" spans="1:18" x14ac:dyDescent="0.25">
      <c r="A285" s="88">
        <v>271</v>
      </c>
      <c r="B285" s="82"/>
      <c r="C285" s="97">
        <f>_xll.meDateFromTenor(C284,"1D","FOLLOWING","TGT")</f>
        <v>42905</v>
      </c>
      <c r="D285" s="95">
        <f ca="1"/>
        <v>-4.2045870472481317E-3</v>
      </c>
      <c r="E285" s="92"/>
      <c r="F285" s="97">
        <f>_xll.meDateFromTenor(F284,"1D","FOLLOWING","TGT")</f>
        <v>42905</v>
      </c>
      <c r="G285" s="95">
        <f ca="1"/>
        <v>-4.0378507110156274E-3</v>
      </c>
      <c r="H285" s="92" t="s">
        <v>4</v>
      </c>
      <c r="I285" s="97">
        <f>_xll.meDateFromTenor(I284,"1D","FOLLOWING","TGT")</f>
        <v>42905</v>
      </c>
      <c r="J285" s="95">
        <f ca="1"/>
        <v>-3.0668496656498E-3</v>
      </c>
      <c r="K285" s="5" t="s">
        <v>4</v>
      </c>
      <c r="L285" s="97">
        <f>_xll.meDateFromTenor(L284,"1D","FOLLOWING","TGT")</f>
        <v>42905</v>
      </c>
      <c r="M285" s="95">
        <f ca="1"/>
        <v>-1.7704032069981357E-3</v>
      </c>
      <c r="N285" s="5" t="s">
        <v>4</v>
      </c>
      <c r="O285" s="97">
        <f>_xll.meDateFromTenor(O284,"1D","FOLLOWING","TGT")</f>
        <v>42905</v>
      </c>
      <c r="P285" s="95">
        <f ca="1"/>
        <v>-1.507087501600904E-4</v>
      </c>
      <c r="Q285" s="5" t="s">
        <v>4</v>
      </c>
      <c r="R285" s="83" t="s">
        <v>4</v>
      </c>
    </row>
    <row r="286" spans="1:18" x14ac:dyDescent="0.25">
      <c r="A286" s="88">
        <v>272</v>
      </c>
      <c r="B286" s="82"/>
      <c r="C286" s="97">
        <f>_xll.meDateFromTenor(C285,"1D","FOLLOWING","TGT")</f>
        <v>42906</v>
      </c>
      <c r="D286" s="95">
        <f ca="1"/>
        <v>-4.204583337727219E-3</v>
      </c>
      <c r="E286" s="92"/>
      <c r="F286" s="97">
        <f>_xll.meDateFromTenor(F285,"1D","FOLLOWING","TGT")</f>
        <v>42906</v>
      </c>
      <c r="G286" s="95">
        <f ca="1"/>
        <v>-4.0388976726083541E-3</v>
      </c>
      <c r="H286" s="92" t="s">
        <v>4</v>
      </c>
      <c r="I286" s="97">
        <f>_xll.meDateFromTenor(I285,"1D","FOLLOWING","TGT")</f>
        <v>42906</v>
      </c>
      <c r="J286" s="95">
        <f ca="1"/>
        <v>-3.0672812258911129E-3</v>
      </c>
      <c r="K286" s="5" t="s">
        <v>4</v>
      </c>
      <c r="L286" s="97">
        <f>_xll.meDateFromTenor(L285,"1D","FOLLOWING","TGT")</f>
        <v>42906</v>
      </c>
      <c r="M286" s="95">
        <f ca="1"/>
        <v>-1.7707983584703574E-3</v>
      </c>
      <c r="N286" s="5" t="s">
        <v>4</v>
      </c>
      <c r="O286" s="97">
        <f>_xll.meDateFromTenor(O285,"1D","FOLLOWING","TGT")</f>
        <v>42906</v>
      </c>
      <c r="P286" s="95">
        <f ca="1"/>
        <v>-1.4913170905746215E-4</v>
      </c>
      <c r="Q286" s="5" t="s">
        <v>4</v>
      </c>
      <c r="R286" s="83" t="s">
        <v>4</v>
      </c>
    </row>
    <row r="287" spans="1:18" x14ac:dyDescent="0.25">
      <c r="A287" s="88">
        <v>273</v>
      </c>
      <c r="B287" s="82"/>
      <c r="C287" s="97">
        <f>_xll.meDateFromTenor(C286,"1D","FOLLOWING","TGT")</f>
        <v>42907</v>
      </c>
      <c r="D287" s="95">
        <f ca="1"/>
        <v>-4.2045768761646007E-3</v>
      </c>
      <c r="E287" s="92"/>
      <c r="F287" s="97">
        <f>_xll.meDateFromTenor(F286,"1D","FOLLOWING","TGT")</f>
        <v>42907</v>
      </c>
      <c r="G287" s="95">
        <f ca="1"/>
        <v>-4.03993255964929E-3</v>
      </c>
      <c r="H287" s="92" t="s">
        <v>4</v>
      </c>
      <c r="I287" s="97">
        <f>_xll.meDateFromTenor(I286,"1D","FOLLOWING","TGT")</f>
        <v>42907</v>
      </c>
      <c r="J287" s="95">
        <f ca="1"/>
        <v>-3.0675621683558486E-3</v>
      </c>
      <c r="K287" s="5" t="s">
        <v>4</v>
      </c>
      <c r="L287" s="97">
        <f>_xll.meDateFromTenor(L286,"1D","FOLLOWING","TGT")</f>
        <v>42907</v>
      </c>
      <c r="M287" s="95">
        <f ca="1"/>
        <v>-1.7711902585806018E-3</v>
      </c>
      <c r="N287" s="5" t="s">
        <v>4</v>
      </c>
      <c r="O287" s="97">
        <f>_xll.meDateFromTenor(O286,"1D","FOLLOWING","TGT")</f>
        <v>42907</v>
      </c>
      <c r="P287" s="95">
        <f ca="1"/>
        <v>-1.4754314728222616E-4</v>
      </c>
      <c r="Q287" s="5" t="s">
        <v>4</v>
      </c>
      <c r="R287" s="83" t="s">
        <v>4</v>
      </c>
    </row>
    <row r="288" spans="1:18" x14ac:dyDescent="0.25">
      <c r="A288" s="88">
        <v>274</v>
      </c>
      <c r="B288" s="82"/>
      <c r="C288" s="97">
        <f>_xll.meDateFromTenor(C287,"1D","FOLLOWING","TGT")</f>
        <v>42908</v>
      </c>
      <c r="D288" s="95">
        <f ca="1"/>
        <v>-4.2045676635155127E-3</v>
      </c>
      <c r="E288" s="92"/>
      <c r="F288" s="97">
        <f>_xll.meDateFromTenor(F287,"1D","FOLLOWING","TGT")</f>
        <v>42908</v>
      </c>
      <c r="G288" s="95">
        <f ca="1"/>
        <v>-4.0409554445976076E-3</v>
      </c>
      <c r="H288" s="92" t="s">
        <v>4</v>
      </c>
      <c r="I288" s="97">
        <f>_xll.meDateFromTenor(I287,"1D","FOLLOWING","TGT")</f>
        <v>42908</v>
      </c>
      <c r="J288" s="95">
        <f ca="1"/>
        <v>-3.0676847467106141E-3</v>
      </c>
      <c r="K288" s="5" t="s">
        <v>4</v>
      </c>
      <c r="L288" s="97">
        <f>_xll.meDateFromTenor(L287,"1D","FOLLOWING","TGT")</f>
        <v>42908</v>
      </c>
      <c r="M288" s="95">
        <f ca="1"/>
        <v>-1.7715787787619896E-3</v>
      </c>
      <c r="N288" s="5" t="s">
        <v>4</v>
      </c>
      <c r="O288" s="97">
        <f>_xll.meDateFromTenor(O287,"1D","FOLLOWING","TGT")</f>
        <v>42908</v>
      </c>
      <c r="P288" s="95">
        <f ca="1"/>
        <v>-1.4594308467598359E-4</v>
      </c>
      <c r="Q288" s="5" t="s">
        <v>4</v>
      </c>
      <c r="R288" s="83" t="s">
        <v>4</v>
      </c>
    </row>
    <row r="289" spans="1:18" x14ac:dyDescent="0.25">
      <c r="A289" s="88">
        <v>275</v>
      </c>
      <c r="B289" s="82"/>
      <c r="C289" s="97">
        <f>_xll.meDateFromTenor(C288,"1D","FOLLOWING","TGT")</f>
        <v>42909</v>
      </c>
      <c r="D289" s="95">
        <f ca="1"/>
        <v>-4.2045556993818289E-3</v>
      </c>
      <c r="E289" s="92"/>
      <c r="F289" s="97">
        <f>_xll.meDateFromTenor(F288,"1D","FOLLOWING","TGT")</f>
        <v>42909</v>
      </c>
      <c r="G289" s="95">
        <f ca="1"/>
        <v>-4.0419663999124774E-3</v>
      </c>
      <c r="H289" s="92" t="s">
        <v>4</v>
      </c>
      <c r="I289" s="97">
        <f>_xll.meDateFromTenor(I288,"1D","FOLLOWING","TGT")</f>
        <v>42909</v>
      </c>
      <c r="J289" s="95">
        <f ca="1"/>
        <v>-3.0677402934369742E-3</v>
      </c>
      <c r="K289" s="5" t="s">
        <v>4</v>
      </c>
      <c r="L289" s="97">
        <f>_xll.meDateFromTenor(L288,"1D","FOLLOWING","TGT")</f>
        <v>42909</v>
      </c>
      <c r="M289" s="95">
        <f ca="1"/>
        <v>-1.7719637904476436E-3</v>
      </c>
      <c r="N289" s="5" t="s">
        <v>4</v>
      </c>
      <c r="O289" s="97">
        <f>_xll.meDateFromTenor(O288,"1D","FOLLOWING","TGT")</f>
        <v>42909</v>
      </c>
      <c r="P289" s="95">
        <f ca="1"/>
        <v>-1.4433154108033514E-4</v>
      </c>
      <c r="Q289" s="5" t="s">
        <v>4</v>
      </c>
      <c r="R289" s="83" t="s">
        <v>4</v>
      </c>
    </row>
    <row r="290" spans="1:18" x14ac:dyDescent="0.25">
      <c r="A290" s="88">
        <v>276</v>
      </c>
      <c r="B290" s="82"/>
      <c r="C290" s="97">
        <f>_xll.meDateFromTenor(C289,"1D","FOLLOWING","TGT")</f>
        <v>42912</v>
      </c>
      <c r="D290" s="95">
        <f ca="1"/>
        <v>-4.2045033006592458E-3</v>
      </c>
      <c r="E290" s="92"/>
      <c r="F290" s="97">
        <f>_xll.meDateFromTenor(F289,"1D","FOLLOWING","TGT")</f>
        <v>42912</v>
      </c>
      <c r="G290" s="95">
        <f ca="1"/>
        <v>-4.0449284126481194E-3</v>
      </c>
      <c r="H290" s="92" t="s">
        <v>4</v>
      </c>
      <c r="I290" s="97">
        <f>_xll.meDateFromTenor(I289,"1D","FOLLOWING","TGT")</f>
        <v>42912</v>
      </c>
      <c r="J290" s="95">
        <f ca="1"/>
        <v>-3.0680098873841766E-3</v>
      </c>
      <c r="K290" s="5" t="s">
        <v>4</v>
      </c>
      <c r="L290" s="97">
        <f>_xll.meDateFromTenor(L289,"1D","FOLLOWING","TGT")</f>
        <v>42912</v>
      </c>
      <c r="M290" s="95">
        <f ca="1"/>
        <v>-1.7730964888614234E-3</v>
      </c>
      <c r="N290" s="5" t="s">
        <v>4</v>
      </c>
      <c r="O290" s="97">
        <f>_xll.meDateFromTenor(O289,"1D","FOLLOWING","TGT")</f>
        <v>42912</v>
      </c>
      <c r="P290" s="95">
        <f ca="1"/>
        <v>-1.3942822277296501E-4</v>
      </c>
      <c r="Q290" s="5" t="s">
        <v>4</v>
      </c>
      <c r="R290" s="83" t="s">
        <v>4</v>
      </c>
    </row>
    <row r="291" spans="1:18" x14ac:dyDescent="0.25">
      <c r="A291" s="88">
        <v>277</v>
      </c>
      <c r="B291" s="82"/>
      <c r="C291" s="97">
        <f>_xll.meDateFromTenor(C290,"1D","FOLLOWING","TGT")</f>
        <v>42913</v>
      </c>
      <c r="D291" s="95">
        <f ca="1"/>
        <v>-4.2044803326557467E-3</v>
      </c>
      <c r="E291" s="92"/>
      <c r="F291" s="97">
        <f>_xll.meDateFromTenor(F290,"1D","FOLLOWING","TGT")</f>
        <v>42913</v>
      </c>
      <c r="G291" s="95">
        <f ca="1"/>
        <v>-4.0458923740209173E-3</v>
      </c>
      <c r="H291" s="92" t="s">
        <v>4</v>
      </c>
      <c r="I291" s="97">
        <f>_xll.meDateFromTenor(I290,"1D","FOLLOWING","TGT")</f>
        <v>42913</v>
      </c>
      <c r="J291" s="95">
        <f ca="1"/>
        <v>-3.0680965435974624E-3</v>
      </c>
      <c r="K291" s="5" t="s">
        <v>4</v>
      </c>
      <c r="L291" s="97">
        <f>_xll.meDateFromTenor(L290,"1D","FOLLOWING","TGT")</f>
        <v>42913</v>
      </c>
      <c r="M291" s="95">
        <f ca="1"/>
        <v>-1.7734661808953632E-3</v>
      </c>
      <c r="N291" s="5" t="s">
        <v>4</v>
      </c>
      <c r="O291" s="97">
        <f>_xll.meDateFromTenor(O290,"1D","FOLLOWING","TGT")</f>
        <v>42913</v>
      </c>
      <c r="P291" s="95">
        <f ca="1"/>
        <v>-1.3777095363570329E-4</v>
      </c>
      <c r="Q291" s="5" t="s">
        <v>4</v>
      </c>
      <c r="R291" s="83" t="s">
        <v>4</v>
      </c>
    </row>
    <row r="292" spans="1:18" x14ac:dyDescent="0.25">
      <c r="A292" s="88">
        <v>278</v>
      </c>
      <c r="B292" s="82"/>
      <c r="C292" s="97">
        <f>_xll.meDateFromTenor(C291,"1D","FOLLOWING","TGT")</f>
        <v>42914</v>
      </c>
      <c r="D292" s="95">
        <f ca="1"/>
        <v>-4.2044546139625716E-3</v>
      </c>
      <c r="E292" s="92"/>
      <c r="F292" s="97">
        <f>_xll.meDateFromTenor(F291,"1D","FOLLOWING","TGT")</f>
        <v>42914</v>
      </c>
      <c r="G292" s="95">
        <f ca="1"/>
        <v>-4.0468447680561265E-3</v>
      </c>
      <c r="H292" s="92" t="s">
        <v>4</v>
      </c>
      <c r="I292" s="97">
        <f>_xll.meDateFromTenor(I291,"1D","FOLLOWING","TGT")</f>
        <v>42914</v>
      </c>
      <c r="J292" s="95">
        <f ca="1"/>
        <v>-3.0681849613646119E-3</v>
      </c>
      <c r="K292" s="5" t="s">
        <v>4</v>
      </c>
      <c r="L292" s="97">
        <f>_xll.meDateFromTenor(L291,"1D","FOLLOWING","TGT")</f>
        <v>42914</v>
      </c>
      <c r="M292" s="95">
        <f ca="1"/>
        <v>-1.7738317215991793E-3</v>
      </c>
      <c r="N292" s="5" t="s">
        <v>4</v>
      </c>
      <c r="O292" s="97">
        <f>_xll.meDateFromTenor(O291,"1D","FOLLOWING","TGT")</f>
        <v>42914</v>
      </c>
      <c r="P292" s="95">
        <f ca="1"/>
        <v>-1.3610230271704046E-4</v>
      </c>
      <c r="Q292" s="5" t="s">
        <v>4</v>
      </c>
      <c r="R292" s="83" t="s">
        <v>4</v>
      </c>
    </row>
    <row r="293" spans="1:18" x14ac:dyDescent="0.25">
      <c r="A293" s="88">
        <v>279</v>
      </c>
      <c r="B293" s="82"/>
      <c r="C293" s="97">
        <f>_xll.meDateFromTenor(C292,"1D","FOLLOWING","TGT")</f>
        <v>42915</v>
      </c>
      <c r="D293" s="95">
        <f ca="1"/>
        <v>-4.2044261448989095E-3</v>
      </c>
      <c r="E293" s="92"/>
      <c r="F293" s="97">
        <f>_xll.meDateFromTenor(F292,"1D","FOLLOWING","TGT")</f>
        <v>42915</v>
      </c>
      <c r="G293" s="95">
        <f ca="1"/>
        <v>-4.0477856672129194E-3</v>
      </c>
      <c r="H293" s="92" t="s">
        <v>4</v>
      </c>
      <c r="I293" s="97">
        <f>_xll.meDateFromTenor(I292,"1D","FOLLOWING","TGT")</f>
        <v>42915</v>
      </c>
      <c r="J293" s="95">
        <f ca="1"/>
        <v>-3.0682746686783728E-3</v>
      </c>
      <c r="K293" s="5" t="s">
        <v>4</v>
      </c>
      <c r="L293" s="97">
        <f>_xll.meDateFromTenor(L292,"1D","FOLLOWING","TGT")</f>
        <v>42915</v>
      </c>
      <c r="M293" s="95">
        <f ca="1"/>
        <v>-1.7741929824059942E-3</v>
      </c>
      <c r="N293" s="5" t="s">
        <v>4</v>
      </c>
      <c r="O293" s="97">
        <f>_xll.meDateFromTenor(O292,"1D","FOLLOWING","TGT")</f>
        <v>42915</v>
      </c>
      <c r="P293" s="95">
        <f ca="1"/>
        <v>-1.3442228985857777E-4</v>
      </c>
      <c r="Q293" s="5" t="s">
        <v>4</v>
      </c>
      <c r="R293" s="83" t="s">
        <v>4</v>
      </c>
    </row>
    <row r="294" spans="1:18" x14ac:dyDescent="0.25">
      <c r="A294" s="88">
        <v>280</v>
      </c>
      <c r="B294" s="82"/>
      <c r="C294" s="97">
        <f>_xll.meDateFromTenor(C293,"1D","FOLLOWING","TGT")</f>
        <v>42916</v>
      </c>
      <c r="D294" s="95">
        <f ca="1"/>
        <v>-4.2043949252645874E-3</v>
      </c>
      <c r="E294" s="92"/>
      <c r="F294" s="97">
        <f>_xll.meDateFromTenor(F293,"1D","FOLLOWING","TGT")</f>
        <v>42916</v>
      </c>
      <c r="G294" s="95">
        <f ca="1"/>
        <v>-4.0487151439504683E-3</v>
      </c>
      <c r="H294" s="92" t="s">
        <v>4</v>
      </c>
      <c r="I294" s="97">
        <f>_xll.meDateFromTenor(I293,"1D","FOLLOWING","TGT")</f>
        <v>42916</v>
      </c>
      <c r="J294" s="95">
        <f ca="1"/>
        <v>-3.0683639039847579E-3</v>
      </c>
      <c r="K294" s="5" t="s">
        <v>4</v>
      </c>
      <c r="L294" s="97">
        <f>_xll.meDateFromTenor(L293,"1D","FOLLOWING","TGT")</f>
        <v>42916</v>
      </c>
      <c r="M294" s="95">
        <f ca="1"/>
        <v>-1.7745498347489302E-3</v>
      </c>
      <c r="N294" s="5" t="s">
        <v>4</v>
      </c>
      <c r="O294" s="97">
        <f>_xll.meDateFromTenor(O293,"1D","FOLLOWING","TGT")</f>
        <v>42916</v>
      </c>
      <c r="P294" s="95">
        <f ca="1"/>
        <v>-1.3273093490191582E-4</v>
      </c>
      <c r="Q294" s="5" t="s">
        <v>4</v>
      </c>
      <c r="R294" s="83" t="s">
        <v>4</v>
      </c>
    </row>
    <row r="295" spans="1:18" x14ac:dyDescent="0.25">
      <c r="A295" s="88">
        <v>281</v>
      </c>
      <c r="B295" s="82"/>
      <c r="C295" s="97">
        <f>_xll.meDateFromTenor(C294,"1D","FOLLOWING","TGT")</f>
        <v>42919</v>
      </c>
      <c r="D295" s="95">
        <f ca="1"/>
        <v>-4.2042847654842896E-3</v>
      </c>
      <c r="E295" s="92"/>
      <c r="F295" s="97">
        <f>_xll.meDateFromTenor(F294,"1D","FOLLOWING","TGT")</f>
        <v>42919</v>
      </c>
      <c r="G295" s="95">
        <f ca="1"/>
        <v>-4.0514357642393653E-3</v>
      </c>
      <c r="H295" s="92" t="s">
        <v>4</v>
      </c>
      <c r="I295" s="97">
        <f>_xll.meDateFromTenor(I294,"1D","FOLLOWING","TGT")</f>
        <v>42919</v>
      </c>
      <c r="J295" s="95">
        <f ca="1"/>
        <v>-3.0686309188386364E-3</v>
      </c>
      <c r="K295" s="5" t="s">
        <v>4</v>
      </c>
      <c r="L295" s="97">
        <f>_xll.meDateFromTenor(L294,"1D","FOLLOWING","TGT")</f>
        <v>42919</v>
      </c>
      <c r="M295" s="95">
        <f ca="1"/>
        <v>-1.7755926553256842E-3</v>
      </c>
      <c r="N295" s="5" t="s">
        <v>4</v>
      </c>
      <c r="O295" s="97">
        <f>_xll.meDateFromTenor(O294,"1D","FOLLOWING","TGT")</f>
        <v>42919</v>
      </c>
      <c r="P295" s="95">
        <f ca="1"/>
        <v>-1.2758901585874574E-4</v>
      </c>
      <c r="Q295" s="5" t="s">
        <v>4</v>
      </c>
      <c r="R295" s="83" t="s">
        <v>4</v>
      </c>
    </row>
    <row r="296" spans="1:18" x14ac:dyDescent="0.25">
      <c r="A296" s="88">
        <v>282</v>
      </c>
      <c r="B296" s="82"/>
      <c r="C296" s="97">
        <f>_xll.meDateFromTenor(C295,"1D","FOLLOWING","TGT")</f>
        <v>42920</v>
      </c>
      <c r="D296" s="95">
        <f ca="1"/>
        <v>-4.2042425455957044E-3</v>
      </c>
      <c r="E296" s="92"/>
      <c r="F296" s="97">
        <f>_xll.meDateFromTenor(F295,"1D","FOLLOWING","TGT")</f>
        <v>42920</v>
      </c>
      <c r="G296" s="95">
        <f ca="1"/>
        <v>-4.0523202371607545E-3</v>
      </c>
      <c r="H296" s="92" t="s">
        <v>4</v>
      </c>
      <c r="I296" s="97">
        <f>_xll.meDateFromTenor(I295,"1D","FOLLOWING","TGT")</f>
        <v>42920</v>
      </c>
      <c r="J296" s="95">
        <f ca="1"/>
        <v>-3.0687199937832442E-3</v>
      </c>
      <c r="K296" s="5" t="s">
        <v>4</v>
      </c>
      <c r="L296" s="97">
        <f>_xll.meDateFromTenor(L295,"1D","FOLLOWING","TGT")</f>
        <v>42920</v>
      </c>
      <c r="M296" s="95">
        <f ca="1"/>
        <v>-1.7759305881443247E-3</v>
      </c>
      <c r="N296" s="5" t="s">
        <v>4</v>
      </c>
      <c r="O296" s="97">
        <f>_xll.meDateFromTenor(O295,"1D","FOLLOWING","TGT")</f>
        <v>42920</v>
      </c>
      <c r="P296" s="95">
        <f ca="1"/>
        <v>-1.2585249092529719E-4</v>
      </c>
      <c r="Q296" s="5" t="s">
        <v>4</v>
      </c>
      <c r="R296" s="83" t="s">
        <v>4</v>
      </c>
    </row>
    <row r="297" spans="1:18" x14ac:dyDescent="0.25">
      <c r="A297" s="88">
        <v>283</v>
      </c>
      <c r="B297" s="82"/>
      <c r="C297" s="97">
        <f>_xll.meDateFromTenor(C296,"1D","FOLLOWING","TGT")</f>
        <v>42921</v>
      </c>
      <c r="D297" s="95">
        <f ca="1"/>
        <v>-4.2041975759311567E-3</v>
      </c>
      <c r="E297" s="92"/>
      <c r="F297" s="97">
        <f>_xll.meDateFromTenor(F296,"1D","FOLLOWING","TGT")</f>
        <v>42921</v>
      </c>
      <c r="G297" s="95">
        <f ca="1"/>
        <v>-4.0531934175733648E-3</v>
      </c>
      <c r="H297" s="92" t="s">
        <v>4</v>
      </c>
      <c r="I297" s="97">
        <f>_xll.meDateFromTenor(I296,"1D","FOLLOWING","TGT")</f>
        <v>42921</v>
      </c>
      <c r="J297" s="95">
        <f ca="1"/>
        <v>-3.0688090439196752E-3</v>
      </c>
      <c r="K297" s="5" t="s">
        <v>4</v>
      </c>
      <c r="L297" s="97">
        <f>_xll.meDateFromTenor(L296,"1D","FOLLOWING","TGT")</f>
        <v>42921</v>
      </c>
      <c r="M297" s="95">
        <f ca="1"/>
        <v>-1.7762634696646964E-3</v>
      </c>
      <c r="N297" s="5" t="s">
        <v>4</v>
      </c>
      <c r="O297" s="97">
        <f>_xll.meDateFromTenor(O296,"1D","FOLLOWING","TGT")</f>
        <v>42921</v>
      </c>
      <c r="P297" s="95">
        <f ca="1"/>
        <v>-1.2410472310165442E-4</v>
      </c>
      <c r="Q297" s="5" t="s">
        <v>4</v>
      </c>
      <c r="R297" s="83" t="s">
        <v>4</v>
      </c>
    </row>
    <row r="298" spans="1:18" x14ac:dyDescent="0.25">
      <c r="A298" s="88">
        <v>284</v>
      </c>
      <c r="B298" s="82"/>
      <c r="C298" s="97">
        <f>_xll.meDateFromTenor(C297,"1D","FOLLOWING","TGT")</f>
        <v>42922</v>
      </c>
      <c r="D298" s="95">
        <f ca="1"/>
        <v>-4.2041498567293445E-3</v>
      </c>
      <c r="E298" s="92"/>
      <c r="F298" s="97">
        <f>_xll.meDateFromTenor(F297,"1D","FOLLOWING","TGT")</f>
        <v>42922</v>
      </c>
      <c r="G298" s="95">
        <f ca="1"/>
        <v>-4.054055145550974E-3</v>
      </c>
      <c r="H298" s="92" t="s">
        <v>4</v>
      </c>
      <c r="I298" s="97">
        <f>_xll.meDateFromTenor(I297,"1D","FOLLOWING","TGT")</f>
        <v>42922</v>
      </c>
      <c r="J298" s="95">
        <f ca="1"/>
        <v>-3.0688981031364213E-3</v>
      </c>
      <c r="K298" s="5" t="s">
        <v>4</v>
      </c>
      <c r="L298" s="97">
        <f>_xll.meDateFromTenor(L297,"1D","FOLLOWING","TGT")</f>
        <v>42922</v>
      </c>
      <c r="M298" s="95">
        <f ca="1"/>
        <v>-1.7765911713199217E-3</v>
      </c>
      <c r="N298" s="5" t="s">
        <v>4</v>
      </c>
      <c r="O298" s="97">
        <f>_xll.meDateFromTenor(O297,"1D","FOLLOWING","TGT")</f>
        <v>42922</v>
      </c>
      <c r="P298" s="95">
        <f ca="1"/>
        <v>-1.2234573222941842E-4</v>
      </c>
      <c r="Q298" s="5" t="s">
        <v>4</v>
      </c>
      <c r="R298" s="83" t="s">
        <v>4</v>
      </c>
    </row>
    <row r="299" spans="1:18" x14ac:dyDescent="0.25">
      <c r="A299" s="88">
        <v>285</v>
      </c>
      <c r="B299" s="82"/>
      <c r="C299" s="97">
        <f>_xll.meDateFromTenor(C298,"1D","FOLLOWING","TGT")</f>
        <v>42923</v>
      </c>
      <c r="D299" s="95">
        <f ca="1"/>
        <v>-4.2040993879099986E-3</v>
      </c>
      <c r="E299" s="92"/>
      <c r="F299" s="97">
        <f>_xll.meDateFromTenor(F298,"1D","FOLLOWING","TGT")</f>
        <v>42923</v>
      </c>
      <c r="G299" s="95">
        <f ca="1"/>
        <v>-4.0549052611673587E-3</v>
      </c>
      <c r="H299" s="92" t="s">
        <v>4</v>
      </c>
      <c r="I299" s="97">
        <f>_xll.meDateFromTenor(I298,"1D","FOLLOWING","TGT")</f>
        <v>42923</v>
      </c>
      <c r="J299" s="95">
        <f ca="1"/>
        <v>-3.0689871690003519E-3</v>
      </c>
      <c r="K299" s="5" t="s">
        <v>4</v>
      </c>
      <c r="L299" s="97">
        <f>_xll.meDateFromTenor(L298,"1D","FOLLOWING","TGT")</f>
        <v>42923</v>
      </c>
      <c r="M299" s="95">
        <f ca="1"/>
        <v>-1.7769135645431227E-3</v>
      </c>
      <c r="N299" s="5" t="s">
        <v>4</v>
      </c>
      <c r="O299" s="97">
        <f>_xll.meDateFromTenor(O298,"1D","FOLLOWING","TGT")</f>
        <v>42923</v>
      </c>
      <c r="P299" s="95">
        <f ca="1"/>
        <v>-1.2057553815018995E-4</v>
      </c>
      <c r="Q299" s="5" t="s">
        <v>4</v>
      </c>
      <c r="R299" s="83" t="s">
        <v>4</v>
      </c>
    </row>
    <row r="300" spans="1:18" x14ac:dyDescent="0.25">
      <c r="A300" s="88">
        <v>286</v>
      </c>
      <c r="B300" s="82"/>
      <c r="C300" s="97">
        <f>_xll.meDateFromTenor(C299,"1D","FOLLOWING","TGT")</f>
        <v>42926</v>
      </c>
      <c r="D300" s="95">
        <f ca="1"/>
        <v>-4.203931485892709E-3</v>
      </c>
      <c r="E300" s="92"/>
      <c r="F300" s="97">
        <f>_xll.meDateFromTenor(F299,"1D","FOLLOWING","TGT")</f>
        <v>42926</v>
      </c>
      <c r="G300" s="95">
        <f ca="1"/>
        <v>-4.057384334586956E-3</v>
      </c>
      <c r="H300" s="92" t="s">
        <v>4</v>
      </c>
      <c r="I300" s="97">
        <f>_xll.meDateFromTenor(I299,"1D","FOLLOWING","TGT")</f>
        <v>42926</v>
      </c>
      <c r="J300" s="95">
        <f ca="1"/>
        <v>-3.0692543563824335E-3</v>
      </c>
      <c r="K300" s="5" t="s">
        <v>4</v>
      </c>
      <c r="L300" s="97">
        <f>_xll.meDateFromTenor(L299,"1D","FOLLOWING","TGT")</f>
        <v>42926</v>
      </c>
      <c r="M300" s="95">
        <f ca="1"/>
        <v>-1.7778476079518004E-3</v>
      </c>
      <c r="N300" s="5" t="s">
        <v>4</v>
      </c>
      <c r="O300" s="97">
        <f>_xll.meDateFromTenor(O299,"1D","FOLLOWING","TGT")</f>
        <v>42926</v>
      </c>
      <c r="P300" s="95">
        <f ca="1"/>
        <v>-1.1519793508656031E-4</v>
      </c>
      <c r="Q300" s="5" t="s">
        <v>4</v>
      </c>
      <c r="R300" s="83" t="s">
        <v>4</v>
      </c>
    </row>
    <row r="301" spans="1:18" x14ac:dyDescent="0.25">
      <c r="A301" s="88">
        <v>287</v>
      </c>
      <c r="B301" s="82"/>
      <c r="C301" s="97">
        <f>_xll.meDateFromTenor(C300,"1D","FOLLOWING","TGT")</f>
        <v>42927</v>
      </c>
      <c r="D301" s="95">
        <f ca="1"/>
        <v>-4.2038700204302115E-3</v>
      </c>
      <c r="E301" s="92"/>
      <c r="F301" s="97">
        <f>_xll.meDateFromTenor(F300,"1D","FOLLOWING","TGT")</f>
        <v>42927</v>
      </c>
      <c r="G301" s="95">
        <f ca="1"/>
        <v>-4.0581864014962287E-3</v>
      </c>
      <c r="H301" s="92" t="s">
        <v>4</v>
      </c>
      <c r="I301" s="97">
        <f>_xll.meDateFromTenor(I300,"1D","FOLLOWING","TGT")</f>
        <v>42927</v>
      </c>
      <c r="J301" s="95">
        <f ca="1"/>
        <v>-3.0693434191614902E-3</v>
      </c>
      <c r="K301" s="5" t="s">
        <v>4</v>
      </c>
      <c r="L301" s="97">
        <f>_xll.meDateFromTenor(L300,"1D","FOLLOWING","TGT")</f>
        <v>42927</v>
      </c>
      <c r="M301" s="95">
        <f ca="1"/>
        <v>-1.7781474817781251E-3</v>
      </c>
      <c r="N301" s="5" t="s">
        <v>4</v>
      </c>
      <c r="O301" s="97">
        <f>_xll.meDateFromTenor(O300,"1D","FOLLOWING","TGT")</f>
        <v>42927</v>
      </c>
      <c r="P301" s="95">
        <f ca="1"/>
        <v>-1.1338312659537193E-4</v>
      </c>
      <c r="Q301" s="5" t="s">
        <v>4</v>
      </c>
      <c r="R301" s="83" t="s">
        <v>4</v>
      </c>
    </row>
    <row r="302" spans="1:18" x14ac:dyDescent="0.25">
      <c r="A302" s="88">
        <v>288</v>
      </c>
      <c r="B302" s="82"/>
      <c r="C302" s="97">
        <f>_xll.meDateFromTenor(C301,"1D","FOLLOWING","TGT")</f>
        <v>42928</v>
      </c>
      <c r="D302" s="95">
        <f ca="1"/>
        <v>-4.2038058061042438E-3</v>
      </c>
      <c r="E302" s="92"/>
      <c r="F302" s="97">
        <f>_xll.meDateFromTenor(F301,"1D","FOLLOWING","TGT")</f>
        <v>42928</v>
      </c>
      <c r="G302" s="95">
        <f ca="1"/>
        <v>-4.0589760564131681E-3</v>
      </c>
      <c r="H302" s="92" t="s">
        <v>4</v>
      </c>
      <c r="I302" s="97">
        <f>_xll.meDateFromTenor(I301,"1D","FOLLOWING","TGT")</f>
        <v>42928</v>
      </c>
      <c r="J302" s="95">
        <f ca="1"/>
        <v>-3.0694324817657119E-3</v>
      </c>
      <c r="K302" s="5" t="s">
        <v>4</v>
      </c>
      <c r="L302" s="97">
        <f>_xll.meDateFromTenor(L301,"1D","FOLLOWING","TGT")</f>
        <v>42928</v>
      </c>
      <c r="M302" s="95">
        <f ca="1"/>
        <v>-1.7784414043380355E-3</v>
      </c>
      <c r="N302" s="5" t="s">
        <v>4</v>
      </c>
      <c r="O302" s="97">
        <f>_xll.meDateFromTenor(O301,"1D","FOLLOWING","TGT")</f>
        <v>42928</v>
      </c>
      <c r="P302" s="95">
        <f ca="1"/>
        <v>-1.1155721410519619E-4</v>
      </c>
      <c r="Q302" s="5" t="s">
        <v>4</v>
      </c>
      <c r="R302" s="83" t="s">
        <v>4</v>
      </c>
    </row>
    <row r="303" spans="1:18" x14ac:dyDescent="0.25">
      <c r="A303" s="88">
        <v>289</v>
      </c>
      <c r="B303" s="82"/>
      <c r="C303" s="97">
        <f>_xll.meDateFromTenor(C302,"1D","FOLLOWING","TGT")</f>
        <v>42929</v>
      </c>
      <c r="D303" s="95">
        <f ca="1"/>
        <v>-4.2037388430335998E-3</v>
      </c>
      <c r="E303" s="92"/>
      <c r="F303" s="97">
        <f>_xll.meDateFromTenor(F302,"1D","FOLLOWING","TGT")</f>
        <v>42929</v>
      </c>
      <c r="G303" s="95">
        <f ca="1"/>
        <v>-4.0597531394115519E-3</v>
      </c>
      <c r="H303" s="92" t="s">
        <v>4</v>
      </c>
      <c r="I303" s="97">
        <f>_xll.meDateFromTenor(I302,"1D","FOLLOWING","TGT")</f>
        <v>42929</v>
      </c>
      <c r="J303" s="95">
        <f ca="1"/>
        <v>-3.0695215442418048E-3</v>
      </c>
      <c r="K303" s="5" t="s">
        <v>4</v>
      </c>
      <c r="L303" s="97">
        <f>_xll.meDateFromTenor(L302,"1D","FOLLOWING","TGT")</f>
        <v>42929</v>
      </c>
      <c r="M303" s="95">
        <f ca="1"/>
        <v>-1.7787292470646549E-3</v>
      </c>
      <c r="N303" s="5" t="s">
        <v>4</v>
      </c>
      <c r="O303" s="97">
        <f>_xll.meDateFromTenor(O302,"1D","FOLLOWING","TGT")</f>
        <v>42929</v>
      </c>
      <c r="P303" s="95">
        <f ca="1"/>
        <v>-1.0972021745763363E-4</v>
      </c>
      <c r="Q303" s="5" t="s">
        <v>4</v>
      </c>
      <c r="R303" s="83" t="s">
        <v>4</v>
      </c>
    </row>
    <row r="304" spans="1:18" x14ac:dyDescent="0.25">
      <c r="A304" s="88">
        <v>290</v>
      </c>
      <c r="B304" s="82"/>
      <c r="C304" s="97">
        <f>_xll.meDateFromTenor(C303,"1D","FOLLOWING","TGT")</f>
        <v>42930</v>
      </c>
      <c r="D304" s="95">
        <f ca="1"/>
        <v>-4.2036691313371843E-3</v>
      </c>
      <c r="E304" s="92"/>
      <c r="F304" s="97">
        <f>_xll.meDateFromTenor(F303,"1D","FOLLOWING","TGT")</f>
        <v>42930</v>
      </c>
      <c r="G304" s="95">
        <f ca="1"/>
        <v>-4.0605174905651593E-3</v>
      </c>
      <c r="H304" s="92" t="s">
        <v>4</v>
      </c>
      <c r="I304" s="97">
        <f>_xll.meDateFromTenor(I303,"1D","FOLLOWING","TGT")</f>
        <v>42930</v>
      </c>
      <c r="J304" s="95">
        <f ca="1"/>
        <v>-3.0696106067644616E-3</v>
      </c>
      <c r="K304" s="5" t="s">
        <v>4</v>
      </c>
      <c r="L304" s="97">
        <f>_xll.meDateFromTenor(L303,"1D","FOLLOWING","TGT")</f>
        <v>42930</v>
      </c>
      <c r="M304" s="95">
        <f ca="1"/>
        <v>-1.7790108813911043E-3</v>
      </c>
      <c r="N304" s="5" t="s">
        <v>4</v>
      </c>
      <c r="O304" s="97">
        <f>_xll.meDateFromTenor(O303,"1D","FOLLOWING","TGT")</f>
        <v>42930</v>
      </c>
      <c r="P304" s="95">
        <f ca="1"/>
        <v>-1.0787215649428559E-4</v>
      </c>
      <c r="Q304" s="5" t="s">
        <v>4</v>
      </c>
      <c r="R304" s="83" t="s">
        <v>4</v>
      </c>
    </row>
    <row r="305" spans="1:18" x14ac:dyDescent="0.25">
      <c r="A305" s="88">
        <v>291</v>
      </c>
      <c r="B305" s="82"/>
      <c r="C305" s="97">
        <f>_xll.meDateFromTenor(C304,"1D","FOLLOWING","TGT")</f>
        <v>42933</v>
      </c>
      <c r="D305" s="95">
        <f ca="1"/>
        <v>-4.203443505959914E-3</v>
      </c>
      <c r="E305" s="92"/>
      <c r="F305" s="97">
        <f>_xll.meDateFromTenor(F304,"1D","FOLLOWING","TGT")</f>
        <v>42933</v>
      </c>
      <c r="G305" s="95">
        <f ca="1"/>
        <v>-4.062732553695097E-3</v>
      </c>
      <c r="H305" s="92" t="s">
        <v>4</v>
      </c>
      <c r="I305" s="97">
        <f>_xll.meDateFromTenor(I304,"1D","FOLLOWING","TGT")</f>
        <v>42933</v>
      </c>
      <c r="J305" s="95">
        <f ca="1"/>
        <v>-3.0698777944019847E-3</v>
      </c>
      <c r="K305" s="5" t="s">
        <v>4</v>
      </c>
      <c r="L305" s="97">
        <f>_xll.meDateFromTenor(L304,"1D","FOLLOWING","TGT")</f>
        <v>42933</v>
      </c>
      <c r="M305" s="95">
        <f ca="1"/>
        <v>-1.7798172483006558E-3</v>
      </c>
      <c r="N305" s="5" t="s">
        <v>4</v>
      </c>
      <c r="O305" s="97">
        <f>_xll.meDateFromTenor(O304,"1D","FOLLOWING","TGT")</f>
        <v>42933</v>
      </c>
      <c r="P305" s="95">
        <f ca="1"/>
        <v>-1.0226178612553675E-4</v>
      </c>
      <c r="Q305" s="5" t="s">
        <v>4</v>
      </c>
      <c r="R305" s="83" t="s">
        <v>4</v>
      </c>
    </row>
    <row r="306" spans="1:18" x14ac:dyDescent="0.25">
      <c r="A306" s="88">
        <v>292</v>
      </c>
      <c r="B306" s="82"/>
      <c r="C306" s="97">
        <f>_xll.meDateFromTenor(C305,"1D","FOLLOWING","TGT")</f>
        <v>42934</v>
      </c>
      <c r="D306" s="95">
        <f ca="1"/>
        <v>-4.2033628011871604E-3</v>
      </c>
      <c r="E306" s="92"/>
      <c r="F306" s="97">
        <f>_xll.meDateFromTenor(F305,"1D","FOLLOWING","TGT")</f>
        <v>42934</v>
      </c>
      <c r="G306" s="95">
        <f ca="1"/>
        <v>-4.0634443782073754E-3</v>
      </c>
      <c r="H306" s="92" t="s">
        <v>4</v>
      </c>
      <c r="I306" s="97">
        <f>_xll.meDateFromTenor(I305,"1D","FOLLOWING","TGT")</f>
        <v>42934</v>
      </c>
      <c r="J306" s="95">
        <f ca="1"/>
        <v>-3.069966856940888E-3</v>
      </c>
      <c r="K306" s="5" t="s">
        <v>4</v>
      </c>
      <c r="L306" s="97">
        <f>_xll.meDateFromTenor(L305,"1D","FOLLOWING","TGT")</f>
        <v>42934</v>
      </c>
      <c r="M306" s="95">
        <f ca="1"/>
        <v>-1.7800727633576477E-3</v>
      </c>
      <c r="N306" s="5" t="s">
        <v>4</v>
      </c>
      <c r="O306" s="97">
        <f>_xll.meDateFromTenor(O305,"1D","FOLLOWING","TGT")</f>
        <v>42934</v>
      </c>
      <c r="P306" s="95">
        <f ca="1"/>
        <v>-1.0036966631505546E-4</v>
      </c>
      <c r="Q306" s="5" t="s">
        <v>4</v>
      </c>
      <c r="R306" s="83" t="s">
        <v>4</v>
      </c>
    </row>
    <row r="307" spans="1:18" x14ac:dyDescent="0.25">
      <c r="A307" s="88">
        <v>293</v>
      </c>
      <c r="B307" s="82"/>
      <c r="C307" s="97">
        <f>_xll.meDateFromTenor(C306,"1D","FOLLOWING","TGT")</f>
        <v>42935</v>
      </c>
      <c r="D307" s="95">
        <f ca="1"/>
        <v>-4.2032793484620967E-3</v>
      </c>
      <c r="E307" s="92"/>
      <c r="F307" s="97">
        <f>_xll.meDateFromTenor(F306,"1D","FOLLOWING","TGT")</f>
        <v>42935</v>
      </c>
      <c r="G307" s="95">
        <f ca="1"/>
        <v>-4.0641426712437661E-3</v>
      </c>
      <c r="H307" s="92" t="s">
        <v>4</v>
      </c>
      <c r="I307" s="97">
        <f>_xll.meDateFromTenor(I306,"1D","FOLLOWING","TGT")</f>
        <v>42935</v>
      </c>
      <c r="J307" s="95">
        <f ca="1"/>
        <v>-3.0700559194822264E-3</v>
      </c>
      <c r="K307" s="5" t="s">
        <v>4</v>
      </c>
      <c r="L307" s="97">
        <f>_xll.meDateFromTenor(L306,"1D","FOLLOWING","TGT")</f>
        <v>42935</v>
      </c>
      <c r="M307" s="95">
        <f ca="1"/>
        <v>-1.7803214271800807E-3</v>
      </c>
      <c r="N307" s="5" t="s">
        <v>4</v>
      </c>
      <c r="O307" s="97">
        <f>_xll.meDateFromTenor(O306,"1D","FOLLOWING","TGT")</f>
        <v>42935</v>
      </c>
      <c r="P307" s="95">
        <f ca="1"/>
        <v>-9.846658139679345E-5</v>
      </c>
      <c r="Q307" s="5" t="s">
        <v>4</v>
      </c>
      <c r="R307" s="83" t="s">
        <v>4</v>
      </c>
    </row>
    <row r="308" spans="1:18" x14ac:dyDescent="0.25">
      <c r="A308" s="88">
        <v>294</v>
      </c>
      <c r="B308" s="82"/>
      <c r="C308" s="97">
        <f>_xll.meDateFromTenor(C307,"1D","FOLLOWING","TGT")</f>
        <v>42936</v>
      </c>
      <c r="D308" s="95">
        <f ca="1"/>
        <v>-4.2031931479433737E-3</v>
      </c>
      <c r="E308" s="92"/>
      <c r="F308" s="97">
        <f>_xll.meDateFromTenor(F307,"1D","FOLLOWING","TGT")</f>
        <v>42936</v>
      </c>
      <c r="G308" s="95">
        <f ca="1"/>
        <v>-4.0648272728780483E-3</v>
      </c>
      <c r="H308" s="92" t="s">
        <v>4</v>
      </c>
      <c r="I308" s="97">
        <f>_xll.meDateFromTenor(I307,"1D","FOLLOWING","TGT")</f>
        <v>42936</v>
      </c>
      <c r="J308" s="95">
        <f ca="1"/>
        <v>-3.0701449820228566E-3</v>
      </c>
      <c r="K308" s="5" t="s">
        <v>4</v>
      </c>
      <c r="L308" s="97">
        <f>_xll.meDateFromTenor(L307,"1D","FOLLOWING","TGT")</f>
        <v>42936</v>
      </c>
      <c r="M308" s="95">
        <f ca="1"/>
        <v>-1.7805631112010765E-3</v>
      </c>
      <c r="N308" s="5" t="s">
        <v>4</v>
      </c>
      <c r="O308" s="97">
        <f>_xll.meDateFromTenor(O307,"1D","FOLLOWING","TGT")</f>
        <v>42936</v>
      </c>
      <c r="P308" s="95">
        <f ca="1"/>
        <v>-9.6552551212351377E-5</v>
      </c>
      <c r="Q308" s="5" t="s">
        <v>4</v>
      </c>
      <c r="R308" s="83" t="s">
        <v>4</v>
      </c>
    </row>
    <row r="309" spans="1:18" x14ac:dyDescent="0.25">
      <c r="A309" s="88">
        <v>295</v>
      </c>
      <c r="B309" s="82"/>
      <c r="C309" s="97">
        <f>_xll.meDateFromTenor(C308,"1D","FOLLOWING","TGT")</f>
        <v>42937</v>
      </c>
      <c r="D309" s="95">
        <f ca="1"/>
        <v>-4.2031041994704532E-3</v>
      </c>
      <c r="E309" s="92"/>
      <c r="F309" s="97">
        <f>_xll.meDateFromTenor(F308,"1D","FOLLOWING","TGT")</f>
        <v>42937</v>
      </c>
      <c r="G309" s="95">
        <f ca="1"/>
        <v>-4.0654980231839988E-3</v>
      </c>
      <c r="H309" s="92" t="s">
        <v>4</v>
      </c>
      <c r="I309" s="97">
        <f>_xll.meDateFromTenor(I308,"1D","FOLLOWING","TGT")</f>
        <v>42937</v>
      </c>
      <c r="J309" s="95">
        <f ca="1"/>
        <v>-3.070234044563057E-3</v>
      </c>
      <c r="K309" s="5" t="s">
        <v>4</v>
      </c>
      <c r="L309" s="97">
        <f>_xll.meDateFromTenor(L308,"1D","FOLLOWING","TGT")</f>
        <v>42937</v>
      </c>
      <c r="M309" s="95">
        <f ca="1"/>
        <v>-1.7807976868537579E-3</v>
      </c>
      <c r="N309" s="5" t="s">
        <v>4</v>
      </c>
      <c r="O309" s="97">
        <f>_xll.meDateFromTenor(O308,"1D","FOLLOWING","TGT")</f>
        <v>42937</v>
      </c>
      <c r="P309" s="95">
        <f ca="1"/>
        <v>-9.4627595603330463E-5</v>
      </c>
      <c r="Q309" s="5" t="s">
        <v>4</v>
      </c>
      <c r="R309" s="83" t="s">
        <v>4</v>
      </c>
    </row>
    <row r="310" spans="1:18" x14ac:dyDescent="0.25">
      <c r="A310" s="88">
        <v>296</v>
      </c>
      <c r="B310" s="82"/>
      <c r="C310" s="97">
        <f>_xll.meDateFromTenor(C309,"1D","FOLLOWING","TGT")</f>
        <v>42940</v>
      </c>
      <c r="D310" s="95">
        <f ca="1"/>
        <v>-4.2028208697466596E-3</v>
      </c>
      <c r="E310" s="92"/>
      <c r="F310" s="97">
        <f>_xll.meDateFromTenor(F309,"1D","FOLLOWING","TGT")</f>
        <v>42940</v>
      </c>
      <c r="G310" s="95">
        <f ca="1"/>
        <v>-4.0674255668696462E-3</v>
      </c>
      <c r="H310" s="92" t="s">
        <v>4</v>
      </c>
      <c r="I310" s="97">
        <f>_xll.meDateFromTenor(I309,"1D","FOLLOWING","TGT")</f>
        <v>42940</v>
      </c>
      <c r="J310" s="95">
        <f ca="1"/>
        <v>-3.0705012321848696E-3</v>
      </c>
      <c r="K310" s="5" t="s">
        <v>4</v>
      </c>
      <c r="L310" s="97">
        <f>_xll.meDateFromTenor(L309,"1D","FOLLOWING","TGT")</f>
        <v>42940</v>
      </c>
      <c r="M310" s="95">
        <f ca="1"/>
        <v>-1.7814574779331331E-3</v>
      </c>
      <c r="N310" s="5" t="s">
        <v>4</v>
      </c>
      <c r="O310" s="97">
        <f>_xll.meDateFromTenor(O309,"1D","FOLLOWING","TGT")</f>
        <v>42940</v>
      </c>
      <c r="P310" s="95">
        <f ca="1"/>
        <v>-8.8787374644803152E-5</v>
      </c>
      <c r="Q310" s="5" t="s">
        <v>4</v>
      </c>
      <c r="R310" s="83" t="s">
        <v>4</v>
      </c>
    </row>
    <row r="311" spans="1:18" x14ac:dyDescent="0.25">
      <c r="A311" s="88">
        <v>297</v>
      </c>
      <c r="B311" s="82"/>
      <c r="C311" s="97">
        <f>_xll.meDateFromTenor(C310,"1D","FOLLOWING","TGT")</f>
        <v>42941</v>
      </c>
      <c r="D311" s="95">
        <f ca="1"/>
        <v>-4.2027209317602177E-3</v>
      </c>
      <c r="E311" s="92"/>
      <c r="F311" s="97">
        <f>_xll.meDateFromTenor(F310,"1D","FOLLOWING","TGT")</f>
        <v>42941</v>
      </c>
      <c r="G311" s="95">
        <f ca="1"/>
        <v>-4.0680393126000525E-3</v>
      </c>
      <c r="H311" s="92" t="s">
        <v>4</v>
      </c>
      <c r="I311" s="97">
        <f>_xll.meDateFromTenor(I310,"1D","FOLLOWING","TGT")</f>
        <v>42941</v>
      </c>
      <c r="J311" s="95">
        <f ca="1"/>
        <v>-3.0705902947250068E-3</v>
      </c>
      <c r="K311" s="5" t="s">
        <v>4</v>
      </c>
      <c r="L311" s="97">
        <f>_xll.meDateFromTenor(L310,"1D","FOLLOWING","TGT")</f>
        <v>42941</v>
      </c>
      <c r="M311" s="95">
        <f ca="1"/>
        <v>-1.7816623344437755E-3</v>
      </c>
      <c r="N311" s="5" t="s">
        <v>4</v>
      </c>
      <c r="O311" s="97">
        <f>_xll.meDateFromTenor(O310,"1D","FOLLOWING","TGT")</f>
        <v>42941</v>
      </c>
      <c r="P311" s="95">
        <f ca="1"/>
        <v>-8.6818915753475811E-5</v>
      </c>
      <c r="Q311" s="5" t="s">
        <v>4</v>
      </c>
      <c r="R311" s="83" t="s">
        <v>4</v>
      </c>
    </row>
    <row r="312" spans="1:18" x14ac:dyDescent="0.25">
      <c r="A312" s="88">
        <v>298</v>
      </c>
      <c r="B312" s="82"/>
      <c r="C312" s="97">
        <f>_xll.meDateFromTenor(C311,"1D","FOLLOWING","TGT")</f>
        <v>42942</v>
      </c>
      <c r="D312" s="95">
        <f ca="1"/>
        <v>-4.2026182468908324E-3</v>
      </c>
      <c r="E312" s="92"/>
      <c r="F312" s="97">
        <f>_xll.meDateFromTenor(F311,"1D","FOLLOWING","TGT")</f>
        <v>42942</v>
      </c>
      <c r="G312" s="95">
        <f ca="1"/>
        <v>-4.0686384073710192E-3</v>
      </c>
      <c r="H312" s="92" t="s">
        <v>4</v>
      </c>
      <c r="I312" s="97">
        <f>_xll.meDateFromTenor(I311,"1D","FOLLOWING","TGT")</f>
        <v>42942</v>
      </c>
      <c r="J312" s="95">
        <f ca="1"/>
        <v>-3.0706793572650147E-3</v>
      </c>
      <c r="K312" s="5" t="s">
        <v>4</v>
      </c>
      <c r="L312" s="97">
        <f>_xll.meDateFromTenor(L311,"1D","FOLLOWING","TGT")</f>
        <v>42942</v>
      </c>
      <c r="M312" s="95">
        <f ca="1"/>
        <v>-1.7818594397517142E-3</v>
      </c>
      <c r="N312" s="5" t="s">
        <v>4</v>
      </c>
      <c r="O312" s="97">
        <f>_xll.meDateFromTenor(O311,"1D","FOLLOWING","TGT")</f>
        <v>42942</v>
      </c>
      <c r="P312" s="95">
        <f ca="1"/>
        <v>-8.4839630645574396E-5</v>
      </c>
      <c r="Q312" s="5" t="s">
        <v>4</v>
      </c>
      <c r="R312" s="83" t="s">
        <v>4</v>
      </c>
    </row>
    <row r="313" spans="1:18" x14ac:dyDescent="0.25">
      <c r="A313" s="88">
        <v>299</v>
      </c>
      <c r="B313" s="82"/>
      <c r="C313" s="97">
        <f>_xll.meDateFromTenor(C312,"1D","FOLLOWING","TGT")</f>
        <v>42943</v>
      </c>
      <c r="D313" s="95">
        <f ca="1"/>
        <v>-4.2025128150581237E-3</v>
      </c>
      <c r="E313" s="92"/>
      <c r="F313" s="97">
        <f>_xll.meDateFromTenor(F312,"1D","FOLLOWING","TGT")</f>
        <v>42943</v>
      </c>
      <c r="G313" s="95">
        <f ca="1"/>
        <v>-4.0692226912563212E-3</v>
      </c>
      <c r="H313" s="92" t="s">
        <v>4</v>
      </c>
      <c r="I313" s="97">
        <f>_xll.meDateFromTenor(I312,"1D","FOLLOWING","TGT")</f>
        <v>42943</v>
      </c>
      <c r="J313" s="95">
        <f ca="1"/>
        <v>-3.0707684198051557E-3</v>
      </c>
      <c r="K313" s="5" t="s">
        <v>4</v>
      </c>
      <c r="L313" s="97">
        <f>_xll.meDateFromTenor(L312,"1D","FOLLOWING","TGT")</f>
        <v>42943</v>
      </c>
      <c r="M313" s="95">
        <f ca="1"/>
        <v>-1.7820486652900703E-3</v>
      </c>
      <c r="N313" s="5" t="s">
        <v>4</v>
      </c>
      <c r="O313" s="97">
        <f>_xll.meDateFromTenor(O312,"1D","FOLLOWING","TGT")</f>
        <v>42943</v>
      </c>
      <c r="P313" s="95">
        <f ca="1"/>
        <v>-8.28495391626996E-5</v>
      </c>
      <c r="Q313" s="5" t="s">
        <v>4</v>
      </c>
      <c r="R313" s="83" t="s">
        <v>4</v>
      </c>
    </row>
    <row r="314" spans="1:18" x14ac:dyDescent="0.25">
      <c r="A314" s="88">
        <v>300</v>
      </c>
      <c r="B314" s="82"/>
      <c r="C314" s="97">
        <f>_xll.meDateFromTenor(C313,"1D","FOLLOWING","TGT")</f>
        <v>42944</v>
      </c>
      <c r="D314" s="95">
        <f ca="1"/>
        <v>-4.2024046363405843E-3</v>
      </c>
      <c r="E314" s="92"/>
      <c r="F314" s="97">
        <f>_xll.meDateFromTenor(F313,"1D","FOLLOWING","TGT")</f>
        <v>42944</v>
      </c>
      <c r="G314" s="95">
        <f ca="1"/>
        <v>-4.0697920043297389E-3</v>
      </c>
      <c r="H314" s="92" t="s">
        <v>4</v>
      </c>
      <c r="I314" s="97">
        <f>_xll.meDateFromTenor(I313,"1D","FOLLOWING","TGT")</f>
        <v>42944</v>
      </c>
      <c r="J314" s="95">
        <f ca="1"/>
        <v>-3.0708574823456129E-3</v>
      </c>
      <c r="K314" s="5" t="s">
        <v>4</v>
      </c>
      <c r="L314" s="97">
        <f>_xll.meDateFromTenor(L313,"1D","FOLLOWING","TGT")</f>
        <v>42944</v>
      </c>
      <c r="M314" s="95">
        <f ca="1"/>
        <v>-1.7822298824919664E-3</v>
      </c>
      <c r="N314" s="5" t="s">
        <v>4</v>
      </c>
      <c r="O314" s="97">
        <f>_xll.meDateFromTenor(O313,"1D","FOLLOWING","TGT")</f>
        <v>42944</v>
      </c>
      <c r="P314" s="95">
        <f ca="1"/>
        <v>-8.0848661146452712E-5</v>
      </c>
      <c r="Q314" s="5" t="s">
        <v>4</v>
      </c>
      <c r="R314" s="83" t="s">
        <v>4</v>
      </c>
    </row>
    <row r="315" spans="1:18" x14ac:dyDescent="0.25">
      <c r="A315" s="88">
        <v>301</v>
      </c>
      <c r="B315" s="82"/>
      <c r="C315" s="97">
        <f>_xll.meDateFromTenor(C314,"1D","FOLLOWING","TGT")</f>
        <v>42947</v>
      </c>
      <c r="D315" s="95">
        <f ca="1"/>
        <v>-4.2020636207417139E-3</v>
      </c>
      <c r="E315" s="92"/>
      <c r="F315" s="97">
        <f>_xll.meDateFromTenor(F314,"1D","FOLLOWING","TGT")</f>
        <v>42947</v>
      </c>
      <c r="G315" s="95">
        <f ca="1"/>
        <v>-4.0714085194164624E-3</v>
      </c>
      <c r="H315" s="92" t="s">
        <v>4</v>
      </c>
      <c r="I315" s="97">
        <f>_xll.meDateFromTenor(I314,"1D","FOLLOWING","TGT")</f>
        <v>42947</v>
      </c>
      <c r="J315" s="95">
        <f ca="1"/>
        <v>-3.0711246699666045E-3</v>
      </c>
      <c r="K315" s="5" t="s">
        <v>4</v>
      </c>
      <c r="L315" s="97">
        <f>_xll.meDateFromTenor(L314,"1D","FOLLOWING","TGT")</f>
        <v>42947</v>
      </c>
      <c r="M315" s="95">
        <f ca="1"/>
        <v>-1.782724198410115E-3</v>
      </c>
      <c r="N315" s="5" t="s">
        <v>4</v>
      </c>
      <c r="O315" s="97">
        <f>_xll.meDateFromTenor(O314,"1D","FOLLOWING","TGT")</f>
        <v>42947</v>
      </c>
      <c r="P315" s="95">
        <f ca="1"/>
        <v>-7.4781506313487543E-5</v>
      </c>
      <c r="Q315" s="5" t="s">
        <v>4</v>
      </c>
      <c r="R315" s="83" t="s">
        <v>4</v>
      </c>
    </row>
    <row r="316" spans="1:18" x14ac:dyDescent="0.25">
      <c r="A316" s="88">
        <v>302</v>
      </c>
      <c r="B316" s="82"/>
      <c r="C316" s="97">
        <f>_xll.meDateFromTenor(C315,"1D","FOLLOWING","TGT")</f>
        <v>42948</v>
      </c>
      <c r="D316" s="95">
        <f ca="1"/>
        <v>-4.2019444561081087E-3</v>
      </c>
      <c r="E316" s="92"/>
      <c r="F316" s="97">
        <f>_xll.meDateFromTenor(F315,"1D","FOLLOWING","TGT")</f>
        <v>42948</v>
      </c>
      <c r="G316" s="95">
        <f ca="1"/>
        <v>-4.0719163499801187E-3</v>
      </c>
      <c r="H316" s="92" t="s">
        <v>4</v>
      </c>
      <c r="I316" s="97">
        <f>_xll.meDateFromTenor(I315,"1D","FOLLOWING","TGT")</f>
        <v>42948</v>
      </c>
      <c r="J316" s="95">
        <f ca="1"/>
        <v>-3.0712137325066605E-3</v>
      </c>
      <c r="K316" s="5" t="s">
        <v>4</v>
      </c>
      <c r="L316" s="97">
        <f>_xll.meDateFromTenor(L315,"1D","FOLLOWING","TGT")</f>
        <v>42948</v>
      </c>
      <c r="M316" s="95">
        <f ca="1"/>
        <v>-1.7828720965973918E-3</v>
      </c>
      <c r="N316" s="5" t="s">
        <v>4</v>
      </c>
      <c r="O316" s="97">
        <f>_xll.meDateFromTenor(O315,"1D","FOLLOWING","TGT")</f>
        <v>42948</v>
      </c>
      <c r="P316" s="95">
        <f ca="1"/>
        <v>-7.2737680579761064E-5</v>
      </c>
      <c r="Q316" s="5" t="s">
        <v>4</v>
      </c>
      <c r="R316" s="83" t="s">
        <v>4</v>
      </c>
    </row>
    <row r="317" spans="1:18" x14ac:dyDescent="0.25">
      <c r="A317" s="88">
        <v>303</v>
      </c>
      <c r="B317" s="82"/>
      <c r="C317" s="97">
        <f>_xll.meDateFromTenor(C316,"1D","FOLLOWING","TGT")</f>
        <v>42949</v>
      </c>
      <c r="D317" s="95">
        <f ca="1"/>
        <v>-4.2018225452618019E-3</v>
      </c>
      <c r="E317" s="92"/>
      <c r="F317" s="97">
        <f>_xll.meDateFromTenor(F316,"1D","FOLLOWING","TGT")</f>
        <v>42949</v>
      </c>
      <c r="G317" s="95">
        <f ca="1"/>
        <v>-4.0724084101007828E-3</v>
      </c>
      <c r="H317" s="92" t="s">
        <v>4</v>
      </c>
      <c r="I317" s="97">
        <f>_xll.meDateFromTenor(I316,"1D","FOLLOWING","TGT")</f>
        <v>42949</v>
      </c>
      <c r="J317" s="95">
        <f ca="1"/>
        <v>-3.0713027950469225E-3</v>
      </c>
      <c r="K317" s="5" t="s">
        <v>4</v>
      </c>
      <c r="L317" s="97">
        <f>_xll.meDateFromTenor(L316,"1D","FOLLOWING","TGT")</f>
        <v>42949</v>
      </c>
      <c r="M317" s="95">
        <f ca="1"/>
        <v>-1.7830113436138192E-3</v>
      </c>
      <c r="N317" s="5" t="s">
        <v>4</v>
      </c>
      <c r="O317" s="97">
        <f>_xll.meDateFromTenor(O316,"1D","FOLLOWING","TGT")</f>
        <v>42949</v>
      </c>
      <c r="P317" s="95">
        <f ca="1"/>
        <v>-7.0683167520666962E-5</v>
      </c>
      <c r="Q317" s="5" t="s">
        <v>4</v>
      </c>
      <c r="R317" s="83" t="s">
        <v>4</v>
      </c>
    </row>
    <row r="318" spans="1:18" x14ac:dyDescent="0.25">
      <c r="A318" s="88">
        <v>304</v>
      </c>
      <c r="B318" s="82"/>
      <c r="C318" s="97">
        <f>_xll.meDateFromTenor(C317,"1D","FOLLOWING","TGT")</f>
        <v>42950</v>
      </c>
      <c r="D318" s="95">
        <f ca="1"/>
        <v>-4.2016978884404921E-3</v>
      </c>
      <c r="E318" s="92"/>
      <c r="F318" s="97">
        <f>_xll.meDateFromTenor(F317,"1D","FOLLOWING","TGT")</f>
        <v>42950</v>
      </c>
      <c r="G318" s="95">
        <f ca="1"/>
        <v>-4.0728845858264027E-3</v>
      </c>
      <c r="H318" s="92" t="s">
        <v>4</v>
      </c>
      <c r="I318" s="97">
        <f>_xll.meDateFromTenor(I317,"1D","FOLLOWING","TGT")</f>
        <v>42950</v>
      </c>
      <c r="J318" s="95">
        <f ca="1"/>
        <v>-3.0713918575875896E-3</v>
      </c>
      <c r="K318" s="5" t="s">
        <v>4</v>
      </c>
      <c r="L318" s="97">
        <f>_xll.meDateFromTenor(L317,"1D","FOLLOWING","TGT")</f>
        <v>42950</v>
      </c>
      <c r="M318" s="95">
        <f ca="1"/>
        <v>-1.783141810892519E-3</v>
      </c>
      <c r="N318" s="5" t="s">
        <v>4</v>
      </c>
      <c r="O318" s="97">
        <f>_xll.meDateFromTenor(O317,"1D","FOLLOWING","TGT")</f>
        <v>42950</v>
      </c>
      <c r="P318" s="95">
        <f ca="1"/>
        <v>-6.8617986977806446E-5</v>
      </c>
      <c r="Q318" s="5" t="s">
        <v>4</v>
      </c>
      <c r="R318" s="83" t="s">
        <v>4</v>
      </c>
    </row>
    <row r="319" spans="1:18" x14ac:dyDescent="0.25">
      <c r="A319" s="88">
        <v>305</v>
      </c>
      <c r="B319" s="82"/>
      <c r="C319" s="97">
        <f>_xll.meDateFromTenor(C318,"1D","FOLLOWING","TGT")</f>
        <v>42951</v>
      </c>
      <c r="D319" s="95">
        <f ca="1"/>
        <v>-4.2015704856432912E-3</v>
      </c>
      <c r="E319" s="92"/>
      <c r="F319" s="97">
        <f>_xll.meDateFromTenor(F318,"1D","FOLLOWING","TGT")</f>
        <v>42951</v>
      </c>
      <c r="G319" s="95">
        <f ca="1"/>
        <v>-4.0733449471016198E-3</v>
      </c>
      <c r="H319" s="92" t="s">
        <v>4</v>
      </c>
      <c r="I319" s="97">
        <f>_xll.meDateFromTenor(I318,"1D","FOLLOWING","TGT")</f>
        <v>42951</v>
      </c>
      <c r="J319" s="95">
        <f ca="1"/>
        <v>-3.0714809201283499E-3</v>
      </c>
      <c r="K319" s="5" t="s">
        <v>4</v>
      </c>
      <c r="L319" s="97">
        <f>_xll.meDateFromTenor(L318,"1D","FOLLOWING","TGT")</f>
        <v>42951</v>
      </c>
      <c r="M319" s="95">
        <f ca="1"/>
        <v>-1.7832633698666135E-3</v>
      </c>
      <c r="N319" s="5" t="s">
        <v>4</v>
      </c>
      <c r="O319" s="97">
        <f>_xll.meDateFromTenor(O318,"1D","FOLLOWING","TGT")</f>
        <v>42951</v>
      </c>
      <c r="P319" s="95">
        <f ca="1"/>
        <v>-6.654215879278025E-5</v>
      </c>
      <c r="Q319" s="5" t="s">
        <v>4</v>
      </c>
      <c r="R319" s="83" t="s">
        <v>4</v>
      </c>
    </row>
    <row r="320" spans="1:18" x14ac:dyDescent="0.25">
      <c r="A320" s="88">
        <v>306</v>
      </c>
      <c r="B320" s="82"/>
      <c r="C320" s="97">
        <f>_xll.meDateFromTenor(C319,"1D","FOLLOWING","TGT")</f>
        <v>42954</v>
      </c>
      <c r="D320" s="95">
        <f ca="1"/>
        <v>-4.2011718030563472E-3</v>
      </c>
      <c r="E320" s="92"/>
      <c r="F320" s="97">
        <f>_xll.meDateFromTenor(F319,"1D","FOLLOWING","TGT")</f>
        <v>42954</v>
      </c>
      <c r="G320" s="95">
        <f ca="1"/>
        <v>-4.0746323034130264E-3</v>
      </c>
      <c r="H320" s="92" t="s">
        <v>4</v>
      </c>
      <c r="I320" s="97">
        <f>_xll.meDateFromTenor(I319,"1D","FOLLOWING","TGT")</f>
        <v>42954</v>
      </c>
      <c r="J320" s="95">
        <f ca="1"/>
        <v>-3.0717481077478606E-3</v>
      </c>
      <c r="K320" s="5" t="s">
        <v>4</v>
      </c>
      <c r="L320" s="97">
        <f>_xll.meDateFromTenor(L319,"1D","FOLLOWING","TGT")</f>
        <v>42954</v>
      </c>
      <c r="M320" s="95">
        <f ca="1"/>
        <v>-1.7835733112924854E-3</v>
      </c>
      <c r="N320" s="5" t="s">
        <v>4</v>
      </c>
      <c r="O320" s="97">
        <f>_xll.meDateFromTenor(O319,"1D","FOLLOWING","TGT")</f>
        <v>42954</v>
      </c>
      <c r="P320" s="95">
        <f ca="1"/>
        <v>-6.0250986800717787E-5</v>
      </c>
      <c r="Q320" s="5" t="s">
        <v>4</v>
      </c>
      <c r="R320" s="83" t="s">
        <v>4</v>
      </c>
    </row>
    <row r="321" spans="1:18" x14ac:dyDescent="0.25">
      <c r="A321" s="88">
        <v>307</v>
      </c>
      <c r="B321" s="82"/>
      <c r="C321" s="97">
        <f>_xll.meDateFromTenor(C320,"1D","FOLLOWING","TGT")</f>
        <v>42955</v>
      </c>
      <c r="D321" s="95">
        <f ca="1"/>
        <v>-4.2010334178568254E-3</v>
      </c>
      <c r="E321" s="92"/>
      <c r="F321" s="97">
        <f>_xll.meDateFromTenor(F320,"1D","FOLLOWING","TGT")</f>
        <v>42955</v>
      </c>
      <c r="G321" s="95">
        <f ca="1"/>
        <v>-4.0750305660747985E-3</v>
      </c>
      <c r="H321" s="92" t="s">
        <v>4</v>
      </c>
      <c r="I321" s="97">
        <f>_xll.meDateFromTenor(I320,"1D","FOLLOWING","TGT")</f>
        <v>42955</v>
      </c>
      <c r="J321" s="95">
        <f ca="1"/>
        <v>-3.0718371702873047E-3</v>
      </c>
      <c r="K321" s="5" t="s">
        <v>4</v>
      </c>
      <c r="L321" s="97">
        <f>_xll.meDateFromTenor(L320,"1D","FOLLOWING","TGT")</f>
        <v>42955</v>
      </c>
      <c r="M321" s="95">
        <f ca="1"/>
        <v>-1.7836579513793797E-3</v>
      </c>
      <c r="N321" s="5" t="s">
        <v>4</v>
      </c>
      <c r="O321" s="97">
        <f>_xll.meDateFromTenor(O320,"1D","FOLLOWING","TGT")</f>
        <v>42955</v>
      </c>
      <c r="P321" s="95">
        <f ca="1"/>
        <v>-5.8132766463038957E-5</v>
      </c>
      <c r="Q321" s="5" t="s">
        <v>4</v>
      </c>
      <c r="R321" s="83" t="s">
        <v>4</v>
      </c>
    </row>
    <row r="322" spans="1:18" x14ac:dyDescent="0.25">
      <c r="A322" s="88">
        <v>308</v>
      </c>
      <c r="B322" s="82"/>
      <c r="C322" s="97">
        <f>_xll.meDateFromTenor(C321,"1D","FOLLOWING","TGT")</f>
        <v>42956</v>
      </c>
      <c r="D322" s="95">
        <f ca="1"/>
        <v>-4.2008922874716692E-3</v>
      </c>
      <c r="E322" s="92"/>
      <c r="F322" s="97">
        <f>_xll.meDateFromTenor(F321,"1D","FOLLOWING","TGT")</f>
        <v>42956</v>
      </c>
      <c r="G322" s="95">
        <f ca="1"/>
        <v>-4.0754135938802487E-3</v>
      </c>
      <c r="H322" s="92" t="s">
        <v>4</v>
      </c>
      <c r="I322" s="97">
        <f>_xll.meDateFromTenor(I321,"1D","FOLLOWING","TGT")</f>
        <v>42956</v>
      </c>
      <c r="J322" s="95">
        <f ca="1"/>
        <v>-3.0719262328276855E-3</v>
      </c>
      <c r="K322" s="5" t="s">
        <v>4</v>
      </c>
      <c r="L322" s="97">
        <f>_xll.meDateFromTenor(L321,"1D","FOLLOWING","TGT")</f>
        <v>42956</v>
      </c>
      <c r="M322" s="95">
        <f ca="1"/>
        <v>-1.7837330403272793E-3</v>
      </c>
      <c r="N322" s="5" t="s">
        <v>4</v>
      </c>
      <c r="O322" s="97">
        <f>_xll.meDateFromTenor(O321,"1D","FOLLOWING","TGT")</f>
        <v>42956</v>
      </c>
      <c r="P322" s="95">
        <f ca="1"/>
        <v>-5.6003997691199146E-5</v>
      </c>
      <c r="Q322" s="5" t="s">
        <v>4</v>
      </c>
      <c r="R322" s="83" t="s">
        <v>4</v>
      </c>
    </row>
    <row r="323" spans="1:18" x14ac:dyDescent="0.25">
      <c r="A323" s="88">
        <v>309</v>
      </c>
      <c r="B323" s="82"/>
      <c r="C323" s="97">
        <f>_xll.meDateFromTenor(C322,"1D","FOLLOWING","TGT")</f>
        <v>42957</v>
      </c>
      <c r="D323" s="95">
        <f ca="1"/>
        <v>-4.2007484116611815E-3</v>
      </c>
      <c r="E323" s="92"/>
      <c r="F323" s="97">
        <f>_xll.meDateFromTenor(F322,"1D","FOLLOWING","TGT")</f>
        <v>42957</v>
      </c>
      <c r="G323" s="95">
        <f ca="1"/>
        <v>-4.0757815027481926E-3</v>
      </c>
      <c r="H323" s="92" t="s">
        <v>4</v>
      </c>
      <c r="I323" s="97">
        <f>_xll.meDateFromTenor(I322,"1D","FOLLOWING","TGT")</f>
        <v>42957</v>
      </c>
      <c r="J323" s="95">
        <f ca="1"/>
        <v>-3.0720152953682051E-3</v>
      </c>
      <c r="K323" s="5" t="s">
        <v>4</v>
      </c>
      <c r="L323" s="97">
        <f>_xll.meDateFromTenor(L322,"1D","FOLLOWING","TGT")</f>
        <v>42957</v>
      </c>
      <c r="M323" s="95">
        <f ca="1"/>
        <v>-1.7837984495693057E-3</v>
      </c>
      <c r="N323" s="5" t="s">
        <v>4</v>
      </c>
      <c r="O323" s="97">
        <f>_xll.meDateFromTenor(O322,"1D","FOLLOWING","TGT")</f>
        <v>42957</v>
      </c>
      <c r="P323" s="95">
        <f ca="1"/>
        <v>-5.3864700326799669E-5</v>
      </c>
      <c r="Q323" s="5" t="s">
        <v>4</v>
      </c>
      <c r="R323" s="83" t="s">
        <v>4</v>
      </c>
    </row>
    <row r="324" spans="1:18" x14ac:dyDescent="0.25">
      <c r="A324" s="88">
        <v>310</v>
      </c>
      <c r="B324" s="82"/>
      <c r="C324" s="97">
        <f>_xll.meDateFromTenor(C323,"1D","FOLLOWING","TGT")</f>
        <v>42958</v>
      </c>
      <c r="D324" s="95">
        <f ca="1"/>
        <v>-4.200601791100711E-3</v>
      </c>
      <c r="E324" s="92"/>
      <c r="F324" s="97">
        <f>_xll.meDateFromTenor(F323,"1D","FOLLOWING","TGT")</f>
        <v>42958</v>
      </c>
      <c r="G324" s="95">
        <f ca="1"/>
        <v>-4.076134408597447E-3</v>
      </c>
      <c r="H324" s="92" t="s">
        <v>4</v>
      </c>
      <c r="I324" s="97">
        <f>_xll.meDateFromTenor(I323,"1D","FOLLOWING","TGT")</f>
        <v>42958</v>
      </c>
      <c r="J324" s="95">
        <f ca="1"/>
        <v>-3.072104357908099E-3</v>
      </c>
      <c r="K324" s="5" t="s">
        <v>4</v>
      </c>
      <c r="L324" s="97">
        <f>_xll.meDateFromTenor(L323,"1D","FOLLOWING","TGT")</f>
        <v>42958</v>
      </c>
      <c r="M324" s="95">
        <f ca="1"/>
        <v>-1.7838540505385814E-3</v>
      </c>
      <c r="N324" s="5" t="s">
        <v>4</v>
      </c>
      <c r="O324" s="97">
        <f>_xll.meDateFromTenor(O323,"1D","FOLLOWING","TGT")</f>
        <v>42958</v>
      </c>
      <c r="P324" s="95">
        <f ca="1"/>
        <v>-5.171489421144114E-5</v>
      </c>
      <c r="Q324" s="5" t="s">
        <v>4</v>
      </c>
      <c r="R324" s="83" t="s">
        <v>4</v>
      </c>
    </row>
    <row r="325" spans="1:18" x14ac:dyDescent="0.25">
      <c r="A325" s="88">
        <v>311</v>
      </c>
      <c r="B325" s="82"/>
      <c r="C325" s="97">
        <f>_xll.meDateFromTenor(C324,"1D","FOLLOWING","TGT")</f>
        <v>42961</v>
      </c>
      <c r="D325" s="95">
        <f ca="1"/>
        <v>-4.2001454602700328E-3</v>
      </c>
      <c r="E325" s="92"/>
      <c r="F325" s="97">
        <f>_xll.meDateFromTenor(F324,"1D","FOLLOWING","TGT")</f>
        <v>42961</v>
      </c>
      <c r="G325" s="95">
        <f ca="1"/>
        <v>-4.0771042672212293E-3</v>
      </c>
      <c r="H325" s="92" t="s">
        <v>4</v>
      </c>
      <c r="I325" s="97">
        <f>_xll.meDateFromTenor(I324,"1D","FOLLOWING","TGT")</f>
        <v>42961</v>
      </c>
      <c r="J325" s="95">
        <f ca="1"/>
        <v>-3.0723715455303426E-3</v>
      </c>
      <c r="K325" s="5" t="s">
        <v>4</v>
      </c>
      <c r="L325" s="97">
        <f>_xll.meDateFromTenor(L324,"1D","FOLLOWING","TGT")</f>
        <v>42961</v>
      </c>
      <c r="M325" s="95">
        <f ca="1"/>
        <v>-1.7839607181411275E-3</v>
      </c>
      <c r="N325" s="5" t="s">
        <v>4</v>
      </c>
      <c r="O325" s="97">
        <f>_xll.meDateFromTenor(O324,"1D","FOLLOWING","TGT")</f>
        <v>42961</v>
      </c>
      <c r="P325" s="95">
        <f ca="1"/>
        <v>-4.5202621775621935E-5</v>
      </c>
      <c r="Q325" s="5" t="s">
        <v>4</v>
      </c>
      <c r="R325" s="83" t="s">
        <v>4</v>
      </c>
    </row>
    <row r="326" spans="1:18" x14ac:dyDescent="0.25">
      <c r="A326" s="88">
        <v>312</v>
      </c>
      <c r="B326" s="82"/>
      <c r="C326" s="97">
        <f>_xll.meDateFromTenor(C325,"1D","FOLLOWING","TGT")</f>
        <v>42962</v>
      </c>
      <c r="D326" s="95">
        <f ca="1"/>
        <v>-4.1999878606573393E-3</v>
      </c>
      <c r="E326" s="92"/>
      <c r="F326" s="97">
        <f>_xll.meDateFromTenor(F325,"1D","FOLLOWING","TGT")</f>
        <v>42962</v>
      </c>
      <c r="G326" s="95">
        <f ca="1"/>
        <v>-4.0773983201838823E-3</v>
      </c>
      <c r="H326" s="92" t="s">
        <v>4</v>
      </c>
      <c r="I326" s="97">
        <f>_xll.meDateFromTenor(I325,"1D","FOLLOWING","TGT")</f>
        <v>42962</v>
      </c>
      <c r="J326" s="95">
        <f ca="1"/>
        <v>-3.0724606080701294E-3</v>
      </c>
      <c r="K326" s="5" t="s">
        <v>4</v>
      </c>
      <c r="L326" s="97">
        <f>_xll.meDateFromTenor(L325,"1D","FOLLOWING","TGT")</f>
        <v>42962</v>
      </c>
      <c r="M326" s="95">
        <f ca="1"/>
        <v>-1.7839758003506221E-3</v>
      </c>
      <c r="N326" s="5" t="s">
        <v>4</v>
      </c>
      <c r="O326" s="97">
        <f>_xll.meDateFromTenor(O325,"1D","FOLLOWING","TGT")</f>
        <v>42962</v>
      </c>
      <c r="P326" s="95">
        <f ca="1"/>
        <v>-4.3010979072437554E-5</v>
      </c>
      <c r="Q326" s="5" t="s">
        <v>4</v>
      </c>
      <c r="R326" s="83" t="s">
        <v>4</v>
      </c>
    </row>
    <row r="327" spans="1:18" x14ac:dyDescent="0.25">
      <c r="A327" s="88">
        <v>313</v>
      </c>
      <c r="B327" s="82"/>
      <c r="C327" s="97">
        <f>_xll.meDateFromTenor(C326,"1D","FOLLOWING","TGT")</f>
        <v>42963</v>
      </c>
      <c r="D327" s="95">
        <f ca="1"/>
        <v>-4.1998275168455557E-3</v>
      </c>
      <c r="E327" s="92"/>
      <c r="F327" s="97">
        <f>_xll.meDateFromTenor(F326,"1D","FOLLOWING","TGT")</f>
        <v>42963</v>
      </c>
      <c r="G327" s="95">
        <f ca="1"/>
        <v>-4.0776779497219244E-3</v>
      </c>
      <c r="H327" s="92" t="s">
        <v>4</v>
      </c>
      <c r="I327" s="97">
        <f>_xll.meDateFromTenor(I326,"1D","FOLLOWING","TGT")</f>
        <v>42963</v>
      </c>
      <c r="J327" s="95">
        <f ca="1"/>
        <v>-3.0725496706096992E-3</v>
      </c>
      <c r="K327" s="5" t="s">
        <v>4</v>
      </c>
      <c r="L327" s="97">
        <f>_xll.meDateFromTenor(L326,"1D","FOLLOWING","TGT")</f>
        <v>42963</v>
      </c>
      <c r="M327" s="95">
        <f ca="1"/>
        <v>-1.7839804314529765E-3</v>
      </c>
      <c r="N327" s="5" t="s">
        <v>4</v>
      </c>
      <c r="O327" s="97">
        <f>_xll.meDateFromTenor(O326,"1D","FOLLOWING","TGT")</f>
        <v>42963</v>
      </c>
      <c r="P327" s="95">
        <f ca="1"/>
        <v>-4.0808926826298956E-5</v>
      </c>
      <c r="Q327" s="5" t="s">
        <v>4</v>
      </c>
      <c r="R327" s="83" t="s">
        <v>4</v>
      </c>
    </row>
    <row r="328" spans="1:18" x14ac:dyDescent="0.25">
      <c r="A328" s="88">
        <v>314</v>
      </c>
      <c r="B328" s="82"/>
      <c r="C328" s="97">
        <f>_xll.meDateFromTenor(C327,"1D","FOLLOWING","TGT")</f>
        <v>42964</v>
      </c>
      <c r="D328" s="95">
        <f ca="1"/>
        <v>-4.1996644286343976E-3</v>
      </c>
      <c r="E328" s="92"/>
      <c r="F328" s="97">
        <f>_xll.meDateFromTenor(F327,"1D","FOLLOWING","TGT")</f>
        <v>42964</v>
      </c>
      <c r="G328" s="95">
        <f ca="1"/>
        <v>-4.0779432717541701E-3</v>
      </c>
      <c r="H328" s="92" t="s">
        <v>4</v>
      </c>
      <c r="I328" s="97">
        <f>_xll.meDateFromTenor(I327,"1D","FOLLOWING","TGT")</f>
        <v>42964</v>
      </c>
      <c r="J328" s="95">
        <f ca="1"/>
        <v>-3.0726387331501165E-3</v>
      </c>
      <c r="K328" s="5" t="s">
        <v>4</v>
      </c>
      <c r="L328" s="97">
        <f>_xll.meDateFromTenor(L327,"1D","FOLLOWING","TGT")</f>
        <v>42964</v>
      </c>
      <c r="M328" s="95">
        <f ca="1"/>
        <v>-1.7839744828813135E-3</v>
      </c>
      <c r="N328" s="5" t="s">
        <v>4</v>
      </c>
      <c r="O328" s="97">
        <f>_xll.meDateFromTenor(O327,"1D","FOLLOWING","TGT")</f>
        <v>42964</v>
      </c>
      <c r="P328" s="95">
        <f ca="1"/>
        <v>-3.859648487880732E-5</v>
      </c>
      <c r="Q328" s="5" t="s">
        <v>4</v>
      </c>
      <c r="R328" s="83" t="s">
        <v>4</v>
      </c>
    </row>
    <row r="329" spans="1:18" x14ac:dyDescent="0.25">
      <c r="A329" s="88">
        <v>315</v>
      </c>
      <c r="B329" s="82"/>
      <c r="C329" s="97">
        <f>_xll.meDateFromTenor(C328,"1D","FOLLOWING","TGT")</f>
        <v>42965</v>
      </c>
      <c r="D329" s="95">
        <f ca="1"/>
        <v>-4.1994985963408338E-3</v>
      </c>
      <c r="E329" s="92"/>
      <c r="F329" s="97">
        <f>_xll.meDateFromTenor(F328,"1D","FOLLOWING","TGT")</f>
        <v>42965</v>
      </c>
      <c r="G329" s="95">
        <f ca="1"/>
        <v>-4.0781944021994389E-3</v>
      </c>
      <c r="H329" s="92" t="s">
        <v>4</v>
      </c>
      <c r="I329" s="97">
        <f>_xll.meDateFromTenor(I328,"1D","FOLLOWING","TGT")</f>
        <v>42965</v>
      </c>
      <c r="J329" s="95">
        <f ca="1"/>
        <v>-3.0727277956906262E-3</v>
      </c>
      <c r="K329" s="5" t="s">
        <v>4</v>
      </c>
      <c r="L329" s="97">
        <f>_xll.meDateFromTenor(L328,"1D","FOLLOWING","TGT")</f>
        <v>42965</v>
      </c>
      <c r="M329" s="95">
        <f ca="1"/>
        <v>-1.7839578260687543E-3</v>
      </c>
      <c r="N329" s="5" t="s">
        <v>4</v>
      </c>
      <c r="O329" s="97">
        <f>_xll.meDateFromTenor(O328,"1D","FOLLOWING","TGT")</f>
        <v>42965</v>
      </c>
      <c r="P329" s="95">
        <f ca="1"/>
        <v>-3.6373673071563354E-5</v>
      </c>
      <c r="Q329" s="5" t="s">
        <v>4</v>
      </c>
      <c r="R329" s="83" t="s">
        <v>4</v>
      </c>
    </row>
    <row r="330" spans="1:18" x14ac:dyDescent="0.25">
      <c r="A330" s="88">
        <v>316</v>
      </c>
      <c r="B330" s="82"/>
      <c r="C330" s="97">
        <f>_xll.meDateFromTenor(C329,"1D","FOLLOWING","TGT")</f>
        <v>42968</v>
      </c>
      <c r="D330" s="95">
        <f ca="1"/>
        <v>-4.1989846358281291E-3</v>
      </c>
      <c r="E330" s="92"/>
      <c r="F330" s="97">
        <f>_xll.meDateFromTenor(F329,"1D","FOLLOWING","TGT")</f>
        <v>42968</v>
      </c>
      <c r="G330" s="95">
        <f ca="1"/>
        <v>-4.0788638032015273E-3</v>
      </c>
      <c r="H330" s="92" t="s">
        <v>4</v>
      </c>
      <c r="I330" s="97">
        <f>_xll.meDateFromTenor(I329,"1D","FOLLOWING","TGT")</f>
        <v>42968</v>
      </c>
      <c r="J330" s="95">
        <f ca="1"/>
        <v>-3.0729949833118221E-3</v>
      </c>
      <c r="K330" s="5" t="s">
        <v>4</v>
      </c>
      <c r="L330" s="97">
        <f>_xll.meDateFromTenor(L329,"1D","FOLLOWING","TGT")</f>
        <v>42968</v>
      </c>
      <c r="M330" s="95">
        <f ca="1"/>
        <v>-1.7838423205169232E-3</v>
      </c>
      <c r="N330" s="5" t="s">
        <v>4</v>
      </c>
      <c r="O330" s="97">
        <f>_xll.meDateFromTenor(O329,"1D","FOLLOWING","TGT")</f>
        <v>42968</v>
      </c>
      <c r="P330" s="95">
        <f ca="1"/>
        <v>-2.9643216907328173E-5</v>
      </c>
      <c r="Q330" s="5" t="s">
        <v>4</v>
      </c>
      <c r="R330" s="83" t="s">
        <v>4</v>
      </c>
    </row>
    <row r="331" spans="1:18" x14ac:dyDescent="0.25">
      <c r="A331" s="88">
        <v>317</v>
      </c>
      <c r="B331" s="82"/>
      <c r="C331" s="97">
        <f>_xll.meDateFromTenor(C330,"1D","FOLLOWING","TGT")</f>
        <v>42969</v>
      </c>
      <c r="D331" s="95">
        <f ca="1"/>
        <v>-4.1988078282659824E-3</v>
      </c>
      <c r="E331" s="92"/>
      <c r="F331" s="97">
        <f>_xll.meDateFromTenor(F330,"1D","FOLLOWING","TGT")</f>
        <v>42969</v>
      </c>
      <c r="G331" s="95">
        <f ca="1"/>
        <v>-4.0790593264870365E-3</v>
      </c>
      <c r="H331" s="92" t="s">
        <v>4</v>
      </c>
      <c r="I331" s="97">
        <f>_xll.meDateFromTenor(I330,"1D","FOLLOWING","TGT")</f>
        <v>42969</v>
      </c>
      <c r="J331" s="95">
        <f ca="1"/>
        <v>-3.0730840458518195E-3</v>
      </c>
      <c r="K331" s="5" t="s">
        <v>4</v>
      </c>
      <c r="L331" s="97">
        <f>_xll.meDateFromTenor(L330,"1D","FOLLOWING","TGT")</f>
        <v>42969</v>
      </c>
      <c r="M331" s="95">
        <f ca="1"/>
        <v>-1.783781545072002E-3</v>
      </c>
      <c r="N331" s="5" t="s">
        <v>4</v>
      </c>
      <c r="O331" s="97">
        <f>_xll.meDateFromTenor(O330,"1D","FOLLOWING","TGT")</f>
        <v>42969</v>
      </c>
      <c r="P331" s="95">
        <f ca="1"/>
        <v>-2.7379124077084974E-5</v>
      </c>
      <c r="Q331" s="5" t="s">
        <v>4</v>
      </c>
      <c r="R331" s="83" t="s">
        <v>4</v>
      </c>
    </row>
    <row r="332" spans="1:18" x14ac:dyDescent="0.25">
      <c r="A332" s="88">
        <v>318</v>
      </c>
      <c r="B332" s="82"/>
      <c r="C332" s="97">
        <f>_xll.meDateFromTenor(C331,"1D","FOLLOWING","TGT")</f>
        <v>42970</v>
      </c>
      <c r="D332" s="95">
        <f ca="1"/>
        <v>-4.1986282772114025E-3</v>
      </c>
      <c r="E332" s="92"/>
      <c r="F332" s="97">
        <f>_xll.meDateFromTenor(F331,"1D","FOLLOWING","TGT")</f>
        <v>42970</v>
      </c>
      <c r="G332" s="95">
        <f ca="1"/>
        <v>-4.0792412377796475E-3</v>
      </c>
      <c r="H332" s="92" t="s">
        <v>4</v>
      </c>
      <c r="I332" s="97">
        <f>_xll.meDateFromTenor(I331,"1D","FOLLOWING","TGT")</f>
        <v>42970</v>
      </c>
      <c r="J332" s="95">
        <f ca="1"/>
        <v>-3.0731731083896009E-3</v>
      </c>
      <c r="K332" s="5" t="s">
        <v>4</v>
      </c>
      <c r="L332" s="97">
        <f>_xll.meDateFromTenor(L331,"1D","FOLLOWING","TGT")</f>
        <v>42970</v>
      </c>
      <c r="M332" s="95">
        <f ca="1"/>
        <v>-1.7837094185517953E-3</v>
      </c>
      <c r="N332" s="5" t="s">
        <v>4</v>
      </c>
      <c r="O332" s="97">
        <f>_xll.meDateFromTenor(O331,"1D","FOLLOWING","TGT")</f>
        <v>42970</v>
      </c>
      <c r="P332" s="95">
        <f ca="1"/>
        <v>-2.5104760595094565E-5</v>
      </c>
      <c r="Q332" s="5" t="s">
        <v>4</v>
      </c>
      <c r="R332" s="83" t="s">
        <v>4</v>
      </c>
    </row>
    <row r="333" spans="1:18" x14ac:dyDescent="0.25">
      <c r="A333" s="88">
        <v>319</v>
      </c>
      <c r="B333" s="82"/>
      <c r="C333" s="97">
        <f>_xll.meDateFromTenor(C332,"1D","FOLLOWING","TGT")</f>
        <v>42971</v>
      </c>
      <c r="D333" s="95">
        <f ca="1"/>
        <v>-4.1984459826232001E-3</v>
      </c>
      <c r="E333" s="92"/>
      <c r="F333" s="97">
        <f>_xll.meDateFromTenor(F332,"1D","FOLLOWING","TGT")</f>
        <v>42971</v>
      </c>
      <c r="G333" s="95">
        <f ca="1"/>
        <v>-4.0794096529981729E-3</v>
      </c>
      <c r="H333" s="92" t="s">
        <v>4</v>
      </c>
      <c r="I333" s="97">
        <f>_xll.meDateFromTenor(I332,"1D","FOLLOWING","TGT")</f>
        <v>42971</v>
      </c>
      <c r="J333" s="95">
        <f ca="1"/>
        <v>-3.0732621709319598E-3</v>
      </c>
      <c r="K333" s="5" t="s">
        <v>4</v>
      </c>
      <c r="L333" s="97">
        <f>_xll.meDateFromTenor(L332,"1D","FOLLOWING","TGT")</f>
        <v>42971</v>
      </c>
      <c r="M333" s="95">
        <f ca="1"/>
        <v>-1.7836258123894258E-3</v>
      </c>
      <c r="N333" s="5" t="s">
        <v>4</v>
      </c>
      <c r="O333" s="97">
        <f>_xll.meDateFromTenor(O332,"1D","FOLLOWING","TGT")</f>
        <v>42971</v>
      </c>
      <c r="P333" s="95">
        <f ca="1"/>
        <v>-2.2820146302957476E-5</v>
      </c>
      <c r="Q333" s="5" t="s">
        <v>4</v>
      </c>
      <c r="R333" s="83" t="s">
        <v>4</v>
      </c>
    </row>
    <row r="334" spans="1:18" x14ac:dyDescent="0.25">
      <c r="A334" s="88">
        <v>320</v>
      </c>
      <c r="B334" s="82"/>
      <c r="C334" s="97">
        <f>_xll.meDateFromTenor(C333,"1D","FOLLOWING","TGT")</f>
        <v>42972</v>
      </c>
      <c r="D334" s="95">
        <f ca="1"/>
        <v>-4.1982609449774388E-3</v>
      </c>
      <c r="E334" s="92"/>
      <c r="F334" s="97">
        <f>_xll.meDateFromTenor(F333,"1D","FOLLOWING","TGT")</f>
        <v>42972</v>
      </c>
      <c r="G334" s="95">
        <f ca="1"/>
        <v>-4.0795646880614315E-3</v>
      </c>
      <c r="H334" s="92" t="s">
        <v>4</v>
      </c>
      <c r="I334" s="97">
        <f>_xll.meDateFromTenor(I333,"1D","FOLLOWING","TGT")</f>
        <v>42972</v>
      </c>
      <c r="J334" s="95">
        <f ca="1"/>
        <v>-3.0733512334810038E-3</v>
      </c>
      <c r="K334" s="5" t="s">
        <v>4</v>
      </c>
      <c r="L334" s="97">
        <f>_xll.meDateFromTenor(L333,"1D","FOLLOWING","TGT")</f>
        <v>42972</v>
      </c>
      <c r="M334" s="95">
        <f ca="1"/>
        <v>-1.7835305980180146E-3</v>
      </c>
      <c r="N334" s="5" t="s">
        <v>4</v>
      </c>
      <c r="O334" s="97">
        <f>_xll.meDateFromTenor(O333,"1D","FOLLOWING","TGT")</f>
        <v>42972</v>
      </c>
      <c r="P334" s="95">
        <f ca="1"/>
        <v>-2.05253010422749E-5</v>
      </c>
      <c r="Q334" s="5" t="s">
        <v>4</v>
      </c>
      <c r="R334" s="83" t="s">
        <v>4</v>
      </c>
    </row>
    <row r="335" spans="1:18" x14ac:dyDescent="0.25">
      <c r="A335" s="88">
        <v>321</v>
      </c>
      <c r="B335" s="82"/>
      <c r="C335" s="97">
        <f>_xll.meDateFromTenor(C334,"1D","FOLLOWING","TGT")</f>
        <v>42975</v>
      </c>
      <c r="D335" s="95">
        <f ca="1"/>
        <v>-4.1976893736395127E-3</v>
      </c>
      <c r="E335" s="92"/>
      <c r="F335" s="97">
        <f>_xll.meDateFromTenor(F334,"1D","FOLLOWING","TGT")</f>
        <v>42975</v>
      </c>
      <c r="G335" s="95">
        <f ca="1"/>
        <v>-4.0799506715077562E-3</v>
      </c>
      <c r="H335" s="92" t="s">
        <v>4</v>
      </c>
      <c r="I335" s="97">
        <f>_xll.meDateFromTenor(I334,"1D","FOLLOWING","TGT")</f>
        <v>42975</v>
      </c>
      <c r="J335" s="95">
        <f ca="1"/>
        <v>-3.0736184210940023E-3</v>
      </c>
      <c r="K335" s="5" t="s">
        <v>4</v>
      </c>
      <c r="L335" s="97">
        <f>_xll.meDateFromTenor(L334,"1D","FOLLOWING","TGT")</f>
        <v>42975</v>
      </c>
      <c r="M335" s="95">
        <f ca="1"/>
        <v>-1.7831740199807571E-3</v>
      </c>
      <c r="N335" s="5" t="s">
        <v>4</v>
      </c>
      <c r="O335" s="97">
        <f>_xll.meDateFromTenor(O334,"1D","FOLLOWING","TGT")</f>
        <v>42975</v>
      </c>
      <c r="P335" s="95">
        <f ca="1"/>
        <v>-1.3579577864964118E-5</v>
      </c>
      <c r="Q335" s="5" t="s">
        <v>4</v>
      </c>
      <c r="R335" s="83" t="s">
        <v>4</v>
      </c>
    </row>
    <row r="336" spans="1:18" x14ac:dyDescent="0.25">
      <c r="A336" s="88">
        <v>322</v>
      </c>
      <c r="B336" s="82"/>
      <c r="C336" s="97">
        <f>_xll.meDateFromTenor(C335,"1D","FOLLOWING","TGT")</f>
        <v>42976</v>
      </c>
      <c r="D336" s="95">
        <f ca="1"/>
        <v>-4.1974933639868928E-3</v>
      </c>
      <c r="E336" s="92"/>
      <c r="F336" s="97">
        <f>_xll.meDateFromTenor(F335,"1D","FOLLOWING","TGT")</f>
        <v>42976</v>
      </c>
      <c r="G336" s="95">
        <f ca="1"/>
        <v>-4.0800533451381014E-3</v>
      </c>
      <c r="H336" s="92" t="s">
        <v>4</v>
      </c>
      <c r="I336" s="97">
        <f>_xll.meDateFromTenor(I335,"1D","FOLLOWING","TGT")</f>
        <v>42976</v>
      </c>
      <c r="J336" s="95">
        <f ca="1"/>
        <v>-3.073707483760714E-3</v>
      </c>
      <c r="K336" s="5" t="s">
        <v>4</v>
      </c>
      <c r="L336" s="97">
        <f>_xll.meDateFromTenor(L335,"1D","FOLLOWING","TGT")</f>
        <v>42976</v>
      </c>
      <c r="M336" s="95">
        <f ca="1"/>
        <v>-1.7830310871044025E-3</v>
      </c>
      <c r="N336" s="5" t="s">
        <v>4</v>
      </c>
      <c r="O336" s="97">
        <f>_xll.meDateFromTenor(O335,"1D","FOLLOWING","TGT")</f>
        <v>42976</v>
      </c>
      <c r="P336" s="95">
        <f ca="1"/>
        <v>-1.124400714610912E-5</v>
      </c>
      <c r="Q336" s="5" t="s">
        <v>4</v>
      </c>
      <c r="R336" s="83" t="s">
        <v>4</v>
      </c>
    </row>
    <row r="337" spans="1:18" x14ac:dyDescent="0.25">
      <c r="A337" s="88">
        <v>323</v>
      </c>
      <c r="B337" s="82"/>
      <c r="C337" s="97">
        <f>_xll.meDateFromTenor(C336,"1D","FOLLOWING","TGT")</f>
        <v>42977</v>
      </c>
      <c r="D337" s="95">
        <f ca="1"/>
        <v>-4.1972946119055443E-3</v>
      </c>
      <c r="E337" s="92"/>
      <c r="F337" s="97">
        <f>_xll.meDateFromTenor(F336,"1D","FOLLOWING","TGT")</f>
        <v>42977</v>
      </c>
      <c r="G337" s="95">
        <f ca="1"/>
        <v>-4.0801432182072574E-3</v>
      </c>
      <c r="H337" s="92" t="s">
        <v>4</v>
      </c>
      <c r="I337" s="97">
        <f>_xll.meDateFromTenor(I336,"1D","FOLLOWING","TGT")</f>
        <v>42977</v>
      </c>
      <c r="J337" s="95">
        <f ca="1"/>
        <v>-3.073796546174849E-3</v>
      </c>
      <c r="K337" s="5" t="s">
        <v>4</v>
      </c>
      <c r="L337" s="97">
        <f>_xll.meDateFromTenor(L336,"1D","FOLLOWING","TGT")</f>
        <v>42977</v>
      </c>
      <c r="M337" s="95">
        <f ca="1"/>
        <v>-1.782875903184618E-3</v>
      </c>
      <c r="N337" s="5" t="s">
        <v>4</v>
      </c>
      <c r="O337" s="97">
        <f>_xll.meDateFromTenor(O336,"1D","FOLLOWING","TGT")</f>
        <v>42977</v>
      </c>
      <c r="P337" s="95">
        <f ca="1"/>
        <v>-8.8983046667135513E-6</v>
      </c>
      <c r="Q337" s="5" t="s">
        <v>4</v>
      </c>
      <c r="R337" s="83" t="s">
        <v>4</v>
      </c>
    </row>
    <row r="338" spans="1:18" x14ac:dyDescent="0.25">
      <c r="A338" s="88">
        <v>324</v>
      </c>
      <c r="B338" s="82"/>
      <c r="C338" s="97">
        <f>_xll.meDateFromTenor(C337,"1D","FOLLOWING","TGT")</f>
        <v>42978</v>
      </c>
      <c r="D338" s="95">
        <f ca="1"/>
        <v>-4.197093117354167E-3</v>
      </c>
      <c r="E338" s="92"/>
      <c r="F338" s="97">
        <f>_xll.meDateFromTenor(F337,"1D","FOLLOWING","TGT")</f>
        <v>42978</v>
      </c>
      <c r="G338" s="95">
        <f ca="1"/>
        <v>-4.0802204066340397E-3</v>
      </c>
      <c r="H338" s="92" t="s">
        <v>4</v>
      </c>
      <c r="I338" s="97">
        <f>_xll.meDateFromTenor(I337,"1D","FOLLOWING","TGT")</f>
        <v>42978</v>
      </c>
      <c r="J338" s="95">
        <f ca="1"/>
        <v>-3.0738856082441145E-3</v>
      </c>
      <c r="K338" s="5" t="s">
        <v>4</v>
      </c>
      <c r="L338" s="97">
        <f>_xll.meDateFromTenor(L337,"1D","FOLLOWING","TGT")</f>
        <v>42978</v>
      </c>
      <c r="M338" s="95">
        <f ca="1"/>
        <v>-1.7827083396545252E-3</v>
      </c>
      <c r="N338" s="5" t="s">
        <v>4</v>
      </c>
      <c r="O338" s="97">
        <f>_xll.meDateFromTenor(O337,"1D","FOLLOWING","TGT")</f>
        <v>42978</v>
      </c>
      <c r="P338" s="95">
        <f ca="1"/>
        <v>-6.5424902683780794E-6</v>
      </c>
      <c r="Q338" s="5" t="s">
        <v>4</v>
      </c>
      <c r="R338" s="83" t="s">
        <v>4</v>
      </c>
    </row>
    <row r="339" spans="1:18" x14ac:dyDescent="0.25">
      <c r="A339" s="88">
        <v>325</v>
      </c>
      <c r="B339" s="82"/>
      <c r="C339" s="97">
        <f>_xll.meDateFromTenor(C338,"1D","FOLLOWING","TGT")</f>
        <v>42979</v>
      </c>
      <c r="D339" s="95">
        <f ca="1"/>
        <v>-4.1968888803708415E-3</v>
      </c>
      <c r="E339" s="92"/>
      <c r="F339" s="97">
        <f>_xll.meDateFromTenor(F338,"1D","FOLLOWING","TGT")</f>
        <v>42979</v>
      </c>
      <c r="G339" s="95">
        <f ca="1"/>
        <v>-4.0802850263372652E-3</v>
      </c>
      <c r="H339" s="92" t="s">
        <v>4</v>
      </c>
      <c r="I339" s="97">
        <f>_xll.meDateFromTenor(I338,"1D","FOLLOWING","TGT")</f>
        <v>42979</v>
      </c>
      <c r="J339" s="95">
        <f ca="1"/>
        <v>-3.0739746712542724E-3</v>
      </c>
      <c r="K339" s="5" t="s">
        <v>4</v>
      </c>
      <c r="L339" s="97">
        <f>_xll.meDateFromTenor(L338,"1D","FOLLOWING","TGT")</f>
        <v>42979</v>
      </c>
      <c r="M339" s="95">
        <f ca="1"/>
        <v>-1.7825282679472456E-3</v>
      </c>
      <c r="N339" s="5" t="s">
        <v>4</v>
      </c>
      <c r="O339" s="97">
        <f>_xll.meDateFromTenor(O338,"1D","FOLLOWING","TGT")</f>
        <v>42979</v>
      </c>
      <c r="P339" s="95">
        <f ca="1"/>
        <v>-4.1765837927039661E-6</v>
      </c>
      <c r="Q339" s="5" t="s">
        <v>4</v>
      </c>
      <c r="R339" s="83" t="s">
        <v>4</v>
      </c>
    </row>
    <row r="340" spans="1:18" x14ac:dyDescent="0.25">
      <c r="A340" s="88">
        <v>326</v>
      </c>
      <c r="B340" s="82"/>
      <c r="C340" s="97">
        <f>_xll.meDateFromTenor(C339,"1D","FOLLOWING","TGT")</f>
        <v>42982</v>
      </c>
      <c r="D340" s="95">
        <f ca="1"/>
        <v>-4.1962618941437935E-3</v>
      </c>
      <c r="E340" s="92"/>
      <c r="F340" s="97">
        <f>_xll.meDateFromTenor(F339,"1D","FOLLOWING","TGT")</f>
        <v>42982</v>
      </c>
      <c r="G340" s="95">
        <f ca="1"/>
        <v>-4.0804046322937574E-3</v>
      </c>
      <c r="H340" s="92" t="s">
        <v>4</v>
      </c>
      <c r="I340" s="97">
        <f>_xll.meDateFromTenor(I339,"1D","FOLLOWING","TGT")</f>
        <v>42982</v>
      </c>
      <c r="J340" s="95">
        <f ca="1"/>
        <v>-3.074241853587218E-3</v>
      </c>
      <c r="K340" s="5" t="s">
        <v>4</v>
      </c>
      <c r="L340" s="97">
        <f>_xll.meDateFromTenor(L339,"1D","FOLLOWING","TGT")</f>
        <v>42982</v>
      </c>
      <c r="M340" s="95">
        <f ca="1"/>
        <v>-1.7819117180935106E-3</v>
      </c>
      <c r="N340" s="5" t="s">
        <v>4</v>
      </c>
      <c r="O340" s="97">
        <f>_xll.meDateFromTenor(O339,"1D","FOLLOWING","TGT")</f>
        <v>42982</v>
      </c>
      <c r="P340" s="95">
        <f ca="1"/>
        <v>2.9814896823420563E-6</v>
      </c>
      <c r="Q340" s="5" t="s">
        <v>4</v>
      </c>
      <c r="R340" s="83" t="s">
        <v>4</v>
      </c>
    </row>
    <row r="341" spans="1:18" x14ac:dyDescent="0.25">
      <c r="A341" s="88">
        <v>327</v>
      </c>
      <c r="B341" s="82"/>
      <c r="C341" s="97">
        <f>_xll.meDateFromTenor(C340,"1D","FOLLOWING","TGT")</f>
        <v>42983</v>
      </c>
      <c r="D341" s="95">
        <f ca="1"/>
        <v>-4.1960597542534117E-3</v>
      </c>
      <c r="E341" s="92"/>
      <c r="F341" s="97">
        <f>_xll.meDateFromTenor(F340,"1D","FOLLOWING","TGT")</f>
        <v>42983</v>
      </c>
      <c r="G341" s="95">
        <f ca="1"/>
        <v>-4.080420093247248E-3</v>
      </c>
      <c r="H341" s="92" t="s">
        <v>4</v>
      </c>
      <c r="I341" s="97">
        <f>_xll.meDateFromTenor(I340,"1D","FOLLOWING","TGT")</f>
        <v>42983</v>
      </c>
      <c r="J341" s="95">
        <f ca="1"/>
        <v>-3.0743309214153846E-3</v>
      </c>
      <c r="K341" s="5" t="s">
        <v>4</v>
      </c>
      <c r="L341" s="97">
        <f>_xll.meDateFromTenor(L340,"1D","FOLLOWING","TGT")</f>
        <v>42983</v>
      </c>
      <c r="M341" s="95">
        <f ca="1"/>
        <v>-1.7816803280087073E-3</v>
      </c>
      <c r="N341" s="5" t="s">
        <v>4</v>
      </c>
      <c r="O341" s="97">
        <f>_xll.meDateFromTenor(O340,"1D","FOLLOWING","TGT")</f>
        <v>42983</v>
      </c>
      <c r="P341" s="95">
        <f ca="1"/>
        <v>5.3875660513620275E-6</v>
      </c>
      <c r="Q341" s="5" t="s">
        <v>4</v>
      </c>
      <c r="R341" s="83" t="s">
        <v>4</v>
      </c>
    </row>
    <row r="342" spans="1:18" x14ac:dyDescent="0.25">
      <c r="A342" s="88">
        <v>328</v>
      </c>
      <c r="B342" s="82"/>
      <c r="C342" s="97">
        <f>_xll.meDateFromTenor(C341,"1D","FOLLOWING","TGT")</f>
        <v>42984</v>
      </c>
      <c r="D342" s="95">
        <f ca="1"/>
        <v>-4.1958679374933805E-3</v>
      </c>
      <c r="E342" s="92"/>
      <c r="F342" s="97">
        <f>_xll.meDateFromTenor(F341,"1D","FOLLOWING","TGT")</f>
        <v>42984</v>
      </c>
      <c r="G342" s="95">
        <f ca="1"/>
        <v>-4.0804233068092713E-3</v>
      </c>
      <c r="H342" s="92" t="s">
        <v>4</v>
      </c>
      <c r="I342" s="97">
        <f>_xll.meDateFromTenor(I341,"1D","FOLLOWING","TGT")</f>
        <v>42984</v>
      </c>
      <c r="J342" s="95">
        <f ca="1"/>
        <v>-3.0744199856624433E-3</v>
      </c>
      <c r="K342" s="5" t="s">
        <v>4</v>
      </c>
      <c r="L342" s="97">
        <f>_xll.meDateFromTenor(L341,"1D","FOLLOWING","TGT")</f>
        <v>42984</v>
      </c>
      <c r="M342" s="95">
        <f ca="1"/>
        <v>-1.7814357869123279E-3</v>
      </c>
      <c r="N342" s="5" t="s">
        <v>4</v>
      </c>
      <c r="O342" s="97">
        <f>_xll.meDateFromTenor(O341,"1D","FOLLOWING","TGT")</f>
        <v>42984</v>
      </c>
      <c r="P342" s="95">
        <f ca="1"/>
        <v>7.8036352897158188E-6</v>
      </c>
      <c r="Q342" s="5" t="s">
        <v>4</v>
      </c>
      <c r="R342" s="83" t="s">
        <v>4</v>
      </c>
    </row>
    <row r="343" spans="1:18" x14ac:dyDescent="0.25">
      <c r="A343" s="88">
        <v>329</v>
      </c>
      <c r="B343" s="82"/>
      <c r="C343" s="97">
        <f>_xll.meDateFromTenor(C342,"1D","FOLLOWING","TGT")</f>
        <v>42985</v>
      </c>
      <c r="D343" s="95">
        <f ca="1"/>
        <v>-4.1956864433128072E-3</v>
      </c>
      <c r="E343" s="92"/>
      <c r="F343" s="97">
        <f>_xll.meDateFromTenor(F342,"1D","FOLLOWING","TGT")</f>
        <v>42985</v>
      </c>
      <c r="G343" s="95">
        <f ca="1"/>
        <v>-4.0804141306366518E-3</v>
      </c>
      <c r="H343" s="92" t="s">
        <v>4</v>
      </c>
      <c r="I343" s="97">
        <f>_xll.meDateFromTenor(I342,"1D","FOLLOWING","TGT")</f>
        <v>42985</v>
      </c>
      <c r="J343" s="95">
        <f ca="1"/>
        <v>-3.0745090464950613E-3</v>
      </c>
      <c r="K343" s="5" t="s">
        <v>4</v>
      </c>
      <c r="L343" s="97">
        <f>_xll.meDateFromTenor(L342,"1D","FOLLOWING","TGT")</f>
        <v>42985</v>
      </c>
      <c r="M343" s="95">
        <f ca="1"/>
        <v>-1.7811779662374949E-3</v>
      </c>
      <c r="N343" s="5" t="s">
        <v>4</v>
      </c>
      <c r="O343" s="97">
        <f>_xll.meDateFromTenor(O342,"1D","FOLLOWING","TGT")</f>
        <v>42985</v>
      </c>
      <c r="P343" s="95">
        <f ca="1"/>
        <v>1.02296775558029E-5</v>
      </c>
      <c r="Q343" s="5" t="s">
        <v>4</v>
      </c>
      <c r="R343" s="83" t="s">
        <v>4</v>
      </c>
    </row>
    <row r="344" spans="1:18" x14ac:dyDescent="0.25">
      <c r="A344" s="88">
        <v>330</v>
      </c>
      <c r="B344" s="82"/>
      <c r="C344" s="97">
        <f>_xll.meDateFromTenor(C343,"1D","FOLLOWING","TGT")</f>
        <v>42986</v>
      </c>
      <c r="D344" s="95">
        <f ca="1"/>
        <v>-4.1955152711201649E-3</v>
      </c>
      <c r="E344" s="92"/>
      <c r="F344" s="97">
        <f>_xll.meDateFromTenor(F343,"1D","FOLLOWING","TGT")</f>
        <v>42986</v>
      </c>
      <c r="G344" s="95">
        <f ca="1"/>
        <v>-4.0803924223862175E-3</v>
      </c>
      <c r="H344" s="92" t="s">
        <v>4</v>
      </c>
      <c r="I344" s="97">
        <f>_xll.meDateFromTenor(I343,"1D","FOLLOWING","TGT")</f>
        <v>42986</v>
      </c>
      <c r="J344" s="95">
        <f ca="1"/>
        <v>-3.074598108758062E-3</v>
      </c>
      <c r="K344" s="5" t="s">
        <v>4</v>
      </c>
      <c r="L344" s="97">
        <f>_xll.meDateFromTenor(L343,"1D","FOLLOWING","TGT")</f>
        <v>42986</v>
      </c>
      <c r="M344" s="95">
        <f ca="1"/>
        <v>-1.7809067374173304E-3</v>
      </c>
      <c r="N344" s="5" t="s">
        <v>4</v>
      </c>
      <c r="O344" s="97">
        <f>_xll.meDateFromTenor(O343,"1D","FOLLOWING","TGT")</f>
        <v>42986</v>
      </c>
      <c r="P344" s="95">
        <f ca="1"/>
        <v>1.2665673008021845E-5</v>
      </c>
      <c r="Q344" s="5" t="s">
        <v>4</v>
      </c>
      <c r="R344" s="83" t="s">
        <v>4</v>
      </c>
    </row>
    <row r="345" spans="1:18" x14ac:dyDescent="0.25">
      <c r="A345" s="88">
        <v>331</v>
      </c>
      <c r="B345" s="82"/>
      <c r="C345" s="97">
        <f>_xll.meDateFromTenor(C344,"1D","FOLLOWING","TGT")</f>
        <v>42989</v>
      </c>
      <c r="D345" s="95">
        <f ca="1"/>
        <v>-4.1950636824622523E-3</v>
      </c>
      <c r="E345" s="92"/>
      <c r="F345" s="97">
        <f>_xll.meDateFromTenor(F344,"1D","FOLLOWING","TGT")</f>
        <v>42989</v>
      </c>
      <c r="G345" s="95">
        <f ca="1"/>
        <v>-4.0802506817362756E-3</v>
      </c>
      <c r="H345" s="92" t="s">
        <v>4</v>
      </c>
      <c r="I345" s="97">
        <f>_xll.meDateFromTenor(I344,"1D","FOLLOWING","TGT")</f>
        <v>42989</v>
      </c>
      <c r="J345" s="95">
        <f ca="1"/>
        <v>-3.074865296657629E-3</v>
      </c>
      <c r="K345" s="5" t="s">
        <v>4</v>
      </c>
      <c r="L345" s="97">
        <f>_xll.meDateFromTenor(L344,"1D","FOLLOWING","TGT")</f>
        <v>42989</v>
      </c>
      <c r="M345" s="95">
        <f ca="1"/>
        <v>-1.7800113164160687E-3</v>
      </c>
      <c r="N345" s="5" t="s">
        <v>4</v>
      </c>
      <c r="O345" s="97">
        <f>_xll.meDateFromTenor(O344,"1D","FOLLOWING","TGT")</f>
        <v>42989</v>
      </c>
      <c r="P345" s="95">
        <f ca="1"/>
        <v>2.0033180065462394E-5</v>
      </c>
      <c r="Q345" s="5" t="s">
        <v>4</v>
      </c>
      <c r="R345" s="83" t="s">
        <v>4</v>
      </c>
    </row>
    <row r="346" spans="1:18" x14ac:dyDescent="0.25">
      <c r="A346" s="88">
        <v>332</v>
      </c>
      <c r="B346" s="82"/>
      <c r="C346" s="97">
        <f>_xll.meDateFromTenor(C345,"1D","FOLLOWING","TGT")</f>
        <v>42990</v>
      </c>
      <c r="D346" s="95">
        <f ca="1"/>
        <v>-4.1949337937741138E-3</v>
      </c>
      <c r="E346" s="92"/>
      <c r="F346" s="97">
        <f>_xll.meDateFromTenor(F345,"1D","FOLLOWING","TGT")</f>
        <v>42990</v>
      </c>
      <c r="G346" s="95">
        <f ca="1"/>
        <v>-4.0801774217428376E-3</v>
      </c>
      <c r="H346" s="92" t="s">
        <v>4</v>
      </c>
      <c r="I346" s="97">
        <f>_xll.meDateFromTenor(I345,"1D","FOLLOWING","TGT")</f>
        <v>42990</v>
      </c>
      <c r="J346" s="95">
        <f ca="1"/>
        <v>-3.0749543618650253E-3</v>
      </c>
      <c r="K346" s="5" t="s">
        <v>4</v>
      </c>
      <c r="L346" s="97">
        <f>_xll.meDateFromTenor(L345,"1D","FOLLOWING","TGT")</f>
        <v>42990</v>
      </c>
      <c r="M346" s="95">
        <f ca="1"/>
        <v>-1.7796851693457989E-3</v>
      </c>
      <c r="N346" s="5" t="s">
        <v>4</v>
      </c>
      <c r="O346" s="97">
        <f>_xll.meDateFromTenor(O345,"1D","FOLLOWING","TGT")</f>
        <v>42990</v>
      </c>
      <c r="P346" s="95">
        <f ca="1"/>
        <v>2.2508789846200443E-5</v>
      </c>
      <c r="Q346" s="5" t="s">
        <v>4</v>
      </c>
      <c r="R346" s="83" t="s">
        <v>4</v>
      </c>
    </row>
    <row r="347" spans="1:18" x14ac:dyDescent="0.25">
      <c r="A347" s="88">
        <v>333</v>
      </c>
      <c r="B347" s="82"/>
      <c r="C347" s="97">
        <f>_xll.meDateFromTenor(C346,"1D","FOLLOWING","TGT")</f>
        <v>42991</v>
      </c>
      <c r="D347" s="95">
        <f ca="1"/>
        <v>-4.1948142249480513E-3</v>
      </c>
      <c r="E347" s="92"/>
      <c r="F347" s="97">
        <f>_xll.meDateFromTenor(F346,"1D","FOLLOWING","TGT")</f>
        <v>42991</v>
      </c>
      <c r="G347" s="95">
        <f ca="1"/>
        <v>-4.0800909179557112E-3</v>
      </c>
      <c r="H347" s="92" t="s">
        <v>4</v>
      </c>
      <c r="I347" s="97">
        <f>_xll.meDateFromTenor(I346,"1D","FOLLOWING","TGT")</f>
        <v>42991</v>
      </c>
      <c r="J347" s="95">
        <f ca="1"/>
        <v>-3.075043421736342E-3</v>
      </c>
      <c r="K347" s="5" t="s">
        <v>4</v>
      </c>
      <c r="L347" s="97">
        <f>_xll.meDateFromTenor(L346,"1D","FOLLOWING","TGT")</f>
        <v>42991</v>
      </c>
      <c r="M347" s="95">
        <f ca="1"/>
        <v>-1.7793449712958081E-3</v>
      </c>
      <c r="N347" s="5" t="s">
        <v>4</v>
      </c>
      <c r="O347" s="97">
        <f>_xll.meDateFromTenor(O346,"1D","FOLLOWING","TGT")</f>
        <v>42991</v>
      </c>
      <c r="P347" s="95">
        <f ca="1"/>
        <v>2.499425360506563E-5</v>
      </c>
      <c r="Q347" s="5" t="s">
        <v>4</v>
      </c>
      <c r="R347" s="83" t="s">
        <v>4</v>
      </c>
    </row>
    <row r="348" spans="1:18" x14ac:dyDescent="0.25">
      <c r="A348" s="88">
        <v>334</v>
      </c>
      <c r="B348" s="82"/>
      <c r="C348" s="97">
        <f>_xll.meDateFromTenor(C347,"1D","FOLLOWING","TGT")</f>
        <v>42992</v>
      </c>
      <c r="D348" s="95">
        <f ca="1"/>
        <v>-4.1947049753510157E-3</v>
      </c>
      <c r="E348" s="92"/>
      <c r="F348" s="97">
        <f>_xll.meDateFromTenor(F347,"1D","FOLLOWING","TGT")</f>
        <v>42992</v>
      </c>
      <c r="G348" s="95">
        <f ca="1"/>
        <v>-4.0799910280317243E-3</v>
      </c>
      <c r="H348" s="92" t="s">
        <v>4</v>
      </c>
      <c r="I348" s="97">
        <f>_xll.meDateFromTenor(I347,"1D","FOLLOWING","TGT")</f>
        <v>42992</v>
      </c>
      <c r="J348" s="95">
        <f ca="1"/>
        <v>-3.0751324742022573E-3</v>
      </c>
      <c r="K348" s="5" t="s">
        <v>4</v>
      </c>
      <c r="L348" s="97">
        <f>_xll.meDateFromTenor(L347,"1D","FOLLOWING","TGT")</f>
        <v>42992</v>
      </c>
      <c r="M348" s="95">
        <f ca="1"/>
        <v>-1.7789905936992185E-3</v>
      </c>
      <c r="N348" s="5" t="s">
        <v>4</v>
      </c>
      <c r="O348" s="97">
        <f>_xll.meDateFromTenor(O347,"1D","FOLLOWING","TGT")</f>
        <v>42992</v>
      </c>
      <c r="P348" s="95">
        <f ca="1"/>
        <v>2.7489551500457465E-5</v>
      </c>
      <c r="Q348" s="5" t="s">
        <v>4</v>
      </c>
      <c r="R348" s="83" t="s">
        <v>4</v>
      </c>
    </row>
    <row r="349" spans="1:18" x14ac:dyDescent="0.25">
      <c r="A349" s="88">
        <v>335</v>
      </c>
      <c r="B349" s="82"/>
      <c r="C349" s="97">
        <f>_xll.meDateFromTenor(C348,"1D","FOLLOWING","TGT")</f>
        <v>42993</v>
      </c>
      <c r="D349" s="95">
        <f ca="1"/>
        <v>-4.1946060444291167E-3</v>
      </c>
      <c r="E349" s="92"/>
      <c r="F349" s="97">
        <f>_xll.meDateFromTenor(F348,"1D","FOLLOWING","TGT")</f>
        <v>42993</v>
      </c>
      <c r="G349" s="95">
        <f ca="1"/>
        <v>-4.0798776096277042E-3</v>
      </c>
      <c r="H349" s="92" t="s">
        <v>4</v>
      </c>
      <c r="I349" s="97">
        <f>_xll.meDateFromTenor(I348,"1D","FOLLOWING","TGT")</f>
        <v>42993</v>
      </c>
      <c r="J349" s="95">
        <f ca="1"/>
        <v>-3.0752215468179763E-3</v>
      </c>
      <c r="K349" s="5" t="s">
        <v>4</v>
      </c>
      <c r="L349" s="97">
        <f>_xll.meDateFromTenor(L348,"1D","FOLLOWING","TGT")</f>
        <v>42993</v>
      </c>
      <c r="M349" s="95">
        <f ca="1"/>
        <v>-1.7786219079891519E-3</v>
      </c>
      <c r="N349" s="5" t="s">
        <v>4</v>
      </c>
      <c r="O349" s="97">
        <f>_xll.meDateFromTenor(O348,"1D","FOLLOWING","TGT")</f>
        <v>42993</v>
      </c>
      <c r="P349" s="95">
        <f ca="1"/>
        <v>2.9994663690774428E-5</v>
      </c>
      <c r="Q349" s="5" t="s">
        <v>4</v>
      </c>
      <c r="R349" s="83" t="s">
        <v>4</v>
      </c>
    </row>
    <row r="350" spans="1:18" x14ac:dyDescent="0.25">
      <c r="A350" s="88">
        <v>336</v>
      </c>
      <c r="B350" s="82"/>
      <c r="C350" s="97">
        <f>_xll.meDateFromTenor(C349,"1D","FOLLOWING","TGT")</f>
        <v>42996</v>
      </c>
      <c r="D350" s="95">
        <f ca="1"/>
        <v>-4.1943711593257493E-3</v>
      </c>
      <c r="E350" s="92"/>
      <c r="F350" s="97">
        <f>_xll.meDateFromTenor(F349,"1D","FOLLOWING","TGT")</f>
        <v>42996</v>
      </c>
      <c r="G350" s="95">
        <f ca="1"/>
        <v>-4.0794547601036941E-3</v>
      </c>
      <c r="H350" s="92" t="s">
        <v>4</v>
      </c>
      <c r="I350" s="97">
        <f>_xll.meDateFromTenor(I349,"1D","FOLLOWING","TGT")</f>
        <v>42996</v>
      </c>
      <c r="J350" s="95">
        <f ca="1"/>
        <v>-3.075488593988188E-3</v>
      </c>
      <c r="K350" s="5" t="s">
        <v>4</v>
      </c>
      <c r="L350" s="97">
        <f>_xll.meDateFromTenor(L349,"1D","FOLLOWING","TGT")</f>
        <v>42996</v>
      </c>
      <c r="M350" s="95">
        <f ca="1"/>
        <v>-1.7774287165093128E-3</v>
      </c>
      <c r="N350" s="5" t="s">
        <v>4</v>
      </c>
      <c r="O350" s="97">
        <f>_xll.meDateFromTenor(O349,"1D","FOLLOWING","TGT")</f>
        <v>42996</v>
      </c>
      <c r="P350" s="95">
        <f ca="1"/>
        <v>3.7568687615268791E-5</v>
      </c>
      <c r="Q350" s="5" t="s">
        <v>4</v>
      </c>
      <c r="R350" s="83" t="s">
        <v>4</v>
      </c>
    </row>
    <row r="351" spans="1:18" x14ac:dyDescent="0.25">
      <c r="A351" s="88">
        <v>337</v>
      </c>
      <c r="B351" s="82"/>
      <c r="C351" s="97">
        <f>_xll.meDateFromTenor(C350,"1D","FOLLOWING","TGT")</f>
        <v>42997</v>
      </c>
      <c r="D351" s="95">
        <f ca="1"/>
        <v>-4.1943134985947816E-3</v>
      </c>
      <c r="E351" s="92"/>
      <c r="F351" s="97">
        <f>_xll.meDateFromTenor(F350,"1D","FOLLOWING","TGT")</f>
        <v>42997</v>
      </c>
      <c r="G351" s="95">
        <f ca="1"/>
        <v>-4.0792858043477952E-3</v>
      </c>
      <c r="H351" s="92" t="s">
        <v>4</v>
      </c>
      <c r="I351" s="97">
        <f>_xll.meDateFromTenor(I350,"1D","FOLLOWING","TGT")</f>
        <v>42997</v>
      </c>
      <c r="J351" s="95">
        <f ca="1"/>
        <v>-3.0755777969788977E-3</v>
      </c>
      <c r="K351" s="5" t="s">
        <v>4</v>
      </c>
      <c r="L351" s="97">
        <f>_xll.meDateFromTenor(L350,"1D","FOLLOWING","TGT")</f>
        <v>42997</v>
      </c>
      <c r="M351" s="95">
        <f ca="1"/>
        <v>-1.7770015126765603E-3</v>
      </c>
      <c r="N351" s="5" t="s">
        <v>4</v>
      </c>
      <c r="O351" s="97">
        <f>_xll.meDateFromTenor(O350,"1D","FOLLOWING","TGT")</f>
        <v>42997</v>
      </c>
      <c r="P351" s="95">
        <f ca="1"/>
        <v>4.0112858569277954E-5</v>
      </c>
      <c r="Q351" s="5" t="s">
        <v>4</v>
      </c>
      <c r="R351" s="83" t="s">
        <v>4</v>
      </c>
    </row>
    <row r="352" spans="1:18" x14ac:dyDescent="0.25">
      <c r="A352" s="88">
        <v>338</v>
      </c>
      <c r="B352" s="82"/>
      <c r="C352" s="97">
        <f>_xll.meDateFromTenor(C351,"1D","FOLLOWING","TGT")</f>
        <v>42998</v>
      </c>
      <c r="D352" s="95">
        <f ca="1"/>
        <v>-4.1942661542426762E-3</v>
      </c>
      <c r="E352" s="92"/>
      <c r="F352" s="97">
        <f>_xll.meDateFromTenor(F351,"1D","FOLLOWING","TGT")</f>
        <v>42998</v>
      </c>
      <c r="G352" s="95">
        <f ca="1"/>
        <v>-4.0791026083959918E-3</v>
      </c>
      <c r="H352" s="92" t="s">
        <v>4</v>
      </c>
      <c r="I352" s="97">
        <f>_xll.meDateFromTenor(I351,"1D","FOLLOWING","TGT")</f>
        <v>42998</v>
      </c>
      <c r="J352" s="95">
        <f ca="1"/>
        <v>-3.0756668595186259E-3</v>
      </c>
      <c r="K352" s="5" t="s">
        <v>4</v>
      </c>
      <c r="L352" s="97">
        <f>_xll.meDateFromTenor(L351,"1D","FOLLOWING","TGT")</f>
        <v>42998</v>
      </c>
      <c r="M352" s="95">
        <f ca="1"/>
        <v>-1.7765593578959414E-3</v>
      </c>
      <c r="N352" s="5" t="s">
        <v>4</v>
      </c>
      <c r="O352" s="97">
        <f>_xll.meDateFromTenor(O351,"1D","FOLLOWING","TGT")</f>
        <v>42998</v>
      </c>
      <c r="P352" s="95">
        <f ca="1"/>
        <v>4.2666744610207898E-5</v>
      </c>
      <c r="Q352" s="5" t="s">
        <v>4</v>
      </c>
      <c r="R352" s="83" t="s">
        <v>4</v>
      </c>
    </row>
    <row r="353" spans="1:18" x14ac:dyDescent="0.25">
      <c r="A353" s="88">
        <v>339</v>
      </c>
      <c r="B353" s="82"/>
      <c r="C353" s="97">
        <f>_xll.meDateFromTenor(C352,"1D","FOLLOWING","TGT")</f>
        <v>42999</v>
      </c>
      <c r="D353" s="95">
        <f ca="1"/>
        <v>-4.1942291257136555E-3</v>
      </c>
      <c r="E353" s="92"/>
      <c r="F353" s="97">
        <f>_xll.meDateFromTenor(F352,"1D","FOLLOWING","TGT")</f>
        <v>42999</v>
      </c>
      <c r="G353" s="95">
        <f ca="1"/>
        <v>-4.0789050299051078E-3</v>
      </c>
      <c r="H353" s="92" t="s">
        <v>4</v>
      </c>
      <c r="I353" s="97">
        <f>_xll.meDateFromTenor(I352,"1D","FOLLOWING","TGT")</f>
        <v>42999</v>
      </c>
      <c r="J353" s="95">
        <f ca="1"/>
        <v>-3.0757525125424796E-3</v>
      </c>
      <c r="K353" s="5" t="s">
        <v>4</v>
      </c>
      <c r="L353" s="97">
        <f>_xll.meDateFromTenor(L352,"1D","FOLLOWING","TGT")</f>
        <v>42999</v>
      </c>
      <c r="M353" s="95">
        <f ca="1"/>
        <v>-1.7761021236005787E-3</v>
      </c>
      <c r="N353" s="5" t="s">
        <v>4</v>
      </c>
      <c r="O353" s="97">
        <f>_xll.meDateFromTenor(O352,"1D","FOLLOWING","TGT")</f>
        <v>42999</v>
      </c>
      <c r="P353" s="95">
        <f ca="1"/>
        <v>4.5230325896457308E-5</v>
      </c>
      <c r="Q353" s="5" t="s">
        <v>4</v>
      </c>
      <c r="R353" s="83" t="s">
        <v>4</v>
      </c>
    </row>
    <row r="354" spans="1:18" x14ac:dyDescent="0.25">
      <c r="A354" s="88">
        <v>340</v>
      </c>
      <c r="B354" s="82"/>
      <c r="C354" s="97">
        <f>_xll.meDateFromTenor(C353,"1D","FOLLOWING","TGT")</f>
        <v>43000</v>
      </c>
      <c r="D354" s="95">
        <f ca="1"/>
        <v>-4.1942024125710686E-3</v>
      </c>
      <c r="E354" s="92"/>
      <c r="F354" s="97">
        <f>_xll.meDateFromTenor(F353,"1D","FOLLOWING","TGT")</f>
        <v>43000</v>
      </c>
      <c r="G354" s="95">
        <f ca="1"/>
        <v>-4.078692926531971E-3</v>
      </c>
      <c r="H354" s="92" t="s">
        <v>4</v>
      </c>
      <c r="I354" s="97">
        <f>_xll.meDateFromTenor(I353,"1D","FOLLOWING","TGT")</f>
        <v>43000</v>
      </c>
      <c r="J354" s="95">
        <f ca="1"/>
        <v>-3.0758337144387547E-3</v>
      </c>
      <c r="K354" s="5" t="s">
        <v>4</v>
      </c>
      <c r="L354" s="97">
        <f>_xll.meDateFromTenor(L353,"1D","FOLLOWING","TGT")</f>
        <v>43000</v>
      </c>
      <c r="M354" s="95">
        <f ca="1"/>
        <v>-1.7756296812235933E-3</v>
      </c>
      <c r="N354" s="5" t="s">
        <v>4</v>
      </c>
      <c r="O354" s="97">
        <f>_xll.meDateFromTenor(O353,"1D","FOLLOWING","TGT")</f>
        <v>43000</v>
      </c>
      <c r="P354" s="95">
        <f ca="1"/>
        <v>4.7803582586425705E-5</v>
      </c>
      <c r="Q354" s="5" t="s">
        <v>4</v>
      </c>
      <c r="R354" s="83" t="s">
        <v>4</v>
      </c>
    </row>
    <row r="355" spans="1:18" x14ac:dyDescent="0.25">
      <c r="A355" s="88">
        <v>341</v>
      </c>
      <c r="B355" s="82"/>
      <c r="C355" s="97">
        <f>_xll.meDateFromTenor(C354,"1D","FOLLOWING","TGT")</f>
        <v>43003</v>
      </c>
      <c r="D355" s="95">
        <f ca="1"/>
        <v>-4.1941841607325836E-3</v>
      </c>
      <c r="E355" s="92"/>
      <c r="F355" s="97">
        <f>_xll.meDateFromTenor(F354,"1D","FOLLOWING","TGT")</f>
        <v>43003</v>
      </c>
      <c r="G355" s="95">
        <f ca="1"/>
        <v>-4.0779680436873033E-3</v>
      </c>
      <c r="H355" s="92" t="s">
        <v>4</v>
      </c>
      <c r="I355" s="97">
        <f>_xll.meDateFromTenor(I354,"1D","FOLLOWING","TGT")</f>
        <v>43003</v>
      </c>
      <c r="J355" s="95">
        <f ca="1"/>
        <v>-3.0760480355961337E-3</v>
      </c>
      <c r="K355" s="5" t="s">
        <v>4</v>
      </c>
      <c r="L355" s="97">
        <f>_xll.meDateFromTenor(L354,"1D","FOLLOWING","TGT")</f>
        <v>43003</v>
      </c>
      <c r="M355" s="95">
        <f ca="1"/>
        <v>-1.7741198199341271E-3</v>
      </c>
      <c r="N355" s="5" t="s">
        <v>4</v>
      </c>
      <c r="O355" s="97">
        <f>_xll.meDateFromTenor(O354,"1D","FOLLOWING","TGT")</f>
        <v>43003</v>
      </c>
      <c r="P355" s="95">
        <f ca="1"/>
        <v>5.5581206662633426E-5</v>
      </c>
      <c r="Q355" s="5" t="s">
        <v>4</v>
      </c>
      <c r="R355" s="83" t="s">
        <v>4</v>
      </c>
    </row>
    <row r="356" spans="1:18" x14ac:dyDescent="0.25">
      <c r="A356" s="88">
        <v>342</v>
      </c>
      <c r="B356" s="82"/>
      <c r="C356" s="97">
        <f>_xll.meDateFromTenor(C355,"1D","FOLLOWING","TGT")</f>
        <v>43004</v>
      </c>
      <c r="D356" s="95">
        <f ca="1"/>
        <v>-4.194198704165486E-3</v>
      </c>
      <c r="E356" s="92"/>
      <c r="F356" s="97">
        <f>_xll.meDateFromTenor(F355,"1D","FOLLOWING","TGT")</f>
        <v>43004</v>
      </c>
      <c r="G356" s="95">
        <f ca="1"/>
        <v>-4.0776964173534136E-3</v>
      </c>
      <c r="H356" s="92" t="s">
        <v>4</v>
      </c>
      <c r="I356" s="97">
        <f>_xll.meDateFromTenor(I355,"1D","FOLLOWING","TGT")</f>
        <v>43004</v>
      </c>
      <c r="J356" s="95">
        <f ca="1"/>
        <v>-3.0761088552161212E-3</v>
      </c>
      <c r="K356" s="5" t="s">
        <v>4</v>
      </c>
      <c r="L356" s="97">
        <f>_xll.meDateFromTenor(L355,"1D","FOLLOWING","TGT")</f>
        <v>43004</v>
      </c>
      <c r="M356" s="95">
        <f ca="1"/>
        <v>-1.7735852595618751E-3</v>
      </c>
      <c r="N356" s="5" t="s">
        <v>4</v>
      </c>
      <c r="O356" s="97">
        <f>_xll.meDateFromTenor(O355,"1D","FOLLOWING","TGT")</f>
        <v>43004</v>
      </c>
      <c r="P356" s="95">
        <f ca="1"/>
        <v>5.8192966551466943E-5</v>
      </c>
      <c r="Q356" s="5" t="s">
        <v>4</v>
      </c>
      <c r="R356" s="83" t="s">
        <v>4</v>
      </c>
    </row>
    <row r="357" spans="1:18" x14ac:dyDescent="0.25">
      <c r="A357" s="88">
        <v>343</v>
      </c>
      <c r="B357" s="82"/>
      <c r="C357" s="97">
        <f>_xll.meDateFromTenor(C356,"1D","FOLLOWING","TGT")</f>
        <v>43005</v>
      </c>
      <c r="D357" s="95">
        <f ca="1"/>
        <v>-4.1942235608769529E-3</v>
      </c>
      <c r="E357" s="92"/>
      <c r="F357" s="97">
        <f>_xll.meDateFromTenor(F356,"1D","FOLLOWING","TGT")</f>
        <v>43005</v>
      </c>
      <c r="G357" s="95">
        <f ca="1"/>
        <v>-4.0774095544214017E-3</v>
      </c>
      <c r="H357" s="92" t="s">
        <v>4</v>
      </c>
      <c r="I357" s="97">
        <f>_xll.meDateFromTenor(I356,"1D","FOLLOWING","TGT")</f>
        <v>43005</v>
      </c>
      <c r="J357" s="95">
        <f ca="1"/>
        <v>-3.076163934825544E-3</v>
      </c>
      <c r="K357" s="5" t="s">
        <v>4</v>
      </c>
      <c r="L357" s="97">
        <f>_xll.meDateFromTenor(L356,"1D","FOLLOWING","TGT")</f>
        <v>43005</v>
      </c>
      <c r="M357" s="95">
        <f ca="1"/>
        <v>-1.7730348482736114E-3</v>
      </c>
      <c r="N357" s="5" t="s">
        <v>4</v>
      </c>
      <c r="O357" s="97">
        <f>_xll.meDateFromTenor(O356,"1D","FOLLOWING","TGT")</f>
        <v>43005</v>
      </c>
      <c r="P357" s="95">
        <f ca="1"/>
        <v>6.0814302636014601E-5</v>
      </c>
      <c r="Q357" s="5" t="s">
        <v>4</v>
      </c>
      <c r="R357" s="83" t="s">
        <v>4</v>
      </c>
    </row>
    <row r="358" spans="1:18" x14ac:dyDescent="0.25">
      <c r="A358" s="88">
        <v>344</v>
      </c>
      <c r="B358" s="82"/>
      <c r="C358" s="97">
        <f>_xll.meDateFromTenor(C357,"1D","FOLLOWING","TGT")</f>
        <v>43006</v>
      </c>
      <c r="D358" s="95">
        <f ca="1"/>
        <v>-4.1942587299101941E-3</v>
      </c>
      <c r="E358" s="92"/>
      <c r="F358" s="97">
        <f>_xll.meDateFromTenor(F357,"1D","FOLLOWING","TGT")</f>
        <v>43006</v>
      </c>
      <c r="G358" s="95">
        <f ca="1"/>
        <v>-4.0771073125480915E-3</v>
      </c>
      <c r="H358" s="92" t="s">
        <v>4</v>
      </c>
      <c r="I358" s="97">
        <f>_xll.meDateFromTenor(I357,"1D","FOLLOWING","TGT")</f>
        <v>43006</v>
      </c>
      <c r="J358" s="95">
        <f ca="1"/>
        <v>-3.0762130166478059E-3</v>
      </c>
      <c r="K358" s="5" t="s">
        <v>4</v>
      </c>
      <c r="L358" s="97">
        <f>_xll.meDateFromTenor(L357,"1D","FOLLOWING","TGT")</f>
        <v>43006</v>
      </c>
      <c r="M358" s="95">
        <f ca="1"/>
        <v>-1.7724684575024584E-3</v>
      </c>
      <c r="N358" s="5" t="s">
        <v>4</v>
      </c>
      <c r="O358" s="97">
        <f>_xll.meDateFromTenor(O357,"1D","FOLLOWING","TGT")</f>
        <v>43006</v>
      </c>
      <c r="P358" s="95">
        <f ca="1"/>
        <v>6.3445195074675001E-5</v>
      </c>
      <c r="Q358" s="5" t="s">
        <v>4</v>
      </c>
      <c r="R358" s="83" t="s">
        <v>4</v>
      </c>
    </row>
    <row r="359" spans="1:18" x14ac:dyDescent="0.25">
      <c r="A359" s="88">
        <v>345</v>
      </c>
      <c r="B359" s="82"/>
      <c r="C359" s="97">
        <f>_xll.meDateFromTenor(C358,"1D","FOLLOWING","TGT")</f>
        <v>43007</v>
      </c>
      <c r="D359" s="95">
        <f ca="1"/>
        <v>-4.1943042108661954E-3</v>
      </c>
      <c r="E359" s="92"/>
      <c r="F359" s="97">
        <f>_xll.meDateFromTenor(F358,"1D","FOLLOWING","TGT")</f>
        <v>43007</v>
      </c>
      <c r="G359" s="95">
        <f ca="1"/>
        <v>-4.0767895493903084E-3</v>
      </c>
      <c r="H359" s="92" t="s">
        <v>4</v>
      </c>
      <c r="I359" s="97">
        <f>_xll.meDateFromTenor(I358,"1D","FOLLOWING","TGT")</f>
        <v>43007</v>
      </c>
      <c r="J359" s="95">
        <f ca="1"/>
        <v>-3.0762558429063085E-3</v>
      </c>
      <c r="K359" s="5" t="s">
        <v>4</v>
      </c>
      <c r="L359" s="97">
        <f>_xll.meDateFromTenor(L358,"1D","FOLLOWING","TGT")</f>
        <v>43007</v>
      </c>
      <c r="M359" s="95">
        <f ca="1"/>
        <v>-1.7718859586815382E-3</v>
      </c>
      <c r="N359" s="5" t="s">
        <v>4</v>
      </c>
      <c r="O359" s="97">
        <f>_xll.meDateFromTenor(O358,"1D","FOLLOWING","TGT")</f>
        <v>43007</v>
      </c>
      <c r="P359" s="95">
        <f ca="1"/>
        <v>6.6085624025847693E-5</v>
      </c>
      <c r="Q359" s="5" t="s">
        <v>4</v>
      </c>
      <c r="R359" s="83" t="s">
        <v>4</v>
      </c>
    </row>
    <row r="360" spans="1:18" x14ac:dyDescent="0.25">
      <c r="A360" s="88">
        <v>346</v>
      </c>
      <c r="B360" s="82"/>
      <c r="C360" s="97">
        <f>_xll.meDateFromTenor(C359,"1D","FOLLOWING","TGT")</f>
        <v>43010</v>
      </c>
      <c r="D360" s="95">
        <f ca="1"/>
        <v>-4.1945025215144316E-3</v>
      </c>
      <c r="E360" s="92"/>
      <c r="F360" s="97">
        <f>_xll.meDateFromTenor(F359,"1D","FOLLOWING","TGT")</f>
        <v>43010</v>
      </c>
      <c r="G360" s="95">
        <f ca="1"/>
        <v>-4.0757417087783927E-3</v>
      </c>
      <c r="H360" s="92" t="s">
        <v>4</v>
      </c>
      <c r="I360" s="97">
        <f>_xll.meDateFromTenor(I359,"1D","FOLLOWING","TGT")</f>
        <v>43010</v>
      </c>
      <c r="J360" s="95">
        <f ca="1"/>
        <v>-3.0763442105332934E-3</v>
      </c>
      <c r="K360" s="5" t="s">
        <v>4</v>
      </c>
      <c r="L360" s="97">
        <f>_xll.meDateFromTenor(L359,"1D","FOLLOWING","TGT")</f>
        <v>43010</v>
      </c>
      <c r="M360" s="95">
        <f ca="1"/>
        <v>-1.7700405282513945E-3</v>
      </c>
      <c r="N360" s="5" t="s">
        <v>4</v>
      </c>
      <c r="O360" s="97">
        <f>_xll.meDateFromTenor(O359,"1D","FOLLOWING","TGT")</f>
        <v>43010</v>
      </c>
      <c r="P360" s="95">
        <f ca="1"/>
        <v>7.4063931538428181E-5</v>
      </c>
      <c r="Q360" s="5" t="s">
        <v>4</v>
      </c>
      <c r="R360" s="83" t="s">
        <v>4</v>
      </c>
    </row>
    <row r="361" spans="1:18" x14ac:dyDescent="0.25">
      <c r="A361" s="88">
        <v>347</v>
      </c>
      <c r="B361" s="82"/>
      <c r="C361" s="97">
        <f>_xll.meDateFromTenor(C360,"1D","FOLLOWING","TGT")</f>
        <v>43011</v>
      </c>
      <c r="D361" s="95">
        <f ca="1"/>
        <v>-4.1945892456869416E-3</v>
      </c>
      <c r="E361" s="92"/>
      <c r="F361" s="97">
        <f>_xll.meDateFromTenor(F360,"1D","FOLLOWING","TGT")</f>
        <v>43011</v>
      </c>
      <c r="G361" s="95">
        <f ca="1"/>
        <v>-4.0753605101402635E-3</v>
      </c>
      <c r="H361" s="92" t="s">
        <v>4</v>
      </c>
      <c r="I361" s="97">
        <f>_xll.meDateFromTenor(I360,"1D","FOLLOWING","TGT")</f>
        <v>43011</v>
      </c>
      <c r="J361" s="95">
        <f ca="1"/>
        <v>-3.0763594367707904E-3</v>
      </c>
      <c r="K361" s="5" t="s">
        <v>4</v>
      </c>
      <c r="L361" s="97">
        <f>_xll.meDateFromTenor(L360,"1D","FOLLOWING","TGT")</f>
        <v>43011</v>
      </c>
      <c r="M361" s="95">
        <f ca="1"/>
        <v>-1.7693923115626258E-3</v>
      </c>
      <c r="N361" s="5" t="s">
        <v>4</v>
      </c>
      <c r="O361" s="97">
        <f>_xll.meDateFromTenor(O360,"1D","FOLLOWING","TGT")</f>
        <v>43011</v>
      </c>
      <c r="P361" s="95">
        <f ca="1"/>
        <v>7.6742308123639211E-5</v>
      </c>
      <c r="Q361" s="5" t="s">
        <v>4</v>
      </c>
      <c r="R361" s="83" t="s">
        <v>4</v>
      </c>
    </row>
    <row r="362" spans="1:18" x14ac:dyDescent="0.25">
      <c r="A362" s="88">
        <v>348</v>
      </c>
      <c r="B362" s="82"/>
      <c r="C362" s="97">
        <f>_xll.meDateFromTenor(C361,"1D","FOLLOWING","TGT")</f>
        <v>43012</v>
      </c>
      <c r="D362" s="95">
        <f ca="1"/>
        <v>-4.1946862795830819E-3</v>
      </c>
      <c r="E362" s="92"/>
      <c r="F362" s="97">
        <f>_xll.meDateFromTenor(F361,"1D","FOLLOWING","TGT")</f>
        <v>43012</v>
      </c>
      <c r="G362" s="95">
        <f ca="1"/>
        <v>-4.0749635170374676E-3</v>
      </c>
      <c r="H362" s="92" t="s">
        <v>4</v>
      </c>
      <c r="I362" s="97">
        <f>_xll.meDateFromTenor(I361,"1D","FOLLOWING","TGT")</f>
        <v>43012</v>
      </c>
      <c r="J362" s="95">
        <f ca="1"/>
        <v>-3.0763671185615434E-3</v>
      </c>
      <c r="K362" s="5" t="s">
        <v>4</v>
      </c>
      <c r="L362" s="97">
        <f>_xll.meDateFromTenor(L361,"1D","FOLLOWING","TGT")</f>
        <v>43012</v>
      </c>
      <c r="M362" s="95">
        <f ca="1"/>
        <v>-1.768727343989701E-3</v>
      </c>
      <c r="N362" s="5" t="s">
        <v>4</v>
      </c>
      <c r="O362" s="97">
        <f>_xll.meDateFromTenor(O361,"1D","FOLLOWING","TGT")</f>
        <v>43012</v>
      </c>
      <c r="P362" s="95">
        <f ca="1"/>
        <v>7.9430122013357686E-5</v>
      </c>
      <c r="Q362" s="5" t="s">
        <v>4</v>
      </c>
      <c r="R362" s="83" t="s">
        <v>4</v>
      </c>
    </row>
    <row r="363" spans="1:18" x14ac:dyDescent="0.25">
      <c r="A363" s="88">
        <v>349</v>
      </c>
      <c r="B363" s="82"/>
      <c r="C363" s="97">
        <f>_xll.meDateFromTenor(C362,"1D","FOLLOWING","TGT")</f>
        <v>43013</v>
      </c>
      <c r="D363" s="95">
        <f ca="1"/>
        <v>-4.1947936226822691E-3</v>
      </c>
      <c r="E363" s="92"/>
      <c r="F363" s="97">
        <f>_xll.meDateFromTenor(F362,"1D","FOLLOWING","TGT")</f>
        <v>43013</v>
      </c>
      <c r="G363" s="95">
        <f ca="1"/>
        <v>-4.0745510256625086E-3</v>
      </c>
      <c r="H363" s="92" t="s">
        <v>4</v>
      </c>
      <c r="I363" s="97">
        <f>_xll.meDateFromTenor(I362,"1D","FOLLOWING","TGT")</f>
        <v>43013</v>
      </c>
      <c r="J363" s="95">
        <f ca="1"/>
        <v>-3.0763669981289554E-3</v>
      </c>
      <c r="K363" s="5" t="s">
        <v>4</v>
      </c>
      <c r="L363" s="97">
        <f>_xll.meDateFromTenor(L362,"1D","FOLLOWING","TGT")</f>
        <v>43013</v>
      </c>
      <c r="M363" s="95">
        <f ca="1"/>
        <v>-1.7680454969657409E-3</v>
      </c>
      <c r="N363" s="5" t="s">
        <v>4</v>
      </c>
      <c r="O363" s="97">
        <f>_xll.meDateFromTenor(O362,"1D","FOLLOWING","TGT")</f>
        <v>43013</v>
      </c>
      <c r="P363" s="95">
        <f ca="1"/>
        <v>8.2127353365982344E-5</v>
      </c>
      <c r="Q363" s="5" t="s">
        <v>4</v>
      </c>
      <c r="R363" s="83" t="s">
        <v>4</v>
      </c>
    </row>
    <row r="364" spans="1:18" x14ac:dyDescent="0.25">
      <c r="A364" s="88">
        <v>350</v>
      </c>
      <c r="B364" s="82"/>
      <c r="C364" s="97">
        <f>_xll.meDateFromTenor(C363,"1D","FOLLOWING","TGT")</f>
        <v>43014</v>
      </c>
      <c r="D364" s="95">
        <f ca="1"/>
        <v>-4.1949112741456185E-3</v>
      </c>
      <c r="E364" s="92"/>
      <c r="F364" s="97">
        <f>_xll.meDateFromTenor(F363,"1D","FOLLOWING","TGT")</f>
        <v>43014</v>
      </c>
      <c r="G364" s="95">
        <f ca="1"/>
        <v>-4.0741233322078895E-3</v>
      </c>
      <c r="H364" s="92" t="s">
        <v>4</v>
      </c>
      <c r="I364" s="97">
        <f>_xll.meDateFromTenor(I363,"1D","FOLLOWING","TGT")</f>
        <v>43014</v>
      </c>
      <c r="J364" s="95">
        <f ca="1"/>
        <v>-3.0763588176964275E-3</v>
      </c>
      <c r="K364" s="5" t="s">
        <v>4</v>
      </c>
      <c r="L364" s="97">
        <f>_xll.meDateFromTenor(L363,"1D","FOLLOWING","TGT")</f>
        <v>43014</v>
      </c>
      <c r="M364" s="95">
        <f ca="1"/>
        <v>-1.7673466419238688E-3</v>
      </c>
      <c r="N364" s="5" t="s">
        <v>4</v>
      </c>
      <c r="O364" s="97">
        <f>_xll.meDateFromTenor(O363,"1D","FOLLOWING","TGT")</f>
        <v>43014</v>
      </c>
      <c r="P364" s="95">
        <f ca="1"/>
        <v>8.4833982339912464E-5</v>
      </c>
      <c r="Q364" s="5" t="s">
        <v>4</v>
      </c>
      <c r="R364" s="83" t="s">
        <v>4</v>
      </c>
    </row>
    <row r="365" spans="1:18" x14ac:dyDescent="0.25">
      <c r="A365" s="88">
        <v>351</v>
      </c>
      <c r="B365" s="82"/>
      <c r="C365" s="97">
        <f>_xll.meDateFromTenor(C364,"1D","FOLLOWING","TGT")</f>
        <v>43017</v>
      </c>
      <c r="D365" s="95">
        <f ca="1"/>
        <v>-4.1953260760546618E-3</v>
      </c>
      <c r="E365" s="92"/>
      <c r="F365" s="97">
        <f>_xll.meDateFromTenor(F364,"1D","FOLLOWING","TGT")</f>
        <v>43017</v>
      </c>
      <c r="G365" s="95">
        <f ca="1"/>
        <v>-4.0727520012910938E-3</v>
      </c>
      <c r="H365" s="92" t="s">
        <v>4</v>
      </c>
      <c r="I365" s="97">
        <f>_xll.meDateFromTenor(I364,"1D","FOLLOWING","TGT")</f>
        <v>43017</v>
      </c>
      <c r="J365" s="95">
        <f ca="1"/>
        <v>-3.0762833386332455E-3</v>
      </c>
      <c r="K365" s="5" t="s">
        <v>4</v>
      </c>
      <c r="L365" s="97">
        <f>_xll.meDateFromTenor(L364,"1D","FOLLOWING","TGT")</f>
        <v>43017</v>
      </c>
      <c r="M365" s="95">
        <f ca="1"/>
        <v>-1.7651467430219977E-3</v>
      </c>
      <c r="N365" s="5" t="s">
        <v>4</v>
      </c>
      <c r="O365" s="97">
        <f>_xll.meDateFromTenor(O364,"1D","FOLLOWING","TGT")</f>
        <v>43017</v>
      </c>
      <c r="P365" s="95">
        <f ca="1"/>
        <v>9.3010056573524896E-5</v>
      </c>
      <c r="Q365" s="5" t="s">
        <v>4</v>
      </c>
      <c r="R365" s="83" t="s">
        <v>4</v>
      </c>
    </row>
    <row r="366" spans="1:18" x14ac:dyDescent="0.25">
      <c r="A366" s="88">
        <v>352</v>
      </c>
      <c r="B366" s="82"/>
      <c r="C366" s="97">
        <f>_xll.meDateFromTenor(C365,"1D","FOLLOWING","TGT")</f>
        <v>43018</v>
      </c>
      <c r="D366" s="95">
        <f ca="1"/>
        <v>-4.1954849572328756E-3</v>
      </c>
      <c r="E366" s="92"/>
      <c r="F366" s="97">
        <f>_xll.meDateFromTenor(F365,"1D","FOLLOWING","TGT")</f>
        <v>43018</v>
      </c>
      <c r="G366" s="95">
        <f ca="1"/>
        <v>-4.072266461442855E-3</v>
      </c>
      <c r="H366" s="92" t="s">
        <v>4</v>
      </c>
      <c r="I366" s="97">
        <f>_xll.meDateFromTenor(I365,"1D","FOLLOWING","TGT")</f>
        <v>43018</v>
      </c>
      <c r="J366" s="95">
        <f ca="1"/>
        <v>-3.0762403404349949E-3</v>
      </c>
      <c r="K366" s="5" t="s">
        <v>4</v>
      </c>
      <c r="L366" s="97">
        <f>_xll.meDateFromTenor(L365,"1D","FOLLOWING","TGT")</f>
        <v>43018</v>
      </c>
      <c r="M366" s="95">
        <f ca="1"/>
        <v>-1.7643785702396964E-3</v>
      </c>
      <c r="N366" s="5" t="s">
        <v>4</v>
      </c>
      <c r="O366" s="97">
        <f>_xll.meDateFromTenor(O365,"1D","FOLLOWING","TGT")</f>
        <v>43018</v>
      </c>
      <c r="P366" s="95">
        <f ca="1"/>
        <v>9.5754077616666842E-5</v>
      </c>
      <c r="Q366" s="5" t="s">
        <v>4</v>
      </c>
      <c r="R366" s="83" t="s">
        <v>4</v>
      </c>
    </row>
    <row r="367" spans="1:18" x14ac:dyDescent="0.25">
      <c r="A367" s="88">
        <v>353</v>
      </c>
      <c r="B367" s="82"/>
      <c r="C367" s="97">
        <f>_xll.meDateFromTenor(C366,"1D","FOLLOWING","TGT")</f>
        <v>43019</v>
      </c>
      <c r="D367" s="95">
        <f ca="1"/>
        <v>-4.1956541446841467E-3</v>
      </c>
      <c r="E367" s="92"/>
      <c r="F367" s="97">
        <f>_xll.meDateFromTenor(F366,"1D","FOLLOWING","TGT")</f>
        <v>43019</v>
      </c>
      <c r="G367" s="95">
        <f ca="1"/>
        <v>-4.0717672004774701E-3</v>
      </c>
      <c r="H367" s="92" t="s">
        <v>4</v>
      </c>
      <c r="I367" s="97">
        <f>_xll.meDateFromTenor(I366,"1D","FOLLOWING","TGT")</f>
        <v>43019</v>
      </c>
      <c r="J367" s="95">
        <f ca="1"/>
        <v>-3.0761879933538195E-3</v>
      </c>
      <c r="K367" s="5" t="s">
        <v>4</v>
      </c>
      <c r="L367" s="97">
        <f>_xll.meDateFromTenor(L366,"1D","FOLLOWING","TGT")</f>
        <v>43019</v>
      </c>
      <c r="M367" s="95">
        <f ca="1"/>
        <v>-1.7635927466050931E-3</v>
      </c>
      <c r="N367" s="5" t="s">
        <v>4</v>
      </c>
      <c r="O367" s="97">
        <f>_xll.meDateFromTenor(O366,"1D","FOLLOWING","TGT")</f>
        <v>43019</v>
      </c>
      <c r="P367" s="95">
        <f ca="1"/>
        <v>9.8507397073109104E-5</v>
      </c>
      <c r="Q367" s="5" t="s">
        <v>4</v>
      </c>
      <c r="R367" s="83" t="s">
        <v>4</v>
      </c>
    </row>
    <row r="368" spans="1:18" x14ac:dyDescent="0.25">
      <c r="A368" s="88">
        <v>354</v>
      </c>
      <c r="B368" s="82"/>
      <c r="C368" s="97">
        <f>_xll.meDateFromTenor(C367,"1D","FOLLOWING","TGT")</f>
        <v>43020</v>
      </c>
      <c r="D368" s="95">
        <f ca="1"/>
        <v>-4.1958336378459249E-3</v>
      </c>
      <c r="E368" s="92"/>
      <c r="F368" s="97">
        <f>_xll.meDateFromTenor(F367,"1D","FOLLOWING","TGT")</f>
        <v>43020</v>
      </c>
      <c r="G368" s="95">
        <f ca="1"/>
        <v>-4.0712545145874376E-3</v>
      </c>
      <c r="H368" s="92" t="s">
        <v>4</v>
      </c>
      <c r="I368" s="97">
        <f>_xll.meDateFromTenor(I367,"1D","FOLLOWING","TGT")</f>
        <v>43020</v>
      </c>
      <c r="J368" s="95">
        <f ca="1"/>
        <v>-3.0761260396131233E-3</v>
      </c>
      <c r="K368" s="5" t="s">
        <v>4</v>
      </c>
      <c r="L368" s="97">
        <f>_xll.meDateFromTenor(L367,"1D","FOLLOWING","TGT")</f>
        <v>43020</v>
      </c>
      <c r="M368" s="95">
        <f ca="1"/>
        <v>-1.7627891435513098E-3</v>
      </c>
      <c r="N368" s="5" t="s">
        <v>4</v>
      </c>
      <c r="O368" s="97">
        <f>_xll.meDateFromTenor(O367,"1D","FOLLOWING","TGT")</f>
        <v>43020</v>
      </c>
      <c r="P368" s="95">
        <f ca="1"/>
        <v>1.0126999510125121E-4</v>
      </c>
      <c r="Q368" s="5" t="s">
        <v>4</v>
      </c>
      <c r="R368" s="83" t="s">
        <v>4</v>
      </c>
    </row>
    <row r="369" spans="1:18" x14ac:dyDescent="0.25">
      <c r="A369" s="88">
        <v>355</v>
      </c>
      <c r="B369" s="82"/>
      <c r="C369" s="97">
        <f>_xll.meDateFromTenor(C368,"1D","FOLLOWING","TGT")</f>
        <v>43021</v>
      </c>
      <c r="D369" s="95">
        <f ca="1"/>
        <v>-4.1960234361951843E-3</v>
      </c>
      <c r="E369" s="92"/>
      <c r="F369" s="97">
        <f>_xll.meDateFromTenor(F368,"1D","FOLLOWING","TGT")</f>
        <v>43021</v>
      </c>
      <c r="G369" s="95">
        <f ca="1"/>
        <v>-4.070728699965262E-3</v>
      </c>
      <c r="H369" s="92" t="s">
        <v>4</v>
      </c>
      <c r="I369" s="97">
        <f>_xll.meDateFromTenor(I368,"1D","FOLLOWING","TGT")</f>
        <v>43021</v>
      </c>
      <c r="J369" s="95">
        <f ca="1"/>
        <v>-3.0760542214363093E-3</v>
      </c>
      <c r="K369" s="5" t="s">
        <v>4</v>
      </c>
      <c r="L369" s="97">
        <f>_xll.meDateFromTenor(L368,"1D","FOLLOWING","TGT")</f>
        <v>43021</v>
      </c>
      <c r="M369" s="95">
        <f ca="1"/>
        <v>-1.7619676325114689E-3</v>
      </c>
      <c r="N369" s="5" t="s">
        <v>4</v>
      </c>
      <c r="O369" s="97">
        <f>_xll.meDateFromTenor(O368,"1D","FOLLOWING","TGT")</f>
        <v>43021</v>
      </c>
      <c r="P369" s="95">
        <f ca="1"/>
        <v>1.0404185185949188E-4</v>
      </c>
      <c r="Q369" s="5" t="s">
        <v>4</v>
      </c>
      <c r="R369" s="83" t="s">
        <v>4</v>
      </c>
    </row>
    <row r="370" spans="1:18" x14ac:dyDescent="0.25">
      <c r="A370" s="88">
        <v>356</v>
      </c>
      <c r="B370" s="82"/>
      <c r="C370" s="97">
        <f>_xll.meDateFromTenor(C369,"1D","FOLLOWING","TGT")</f>
        <v>43024</v>
      </c>
      <c r="D370" s="95">
        <f ca="1"/>
        <v>-4.1966546578106056E-3</v>
      </c>
      <c r="E370" s="92"/>
      <c r="F370" s="97">
        <f>_xll.meDateFromTenor(F369,"1D","FOLLOWING","TGT")</f>
        <v>43024</v>
      </c>
      <c r="G370" s="95">
        <f ca="1"/>
        <v>-4.0690754456308969E-3</v>
      </c>
      <c r="H370" s="92" t="s">
        <v>4</v>
      </c>
      <c r="I370" s="97">
        <f>_xll.meDateFromTenor(I369,"1D","FOLLOWING","TGT")</f>
        <v>43024</v>
      </c>
      <c r="J370" s="95">
        <f ca="1"/>
        <v>-3.0757770025231874E-3</v>
      </c>
      <c r="K370" s="5" t="s">
        <v>4</v>
      </c>
      <c r="L370" s="97">
        <f>_xll.meDateFromTenor(L369,"1D","FOLLOWING","TGT")</f>
        <v>43024</v>
      </c>
      <c r="M370" s="95">
        <f ca="1"/>
        <v>-1.7593943658068202E-3</v>
      </c>
      <c r="N370" s="5" t="s">
        <v>4</v>
      </c>
      <c r="O370" s="97">
        <f>_xll.meDateFromTenor(O369,"1D","FOLLOWING","TGT")</f>
        <v>43024</v>
      </c>
      <c r="P370" s="95">
        <f ca="1"/>
        <v>1.1241277609879601E-4</v>
      </c>
      <c r="Q370" s="5" t="s">
        <v>4</v>
      </c>
      <c r="R370" s="83" t="s">
        <v>4</v>
      </c>
    </row>
    <row r="371" spans="1:18" x14ac:dyDescent="0.25">
      <c r="A371" s="88">
        <v>357</v>
      </c>
      <c r="B371" s="82"/>
      <c r="C371" s="97">
        <f>_xll.meDateFromTenor(C370,"1D","FOLLOWING","TGT")</f>
        <v>43025</v>
      </c>
      <c r="D371" s="95">
        <f ca="1"/>
        <v>-4.1968856721914527E-3</v>
      </c>
      <c r="E371" s="92"/>
      <c r="F371" s="97">
        <f>_xll.meDateFromTenor(F370,"1D","FOLLOWING","TGT")</f>
        <v>43025</v>
      </c>
      <c r="G371" s="95">
        <f ca="1"/>
        <v>-4.068500078005171E-3</v>
      </c>
      <c r="H371" s="92" t="s">
        <v>4</v>
      </c>
      <c r="I371" s="97">
        <f>_xll.meDateFromTenor(I370,"1D","FOLLOWING","TGT")</f>
        <v>43025</v>
      </c>
      <c r="J371" s="95">
        <f ca="1"/>
        <v>-3.0756631488359303E-3</v>
      </c>
      <c r="K371" s="5" t="s">
        <v>4</v>
      </c>
      <c r="L371" s="97">
        <f>_xll.meDateFromTenor(L370,"1D","FOLLOWING","TGT")</f>
        <v>43025</v>
      </c>
      <c r="M371" s="95">
        <f ca="1"/>
        <v>-1.7584999371539692E-3</v>
      </c>
      <c r="N371" s="5" t="s">
        <v>4</v>
      </c>
      <c r="O371" s="97">
        <f>_xll.meDateFromTenor(O370,"1D","FOLLOWING","TGT")</f>
        <v>43025</v>
      </c>
      <c r="P371" s="95">
        <f ca="1"/>
        <v>1.1522146936142179E-4</v>
      </c>
      <c r="Q371" s="5" t="s">
        <v>4</v>
      </c>
      <c r="R371" s="83" t="s">
        <v>4</v>
      </c>
    </row>
    <row r="372" spans="1:18" x14ac:dyDescent="0.25">
      <c r="A372" s="88">
        <v>358</v>
      </c>
      <c r="B372" s="82"/>
      <c r="C372" s="97">
        <f>_xll.meDateFromTenor(C371,"1D","FOLLOWING","TGT")</f>
        <v>43026</v>
      </c>
      <c r="D372" s="95">
        <f ca="1"/>
        <v>-4.1971269892994156E-3</v>
      </c>
      <c r="E372" s="92"/>
      <c r="F372" s="97">
        <f>_xll.meDateFromTenor(F371,"1D","FOLLOWING","TGT")</f>
        <v>43026</v>
      </c>
      <c r="G372" s="95">
        <f ca="1"/>
        <v>-4.0679130626098134E-3</v>
      </c>
      <c r="H372" s="92" t="s">
        <v>4</v>
      </c>
      <c r="I372" s="97">
        <f>_xll.meDateFromTenor(I371,"1D","FOLLOWING","TGT")</f>
        <v>43026</v>
      </c>
      <c r="J372" s="95">
        <f ca="1"/>
        <v>-3.0755381418295694E-3</v>
      </c>
      <c r="K372" s="5" t="s">
        <v>4</v>
      </c>
      <c r="L372" s="97">
        <f>_xll.meDateFromTenor(L371,"1D","FOLLOWING","TGT")</f>
        <v>43026</v>
      </c>
      <c r="M372" s="95">
        <f ca="1"/>
        <v>-1.7575869576806709E-3</v>
      </c>
      <c r="N372" s="5" t="s">
        <v>4</v>
      </c>
      <c r="O372" s="97">
        <f>_xll.meDateFromTenor(O371,"1D","FOLLOWING","TGT")</f>
        <v>43026</v>
      </c>
      <c r="P372" s="95">
        <f ca="1"/>
        <v>1.1803932214614118E-4</v>
      </c>
      <c r="Q372" s="5" t="s">
        <v>4</v>
      </c>
      <c r="R372" s="83" t="s">
        <v>4</v>
      </c>
    </row>
    <row r="373" spans="1:18" x14ac:dyDescent="0.25">
      <c r="A373" s="88">
        <v>359</v>
      </c>
      <c r="B373" s="82"/>
      <c r="C373" s="97">
        <f>_xll.meDateFromTenor(C372,"1D","FOLLOWING","TGT")</f>
        <v>43027</v>
      </c>
      <c r="D373" s="95">
        <f ca="1"/>
        <v>-4.197378608688962E-3</v>
      </c>
      <c r="E373" s="92"/>
      <c r="F373" s="97">
        <f>_xll.meDateFromTenor(F372,"1D","FOLLOWING","TGT")</f>
        <v>43027</v>
      </c>
      <c r="G373" s="95">
        <f ca="1"/>
        <v>-4.0673146956373262E-3</v>
      </c>
      <c r="H373" s="92" t="s">
        <v>4</v>
      </c>
      <c r="I373" s="97">
        <f>_xll.meDateFromTenor(I372,"1D","FOLLOWING","TGT")</f>
        <v>43027</v>
      </c>
      <c r="J373" s="95">
        <f ca="1"/>
        <v>-3.0754017237275082E-3</v>
      </c>
      <c r="K373" s="5" t="s">
        <v>4</v>
      </c>
      <c r="L373" s="97">
        <f>_xll.meDateFromTenor(L372,"1D","FOLLOWING","TGT")</f>
        <v>43027</v>
      </c>
      <c r="M373" s="95">
        <f ca="1"/>
        <v>-1.7566552988200475E-3</v>
      </c>
      <c r="N373" s="5" t="s">
        <v>4</v>
      </c>
      <c r="O373" s="97">
        <f>_xll.meDateFromTenor(O372,"1D","FOLLOWING","TGT")</f>
        <v>43027</v>
      </c>
      <c r="P373" s="95">
        <f ca="1"/>
        <v>1.208663146113537E-4</v>
      </c>
      <c r="Q373" s="5" t="s">
        <v>4</v>
      </c>
      <c r="R373" s="83" t="s">
        <v>4</v>
      </c>
    </row>
    <row r="374" spans="1:18" x14ac:dyDescent="0.25">
      <c r="A374" s="88">
        <v>360</v>
      </c>
      <c r="B374" s="82"/>
      <c r="C374" s="97">
        <f>_xll.meDateFromTenor(C373,"1D","FOLLOWING","TGT")</f>
        <v>43028</v>
      </c>
      <c r="D374" s="95">
        <f ca="1"/>
        <v>-4.1976405299553043E-3</v>
      </c>
      <c r="E374" s="92"/>
      <c r="F374" s="97">
        <f>_xll.meDateFromTenor(F373,"1D","FOLLOWING","TGT")</f>
        <v>43028</v>
      </c>
      <c r="G374" s="95">
        <f ca="1"/>
        <v>-4.066705273280213E-3</v>
      </c>
      <c r="H374" s="92" t="s">
        <v>4</v>
      </c>
      <c r="I374" s="97">
        <f>_xll.meDateFromTenor(I373,"1D","FOLLOWING","TGT")</f>
        <v>43028</v>
      </c>
      <c r="J374" s="95">
        <f ca="1"/>
        <v>-3.0752536367531489E-3</v>
      </c>
      <c r="K374" s="5" t="s">
        <v>4</v>
      </c>
      <c r="L374" s="97">
        <f>_xll.meDateFromTenor(L373,"1D","FOLLOWING","TGT")</f>
        <v>43028</v>
      </c>
      <c r="M374" s="95">
        <f ca="1"/>
        <v>-1.7557048320052211E-3</v>
      </c>
      <c r="N374" s="5" t="s">
        <v>4</v>
      </c>
      <c r="O374" s="97">
        <f>_xll.meDateFromTenor(O373,"1D","FOLLOWING","TGT")</f>
        <v>43028</v>
      </c>
      <c r="P374" s="95">
        <f ca="1"/>
        <v>1.237024269154579E-4</v>
      </c>
      <c r="Q374" s="5" t="s">
        <v>4</v>
      </c>
      <c r="R374" s="83" t="s">
        <v>4</v>
      </c>
    </row>
    <row r="375" spans="1:18" x14ac:dyDescent="0.25">
      <c r="A375" s="88">
        <v>361</v>
      </c>
      <c r="B375" s="82"/>
      <c r="C375" s="97">
        <f>_xll.meDateFromTenor(C374,"1D","FOLLOWING","TGT")</f>
        <v>43031</v>
      </c>
      <c r="D375" s="95">
        <f ca="1"/>
        <v>-4.1984880995935558E-3</v>
      </c>
      <c r="E375" s="92"/>
      <c r="F375" s="97">
        <f>_xll.meDateFromTenor(F374,"1D","FOLLOWING","TGT")</f>
        <v>43031</v>
      </c>
      <c r="G375" s="95">
        <f ca="1"/>
        <v>-4.0648136358261353E-3</v>
      </c>
      <c r="H375" s="92" t="s">
        <v>4</v>
      </c>
      <c r="I375" s="97">
        <f>_xll.meDateFromTenor(I374,"1D","FOLLOWING","TGT")</f>
        <v>43031</v>
      </c>
      <c r="J375" s="95">
        <f ca="1"/>
        <v>-3.0747367848303147E-3</v>
      </c>
      <c r="K375" s="5" t="s">
        <v>4</v>
      </c>
      <c r="L375" s="97">
        <f>_xll.meDateFromTenor(L374,"1D","FOLLOWING","TGT")</f>
        <v>43031</v>
      </c>
      <c r="M375" s="95">
        <f ca="1"/>
        <v>-1.7527392981667447E-3</v>
      </c>
      <c r="N375" s="5" t="s">
        <v>4</v>
      </c>
      <c r="O375" s="97">
        <f>_xll.meDateFromTenor(O374,"1D","FOLLOWING","TGT")</f>
        <v>43031</v>
      </c>
      <c r="P375" s="95">
        <f ca="1"/>
        <v>1.3226528444511331E-4</v>
      </c>
      <c r="Q375" s="5" t="s">
        <v>4</v>
      </c>
      <c r="R375" s="83" t="s">
        <v>4</v>
      </c>
    </row>
    <row r="376" spans="1:18" x14ac:dyDescent="0.25">
      <c r="A376" s="88">
        <v>362</v>
      </c>
      <c r="B376" s="82"/>
      <c r="C376" s="97">
        <f>_xll.meDateFromTenor(C375,"1D","FOLLOWING","TGT")</f>
        <v>43032</v>
      </c>
      <c r="D376" s="95">
        <f ca="1"/>
        <v>-4.1987912229860536E-3</v>
      </c>
      <c r="E376" s="92"/>
      <c r="F376" s="97">
        <f>_xll.meDateFromTenor(F375,"1D","FOLLOWING","TGT")</f>
        <v>43032</v>
      </c>
      <c r="G376" s="95">
        <f ca="1"/>
        <v>-4.0641629538555402E-3</v>
      </c>
      <c r="H376" s="92" t="s">
        <v>4</v>
      </c>
      <c r="I376" s="97">
        <f>_xll.meDateFromTenor(I375,"1D","FOLLOWING","TGT")</f>
        <v>43032</v>
      </c>
      <c r="J376" s="95">
        <f ca="1"/>
        <v>-3.0745394446007939E-3</v>
      </c>
      <c r="K376" s="5" t="s">
        <v>4</v>
      </c>
      <c r="L376" s="97">
        <f>_xll.meDateFromTenor(L375,"1D","FOLLOWING","TGT")</f>
        <v>43032</v>
      </c>
      <c r="M376" s="95">
        <f ca="1"/>
        <v>-1.7517123138663273E-3</v>
      </c>
      <c r="N376" s="5" t="s">
        <v>4</v>
      </c>
      <c r="O376" s="97">
        <f>_xll.meDateFromTenor(O375,"1D","FOLLOWING","TGT")</f>
        <v>43032</v>
      </c>
      <c r="P376" s="95">
        <f ca="1"/>
        <v>1.3513767768877602E-4</v>
      </c>
      <c r="Q376" s="5" t="s">
        <v>4</v>
      </c>
      <c r="R376" s="83" t="s">
        <v>4</v>
      </c>
    </row>
    <row r="377" spans="1:18" x14ac:dyDescent="0.25">
      <c r="A377" s="88">
        <v>363</v>
      </c>
      <c r="B377" s="82"/>
      <c r="C377" s="97">
        <f>_xll.meDateFromTenor(C376,"1D","FOLLOWING","TGT")</f>
        <v>43033</v>
      </c>
      <c r="D377" s="95">
        <f ca="1"/>
        <v>-4.1991046459421977E-3</v>
      </c>
      <c r="E377" s="92"/>
      <c r="F377" s="97">
        <f>_xll.meDateFromTenor(F376,"1D","FOLLOWING","TGT")</f>
        <v>43033</v>
      </c>
      <c r="G377" s="95">
        <f ca="1"/>
        <v>-4.0635026974628298E-3</v>
      </c>
      <c r="H377" s="92" t="s">
        <v>4</v>
      </c>
      <c r="I377" s="97">
        <f>_xll.meDateFromTenor(I376,"1D","FOLLOWING","TGT")</f>
        <v>43033</v>
      </c>
      <c r="J377" s="95">
        <f ca="1"/>
        <v>-3.0743291466159895E-3</v>
      </c>
      <c r="K377" s="5" t="s">
        <v>4</v>
      </c>
      <c r="L377" s="97">
        <f>_xll.meDateFromTenor(L376,"1D","FOLLOWING","TGT")</f>
        <v>43033</v>
      </c>
      <c r="M377" s="95">
        <f ca="1"/>
        <v>-1.7506658787773176E-3</v>
      </c>
      <c r="N377" s="5" t="s">
        <v>4</v>
      </c>
      <c r="O377" s="97">
        <f>_xll.meDateFromTenor(O376,"1D","FOLLOWING","TGT")</f>
        <v>43033</v>
      </c>
      <c r="P377" s="95">
        <f ca="1"/>
        <v>1.3801909156332571E-4</v>
      </c>
      <c r="Q377" s="5" t="s">
        <v>4</v>
      </c>
      <c r="R377" s="83" t="s">
        <v>4</v>
      </c>
    </row>
    <row r="378" spans="1:18" x14ac:dyDescent="0.25">
      <c r="A378" s="88">
        <v>364</v>
      </c>
      <c r="B378" s="82"/>
      <c r="C378" s="97">
        <f>_xll.meDateFromTenor(C377,"1D","FOLLOWING","TGT")</f>
        <v>43034</v>
      </c>
      <c r="D378" s="95">
        <f ca="1"/>
        <v>-4.1994283676564104E-3</v>
      </c>
      <c r="E378" s="92"/>
      <c r="F378" s="97">
        <f>_xll.meDateFromTenor(F377,"1D","FOLLOWING","TGT")</f>
        <v>43034</v>
      </c>
      <c r="G378" s="95">
        <f ca="1"/>
        <v>-4.0628331628405068E-3</v>
      </c>
      <c r="H378" s="92" t="s">
        <v>4</v>
      </c>
      <c r="I378" s="97">
        <f>_xll.meDateFromTenor(I377,"1D","FOLLOWING","TGT")</f>
        <v>43034</v>
      </c>
      <c r="J378" s="95">
        <f ca="1"/>
        <v>-3.0741056330993058E-3</v>
      </c>
      <c r="K378" s="5" t="s">
        <v>4</v>
      </c>
      <c r="L378" s="97">
        <f>_xll.meDateFromTenor(L377,"1D","FOLLOWING","TGT")</f>
        <v>43034</v>
      </c>
      <c r="M378" s="95">
        <f ca="1"/>
        <v>-1.7495998643328374E-3</v>
      </c>
      <c r="N378" s="5" t="s">
        <v>4</v>
      </c>
      <c r="O378" s="97">
        <f>_xll.meDateFromTenor(O377,"1D","FOLLOWING","TGT")</f>
        <v>43034</v>
      </c>
      <c r="P378" s="95">
        <f ca="1"/>
        <v>1.4090950622716177E-4</v>
      </c>
      <c r="Q378" s="5" t="s">
        <v>4</v>
      </c>
      <c r="R378" s="83" t="s">
        <v>4</v>
      </c>
    </row>
    <row r="379" spans="1:18" x14ac:dyDescent="0.25">
      <c r="A379" s="88">
        <v>365</v>
      </c>
      <c r="B379" s="82"/>
      <c r="C379" s="97">
        <f>_xll.meDateFromTenor(C378,"1D","FOLLOWING","TGT")</f>
        <v>43035</v>
      </c>
      <c r="D379" s="95">
        <f ca="1"/>
        <v>-4.1997623875215107E-3</v>
      </c>
      <c r="E379" s="92"/>
      <c r="F379" s="97">
        <f>_xll.meDateFromTenor(F378,"1D","FOLLOWING","TGT")</f>
        <v>43035</v>
      </c>
      <c r="G379" s="95">
        <f ca="1"/>
        <v>-4.062154646181074E-3</v>
      </c>
      <c r="H379" s="92" t="s">
        <v>4</v>
      </c>
      <c r="I379" s="97">
        <f>_xll.meDateFromTenor(I378,"1D","FOLLOWING","TGT")</f>
        <v>43035</v>
      </c>
      <c r="J379" s="95">
        <f ca="1"/>
        <v>-3.0738686462741444E-3</v>
      </c>
      <c r="K379" s="5" t="s">
        <v>4</v>
      </c>
      <c r="L379" s="97">
        <f>_xll.meDateFromTenor(L378,"1D","FOLLOWING","TGT")</f>
        <v>43035</v>
      </c>
      <c r="M379" s="95">
        <f ca="1"/>
        <v>-1.7485141419660087E-3</v>
      </c>
      <c r="N379" s="5" t="s">
        <v>4</v>
      </c>
      <c r="O379" s="97">
        <f>_xll.meDateFromTenor(O378,"1D","FOLLOWING","TGT")</f>
        <v>43035</v>
      </c>
      <c r="P379" s="95">
        <f ca="1"/>
        <v>1.4380890183868296E-4</v>
      </c>
      <c r="Q379" s="5" t="s">
        <v>4</v>
      </c>
      <c r="R379" s="83" t="s">
        <v>4</v>
      </c>
    </row>
    <row r="380" spans="1:18" x14ac:dyDescent="0.25">
      <c r="A380" s="88">
        <v>366</v>
      </c>
      <c r="B380" s="82"/>
      <c r="C380" s="97">
        <f>_xll.meDateFromTenor(C379,"1D","FOLLOWING","TGT")</f>
        <v>43038</v>
      </c>
      <c r="D380" s="95">
        <f ca="1"/>
        <v>-4.2008262329726875E-3</v>
      </c>
      <c r="E380" s="92"/>
      <c r="F380" s="97">
        <f>_xll.meDateFromTenor(F379,"1D","FOLLOWING","TGT")</f>
        <v>43038</v>
      </c>
      <c r="G380" s="95">
        <f ca="1"/>
        <v>-4.0600681659051421E-3</v>
      </c>
      <c r="H380" s="92" t="s">
        <v>4</v>
      </c>
      <c r="I380" s="97">
        <f>_xll.meDateFromTenor(I379,"1D","FOLLOWING","TGT")</f>
        <v>43038</v>
      </c>
      <c r="J380" s="95">
        <f ca="1"/>
        <v>-3.0730742681818243E-3</v>
      </c>
      <c r="K380" s="5" t="s">
        <v>4</v>
      </c>
      <c r="L380" s="97">
        <f>_xll.meDateFromTenor(L379,"1D","FOLLOWING","TGT")</f>
        <v>43038</v>
      </c>
      <c r="M380" s="95">
        <f ca="1"/>
        <v>-1.7451374416626547E-3</v>
      </c>
      <c r="N380" s="5" t="s">
        <v>4</v>
      </c>
      <c r="O380" s="97">
        <f>_xll.meDateFromTenor(O379,"1D","FOLLOWING","TGT")</f>
        <v>43038</v>
      </c>
      <c r="P380" s="95">
        <f ca="1"/>
        <v>1.5256077594334882E-4</v>
      </c>
      <c r="Q380" s="5" t="s">
        <v>4</v>
      </c>
      <c r="R380" s="83" t="s">
        <v>4</v>
      </c>
    </row>
    <row r="381" spans="1:18" x14ac:dyDescent="0.25">
      <c r="A381" s="88">
        <v>367</v>
      </c>
      <c r="B381" s="82"/>
      <c r="C381" s="97">
        <f>_xll.meDateFromTenor(C380,"1D","FOLLOWING","TGT")</f>
        <v>43039</v>
      </c>
      <c r="D381" s="95">
        <f ca="1"/>
        <v>-4.2012014415939714E-3</v>
      </c>
      <c r="E381" s="92"/>
      <c r="F381" s="97">
        <f>_xll.meDateFromTenor(F380,"1D","FOLLOWING","TGT")</f>
        <v>43039</v>
      </c>
      <c r="G381" s="95">
        <f ca="1"/>
        <v>-4.0593566830222959E-3</v>
      </c>
      <c r="H381" s="92" t="s">
        <v>4</v>
      </c>
      <c r="I381" s="97">
        <f>_xll.meDateFromTenor(I380,"1D","FOLLOWING","TGT")</f>
        <v>43039</v>
      </c>
      <c r="J381" s="95">
        <f ca="1"/>
        <v>-3.0727808103567819E-3</v>
      </c>
      <c r="K381" s="5" t="s">
        <v>4</v>
      </c>
      <c r="L381" s="97">
        <f>_xll.meDateFromTenor(L380,"1D","FOLLOWING","TGT")</f>
        <v>43039</v>
      </c>
      <c r="M381" s="95">
        <f ca="1"/>
        <v>-1.7439716019376544E-3</v>
      </c>
      <c r="N381" s="5" t="s">
        <v>4</v>
      </c>
      <c r="O381" s="97">
        <f>_xll.meDateFromTenor(O380,"1D","FOLLOWING","TGT")</f>
        <v>43039</v>
      </c>
      <c r="P381" s="95">
        <f ca="1"/>
        <v>1.5549589692960138E-4</v>
      </c>
      <c r="Q381" s="5" t="s">
        <v>4</v>
      </c>
      <c r="R381" s="83" t="s">
        <v>4</v>
      </c>
    </row>
    <row r="382" spans="1:18" x14ac:dyDescent="0.25">
      <c r="A382" s="88">
        <v>368</v>
      </c>
      <c r="B382" s="82"/>
      <c r="C382" s="97">
        <f>_xll.meDateFromTenor(C381,"1D","FOLLOWING","TGT")</f>
        <v>43040</v>
      </c>
      <c r="D382" s="95">
        <f ca="1"/>
        <v>-4.201586946042779E-3</v>
      </c>
      <c r="E382" s="92"/>
      <c r="F382" s="97">
        <f>_xll.meDateFromTenor(F381,"1D","FOLLOWING","TGT")</f>
        <v>43040</v>
      </c>
      <c r="G382" s="95">
        <f ca="1"/>
        <v>-4.0586376990648515E-3</v>
      </c>
      <c r="H382" s="92" t="s">
        <v>4</v>
      </c>
      <c r="I382" s="97">
        <f>_xll.meDateFromTenor(I381,"1D","FOLLOWING","TGT")</f>
        <v>43040</v>
      </c>
      <c r="J382" s="95">
        <f ca="1"/>
        <v>-3.0724725903402777E-3</v>
      </c>
      <c r="K382" s="5" t="s">
        <v>4</v>
      </c>
      <c r="L382" s="97">
        <f>_xll.meDateFromTenor(L381,"1D","FOLLOWING","TGT")</f>
        <v>43040</v>
      </c>
      <c r="M382" s="95">
        <f ca="1"/>
        <v>-1.7427854114559162E-3</v>
      </c>
      <c r="N382" s="5" t="s">
        <v>4</v>
      </c>
      <c r="O382" s="97">
        <f>_xll.meDateFromTenor(O381,"1D","FOLLOWING","TGT")</f>
        <v>43040</v>
      </c>
      <c r="P382" s="95">
        <f ca="1"/>
        <v>1.5843989965553474E-4</v>
      </c>
      <c r="Q382" s="5" t="s">
        <v>4</v>
      </c>
      <c r="R382" s="83" t="s">
        <v>4</v>
      </c>
    </row>
    <row r="383" spans="1:18" x14ac:dyDescent="0.25">
      <c r="A383" s="88">
        <v>369</v>
      </c>
      <c r="B383" s="82"/>
      <c r="C383" s="97">
        <f>_xll.meDateFromTenor(C382,"1D","FOLLOWING","TGT")</f>
        <v>43041</v>
      </c>
      <c r="D383" s="95">
        <f ca="1"/>
        <v>-4.2019827457498993E-3</v>
      </c>
      <c r="E383" s="92"/>
      <c r="F383" s="97">
        <f>_xll.meDateFromTenor(F382,"1D","FOLLOWING","TGT")</f>
        <v>43041</v>
      </c>
      <c r="G383" s="95">
        <f ca="1"/>
        <v>-4.0579115102253116E-3</v>
      </c>
      <c r="H383" s="92" t="s">
        <v>4</v>
      </c>
      <c r="I383" s="97">
        <f>_xll.meDateFromTenor(I382,"1D","FOLLOWING","TGT")</f>
        <v>43041</v>
      </c>
      <c r="J383" s="95">
        <f ca="1"/>
        <v>-3.0721493503557133E-3</v>
      </c>
      <c r="K383" s="5" t="s">
        <v>4</v>
      </c>
      <c r="L383" s="97">
        <f>_xll.meDateFromTenor(L382,"1D","FOLLOWING","TGT")</f>
        <v>43041</v>
      </c>
      <c r="M383" s="95">
        <f ca="1"/>
        <v>-1.7415787416505623E-3</v>
      </c>
      <c r="N383" s="5" t="s">
        <v>4</v>
      </c>
      <c r="O383" s="97">
        <f>_xll.meDateFromTenor(O382,"1D","FOLLOWING","TGT")</f>
        <v>43041</v>
      </c>
      <c r="P383" s="95">
        <f ca="1"/>
        <v>1.6139276427954756E-4</v>
      </c>
      <c r="Q383" s="5" t="s">
        <v>4</v>
      </c>
      <c r="R383" s="83" t="s">
        <v>4</v>
      </c>
    </row>
    <row r="384" spans="1:18" x14ac:dyDescent="0.25">
      <c r="A384" s="88">
        <v>370</v>
      </c>
      <c r="B384" s="82"/>
      <c r="C384" s="97">
        <f>_xll.meDateFromTenor(C383,"1D","FOLLOWING","TGT")</f>
        <v>43042</v>
      </c>
      <c r="D384" s="95">
        <f ca="1"/>
        <v>-4.2023888406633736E-3</v>
      </c>
      <c r="E384" s="92"/>
      <c r="F384" s="97">
        <f>_xll.meDateFromTenor(F383,"1D","FOLLOWING","TGT")</f>
        <v>43042</v>
      </c>
      <c r="G384" s="95">
        <f ca="1"/>
        <v>-4.0571782743186006E-3</v>
      </c>
      <c r="H384" s="92" t="s">
        <v>4</v>
      </c>
      <c r="I384" s="97">
        <f>_xll.meDateFromTenor(I383,"1D","FOLLOWING","TGT")</f>
        <v>43042</v>
      </c>
      <c r="J384" s="95">
        <f ca="1"/>
        <v>-3.0718108326264911E-3</v>
      </c>
      <c r="K384" s="5" t="s">
        <v>4</v>
      </c>
      <c r="L384" s="97">
        <f>_xll.meDateFromTenor(L383,"1D","FOLLOWING","TGT")</f>
        <v>43042</v>
      </c>
      <c r="M384" s="95">
        <f ca="1"/>
        <v>-1.7403514639547149E-3</v>
      </c>
      <c r="N384" s="5" t="s">
        <v>4</v>
      </c>
      <c r="O384" s="97">
        <f>_xll.meDateFromTenor(O383,"1D","FOLLOWING","TGT")</f>
        <v>43042</v>
      </c>
      <c r="P384" s="95">
        <f ca="1"/>
        <v>1.6435447096003873E-4</v>
      </c>
      <c r="Q384" s="5" t="s">
        <v>4</v>
      </c>
      <c r="R384" s="83" t="s">
        <v>4</v>
      </c>
    </row>
    <row r="385" spans="1:18" x14ac:dyDescent="0.25">
      <c r="A385" s="88">
        <v>371</v>
      </c>
      <c r="B385" s="82"/>
      <c r="C385" s="97">
        <f>_xll.meDateFromTenor(C384,"1D","FOLLOWING","TGT")</f>
        <v>43045</v>
      </c>
      <c r="D385" s="95">
        <f ca="1"/>
        <v>-4.2036688891113894E-3</v>
      </c>
      <c r="E385" s="92"/>
      <c r="F385" s="97">
        <f>_xll.meDateFromTenor(F384,"1D","FOLLOWING","TGT")</f>
        <v>43045</v>
      </c>
      <c r="G385" s="95">
        <f ca="1"/>
        <v>-4.0549317737312495E-3</v>
      </c>
      <c r="H385" s="92" t="s">
        <v>4</v>
      </c>
      <c r="I385" s="97">
        <f>_xll.meDateFromTenor(I384,"1D","FOLLOWING","TGT")</f>
        <v>43045</v>
      </c>
      <c r="J385" s="95">
        <f ca="1"/>
        <v>-3.0707010352049135E-3</v>
      </c>
      <c r="K385" s="5" t="s">
        <v>4</v>
      </c>
      <c r="L385" s="97">
        <f>_xll.meDateFromTenor(L384,"1D","FOLLOWING","TGT")</f>
        <v>43045</v>
      </c>
      <c r="M385" s="95">
        <f ca="1"/>
        <v>-1.7365446978554332E-3</v>
      </c>
      <c r="N385" s="5" t="s">
        <v>4</v>
      </c>
      <c r="O385" s="97">
        <f>_xll.meDateFromTenor(O384,"1D","FOLLOWING","TGT")</f>
        <v>43045</v>
      </c>
      <c r="P385" s="95">
        <f ca="1"/>
        <v>1.7329244492437452E-4</v>
      </c>
      <c r="Q385" s="5" t="s">
        <v>4</v>
      </c>
      <c r="R385" s="83" t="s">
        <v>4</v>
      </c>
    </row>
    <row r="386" spans="1:18" x14ac:dyDescent="0.25">
      <c r="A386" s="88">
        <v>372</v>
      </c>
      <c r="B386" s="82"/>
      <c r="C386" s="97">
        <f>_xll.meDateFromTenor(C385,"1D","FOLLOWING","TGT")</f>
        <v>43046</v>
      </c>
      <c r="D386" s="95">
        <f ca="1"/>
        <v>-4.2041161583532549E-3</v>
      </c>
      <c r="E386" s="92"/>
      <c r="F386" s="97">
        <f>_xll.meDateFromTenor(F385,"1D","FOLLOWING","TGT")</f>
        <v>43046</v>
      </c>
      <c r="G386" s="95">
        <f ca="1"/>
        <v>-4.054165562336504E-3</v>
      </c>
      <c r="H386" s="92" t="s">
        <v>4</v>
      </c>
      <c r="I386" s="97">
        <f>_xll.meDateFromTenor(I385,"1D","FOLLOWING","TGT")</f>
        <v>43046</v>
      </c>
      <c r="J386" s="95">
        <f ca="1"/>
        <v>-3.0702988287310932E-3</v>
      </c>
      <c r="K386" s="5" t="s">
        <v>4</v>
      </c>
      <c r="L386" s="97">
        <f>_xll.meDateFromTenor(L385,"1D","FOLLOWING","TGT")</f>
        <v>43046</v>
      </c>
      <c r="M386" s="95">
        <f ca="1"/>
        <v>-1.7352337029288331E-3</v>
      </c>
      <c r="N386" s="5" t="s">
        <v>4</v>
      </c>
      <c r="O386" s="97">
        <f>_xll.meDateFromTenor(O385,"1D","FOLLOWING","TGT")</f>
        <v>43046</v>
      </c>
      <c r="P386" s="95">
        <f ca="1"/>
        <v>1.7628932141477033E-4</v>
      </c>
      <c r="Q386" s="5" t="s">
        <v>4</v>
      </c>
      <c r="R386" s="83" t="s">
        <v>4</v>
      </c>
    </row>
    <row r="387" spans="1:18" x14ac:dyDescent="0.25">
      <c r="A387" s="88">
        <v>373</v>
      </c>
      <c r="B387" s="82"/>
      <c r="C387" s="97">
        <f>_xll.meDateFromTenor(C386,"1D","FOLLOWING","TGT")</f>
        <v>43047</v>
      </c>
      <c r="D387" s="95">
        <f ca="1"/>
        <v>-4.2045737203075806E-3</v>
      </c>
      <c r="E387" s="92"/>
      <c r="F387" s="97">
        <f>_xll.meDateFromTenor(F386,"1D","FOLLOWING","TGT")</f>
        <v>43047</v>
      </c>
      <c r="G387" s="95">
        <f ca="1"/>
        <v>-4.0533897718873337E-3</v>
      </c>
      <c r="H387" s="92" t="s">
        <v>4</v>
      </c>
      <c r="I387" s="97">
        <f>_xll.meDateFromTenor(I386,"1D","FOLLOWING","TGT")</f>
        <v>43047</v>
      </c>
      <c r="J387" s="95">
        <f ca="1"/>
        <v>-3.069880055629629E-3</v>
      </c>
      <c r="K387" s="5" t="s">
        <v>4</v>
      </c>
      <c r="L387" s="97">
        <f>_xll.meDateFromTenor(L386,"1D","FOLLOWING","TGT")</f>
        <v>43047</v>
      </c>
      <c r="M387" s="95">
        <f ca="1"/>
        <v>-1.73390145727735E-3</v>
      </c>
      <c r="N387" s="5" t="s">
        <v>4</v>
      </c>
      <c r="O387" s="97">
        <f>_xll.meDateFromTenor(O386,"1D","FOLLOWING","TGT")</f>
        <v>43047</v>
      </c>
      <c r="P387" s="95">
        <f ca="1"/>
        <v>1.792949407536402E-4</v>
      </c>
      <c r="Q387" s="5" t="s">
        <v>4</v>
      </c>
      <c r="R387" s="83" t="s">
        <v>4</v>
      </c>
    </row>
    <row r="388" spans="1:18" x14ac:dyDescent="0.25">
      <c r="A388" s="88">
        <v>374</v>
      </c>
      <c r="B388" s="82"/>
      <c r="C388" s="97">
        <f>_xll.meDateFromTenor(C387,"1D","FOLLOWING","TGT")</f>
        <v>43048</v>
      </c>
      <c r="D388" s="95">
        <f ca="1"/>
        <v>-4.2050415738459357E-3</v>
      </c>
      <c r="E388" s="92"/>
      <c r="F388" s="97">
        <f>_xll.meDateFromTenor(F387,"1D","FOLLOWING","TGT")</f>
        <v>43048</v>
      </c>
      <c r="G388" s="95">
        <f ca="1"/>
        <v>-4.0526038683107732E-3</v>
      </c>
      <c r="H388" s="92" t="s">
        <v>4</v>
      </c>
      <c r="I388" s="97">
        <f>_xll.meDateFromTenor(I387,"1D","FOLLOWING","TGT")</f>
        <v>43048</v>
      </c>
      <c r="J388" s="95">
        <f ca="1"/>
        <v>-3.0694444581239265E-3</v>
      </c>
      <c r="K388" s="5" t="s">
        <v>4</v>
      </c>
      <c r="L388" s="97">
        <f>_xll.meDateFromTenor(L387,"1D","FOLLOWING","TGT")</f>
        <v>43048</v>
      </c>
      <c r="M388" s="95">
        <f ca="1"/>
        <v>-1.7325478323341058E-3</v>
      </c>
      <c r="N388" s="5" t="s">
        <v>4</v>
      </c>
      <c r="O388" s="97">
        <f>_xll.meDateFromTenor(O387,"1D","FOLLOWING","TGT")</f>
        <v>43048</v>
      </c>
      <c r="P388" s="95">
        <f ca="1"/>
        <v>1.8230928309938274E-4</v>
      </c>
      <c r="Q388" s="5" t="s">
        <v>4</v>
      </c>
      <c r="R388" s="83" t="s">
        <v>4</v>
      </c>
    </row>
    <row r="389" spans="1:18" x14ac:dyDescent="0.25">
      <c r="A389" s="88">
        <v>375</v>
      </c>
      <c r="B389" s="82"/>
      <c r="C389" s="97">
        <f>_xll.meDateFromTenor(C388,"1D","FOLLOWING","TGT")</f>
        <v>43049</v>
      </c>
      <c r="D389" s="95">
        <f ca="1"/>
        <v>-4.2055197188737292E-3</v>
      </c>
      <c r="E389" s="92"/>
      <c r="F389" s="97">
        <f>_xll.meDateFromTenor(F388,"1D","FOLLOWING","TGT")</f>
        <v>43049</v>
      </c>
      <c r="G389" s="95">
        <f ca="1"/>
        <v>-4.0518073175338553E-3</v>
      </c>
      <c r="H389" s="92" t="s">
        <v>4</v>
      </c>
      <c r="I389" s="97">
        <f>_xll.meDateFromTenor(I388,"1D","FOLLOWING","TGT")</f>
        <v>43049</v>
      </c>
      <c r="J389" s="95">
        <f ca="1"/>
        <v>-3.068991778437388E-3</v>
      </c>
      <c r="K389" s="5" t="s">
        <v>4</v>
      </c>
      <c r="L389" s="97">
        <f>_xll.meDateFromTenor(L388,"1D","FOLLOWING","TGT")</f>
        <v>43049</v>
      </c>
      <c r="M389" s="95">
        <f ca="1"/>
        <v>-1.7311726995322227E-3</v>
      </c>
      <c r="N389" s="5" t="s">
        <v>4</v>
      </c>
      <c r="O389" s="97">
        <f>_xll.meDateFromTenor(O388,"1D","FOLLOWING","TGT")</f>
        <v>43049</v>
      </c>
      <c r="P389" s="95">
        <f ca="1"/>
        <v>1.8533232861039732E-4</v>
      </c>
      <c r="Q389" s="5" t="s">
        <v>4</v>
      </c>
      <c r="R389" s="83" t="s">
        <v>4</v>
      </c>
    </row>
    <row r="390" spans="1:18" x14ac:dyDescent="0.25">
      <c r="A390" s="88">
        <v>376</v>
      </c>
      <c r="B390" s="82"/>
      <c r="C390" s="97">
        <f>_xll.meDateFromTenor(C389,"1D","FOLLOWING","TGT")</f>
        <v>43052</v>
      </c>
      <c r="D390" s="95">
        <f ca="1"/>
        <v>-4.2070158976937888E-3</v>
      </c>
      <c r="E390" s="92"/>
      <c r="F390" s="97">
        <f>_xll.meDateFromTenor(F389,"1D","FOLLOWING","TGT")</f>
        <v>43052</v>
      </c>
      <c r="G390" s="95">
        <f ca="1"/>
        <v>-4.0493484412712916E-3</v>
      </c>
      <c r="H390" s="92" t="s">
        <v>4</v>
      </c>
      <c r="I390" s="97">
        <f>_xll.meDateFromTenor(I389,"1D","FOLLOWING","TGT")</f>
        <v>43052</v>
      </c>
      <c r="J390" s="95">
        <f ca="1"/>
        <v>-3.0675286685267777E-3</v>
      </c>
      <c r="K390" s="5" t="s">
        <v>4</v>
      </c>
      <c r="L390" s="97">
        <f>_xll.meDateFromTenor(L389,"1D","FOLLOWING","TGT")</f>
        <v>43052</v>
      </c>
      <c r="M390" s="95">
        <f ca="1"/>
        <v>-1.7269169683059632E-3</v>
      </c>
      <c r="N390" s="5" t="s">
        <v>4</v>
      </c>
      <c r="O390" s="97">
        <f>_xll.meDateFromTenor(O389,"1D","FOLLOWING","TGT")</f>
        <v>43052</v>
      </c>
      <c r="P390" s="95">
        <f ca="1"/>
        <v>1.9445348571906247E-4</v>
      </c>
      <c r="Q390" s="5" t="s">
        <v>4</v>
      </c>
      <c r="R390" s="83" t="s">
        <v>4</v>
      </c>
    </row>
    <row r="391" spans="1:18" x14ac:dyDescent="0.25">
      <c r="A391" s="88">
        <v>377</v>
      </c>
      <c r="B391" s="82"/>
      <c r="C391" s="97">
        <f>_xll.meDateFromTenor(C390,"1D","FOLLOWING","TGT")</f>
        <v>43053</v>
      </c>
      <c r="D391" s="95">
        <f ca="1"/>
        <v>-4.2075352033962288E-3</v>
      </c>
      <c r="E391" s="92"/>
      <c r="F391" s="97">
        <f>_xll.meDateFromTenor(F390,"1D","FOLLOWING","TGT")</f>
        <v>43053</v>
      </c>
      <c r="G391" s="95">
        <f ca="1"/>
        <v>-4.0485039609632805E-3</v>
      </c>
      <c r="H391" s="92" t="s">
        <v>4</v>
      </c>
      <c r="I391" s="97">
        <f>_xll.meDateFromTenor(I390,"1D","FOLLOWING","TGT")</f>
        <v>43053</v>
      </c>
      <c r="J391" s="95">
        <f ca="1"/>
        <v>-3.0670050823509206E-3</v>
      </c>
      <c r="K391" s="5" t="s">
        <v>4</v>
      </c>
      <c r="L391" s="97">
        <f>_xll.meDateFromTenor(L390,"1D","FOLLOWING","TGT")</f>
        <v>43053</v>
      </c>
      <c r="M391" s="95">
        <f ca="1"/>
        <v>-1.7254545184007466E-3</v>
      </c>
      <c r="N391" s="5" t="s">
        <v>4</v>
      </c>
      <c r="O391" s="97">
        <f>_xll.meDateFromTenor(O390,"1D","FOLLOWING","TGT")</f>
        <v>43053</v>
      </c>
      <c r="P391" s="95">
        <f ca="1"/>
        <v>1.9751114547515467E-4</v>
      </c>
      <c r="Q391" s="5" t="s">
        <v>4</v>
      </c>
      <c r="R391" s="83" t="s">
        <v>4</v>
      </c>
    </row>
    <row r="392" spans="1:18" x14ac:dyDescent="0.25">
      <c r="A392" s="88">
        <v>378</v>
      </c>
      <c r="B392" s="82"/>
      <c r="C392" s="97">
        <f>_xll.meDateFromTenor(C391,"1D","FOLLOWING","TGT")</f>
        <v>43054</v>
      </c>
      <c r="D392" s="95">
        <f ca="1"/>
        <v>-4.2080647979642061E-3</v>
      </c>
      <c r="E392" s="92"/>
      <c r="F392" s="97">
        <f>_xll.meDateFromTenor(F391,"1D","FOLLOWING","TGT")</f>
        <v>43054</v>
      </c>
      <c r="G392" s="95">
        <f ca="1"/>
        <v>-4.047646163090079E-3</v>
      </c>
      <c r="H392" s="92" t="s">
        <v>4</v>
      </c>
      <c r="I392" s="97">
        <f>_xll.meDateFromTenor(I391,"1D","FOLLOWING","TGT")</f>
        <v>43054</v>
      </c>
      <c r="J392" s="95">
        <f ca="1"/>
        <v>-3.0664631251112414E-3</v>
      </c>
      <c r="K392" s="5" t="s">
        <v>4</v>
      </c>
      <c r="L392" s="97">
        <f>_xll.meDateFromTenor(L391,"1D","FOLLOWING","TGT")</f>
        <v>43054</v>
      </c>
      <c r="M392" s="95">
        <f ca="1"/>
        <v>-1.7239699178025016E-3</v>
      </c>
      <c r="N392" s="5" t="s">
        <v>4</v>
      </c>
      <c r="O392" s="97">
        <f>_xll.meDateFromTenor(O391,"1D","FOLLOWING","TGT")</f>
        <v>43054</v>
      </c>
      <c r="P392" s="95">
        <f ca="1"/>
        <v>2.0057740918851425E-4</v>
      </c>
      <c r="Q392" s="5" t="s">
        <v>4</v>
      </c>
      <c r="R392" s="83" t="s">
        <v>4</v>
      </c>
    </row>
    <row r="393" spans="1:18" x14ac:dyDescent="0.25">
      <c r="A393" s="88">
        <v>379</v>
      </c>
      <c r="B393" s="82"/>
      <c r="C393" s="97">
        <f>_xll.meDateFromTenor(C392,"1D","FOLLOWING","TGT")</f>
        <v>43055</v>
      </c>
      <c r="D393" s="95">
        <f ca="1"/>
        <v>-4.2086046813016864E-3</v>
      </c>
      <c r="E393" s="92"/>
      <c r="F393" s="97">
        <f>_xll.meDateFromTenor(F392,"1D","FOLLOWING","TGT")</f>
        <v>43055</v>
      </c>
      <c r="G393" s="95">
        <f ca="1"/>
        <v>-4.0467745135787225E-3</v>
      </c>
      <c r="H393" s="92" t="s">
        <v>4</v>
      </c>
      <c r="I393" s="97">
        <f>_xll.meDateFromTenor(I392,"1D","FOLLOWING","TGT")</f>
        <v>43055</v>
      </c>
      <c r="J393" s="95">
        <f ca="1"/>
        <v>-3.0659025390311432E-3</v>
      </c>
      <c r="K393" s="5" t="s">
        <v>4</v>
      </c>
      <c r="L393" s="97">
        <f>_xll.meDateFromTenor(L392,"1D","FOLLOWING","TGT")</f>
        <v>43055</v>
      </c>
      <c r="M393" s="95">
        <f ca="1"/>
        <v>-1.7224630379443506E-3</v>
      </c>
      <c r="N393" s="5" t="s">
        <v>4</v>
      </c>
      <c r="O393" s="97">
        <f>_xll.meDateFromTenor(O392,"1D","FOLLOWING","TGT")</f>
        <v>43055</v>
      </c>
      <c r="P393" s="95">
        <f ca="1"/>
        <v>2.0365225701753973E-4</v>
      </c>
      <c r="Q393" s="5" t="s">
        <v>4</v>
      </c>
      <c r="R393" s="83" t="s">
        <v>4</v>
      </c>
    </row>
    <row r="394" spans="1:18" x14ac:dyDescent="0.25">
      <c r="A394" s="88">
        <v>380</v>
      </c>
      <c r="B394" s="82"/>
      <c r="C394" s="97">
        <f>_xll.meDateFromTenor(C393,"1D","FOLLOWING","TGT")</f>
        <v>43056</v>
      </c>
      <c r="D394" s="95">
        <f ca="1"/>
        <v>-4.2091548520389876E-3</v>
      </c>
      <c r="E394" s="92"/>
      <c r="F394" s="97">
        <f>_xll.meDateFromTenor(F393,"1D","FOLLOWING","TGT")</f>
        <v>43056</v>
      </c>
      <c r="G394" s="95">
        <f ca="1"/>
        <v>-4.0458884783562436E-3</v>
      </c>
      <c r="H394" s="92" t="s">
        <v>4</v>
      </c>
      <c r="I394" s="97">
        <f>_xll.meDateFromTenor(I393,"1D","FOLLOWING","TGT")</f>
        <v>43056</v>
      </c>
      <c r="J394" s="95">
        <f ca="1"/>
        <v>-3.0653230663340286E-3</v>
      </c>
      <c r="K394" s="5" t="s">
        <v>4</v>
      </c>
      <c r="L394" s="97">
        <f>_xll.meDateFromTenor(L393,"1D","FOLLOWING","TGT")</f>
        <v>43056</v>
      </c>
      <c r="M394" s="95">
        <f ca="1"/>
        <v>-1.7209337502594156E-3</v>
      </c>
      <c r="N394" s="5" t="s">
        <v>4</v>
      </c>
      <c r="O394" s="97">
        <f>_xll.meDateFromTenor(O393,"1D","FOLLOWING","TGT")</f>
        <v>43056</v>
      </c>
      <c r="P394" s="95">
        <f ca="1"/>
        <v>2.0673566912063061E-4</v>
      </c>
      <c r="Q394" s="5" t="s">
        <v>4</v>
      </c>
      <c r="R394" s="83" t="s">
        <v>4</v>
      </c>
    </row>
    <row r="395" spans="1:18" x14ac:dyDescent="0.25">
      <c r="A395" s="88">
        <v>381</v>
      </c>
      <c r="B395" s="82"/>
      <c r="C395" s="97">
        <f>_xll.meDateFromTenor(C394,"1D","FOLLOWING","TGT")</f>
        <v>43059</v>
      </c>
      <c r="D395" s="95">
        <f ca="1"/>
        <v>-4.2108670873629572E-3</v>
      </c>
      <c r="E395" s="92"/>
      <c r="F395" s="97">
        <f>_xll.meDateFromTenor(F394,"1D","FOLLOWING","TGT")</f>
        <v>43059</v>
      </c>
      <c r="G395" s="95">
        <f ca="1"/>
        <v>-4.0431387176924115E-3</v>
      </c>
      <c r="H395" s="92" t="s">
        <v>4</v>
      </c>
      <c r="I395" s="97">
        <f>_xll.meDateFromTenor(I394,"1D","FOLLOWING","TGT")</f>
        <v>43059</v>
      </c>
      <c r="J395" s="95">
        <f ca="1"/>
        <v>-3.0634687507746154E-3</v>
      </c>
      <c r="K395" s="5" t="s">
        <v>4</v>
      </c>
      <c r="L395" s="97">
        <f>_xll.meDateFromTenor(L394,"1D","FOLLOWING","TGT")</f>
        <v>43059</v>
      </c>
      <c r="M395" s="95">
        <f ca="1"/>
        <v>-1.716210154575128E-3</v>
      </c>
      <c r="N395" s="5" t="s">
        <v>4</v>
      </c>
      <c r="O395" s="97">
        <f>_xll.meDateFromTenor(O394,"1D","FOLLOWING","TGT")</f>
        <v>43059</v>
      </c>
      <c r="P395" s="95">
        <f ca="1"/>
        <v>2.1603709265828429E-4</v>
      </c>
      <c r="Q395" s="5" t="s">
        <v>4</v>
      </c>
      <c r="R395" s="83" t="s">
        <v>4</v>
      </c>
    </row>
    <row r="396" spans="1:18" x14ac:dyDescent="0.25">
      <c r="A396" s="88">
        <v>382</v>
      </c>
      <c r="B396" s="82"/>
      <c r="C396" s="97">
        <f>_xll.meDateFromTenor(C395,"1D","FOLLOWING","TGT")</f>
        <v>43060</v>
      </c>
      <c r="D396" s="95">
        <f ca="1"/>
        <v>-4.2114584052173054E-3</v>
      </c>
      <c r="E396" s="92"/>
      <c r="F396" s="97">
        <f>_xll.meDateFromTenor(F395,"1D","FOLLOWING","TGT")</f>
        <v>43060</v>
      </c>
      <c r="G396" s="95">
        <f ca="1"/>
        <v>-4.0421897988957801E-3</v>
      </c>
      <c r="H396" s="92" t="s">
        <v>4</v>
      </c>
      <c r="I396" s="97">
        <f>_xll.meDateFromTenor(I395,"1D","FOLLOWING","TGT")</f>
        <v>43060</v>
      </c>
      <c r="J396" s="95">
        <f ca="1"/>
        <v>-3.0628111538434644E-3</v>
      </c>
      <c r="K396" s="5" t="s">
        <v>4</v>
      </c>
      <c r="L396" s="97">
        <f>_xll.meDateFromTenor(L395,"1D","FOLLOWING","TGT")</f>
        <v>43060</v>
      </c>
      <c r="M396" s="95">
        <f ca="1"/>
        <v>-1.714589949914278E-3</v>
      </c>
      <c r="N396" s="5" t="s">
        <v>4</v>
      </c>
      <c r="O396" s="97">
        <f>_xll.meDateFromTenor(O395,"1D","FOLLOWING","TGT")</f>
        <v>43060</v>
      </c>
      <c r="P396" s="95">
        <f ca="1"/>
        <v>2.1915456344162633E-4</v>
      </c>
      <c r="Q396" s="5" t="s">
        <v>4</v>
      </c>
      <c r="R396" s="83" t="s">
        <v>4</v>
      </c>
    </row>
    <row r="397" spans="1:18" x14ac:dyDescent="0.25">
      <c r="A397" s="88">
        <v>383</v>
      </c>
      <c r="B397" s="82"/>
      <c r="C397" s="97">
        <f>_xll.meDateFromTenor(C396,"1D","FOLLOWING","TGT")</f>
        <v>43061</v>
      </c>
      <c r="D397" s="95">
        <f ca="1"/>
        <v>-4.212060008034979E-3</v>
      </c>
      <c r="E397" s="92"/>
      <c r="F397" s="97">
        <f>_xll.meDateFromTenor(F396,"1D","FOLLOWING","TGT")</f>
        <v>43061</v>
      </c>
      <c r="G397" s="95">
        <f ca="1"/>
        <v>-4.0412238240231952E-3</v>
      </c>
      <c r="H397" s="92" t="s">
        <v>4</v>
      </c>
      <c r="I397" s="97">
        <f>_xll.meDateFromTenor(I396,"1D","FOLLOWING","TGT")</f>
        <v>43061</v>
      </c>
      <c r="J397" s="95">
        <f ca="1"/>
        <v>-3.0621333814123113E-3</v>
      </c>
      <c r="K397" s="5" t="s">
        <v>4</v>
      </c>
      <c r="L397" s="97">
        <f>_xll.meDateFromTenor(L396,"1D","FOLLOWING","TGT")</f>
        <v>43061</v>
      </c>
      <c r="M397" s="95">
        <f ca="1"/>
        <v>-1.7129466945922547E-3</v>
      </c>
      <c r="N397" s="5" t="s">
        <v>4</v>
      </c>
      <c r="O397" s="97">
        <f>_xll.meDateFromTenor(O396,"1D","FOLLOWING","TGT")</f>
        <v>43061</v>
      </c>
      <c r="P397" s="95">
        <f ca="1"/>
        <v>2.2228049929102884E-4</v>
      </c>
      <c r="Q397" s="5" t="s">
        <v>4</v>
      </c>
      <c r="R397" s="83" t="s">
        <v>4</v>
      </c>
    </row>
    <row r="398" spans="1:18" x14ac:dyDescent="0.25">
      <c r="A398" s="88">
        <v>384</v>
      </c>
      <c r="B398" s="82"/>
      <c r="C398" s="97">
        <f>_xll.meDateFromTenor(C397,"1D","FOLLOWING","TGT")</f>
        <v>43062</v>
      </c>
      <c r="D398" s="95">
        <f ca="1"/>
        <v>-4.2126718959566434E-3</v>
      </c>
      <c r="E398" s="92"/>
      <c r="F398" s="97">
        <f>_xll.meDateFromTenor(F397,"1D","FOLLOWING","TGT")</f>
        <v>43062</v>
      </c>
      <c r="G398" s="95">
        <f ca="1"/>
        <v>-4.0402402590016904E-3</v>
      </c>
      <c r="H398" s="92" t="s">
        <v>4</v>
      </c>
      <c r="I398" s="97">
        <f>_xll.meDateFromTenor(I397,"1D","FOLLOWING","TGT")</f>
        <v>43062</v>
      </c>
      <c r="J398" s="95">
        <f ca="1"/>
        <v>-3.0614351757045598E-3</v>
      </c>
      <c r="K398" s="5" t="s">
        <v>4</v>
      </c>
      <c r="L398" s="97">
        <f>_xll.meDateFromTenor(L397,"1D","FOLLOWING","TGT")</f>
        <v>43062</v>
      </c>
      <c r="M398" s="95">
        <f ca="1"/>
        <v>-1.7112802600421802E-3</v>
      </c>
      <c r="N398" s="5" t="s">
        <v>4</v>
      </c>
      <c r="O398" s="97">
        <f>_xll.meDateFromTenor(O397,"1D","FOLLOWING","TGT")</f>
        <v>43062</v>
      </c>
      <c r="P398" s="95">
        <f ca="1"/>
        <v>2.254148803648904E-4</v>
      </c>
      <c r="Q398" s="5" t="s">
        <v>4</v>
      </c>
      <c r="R398" s="83" t="s">
        <v>4</v>
      </c>
    </row>
    <row r="399" spans="1:18" x14ac:dyDescent="0.25">
      <c r="A399" s="88">
        <v>385</v>
      </c>
      <c r="B399" s="82"/>
      <c r="C399" s="97">
        <f>_xll.meDateFromTenor(C398,"1D","FOLLOWING","TGT")</f>
        <v>43063</v>
      </c>
      <c r="D399" s="95">
        <f ca="1"/>
        <v>-4.2132940682866327E-3</v>
      </c>
      <c r="E399" s="92"/>
      <c r="F399" s="97">
        <f>_xll.meDateFromTenor(F398,"1D","FOLLOWING","TGT")</f>
        <v>43063</v>
      </c>
      <c r="G399" s="95">
        <f ca="1"/>
        <v>-4.0392385697582984E-3</v>
      </c>
      <c r="H399" s="92" t="s">
        <v>4</v>
      </c>
      <c r="I399" s="97">
        <f>_xll.meDateFromTenor(I398,"1D","FOLLOWING","TGT")</f>
        <v>43063</v>
      </c>
      <c r="J399" s="95">
        <f ca="1"/>
        <v>-3.0607162789436119E-3</v>
      </c>
      <c r="K399" s="5" t="s">
        <v>4</v>
      </c>
      <c r="L399" s="97">
        <f>_xll.meDateFromTenor(L398,"1D","FOLLOWING","TGT")</f>
        <v>43063</v>
      </c>
      <c r="M399" s="95">
        <f ca="1"/>
        <v>-1.7095905176971759E-3</v>
      </c>
      <c r="N399" s="5" t="s">
        <v>4</v>
      </c>
      <c r="O399" s="97">
        <f>_xll.meDateFromTenor(O398,"1D","FOLLOWING","TGT")</f>
        <v>43063</v>
      </c>
      <c r="P399" s="95">
        <f ca="1"/>
        <v>2.2855768682161084E-4</v>
      </c>
      <c r="Q399" s="5" t="s">
        <v>4</v>
      </c>
      <c r="R399" s="83" t="s">
        <v>4</v>
      </c>
    </row>
    <row r="400" spans="1:18" x14ac:dyDescent="0.25">
      <c r="A400" s="88">
        <v>386</v>
      </c>
      <c r="B400" s="82"/>
      <c r="C400" s="97">
        <f>_xll.meDateFromTenor(C399,"1D","FOLLOWING","TGT")</f>
        <v>43066</v>
      </c>
      <c r="D400" s="95">
        <f ca="1"/>
        <v>-4.215222286398923E-3</v>
      </c>
      <c r="E400" s="92"/>
      <c r="F400" s="97">
        <f>_xll.meDateFromTenor(F399,"1D","FOLLOWING","TGT")</f>
        <v>43066</v>
      </c>
      <c r="G400" s="95">
        <f ca="1"/>
        <v>-4.0361194159671387E-3</v>
      </c>
      <c r="H400" s="92" t="s">
        <v>4</v>
      </c>
      <c r="I400" s="97">
        <f>_xll.meDateFromTenor(I399,"1D","FOLLOWING","TGT")</f>
        <v>43066</v>
      </c>
      <c r="J400" s="95">
        <f ca="1"/>
        <v>-3.0584328645756218E-3</v>
      </c>
      <c r="K400" s="5" t="s">
        <v>4</v>
      </c>
      <c r="L400" s="97">
        <f>_xll.meDateFromTenor(L399,"1D","FOLLOWING","TGT")</f>
        <v>43066</v>
      </c>
      <c r="M400" s="95">
        <f ca="1"/>
        <v>-1.7043801582238103E-3</v>
      </c>
      <c r="N400" s="5" t="s">
        <v>4</v>
      </c>
      <c r="O400" s="97">
        <f>_xll.meDateFromTenor(O399,"1D","FOLLOWING","TGT")</f>
        <v>43066</v>
      </c>
      <c r="P400" s="95">
        <f ca="1"/>
        <v>2.3803646007291272E-4</v>
      </c>
      <c r="Q400" s="5" t="s">
        <v>4</v>
      </c>
      <c r="R400" s="83" t="s">
        <v>4</v>
      </c>
    </row>
    <row r="401" spans="1:18" x14ac:dyDescent="0.25">
      <c r="A401" s="88">
        <v>387</v>
      </c>
      <c r="B401" s="82"/>
      <c r="C401" s="97">
        <f>_xll.meDateFromTenor(C400,"1D","FOLLOWING","TGT")</f>
        <v>43067</v>
      </c>
      <c r="D401" s="95">
        <f ca="1"/>
        <v>-4.2158855910726656E-3</v>
      </c>
      <c r="E401" s="92"/>
      <c r="F401" s="97">
        <f>_xll.meDateFromTenor(F400,"1D","FOLLOWING","TGT")</f>
        <v>43067</v>
      </c>
      <c r="G401" s="95">
        <f ca="1"/>
        <v>-4.0350398891065365E-3</v>
      </c>
      <c r="H401" s="92" t="s">
        <v>4</v>
      </c>
      <c r="I401" s="97">
        <f>_xll.meDateFromTenor(I400,"1D","FOLLOWING","TGT")</f>
        <v>43067</v>
      </c>
      <c r="J401" s="95">
        <f ca="1"/>
        <v>-3.0576286258359188E-3</v>
      </c>
      <c r="K401" s="5" t="s">
        <v>4</v>
      </c>
      <c r="L401" s="97">
        <f>_xll.meDateFromTenor(L400,"1D","FOLLOWING","TGT")</f>
        <v>43067</v>
      </c>
      <c r="M401" s="95">
        <f ca="1"/>
        <v>-1.7025958990303104E-3</v>
      </c>
      <c r="N401" s="5" t="s">
        <v>4</v>
      </c>
      <c r="O401" s="97">
        <f>_xll.meDateFromTenor(O400,"1D","FOLLOWING","TGT")</f>
        <v>43067</v>
      </c>
      <c r="P401" s="95">
        <f ca="1"/>
        <v>2.4121276964505744E-4</v>
      </c>
      <c r="Q401" s="5" t="s">
        <v>4</v>
      </c>
      <c r="R401" s="83" t="s">
        <v>4</v>
      </c>
    </row>
    <row r="402" spans="1:18" x14ac:dyDescent="0.25">
      <c r="A402" s="88">
        <v>388</v>
      </c>
      <c r="B402" s="82"/>
      <c r="C402" s="97">
        <f>_xll.meDateFromTenor(C401,"1D","FOLLOWING","TGT")</f>
        <v>43068</v>
      </c>
      <c r="D402" s="95">
        <f ca="1"/>
        <v>-4.2165591777868494E-3</v>
      </c>
      <c r="E402" s="92"/>
      <c r="F402" s="97">
        <f>_xll.meDateFromTenor(F401,"1D","FOLLOWING","TGT")</f>
        <v>43068</v>
      </c>
      <c r="G402" s="95">
        <f ca="1"/>
        <v>-4.033939567659215E-3</v>
      </c>
      <c r="H402" s="92" t="s">
        <v>4</v>
      </c>
      <c r="I402" s="97">
        <f>_xll.meDateFromTenor(I401,"1D","FOLLOWING","TGT")</f>
        <v>43068</v>
      </c>
      <c r="J402" s="95">
        <f ca="1"/>
        <v>-3.0568024071600348E-3</v>
      </c>
      <c r="K402" s="5" t="s">
        <v>4</v>
      </c>
      <c r="L402" s="97">
        <f>_xll.meDateFromTenor(L401,"1D","FOLLOWING","TGT")</f>
        <v>43068</v>
      </c>
      <c r="M402" s="95">
        <f ca="1"/>
        <v>-1.7007876892074921E-3</v>
      </c>
      <c r="N402" s="5" t="s">
        <v>4</v>
      </c>
      <c r="O402" s="97">
        <f>_xll.meDateFromTenor(O401,"1D","FOLLOWING","TGT")</f>
        <v>43068</v>
      </c>
      <c r="P402" s="95">
        <f ca="1"/>
        <v>2.4439740539205568E-4</v>
      </c>
      <c r="Q402" s="5" t="s">
        <v>4</v>
      </c>
      <c r="R402" s="83" t="s">
        <v>4</v>
      </c>
    </row>
    <row r="403" spans="1:18" x14ac:dyDescent="0.25">
      <c r="A403" s="88">
        <v>389</v>
      </c>
      <c r="B403" s="82"/>
      <c r="C403" s="97">
        <f>_xll.meDateFromTenor(C402,"1D","FOLLOWING","TGT")</f>
        <v>43069</v>
      </c>
      <c r="D403" s="95">
        <f ca="1"/>
        <v>-4.2172430457247945E-3</v>
      </c>
      <c r="E403" s="92"/>
      <c r="F403" s="97">
        <f>_xll.meDateFromTenor(F402,"1D","FOLLOWING","TGT")</f>
        <v>43069</v>
      </c>
      <c r="G403" s="95">
        <f ca="1"/>
        <v>-4.0328179175522089E-3</v>
      </c>
      <c r="H403" s="92" t="s">
        <v>4</v>
      </c>
      <c r="I403" s="97">
        <f>_xll.meDateFromTenor(I402,"1D","FOLLOWING","TGT")</f>
        <v>43069</v>
      </c>
      <c r="J403" s="95">
        <f ca="1"/>
        <v>-3.0559539507713724E-3</v>
      </c>
      <c r="K403" s="5" t="s">
        <v>4</v>
      </c>
      <c r="L403" s="97">
        <f>_xll.meDateFromTenor(L402,"1D","FOLLOWING","TGT")</f>
        <v>43069</v>
      </c>
      <c r="M403" s="95">
        <f ca="1"/>
        <v>-1.6989554001884772E-3</v>
      </c>
      <c r="N403" s="5" t="s">
        <v>4</v>
      </c>
      <c r="O403" s="97">
        <f>_xll.meDateFromTenor(O402,"1D","FOLLOWING","TGT")</f>
        <v>43069</v>
      </c>
      <c r="P403" s="95">
        <f ca="1"/>
        <v>2.4759034747230674E-4</v>
      </c>
      <c r="Q403" s="5" t="s">
        <v>4</v>
      </c>
      <c r="R403" s="83" t="s">
        <v>4</v>
      </c>
    </row>
    <row r="404" spans="1:18" x14ac:dyDescent="0.25">
      <c r="A404" s="88">
        <v>390</v>
      </c>
      <c r="B404" s="82"/>
      <c r="C404" s="97">
        <f>_xll.meDateFromTenor(C403,"1D","FOLLOWING","TGT")</f>
        <v>43070</v>
      </c>
      <c r="D404" s="95">
        <f ca="1"/>
        <v>-4.2179371944274235E-3</v>
      </c>
      <c r="E404" s="92"/>
      <c r="F404" s="97">
        <f>_xll.meDateFromTenor(F403,"1D","FOLLOWING","TGT")</f>
        <v>43070</v>
      </c>
      <c r="G404" s="95">
        <f ca="1"/>
        <v>-4.0316744047125515E-3</v>
      </c>
      <c r="H404" s="92" t="s">
        <v>4</v>
      </c>
      <c r="I404" s="97">
        <f>_xll.meDateFromTenor(I403,"1D","FOLLOWING","TGT")</f>
        <v>43070</v>
      </c>
      <c r="J404" s="95">
        <f ca="1"/>
        <v>-3.0550829988933341E-3</v>
      </c>
      <c r="K404" s="5" t="s">
        <v>4</v>
      </c>
      <c r="L404" s="97">
        <f>_xll.meDateFromTenor(L403,"1D","FOLLOWING","TGT")</f>
        <v>43070</v>
      </c>
      <c r="M404" s="95">
        <f ca="1"/>
        <v>-1.6970989034063874E-3</v>
      </c>
      <c r="N404" s="5" t="s">
        <v>4</v>
      </c>
      <c r="O404" s="97">
        <f>_xll.meDateFromTenor(O403,"1D","FOLLOWING","TGT")</f>
        <v>43070</v>
      </c>
      <c r="P404" s="95">
        <f ca="1"/>
        <v>2.5079157604420972E-4</v>
      </c>
      <c r="Q404" s="5" t="s">
        <v>4</v>
      </c>
      <c r="R404" s="83" t="s">
        <v>4</v>
      </c>
    </row>
    <row r="405" spans="1:18" x14ac:dyDescent="0.25">
      <c r="A405" s="88">
        <v>391</v>
      </c>
      <c r="B405" s="82"/>
      <c r="C405" s="97">
        <f>_xll.meDateFromTenor(C404,"1D","FOLLOWING","TGT")</f>
        <v>43073</v>
      </c>
      <c r="D405" s="95">
        <f ca="1"/>
        <v>-4.2200770881368754E-3</v>
      </c>
      <c r="E405" s="92"/>
      <c r="F405" s="97">
        <f>_xll.meDateFromTenor(F404,"1D","FOLLOWING","TGT")</f>
        <v>43073</v>
      </c>
      <c r="G405" s="95">
        <f ca="1"/>
        <v>-4.0281073490680067E-3</v>
      </c>
      <c r="H405" s="92" t="s">
        <v>4</v>
      </c>
      <c r="I405" s="97">
        <f>_xll.meDateFromTenor(I404,"1D","FOLLOWING","TGT")</f>
        <v>43073</v>
      </c>
      <c r="J405" s="95">
        <f ca="1"/>
        <v>-3.052332592556994E-3</v>
      </c>
      <c r="K405" s="5" t="s">
        <v>4</v>
      </c>
      <c r="L405" s="97">
        <f>_xll.meDateFromTenor(L404,"1D","FOLLOWING","TGT")</f>
        <v>43073</v>
      </c>
      <c r="M405" s="95">
        <f ca="1"/>
        <v>-1.6913828808128935E-3</v>
      </c>
      <c r="N405" s="5" t="s">
        <v>4</v>
      </c>
      <c r="O405" s="97">
        <f>_xll.meDateFromTenor(O404,"1D","FOLLOWING","TGT")</f>
        <v>43073</v>
      </c>
      <c r="P405" s="95">
        <f ca="1"/>
        <v>2.6044478229381933E-4</v>
      </c>
      <c r="Q405" s="5" t="s">
        <v>4</v>
      </c>
      <c r="R405" s="83" t="s">
        <v>4</v>
      </c>
    </row>
    <row r="406" spans="1:18" x14ac:dyDescent="0.25">
      <c r="A406" s="88">
        <v>392</v>
      </c>
      <c r="B406" s="82"/>
      <c r="C406" s="97">
        <f>_xll.meDateFromTenor(C405,"1D","FOLLOWING","TGT")</f>
        <v>43074</v>
      </c>
      <c r="D406" s="95">
        <f ca="1"/>
        <v>-4.2207869592929548E-3</v>
      </c>
      <c r="E406" s="92"/>
      <c r="F406" s="97">
        <f>_xll.meDateFromTenor(F405,"1D","FOLLOWING","TGT")</f>
        <v>43074</v>
      </c>
      <c r="G406" s="95">
        <f ca="1"/>
        <v>-4.0268712870606526E-3</v>
      </c>
      <c r="H406" s="92" t="s">
        <v>4</v>
      </c>
      <c r="I406" s="97">
        <f>_xll.meDateFromTenor(I405,"1D","FOLLOWING","TGT")</f>
        <v>43074</v>
      </c>
      <c r="J406" s="95">
        <f ca="1"/>
        <v>-3.0513693970712318E-3</v>
      </c>
      <c r="K406" s="5" t="s">
        <v>4</v>
      </c>
      <c r="L406" s="97">
        <f>_xll.meDateFromTenor(L405,"1D","FOLLOWING","TGT")</f>
        <v>43074</v>
      </c>
      <c r="M406" s="95">
        <f ca="1"/>
        <v>-1.6894283089562553E-3</v>
      </c>
      <c r="N406" s="5" t="s">
        <v>4</v>
      </c>
      <c r="O406" s="97">
        <f>_xll.meDateFromTenor(O405,"1D","FOLLOWING","TGT")</f>
        <v>43074</v>
      </c>
      <c r="P406" s="95">
        <f ca="1"/>
        <v>2.6367895841631988E-4</v>
      </c>
      <c r="Q406" s="5" t="s">
        <v>4</v>
      </c>
      <c r="R406" s="83" t="s">
        <v>4</v>
      </c>
    </row>
    <row r="407" spans="1:18" x14ac:dyDescent="0.25">
      <c r="A407" s="88">
        <v>393</v>
      </c>
      <c r="B407" s="82"/>
      <c r="C407" s="97">
        <f>_xll.meDateFromTenor(C406,"1D","FOLLOWING","TGT")</f>
        <v>43075</v>
      </c>
      <c r="D407" s="95">
        <f ca="1"/>
        <v>-4.2214817141900118E-3</v>
      </c>
      <c r="E407" s="92"/>
      <c r="F407" s="97">
        <f>_xll.meDateFromTenor(F406,"1D","FOLLOWING","TGT")</f>
        <v>43075</v>
      </c>
      <c r="G407" s="95">
        <f ca="1"/>
        <v>-4.025612146911251E-3</v>
      </c>
      <c r="H407" s="92" t="s">
        <v>4</v>
      </c>
      <c r="I407" s="97">
        <f>_xll.meDateFromTenor(I406,"1D","FOLLOWING","TGT")</f>
        <v>43075</v>
      </c>
      <c r="J407" s="95">
        <f ca="1"/>
        <v>-3.0503843139076088E-3</v>
      </c>
      <c r="K407" s="5" t="s">
        <v>4</v>
      </c>
      <c r="L407" s="97">
        <f>_xll.meDateFromTenor(L406,"1D","FOLLOWING","TGT")</f>
        <v>43075</v>
      </c>
      <c r="M407" s="95">
        <f ca="1"/>
        <v>-1.6874491363813244E-3</v>
      </c>
      <c r="N407" s="5" t="s">
        <v>4</v>
      </c>
      <c r="O407" s="97">
        <f>_xll.meDateFromTenor(O406,"1D","FOLLOWING","TGT")</f>
        <v>43075</v>
      </c>
      <c r="P407" s="95">
        <f ca="1"/>
        <v>2.6692132182246715E-4</v>
      </c>
      <c r="Q407" s="5" t="s">
        <v>4</v>
      </c>
      <c r="R407" s="83" t="s">
        <v>4</v>
      </c>
    </row>
    <row r="408" spans="1:18" x14ac:dyDescent="0.25">
      <c r="A408" s="88">
        <v>394</v>
      </c>
      <c r="B408" s="82"/>
      <c r="C408" s="97">
        <f>_xll.meDateFromTenor(C407,"1D","FOLLOWING","TGT")</f>
        <v>43076</v>
      </c>
      <c r="D408" s="95">
        <f ca="1"/>
        <v>-4.2221613532177349E-3</v>
      </c>
      <c r="E408" s="92"/>
      <c r="F408" s="97">
        <f>_xll.meDateFromTenor(F407,"1D","FOLLOWING","TGT")</f>
        <v>43076</v>
      </c>
      <c r="G408" s="95">
        <f ca="1"/>
        <v>-4.0243308495022754E-3</v>
      </c>
      <c r="H408" s="92" t="s">
        <v>4</v>
      </c>
      <c r="I408" s="97">
        <f>_xll.meDateFromTenor(I407,"1D","FOLLOWING","TGT")</f>
        <v>43076</v>
      </c>
      <c r="J408" s="95">
        <f ca="1"/>
        <v>-3.0493789819840251E-3</v>
      </c>
      <c r="K408" s="5" t="s">
        <v>4</v>
      </c>
      <c r="L408" s="97">
        <f>_xll.meDateFromTenor(L407,"1D","FOLLOWING","TGT")</f>
        <v>43076</v>
      </c>
      <c r="M408" s="95">
        <f ca="1"/>
        <v>-1.6854454844003922E-3</v>
      </c>
      <c r="N408" s="5" t="s">
        <v>4</v>
      </c>
      <c r="O408" s="97">
        <f>_xll.meDateFromTenor(O407,"1D","FOLLOWING","TGT")</f>
        <v>43076</v>
      </c>
      <c r="P408" s="95">
        <f ca="1"/>
        <v>2.701718526706609E-4</v>
      </c>
      <c r="Q408" s="5" t="s">
        <v>4</v>
      </c>
      <c r="R408" s="83" t="s">
        <v>4</v>
      </c>
    </row>
    <row r="409" spans="1:18" x14ac:dyDescent="0.25">
      <c r="A409" s="88">
        <v>395</v>
      </c>
      <c r="B409" s="82"/>
      <c r="C409" s="97">
        <f>_xll.meDateFromTenor(C408,"1D","FOLLOWING","TGT")</f>
        <v>43077</v>
      </c>
      <c r="D409" s="95">
        <f ca="1"/>
        <v>-4.2228258773623351E-3</v>
      </c>
      <c r="E409" s="92"/>
      <c r="F409" s="97">
        <f>_xll.meDateFromTenor(F408,"1D","FOLLOWING","TGT")</f>
        <v>43077</v>
      </c>
      <c r="G409" s="95">
        <f ca="1"/>
        <v>-4.0230283157161933E-3</v>
      </c>
      <c r="H409" s="92" t="s">
        <v>4</v>
      </c>
      <c r="I409" s="97">
        <f>_xll.meDateFromTenor(I408,"1D","FOLLOWING","TGT")</f>
        <v>43077</v>
      </c>
      <c r="J409" s="95">
        <f ca="1"/>
        <v>-3.0483550402183859E-3</v>
      </c>
      <c r="K409" s="5" t="s">
        <v>4</v>
      </c>
      <c r="L409" s="97">
        <f>_xll.meDateFromTenor(L408,"1D","FOLLOWING","TGT")</f>
        <v>43077</v>
      </c>
      <c r="M409" s="95">
        <f ca="1"/>
        <v>-1.6834174743257521E-3</v>
      </c>
      <c r="N409" s="5" t="s">
        <v>4</v>
      </c>
      <c r="O409" s="97">
        <f>_xll.meDateFromTenor(O408,"1D","FOLLOWING","TGT")</f>
        <v>43077</v>
      </c>
      <c r="P409" s="95">
        <f ca="1"/>
        <v>2.7343053111929922E-4</v>
      </c>
      <c r="Q409" s="5" t="s">
        <v>4</v>
      </c>
      <c r="R409" s="83" t="s">
        <v>4</v>
      </c>
    </row>
    <row r="410" spans="1:18" x14ac:dyDescent="0.25">
      <c r="A410" s="88">
        <v>396</v>
      </c>
      <c r="B410" s="82"/>
      <c r="C410" s="97">
        <f>_xll.meDateFromTenor(C409,"1D","FOLLOWING","TGT")</f>
        <v>43080</v>
      </c>
      <c r="D410" s="95">
        <f ca="1"/>
        <v>-4.2247287674015421E-3</v>
      </c>
      <c r="E410" s="92"/>
      <c r="F410" s="97">
        <f>_xll.meDateFromTenor(F409,"1D","FOLLOWING","TGT")</f>
        <v>43080</v>
      </c>
      <c r="G410" s="95">
        <f ca="1"/>
        <v>-4.0190025049200205E-3</v>
      </c>
      <c r="H410" s="92" t="s">
        <v>4</v>
      </c>
      <c r="I410" s="97">
        <f>_xll.meDateFromTenor(I409,"1D","FOLLOWING","TGT")</f>
        <v>43080</v>
      </c>
      <c r="J410" s="95">
        <f ca="1"/>
        <v>-3.0451879450481482E-3</v>
      </c>
      <c r="K410" s="5" t="s">
        <v>4</v>
      </c>
      <c r="L410" s="97">
        <f>_xll.meDateFromTenor(L409,"1D","FOLLOWING","TGT")</f>
        <v>43080</v>
      </c>
      <c r="M410" s="95">
        <f ca="1"/>
        <v>-1.6771885086625084E-3</v>
      </c>
      <c r="N410" s="5" t="s">
        <v>4</v>
      </c>
      <c r="O410" s="97">
        <f>_xll.meDateFromTenor(O409,"1D","FOLLOWING","TGT")</f>
        <v>43080</v>
      </c>
      <c r="P410" s="95">
        <f ca="1"/>
        <v>2.8325525365187619E-4</v>
      </c>
      <c r="Q410" s="5" t="s">
        <v>4</v>
      </c>
      <c r="R410" s="83" t="s">
        <v>4</v>
      </c>
    </row>
    <row r="411" spans="1:18" x14ac:dyDescent="0.25">
      <c r="A411" s="88">
        <v>397</v>
      </c>
      <c r="B411" s="82"/>
      <c r="C411" s="97">
        <f>_xll.meDateFromTenor(C410,"1D","FOLLOWING","TGT")</f>
        <v>43081</v>
      </c>
      <c r="D411" s="95">
        <f ca="1"/>
        <v>-4.225332839073892E-3</v>
      </c>
      <c r="E411" s="92"/>
      <c r="F411" s="97">
        <f>_xll.meDateFromTenor(F410,"1D","FOLLOWING","TGT")</f>
        <v>43081</v>
      </c>
      <c r="G411" s="95">
        <f ca="1"/>
        <v>-4.0176242344502214E-3</v>
      </c>
      <c r="H411" s="92" t="s">
        <v>4</v>
      </c>
      <c r="I411" s="97">
        <f>_xll.meDateFromTenor(I410,"1D","FOLLOWING","TGT")</f>
        <v>43081</v>
      </c>
      <c r="J411" s="95">
        <f ca="1"/>
        <v>-3.044105953093304E-3</v>
      </c>
      <c r="K411" s="5" t="s">
        <v>4</v>
      </c>
      <c r="L411" s="97">
        <f>_xll.meDateFromTenor(L410,"1D","FOLLOWING","TGT")</f>
        <v>43081</v>
      </c>
      <c r="M411" s="95">
        <f ca="1"/>
        <v>-1.6750642793359617E-3</v>
      </c>
      <c r="N411" s="5" t="s">
        <v>4</v>
      </c>
      <c r="O411" s="97">
        <f>_xll.meDateFromTenor(O410,"1D","FOLLOWING","TGT")</f>
        <v>43081</v>
      </c>
      <c r="P411" s="95">
        <f ca="1"/>
        <v>2.8654632408628585E-4</v>
      </c>
      <c r="Q411" s="5" t="s">
        <v>4</v>
      </c>
      <c r="R411" s="83" t="s">
        <v>4</v>
      </c>
    </row>
    <row r="412" spans="1:18" x14ac:dyDescent="0.25">
      <c r="A412" s="88">
        <v>398</v>
      </c>
      <c r="B412" s="82"/>
      <c r="C412" s="97">
        <f>_xll.meDateFromTenor(C411,"1D","FOLLOWING","TGT")</f>
        <v>43082</v>
      </c>
      <c r="D412" s="95">
        <f ca="1"/>
        <v>-4.2259217996288845E-3</v>
      </c>
      <c r="E412" s="92"/>
      <c r="F412" s="97">
        <f>_xll.meDateFromTenor(F411,"1D","FOLLOWING","TGT")</f>
        <v>43082</v>
      </c>
      <c r="G412" s="95">
        <f ca="1"/>
        <v>-4.0162293320156707E-3</v>
      </c>
      <c r="H412" s="92" t="s">
        <v>4</v>
      </c>
      <c r="I412" s="97">
        <f>_xll.meDateFromTenor(I411,"1D","FOLLOWING","TGT")</f>
        <v>43082</v>
      </c>
      <c r="J412" s="95">
        <f ca="1"/>
        <v>-3.0430135458859157E-3</v>
      </c>
      <c r="K412" s="5" t="s">
        <v>4</v>
      </c>
      <c r="L412" s="97">
        <f>_xll.meDateFromTenor(L411,"1D","FOLLOWING","TGT")</f>
        <v>43082</v>
      </c>
      <c r="M412" s="95">
        <f ca="1"/>
        <v>-1.67291629847717E-3</v>
      </c>
      <c r="N412" s="5" t="s">
        <v>4</v>
      </c>
      <c r="O412" s="97">
        <f>_xll.meDateFromTenor(O411,"1D","FOLLOWING","TGT")</f>
        <v>43082</v>
      </c>
      <c r="P412" s="95">
        <f ca="1"/>
        <v>2.8984544291313526E-4</v>
      </c>
      <c r="Q412" s="5" t="s">
        <v>4</v>
      </c>
      <c r="R412" s="83" t="s">
        <v>4</v>
      </c>
    </row>
    <row r="413" spans="1:18" x14ac:dyDescent="0.25">
      <c r="A413" s="88">
        <v>399</v>
      </c>
      <c r="B413" s="82"/>
      <c r="C413" s="97">
        <f>_xll.meDateFromTenor(C412,"1D","FOLLOWING","TGT")</f>
        <v>43083</v>
      </c>
      <c r="D413" s="95">
        <f ca="1"/>
        <v>-4.2264956492920058E-3</v>
      </c>
      <c r="E413" s="92"/>
      <c r="F413" s="97">
        <f>_xll.meDateFromTenor(F412,"1D","FOLLOWING","TGT")</f>
        <v>43083</v>
      </c>
      <c r="G413" s="95">
        <f ca="1"/>
        <v>-4.0148187184988358E-3</v>
      </c>
      <c r="H413" s="92" t="s">
        <v>4</v>
      </c>
      <c r="I413" s="97">
        <f>_xll.meDateFromTenor(I412,"1D","FOLLOWING","TGT")</f>
        <v>43083</v>
      </c>
      <c r="J413" s="95">
        <f ca="1"/>
        <v>-3.041912362343884E-3</v>
      </c>
      <c r="K413" s="5" t="s">
        <v>4</v>
      </c>
      <c r="L413" s="97">
        <f>_xll.meDateFromTenor(L412,"1D","FOLLOWING","TGT")</f>
        <v>43083</v>
      </c>
      <c r="M413" s="95">
        <f ca="1"/>
        <v>-1.6707446873984258E-3</v>
      </c>
      <c r="N413" s="5" t="s">
        <v>4</v>
      </c>
      <c r="O413" s="97">
        <f>_xll.meDateFromTenor(O412,"1D","FOLLOWING","TGT")</f>
        <v>43083</v>
      </c>
      <c r="P413" s="95">
        <f ca="1"/>
        <v>2.9315259029082466E-4</v>
      </c>
      <c r="Q413" s="5" t="s">
        <v>4</v>
      </c>
      <c r="R413" s="83" t="s">
        <v>4</v>
      </c>
    </row>
    <row r="414" spans="1:18" x14ac:dyDescent="0.25">
      <c r="A414" s="88">
        <v>400</v>
      </c>
      <c r="B414" s="82"/>
      <c r="C414" s="97">
        <f>_xll.meDateFromTenor(C413,"1D","FOLLOWING","TGT")</f>
        <v>43084</v>
      </c>
      <c r="D414" s="95">
        <f ca="1"/>
        <v>-4.2270543894029622E-3</v>
      </c>
      <c r="E414" s="92"/>
      <c r="F414" s="97">
        <f>_xll.meDateFromTenor(F413,"1D","FOLLOWING","TGT")</f>
        <v>43084</v>
      </c>
      <c r="G414" s="95">
        <f ca="1"/>
        <v>-4.0133933147821904E-3</v>
      </c>
      <c r="H414" s="92" t="s">
        <v>4</v>
      </c>
      <c r="I414" s="97">
        <f>_xll.meDateFromTenor(I413,"1D","FOLLOWING","TGT")</f>
        <v>43084</v>
      </c>
      <c r="J414" s="95">
        <f ca="1"/>
        <v>-3.0408040413851113E-3</v>
      </c>
      <c r="K414" s="5" t="s">
        <v>4</v>
      </c>
      <c r="L414" s="97">
        <f>_xll.meDateFromTenor(L413,"1D","FOLLOWING","TGT")</f>
        <v>43084</v>
      </c>
      <c r="M414" s="95">
        <f ca="1"/>
        <v>-1.668549567412022E-3</v>
      </c>
      <c r="N414" s="5" t="s">
        <v>4</v>
      </c>
      <c r="O414" s="97">
        <f>_xll.meDateFromTenor(O413,"1D","FOLLOWING","TGT")</f>
        <v>43084</v>
      </c>
      <c r="P414" s="95">
        <f ca="1"/>
        <v>2.9646774637775183E-4</v>
      </c>
      <c r="Q414" s="5" t="s">
        <v>4</v>
      </c>
      <c r="R414" s="83" t="s">
        <v>4</v>
      </c>
    </row>
    <row r="415" spans="1:18" x14ac:dyDescent="0.25">
      <c r="A415" s="88">
        <v>401</v>
      </c>
      <c r="B415" s="82"/>
      <c r="C415" s="97">
        <f>_xll.meDateFromTenor(C414,"1D","FOLLOWING","TGT")</f>
        <v>43087</v>
      </c>
      <c r="D415" s="95">
        <f ca="1"/>
        <v>-4.2286399582042167E-3</v>
      </c>
      <c r="E415" s="92"/>
      <c r="F415" s="97">
        <f>_xll.meDateFromTenor(F414,"1D","FOLLOWING","TGT")</f>
        <v>43087</v>
      </c>
      <c r="G415" s="95">
        <f ca="1"/>
        <v>-4.0090375712580851E-3</v>
      </c>
      <c r="H415" s="92" t="s">
        <v>4</v>
      </c>
      <c r="I415" s="97">
        <f>_xll.meDateFromTenor(I414,"1D","FOLLOWING","TGT")</f>
        <v>43087</v>
      </c>
      <c r="J415" s="95">
        <f ca="1"/>
        <v>-3.0374526431873774E-3</v>
      </c>
      <c r="K415" s="5" t="s">
        <v>4</v>
      </c>
      <c r="L415" s="97">
        <f>_xll.meDateFromTenor(L414,"1D","FOLLOWING","TGT")</f>
        <v>43087</v>
      </c>
      <c r="M415" s="95">
        <f ca="1"/>
        <v>-1.6618243671297774E-3</v>
      </c>
      <c r="N415" s="5" t="s">
        <v>4</v>
      </c>
      <c r="O415" s="97">
        <f>_xll.meDateFromTenor(O414,"1D","FOLLOWING","TGT")</f>
        <v>43087</v>
      </c>
      <c r="P415" s="95">
        <f ca="1"/>
        <v>3.0646106847795535E-4</v>
      </c>
      <c r="Q415" s="5" t="s">
        <v>4</v>
      </c>
      <c r="R415" s="83" t="s">
        <v>4</v>
      </c>
    </row>
    <row r="416" spans="1:18" x14ac:dyDescent="0.25">
      <c r="A416" s="88">
        <v>402</v>
      </c>
      <c r="B416" s="82"/>
      <c r="C416" s="97">
        <f>_xll.meDateFromTenor(C415,"1D","FOLLOWING","TGT")</f>
        <v>43088</v>
      </c>
      <c r="D416" s="95">
        <f ca="1"/>
        <v>-4.2291382662827948E-3</v>
      </c>
      <c r="E416" s="92"/>
      <c r="F416" s="97">
        <f>_xll.meDateFromTenor(F415,"1D","FOLLOWING","TGT")</f>
        <v>43088</v>
      </c>
      <c r="G416" s="95">
        <f ca="1"/>
        <v>-4.0075622155668978E-3</v>
      </c>
      <c r="H416" s="92" t="s">
        <v>4</v>
      </c>
      <c r="I416" s="97">
        <f>_xll.meDateFromTenor(I415,"1D","FOLLOWING","TGT")</f>
        <v>43088</v>
      </c>
      <c r="J416" s="95">
        <f ca="1"/>
        <v>-3.0363321617406683E-3</v>
      </c>
      <c r="K416" s="5" t="s">
        <v>4</v>
      </c>
      <c r="L416" s="97">
        <f>_xll.meDateFromTenor(L415,"1D","FOLLOWING","TGT")</f>
        <v>43088</v>
      </c>
      <c r="M416" s="95">
        <f ca="1"/>
        <v>-1.6595364246356607E-3</v>
      </c>
      <c r="N416" s="5" t="s">
        <v>4</v>
      </c>
      <c r="O416" s="97">
        <f>_xll.meDateFromTenor(O415,"1D","FOLLOWING","TGT")</f>
        <v>43088</v>
      </c>
      <c r="P416" s="95">
        <f ca="1"/>
        <v>3.0980806098582675E-4</v>
      </c>
      <c r="Q416" s="5" t="s">
        <v>4</v>
      </c>
      <c r="R416" s="83" t="s">
        <v>4</v>
      </c>
    </row>
    <row r="417" spans="1:18" x14ac:dyDescent="0.25">
      <c r="A417" s="88">
        <v>403</v>
      </c>
      <c r="B417" s="82"/>
      <c r="C417" s="97">
        <f>_xll.meDateFromTenor(C416,"1D","FOLLOWING","TGT")</f>
        <v>43089</v>
      </c>
      <c r="D417" s="95">
        <f ca="1"/>
        <v>-4.2296214683120725E-3</v>
      </c>
      <c r="E417" s="92"/>
      <c r="F417" s="97">
        <f>_xll.meDateFromTenor(F416,"1D","FOLLOWING","TGT")</f>
        <v>43089</v>
      </c>
      <c r="G417" s="95">
        <f ca="1"/>
        <v>-4.0060766740882487E-3</v>
      </c>
      <c r="H417" s="92" t="s">
        <v>4</v>
      </c>
      <c r="I417" s="97">
        <f>_xll.meDateFromTenor(I416,"1D","FOLLOWING","TGT")</f>
        <v>43089</v>
      </c>
      <c r="J417" s="95">
        <f ca="1"/>
        <v>-3.0352127374667299E-3</v>
      </c>
      <c r="K417" s="5" t="s">
        <v>4</v>
      </c>
      <c r="L417" s="97">
        <f>_xll.meDateFromTenor(L416,"1D","FOLLOWING","TGT")</f>
        <v>43089</v>
      </c>
      <c r="M417" s="95">
        <f ca="1"/>
        <v>-1.657225579795347E-3</v>
      </c>
      <c r="N417" s="5" t="s">
        <v>4</v>
      </c>
      <c r="O417" s="97">
        <f>_xll.meDateFromTenor(O416,"1D","FOLLOWING","TGT")</f>
        <v>43089</v>
      </c>
      <c r="P417" s="95">
        <f ca="1"/>
        <v>3.1316296299493203E-4</v>
      </c>
      <c r="Q417" s="5" t="s">
        <v>4</v>
      </c>
      <c r="R417" s="83" t="s">
        <v>4</v>
      </c>
    </row>
    <row r="418" spans="1:18" x14ac:dyDescent="0.25">
      <c r="A418" s="88">
        <v>404</v>
      </c>
      <c r="B418" s="82"/>
      <c r="C418" s="97">
        <f>_xll.meDateFromTenor(C417,"1D","FOLLOWING","TGT")</f>
        <v>43090</v>
      </c>
      <c r="D418" s="95">
        <f ca="1"/>
        <v>-4.2300895649506343E-3</v>
      </c>
      <c r="E418" s="92"/>
      <c r="F418" s="97">
        <f>_xll.meDateFromTenor(F417,"1D","FOLLOWING","TGT")</f>
        <v>43090</v>
      </c>
      <c r="G418" s="95">
        <f ca="1"/>
        <v>-4.0045818677046114E-3</v>
      </c>
      <c r="H418" s="92" t="s">
        <v>4</v>
      </c>
      <c r="I418" s="97">
        <f>_xll.meDateFromTenor(I417,"1D","FOLLOWING","TGT")</f>
        <v>43090</v>
      </c>
      <c r="J418" s="95">
        <f ca="1"/>
        <v>-3.0340956729884142E-3</v>
      </c>
      <c r="K418" s="5" t="s">
        <v>4</v>
      </c>
      <c r="L418" s="97">
        <f>_xll.meDateFromTenor(L417,"1D","FOLLOWING","TGT")</f>
        <v>43090</v>
      </c>
      <c r="M418" s="95">
        <f ca="1"/>
        <v>-1.6548919539211291E-3</v>
      </c>
      <c r="N418" s="5" t="s">
        <v>4</v>
      </c>
      <c r="O418" s="97">
        <f>_xll.meDateFromTenor(O417,"1D","FOLLOWING","TGT")</f>
        <v>43090</v>
      </c>
      <c r="P418" s="95">
        <f ca="1"/>
        <v>3.1652575466367011E-4</v>
      </c>
      <c r="Q418" s="5" t="s">
        <v>4</v>
      </c>
      <c r="R418" s="83" t="s">
        <v>4</v>
      </c>
    </row>
    <row r="419" spans="1:18" x14ac:dyDescent="0.25">
      <c r="A419" s="88">
        <v>405</v>
      </c>
      <c r="B419" s="82"/>
      <c r="C419" s="97">
        <f>_xll.meDateFromTenor(C418,"1D","FOLLOWING","TGT")</f>
        <v>43091</v>
      </c>
      <c r="D419" s="95">
        <f ca="1"/>
        <v>-4.2305425567770172E-3</v>
      </c>
      <c r="E419" s="92"/>
      <c r="F419" s="97">
        <f>_xll.meDateFromTenor(F418,"1D","FOLLOWING","TGT")</f>
        <v>43091</v>
      </c>
      <c r="G419" s="95">
        <f ca="1"/>
        <v>-4.0030787172984569E-3</v>
      </c>
      <c r="H419" s="92" t="s">
        <v>4</v>
      </c>
      <c r="I419" s="97">
        <f>_xll.meDateFromTenor(I418,"1D","FOLLOWING","TGT")</f>
        <v>43091</v>
      </c>
      <c r="J419" s="95">
        <f ca="1"/>
        <v>-3.0329809257483679E-3</v>
      </c>
      <c r="K419" s="5" t="s">
        <v>4</v>
      </c>
      <c r="L419" s="97">
        <f>_xll.meDateFromTenor(L418,"1D","FOLLOWING","TGT")</f>
        <v>43091</v>
      </c>
      <c r="M419" s="95">
        <f ca="1"/>
        <v>-1.6525356683253004E-3</v>
      </c>
      <c r="N419" s="5" t="s">
        <v>4</v>
      </c>
      <c r="O419" s="97">
        <f>_xll.meDateFromTenor(O418,"1D","FOLLOWING","TGT")</f>
        <v>43091</v>
      </c>
      <c r="P419" s="95">
        <f ca="1"/>
        <v>3.1989641615043943E-4</v>
      </c>
      <c r="Q419" s="5" t="s">
        <v>4</v>
      </c>
      <c r="R419" s="83" t="s">
        <v>4</v>
      </c>
    </row>
    <row r="420" spans="1:18" x14ac:dyDescent="0.25">
      <c r="A420" s="88">
        <v>406</v>
      </c>
      <c r="B420" s="82"/>
      <c r="C420" s="97">
        <f>_xll.meDateFromTenor(C419,"1D","FOLLOWING","TGT")</f>
        <v>43096</v>
      </c>
      <c r="D420" s="95">
        <f ca="1"/>
        <v>-4.2325809719617746E-3</v>
      </c>
      <c r="E420" s="92"/>
      <c r="F420" s="97">
        <f>_xll.meDateFromTenor(F419,"1D","FOLLOWING","TGT")</f>
        <v>43096</v>
      </c>
      <c r="G420" s="95">
        <f ca="1"/>
        <v>-3.9954700358163691E-3</v>
      </c>
      <c r="H420" s="92" t="s">
        <v>4</v>
      </c>
      <c r="I420" s="97">
        <f>_xll.meDateFromTenor(I419,"1D","FOLLOWING","TGT")</f>
        <v>43096</v>
      </c>
      <c r="J420" s="95">
        <f ca="1"/>
        <v>-3.0274286882879886E-3</v>
      </c>
      <c r="K420" s="5" t="s">
        <v>4</v>
      </c>
      <c r="L420" s="97">
        <f>_xll.meDateFromTenor(L419,"1D","FOLLOWING","TGT")</f>
        <v>43096</v>
      </c>
      <c r="M420" s="95">
        <f ca="1"/>
        <v>-1.6404185904522253E-3</v>
      </c>
      <c r="N420" s="5" t="s">
        <v>4</v>
      </c>
      <c r="O420" s="97">
        <f>_xll.meDateFromTenor(O419,"1D","FOLLOWING","TGT")</f>
        <v>43096</v>
      </c>
      <c r="P420" s="95">
        <f ca="1"/>
        <v>3.3686707639872938E-4</v>
      </c>
      <c r="Q420" s="5" t="s">
        <v>4</v>
      </c>
      <c r="R420" s="83" t="s">
        <v>4</v>
      </c>
    </row>
    <row r="421" spans="1:18" x14ac:dyDescent="0.25">
      <c r="A421" s="88">
        <v>407</v>
      </c>
      <c r="B421" s="82"/>
      <c r="C421" s="97">
        <f>_xll.meDateFromTenor(C420,"1D","FOLLOWING","TGT")</f>
        <v>43097</v>
      </c>
      <c r="D421" s="95">
        <f ca="1"/>
        <v>-4.2329433509634695E-3</v>
      </c>
      <c r="E421" s="92"/>
      <c r="F421" s="97">
        <f>_xll.meDateFromTenor(F420,"1D","FOLLOWING","TGT")</f>
        <v>43097</v>
      </c>
      <c r="G421" s="95">
        <f ca="1"/>
        <v>-3.9939361598069836E-3</v>
      </c>
      <c r="H421" s="92" t="s">
        <v>4</v>
      </c>
      <c r="I421" s="97">
        <f>_xll.meDateFromTenor(I420,"1D","FOLLOWING","TGT")</f>
        <v>43097</v>
      </c>
      <c r="J421" s="95">
        <f ca="1"/>
        <v>-3.0263198885770487E-3</v>
      </c>
      <c r="K421" s="5" t="s">
        <v>4</v>
      </c>
      <c r="L421" s="97">
        <f>_xll.meDateFromTenor(L420,"1D","FOLLOWING","TGT")</f>
        <v>43097</v>
      </c>
      <c r="M421" s="95">
        <f ca="1"/>
        <v>-1.6379288940848733E-3</v>
      </c>
      <c r="N421" s="5" t="s">
        <v>4</v>
      </c>
      <c r="O421" s="97">
        <f>_xll.meDateFromTenor(O420,"1D","FOLLOWING","TGT")</f>
        <v>43097</v>
      </c>
      <c r="P421" s="95">
        <f ca="1"/>
        <v>3.4028454012006884E-4</v>
      </c>
      <c r="Q421" s="5" t="s">
        <v>4</v>
      </c>
      <c r="R421" s="83" t="s">
        <v>4</v>
      </c>
    </row>
    <row r="422" spans="1:18" x14ac:dyDescent="0.25">
      <c r="A422" s="88">
        <v>408</v>
      </c>
      <c r="B422" s="82"/>
      <c r="C422" s="97">
        <f>_xll.meDateFromTenor(C421,"1D","FOLLOWING","TGT")</f>
        <v>43098</v>
      </c>
      <c r="D422" s="95">
        <f ca="1"/>
        <v>-4.2332906305757589E-3</v>
      </c>
      <c r="E422" s="92"/>
      <c r="F422" s="97">
        <f>_xll.meDateFromTenor(F421,"1D","FOLLOWING","TGT")</f>
        <v>43098</v>
      </c>
      <c r="G422" s="95">
        <f ca="1"/>
        <v>-3.9924003859523735E-3</v>
      </c>
      <c r="H422" s="92" t="s">
        <v>4</v>
      </c>
      <c r="I422" s="97">
        <f>_xll.meDateFromTenor(I421,"1D","FOLLOWING","TGT")</f>
        <v>43098</v>
      </c>
      <c r="J422" s="95">
        <f ca="1"/>
        <v>-3.0252107541375419E-3</v>
      </c>
      <c r="K422" s="5" t="s">
        <v>4</v>
      </c>
      <c r="L422" s="97">
        <f>_xll.meDateFromTenor(L421,"1D","FOLLOWING","TGT")</f>
        <v>43098</v>
      </c>
      <c r="M422" s="95">
        <f ca="1"/>
        <v>-1.6354173871819574E-3</v>
      </c>
      <c r="N422" s="5" t="s">
        <v>4</v>
      </c>
      <c r="O422" s="97">
        <f>_xll.meDateFromTenor(O421,"1D","FOLLOWING","TGT")</f>
        <v>43098</v>
      </c>
      <c r="P422" s="95">
        <f ca="1"/>
        <v>3.4370973476823376E-4</v>
      </c>
      <c r="Q422" s="5" t="s">
        <v>4</v>
      </c>
      <c r="R422" s="83" t="s">
        <v>4</v>
      </c>
    </row>
    <row r="423" spans="1:18" x14ac:dyDescent="0.25">
      <c r="A423" s="88">
        <v>409</v>
      </c>
      <c r="B423" s="82"/>
      <c r="C423" s="97">
        <f>_xll.meDateFromTenor(C422,"1D","FOLLOWING","TGT")</f>
        <v>43102</v>
      </c>
      <c r="D423" s="95">
        <f ca="1"/>
        <v>-4.2345287674548926E-3</v>
      </c>
      <c r="E423" s="92"/>
      <c r="F423" s="97">
        <f>_xll.meDateFromTenor(F422,"1D","FOLLOWING","TGT")</f>
        <v>43102</v>
      </c>
      <c r="G423" s="95">
        <f ca="1"/>
        <v>-3.9862567297310903E-3</v>
      </c>
      <c r="H423" s="92" t="s">
        <v>4</v>
      </c>
      <c r="I423" s="97">
        <f>_xll.meDateFromTenor(I422,"1D","FOLLOWING","TGT")</f>
        <v>43102</v>
      </c>
      <c r="J423" s="95">
        <f ca="1"/>
        <v>-3.0207632920457453E-3</v>
      </c>
      <c r="K423" s="5" t="s">
        <v>4</v>
      </c>
      <c r="L423" s="97">
        <f>_xll.meDateFromTenor(L422,"1D","FOLLOWING","TGT")</f>
        <v>43102</v>
      </c>
      <c r="M423" s="95">
        <f ca="1"/>
        <v>-1.6251556804605172E-3</v>
      </c>
      <c r="N423" s="5" t="s">
        <v>4</v>
      </c>
      <c r="O423" s="97">
        <f>_xll.meDateFromTenor(O422,"1D","FOLLOWING","TGT")</f>
        <v>43102</v>
      </c>
      <c r="P423" s="95">
        <f ca="1"/>
        <v>3.5748742579712355E-4</v>
      </c>
      <c r="Q423" s="5" t="s">
        <v>4</v>
      </c>
      <c r="R423" s="83" t="s">
        <v>4</v>
      </c>
    </row>
    <row r="424" spans="1:18" x14ac:dyDescent="0.25">
      <c r="A424" s="88">
        <v>410</v>
      </c>
      <c r="B424" s="82"/>
      <c r="C424" s="97">
        <f>_xll.meDateFromTenor(C423,"1D","FOLLOWING","TGT")</f>
        <v>43103</v>
      </c>
      <c r="D424" s="95">
        <f ca="1"/>
        <v>-4.2348005600935101E-3</v>
      </c>
      <c r="E424" s="92"/>
      <c r="F424" s="97">
        <f>_xll.meDateFromTenor(F423,"1D","FOLLOWING","TGT")</f>
        <v>43103</v>
      </c>
      <c r="G424" s="95">
        <f ca="1"/>
        <v>-3.9847249079435956E-3</v>
      </c>
      <c r="H424" s="92" t="s">
        <v>4</v>
      </c>
      <c r="I424" s="97">
        <f>_xll.meDateFromTenor(I423,"1D","FOLLOWING","TGT")</f>
        <v>43103</v>
      </c>
      <c r="J424" s="95">
        <f ca="1"/>
        <v>-3.0196468011773289E-3</v>
      </c>
      <c r="K424" s="5" t="s">
        <v>4</v>
      </c>
      <c r="L424" s="97">
        <f>_xll.meDateFromTenor(L423,"1D","FOLLOWING","TGT")</f>
        <v>43103</v>
      </c>
      <c r="M424" s="95">
        <f ca="1"/>
        <v>-1.6225369405641757E-3</v>
      </c>
      <c r="N424" s="5" t="s">
        <v>4</v>
      </c>
      <c r="O424" s="97">
        <f>_xll.meDateFromTenor(O423,"1D","FOLLOWING","TGT")</f>
        <v>43103</v>
      </c>
      <c r="P424" s="95">
        <f ca="1"/>
        <v>3.6095097745539903E-4</v>
      </c>
      <c r="Q424" s="5" t="s">
        <v>4</v>
      </c>
      <c r="R424" s="83" t="s">
        <v>4</v>
      </c>
    </row>
    <row r="425" spans="1:18" x14ac:dyDescent="0.25">
      <c r="A425" s="88">
        <v>411</v>
      </c>
      <c r="B425" s="82"/>
      <c r="C425" s="97">
        <f>_xll.meDateFromTenor(C424,"1D","FOLLOWING","TGT")</f>
        <v>43104</v>
      </c>
      <c r="D425" s="95">
        <f ca="1"/>
        <v>-4.2350572574465506E-3</v>
      </c>
      <c r="E425" s="92"/>
      <c r="F425" s="97">
        <f>_xll.meDateFromTenor(F424,"1D","FOLLOWING","TGT")</f>
        <v>43104</v>
      </c>
      <c r="G425" s="95">
        <f ca="1"/>
        <v>-3.9831944819427988E-3</v>
      </c>
      <c r="H425" s="92" t="s">
        <v>4</v>
      </c>
      <c r="I425" s="97">
        <f>_xll.meDateFromTenor(I424,"1D","FOLLOWING","TGT")</f>
        <v>43104</v>
      </c>
      <c r="J425" s="95">
        <f ca="1"/>
        <v>-3.0185277024659153E-3</v>
      </c>
      <c r="K425" s="5" t="s">
        <v>4</v>
      </c>
      <c r="L425" s="97">
        <f>_xll.meDateFromTenor(L424,"1D","FOLLOWING","TGT")</f>
        <v>43104</v>
      </c>
      <c r="M425" s="95">
        <f ca="1"/>
        <v>-1.6198971180060267E-3</v>
      </c>
      <c r="N425" s="5" t="s">
        <v>4</v>
      </c>
      <c r="O425" s="97">
        <f>_xll.meDateFromTenor(O424,"1D","FOLLOWING","TGT")</f>
        <v>43104</v>
      </c>
      <c r="P425" s="95">
        <f ca="1"/>
        <v>3.6442214099089364E-4</v>
      </c>
      <c r="Q425" s="5" t="s">
        <v>4</v>
      </c>
      <c r="R425" s="83" t="s">
        <v>4</v>
      </c>
    </row>
    <row r="426" spans="1:18" x14ac:dyDescent="0.25">
      <c r="A426" s="88">
        <v>412</v>
      </c>
      <c r="B426" s="82"/>
      <c r="C426" s="97">
        <f>_xll.meDateFromTenor(C425,"1D","FOLLOWING","TGT")</f>
        <v>43105</v>
      </c>
      <c r="D426" s="95">
        <f ca="1"/>
        <v>-4.2352988601228603E-3</v>
      </c>
      <c r="E426" s="92"/>
      <c r="F426" s="97">
        <f>_xll.meDateFromTenor(F425,"1D","FOLLOWING","TGT")</f>
        <v>43105</v>
      </c>
      <c r="G426" s="95">
        <f ca="1"/>
        <v>-3.9816641409482672E-3</v>
      </c>
      <c r="H426" s="92" t="s">
        <v>4</v>
      </c>
      <c r="I426" s="97">
        <f>_xll.meDateFromTenor(I425,"1D","FOLLOWING","TGT")</f>
        <v>43105</v>
      </c>
      <c r="J426" s="95">
        <f ca="1"/>
        <v>-3.0174056170590999E-3</v>
      </c>
      <c r="K426" s="5" t="s">
        <v>4</v>
      </c>
      <c r="L426" s="97">
        <f>_xll.meDateFromTenor(L425,"1D","FOLLOWING","TGT")</f>
        <v>43105</v>
      </c>
      <c r="M426" s="95">
        <f ca="1"/>
        <v>-1.6172363340983633E-3</v>
      </c>
      <c r="N426" s="5" t="s">
        <v>4</v>
      </c>
      <c r="O426" s="97">
        <f>_xll.meDateFromTenor(O425,"1D","FOLLOWING","TGT")</f>
        <v>43105</v>
      </c>
      <c r="P426" s="95">
        <f ca="1"/>
        <v>3.6790089656200693E-4</v>
      </c>
      <c r="Q426" s="5" t="s">
        <v>4</v>
      </c>
      <c r="R426" s="83" t="s">
        <v>4</v>
      </c>
    </row>
    <row r="427" spans="1:18" x14ac:dyDescent="0.25">
      <c r="A427" s="88">
        <v>413</v>
      </c>
      <c r="B427" s="82"/>
      <c r="C427" s="97">
        <f>_xll.meDateFromTenor(C426,"1D","FOLLOWING","TGT")</f>
        <v>43108</v>
      </c>
      <c r="D427" s="95">
        <f ca="1"/>
        <v>-4.2359331086739838E-3</v>
      </c>
      <c r="E427" s="92"/>
      <c r="F427" s="97">
        <f>_xll.meDateFromTenor(F426,"1D","FOLLOWING","TGT")</f>
        <v>43108</v>
      </c>
      <c r="G427" s="95">
        <f ca="1"/>
        <v>-3.9770605201979777E-3</v>
      </c>
      <c r="H427" s="92" t="s">
        <v>4</v>
      </c>
      <c r="I427" s="97">
        <f>_xll.meDateFromTenor(I426,"1D","FOLLOWING","TGT")</f>
        <v>43108</v>
      </c>
      <c r="J427" s="95">
        <f ca="1"/>
        <v>-3.0140176521421891E-3</v>
      </c>
      <c r="K427" s="5" t="s">
        <v>4</v>
      </c>
      <c r="L427" s="97">
        <f>_xll.meDateFromTenor(L426,"1D","FOLLOWING","TGT")</f>
        <v>43108</v>
      </c>
      <c r="M427" s="95">
        <f ca="1"/>
        <v>-1.6091294274012109E-3</v>
      </c>
      <c r="N427" s="5" t="s">
        <v>4</v>
      </c>
      <c r="O427" s="97">
        <f>_xll.meDateFromTenor(O426,"1D","FOLLOWING","TGT")</f>
        <v>43108</v>
      </c>
      <c r="P427" s="95">
        <f ca="1"/>
        <v>3.7838251707304619E-4</v>
      </c>
      <c r="Q427" s="5" t="s">
        <v>4</v>
      </c>
      <c r="R427" s="83" t="s">
        <v>4</v>
      </c>
    </row>
    <row r="428" spans="1:18" x14ac:dyDescent="0.25">
      <c r="A428" s="88">
        <v>414</v>
      </c>
      <c r="B428" s="82"/>
      <c r="C428" s="97">
        <f>_xll.meDateFromTenor(C427,"1D","FOLLOWING","TGT")</f>
        <v>43109</v>
      </c>
      <c r="D428" s="95">
        <f ca="1"/>
        <v>-4.2361143406656199E-3</v>
      </c>
      <c r="E428" s="92"/>
      <c r="F428" s="97">
        <f>_xll.meDateFromTenor(F427,"1D","FOLLOWING","TGT")</f>
        <v>43109</v>
      </c>
      <c r="G428" s="95">
        <f ca="1"/>
        <v>-3.9755174114242146E-3</v>
      </c>
      <c r="H428" s="92" t="s">
        <v>4</v>
      </c>
      <c r="I428" s="97">
        <f>_xll.meDateFromTenor(I427,"1D","FOLLOWING","TGT")</f>
        <v>43109</v>
      </c>
      <c r="J428" s="95">
        <f ca="1"/>
        <v>-3.0128798314297137E-3</v>
      </c>
      <c r="K428" s="5" t="s">
        <v>4</v>
      </c>
      <c r="L428" s="97">
        <f>_xll.meDateFromTenor(L427,"1D","FOLLOWING","TGT")</f>
        <v>43109</v>
      </c>
      <c r="M428" s="95">
        <f ca="1"/>
        <v>-1.6063860112184147E-3</v>
      </c>
      <c r="N428" s="5" t="s">
        <v>4</v>
      </c>
      <c r="O428" s="97">
        <f>_xll.meDateFromTenor(O427,"1D","FOLLOWING","TGT")</f>
        <v>43109</v>
      </c>
      <c r="P428" s="95">
        <f ca="1"/>
        <v>3.8189144237062308E-4</v>
      </c>
      <c r="Q428" s="5" t="s">
        <v>4</v>
      </c>
      <c r="R428" s="83" t="s">
        <v>4</v>
      </c>
    </row>
    <row r="429" spans="1:18" x14ac:dyDescent="0.25">
      <c r="A429" s="88">
        <v>415</v>
      </c>
      <c r="B429" s="82"/>
      <c r="C429" s="97">
        <f>_xll.meDateFromTenor(C428,"1D","FOLLOWING","TGT")</f>
        <v>43110</v>
      </c>
      <c r="D429" s="95">
        <f ca="1"/>
        <v>-4.2362804816501454E-3</v>
      </c>
      <c r="E429" s="92"/>
      <c r="F429" s="97">
        <f>_xll.meDateFromTenor(F428,"1D","FOLLOWING","TGT")</f>
        <v>43110</v>
      </c>
      <c r="G429" s="95">
        <f ca="1"/>
        <v>-3.9739678337545672E-3</v>
      </c>
      <c r="H429" s="92" t="s">
        <v>4</v>
      </c>
      <c r="I429" s="97">
        <f>_xll.meDateFromTenor(I428,"1D","FOLLOWING","TGT")</f>
        <v>43110</v>
      </c>
      <c r="J429" s="95">
        <f ca="1"/>
        <v>-3.0117371297598114E-3</v>
      </c>
      <c r="K429" s="5" t="s">
        <v>4</v>
      </c>
      <c r="L429" s="97">
        <f>_xll.meDateFromTenor(L428,"1D","FOLLOWING","TGT")</f>
        <v>43110</v>
      </c>
      <c r="M429" s="95">
        <f ca="1"/>
        <v>-1.6036222402475671E-3</v>
      </c>
      <c r="N429" s="5" t="s">
        <v>4</v>
      </c>
      <c r="O429" s="97">
        <f>_xll.meDateFromTenor(O428,"1D","FOLLOWING","TGT")</f>
        <v>43110</v>
      </c>
      <c r="P429" s="95">
        <f ca="1"/>
        <v>3.8540786049581348E-4</v>
      </c>
      <c r="Q429" s="5" t="s">
        <v>4</v>
      </c>
      <c r="R429" s="83" t="s">
        <v>4</v>
      </c>
    </row>
    <row r="430" spans="1:18" x14ac:dyDescent="0.25">
      <c r="A430" s="88">
        <v>416</v>
      </c>
      <c r="B430" s="82"/>
      <c r="C430" s="97">
        <f>_xll.meDateFromTenor(C429,"1D","FOLLOWING","TGT")</f>
        <v>43111</v>
      </c>
      <c r="D430" s="95">
        <f ca="1"/>
        <v>-4.2364315325106316E-3</v>
      </c>
      <c r="E430" s="92"/>
      <c r="F430" s="97">
        <f>_xll.meDateFromTenor(F429,"1D","FOLLOWING","TGT")</f>
        <v>43111</v>
      </c>
      <c r="G430" s="95">
        <f ca="1"/>
        <v>-3.9724104764086053E-3</v>
      </c>
      <c r="H430" s="92" t="s">
        <v>4</v>
      </c>
      <c r="I430" s="97">
        <f>_xll.meDateFromTenor(I429,"1D","FOLLOWING","TGT")</f>
        <v>43111</v>
      </c>
      <c r="J430" s="95">
        <f ca="1"/>
        <v>-3.0105891682800762E-3</v>
      </c>
      <c r="K430" s="5" t="s">
        <v>4</v>
      </c>
      <c r="L430" s="97">
        <f>_xll.meDateFromTenor(L429,"1D","FOLLOWING","TGT")</f>
        <v>43111</v>
      </c>
      <c r="M430" s="95">
        <f ca="1"/>
        <v>-1.6008382358009608E-3</v>
      </c>
      <c r="N430" s="5" t="s">
        <v>4</v>
      </c>
      <c r="O430" s="97">
        <f>_xll.meDateFromTenor(O429,"1D","FOLLOWING","TGT")</f>
        <v>43111</v>
      </c>
      <c r="P430" s="95">
        <f ca="1"/>
        <v>3.8893175160701617E-4</v>
      </c>
      <c r="Q430" s="5" t="s">
        <v>4</v>
      </c>
      <c r="R430" s="83" t="s">
        <v>4</v>
      </c>
    </row>
    <row r="431" spans="1:18" x14ac:dyDescent="0.25">
      <c r="A431" s="88">
        <v>417</v>
      </c>
      <c r="B431" s="82"/>
      <c r="C431" s="97">
        <f>_xll.meDateFromTenor(C430,"1D","FOLLOWING","TGT")</f>
        <v>43112</v>
      </c>
      <c r="D431" s="95">
        <f ca="1"/>
        <v>-4.236567493890675E-3</v>
      </c>
      <c r="E431" s="92"/>
      <c r="F431" s="97">
        <f>_xll.meDateFromTenor(F430,"1D","FOLLOWING","TGT")</f>
        <v>43112</v>
      </c>
      <c r="G431" s="95">
        <f ca="1"/>
        <v>-3.9708440286059001E-3</v>
      </c>
      <c r="H431" s="92" t="s">
        <v>4</v>
      </c>
      <c r="I431" s="97">
        <f>_xll.meDateFromTenor(I430,"1D","FOLLOWING","TGT")</f>
        <v>43112</v>
      </c>
      <c r="J431" s="95">
        <f ca="1"/>
        <v>-3.0094355681381034E-3</v>
      </c>
      <c r="K431" s="5" t="s">
        <v>4</v>
      </c>
      <c r="L431" s="97">
        <f>_xll.meDateFromTenor(L430,"1D","FOLLOWING","TGT")</f>
        <v>43112</v>
      </c>
      <c r="M431" s="95">
        <f ca="1"/>
        <v>-1.5980341191908882E-3</v>
      </c>
      <c r="N431" s="5" t="s">
        <v>4</v>
      </c>
      <c r="O431" s="97">
        <f>_xll.meDateFromTenor(O430,"1D","FOLLOWING","TGT")</f>
        <v>43112</v>
      </c>
      <c r="P431" s="95">
        <f ca="1"/>
        <v>3.9246309586263056E-4</v>
      </c>
      <c r="Q431" s="5" t="s">
        <v>4</v>
      </c>
      <c r="R431" s="83" t="s">
        <v>4</v>
      </c>
    </row>
    <row r="432" spans="1:18" x14ac:dyDescent="0.25">
      <c r="A432" s="88">
        <v>418</v>
      </c>
      <c r="B432" s="82"/>
      <c r="C432" s="97">
        <f>_xll.meDateFromTenor(C431,"1D","FOLLOWING","TGT")</f>
        <v>43115</v>
      </c>
      <c r="D432" s="95">
        <f ca="1"/>
        <v>-4.2368848483701482E-3</v>
      </c>
      <c r="E432" s="92"/>
      <c r="F432" s="97">
        <f>_xll.meDateFromTenor(F431,"1D","FOLLOWING","TGT")</f>
        <v>43115</v>
      </c>
      <c r="G432" s="95">
        <f ca="1"/>
        <v>-3.9660770346530176E-3</v>
      </c>
      <c r="H432" s="92" t="s">
        <v>4</v>
      </c>
      <c r="I432" s="97">
        <f>_xll.meDateFromTenor(I431,"1D","FOLLOWING","TGT")</f>
        <v>43115</v>
      </c>
      <c r="J432" s="95">
        <f ca="1"/>
        <v>-3.0059371472147081E-3</v>
      </c>
      <c r="K432" s="5" t="s">
        <v>4</v>
      </c>
      <c r="L432" s="97">
        <f>_xll.meDateFromTenor(L431,"1D","FOLLOWING","TGT")</f>
        <v>43115</v>
      </c>
      <c r="M432" s="95">
        <f ca="1"/>
        <v>-1.5895023095027975E-3</v>
      </c>
      <c r="N432" s="5" t="s">
        <v>4</v>
      </c>
      <c r="O432" s="97">
        <f>_xll.meDateFromTenor(O431,"1D","FOLLOWING","TGT")</f>
        <v>43115</v>
      </c>
      <c r="P432" s="95">
        <f ca="1"/>
        <v>4.0310164907993477E-4</v>
      </c>
      <c r="Q432" s="5" t="s">
        <v>4</v>
      </c>
      <c r="R432" s="83" t="s">
        <v>4</v>
      </c>
    </row>
    <row r="433" spans="1:18" x14ac:dyDescent="0.25">
      <c r="A433" s="88">
        <v>419</v>
      </c>
      <c r="B433" s="82"/>
      <c r="C433" s="97">
        <f>_xll.meDateFromTenor(C432,"1D","FOLLOWING","TGT")</f>
        <v>43116</v>
      </c>
      <c r="D433" s="95">
        <f ca="1"/>
        <v>-4.2369604591266929E-3</v>
      </c>
      <c r="E433" s="92"/>
      <c r="F433" s="97">
        <f>_xll.meDateFromTenor(F432,"1D","FOLLOWING","TGT")</f>
        <v>43116</v>
      </c>
      <c r="G433" s="95">
        <f ca="1"/>
        <v>-3.9644611172190347E-3</v>
      </c>
      <c r="H433" s="92" t="s">
        <v>4</v>
      </c>
      <c r="I433" s="97">
        <f>_xll.meDateFromTenor(I432,"1D","FOLLOWING","TGT")</f>
        <v>43116</v>
      </c>
      <c r="J433" s="95">
        <f ca="1"/>
        <v>-3.0047572038997342E-3</v>
      </c>
      <c r="K433" s="5" t="s">
        <v>4</v>
      </c>
      <c r="L433" s="97">
        <f>_xll.meDateFromTenor(L432,"1D","FOLLOWING","TGT")</f>
        <v>43116</v>
      </c>
      <c r="M433" s="95">
        <f ca="1"/>
        <v>-1.5866189573617859E-3</v>
      </c>
      <c r="N433" s="5" t="s">
        <v>4</v>
      </c>
      <c r="O433" s="97">
        <f>_xll.meDateFromTenor(O432,"1D","FOLLOWING","TGT")</f>
        <v>43116</v>
      </c>
      <c r="P433" s="95">
        <f ca="1"/>
        <v>4.0666260749718604E-4</v>
      </c>
      <c r="Q433" s="5" t="s">
        <v>4</v>
      </c>
      <c r="R433" s="83" t="s">
        <v>4</v>
      </c>
    </row>
    <row r="434" spans="1:18" x14ac:dyDescent="0.25">
      <c r="A434" s="88">
        <v>420</v>
      </c>
      <c r="B434" s="82"/>
      <c r="C434" s="97">
        <f>_xll.meDateFromTenor(C433,"1D","FOLLOWING","TGT")</f>
        <v>43117</v>
      </c>
      <c r="D434" s="95">
        <f ca="1"/>
        <v>-4.2370209838492601E-3</v>
      </c>
      <c r="E434" s="92"/>
      <c r="F434" s="97">
        <f>_xll.meDateFromTenor(F433,"1D","FOLLOWING","TGT")</f>
        <v>43117</v>
      </c>
      <c r="G434" s="95">
        <f ca="1"/>
        <v>-3.9628295554261558E-3</v>
      </c>
      <c r="H434" s="92" t="s">
        <v>4</v>
      </c>
      <c r="I434" s="97">
        <f>_xll.meDateFromTenor(I433,"1D","FOLLOWING","TGT")</f>
        <v>43117</v>
      </c>
      <c r="J434" s="95">
        <f ca="1"/>
        <v>-3.0035697276604972E-3</v>
      </c>
      <c r="K434" s="5" t="s">
        <v>4</v>
      </c>
      <c r="L434" s="97">
        <f>_xll.meDateFromTenor(L433,"1D","FOLLOWING","TGT")</f>
        <v>43117</v>
      </c>
      <c r="M434" s="95">
        <f ca="1"/>
        <v>-1.5837160996187711E-3</v>
      </c>
      <c r="N434" s="5" t="s">
        <v>4</v>
      </c>
      <c r="O434" s="97">
        <f>_xll.meDateFromTenor(O433,"1D","FOLLOWING","TGT")</f>
        <v>43117</v>
      </c>
      <c r="P434" s="95">
        <f ca="1"/>
        <v>4.1023091985084429E-4</v>
      </c>
      <c r="Q434" s="5" t="s">
        <v>4</v>
      </c>
      <c r="R434" s="83" t="s">
        <v>4</v>
      </c>
    </row>
    <row r="435" spans="1:18" x14ac:dyDescent="0.25">
      <c r="A435" s="88">
        <v>421</v>
      </c>
      <c r="B435" s="82"/>
      <c r="C435" s="97">
        <f>_xll.meDateFromTenor(C434,"1D","FOLLOWING","TGT")</f>
        <v>43118</v>
      </c>
      <c r="D435" s="95">
        <f ca="1"/>
        <v>-4.2370664234567812E-3</v>
      </c>
      <c r="E435" s="92"/>
      <c r="F435" s="97">
        <f>_xll.meDateFromTenor(F434,"1D","FOLLOWING","TGT")</f>
        <v>43118</v>
      </c>
      <c r="G435" s="95">
        <f ca="1"/>
        <v>-3.9611810384939522E-3</v>
      </c>
      <c r="H435" s="92" t="s">
        <v>4</v>
      </c>
      <c r="I435" s="97">
        <f>_xll.meDateFromTenor(I434,"1D","FOLLOWING","TGT")</f>
        <v>43118</v>
      </c>
      <c r="J435" s="95">
        <f ca="1"/>
        <v>-3.0023743396445919E-3</v>
      </c>
      <c r="K435" s="5" t="s">
        <v>4</v>
      </c>
      <c r="L435" s="97">
        <f>_xll.meDateFromTenor(L434,"1D","FOLLOWING","TGT")</f>
        <v>43118</v>
      </c>
      <c r="M435" s="95">
        <f ca="1"/>
        <v>-1.5807938575860452E-3</v>
      </c>
      <c r="N435" s="5" t="s">
        <v>4</v>
      </c>
      <c r="O435" s="97">
        <f>_xll.meDateFromTenor(O434,"1D","FOLLOWING","TGT")</f>
        <v>43118</v>
      </c>
      <c r="P435" s="95">
        <f ca="1"/>
        <v>4.1380656629930862E-4</v>
      </c>
      <c r="Q435" s="5" t="s">
        <v>4</v>
      </c>
      <c r="R435" s="83" t="s">
        <v>4</v>
      </c>
    </row>
    <row r="436" spans="1:18" x14ac:dyDescent="0.25">
      <c r="A436" s="88">
        <v>422</v>
      </c>
      <c r="B436" s="82"/>
      <c r="C436" s="97">
        <f>_xll.meDateFromTenor(C435,"1D","FOLLOWING","TGT")</f>
        <v>43119</v>
      </c>
      <c r="D436" s="95">
        <f ca="1"/>
        <v>-4.2370967787066505E-3</v>
      </c>
      <c r="E436" s="92"/>
      <c r="F436" s="97">
        <f>_xll.meDateFromTenor(F435,"1D","FOLLOWING","TGT")</f>
        <v>43119</v>
      </c>
      <c r="G436" s="95">
        <f ca="1"/>
        <v>-3.9595142556419927E-3</v>
      </c>
      <c r="H436" s="92" t="s">
        <v>4</v>
      </c>
      <c r="I436" s="97">
        <f>_xll.meDateFromTenor(I435,"1D","FOLLOWING","TGT")</f>
        <v>43119</v>
      </c>
      <c r="J436" s="95">
        <f ca="1"/>
        <v>-3.0011706609996136E-3</v>
      </c>
      <c r="K436" s="5" t="s">
        <v>4</v>
      </c>
      <c r="L436" s="97">
        <f>_xll.meDateFromTenor(L435,"1D","FOLLOWING","TGT")</f>
        <v>43119</v>
      </c>
      <c r="M436" s="95">
        <f ca="1"/>
        <v>-1.5778523525759014E-3</v>
      </c>
      <c r="N436" s="5" t="s">
        <v>4</v>
      </c>
      <c r="O436" s="97">
        <f>_xll.meDateFromTenor(O435,"1D","FOLLOWING","TGT")</f>
        <v>43119</v>
      </c>
      <c r="P436" s="95">
        <f ca="1"/>
        <v>4.1738952700097785E-4</v>
      </c>
      <c r="Q436" s="5" t="s">
        <v>4</v>
      </c>
      <c r="R436" s="83" t="s">
        <v>4</v>
      </c>
    </row>
    <row r="437" spans="1:18" x14ac:dyDescent="0.25">
      <c r="A437" s="88">
        <v>423</v>
      </c>
      <c r="B437" s="82"/>
      <c r="C437" s="97">
        <f>_xll.meDateFromTenor(C436,"1D","FOLLOWING","TGT")</f>
        <v>43122</v>
      </c>
      <c r="D437" s="95">
        <f ca="1"/>
        <v>-4.2370973444117999E-3</v>
      </c>
      <c r="E437" s="92"/>
      <c r="F437" s="97">
        <f>_xll.meDateFromTenor(F436,"1D","FOLLOWING","TGT")</f>
        <v>43122</v>
      </c>
      <c r="G437" s="95">
        <f ca="1"/>
        <v>-3.9543912037632812E-3</v>
      </c>
      <c r="H437" s="92" t="s">
        <v>4</v>
      </c>
      <c r="I437" s="97">
        <f>_xll.meDateFromTenor(I436,"1D","FOLLOWING","TGT")</f>
        <v>43122</v>
      </c>
      <c r="J437" s="95">
        <f ca="1"/>
        <v>-2.9975060927661893E-3</v>
      </c>
      <c r="K437" s="5" t="s">
        <v>4</v>
      </c>
      <c r="L437" s="97">
        <f>_xll.meDateFromTenor(L436,"1D","FOLLOWING","TGT")</f>
        <v>43122</v>
      </c>
      <c r="M437" s="95">
        <f ca="1"/>
        <v>-1.5689134728038897E-3</v>
      </c>
      <c r="N437" s="5" t="s">
        <v>4</v>
      </c>
      <c r="O437" s="97">
        <f>_xll.meDateFromTenor(O436,"1D","FOLLOWING","TGT")</f>
        <v>43122</v>
      </c>
      <c r="P437" s="95">
        <f ca="1"/>
        <v>4.2818209620920514E-4</v>
      </c>
      <c r="Q437" s="5" t="s">
        <v>4</v>
      </c>
      <c r="R437" s="83" t="s">
        <v>4</v>
      </c>
    </row>
    <row r="438" spans="1:18" x14ac:dyDescent="0.25">
      <c r="A438" s="88">
        <v>424</v>
      </c>
      <c r="B438" s="82"/>
      <c r="C438" s="97">
        <f>_xll.meDateFromTenor(C437,"1D","FOLLOWING","TGT")</f>
        <v>43123</v>
      </c>
      <c r="D438" s="95">
        <f ca="1"/>
        <v>-4.2370673689254845E-3</v>
      </c>
      <c r="E438" s="92"/>
      <c r="F438" s="97">
        <f>_xll.meDateFromTenor(F437,"1D","FOLLOWING","TGT")</f>
        <v>43123</v>
      </c>
      <c r="G438" s="95">
        <f ca="1"/>
        <v>-3.9526382494279987E-3</v>
      </c>
      <c r="H438" s="92" t="s">
        <v>4</v>
      </c>
      <c r="I438" s="97">
        <f>_xll.meDateFromTenor(I437,"1D","FOLLOWING","TGT")</f>
        <v>43123</v>
      </c>
      <c r="J438" s="95">
        <f ca="1"/>
        <v>-2.9962654630808676E-3</v>
      </c>
      <c r="K438" s="5" t="s">
        <v>4</v>
      </c>
      <c r="L438" s="97">
        <f>_xll.meDateFromTenor(L437,"1D","FOLLOWING","TGT")</f>
        <v>43123</v>
      </c>
      <c r="M438" s="95">
        <f ca="1"/>
        <v>-1.5658961290070002E-3</v>
      </c>
      <c r="N438" s="5" t="s">
        <v>4</v>
      </c>
      <c r="O438" s="97">
        <f>_xll.meDateFromTenor(O437,"1D","FOLLOWING","TGT")</f>
        <v>43123</v>
      </c>
      <c r="P438" s="95">
        <f ca="1"/>
        <v>4.3179411550768457E-4</v>
      </c>
      <c r="Q438" s="5" t="s">
        <v>4</v>
      </c>
      <c r="R438" s="83" t="s">
        <v>4</v>
      </c>
    </row>
    <row r="439" spans="1:18" x14ac:dyDescent="0.25">
      <c r="A439" s="88">
        <v>425</v>
      </c>
      <c r="B439" s="82"/>
      <c r="C439" s="97">
        <f>_xll.meDateFromTenor(C438,"1D","FOLLOWING","TGT")</f>
        <v>43124</v>
      </c>
      <c r="D439" s="95">
        <f ca="1"/>
        <v>-4.237022312385097E-3</v>
      </c>
      <c r="E439" s="92"/>
      <c r="F439" s="97">
        <f>_xll.meDateFromTenor(F438,"1D","FOLLOWING","TGT")</f>
        <v>43124</v>
      </c>
      <c r="G439" s="95">
        <f ca="1"/>
        <v>-3.9508604752708102E-3</v>
      </c>
      <c r="H439" s="92" t="s">
        <v>4</v>
      </c>
      <c r="I439" s="97">
        <f>_xll.meDateFromTenor(I438,"1D","FOLLOWING","TGT")</f>
        <v>43124</v>
      </c>
      <c r="J439" s="95">
        <f ca="1"/>
        <v>-2.9950146485044479E-3</v>
      </c>
      <c r="K439" s="5" t="s">
        <v>4</v>
      </c>
      <c r="L439" s="97">
        <f>_xll.meDateFromTenor(L438,"1D","FOLLOWING","TGT")</f>
        <v>43124</v>
      </c>
      <c r="M439" s="95">
        <f ca="1"/>
        <v>-1.5628601287941564E-3</v>
      </c>
      <c r="N439" s="5" t="s">
        <v>4</v>
      </c>
      <c r="O439" s="97">
        <f>_xll.meDateFromTenor(O438,"1D","FOLLOWING","TGT")</f>
        <v>43124</v>
      </c>
      <c r="P439" s="95">
        <f ca="1"/>
        <v>4.3541334985136408E-4</v>
      </c>
      <c r="Q439" s="5" t="s">
        <v>4</v>
      </c>
      <c r="R439" s="83" t="s">
        <v>4</v>
      </c>
    </row>
    <row r="440" spans="1:18" x14ac:dyDescent="0.25">
      <c r="A440" s="88">
        <v>426</v>
      </c>
      <c r="B440" s="82"/>
      <c r="C440" s="97">
        <f>_xll.meDateFromTenor(C439,"1D","FOLLOWING","TGT")</f>
        <v>43125</v>
      </c>
      <c r="D440" s="95">
        <f ca="1"/>
        <v>-4.2369621757837317E-3</v>
      </c>
      <c r="E440" s="92"/>
      <c r="F440" s="97">
        <f>_xll.meDateFromTenor(F439,"1D","FOLLOWING","TGT")</f>
        <v>43125</v>
      </c>
      <c r="G440" s="95">
        <f ca="1"/>
        <v>-3.9490565705112843E-3</v>
      </c>
      <c r="H440" s="92" t="s">
        <v>4</v>
      </c>
      <c r="I440" s="97">
        <f>_xll.meDateFromTenor(I439,"1D","FOLLOWING","TGT")</f>
        <v>43125</v>
      </c>
      <c r="J440" s="95">
        <f ca="1"/>
        <v>-2.9937532701845245E-3</v>
      </c>
      <c r="K440" s="5" t="s">
        <v>4</v>
      </c>
      <c r="L440" s="97">
        <f>_xll.meDateFromTenor(L439,"1D","FOLLOWING","TGT")</f>
        <v>43125</v>
      </c>
      <c r="M440" s="95">
        <f ca="1"/>
        <v>-1.5598055934776503E-3</v>
      </c>
      <c r="N440" s="5" t="s">
        <v>4</v>
      </c>
      <c r="O440" s="97">
        <f>_xll.meDateFromTenor(O439,"1D","FOLLOWING","TGT")</f>
        <v>43125</v>
      </c>
      <c r="P440" s="95">
        <f ca="1"/>
        <v>4.3903977939864269E-4</v>
      </c>
      <c r="Q440" s="5" t="s">
        <v>4</v>
      </c>
      <c r="R440" s="83" t="s">
        <v>4</v>
      </c>
    </row>
    <row r="441" spans="1:18" x14ac:dyDescent="0.25">
      <c r="A441" s="88">
        <v>427</v>
      </c>
      <c r="B441" s="82"/>
      <c r="C441" s="97">
        <f>_xll.meDateFromTenor(C440,"1D","FOLLOWING","TGT")</f>
        <v>43126</v>
      </c>
      <c r="D441" s="95">
        <f ca="1"/>
        <v>-4.2368869595563741E-3</v>
      </c>
      <c r="E441" s="92"/>
      <c r="F441" s="97">
        <f>_xll.meDateFromTenor(F440,"1D","FOLLOWING","TGT")</f>
        <v>43126</v>
      </c>
      <c r="G441" s="95">
        <f ca="1"/>
        <v>-3.9472252243689925E-3</v>
      </c>
      <c r="H441" s="92" t="s">
        <v>4</v>
      </c>
      <c r="I441" s="97">
        <f>_xll.meDateFromTenor(I440,"1D","FOLLOWING","TGT")</f>
        <v>43126</v>
      </c>
      <c r="J441" s="95">
        <f ca="1"/>
        <v>-2.9924809492686919E-3</v>
      </c>
      <c r="K441" s="5" t="s">
        <v>4</v>
      </c>
      <c r="L441" s="97">
        <f>_xll.meDateFromTenor(L440,"1D","FOLLOWING","TGT")</f>
        <v>43126</v>
      </c>
      <c r="M441" s="95">
        <f ca="1"/>
        <v>-1.5567326443697747E-3</v>
      </c>
      <c r="N441" s="5" t="s">
        <v>4</v>
      </c>
      <c r="O441" s="97">
        <f>_xll.meDateFromTenor(O440,"1D","FOLLOWING","TGT")</f>
        <v>43126</v>
      </c>
      <c r="P441" s="95">
        <f ca="1"/>
        <v>4.4267338430791935E-4</v>
      </c>
      <c r="Q441" s="5" t="s">
        <v>4</v>
      </c>
      <c r="R441" s="83" t="s">
        <v>4</v>
      </c>
    </row>
    <row r="442" spans="1:18" x14ac:dyDescent="0.25">
      <c r="A442" s="88">
        <v>428</v>
      </c>
      <c r="B442" s="82"/>
      <c r="C442" s="97">
        <f>_xll.meDateFromTenor(C441,"1D","FOLLOWING","TGT")</f>
        <v>43129</v>
      </c>
      <c r="D442" s="95">
        <f ca="1"/>
        <v>-4.2365708413590886E-3</v>
      </c>
      <c r="E442" s="92"/>
      <c r="F442" s="97">
        <f>_xll.meDateFromTenor(F441,"1D","FOLLOWING","TGT")</f>
        <v>43129</v>
      </c>
      <c r="G442" s="95">
        <f ca="1"/>
        <v>-3.9415534298412143E-3</v>
      </c>
      <c r="H442" s="92" t="s">
        <v>4</v>
      </c>
      <c r="I442" s="97">
        <f>_xll.meDateFromTenor(I441,"1D","FOLLOWING","TGT")</f>
        <v>43129</v>
      </c>
      <c r="J442" s="95">
        <f ca="1"/>
        <v>-2.9885945424216929E-3</v>
      </c>
      <c r="K442" s="5" t="s">
        <v>4</v>
      </c>
      <c r="L442" s="97">
        <f>_xll.meDateFromTenor(L441,"1D","FOLLOWING","TGT")</f>
        <v>43129</v>
      </c>
      <c r="M442" s="95">
        <f ca="1"/>
        <v>-1.5474045274208564E-3</v>
      </c>
      <c r="N442" s="5" t="s">
        <v>4</v>
      </c>
      <c r="O442" s="97">
        <f>_xll.meDateFromTenor(O441,"1D","FOLLOWING","TGT")</f>
        <v>43129</v>
      </c>
      <c r="P442" s="95">
        <f ca="1"/>
        <v>4.536170527917301E-4</v>
      </c>
      <c r="Q442" s="5" t="s">
        <v>4</v>
      </c>
      <c r="R442" s="83" t="s">
        <v>4</v>
      </c>
    </row>
    <row r="443" spans="1:18" x14ac:dyDescent="0.25">
      <c r="A443" s="88">
        <v>429</v>
      </c>
      <c r="B443" s="82"/>
      <c r="C443" s="97">
        <f>_xll.meDateFromTenor(C442,"1D","FOLLOWING","TGT")</f>
        <v>43130</v>
      </c>
      <c r="D443" s="95">
        <f ca="1"/>
        <v>-4.2364353143079514E-3</v>
      </c>
      <c r="E443" s="92"/>
      <c r="F443" s="97">
        <f>_xll.meDateFromTenor(F442,"1D","FOLLOWING","TGT")</f>
        <v>43130</v>
      </c>
      <c r="G443" s="95">
        <f ca="1"/>
        <v>-3.9395992103635541E-3</v>
      </c>
      <c r="H443" s="92" t="s">
        <v>4</v>
      </c>
      <c r="I443" s="97">
        <f>_xll.meDateFromTenor(I442,"1D","FOLLOWING","TGT")</f>
        <v>43130</v>
      </c>
      <c r="J443" s="95">
        <f ca="1"/>
        <v>-2.9872746625981758E-3</v>
      </c>
      <c r="K443" s="5" t="s">
        <v>4</v>
      </c>
      <c r="L443" s="97">
        <f>_xll.meDateFromTenor(L442,"1D","FOLLOWING","TGT")</f>
        <v>43130</v>
      </c>
      <c r="M443" s="95">
        <f ca="1"/>
        <v>-1.5442591362704286E-3</v>
      </c>
      <c r="N443" s="5" t="s">
        <v>4</v>
      </c>
      <c r="O443" s="97">
        <f>_xll.meDateFromTenor(O442,"1D","FOLLOWING","TGT")</f>
        <v>43130</v>
      </c>
      <c r="P443" s="95">
        <f ca="1"/>
        <v>4.5727916073299017E-4</v>
      </c>
      <c r="Q443" s="5" t="s">
        <v>4</v>
      </c>
      <c r="R443" s="83" t="s">
        <v>4</v>
      </c>
    </row>
    <row r="444" spans="1:18" x14ac:dyDescent="0.25">
      <c r="A444" s="88">
        <v>430</v>
      </c>
      <c r="B444" s="82"/>
      <c r="C444" s="97">
        <f>_xll.meDateFromTenor(C443,"1D","FOLLOWING","TGT")</f>
        <v>43131</v>
      </c>
      <c r="D444" s="95">
        <f ca="1"/>
        <v>-4.2362847113480706E-3</v>
      </c>
      <c r="E444" s="92"/>
      <c r="F444" s="97">
        <f>_xll.meDateFromTenor(F443,"1D","FOLLOWING","TGT")</f>
        <v>43131</v>
      </c>
      <c r="G444" s="95">
        <f ca="1"/>
        <v>-3.937610995600976E-3</v>
      </c>
      <c r="H444" s="92" t="s">
        <v>4</v>
      </c>
      <c r="I444" s="97">
        <f>_xll.meDateFromTenor(I443,"1D","FOLLOWING","TGT")</f>
        <v>43131</v>
      </c>
      <c r="J444" s="95">
        <f ca="1"/>
        <v>-2.9859419459167245E-3</v>
      </c>
      <c r="K444" s="5" t="s">
        <v>4</v>
      </c>
      <c r="L444" s="97">
        <f>_xll.meDateFromTenor(L443,"1D","FOLLOWING","TGT")</f>
        <v>43131</v>
      </c>
      <c r="M444" s="95">
        <f ca="1"/>
        <v>-1.5410959378900943E-3</v>
      </c>
      <c r="N444" s="5" t="s">
        <v>4</v>
      </c>
      <c r="O444" s="97">
        <f>_xll.meDateFromTenor(O443,"1D","FOLLOWING","TGT")</f>
        <v>43131</v>
      </c>
      <c r="P444" s="95">
        <f ca="1"/>
        <v>4.6094834482824412E-4</v>
      </c>
      <c r="Q444" s="5" t="s">
        <v>4</v>
      </c>
      <c r="R444" s="83" t="s">
        <v>4</v>
      </c>
    </row>
    <row r="445" spans="1:18" x14ac:dyDescent="0.25">
      <c r="A445" s="88">
        <v>431</v>
      </c>
      <c r="B445" s="82"/>
      <c r="C445" s="97">
        <f>_xll.meDateFromTenor(C444,"1D","FOLLOWING","TGT")</f>
        <v>43132</v>
      </c>
      <c r="D445" s="95">
        <f ca="1"/>
        <v>-4.2361190331492438E-3</v>
      </c>
      <c r="E445" s="92"/>
      <c r="F445" s="97">
        <f>_xll.meDateFromTenor(F444,"1D","FOLLOWING","TGT")</f>
        <v>43132</v>
      </c>
      <c r="G445" s="95">
        <f ca="1"/>
        <v>-3.9355874747730498E-3</v>
      </c>
      <c r="H445" s="92" t="s">
        <v>4</v>
      </c>
      <c r="I445" s="97">
        <f>_xll.meDateFromTenor(I444,"1D","FOLLOWING","TGT")</f>
        <v>43132</v>
      </c>
      <c r="J445" s="95">
        <f ca="1"/>
        <v>-2.9845960135249346E-3</v>
      </c>
      <c r="K445" s="5" t="s">
        <v>4</v>
      </c>
      <c r="L445" s="97">
        <f>_xll.meDateFromTenor(L444,"1D","FOLLOWING","TGT")</f>
        <v>43132</v>
      </c>
      <c r="M445" s="95">
        <f ca="1"/>
        <v>-1.5379150535921461E-3</v>
      </c>
      <c r="N445" s="5" t="s">
        <v>4</v>
      </c>
      <c r="O445" s="97">
        <f>_xll.meDateFromTenor(O444,"1D","FOLLOWING","TGT")</f>
        <v>43132</v>
      </c>
      <c r="P445" s="95">
        <f ca="1"/>
        <v>4.6462458523589042E-4</v>
      </c>
      <c r="Q445" s="5" t="s">
        <v>4</v>
      </c>
      <c r="R445" s="83" t="s">
        <v>4</v>
      </c>
    </row>
    <row r="446" spans="1:18" x14ac:dyDescent="0.25">
      <c r="A446" s="88">
        <v>432</v>
      </c>
      <c r="B446" s="82"/>
      <c r="C446" s="97">
        <f>_xll.meDateFromTenor(C445,"1D","FOLLOWING","TGT")</f>
        <v>43133</v>
      </c>
      <c r="D446" s="95">
        <f ca="1"/>
        <v>-4.2359382803407453E-3</v>
      </c>
      <c r="E446" s="92"/>
      <c r="F446" s="97">
        <f>_xll.meDateFromTenor(F445,"1D","FOLLOWING","TGT")</f>
        <v>43133</v>
      </c>
      <c r="G446" s="95">
        <f ca="1"/>
        <v>-3.9335273370993459E-3</v>
      </c>
      <c r="H446" s="92" t="s">
        <v>4</v>
      </c>
      <c r="I446" s="97">
        <f>_xll.meDateFromTenor(I445,"1D","FOLLOWING","TGT")</f>
        <v>43133</v>
      </c>
      <c r="J446" s="95">
        <f ca="1"/>
        <v>-2.9832364865704001E-3</v>
      </c>
      <c r="K446" s="5" t="s">
        <v>4</v>
      </c>
      <c r="L446" s="97">
        <f>_xll.meDateFromTenor(L445,"1D","FOLLOWING","TGT")</f>
        <v>43133</v>
      </c>
      <c r="M446" s="95">
        <f ca="1"/>
        <v>-1.5347166046888771E-3</v>
      </c>
      <c r="N446" s="5" t="s">
        <v>4</v>
      </c>
      <c r="O446" s="97">
        <f>_xll.meDateFromTenor(O445,"1D","FOLLOWING","TGT")</f>
        <v>43133</v>
      </c>
      <c r="P446" s="95">
        <f ca="1"/>
        <v>4.6830786211432811E-4</v>
      </c>
      <c r="Q446" s="5" t="s">
        <v>4</v>
      </c>
      <c r="R446" s="83" t="s">
        <v>4</v>
      </c>
    </row>
    <row r="447" spans="1:18" x14ac:dyDescent="0.25">
      <c r="A447" s="88">
        <v>433</v>
      </c>
      <c r="B447" s="82"/>
      <c r="C447" s="97">
        <f>_xll.meDateFromTenor(C446,"1D","FOLLOWING","TGT")</f>
        <v>43136</v>
      </c>
      <c r="D447" s="95">
        <f ca="1"/>
        <v>-4.2353055818930008E-3</v>
      </c>
      <c r="E447" s="92"/>
      <c r="F447" s="97">
        <f>_xll.meDateFromTenor(F446,"1D","FOLLOWING","TGT")</f>
        <v>43136</v>
      </c>
      <c r="G447" s="95">
        <f ca="1"/>
        <v>-3.9271286406484156E-3</v>
      </c>
      <c r="H447" s="92" t="s">
        <v>4</v>
      </c>
      <c r="I447" s="97">
        <f>_xll.meDateFromTenor(I446,"1D","FOLLOWING","TGT")</f>
        <v>43136</v>
      </c>
      <c r="J447" s="95">
        <f ca="1"/>
        <v>-2.9790725498062809E-3</v>
      </c>
      <c r="K447" s="5" t="s">
        <v>4</v>
      </c>
      <c r="L447" s="97">
        <f>_xll.meDateFromTenor(L446,"1D","FOLLOWING","TGT")</f>
        <v>43136</v>
      </c>
      <c r="M447" s="95">
        <f ca="1"/>
        <v>-1.5250170834700681E-3</v>
      </c>
      <c r="N447" s="5" t="s">
        <v>4</v>
      </c>
      <c r="O447" s="97">
        <f>_xll.meDateFromTenor(O446,"1D","FOLLOWING","TGT")</f>
        <v>43136</v>
      </c>
      <c r="P447" s="95">
        <f ca="1"/>
        <v>4.7939971315838118E-4</v>
      </c>
      <c r="Q447" s="5" t="s">
        <v>4</v>
      </c>
      <c r="R447" s="83" t="s">
        <v>4</v>
      </c>
    </row>
    <row r="448" spans="1:18" x14ac:dyDescent="0.25">
      <c r="A448" s="88">
        <v>434</v>
      </c>
      <c r="B448" s="82"/>
      <c r="C448" s="97">
        <f>_xll.meDateFromTenor(C447,"1D","FOLLOWING","TGT")</f>
        <v>43137</v>
      </c>
      <c r="D448" s="95">
        <f ca="1"/>
        <v>-4.2350645378801399E-3</v>
      </c>
      <c r="E448" s="92"/>
      <c r="F448" s="97">
        <f>_xll.meDateFromTenor(F447,"1D","FOLLOWING","TGT")</f>
        <v>43137</v>
      </c>
      <c r="G448" s="95">
        <f ca="1"/>
        <v>-3.9249288330324298E-3</v>
      </c>
      <c r="H448" s="92" t="s">
        <v>4</v>
      </c>
      <c r="I448" s="97">
        <f>_xll.meDateFromTenor(I447,"1D","FOLLOWING","TGT")</f>
        <v>43137</v>
      </c>
      <c r="J448" s="95">
        <f ca="1"/>
        <v>-2.9776548560767196E-3</v>
      </c>
      <c r="K448" s="5" t="s">
        <v>4</v>
      </c>
      <c r="L448" s="97">
        <f>_xll.meDateFromTenor(L447,"1D","FOLLOWING","TGT")</f>
        <v>43137</v>
      </c>
      <c r="M448" s="95">
        <f ca="1"/>
        <v>-1.5217495892684402E-3</v>
      </c>
      <c r="N448" s="5" t="s">
        <v>4</v>
      </c>
      <c r="O448" s="97">
        <f>_xll.meDateFromTenor(O447,"1D","FOLLOWING","TGT")</f>
        <v>43137</v>
      </c>
      <c r="P448" s="95">
        <f ca="1"/>
        <v>4.831109375039759E-4</v>
      </c>
      <c r="Q448" s="5" t="s">
        <v>4</v>
      </c>
      <c r="R448" s="83" t="s">
        <v>4</v>
      </c>
    </row>
    <row r="449" spans="1:18" x14ac:dyDescent="0.25">
      <c r="A449" s="88">
        <v>435</v>
      </c>
      <c r="B449" s="82"/>
      <c r="C449" s="97">
        <f>_xll.meDateFromTenor(C448,"1D","FOLLOWING","TGT")</f>
        <v>43138</v>
      </c>
      <c r="D449" s="95">
        <f ca="1"/>
        <v>-4.2348084229907323E-3</v>
      </c>
      <c r="E449" s="92"/>
      <c r="F449" s="97">
        <f>_xll.meDateFromTenor(F448,"1D","FOLLOWING","TGT")</f>
        <v>43138</v>
      </c>
      <c r="G449" s="95">
        <f ca="1"/>
        <v>-3.9226987661788717E-3</v>
      </c>
      <c r="H449" s="92" t="s">
        <v>4</v>
      </c>
      <c r="I449" s="97">
        <f>_xll.meDateFromTenor(I448,"1D","FOLLOWING","TGT")</f>
        <v>43138</v>
      </c>
      <c r="J449" s="95">
        <f ca="1"/>
        <v>-2.9762216735223887E-3</v>
      </c>
      <c r="K449" s="5" t="s">
        <v>4</v>
      </c>
      <c r="L449" s="97">
        <f>_xll.meDateFromTenor(L448,"1D","FOLLOWING","TGT")</f>
        <v>43138</v>
      </c>
      <c r="M449" s="95">
        <f ca="1"/>
        <v>-1.5184651370229545E-3</v>
      </c>
      <c r="N449" s="5" t="s">
        <v>4</v>
      </c>
      <c r="O449" s="97">
        <f>_xll.meDateFromTenor(O448,"1D","FOLLOWING","TGT")</f>
        <v>43138</v>
      </c>
      <c r="P449" s="95">
        <f ca="1"/>
        <v>4.8682909911235687E-4</v>
      </c>
      <c r="Q449" s="5" t="s">
        <v>4</v>
      </c>
      <c r="R449" s="83" t="s">
        <v>4</v>
      </c>
    </row>
    <row r="450" spans="1:18" x14ac:dyDescent="0.25">
      <c r="A450" s="88">
        <v>436</v>
      </c>
      <c r="B450" s="82"/>
      <c r="C450" s="97">
        <f>_xll.meDateFromTenor(C449,"1D","FOLLOWING","TGT")</f>
        <v>43139</v>
      </c>
      <c r="D450" s="95">
        <f ca="1"/>
        <v>-4.2345372377303736E-3</v>
      </c>
      <c r="E450" s="92"/>
      <c r="F450" s="97">
        <f>_xll.meDateFromTenor(F449,"1D","FOLLOWING","TGT")</f>
        <v>43139</v>
      </c>
      <c r="G450" s="95">
        <f ca="1"/>
        <v>-3.9204403571848978E-3</v>
      </c>
      <c r="H450" s="92" t="s">
        <v>4</v>
      </c>
      <c r="I450" s="97">
        <f>_xll.meDateFromTenor(I449,"1D","FOLLOWING","TGT")</f>
        <v>43139</v>
      </c>
      <c r="J450" s="95">
        <f ca="1"/>
        <v>-2.9747726232908834E-3</v>
      </c>
      <c r="K450" s="5" t="s">
        <v>4</v>
      </c>
      <c r="L450" s="97">
        <f>_xll.meDateFromTenor(L449,"1D","FOLLOWING","TGT")</f>
        <v>43139</v>
      </c>
      <c r="M450" s="95">
        <f ca="1"/>
        <v>-1.5151638480459032E-3</v>
      </c>
      <c r="N450" s="5" t="s">
        <v>4</v>
      </c>
      <c r="O450" s="97">
        <f>_xll.meDateFromTenor(O449,"1D","FOLLOWING","TGT")</f>
        <v>43139</v>
      </c>
      <c r="P450" s="95">
        <f ca="1"/>
        <v>4.9055417814192366E-4</v>
      </c>
      <c r="Q450" s="5" t="s">
        <v>4</v>
      </c>
      <c r="R450" s="83" t="s">
        <v>4</v>
      </c>
    </row>
    <row r="451" spans="1:18" x14ac:dyDescent="0.25">
      <c r="A451" s="88">
        <v>437</v>
      </c>
      <c r="B451" s="82"/>
      <c r="C451" s="97">
        <f>_xll.meDateFromTenor(C450,"1D","FOLLOWING","TGT")</f>
        <v>43140</v>
      </c>
      <c r="D451" s="95">
        <f ca="1"/>
        <v>-4.2342509826051034E-3</v>
      </c>
      <c r="E451" s="92"/>
      <c r="F451" s="97">
        <f>_xll.meDateFromTenor(F450,"1D","FOLLOWING","TGT")</f>
        <v>43140</v>
      </c>
      <c r="G451" s="95">
        <f ca="1"/>
        <v>-3.9181555231476706E-3</v>
      </c>
      <c r="H451" s="92" t="s">
        <v>4</v>
      </c>
      <c r="I451" s="97">
        <f>_xll.meDateFromTenor(I450,"1D","FOLLOWING","TGT")</f>
        <v>43140</v>
      </c>
      <c r="J451" s="95">
        <f ca="1"/>
        <v>-2.9733073265297981E-3</v>
      </c>
      <c r="K451" s="5" t="s">
        <v>4</v>
      </c>
      <c r="L451" s="97">
        <f>_xll.meDateFromTenor(L450,"1D","FOLLOWING","TGT")</f>
        <v>43140</v>
      </c>
      <c r="M451" s="95">
        <f ca="1"/>
        <v>-1.5118458436495787E-3</v>
      </c>
      <c r="N451" s="5" t="s">
        <v>4</v>
      </c>
      <c r="O451" s="97">
        <f>_xll.meDateFromTenor(O450,"1D","FOLLOWING","TGT")</f>
        <v>43140</v>
      </c>
      <c r="P451" s="95">
        <f ca="1"/>
        <v>4.9428615475107581E-4</v>
      </c>
      <c r="Q451" s="5" t="s">
        <v>4</v>
      </c>
      <c r="R451" s="83" t="s">
        <v>4</v>
      </c>
    </row>
    <row r="452" spans="1:18" x14ac:dyDescent="0.25">
      <c r="A452" s="88">
        <v>438</v>
      </c>
      <c r="B452" s="82"/>
      <c r="C452" s="97">
        <f>_xll.meDateFromTenor(C451,"1D","FOLLOWING","TGT")</f>
        <v>43143</v>
      </c>
      <c r="D452" s="95">
        <f ca="1"/>
        <v>-4.2333018068961836E-3</v>
      </c>
      <c r="E452" s="92"/>
      <c r="F452" s="97">
        <f>_xll.meDateFromTenor(F451,"1D","FOLLOWING","TGT")</f>
        <v>43143</v>
      </c>
      <c r="G452" s="95">
        <f ca="1"/>
        <v>-3.9111616417480408E-3</v>
      </c>
      <c r="H452" s="92" t="s">
        <v>4</v>
      </c>
      <c r="I452" s="97">
        <f>_xll.meDateFromTenor(I451,"1D","FOLLOWING","TGT")</f>
        <v>43143</v>
      </c>
      <c r="J452" s="95">
        <f ca="1"/>
        <v>-2.9688101685450144E-3</v>
      </c>
      <c r="K452" s="5" t="s">
        <v>4</v>
      </c>
      <c r="L452" s="97">
        <f>_xll.meDateFromTenor(L451,"1D","FOLLOWING","TGT")</f>
        <v>43143</v>
      </c>
      <c r="M452" s="95">
        <f ca="1"/>
        <v>-1.5017927510678954E-3</v>
      </c>
      <c r="N452" s="5" t="s">
        <v>4</v>
      </c>
      <c r="O452" s="97">
        <f>_xll.meDateFromTenor(O451,"1D","FOLLOWING","TGT")</f>
        <v>43143</v>
      </c>
      <c r="P452" s="95">
        <f ca="1"/>
        <v>5.0552327164003091E-4</v>
      </c>
      <c r="Q452" s="5" t="s">
        <v>4</v>
      </c>
      <c r="R452" s="83" t="s">
        <v>4</v>
      </c>
    </row>
    <row r="453" spans="1:18" x14ac:dyDescent="0.25">
      <c r="A453" s="88">
        <v>439</v>
      </c>
      <c r="B453" s="82"/>
      <c r="C453" s="97">
        <f>_xll.meDateFromTenor(C452,"1D","FOLLOWING","TGT")</f>
        <v>43144</v>
      </c>
      <c r="D453" s="95">
        <f ca="1"/>
        <v>-4.2329552805295823E-3</v>
      </c>
      <c r="E453" s="92"/>
      <c r="F453" s="97">
        <f>_xll.meDateFromTenor(F452,"1D","FOLLOWING","TGT")</f>
        <v>43144</v>
      </c>
      <c r="G453" s="95">
        <f ca="1"/>
        <v>-3.9087902785093793E-3</v>
      </c>
      <c r="H453" s="92" t="s">
        <v>4</v>
      </c>
      <c r="I453" s="97">
        <f>_xll.meDateFromTenor(I452,"1D","FOLLOWING","TGT")</f>
        <v>43144</v>
      </c>
      <c r="J453" s="95">
        <f ca="1"/>
        <v>-2.9672760971415604E-3</v>
      </c>
      <c r="K453" s="5" t="s">
        <v>4</v>
      </c>
      <c r="L453" s="97">
        <f>_xll.meDateFromTenor(L452,"1D","FOLLOWING","TGT")</f>
        <v>43144</v>
      </c>
      <c r="M453" s="95">
        <f ca="1"/>
        <v>-1.4984090981174064E-3</v>
      </c>
      <c r="N453" s="5" t="s">
        <v>4</v>
      </c>
      <c r="O453" s="97">
        <f>_xll.meDateFromTenor(O452,"1D","FOLLOWING","TGT")</f>
        <v>43144</v>
      </c>
      <c r="P453" s="95">
        <f ca="1"/>
        <v>5.0928264015151243E-4</v>
      </c>
      <c r="Q453" s="5" t="s">
        <v>4</v>
      </c>
      <c r="R453" s="83" t="s">
        <v>4</v>
      </c>
    </row>
    <row r="454" spans="1:18" x14ac:dyDescent="0.25">
      <c r="A454" s="88">
        <v>440</v>
      </c>
      <c r="B454" s="82"/>
      <c r="C454" s="97">
        <f>_xll.meDateFromTenor(C453,"1D","FOLLOWING","TGT")</f>
        <v>43145</v>
      </c>
      <c r="D454" s="95">
        <f ca="1"/>
        <v>-4.2325936877679604E-3</v>
      </c>
      <c r="E454" s="92"/>
      <c r="F454" s="97">
        <f>_xll.meDateFromTenor(F453,"1D","FOLLOWING","TGT")</f>
        <v>43145</v>
      </c>
      <c r="G454" s="95">
        <f ca="1"/>
        <v>-3.9064020757132566E-3</v>
      </c>
      <c r="H454" s="92" t="s">
        <v>4</v>
      </c>
      <c r="I454" s="97">
        <f>_xll.meDateFromTenor(I453,"1D","FOLLOWING","TGT")</f>
        <v>43145</v>
      </c>
      <c r="J454" s="95">
        <f ca="1"/>
        <v>-2.9657238849465015E-3</v>
      </c>
      <c r="K454" s="5" t="s">
        <v>4</v>
      </c>
      <c r="L454" s="97">
        <f>_xll.meDateFromTenor(L453,"1D","FOLLOWING","TGT")</f>
        <v>43145</v>
      </c>
      <c r="M454" s="95">
        <f ca="1"/>
        <v>-1.4950093363091071E-3</v>
      </c>
      <c r="N454" s="5" t="s">
        <v>4</v>
      </c>
      <c r="O454" s="97">
        <f>_xll.meDateFromTenor(O453,"1D","FOLLOWING","TGT")</f>
        <v>43145</v>
      </c>
      <c r="P454" s="95">
        <f ca="1"/>
        <v>5.1304880703457437E-4</v>
      </c>
      <c r="Q454" s="5" t="s">
        <v>4</v>
      </c>
      <c r="R454" s="83" t="s">
        <v>4</v>
      </c>
    </row>
    <row r="455" spans="1:18" x14ac:dyDescent="0.25">
      <c r="A455" s="88">
        <v>441</v>
      </c>
      <c r="B455" s="82"/>
      <c r="C455" s="97">
        <f>_xll.meDateFromTenor(C454,"1D","FOLLOWING","TGT")</f>
        <v>43146</v>
      </c>
      <c r="D455" s="95">
        <f ca="1"/>
        <v>-4.2322170295898687E-3</v>
      </c>
      <c r="E455" s="92"/>
      <c r="F455" s="97">
        <f>_xll.meDateFromTenor(F454,"1D","FOLLOWING","TGT")</f>
        <v>43146</v>
      </c>
      <c r="G455" s="95">
        <f ca="1"/>
        <v>-3.9039989504568288E-3</v>
      </c>
      <c r="H455" s="92" t="s">
        <v>4</v>
      </c>
      <c r="I455" s="97">
        <f>_xll.meDateFromTenor(I454,"1D","FOLLOWING","TGT")</f>
        <v>43146</v>
      </c>
      <c r="J455" s="95">
        <f ca="1"/>
        <v>-2.9641531531074327E-3</v>
      </c>
      <c r="K455" s="5" t="s">
        <v>4</v>
      </c>
      <c r="L455" s="97">
        <f>_xll.meDateFromTenor(L454,"1D","FOLLOWING","TGT")</f>
        <v>43146</v>
      </c>
      <c r="M455" s="95">
        <f ca="1"/>
        <v>-1.4915935869552911E-3</v>
      </c>
      <c r="N455" s="5" t="s">
        <v>4</v>
      </c>
      <c r="O455" s="97">
        <f>_xll.meDateFromTenor(O454,"1D","FOLLOWING","TGT")</f>
        <v>43146</v>
      </c>
      <c r="P455" s="95">
        <f ca="1"/>
        <v>5.1682175244761538E-4</v>
      </c>
      <c r="Q455" s="5" t="s">
        <v>4</v>
      </c>
      <c r="R455" s="83" t="s">
        <v>4</v>
      </c>
    </row>
    <row r="456" spans="1:18" x14ac:dyDescent="0.25">
      <c r="A456" s="88">
        <v>442</v>
      </c>
      <c r="B456" s="82"/>
      <c r="C456" s="97">
        <f>_xll.meDateFromTenor(C455,"1D","FOLLOWING","TGT")</f>
        <v>43147</v>
      </c>
      <c r="D456" s="95">
        <f ca="1"/>
        <v>-4.2318253066150335E-3</v>
      </c>
      <c r="E456" s="92"/>
      <c r="F456" s="97">
        <f>_xll.meDateFromTenor(F455,"1D","FOLLOWING","TGT")</f>
        <v>43147</v>
      </c>
      <c r="G456" s="95">
        <f ca="1"/>
        <v>-3.9015828198372595E-3</v>
      </c>
      <c r="H456" s="92" t="s">
        <v>4</v>
      </c>
      <c r="I456" s="97">
        <f>_xll.meDateFromTenor(I455,"1D","FOLLOWING","TGT")</f>
        <v>43147</v>
      </c>
      <c r="J456" s="95">
        <f ca="1"/>
        <v>-2.9625635227719482E-3</v>
      </c>
      <c r="K456" s="5" t="s">
        <v>4</v>
      </c>
      <c r="L456" s="97">
        <f>_xll.meDateFromTenor(L455,"1D","FOLLOWING","TGT")</f>
        <v>43147</v>
      </c>
      <c r="M456" s="95">
        <f ca="1"/>
        <v>-1.4881619713682504E-3</v>
      </c>
      <c r="N456" s="5" t="s">
        <v>4</v>
      </c>
      <c r="O456" s="97">
        <f>_xll.meDateFromTenor(O455,"1D","FOLLOWING","TGT")</f>
        <v>43147</v>
      </c>
      <c r="P456" s="95">
        <f ca="1"/>
        <v>5.2060145654903413E-4</v>
      </c>
      <c r="Q456" s="5" t="s">
        <v>4</v>
      </c>
      <c r="R456" s="83" t="s">
        <v>4</v>
      </c>
    </row>
    <row r="457" spans="1:18" x14ac:dyDescent="0.25">
      <c r="A457" s="88">
        <v>443</v>
      </c>
      <c r="B457" s="82"/>
      <c r="C457" s="97">
        <f>_xll.meDateFromTenor(C456,"1D","FOLLOWING","TGT")</f>
        <v>43150</v>
      </c>
      <c r="D457" s="95">
        <f ca="1"/>
        <v>-4.2305597559331165E-3</v>
      </c>
      <c r="E457" s="92"/>
      <c r="F457" s="97">
        <f>_xll.meDateFromTenor(F456,"1D","FOLLOWING","TGT")</f>
        <v>43150</v>
      </c>
      <c r="G457" s="95">
        <f ca="1"/>
        <v>-3.8942755667712727E-3</v>
      </c>
      <c r="H457" s="92" t="s">
        <v>4</v>
      </c>
      <c r="I457" s="97">
        <f>_xll.meDateFromTenor(I456,"1D","FOLLOWING","TGT")</f>
        <v>43150</v>
      </c>
      <c r="J457" s="95">
        <f ca="1"/>
        <v>-2.9576774522629547E-3</v>
      </c>
      <c r="K457" s="5" t="s">
        <v>4</v>
      </c>
      <c r="L457" s="97">
        <f>_xll.meDateFromTenor(L456,"1D","FOLLOWING","TGT")</f>
        <v>43150</v>
      </c>
      <c r="M457" s="95">
        <f ca="1"/>
        <v>-1.4777731403307081E-3</v>
      </c>
      <c r="N457" s="5" t="s">
        <v>4</v>
      </c>
      <c r="O457" s="97">
        <f>_xll.meDateFromTenor(O456,"1D","FOLLOWING","TGT")</f>
        <v>43150</v>
      </c>
      <c r="P457" s="95">
        <f ca="1"/>
        <v>5.3198092256755082E-4</v>
      </c>
      <c r="Q457" s="5" t="s">
        <v>4</v>
      </c>
      <c r="R457" s="83" t="s">
        <v>4</v>
      </c>
    </row>
    <row r="458" spans="1:18" x14ac:dyDescent="0.25">
      <c r="A458" s="88">
        <v>444</v>
      </c>
      <c r="B458" s="82"/>
      <c r="C458" s="97">
        <f>_xll.meDateFromTenor(C457,"1D","FOLLOWING","TGT")</f>
        <v>43151</v>
      </c>
      <c r="D458" s="95">
        <f ca="1"/>
        <v>-4.2301077807114229E-3</v>
      </c>
      <c r="E458" s="92"/>
      <c r="F458" s="97">
        <f>_xll.meDateFromTenor(F457,"1D","FOLLOWING","TGT")</f>
        <v>43151</v>
      </c>
      <c r="G458" s="95">
        <f ca="1"/>
        <v>-3.8918265856707143E-3</v>
      </c>
      <c r="H458" s="92" t="s">
        <v>4</v>
      </c>
      <c r="I458" s="97">
        <f>_xll.meDateFromTenor(I457,"1D","FOLLOWING","TGT")</f>
        <v>43151</v>
      </c>
      <c r="J458" s="95">
        <f ca="1"/>
        <v>-2.9560084394177595E-3</v>
      </c>
      <c r="K458" s="5" t="s">
        <v>4</v>
      </c>
      <c r="L458" s="97">
        <f>_xll.meDateFromTenor(L457,"1D","FOLLOWING","TGT")</f>
        <v>43151</v>
      </c>
      <c r="M458" s="95">
        <f ca="1"/>
        <v>-1.474279272933696E-3</v>
      </c>
      <c r="N458" s="5" t="s">
        <v>4</v>
      </c>
      <c r="O458" s="97">
        <f>_xll.meDateFromTenor(O457,"1D","FOLLOWING","TGT")</f>
        <v>43151</v>
      </c>
      <c r="P458" s="95">
        <f ca="1"/>
        <v>5.3578746300647281E-4</v>
      </c>
      <c r="Q458" s="5" t="s">
        <v>4</v>
      </c>
      <c r="R458" s="83" t="s">
        <v>4</v>
      </c>
    </row>
    <row r="459" spans="1:18" x14ac:dyDescent="0.25">
      <c r="A459" s="88">
        <v>445</v>
      </c>
      <c r="B459" s="82"/>
      <c r="C459" s="97">
        <f>_xll.meDateFromTenor(C458,"1D","FOLLOWING","TGT")</f>
        <v>43152</v>
      </c>
      <c r="D459" s="95">
        <f ca="1"/>
        <v>-4.2296407442590223E-3</v>
      </c>
      <c r="E459" s="92"/>
      <c r="F459" s="97">
        <f>_xll.meDateFromTenor(F458,"1D","FOLLOWING","TGT")</f>
        <v>43152</v>
      </c>
      <c r="G459" s="95">
        <f ca="1"/>
        <v>-3.8893741846928059E-3</v>
      </c>
      <c r="H459" s="92" t="s">
        <v>4</v>
      </c>
      <c r="I459" s="97">
        <f>_xll.meDateFromTenor(I458,"1D","FOLLOWING","TGT")</f>
        <v>43152</v>
      </c>
      <c r="J459" s="95">
        <f ca="1"/>
        <v>-2.9543186338141245E-3</v>
      </c>
      <c r="K459" s="5" t="s">
        <v>4</v>
      </c>
      <c r="L459" s="97">
        <f>_xll.meDateFromTenor(L458,"1D","FOLLOWING","TGT")</f>
        <v>43152</v>
      </c>
      <c r="M459" s="95">
        <f ca="1"/>
        <v>-1.4707701458649225E-3</v>
      </c>
      <c r="N459" s="5" t="s">
        <v>4</v>
      </c>
      <c r="O459" s="97">
        <f>_xll.meDateFromTenor(O458,"1D","FOLLOWING","TGT")</f>
        <v>43152</v>
      </c>
      <c r="P459" s="95">
        <f ca="1"/>
        <v>5.3960066292576821E-4</v>
      </c>
      <c r="Q459" s="5" t="s">
        <v>4</v>
      </c>
      <c r="R459" s="83" t="s">
        <v>4</v>
      </c>
    </row>
    <row r="460" spans="1:18" x14ac:dyDescent="0.25">
      <c r="A460" s="88">
        <v>446</v>
      </c>
      <c r="B460" s="82"/>
      <c r="C460" s="97">
        <f>_xll.meDateFromTenor(C459,"1D","FOLLOWING","TGT")</f>
        <v>43153</v>
      </c>
      <c r="D460" s="95">
        <f ca="1"/>
        <v>-4.2291586470325493E-3</v>
      </c>
      <c r="E460" s="92"/>
      <c r="F460" s="97">
        <f>_xll.meDateFromTenor(F459,"1D","FOLLOWING","TGT")</f>
        <v>43153</v>
      </c>
      <c r="G460" s="95">
        <f ca="1"/>
        <v>-3.8869202809347072E-3</v>
      </c>
      <c r="H460" s="92" t="s">
        <v>4</v>
      </c>
      <c r="I460" s="97">
        <f>_xll.meDateFromTenor(I459,"1D","FOLLOWING","TGT")</f>
        <v>43153</v>
      </c>
      <c r="J460" s="95">
        <f ca="1"/>
        <v>-2.9526076565996435E-3</v>
      </c>
      <c r="K460" s="5" t="s">
        <v>4</v>
      </c>
      <c r="L460" s="97">
        <f>_xll.meDateFromTenor(L459,"1D","FOLLOWING","TGT")</f>
        <v>43153</v>
      </c>
      <c r="M460" s="95">
        <f ca="1"/>
        <v>-1.4672458804366802E-3</v>
      </c>
      <c r="N460" s="5" t="s">
        <v>4</v>
      </c>
      <c r="O460" s="97">
        <f>_xll.meDateFromTenor(O459,"1D","FOLLOWING","TGT")</f>
        <v>43153</v>
      </c>
      <c r="P460" s="95">
        <f ca="1"/>
        <v>5.4342050248383619E-4</v>
      </c>
      <c r="Q460" s="5" t="s">
        <v>4</v>
      </c>
      <c r="R460" s="83" t="s">
        <v>4</v>
      </c>
    </row>
    <row r="461" spans="1:18" x14ac:dyDescent="0.25">
      <c r="A461" s="88">
        <v>447</v>
      </c>
      <c r="B461" s="82"/>
      <c r="C461" s="97">
        <f>_xll.meDateFromTenor(C460,"1D","FOLLOWING","TGT")</f>
        <v>43154</v>
      </c>
      <c r="D461" s="95">
        <f ca="1"/>
        <v>-4.2286614898457975E-3</v>
      </c>
      <c r="E461" s="92"/>
      <c r="F461" s="97">
        <f>_xll.meDateFromTenor(F460,"1D","FOLLOWING","TGT")</f>
        <v>43154</v>
      </c>
      <c r="G461" s="95">
        <f ca="1"/>
        <v>-3.8844667914935747E-3</v>
      </c>
      <c r="H461" s="92" t="s">
        <v>4</v>
      </c>
      <c r="I461" s="97">
        <f>_xll.meDateFromTenor(I460,"1D","FOLLOWING","TGT")</f>
        <v>43154</v>
      </c>
      <c r="J461" s="95">
        <f ca="1"/>
        <v>-2.9508751289219113E-3</v>
      </c>
      <c r="K461" s="5" t="s">
        <v>4</v>
      </c>
      <c r="L461" s="97">
        <f>_xll.meDateFromTenor(L460,"1D","FOLLOWING","TGT")</f>
        <v>43154</v>
      </c>
      <c r="M461" s="95">
        <f ca="1"/>
        <v>-1.4637065979612618E-3</v>
      </c>
      <c r="N461" s="5" t="s">
        <v>4</v>
      </c>
      <c r="O461" s="97">
        <f>_xll.meDateFromTenor(O460,"1D","FOLLOWING","TGT")</f>
        <v>43154</v>
      </c>
      <c r="P461" s="95">
        <f ca="1"/>
        <v>5.4724696183907566E-4</v>
      </c>
      <c r="Q461" s="5" t="s">
        <v>4</v>
      </c>
      <c r="R461" s="83" t="s">
        <v>4</v>
      </c>
    </row>
    <row r="462" spans="1:18" x14ac:dyDescent="0.25">
      <c r="A462" s="88">
        <v>448</v>
      </c>
      <c r="B462" s="82"/>
      <c r="C462" s="97">
        <f>_xll.meDateFromTenor(C461,"1D","FOLLOWING","TGT")</f>
        <v>43157</v>
      </c>
      <c r="D462" s="95">
        <f ca="1"/>
        <v>-4.2270796656989074E-3</v>
      </c>
      <c r="E462" s="92"/>
      <c r="F462" s="97">
        <f>_xll.meDateFromTenor(F461,"1D","FOLLOWING","TGT")</f>
        <v>43157</v>
      </c>
      <c r="G462" s="95">
        <f ca="1"/>
        <v>-3.8771279800435725E-3</v>
      </c>
      <c r="H462" s="92" t="s">
        <v>4</v>
      </c>
      <c r="I462" s="97">
        <f>_xll.meDateFromTenor(I461,"1D","FOLLOWING","TGT")</f>
        <v>43157</v>
      </c>
      <c r="J462" s="95">
        <f ca="1"/>
        <v>-2.9455444545851625E-3</v>
      </c>
      <c r="K462" s="5" t="s">
        <v>4</v>
      </c>
      <c r="L462" s="97">
        <f>_xll.meDateFromTenor(L461,"1D","FOLLOWING","TGT")</f>
        <v>43157</v>
      </c>
      <c r="M462" s="95">
        <f ca="1"/>
        <v>-1.4529998613748765E-3</v>
      </c>
      <c r="N462" s="5" t="s">
        <v>4</v>
      </c>
      <c r="O462" s="97">
        <f>_xll.meDateFromTenor(O461,"1D","FOLLOWING","TGT")</f>
        <v>43157</v>
      </c>
      <c r="P462" s="95">
        <f ca="1"/>
        <v>5.587658602718129E-4</v>
      </c>
      <c r="Q462" s="5" t="s">
        <v>4</v>
      </c>
      <c r="R462" s="83" t="s">
        <v>4</v>
      </c>
    </row>
    <row r="463" spans="1:18" x14ac:dyDescent="0.25">
      <c r="A463" s="88">
        <v>449</v>
      </c>
      <c r="B463" s="82"/>
      <c r="C463" s="97">
        <f>_xll.meDateFromTenor(C462,"1D","FOLLOWING","TGT")</f>
        <v>43158</v>
      </c>
      <c r="D463" s="95">
        <f ca="1"/>
        <v>-4.2265222754046539E-3</v>
      </c>
      <c r="E463" s="92"/>
      <c r="F463" s="97">
        <f>_xll.meDateFromTenor(F462,"1D","FOLLOWING","TGT")</f>
        <v>43158</v>
      </c>
      <c r="G463" s="95">
        <f ca="1"/>
        <v>-3.8746953188418982E-3</v>
      </c>
      <c r="H463" s="92" t="s">
        <v>4</v>
      </c>
      <c r="I463" s="97">
        <f>_xll.meDateFromTenor(I462,"1D","FOLLOWING","TGT")</f>
        <v>43158</v>
      </c>
      <c r="J463" s="95">
        <f ca="1"/>
        <v>-2.9437219365303783E-3</v>
      </c>
      <c r="K463" s="5" t="s">
        <v>4</v>
      </c>
      <c r="L463" s="97">
        <f>_xll.meDateFromTenor(L462,"1D","FOLLOWING","TGT")</f>
        <v>43158</v>
      </c>
      <c r="M463" s="95">
        <f ca="1"/>
        <v>-1.44940172383368E-3</v>
      </c>
      <c r="N463" s="5" t="s">
        <v>4</v>
      </c>
      <c r="O463" s="97">
        <f>_xll.meDateFromTenor(O462,"1D","FOLLOWING","TGT")</f>
        <v>43158</v>
      </c>
      <c r="P463" s="95">
        <f ca="1"/>
        <v>5.626186003997286E-4</v>
      </c>
      <c r="Q463" s="5" t="s">
        <v>4</v>
      </c>
      <c r="R463" s="83" t="s">
        <v>4</v>
      </c>
    </row>
    <row r="464" spans="1:18" x14ac:dyDescent="0.25">
      <c r="A464" s="88">
        <v>450</v>
      </c>
      <c r="B464" s="82"/>
      <c r="C464" s="97">
        <f>_xll.meDateFromTenor(C463,"1D","FOLLOWING","TGT")</f>
        <v>43159</v>
      </c>
      <c r="D464" s="95">
        <f ca="1"/>
        <v>-4.2259498287322561E-3</v>
      </c>
      <c r="E464" s="92"/>
      <c r="F464" s="97">
        <f>_xll.meDateFromTenor(F463,"1D","FOLLOWING","TGT")</f>
        <v>43159</v>
      </c>
      <c r="G464" s="95">
        <f ca="1"/>
        <v>-3.872272657442985E-3</v>
      </c>
      <c r="H464" s="92" t="s">
        <v>4</v>
      </c>
      <c r="I464" s="97">
        <f>_xll.meDateFromTenor(I463,"1D","FOLLOWING","TGT")</f>
        <v>43159</v>
      </c>
      <c r="J464" s="95">
        <f ca="1"/>
        <v>-2.9418759737503174E-3</v>
      </c>
      <c r="K464" s="5" t="s">
        <v>4</v>
      </c>
      <c r="L464" s="97">
        <f>_xll.meDateFromTenor(L463,"1D","FOLLOWING","TGT")</f>
        <v>43159</v>
      </c>
      <c r="M464" s="95">
        <f ca="1"/>
        <v>-1.4457891758067702E-3</v>
      </c>
      <c r="N464" s="5" t="s">
        <v>4</v>
      </c>
      <c r="O464" s="97">
        <f>_xll.meDateFromTenor(O463,"1D","FOLLOWING","TGT")</f>
        <v>43159</v>
      </c>
      <c r="P464" s="95">
        <f ca="1"/>
        <v>5.6647786111681123E-4</v>
      </c>
      <c r="Q464" s="5" t="s">
        <v>4</v>
      </c>
      <c r="R464" s="83" t="s">
        <v>4</v>
      </c>
    </row>
    <row r="465" spans="1:18" x14ac:dyDescent="0.25">
      <c r="A465" s="88">
        <v>451</v>
      </c>
      <c r="B465" s="82"/>
      <c r="C465" s="97">
        <f>_xll.meDateFromTenor(C464,"1D","FOLLOWING","TGT")</f>
        <v>43160</v>
      </c>
      <c r="D465" s="95">
        <f ca="1"/>
        <v>-4.2253623262528128E-3</v>
      </c>
      <c r="E465" s="92"/>
      <c r="F465" s="97">
        <f>_xll.meDateFromTenor(F464,"1D","FOLLOWING","TGT")</f>
        <v>43160</v>
      </c>
      <c r="G465" s="95">
        <f ca="1"/>
        <v>-3.869861912943993E-3</v>
      </c>
      <c r="H465" s="92" t="s">
        <v>4</v>
      </c>
      <c r="I465" s="97">
        <f>_xll.meDateFromTenor(I464,"1D","FOLLOWING","TGT")</f>
        <v>43160</v>
      </c>
      <c r="J465" s="95">
        <f ca="1"/>
        <v>-2.9400061873925769E-3</v>
      </c>
      <c r="K465" s="5" t="s">
        <v>4</v>
      </c>
      <c r="L465" s="97">
        <f>_xll.meDateFromTenor(L464,"1D","FOLLOWING","TGT")</f>
        <v>43160</v>
      </c>
      <c r="M465" s="95">
        <f ca="1"/>
        <v>-1.4421623386064407E-3</v>
      </c>
      <c r="N465" s="5" t="s">
        <v>4</v>
      </c>
      <c r="O465" s="97">
        <f>_xll.meDateFromTenor(O464,"1D","FOLLOWING","TGT")</f>
        <v>43160</v>
      </c>
      <c r="P465" s="95">
        <f ca="1"/>
        <v>5.7034362258145911E-4</v>
      </c>
      <c r="Q465" s="5" t="s">
        <v>4</v>
      </c>
      <c r="R465" s="83" t="s">
        <v>4</v>
      </c>
    </row>
    <row r="466" spans="1:18" x14ac:dyDescent="0.25">
      <c r="A466" s="88">
        <v>452</v>
      </c>
      <c r="B466" s="82"/>
      <c r="C466" s="97">
        <f>_xll.meDateFromTenor(C465,"1D","FOLLOWING","TGT")</f>
        <v>43161</v>
      </c>
      <c r="D466" s="95">
        <f ca="1"/>
        <v>-4.2247581354779573E-3</v>
      </c>
      <c r="E466" s="92"/>
      <c r="F466" s="97">
        <f>_xll.meDateFromTenor(F465,"1D","FOLLOWING","TGT")</f>
        <v>43161</v>
      </c>
      <c r="G466" s="95">
        <f ca="1"/>
        <v>-3.8674650024420796E-3</v>
      </c>
      <c r="H466" s="92" t="s">
        <v>4</v>
      </c>
      <c r="I466" s="97">
        <f>_xll.meDateFromTenor(I465,"1D","FOLLOWING","TGT")</f>
        <v>43161</v>
      </c>
      <c r="J466" s="95">
        <f ca="1"/>
        <v>-2.9381121986047491E-3</v>
      </c>
      <c r="K466" s="5" t="s">
        <v>4</v>
      </c>
      <c r="L466" s="97">
        <f>_xll.meDateFromTenor(L465,"1D","FOLLOWING","TGT")</f>
        <v>43161</v>
      </c>
      <c r="M466" s="95">
        <f ca="1"/>
        <v>-1.4385213335449836E-3</v>
      </c>
      <c r="N466" s="5" t="s">
        <v>4</v>
      </c>
      <c r="O466" s="97">
        <f>_xll.meDateFromTenor(O465,"1D","FOLLOWING","TGT")</f>
        <v>43161</v>
      </c>
      <c r="P466" s="95">
        <f ca="1"/>
        <v>5.7421586495207176E-4</v>
      </c>
      <c r="Q466" s="5" t="s">
        <v>4</v>
      </c>
      <c r="R466" s="83" t="s">
        <v>4</v>
      </c>
    </row>
    <row r="467" spans="1:18" x14ac:dyDescent="0.25">
      <c r="A467" s="88">
        <v>453</v>
      </c>
      <c r="B467" s="82"/>
      <c r="C467" s="97">
        <f>_xll.meDateFromTenor(C466,"1D","FOLLOWING","TGT")</f>
        <v>43164</v>
      </c>
      <c r="D467" s="95">
        <f ca="1"/>
        <v>-4.2228013498301076E-3</v>
      </c>
      <c r="E467" s="92"/>
      <c r="F467" s="97">
        <f>_xll.meDateFromTenor(F466,"1D","FOLLOWING","TGT")</f>
        <v>43164</v>
      </c>
      <c r="G467" s="95">
        <f ca="1"/>
        <v>-3.8603588869591966E-3</v>
      </c>
      <c r="H467" s="92" t="s">
        <v>4</v>
      </c>
      <c r="I467" s="97">
        <f>_xll.meDateFromTenor(I466,"1D","FOLLOWING","TGT")</f>
        <v>43164</v>
      </c>
      <c r="J467" s="95">
        <f ca="1"/>
        <v>-2.9322778544007924E-3</v>
      </c>
      <c r="K467" s="5" t="s">
        <v>4</v>
      </c>
      <c r="L467" s="97">
        <f>_xll.meDateFromTenor(L466,"1D","FOLLOWING","TGT")</f>
        <v>43164</v>
      </c>
      <c r="M467" s="95">
        <f ca="1"/>
        <v>-1.4275145243167701E-3</v>
      </c>
      <c r="N467" s="5" t="s">
        <v>4</v>
      </c>
      <c r="O467" s="97">
        <f>_xll.meDateFromTenor(O466,"1D","FOLLOWING","TGT")</f>
        <v>43164</v>
      </c>
      <c r="P467" s="95">
        <f ca="1"/>
        <v>5.8587127908368982E-4</v>
      </c>
      <c r="Q467" s="5" t="s">
        <v>4</v>
      </c>
      <c r="R467" s="83" t="s">
        <v>4</v>
      </c>
    </row>
    <row r="468" spans="1:18" x14ac:dyDescent="0.25">
      <c r="A468" s="88">
        <v>454</v>
      </c>
      <c r="B468" s="82"/>
      <c r="C468" s="97">
        <f>_xll.meDateFromTenor(C467,"1D","FOLLOWING","TGT")</f>
        <v>43165</v>
      </c>
      <c r="D468" s="95">
        <f ca="1"/>
        <v>-4.2220993877190027E-3</v>
      </c>
      <c r="E468" s="92"/>
      <c r="F468" s="97">
        <f>_xll.meDateFromTenor(F467,"1D","FOLLOWING","TGT")</f>
        <v>43165</v>
      </c>
      <c r="G468" s="95">
        <f ca="1"/>
        <v>-3.8580124211781289E-3</v>
      </c>
      <c r="H468" s="92" t="s">
        <v>4</v>
      </c>
      <c r="I468" s="97">
        <f>_xll.meDateFromTenor(I467,"1D","FOLLOWING","TGT")</f>
        <v>43165</v>
      </c>
      <c r="J468" s="95">
        <f ca="1"/>
        <v>-2.9302786427304753E-3</v>
      </c>
      <c r="K468" s="5" t="s">
        <v>4</v>
      </c>
      <c r="L468" s="97">
        <f>_xll.meDateFromTenor(L467,"1D","FOLLOWING","TGT")</f>
        <v>43165</v>
      </c>
      <c r="M468" s="95">
        <f ca="1"/>
        <v>-1.4238180609337282E-3</v>
      </c>
      <c r="N468" s="5" t="s">
        <v>4</v>
      </c>
      <c r="O468" s="97">
        <f>_xll.meDateFromTenor(O467,"1D","FOLLOWING","TGT")</f>
        <v>43165</v>
      </c>
      <c r="P468" s="95">
        <f ca="1"/>
        <v>5.8976924666215215E-4</v>
      </c>
      <c r="Q468" s="5" t="s">
        <v>4</v>
      </c>
      <c r="R468" s="83" t="s">
        <v>4</v>
      </c>
    </row>
    <row r="469" spans="1:18" x14ac:dyDescent="0.25">
      <c r="A469" s="88">
        <v>455</v>
      </c>
      <c r="B469" s="82"/>
      <c r="C469" s="97">
        <f>_xll.meDateFromTenor(C468,"1D","FOLLOWING","TGT")</f>
        <v>43166</v>
      </c>
      <c r="D469" s="95">
        <f ca="1"/>
        <v>-4.2213725770394728E-3</v>
      </c>
      <c r="E469" s="92"/>
      <c r="F469" s="97">
        <f>_xll.meDateFromTenor(F468,"1D","FOLLOWING","TGT")</f>
        <v>43166</v>
      </c>
      <c r="G469" s="95">
        <f ca="1"/>
        <v>-3.8556737669410853E-3</v>
      </c>
      <c r="H469" s="92" t="s">
        <v>4</v>
      </c>
      <c r="I469" s="97">
        <f>_xll.meDateFromTenor(I468,"1D","FOLLOWING","TGT")</f>
        <v>43166</v>
      </c>
      <c r="J469" s="95">
        <f ca="1"/>
        <v>-2.9282503346027959E-3</v>
      </c>
      <c r="K469" s="5" t="s">
        <v>4</v>
      </c>
      <c r="L469" s="97">
        <f>_xll.meDateFromTenor(L468,"1D","FOLLOWING","TGT")</f>
        <v>43166</v>
      </c>
      <c r="M469" s="95">
        <f ca="1"/>
        <v>-1.4201080362510215E-3</v>
      </c>
      <c r="N469" s="5" t="s">
        <v>4</v>
      </c>
      <c r="O469" s="97">
        <f>_xll.meDateFromTenor(O468,"1D","FOLLOWING","TGT")</f>
        <v>43166</v>
      </c>
      <c r="P469" s="95">
        <f ca="1"/>
        <v>5.9367359593857428E-4</v>
      </c>
      <c r="Q469" s="5" t="s">
        <v>4</v>
      </c>
      <c r="R469" s="83" t="s">
        <v>4</v>
      </c>
    </row>
    <row r="470" spans="1:18" x14ac:dyDescent="0.25">
      <c r="A470" s="88">
        <v>456</v>
      </c>
      <c r="B470" s="82"/>
      <c r="C470" s="97">
        <f>_xll.meDateFromTenor(C469,"1D","FOLLOWING","TGT")</f>
        <v>43167</v>
      </c>
      <c r="D470" s="95">
        <f ca="1"/>
        <v>-4.2206209191304467E-3</v>
      </c>
      <c r="E470" s="92"/>
      <c r="F470" s="97">
        <f>_xll.meDateFromTenor(F469,"1D","FOLLOWING","TGT")</f>
        <v>43167</v>
      </c>
      <c r="G470" s="95">
        <f ca="1"/>
        <v>-3.8533409393605124E-3</v>
      </c>
      <c r="H470" s="92" t="s">
        <v>4</v>
      </c>
      <c r="I470" s="97">
        <f>_xll.meDateFromTenor(I469,"1D","FOLLOWING","TGT")</f>
        <v>43167</v>
      </c>
      <c r="J470" s="95">
        <f ca="1"/>
        <v>-2.9261918012240358E-3</v>
      </c>
      <c r="K470" s="5" t="s">
        <v>4</v>
      </c>
      <c r="L470" s="97">
        <f>_xll.meDateFromTenor(L469,"1D","FOLLOWING","TGT")</f>
        <v>43167</v>
      </c>
      <c r="M470" s="95">
        <f ca="1"/>
        <v>-1.4163845715809424E-3</v>
      </c>
      <c r="N470" s="5" t="s">
        <v>4</v>
      </c>
      <c r="O470" s="97">
        <f>_xll.meDateFromTenor(O469,"1D","FOLLOWING","TGT")</f>
        <v>43167</v>
      </c>
      <c r="P470" s="95">
        <f ca="1"/>
        <v>5.9758430707135572E-4</v>
      </c>
      <c r="Q470" s="5" t="s">
        <v>4</v>
      </c>
      <c r="R470" s="83" t="s">
        <v>4</v>
      </c>
    </row>
    <row r="471" spans="1:18" x14ac:dyDescent="0.25">
      <c r="A471" s="88">
        <v>457</v>
      </c>
      <c r="B471" s="82"/>
      <c r="C471" s="97">
        <f>_xll.meDateFromTenor(C470,"1D","FOLLOWING","TGT")</f>
        <v>43168</v>
      </c>
      <c r="D471" s="95">
        <f ca="1"/>
        <v>-4.219844415209395E-3</v>
      </c>
      <c r="E471" s="92"/>
      <c r="F471" s="97">
        <f>_xll.meDateFromTenor(F470,"1D","FOLLOWING","TGT")</f>
        <v>43168</v>
      </c>
      <c r="G471" s="95">
        <f ca="1"/>
        <v>-3.8510119535488572E-3</v>
      </c>
      <c r="H471" s="92" t="s">
        <v>4</v>
      </c>
      <c r="I471" s="97">
        <f>_xll.meDateFromTenor(I470,"1D","FOLLOWING","TGT")</f>
        <v>43168</v>
      </c>
      <c r="J471" s="95">
        <f ca="1"/>
        <v>-2.9241019138004786E-3</v>
      </c>
      <c r="K471" s="5" t="s">
        <v>4</v>
      </c>
      <c r="L471" s="97">
        <f>_xll.meDateFromTenor(L470,"1D","FOLLOWING","TGT")</f>
        <v>43168</v>
      </c>
      <c r="M471" s="95">
        <f ca="1"/>
        <v>-1.4126477882357843E-3</v>
      </c>
      <c r="N471" s="5" t="s">
        <v>4</v>
      </c>
      <c r="O471" s="97">
        <f>_xll.meDateFromTenor(O470,"1D","FOLLOWING","TGT")</f>
        <v>43168</v>
      </c>
      <c r="P471" s="95">
        <f ca="1"/>
        <v>6.0150136021889546E-4</v>
      </c>
      <c r="Q471" s="5" t="s">
        <v>4</v>
      </c>
      <c r="R471" s="83" t="s">
        <v>4</v>
      </c>
    </row>
    <row r="472" spans="1:18" x14ac:dyDescent="0.25">
      <c r="A472" s="88">
        <v>458</v>
      </c>
      <c r="B472" s="82"/>
      <c r="C472" s="97">
        <f>_xll.meDateFromTenor(C471,"1D","FOLLOWING","TGT")</f>
        <v>43171</v>
      </c>
      <c r="D472" s="95">
        <f ca="1"/>
        <v>-4.2173658374908829E-3</v>
      </c>
      <c r="E472" s="92"/>
      <c r="F472" s="97">
        <f>_xll.meDateFromTenor(F471,"1D","FOLLOWING","TGT")</f>
        <v>43171</v>
      </c>
      <c r="G472" s="95">
        <f ca="1"/>
        <v>-3.8440281978518597E-3</v>
      </c>
      <c r="H472" s="92" t="s">
        <v>4</v>
      </c>
      <c r="I472" s="97">
        <f>_xll.meDateFromTenor(I471,"1D","FOLLOWING","TGT")</f>
        <v>43171</v>
      </c>
      <c r="J472" s="95">
        <f ca="1"/>
        <v>-2.9176328393238416E-3</v>
      </c>
      <c r="K472" s="5" t="s">
        <v>4</v>
      </c>
      <c r="L472" s="97">
        <f>_xll.meDateFromTenor(L471,"1D","FOLLOWING","TGT")</f>
        <v>43171</v>
      </c>
      <c r="M472" s="95">
        <f ca="1"/>
        <v>-1.4013587392727605E-3</v>
      </c>
      <c r="N472" s="5" t="s">
        <v>4</v>
      </c>
      <c r="O472" s="97">
        <f>_xll.meDateFromTenor(O471,"1D","FOLLOWING","TGT")</f>
        <v>43171</v>
      </c>
      <c r="P472" s="95">
        <f ca="1"/>
        <v>6.1329037333405253E-4</v>
      </c>
      <c r="Q472" s="5" t="s">
        <v>4</v>
      </c>
      <c r="R472" s="83" t="s">
        <v>4</v>
      </c>
    </row>
    <row r="473" spans="1:18" x14ac:dyDescent="0.25">
      <c r="A473" s="88">
        <v>459</v>
      </c>
      <c r="B473" s="82"/>
      <c r="C473" s="97">
        <f>_xll.meDateFromTenor(C472,"1D","FOLLOWING","TGT")</f>
        <v>43172</v>
      </c>
      <c r="D473" s="95">
        <f ca="1"/>
        <v>-4.2164899599478334E-3</v>
      </c>
      <c r="E473" s="92"/>
      <c r="F473" s="97">
        <f>_xll.meDateFromTenor(F472,"1D","FOLLOWING","TGT")</f>
        <v>43172</v>
      </c>
      <c r="G473" s="95">
        <f ca="1"/>
        <v>-3.8416947302403396E-3</v>
      </c>
      <c r="H473" s="92" t="s">
        <v>4</v>
      </c>
      <c r="I473" s="97">
        <f>_xll.meDateFromTenor(I472,"1D","FOLLOWING","TGT")</f>
        <v>43172</v>
      </c>
      <c r="J473" s="95">
        <f ca="1"/>
        <v>-2.9154062477839151E-3</v>
      </c>
      <c r="K473" s="5" t="s">
        <v>4</v>
      </c>
      <c r="L473" s="97">
        <f>_xll.meDateFromTenor(L472,"1D","FOLLOWING","TGT")</f>
        <v>43172</v>
      </c>
      <c r="M473" s="95">
        <f ca="1"/>
        <v>-1.3975698943502111E-3</v>
      </c>
      <c r="N473" s="5" t="s">
        <v>4</v>
      </c>
      <c r="O473" s="97">
        <f>_xll.meDateFromTenor(O472,"1D","FOLLOWING","TGT")</f>
        <v>43172</v>
      </c>
      <c r="P473" s="95">
        <f ca="1"/>
        <v>6.1723259612461495E-4</v>
      </c>
      <c r="Q473" s="5" t="s">
        <v>4</v>
      </c>
      <c r="R473" s="83" t="s">
        <v>4</v>
      </c>
    </row>
    <row r="474" spans="1:18" x14ac:dyDescent="0.25">
      <c r="A474" s="88">
        <v>460</v>
      </c>
      <c r="B474" s="82"/>
      <c r="C474" s="97">
        <f>_xll.meDateFromTenor(C473,"1D","FOLLOWING","TGT")</f>
        <v>43173</v>
      </c>
      <c r="D474" s="95">
        <f ca="1"/>
        <v>-4.2155892418554997E-3</v>
      </c>
      <c r="E474" s="92"/>
      <c r="F474" s="97">
        <f>_xll.meDateFromTenor(F473,"1D","FOLLOWING","TGT")</f>
        <v>43173</v>
      </c>
      <c r="G474" s="95">
        <f ca="1"/>
        <v>-3.8393551799599701E-3</v>
      </c>
      <c r="H474" s="92" t="s">
        <v>4</v>
      </c>
      <c r="I474" s="97">
        <f>_xll.meDateFromTenor(I473,"1D","FOLLOWING","TGT")</f>
        <v>43173</v>
      </c>
      <c r="J474" s="95">
        <f ca="1"/>
        <v>-2.9131426582306016E-3</v>
      </c>
      <c r="K474" s="5" t="s">
        <v>4</v>
      </c>
      <c r="L474" s="97">
        <f>_xll.meDateFromTenor(L473,"1D","FOLLOWING","TGT")</f>
        <v>43173</v>
      </c>
      <c r="M474" s="95">
        <f ca="1"/>
        <v>-1.3937683373140453E-3</v>
      </c>
      <c r="N474" s="5" t="s">
        <v>4</v>
      </c>
      <c r="O474" s="97">
        <f>_xll.meDateFromTenor(O473,"1D","FOLLOWING","TGT")</f>
        <v>43173</v>
      </c>
      <c r="P474" s="95">
        <f ca="1"/>
        <v>6.2118106172193068E-4</v>
      </c>
      <c r="Q474" s="5" t="s">
        <v>4</v>
      </c>
      <c r="R474" s="83" t="s">
        <v>4</v>
      </c>
    </row>
    <row r="475" spans="1:18" x14ac:dyDescent="0.25">
      <c r="A475" s="88">
        <v>461</v>
      </c>
      <c r="B475" s="82"/>
      <c r="C475" s="97">
        <f>_xll.meDateFromTenor(C474,"1D","FOLLOWING","TGT")</f>
        <v>43174</v>
      </c>
      <c r="D475" s="95">
        <f ca="1"/>
        <v>-4.2146636841812191E-3</v>
      </c>
      <c r="E475" s="92"/>
      <c r="F475" s="97">
        <f>_xll.meDateFromTenor(F474,"1D","FOLLOWING","TGT")</f>
        <v>43174</v>
      </c>
      <c r="G475" s="95">
        <f ca="1"/>
        <v>-3.8370075621231977E-3</v>
      </c>
      <c r="H475" s="92" t="s">
        <v>4</v>
      </c>
      <c r="I475" s="97">
        <f>_xll.meDateFromTenor(I474,"1D","FOLLOWING","TGT")</f>
        <v>43174</v>
      </c>
      <c r="J475" s="95">
        <f ca="1"/>
        <v>-2.9108409418701839E-3</v>
      </c>
      <c r="K475" s="5" t="s">
        <v>4</v>
      </c>
      <c r="L475" s="97">
        <f>_xll.meDateFromTenor(L474,"1D","FOLLOWING","TGT")</f>
        <v>43174</v>
      </c>
      <c r="M475" s="95">
        <f ca="1"/>
        <v>-1.3899541894765565E-3</v>
      </c>
      <c r="N475" s="5" t="s">
        <v>4</v>
      </c>
      <c r="O475" s="97">
        <f>_xll.meDateFromTenor(O474,"1D","FOLLOWING","TGT")</f>
        <v>43174</v>
      </c>
      <c r="P475" s="95">
        <f ca="1"/>
        <v>6.2513575028439838E-4</v>
      </c>
      <c r="Q475" s="5" t="s">
        <v>4</v>
      </c>
      <c r="R475" s="83" t="s">
        <v>4</v>
      </c>
    </row>
    <row r="476" spans="1:18" x14ac:dyDescent="0.25">
      <c r="A476" s="88">
        <v>462</v>
      </c>
      <c r="B476" s="82"/>
      <c r="C476" s="97">
        <f>_xll.meDateFromTenor(C475,"1D","FOLLOWING","TGT")</f>
        <v>43175</v>
      </c>
      <c r="D476" s="95">
        <f ca="1"/>
        <v>-4.2137132879704886E-3</v>
      </c>
      <c r="E476" s="92"/>
      <c r="F476" s="97">
        <f>_xll.meDateFromTenor(F475,"1D","FOLLOWING","TGT")</f>
        <v>43175</v>
      </c>
      <c r="G476" s="95">
        <f ca="1"/>
        <v>-3.8346498918424687E-3</v>
      </c>
      <c r="H476" s="92" t="s">
        <v>4</v>
      </c>
      <c r="I476" s="97">
        <f>_xll.meDateFromTenor(I475,"1D","FOLLOWING","TGT")</f>
        <v>43175</v>
      </c>
      <c r="J476" s="95">
        <f ca="1"/>
        <v>-2.9084999699089437E-3</v>
      </c>
      <c r="K476" s="5" t="s">
        <v>4</v>
      </c>
      <c r="L476" s="97">
        <f>_xll.meDateFromTenor(L475,"1D","FOLLOWING","TGT")</f>
        <v>43175</v>
      </c>
      <c r="M476" s="95">
        <f ca="1"/>
        <v>-1.3861275721500366E-3</v>
      </c>
      <c r="N476" s="5" t="s">
        <v>4</v>
      </c>
      <c r="O476" s="97">
        <f>_xll.meDateFromTenor(O475,"1D","FOLLOWING","TGT")</f>
        <v>43175</v>
      </c>
      <c r="P476" s="95">
        <f ca="1"/>
        <v>6.2909664197041736E-4</v>
      </c>
      <c r="Q476" s="5" t="s">
        <v>4</v>
      </c>
      <c r="R476" s="83" t="s">
        <v>4</v>
      </c>
    </row>
    <row r="477" spans="1:18" x14ac:dyDescent="0.25">
      <c r="A477" s="88">
        <v>463</v>
      </c>
      <c r="B477" s="82"/>
      <c r="C477" s="97">
        <f>_xll.meDateFromTenor(C476,"1D","FOLLOWING","TGT")</f>
        <v>43178</v>
      </c>
      <c r="D477" s="95">
        <f ca="1"/>
        <v>-4.2107130797389702E-3</v>
      </c>
      <c r="E477" s="92"/>
      <c r="F477" s="97">
        <f>_xll.meDateFromTenor(F476,"1D","FOLLOWING","TGT")</f>
        <v>43178</v>
      </c>
      <c r="G477" s="95">
        <f ca="1"/>
        <v>-3.8274967174610082E-3</v>
      </c>
      <c r="H477" s="92" t="s">
        <v>4</v>
      </c>
      <c r="I477" s="97">
        <f>_xll.meDateFromTenor(I476,"1D","FOLLOWING","TGT")</f>
        <v>43178</v>
      </c>
      <c r="J477" s="95">
        <f ca="1"/>
        <v>-2.9012302324831116E-3</v>
      </c>
      <c r="K477" s="5" t="s">
        <v>4</v>
      </c>
      <c r="L477" s="97">
        <f>_xll.meDateFromTenor(L476,"1D","FOLLOWING","TGT")</f>
        <v>43178</v>
      </c>
      <c r="M477" s="95">
        <f ca="1"/>
        <v>-1.3745741163592165E-3</v>
      </c>
      <c r="N477" s="5" t="s">
        <v>4</v>
      </c>
      <c r="O477" s="97">
        <f>_xll.meDateFromTenor(O476,"1D","FOLLOWING","TGT")</f>
        <v>43178</v>
      </c>
      <c r="P477" s="95">
        <f ca="1"/>
        <v>6.4101633735377393E-4</v>
      </c>
      <c r="Q477" s="5" t="s">
        <v>4</v>
      </c>
      <c r="R477" s="83" t="s">
        <v>4</v>
      </c>
    </row>
    <row r="478" spans="1:18" x14ac:dyDescent="0.25">
      <c r="A478" s="88">
        <v>464</v>
      </c>
      <c r="B478" s="82"/>
      <c r="C478" s="97">
        <f>_xll.meDateFromTenor(C477,"1D","FOLLOWING","TGT")</f>
        <v>43179</v>
      </c>
      <c r="D478" s="95">
        <f ca="1"/>
        <v>-4.2096633407537887E-3</v>
      </c>
      <c r="E478" s="92"/>
      <c r="F478" s="97">
        <f>_xll.meDateFromTenor(F477,"1D","FOLLOWING","TGT")</f>
        <v>43179</v>
      </c>
      <c r="G478" s="95">
        <f ca="1"/>
        <v>-3.8250789885289193E-3</v>
      </c>
      <c r="H478" s="92" t="s">
        <v>4</v>
      </c>
      <c r="I478" s="97">
        <f>_xll.meDateFromTenor(I477,"1D","FOLLOWING","TGT")</f>
        <v>43179</v>
      </c>
      <c r="J478" s="95">
        <f ca="1"/>
        <v>-2.8987209501814045E-3</v>
      </c>
      <c r="K478" s="5" t="s">
        <v>4</v>
      </c>
      <c r="L478" s="97">
        <f>_xll.meDateFromTenor(L477,"1D","FOLLOWING","TGT")</f>
        <v>43179</v>
      </c>
      <c r="M478" s="95">
        <f ca="1"/>
        <v>-1.370698834199499E-3</v>
      </c>
      <c r="N478" s="5" t="s">
        <v>4</v>
      </c>
      <c r="O478" s="97">
        <f>_xll.meDateFromTenor(O477,"1D","FOLLOWING","TGT")</f>
        <v>43179</v>
      </c>
      <c r="P478" s="95">
        <f ca="1"/>
        <v>6.4500184311798913E-4</v>
      </c>
      <c r="Q478" s="5" t="s">
        <v>4</v>
      </c>
      <c r="R478" s="83" t="s">
        <v>4</v>
      </c>
    </row>
    <row r="479" spans="1:18" x14ac:dyDescent="0.25">
      <c r="A479" s="88">
        <v>465</v>
      </c>
      <c r="B479" s="82"/>
      <c r="C479" s="97">
        <f>_xll.meDateFromTenor(C478,"1D","FOLLOWING","TGT")</f>
        <v>43180</v>
      </c>
      <c r="D479" s="95">
        <f ca="1"/>
        <v>-4.2085887685902046E-3</v>
      </c>
      <c r="E479" s="92"/>
      <c r="F479" s="97">
        <f>_xll.meDateFromTenor(F478,"1D","FOLLOWING","TGT")</f>
        <v>43180</v>
      </c>
      <c r="G479" s="95">
        <f ca="1"/>
        <v>-3.8226412827151069E-3</v>
      </c>
      <c r="H479" s="92" t="s">
        <v>4</v>
      </c>
      <c r="I479" s="97">
        <f>_xll.meDateFromTenor(I478,"1D","FOLLOWING","TGT")</f>
        <v>43180</v>
      </c>
      <c r="J479" s="95">
        <f ca="1"/>
        <v>-2.8961667683102855E-3</v>
      </c>
      <c r="K479" s="5" t="s">
        <v>4</v>
      </c>
      <c r="L479" s="97">
        <f>_xll.meDateFromTenor(L478,"1D","FOLLOWING","TGT")</f>
        <v>43180</v>
      </c>
      <c r="M479" s="95">
        <f ca="1"/>
        <v>-1.3668116891122132E-3</v>
      </c>
      <c r="N479" s="5" t="s">
        <v>4</v>
      </c>
      <c r="O479" s="97">
        <f>_xll.meDateFromTenor(O478,"1D","FOLLOWING","TGT")</f>
        <v>43180</v>
      </c>
      <c r="P479" s="95">
        <f ca="1"/>
        <v>6.4899345279775095E-4</v>
      </c>
      <c r="Q479" s="5" t="s">
        <v>4</v>
      </c>
      <c r="R479" s="83" t="s">
        <v>4</v>
      </c>
    </row>
    <row r="480" spans="1:18" x14ac:dyDescent="0.25">
      <c r="A480" s="88">
        <v>466</v>
      </c>
      <c r="B480" s="82"/>
      <c r="C480" s="97">
        <f>_xll.meDateFromTenor(C479,"1D","FOLLOWING","TGT")</f>
        <v>43181</v>
      </c>
      <c r="D480" s="95">
        <f ca="1"/>
        <v>-4.2074893644418188E-3</v>
      </c>
      <c r="E480" s="92"/>
      <c r="F480" s="97">
        <f>_xll.meDateFromTenor(F479,"1D","FOLLOWING","TGT")</f>
        <v>43181</v>
      </c>
      <c r="G480" s="95">
        <f ca="1"/>
        <v>-3.820181615132018E-3</v>
      </c>
      <c r="H480" s="92" t="s">
        <v>4</v>
      </c>
      <c r="I480" s="97">
        <f>_xll.meDateFromTenor(I479,"1D","FOLLOWING","TGT")</f>
        <v>43181</v>
      </c>
      <c r="J480" s="95">
        <f ca="1"/>
        <v>-2.8935668432084321E-3</v>
      </c>
      <c r="K480" s="5" t="s">
        <v>4</v>
      </c>
      <c r="L480" s="97">
        <f>_xll.meDateFromTenor(L479,"1D","FOLLOWING","TGT")</f>
        <v>43181</v>
      </c>
      <c r="M480" s="95">
        <f ca="1"/>
        <v>-1.3629128024096522E-3</v>
      </c>
      <c r="N480" s="5" t="s">
        <v>4</v>
      </c>
      <c r="O480" s="97">
        <f>_xll.meDateFromTenor(O479,"1D","FOLLOWING","TGT")</f>
        <v>43181</v>
      </c>
      <c r="P480" s="95">
        <f ca="1"/>
        <v>6.5299114655145859E-4</v>
      </c>
      <c r="Q480" s="5" t="s">
        <v>4</v>
      </c>
      <c r="R480" s="83" t="s">
        <v>4</v>
      </c>
    </row>
    <row r="481" spans="1:18" x14ac:dyDescent="0.25">
      <c r="A481" s="88">
        <v>467</v>
      </c>
      <c r="B481" s="82"/>
      <c r="C481" s="97">
        <f>_xll.meDateFromTenor(C480,"1D","FOLLOWING","TGT")</f>
        <v>43182</v>
      </c>
      <c r="D481" s="95">
        <f ca="1"/>
        <v>-4.2063651294204085E-3</v>
      </c>
      <c r="E481" s="92"/>
      <c r="F481" s="97">
        <f>_xll.meDateFromTenor(F480,"1D","FOLLOWING","TGT")</f>
        <v>43182</v>
      </c>
      <c r="G481" s="95">
        <f ca="1"/>
        <v>-3.817698000892098E-3</v>
      </c>
      <c r="H481" s="92" t="s">
        <v>4</v>
      </c>
      <c r="I481" s="97">
        <f>_xll.meDateFromTenor(I480,"1D","FOLLOWING","TGT")</f>
        <v>43182</v>
      </c>
      <c r="J481" s="95">
        <f ca="1"/>
        <v>-2.8909214717440989E-3</v>
      </c>
      <c r="K481" s="5" t="s">
        <v>4</v>
      </c>
      <c r="L481" s="97">
        <f>_xll.meDateFromTenor(L480,"1D","FOLLOWING","TGT")</f>
        <v>43182</v>
      </c>
      <c r="M481" s="95">
        <f ca="1"/>
        <v>-1.3590022954041085E-3</v>
      </c>
      <c r="N481" s="5" t="s">
        <v>4</v>
      </c>
      <c r="O481" s="97">
        <f>_xll.meDateFromTenor(O480,"1D","FOLLOWING","TGT")</f>
        <v>43182</v>
      </c>
      <c r="P481" s="95">
        <f ca="1"/>
        <v>6.5699490453751059E-4</v>
      </c>
      <c r="Q481" s="5" t="s">
        <v>4</v>
      </c>
      <c r="R481" s="83" t="s">
        <v>4</v>
      </c>
    </row>
    <row r="482" spans="1:18" x14ac:dyDescent="0.25">
      <c r="A482" s="88">
        <v>468</v>
      </c>
      <c r="B482" s="82"/>
      <c r="C482" s="97">
        <f>_xll.meDateFromTenor(C481,"1D","FOLLOWING","TGT")</f>
        <v>43185</v>
      </c>
      <c r="D482" s="95">
        <f ca="1"/>
        <v>-4.2028434498129208E-3</v>
      </c>
      <c r="E482" s="92"/>
      <c r="F482" s="97">
        <f>_xll.meDateFromTenor(F481,"1D","FOLLOWING","TGT")</f>
        <v>43185</v>
      </c>
      <c r="G482" s="95">
        <f ca="1"/>
        <v>-3.8100836293558245E-3</v>
      </c>
      <c r="H482" s="92" t="s">
        <v>4</v>
      </c>
      <c r="I482" s="97">
        <f>_xll.meDateFromTenor(I481,"1D","FOLLOWING","TGT")</f>
        <v>43185</v>
      </c>
      <c r="J482" s="95">
        <f ca="1"/>
        <v>-2.8827184991827028E-3</v>
      </c>
      <c r="K482" s="5" t="s">
        <v>4</v>
      </c>
      <c r="L482" s="97">
        <f>_xll.meDateFromTenor(L481,"1D","FOLLOWING","TGT")</f>
        <v>43185</v>
      </c>
      <c r="M482" s="95">
        <f ca="1"/>
        <v>-1.3472022656925088E-3</v>
      </c>
      <c r="N482" s="5" t="s">
        <v>4</v>
      </c>
      <c r="O482" s="97">
        <f>_xll.meDateFromTenor(O481,"1D","FOLLOWING","TGT")</f>
        <v>43185</v>
      </c>
      <c r="P482" s="95">
        <f ca="1"/>
        <v>6.6904236547372584E-4</v>
      </c>
      <c r="Q482" s="5" t="s">
        <v>4</v>
      </c>
      <c r="R482" s="83" t="s">
        <v>4</v>
      </c>
    </row>
    <row r="483" spans="1:18" x14ac:dyDescent="0.25">
      <c r="A483" s="88">
        <v>469</v>
      </c>
      <c r="B483" s="82"/>
      <c r="C483" s="97">
        <f>_xll.meDateFromTenor(C482,"1D","FOLLOWING","TGT")</f>
        <v>43186</v>
      </c>
      <c r="D483" s="95">
        <f ca="1"/>
        <v>-4.2016199018654055E-3</v>
      </c>
      <c r="E483" s="92"/>
      <c r="F483" s="97">
        <f>_xll.meDateFromTenor(F482,"1D","FOLLOWING","TGT")</f>
        <v>43186</v>
      </c>
      <c r="G483" s="95">
        <f ca="1"/>
        <v>-3.8074843796130505E-3</v>
      </c>
      <c r="H483" s="92" t="s">
        <v>4</v>
      </c>
      <c r="I483" s="97">
        <f>_xll.meDateFromTenor(I482,"1D","FOLLOWING","TGT")</f>
        <v>43186</v>
      </c>
      <c r="J483" s="95">
        <f ca="1"/>
        <v>-2.879897162274935E-3</v>
      </c>
      <c r="K483" s="5" t="s">
        <v>4</v>
      </c>
      <c r="L483" s="97">
        <f>_xll.meDateFromTenor(L482,"1D","FOLLOWING","TGT")</f>
        <v>43186</v>
      </c>
      <c r="M483" s="95">
        <f ca="1"/>
        <v>-1.3432464905979609E-3</v>
      </c>
      <c r="N483" s="5" t="s">
        <v>4</v>
      </c>
      <c r="O483" s="97">
        <f>_xll.meDateFromTenor(O482,"1D","FOLLOWING","TGT")</f>
        <v>43186</v>
      </c>
      <c r="P483" s="95">
        <f ca="1"/>
        <v>6.7307018197314738E-4</v>
      </c>
      <c r="Q483" s="5" t="s">
        <v>4</v>
      </c>
      <c r="R483" s="83" t="s">
        <v>4</v>
      </c>
    </row>
    <row r="484" spans="1:18" x14ac:dyDescent="0.25">
      <c r="A484" s="88">
        <v>470</v>
      </c>
      <c r="B484" s="82"/>
      <c r="C484" s="97">
        <f>_xll.meDateFromTenor(C483,"1D","FOLLOWING","TGT")</f>
        <v>43187</v>
      </c>
      <c r="D484" s="95">
        <f ca="1"/>
        <v>-4.2003715284181231E-3</v>
      </c>
      <c r="E484" s="92"/>
      <c r="F484" s="97">
        <f>_xll.meDateFromTenor(F483,"1D","FOLLOWING","TGT")</f>
        <v>43187</v>
      </c>
      <c r="G484" s="95">
        <f ca="1"/>
        <v>-3.8048512587756786E-3</v>
      </c>
      <c r="H484" s="92" t="s">
        <v>4</v>
      </c>
      <c r="I484" s="97">
        <f>_xll.meDateFromTenor(I483,"1D","FOLLOWING","TGT")</f>
        <v>43187</v>
      </c>
      <c r="J484" s="95">
        <f ca="1"/>
        <v>-2.8770332890079302E-3</v>
      </c>
      <c r="K484" s="5" t="s">
        <v>4</v>
      </c>
      <c r="L484" s="97">
        <f>_xll.meDateFromTenor(L483,"1D","FOLLOWING","TGT")</f>
        <v>43187</v>
      </c>
      <c r="M484" s="95">
        <f ca="1"/>
        <v>-1.3392797017618937E-3</v>
      </c>
      <c r="N484" s="5" t="s">
        <v>4</v>
      </c>
      <c r="O484" s="97">
        <f>_xll.meDateFromTenor(O483,"1D","FOLLOWING","TGT")</f>
        <v>43187</v>
      </c>
      <c r="P484" s="95">
        <f ca="1"/>
        <v>6.7710396349690842E-4</v>
      </c>
      <c r="Q484" s="5" t="s">
        <v>4</v>
      </c>
      <c r="R484" s="83" t="s">
        <v>4</v>
      </c>
    </row>
    <row r="485" spans="1:18" x14ac:dyDescent="0.25">
      <c r="A485" s="88">
        <v>471</v>
      </c>
      <c r="B485" s="82"/>
      <c r="C485" s="97">
        <f>_xll.meDateFromTenor(C484,"1D","FOLLOWING","TGT")</f>
        <v>43188</v>
      </c>
      <c r="D485" s="95">
        <f ca="1"/>
        <v>-4.1990983304921459E-3</v>
      </c>
      <c r="E485" s="92"/>
      <c r="F485" s="97">
        <f>_xll.meDateFromTenor(F484,"1D","FOLLOWING","TGT")</f>
        <v>43188</v>
      </c>
      <c r="G485" s="95">
        <f ca="1"/>
        <v>-3.8021822819561562E-3</v>
      </c>
      <c r="H485" s="92" t="s">
        <v>4</v>
      </c>
      <c r="I485" s="97">
        <f>_xll.meDateFromTenor(I484,"1D","FOLLOWING","TGT")</f>
        <v>43188</v>
      </c>
      <c r="J485" s="95">
        <f ca="1"/>
        <v>-2.874127461382337E-3</v>
      </c>
      <c r="K485" s="5" t="s">
        <v>4</v>
      </c>
      <c r="L485" s="97">
        <f>_xll.meDateFromTenor(L484,"1D","FOLLOWING","TGT")</f>
        <v>43188</v>
      </c>
      <c r="M485" s="95">
        <f ca="1"/>
        <v>-1.3353020204965997E-3</v>
      </c>
      <c r="N485" s="5" t="s">
        <v>4</v>
      </c>
      <c r="O485" s="97">
        <f>_xll.meDateFromTenor(O484,"1D","FOLLOWING","TGT")</f>
        <v>43188</v>
      </c>
      <c r="P485" s="95">
        <f ca="1"/>
        <v>6.8114369020340847E-4</v>
      </c>
      <c r="Q485" s="5" t="s">
        <v>4</v>
      </c>
      <c r="R485" s="83" t="s">
        <v>4</v>
      </c>
    </row>
    <row r="486" spans="1:18" x14ac:dyDescent="0.25">
      <c r="A486" s="88">
        <v>472</v>
      </c>
      <c r="B486" s="82"/>
      <c r="C486" s="97">
        <f>_xll.meDateFromTenor(C485,"1D","FOLLOWING","TGT")</f>
        <v>43193</v>
      </c>
      <c r="D486" s="95">
        <f ca="1"/>
        <v>-4.1923600094209146E-3</v>
      </c>
      <c r="E486" s="92"/>
      <c r="F486" s="97">
        <f>_xll.meDateFromTenor(F485,"1D","FOLLOWING","TGT")</f>
        <v>43193</v>
      </c>
      <c r="G486" s="95">
        <f ca="1"/>
        <v>-3.7882300870619155E-3</v>
      </c>
      <c r="H486" s="92" t="s">
        <v>4</v>
      </c>
      <c r="I486" s="97">
        <f>_xll.meDateFromTenor(I485,"1D","FOLLOWING","TGT")</f>
        <v>43193</v>
      </c>
      <c r="J486" s="95">
        <f ca="1"/>
        <v>-2.8589893778982506E-3</v>
      </c>
      <c r="K486" s="5" t="s">
        <v>4</v>
      </c>
      <c r="L486" s="97">
        <f>_xll.meDateFromTenor(L485,"1D","FOLLOWING","TGT")</f>
        <v>43193</v>
      </c>
      <c r="M486" s="95">
        <f ca="1"/>
        <v>-1.3152544736619682E-3</v>
      </c>
      <c r="N486" s="5" t="s">
        <v>4</v>
      </c>
      <c r="O486" s="97">
        <f>_xll.meDateFromTenor(O485,"1D","FOLLOWING","TGT")</f>
        <v>43193</v>
      </c>
      <c r="P486" s="95">
        <f ca="1"/>
        <v>7.0143080702096043E-4</v>
      </c>
      <c r="Q486" s="5" t="s">
        <v>4</v>
      </c>
      <c r="R486" s="83" t="s">
        <v>4</v>
      </c>
    </row>
    <row r="487" spans="1:18" x14ac:dyDescent="0.25">
      <c r="A487" s="88">
        <v>473</v>
      </c>
      <c r="B487" s="82"/>
      <c r="C487" s="97">
        <f>_xll.meDateFromTenor(C486,"1D","FOLLOWING","TGT")</f>
        <v>43194</v>
      </c>
      <c r="D487" s="95">
        <f ca="1"/>
        <v>-4.1909378864057878E-3</v>
      </c>
      <c r="E487" s="92"/>
      <c r="F487" s="97">
        <f>_xll.meDateFromTenor(F486,"1D","FOLLOWING","TGT")</f>
        <v>43194</v>
      </c>
      <c r="G487" s="95">
        <f ca="1"/>
        <v>-3.7853050506198951E-3</v>
      </c>
      <c r="H487" s="92" t="s">
        <v>4</v>
      </c>
      <c r="I487" s="97">
        <f>_xll.meDateFromTenor(I486,"1D","FOLLOWING","TGT")</f>
        <v>43194</v>
      </c>
      <c r="J487" s="95">
        <f ca="1"/>
        <v>-2.8558440461347498E-3</v>
      </c>
      <c r="K487" s="5" t="s">
        <v>4</v>
      </c>
      <c r="L487" s="97">
        <f>_xll.meDateFromTenor(L486,"1D","FOLLOWING","TGT")</f>
        <v>43194</v>
      </c>
      <c r="M487" s="95">
        <f ca="1"/>
        <v>-1.3112139853794578E-3</v>
      </c>
      <c r="N487" s="5" t="s">
        <v>4</v>
      </c>
      <c r="O487" s="97">
        <f>_xll.meDateFromTenor(O486,"1D","FOLLOWING","TGT")</f>
        <v>43194</v>
      </c>
      <c r="P487" s="95">
        <f ca="1"/>
        <v>7.0550578815027458E-4</v>
      </c>
      <c r="Q487" s="5" t="s">
        <v>4</v>
      </c>
      <c r="R487" s="83" t="s">
        <v>4</v>
      </c>
    </row>
    <row r="488" spans="1:18" x14ac:dyDescent="0.25">
      <c r="A488" s="88">
        <v>474</v>
      </c>
      <c r="B488" s="82"/>
      <c r="C488" s="97">
        <f>_xll.meDateFromTenor(C487,"1D","FOLLOWING","TGT")</f>
        <v>43195</v>
      </c>
      <c r="D488" s="95">
        <f ca="1"/>
        <v>-4.1894909460097329E-3</v>
      </c>
      <c r="E488" s="92"/>
      <c r="F488" s="97">
        <f>_xll.meDateFromTenor(F487,"1D","FOLLOWING","TGT")</f>
        <v>43195</v>
      </c>
      <c r="G488" s="95">
        <f ca="1"/>
        <v>-3.7823348174370161E-3</v>
      </c>
      <c r="H488" s="92" t="s">
        <v>4</v>
      </c>
      <c r="I488" s="97">
        <f>_xll.meDateFromTenor(I487,"1D","FOLLOWING","TGT")</f>
        <v>43195</v>
      </c>
      <c r="J488" s="95">
        <f ca="1"/>
        <v>-2.852660834017202E-3</v>
      </c>
      <c r="K488" s="5" t="s">
        <v>4</v>
      </c>
      <c r="L488" s="97">
        <f>_xll.meDateFromTenor(L487,"1D","FOLLOWING","TGT")</f>
        <v>43195</v>
      </c>
      <c r="M488" s="95">
        <f ca="1"/>
        <v>-1.3071634538537689E-3</v>
      </c>
      <c r="N488" s="5" t="s">
        <v>4</v>
      </c>
      <c r="O488" s="97">
        <f>_xll.meDateFromTenor(O487,"1D","FOLLOWING","TGT")</f>
        <v>43195</v>
      </c>
      <c r="P488" s="95">
        <f ca="1"/>
        <v>7.0958657557112072E-4</v>
      </c>
      <c r="Q488" s="5" t="s">
        <v>4</v>
      </c>
      <c r="R488" s="83" t="s">
        <v>4</v>
      </c>
    </row>
    <row r="489" spans="1:18" x14ac:dyDescent="0.25">
      <c r="A489" s="88">
        <v>475</v>
      </c>
      <c r="B489" s="82"/>
      <c r="C489" s="97">
        <f>_xll.meDateFromTenor(C488,"1D","FOLLOWING","TGT")</f>
        <v>43196</v>
      </c>
      <c r="D489" s="95">
        <f ca="1"/>
        <v>-4.1880191895576901E-3</v>
      </c>
      <c r="E489" s="92"/>
      <c r="F489" s="97">
        <f>_xll.meDateFromTenor(F488,"1D","FOLLOWING","TGT")</f>
        <v>43196</v>
      </c>
      <c r="G489" s="95">
        <f ca="1"/>
        <v>-3.7793219560798928E-3</v>
      </c>
      <c r="H489" s="92" t="s">
        <v>4</v>
      </c>
      <c r="I489" s="97">
        <f>_xll.meDateFromTenor(I488,"1D","FOLLOWING","TGT")</f>
        <v>43196</v>
      </c>
      <c r="J489" s="95">
        <f ca="1"/>
        <v>-2.8494403235462549E-3</v>
      </c>
      <c r="K489" s="5" t="s">
        <v>4</v>
      </c>
      <c r="L489" s="97">
        <f>_xll.meDateFromTenor(L488,"1D","FOLLOWING","TGT")</f>
        <v>43196</v>
      </c>
      <c r="M489" s="95">
        <f ca="1"/>
        <v>-1.3031030003971948E-3</v>
      </c>
      <c r="N489" s="5" t="s">
        <v>4</v>
      </c>
      <c r="O489" s="97">
        <f>_xll.meDateFromTenor(O488,"1D","FOLLOWING","TGT")</f>
        <v>43196</v>
      </c>
      <c r="P489" s="95">
        <f ca="1"/>
        <v>7.1367314944189805E-4</v>
      </c>
      <c r="Q489" s="5" t="s">
        <v>4</v>
      </c>
      <c r="R489" s="83" t="s">
        <v>4</v>
      </c>
    </row>
    <row r="490" spans="1:18" x14ac:dyDescent="0.25">
      <c r="A490" s="88">
        <v>476</v>
      </c>
      <c r="B490" s="82"/>
      <c r="C490" s="97">
        <f>_xll.meDateFromTenor(C489,"1D","FOLLOWING","TGT")</f>
        <v>43199</v>
      </c>
      <c r="D490" s="95">
        <f ca="1"/>
        <v>-4.1834550334254317E-3</v>
      </c>
      <c r="E490" s="92"/>
      <c r="F490" s="97">
        <f>_xll.meDateFromTenor(F489,"1D","FOLLOWING","TGT")</f>
        <v>43199</v>
      </c>
      <c r="G490" s="95">
        <f ca="1"/>
        <v>-3.7700532886291707E-3</v>
      </c>
      <c r="H490" s="92" t="s">
        <v>4</v>
      </c>
      <c r="I490" s="97">
        <f>_xll.meDateFromTenor(I489,"1D","FOLLOWING","TGT")</f>
        <v>43199</v>
      </c>
      <c r="J490" s="95">
        <f ca="1"/>
        <v>-2.8395608220195081E-3</v>
      </c>
      <c r="K490" s="5" t="s">
        <v>4</v>
      </c>
      <c r="L490" s="97">
        <f>_xll.meDateFromTenor(L489,"1D","FOLLOWING","TGT")</f>
        <v>43199</v>
      </c>
      <c r="M490" s="95">
        <f ca="1"/>
        <v>-1.290863321565082E-3</v>
      </c>
      <c r="N490" s="5" t="s">
        <v>4</v>
      </c>
      <c r="O490" s="97">
        <f>_xll.meDateFromTenor(O489,"1D","FOLLOWING","TGT")</f>
        <v>43199</v>
      </c>
      <c r="P490" s="95">
        <f ca="1"/>
        <v>7.2596739133780883E-4</v>
      </c>
      <c r="Q490" s="5" t="s">
        <v>4</v>
      </c>
      <c r="R490" s="83" t="s">
        <v>4</v>
      </c>
    </row>
    <row r="491" spans="1:18" x14ac:dyDescent="0.25">
      <c r="A491" s="88">
        <v>477</v>
      </c>
      <c r="B491" s="82"/>
      <c r="C491" s="97">
        <f>_xll.meDateFromTenor(C490,"1D","FOLLOWING","TGT")</f>
        <v>43200</v>
      </c>
      <c r="D491" s="95">
        <f ca="1"/>
        <v>-4.1818840224594478E-3</v>
      </c>
      <c r="E491" s="92"/>
      <c r="F491" s="97">
        <f>_xll.meDateFromTenor(F490,"1D","FOLLOWING","TGT")</f>
        <v>43200</v>
      </c>
      <c r="G491" s="95">
        <f ca="1"/>
        <v>-3.7668956002411894E-3</v>
      </c>
      <c r="H491" s="92" t="s">
        <v>4</v>
      </c>
      <c r="I491" s="97">
        <f>_xll.meDateFromTenor(I490,"1D","FOLLOWING","TGT")</f>
        <v>43200</v>
      </c>
      <c r="J491" s="95">
        <f ca="1"/>
        <v>-2.836196938141453E-3</v>
      </c>
      <c r="K491" s="5" t="s">
        <v>4</v>
      </c>
      <c r="L491" s="97">
        <f>_xll.meDateFromTenor(L490,"1D","FOLLOWING","TGT")</f>
        <v>43200</v>
      </c>
      <c r="M491" s="95">
        <f ca="1"/>
        <v>-1.2867643935078905E-3</v>
      </c>
      <c r="N491" s="5" t="s">
        <v>4</v>
      </c>
      <c r="O491" s="97">
        <f>_xll.meDateFromTenor(O490,"1D","FOLLOWING","TGT")</f>
        <v>43200</v>
      </c>
      <c r="P491" s="95">
        <f ca="1"/>
        <v>7.3007691259230161E-4</v>
      </c>
      <c r="Q491" s="5" t="s">
        <v>4</v>
      </c>
      <c r="R491" s="83" t="s">
        <v>4</v>
      </c>
    </row>
    <row r="492" spans="1:18" x14ac:dyDescent="0.25">
      <c r="A492" s="88">
        <v>478</v>
      </c>
      <c r="B492" s="82"/>
      <c r="C492" s="97">
        <f>_xll.meDateFromTenor(C491,"1D","FOLLOWING","TGT")</f>
        <v>43201</v>
      </c>
      <c r="D492" s="95">
        <f ca="1"/>
        <v>-4.1802882006017894E-3</v>
      </c>
      <c r="E492" s="92"/>
      <c r="F492" s="97">
        <f>_xll.meDateFromTenor(F491,"1D","FOLLOWING","TGT")</f>
        <v>43201</v>
      </c>
      <c r="G492" s="95">
        <f ca="1"/>
        <v>-3.7637081265120263E-3</v>
      </c>
      <c r="H492" s="92" t="s">
        <v>4</v>
      </c>
      <c r="I492" s="97">
        <f>_xll.meDateFromTenor(I491,"1D","FOLLOWING","TGT")</f>
        <v>43201</v>
      </c>
      <c r="J492" s="95">
        <f ca="1"/>
        <v>-2.8327986659132426E-3</v>
      </c>
      <c r="K492" s="5" t="s">
        <v>4</v>
      </c>
      <c r="L492" s="97">
        <f>_xll.meDateFromTenor(L491,"1D","FOLLOWING","TGT")</f>
        <v>43201</v>
      </c>
      <c r="M492" s="95">
        <f ca="1"/>
        <v>-1.2826561500812763E-3</v>
      </c>
      <c r="N492" s="5" t="s">
        <v>4</v>
      </c>
      <c r="O492" s="97">
        <f>_xll.meDateFromTenor(O491,"1D","FOLLOWING","TGT")</f>
        <v>43201</v>
      </c>
      <c r="P492" s="95">
        <f ca="1"/>
        <v>7.3419212108872113E-4</v>
      </c>
      <c r="Q492" s="5" t="s">
        <v>4</v>
      </c>
      <c r="R492" s="83" t="s">
        <v>4</v>
      </c>
    </row>
    <row r="493" spans="1:18" x14ac:dyDescent="0.25">
      <c r="A493" s="88">
        <v>479</v>
      </c>
      <c r="B493" s="82"/>
      <c r="C493" s="97">
        <f>_xll.meDateFromTenor(C492,"1D","FOLLOWING","TGT")</f>
        <v>43202</v>
      </c>
      <c r="D493" s="95">
        <f ca="1"/>
        <v>-4.1786675686091845E-3</v>
      </c>
      <c r="E493" s="92"/>
      <c r="F493" s="97">
        <f>_xll.meDateFromTenor(F492,"1D","FOLLOWING","TGT")</f>
        <v>43202</v>
      </c>
      <c r="G493" s="95">
        <f ca="1"/>
        <v>-3.7604934360082921E-3</v>
      </c>
      <c r="H493" s="92" t="s">
        <v>4</v>
      </c>
      <c r="I493" s="97">
        <f>_xll.meDateFromTenor(I492,"1D","FOLLOWING","TGT")</f>
        <v>43202</v>
      </c>
      <c r="J493" s="95">
        <f ca="1"/>
        <v>-2.8293665873355251E-3</v>
      </c>
      <c r="K493" s="5" t="s">
        <v>4</v>
      </c>
      <c r="L493" s="97">
        <f>_xll.meDateFromTenor(L492,"1D","FOLLOWING","TGT")</f>
        <v>43202</v>
      </c>
      <c r="M493" s="95">
        <f ca="1"/>
        <v>-1.2785387125975314E-3</v>
      </c>
      <c r="N493" s="5" t="s">
        <v>4</v>
      </c>
      <c r="O493" s="97">
        <f>_xll.meDateFromTenor(O492,"1D","FOLLOWING","TGT")</f>
        <v>43202</v>
      </c>
      <c r="P493" s="95">
        <f ca="1"/>
        <v>7.3831299698546638E-4</v>
      </c>
      <c r="Q493" s="5" t="s">
        <v>4</v>
      </c>
      <c r="R493" s="83" t="s">
        <v>4</v>
      </c>
    </row>
    <row r="494" spans="1:18" x14ac:dyDescent="0.25">
      <c r="A494" s="88">
        <v>480</v>
      </c>
      <c r="B494" s="82"/>
      <c r="C494" s="97">
        <f>_xll.meDateFromTenor(C493,"1D","FOLLOWING","TGT")</f>
        <v>43203</v>
      </c>
      <c r="D494" s="95">
        <f ca="1"/>
        <v>-4.1770221276742348E-3</v>
      </c>
      <c r="E494" s="92"/>
      <c r="F494" s="97">
        <f>_xll.meDateFromTenor(F493,"1D","FOLLOWING","TGT")</f>
        <v>43203</v>
      </c>
      <c r="G494" s="95">
        <f ca="1"/>
        <v>-3.7572540972966011E-3</v>
      </c>
      <c r="H494" s="92" t="s">
        <v>4</v>
      </c>
      <c r="I494" s="97">
        <f>_xll.meDateFromTenor(I493,"1D","FOLLOWING","TGT")</f>
        <v>43203</v>
      </c>
      <c r="J494" s="95">
        <f ca="1"/>
        <v>-2.8259012844089495E-3</v>
      </c>
      <c r="K494" s="5" t="s">
        <v>4</v>
      </c>
      <c r="L494" s="97">
        <f>_xll.meDateFromTenor(L493,"1D","FOLLOWING","TGT")</f>
        <v>43203</v>
      </c>
      <c r="M494" s="95">
        <f ca="1"/>
        <v>-1.274412202368949E-3</v>
      </c>
      <c r="N494" s="5" t="s">
        <v>4</v>
      </c>
      <c r="O494" s="97">
        <f>_xll.meDateFromTenor(O493,"1D","FOLLOWING","TGT")</f>
        <v>43203</v>
      </c>
      <c r="P494" s="95">
        <f ca="1"/>
        <v>7.4243952044093634E-4</v>
      </c>
      <c r="Q494" s="5" t="s">
        <v>4</v>
      </c>
      <c r="R494" s="83" t="s">
        <v>4</v>
      </c>
    </row>
    <row r="495" spans="1:18" x14ac:dyDescent="0.25">
      <c r="A495" s="88">
        <v>481</v>
      </c>
      <c r="B495" s="82"/>
      <c r="C495" s="97">
        <f>_xll.meDateFromTenor(C494,"1D","FOLLOWING","TGT")</f>
        <v>43206</v>
      </c>
      <c r="D495" s="95">
        <f ca="1"/>
        <v>-4.1719369606864065E-3</v>
      </c>
      <c r="E495" s="92"/>
      <c r="F495" s="97">
        <f>_xll.meDateFromTenor(F494,"1D","FOLLOWING","TGT")</f>
        <v>43206</v>
      </c>
      <c r="G495" s="95">
        <f ca="1"/>
        <v>-3.7474138775799091E-3</v>
      </c>
      <c r="H495" s="92" t="s">
        <v>4</v>
      </c>
      <c r="I495" s="97">
        <f>_xll.meDateFromTenor(I494,"1D","FOLLOWING","TGT")</f>
        <v>43206</v>
      </c>
      <c r="J495" s="95">
        <f ca="1"/>
        <v>-2.8153118495425618E-3</v>
      </c>
      <c r="K495" s="5" t="s">
        <v>4</v>
      </c>
      <c r="L495" s="97">
        <f>_xll.meDateFromTenor(L494,"1D","FOLLOWING","TGT")</f>
        <v>43206</v>
      </c>
      <c r="M495" s="95">
        <f ca="1"/>
        <v>-1.2619794483371041E-3</v>
      </c>
      <c r="N495" s="5" t="s">
        <v>4</v>
      </c>
      <c r="O495" s="97">
        <f>_xll.meDateFromTenor(O494,"1D","FOLLOWING","TGT")</f>
        <v>43206</v>
      </c>
      <c r="P495" s="95">
        <f ca="1"/>
        <v>7.5485277774368345E-4</v>
      </c>
      <c r="Q495" s="5" t="s">
        <v>4</v>
      </c>
      <c r="R495" s="83" t="s">
        <v>4</v>
      </c>
    </row>
    <row r="496" spans="1:18" x14ac:dyDescent="0.25">
      <c r="A496" s="88">
        <v>482</v>
      </c>
      <c r="B496" s="82"/>
      <c r="C496" s="97">
        <f>_xll.meDateFromTenor(C495,"1D","FOLLOWING","TGT")</f>
        <v>43207</v>
      </c>
      <c r="D496" s="95">
        <f ca="1"/>
        <v>-4.1701922935232227E-3</v>
      </c>
      <c r="E496" s="92"/>
      <c r="F496" s="97">
        <f>_xll.meDateFromTenor(F495,"1D","FOLLOWING","TGT")</f>
        <v>43207</v>
      </c>
      <c r="G496" s="95">
        <f ca="1"/>
        <v>-3.7441016317025151E-3</v>
      </c>
      <c r="H496" s="92" t="s">
        <v>4</v>
      </c>
      <c r="I496" s="97">
        <f>_xll.meDateFromTenor(I495,"1D","FOLLOWING","TGT")</f>
        <v>43207</v>
      </c>
      <c r="J496" s="95">
        <f ca="1"/>
        <v>-2.8117194692270408E-3</v>
      </c>
      <c r="K496" s="5" t="s">
        <v>4</v>
      </c>
      <c r="L496" s="97">
        <f>_xll.meDateFromTenor(L495,"1D","FOLLOWING","TGT")</f>
        <v>43207</v>
      </c>
      <c r="M496" s="95">
        <f ca="1"/>
        <v>-1.2578178602520981E-3</v>
      </c>
      <c r="N496" s="5" t="s">
        <v>4</v>
      </c>
      <c r="O496" s="97">
        <f>_xll.meDateFromTenor(O495,"1D","FOLLOWING","TGT")</f>
        <v>43207</v>
      </c>
      <c r="P496" s="95">
        <f ca="1"/>
        <v>7.5900169301804218E-4</v>
      </c>
      <c r="Q496" s="5" t="s">
        <v>4</v>
      </c>
      <c r="R496" s="83" t="s">
        <v>4</v>
      </c>
    </row>
    <row r="497" spans="1:18" x14ac:dyDescent="0.25">
      <c r="A497" s="88">
        <v>483</v>
      </c>
      <c r="B497" s="82"/>
      <c r="C497" s="97">
        <f>_xll.meDateFromTenor(C496,"1D","FOLLOWING","TGT")</f>
        <v>43208</v>
      </c>
      <c r="D497" s="95">
        <f ca="1"/>
        <v>-4.1684228225182807E-3</v>
      </c>
      <c r="E497" s="92"/>
      <c r="F497" s="97">
        <f>_xll.meDateFromTenor(F496,"1D","FOLLOWING","TGT")</f>
        <v>43208</v>
      </c>
      <c r="G497" s="95">
        <f ca="1"/>
        <v>-3.7407775804502272E-3</v>
      </c>
      <c r="H497" s="92" t="s">
        <v>4</v>
      </c>
      <c r="I497" s="97">
        <f>_xll.meDateFromTenor(I496,"1D","FOLLOWING","TGT")</f>
        <v>43208</v>
      </c>
      <c r="J497" s="95">
        <f ca="1"/>
        <v>-2.8080967745659048E-3</v>
      </c>
      <c r="K497" s="5" t="s">
        <v>4</v>
      </c>
      <c r="L497" s="97">
        <f>_xll.meDateFromTenor(L496,"1D","FOLLOWING","TGT")</f>
        <v>43208</v>
      </c>
      <c r="M497" s="95">
        <f ca="1"/>
        <v>-1.2536478059837176E-3</v>
      </c>
      <c r="N497" s="5" t="s">
        <v>4</v>
      </c>
      <c r="O497" s="97">
        <f>_xll.meDateFromTenor(O496,"1D","FOLLOWING","TGT")</f>
        <v>43208</v>
      </c>
      <c r="P497" s="95">
        <f ca="1"/>
        <v>7.6315615664312097E-4</v>
      </c>
      <c r="Q497" s="5" t="s">
        <v>4</v>
      </c>
      <c r="R497" s="83" t="s">
        <v>4</v>
      </c>
    </row>
    <row r="498" spans="1:18" x14ac:dyDescent="0.25">
      <c r="A498" s="88">
        <v>484</v>
      </c>
      <c r="B498" s="82"/>
      <c r="C498" s="97">
        <f>_xll.meDateFromTenor(C497,"1D","FOLLOWING","TGT")</f>
        <v>43209</v>
      </c>
      <c r="D498" s="95">
        <f ca="1"/>
        <v>-4.1666285485337795E-3</v>
      </c>
      <c r="E498" s="92"/>
      <c r="F498" s="97">
        <f>_xll.meDateFromTenor(F497,"1D","FOLLOWING","TGT")</f>
        <v>43209</v>
      </c>
      <c r="G498" s="95">
        <f ca="1"/>
        <v>-3.7374442923896571E-3</v>
      </c>
      <c r="H498" s="92" t="s">
        <v>4</v>
      </c>
      <c r="I498" s="97">
        <f>_xll.meDateFromTenor(I497,"1D","FOLLOWING","TGT")</f>
        <v>43209</v>
      </c>
      <c r="J498" s="95">
        <f ca="1"/>
        <v>-2.804444347559804E-3</v>
      </c>
      <c r="K498" s="5" t="s">
        <v>4</v>
      </c>
      <c r="L498" s="97">
        <f>_xll.meDateFromTenor(L497,"1D","FOLLOWING","TGT")</f>
        <v>43209</v>
      </c>
      <c r="M498" s="95">
        <f ca="1"/>
        <v>-1.2494694068442558E-3</v>
      </c>
      <c r="N498" s="5" t="s">
        <v>4</v>
      </c>
      <c r="O498" s="97">
        <f>_xll.meDateFromTenor(O497,"1D","FOLLOWING","TGT")</f>
        <v>43209</v>
      </c>
      <c r="P498" s="95">
        <f ca="1"/>
        <v>7.6731614877731814E-4</v>
      </c>
      <c r="Q498" s="5" t="s">
        <v>4</v>
      </c>
      <c r="R498" s="83" t="s">
        <v>4</v>
      </c>
    </row>
    <row r="499" spans="1:18" x14ac:dyDescent="0.25">
      <c r="A499" s="88">
        <v>485</v>
      </c>
      <c r="B499" s="82"/>
      <c r="C499" s="97">
        <f>_xll.meDateFromTenor(C498,"1D","FOLLOWING","TGT")</f>
        <v>43210</v>
      </c>
      <c r="D499" s="95">
        <f ca="1"/>
        <v>-4.1648094724313633E-3</v>
      </c>
      <c r="E499" s="92"/>
      <c r="F499" s="97">
        <f>_xll.meDateFromTenor(F498,"1D","FOLLOWING","TGT")</f>
        <v>43210</v>
      </c>
      <c r="G499" s="95">
        <f ca="1"/>
        <v>-3.7341043360874181E-3</v>
      </c>
      <c r="H499" s="92" t="s">
        <v>4</v>
      </c>
      <c r="I499" s="97">
        <f>_xll.meDateFromTenor(I498,"1D","FOLLOWING","TGT")</f>
        <v>43210</v>
      </c>
      <c r="J499" s="95">
        <f ca="1"/>
        <v>-2.800762770209385E-3</v>
      </c>
      <c r="K499" s="5" t="s">
        <v>4</v>
      </c>
      <c r="L499" s="97">
        <f>_xll.meDateFromTenor(L498,"1D","FOLLOWING","TGT")</f>
        <v>43210</v>
      </c>
      <c r="M499" s="95">
        <f ca="1"/>
        <v>-1.245282784146005E-3</v>
      </c>
      <c r="N499" s="5" t="s">
        <v>4</v>
      </c>
      <c r="O499" s="97">
        <f>_xll.meDateFromTenor(O498,"1D","FOLLOWING","TGT")</f>
        <v>43210</v>
      </c>
      <c r="P499" s="95">
        <f ca="1"/>
        <v>7.7148164957903311E-4</v>
      </c>
      <c r="Q499" s="5" t="s">
        <v>4</v>
      </c>
      <c r="R499" s="83" t="s">
        <v>4</v>
      </c>
    </row>
    <row r="500" spans="1:18" x14ac:dyDescent="0.25">
      <c r="A500" s="88">
        <v>486</v>
      </c>
      <c r="B500" s="82"/>
      <c r="C500" s="97">
        <f>_xll.meDateFromTenor(C499,"1D","FOLLOWING","TGT")</f>
        <v>43213</v>
      </c>
      <c r="D500" s="95">
        <f ca="1"/>
        <v>-4.1592034420327995E-3</v>
      </c>
      <c r="E500" s="92"/>
      <c r="F500" s="97">
        <f>_xll.meDateFromTenor(F499,"1D","FOLLOWING","TGT")</f>
        <v>43213</v>
      </c>
      <c r="G500" s="95">
        <f ca="1"/>
        <v>-3.7240701433968143E-3</v>
      </c>
      <c r="H500" s="92" t="s">
        <v>4</v>
      </c>
      <c r="I500" s="97">
        <f>_xll.meDateFromTenor(I499,"1D","FOLLOWING","TGT")</f>
        <v>43213</v>
      </c>
      <c r="J500" s="95">
        <f ca="1"/>
        <v>-2.7895489560987117E-3</v>
      </c>
      <c r="K500" s="5" t="s">
        <v>4</v>
      </c>
      <c r="L500" s="97">
        <f>_xll.meDateFromTenor(L499,"1D","FOLLOWING","TGT")</f>
        <v>43213</v>
      </c>
      <c r="M500" s="95">
        <f ca="1"/>
        <v>-1.2326747878214422E-3</v>
      </c>
      <c r="N500" s="5" t="s">
        <v>4</v>
      </c>
      <c r="O500" s="97">
        <f>_xll.meDateFromTenor(O499,"1D","FOLLOWING","TGT")</f>
        <v>43213</v>
      </c>
      <c r="P500" s="95">
        <f ca="1"/>
        <v>7.8401100557327734E-4</v>
      </c>
      <c r="Q500" s="5" t="s">
        <v>4</v>
      </c>
      <c r="R500" s="83" t="s">
        <v>4</v>
      </c>
    </row>
    <row r="501" spans="1:18" x14ac:dyDescent="0.25">
      <c r="A501" s="88">
        <v>487</v>
      </c>
      <c r="B501" s="82"/>
      <c r="C501" s="97">
        <f>_xll.meDateFromTenor(C500,"1D","FOLLOWING","TGT")</f>
        <v>43214</v>
      </c>
      <c r="D501" s="95">
        <f ca="1"/>
        <v>-4.1572851677074141E-3</v>
      </c>
      <c r="E501" s="92"/>
      <c r="F501" s="97">
        <f>_xll.meDateFromTenor(F500,"1D","FOLLOWING","TGT")</f>
        <v>43214</v>
      </c>
      <c r="G501" s="95">
        <f ca="1"/>
        <v>-3.7207291997940258E-3</v>
      </c>
      <c r="H501" s="92" t="s">
        <v>4</v>
      </c>
      <c r="I501" s="97">
        <f>_xll.meDateFromTenor(I500,"1D","FOLLOWING","TGT")</f>
        <v>43214</v>
      </c>
      <c r="J501" s="95">
        <f ca="1"/>
        <v>-2.7857565973775111E-3</v>
      </c>
      <c r="K501" s="5" t="s">
        <v>4</v>
      </c>
      <c r="L501" s="97">
        <f>_xll.meDateFromTenor(L500,"1D","FOLLOWING","TGT")</f>
        <v>43214</v>
      </c>
      <c r="M501" s="95">
        <f ca="1"/>
        <v>-1.228456484010961E-3</v>
      </c>
      <c r="N501" s="5" t="s">
        <v>4</v>
      </c>
      <c r="O501" s="97">
        <f>_xll.meDateFromTenor(O500,"1D","FOLLOWING","TGT")</f>
        <v>43214</v>
      </c>
      <c r="P501" s="95">
        <f ca="1"/>
        <v>7.8819834262905462E-4</v>
      </c>
      <c r="Q501" s="5" t="s">
        <v>4</v>
      </c>
      <c r="R501" s="83" t="s">
        <v>4</v>
      </c>
    </row>
    <row r="502" spans="1:18" x14ac:dyDescent="0.25">
      <c r="A502" s="88">
        <v>488</v>
      </c>
      <c r="B502" s="82"/>
      <c r="C502" s="97">
        <f>_xll.meDateFromTenor(C501,"1D","FOLLOWING","TGT")</f>
        <v>43215</v>
      </c>
      <c r="D502" s="95">
        <f ca="1"/>
        <v>-4.1553420963792442E-3</v>
      </c>
      <c r="E502" s="92"/>
      <c r="F502" s="97">
        <f>_xll.meDateFromTenor(F501,"1D","FOLLOWING","TGT")</f>
        <v>43215</v>
      </c>
      <c r="G502" s="95">
        <f ca="1"/>
        <v>-3.7173944307826324E-3</v>
      </c>
      <c r="H502" s="92" t="s">
        <v>4</v>
      </c>
      <c r="I502" s="97">
        <f>_xll.meDateFromTenor(I501,"1D","FOLLOWING","TGT")</f>
        <v>43215</v>
      </c>
      <c r="J502" s="95">
        <f ca="1"/>
        <v>-2.7819379983152364E-3</v>
      </c>
      <c r="K502" s="5" t="s">
        <v>4</v>
      </c>
      <c r="L502" s="97">
        <f>_xll.meDateFromTenor(L501,"1D","FOLLOWING","TGT")</f>
        <v>43215</v>
      </c>
      <c r="M502" s="95">
        <f ca="1"/>
        <v>-1.224230563203154E-3</v>
      </c>
      <c r="N502" s="5" t="s">
        <v>4</v>
      </c>
      <c r="O502" s="97">
        <f>_xll.meDateFromTenor(O501,"1D","FOLLOWING","TGT")</f>
        <v>43215</v>
      </c>
      <c r="P502" s="95">
        <f ca="1"/>
        <v>7.9239108914434472E-4</v>
      </c>
      <c r="Q502" s="5" t="s">
        <v>4</v>
      </c>
      <c r="R502" s="83" t="s">
        <v>4</v>
      </c>
    </row>
    <row r="503" spans="1:18" x14ac:dyDescent="0.25">
      <c r="A503" s="88">
        <v>489</v>
      </c>
      <c r="B503" s="82"/>
      <c r="C503" s="97">
        <f>_xll.meDateFromTenor(C502,"1D","FOLLOWING","TGT")</f>
        <v>43216</v>
      </c>
      <c r="D503" s="95">
        <f ca="1"/>
        <v>-4.1533742287791497E-3</v>
      </c>
      <c r="E503" s="92"/>
      <c r="F503" s="97">
        <f>_xll.meDateFromTenor(F502,"1D","FOLLOWING","TGT")</f>
        <v>43216</v>
      </c>
      <c r="G503" s="95">
        <f ca="1"/>
        <v>-3.7140684049292451E-3</v>
      </c>
      <c r="H503" s="92" t="s">
        <v>4</v>
      </c>
      <c r="I503" s="97">
        <f>_xll.meDateFromTenor(I502,"1D","FOLLOWING","TGT")</f>
        <v>43216</v>
      </c>
      <c r="J503" s="95">
        <f ca="1"/>
        <v>-2.7780937409125363E-3</v>
      </c>
      <c r="K503" s="5" t="s">
        <v>4</v>
      </c>
      <c r="L503" s="97">
        <f>_xll.meDateFromTenor(L502,"1D","FOLLOWING","TGT")</f>
        <v>43216</v>
      </c>
      <c r="M503" s="95">
        <f ca="1"/>
        <v>-1.219997146710313E-3</v>
      </c>
      <c r="N503" s="5" t="s">
        <v>4</v>
      </c>
      <c r="O503" s="97">
        <f>_xll.meDateFromTenor(O502,"1D","FOLLOWING","TGT")</f>
        <v>43216</v>
      </c>
      <c r="P503" s="95">
        <f ca="1"/>
        <v>7.965892252775477E-4</v>
      </c>
      <c r="Q503" s="5" t="s">
        <v>4</v>
      </c>
      <c r="R503" s="83" t="s">
        <v>4</v>
      </c>
    </row>
    <row r="504" spans="1:18" x14ac:dyDescent="0.25">
      <c r="A504" s="88">
        <v>490</v>
      </c>
      <c r="B504" s="82"/>
      <c r="C504" s="97">
        <f>_xll.meDateFromTenor(C503,"1D","FOLLOWING","TGT")</f>
        <v>43217</v>
      </c>
      <c r="D504" s="95">
        <f ca="1"/>
        <v>-4.151381565954626E-3</v>
      </c>
      <c r="E504" s="92"/>
      <c r="F504" s="97">
        <f>_xll.meDateFromTenor(F503,"1D","FOLLOWING","TGT")</f>
        <v>43217</v>
      </c>
      <c r="G504" s="95">
        <f ca="1"/>
        <v>-3.7107536908004778E-3</v>
      </c>
      <c r="H504" s="92" t="s">
        <v>4</v>
      </c>
      <c r="I504" s="97">
        <f>_xll.meDateFromTenor(I503,"1D","FOLLOWING","TGT")</f>
        <v>43217</v>
      </c>
      <c r="J504" s="95">
        <f ca="1"/>
        <v>-2.7742244071700594E-3</v>
      </c>
      <c r="K504" s="5" t="s">
        <v>4</v>
      </c>
      <c r="L504" s="97">
        <f>_xll.meDateFromTenor(L503,"1D","FOLLOWING","TGT")</f>
        <v>43217</v>
      </c>
      <c r="M504" s="95">
        <f ca="1"/>
        <v>-1.2157563558447312E-3</v>
      </c>
      <c r="N504" s="5" t="s">
        <v>4</v>
      </c>
      <c r="O504" s="97">
        <f>_xll.meDateFromTenor(O503,"1D","FOLLOWING","TGT")</f>
        <v>43217</v>
      </c>
      <c r="P504" s="95">
        <f ca="1"/>
        <v>8.0079273118706157E-4</v>
      </c>
      <c r="Q504" s="5" t="s">
        <v>4</v>
      </c>
      <c r="R504" s="83" t="s">
        <v>4</v>
      </c>
    </row>
    <row r="505" spans="1:18" x14ac:dyDescent="0.25">
      <c r="A505" s="88">
        <v>491</v>
      </c>
      <c r="B505" s="82"/>
      <c r="C505" s="97">
        <f>_xll.meDateFromTenor(C504,"1D","FOLLOWING","TGT")</f>
        <v>43220</v>
      </c>
      <c r="D505" s="95">
        <f ca="1"/>
        <v>-4.1452548165823444E-3</v>
      </c>
      <c r="E505" s="92"/>
      <c r="F505" s="97">
        <f>_xll.meDateFromTenor(F504,"1D","FOLLOWING","TGT")</f>
        <v>43220</v>
      </c>
      <c r="G505" s="95">
        <f ca="1"/>
        <v>-3.7009031044280194E-3</v>
      </c>
      <c r="H505" s="92" t="s">
        <v>4</v>
      </c>
      <c r="I505" s="97">
        <f>_xll.meDateFromTenor(I504,"1D","FOLLOWING","TGT")</f>
        <v>43220</v>
      </c>
      <c r="J505" s="95">
        <f ca="1"/>
        <v>-2.7624717679104573E-3</v>
      </c>
      <c r="K505" s="5" t="s">
        <v>4</v>
      </c>
      <c r="L505" s="97">
        <f>_xll.meDateFromTenor(L504,"1D","FOLLOWING","TGT")</f>
        <v>43220</v>
      </c>
      <c r="M505" s="95">
        <f ca="1"/>
        <v>-1.2029909501344682E-3</v>
      </c>
      <c r="N505" s="5" t="s">
        <v>4</v>
      </c>
      <c r="O505" s="97">
        <f>_xll.meDateFromTenor(O504,"1D","FOLLOWING","TGT")</f>
        <v>43220</v>
      </c>
      <c r="P505" s="95">
        <f ca="1"/>
        <v>8.1343526915746091E-4</v>
      </c>
      <c r="Q505" s="5" t="s">
        <v>4</v>
      </c>
      <c r="R505" s="83" t="s">
        <v>4</v>
      </c>
    </row>
    <row r="506" spans="1:18" x14ac:dyDescent="0.25">
      <c r="A506" s="88">
        <v>492</v>
      </c>
      <c r="B506" s="82"/>
      <c r="C506" s="97">
        <f>_xll.meDateFromTenor(C505,"1D","FOLLOWING","TGT")</f>
        <v>43222</v>
      </c>
      <c r="D506" s="95">
        <f ca="1"/>
        <v>-4.1410463586869506E-3</v>
      </c>
      <c r="E506" s="92"/>
      <c r="F506" s="97">
        <f>_xll.meDateFromTenor(F505,"1D","FOLLOWING","TGT")</f>
        <v>43222</v>
      </c>
      <c r="G506" s="95">
        <f ca="1"/>
        <v>-3.6944396958573755E-3</v>
      </c>
      <c r="H506" s="92" t="s">
        <v>4</v>
      </c>
      <c r="I506" s="97">
        <f>_xll.meDateFromTenor(I505,"1D","FOLLOWING","TGT")</f>
        <v>43222</v>
      </c>
      <c r="J506" s="95">
        <f ca="1"/>
        <v>-2.7545219633837324E-3</v>
      </c>
      <c r="K506" s="5" t="s">
        <v>4</v>
      </c>
      <c r="L506" s="97">
        <f>_xll.meDateFromTenor(L505,"1D","FOLLOWING","TGT")</f>
        <v>43222</v>
      </c>
      <c r="M506" s="95">
        <f ca="1"/>
        <v>-1.1944460318559537E-3</v>
      </c>
      <c r="N506" s="5" t="s">
        <v>4</v>
      </c>
      <c r="O506" s="97">
        <f>_xll.meDateFromTenor(O505,"1D","FOLLOWING","TGT")</f>
        <v>43222</v>
      </c>
      <c r="P506" s="95">
        <f ca="1"/>
        <v>8.2189011292326615E-4</v>
      </c>
      <c r="Q506" s="5" t="s">
        <v>4</v>
      </c>
      <c r="R506" s="83" t="s">
        <v>4</v>
      </c>
    </row>
    <row r="507" spans="1:18" x14ac:dyDescent="0.25">
      <c r="A507" s="88">
        <v>493</v>
      </c>
      <c r="B507" s="82"/>
      <c r="C507" s="97">
        <f>_xll.meDateFromTenor(C506,"1D","FOLLOWING","TGT")</f>
        <v>43223</v>
      </c>
      <c r="D507" s="95">
        <f ca="1"/>
        <v>-4.138904945137023E-3</v>
      </c>
      <c r="E507" s="92"/>
      <c r="F507" s="97">
        <f>_xll.meDateFromTenor(F506,"1D","FOLLOWING","TGT")</f>
        <v>43223</v>
      </c>
      <c r="G507" s="95">
        <f ca="1"/>
        <v>-3.6912460405268506E-3</v>
      </c>
      <c r="H507" s="92" t="s">
        <v>4</v>
      </c>
      <c r="I507" s="97">
        <f>_xll.meDateFromTenor(I506,"1D","FOLLOWING","TGT")</f>
        <v>43223</v>
      </c>
      <c r="J507" s="95">
        <f ca="1"/>
        <v>-2.7505143936162194E-3</v>
      </c>
      <c r="K507" s="5" t="s">
        <v>4</v>
      </c>
      <c r="L507" s="97">
        <f>_xll.meDateFromTenor(L506,"1D","FOLLOWING","TGT")</f>
        <v>43223</v>
      </c>
      <c r="M507" s="95">
        <f ca="1"/>
        <v>-1.1901635423120724E-3</v>
      </c>
      <c r="N507" s="5" t="s">
        <v>4</v>
      </c>
      <c r="O507" s="97">
        <f>_xll.meDateFromTenor(O506,"1D","FOLLOWING","TGT")</f>
        <v>43223</v>
      </c>
      <c r="P507" s="95">
        <f ca="1"/>
        <v>8.261254208170272E-4</v>
      </c>
      <c r="Q507" s="5" t="s">
        <v>4</v>
      </c>
      <c r="R507" s="83" t="s">
        <v>4</v>
      </c>
    </row>
    <row r="508" spans="1:18" x14ac:dyDescent="0.25">
      <c r="A508" s="88">
        <v>494</v>
      </c>
      <c r="B508" s="82"/>
      <c r="C508" s="97">
        <f>_xll.meDateFromTenor(C507,"1D","FOLLOWING","TGT")</f>
        <v>43224</v>
      </c>
      <c r="D508" s="95">
        <f ca="1"/>
        <v>-4.136738743086732E-3</v>
      </c>
      <c r="E508" s="92"/>
      <c r="F508" s="97">
        <f>_xll.meDateFromTenor(F507,"1D","FOLLOWING","TGT")</f>
        <v>43224</v>
      </c>
      <c r="G508" s="95">
        <f ca="1"/>
        <v>-3.6880771681971907E-3</v>
      </c>
      <c r="H508" s="92" t="s">
        <v>4</v>
      </c>
      <c r="I508" s="97">
        <f>_xll.meDateFromTenor(I507,"1D","FOLLOWING","TGT")</f>
        <v>43224</v>
      </c>
      <c r="J508" s="95">
        <f ca="1"/>
        <v>-2.74648582151347E-3</v>
      </c>
      <c r="K508" s="5" t="s">
        <v>4</v>
      </c>
      <c r="L508" s="97">
        <f>_xll.meDateFromTenor(L507,"1D","FOLLOWING","TGT")</f>
        <v>43224</v>
      </c>
      <c r="M508" s="95">
        <f ca="1"/>
        <v>-1.1858745275814993E-3</v>
      </c>
      <c r="N508" s="5" t="s">
        <v>4</v>
      </c>
      <c r="O508" s="97">
        <f>_xll.meDateFromTenor(O507,"1D","FOLLOWING","TGT")</f>
        <v>43224</v>
      </c>
      <c r="P508" s="95">
        <f ca="1"/>
        <v>8.3036595959589256E-4</v>
      </c>
      <c r="Q508" s="5" t="s">
        <v>4</v>
      </c>
      <c r="R508" s="83" t="s">
        <v>4</v>
      </c>
    </row>
    <row r="509" spans="1:18" x14ac:dyDescent="0.25">
      <c r="A509" s="88">
        <v>495</v>
      </c>
      <c r="B509" s="82"/>
      <c r="C509" s="97">
        <f>_xll.meDateFromTenor(C508,"1D","FOLLOWING","TGT")</f>
        <v>43227</v>
      </c>
      <c r="D509" s="95">
        <f ca="1"/>
        <v>-4.1300914155744106E-3</v>
      </c>
      <c r="E509" s="92"/>
      <c r="F509" s="97">
        <f>_xll.meDateFromTenor(F508,"1D","FOLLOWING","TGT")</f>
        <v>43227</v>
      </c>
      <c r="G509" s="95">
        <f ca="1"/>
        <v>-3.6786998479790994E-3</v>
      </c>
      <c r="H509" s="92" t="s">
        <v>4</v>
      </c>
      <c r="I509" s="97">
        <f>_xll.meDateFromTenor(I508,"1D","FOLLOWING","TGT")</f>
        <v>43227</v>
      </c>
      <c r="J509" s="95">
        <f ca="1"/>
        <v>-2.734279911200295E-3</v>
      </c>
      <c r="K509" s="5" t="s">
        <v>4</v>
      </c>
      <c r="L509" s="97">
        <f>_xll.meDateFromTenor(L508,"1D","FOLLOWING","TGT")</f>
        <v>43227</v>
      </c>
      <c r="M509" s="95">
        <f ca="1"/>
        <v>-1.1729695453925508E-3</v>
      </c>
      <c r="N509" s="5" t="s">
        <v>4</v>
      </c>
      <c r="O509" s="97">
        <f>_xll.meDateFromTenor(O508,"1D","FOLLOWING","TGT")</f>
        <v>43227</v>
      </c>
      <c r="P509" s="95">
        <f ca="1"/>
        <v>8.4311876282710727E-4</v>
      </c>
      <c r="Q509" s="5" t="s">
        <v>4</v>
      </c>
      <c r="R509" s="83" t="s">
        <v>4</v>
      </c>
    </row>
    <row r="510" spans="1:18" x14ac:dyDescent="0.25">
      <c r="A510" s="88">
        <v>496</v>
      </c>
      <c r="B510" s="82"/>
      <c r="C510" s="97">
        <f>_xll.meDateFromTenor(C509,"1D","FOLLOWING","TGT")</f>
        <v>43228</v>
      </c>
      <c r="D510" s="95">
        <f ca="1"/>
        <v>-4.1278260689956436E-3</v>
      </c>
      <c r="E510" s="92"/>
      <c r="F510" s="97">
        <f>_xll.meDateFromTenor(F509,"1D","FOLLOWING","TGT")</f>
        <v>43228</v>
      </c>
      <c r="G510" s="95">
        <f ca="1"/>
        <v>-3.6756107064185996E-3</v>
      </c>
      <c r="H510" s="92" t="s">
        <v>4</v>
      </c>
      <c r="I510" s="97">
        <f>_xll.meDateFromTenor(I509,"1D","FOLLOWING","TGT")</f>
        <v>43228</v>
      </c>
      <c r="J510" s="95">
        <f ca="1"/>
        <v>-2.7301731497630902E-3</v>
      </c>
      <c r="K510" s="5" t="s">
        <v>4</v>
      </c>
      <c r="L510" s="97">
        <f>_xll.meDateFromTenor(L509,"1D","FOLLOWING","TGT")</f>
        <v>43228</v>
      </c>
      <c r="M510" s="95">
        <f ca="1"/>
        <v>-1.1686556430381342E-3</v>
      </c>
      <c r="N510" s="5" t="s">
        <v>4</v>
      </c>
      <c r="O510" s="97">
        <f>_xll.meDateFromTenor(O509,"1D","FOLLOWING","TGT")</f>
        <v>43228</v>
      </c>
      <c r="P510" s="95">
        <f ca="1"/>
        <v>8.4738002673038126E-4</v>
      </c>
      <c r="Q510" s="5" t="s">
        <v>4</v>
      </c>
      <c r="R510" s="83" t="s">
        <v>4</v>
      </c>
    </row>
    <row r="511" spans="1:18" x14ac:dyDescent="0.25">
      <c r="A511" s="88">
        <v>497</v>
      </c>
      <c r="B511" s="82"/>
      <c r="C511" s="97">
        <f>_xll.meDateFromTenor(C510,"1D","FOLLOWING","TGT")</f>
        <v>43229</v>
      </c>
      <c r="D511" s="95">
        <f ca="1"/>
        <v>-4.1255359385442558E-3</v>
      </c>
      <c r="E511" s="92"/>
      <c r="F511" s="97">
        <f>_xll.meDateFromTenor(F510,"1D","FOLLOWING","TGT")</f>
        <v>43229</v>
      </c>
      <c r="G511" s="95">
        <f ca="1"/>
        <v>-3.6725366472418119E-3</v>
      </c>
      <c r="H511" s="92" t="s">
        <v>4</v>
      </c>
      <c r="I511" s="97">
        <f>_xll.meDateFromTenor(I510,"1D","FOLLOWING","TGT")</f>
        <v>43229</v>
      </c>
      <c r="J511" s="95">
        <f ca="1"/>
        <v>-2.7260482959938926E-3</v>
      </c>
      <c r="K511" s="5" t="s">
        <v>4</v>
      </c>
      <c r="L511" s="97">
        <f>_xll.meDateFromTenor(L510,"1D","FOLLOWING","TGT")</f>
        <v>43229</v>
      </c>
      <c r="M511" s="95">
        <f ca="1"/>
        <v>-1.1643358220584882E-3</v>
      </c>
      <c r="N511" s="5" t="s">
        <v>4</v>
      </c>
      <c r="O511" s="97">
        <f>_xll.meDateFromTenor(O510,"1D","FOLLOWING","TGT")</f>
        <v>43229</v>
      </c>
      <c r="P511" s="95">
        <f ca="1"/>
        <v>8.5164642231075555E-4</v>
      </c>
      <c r="Q511" s="5" t="s">
        <v>4</v>
      </c>
      <c r="R511" s="83" t="s">
        <v>4</v>
      </c>
    </row>
    <row r="512" spans="1:18" x14ac:dyDescent="0.25">
      <c r="A512" s="88">
        <v>498</v>
      </c>
      <c r="B512" s="82"/>
      <c r="C512" s="97">
        <f>_xll.meDateFromTenor(C511,"1D","FOLLOWING","TGT")</f>
        <v>43230</v>
      </c>
      <c r="D512" s="95">
        <f ca="1"/>
        <v>-4.123221025403967E-3</v>
      </c>
      <c r="E512" s="92"/>
      <c r="F512" s="97">
        <f>_xll.meDateFromTenor(F511,"1D","FOLLOWING","TGT")</f>
        <v>43230</v>
      </c>
      <c r="G512" s="95">
        <f ca="1"/>
        <v>-3.6694757303253099E-3</v>
      </c>
      <c r="H512" s="92" t="s">
        <v>4</v>
      </c>
      <c r="I512" s="97">
        <f>_xll.meDateFromTenor(I511,"1D","FOLLOWING","TGT")</f>
        <v>43230</v>
      </c>
      <c r="J512" s="95">
        <f ca="1"/>
        <v>-2.7219059318933508E-3</v>
      </c>
      <c r="K512" s="5" t="s">
        <v>4</v>
      </c>
      <c r="L512" s="97">
        <f>_xll.meDateFromTenor(L511,"1D","FOLLOWING","TGT")</f>
        <v>43230</v>
      </c>
      <c r="M512" s="95">
        <f ca="1"/>
        <v>-1.1600102037659054E-3</v>
      </c>
      <c r="N512" s="5" t="s">
        <v>4</v>
      </c>
      <c r="O512" s="97">
        <f>_xll.meDateFromTenor(O511,"1D","FOLLOWING","TGT")</f>
        <v>43230</v>
      </c>
      <c r="P512" s="95">
        <f ca="1"/>
        <v>8.5591792972662835E-4</v>
      </c>
      <c r="Q512" s="5" t="s">
        <v>4</v>
      </c>
      <c r="R512" s="83" t="s">
        <v>4</v>
      </c>
    </row>
    <row r="513" spans="1:18" x14ac:dyDescent="0.25">
      <c r="A513" s="88">
        <v>499</v>
      </c>
      <c r="B513" s="82"/>
      <c r="C513" s="97">
        <f>_xll.meDateFromTenor(C512,"1D","FOLLOWING","TGT")</f>
        <v>43231</v>
      </c>
      <c r="D513" s="95">
        <f ca="1"/>
        <v>-4.1208813301977232E-3</v>
      </c>
      <c r="E513" s="92"/>
      <c r="F513" s="97">
        <f>_xll.meDateFromTenor(F512,"1D","FOLLOWING","TGT")</f>
        <v>43231</v>
      </c>
      <c r="G513" s="95">
        <f ca="1"/>
        <v>-3.666426015545662E-3</v>
      </c>
      <c r="H513" s="92" t="s">
        <v>4</v>
      </c>
      <c r="I513" s="97">
        <f>_xll.meDateFromTenor(I512,"1D","FOLLOWING","TGT")</f>
        <v>43231</v>
      </c>
      <c r="J513" s="95">
        <f ca="1"/>
        <v>-2.7177466394621148E-3</v>
      </c>
      <c r="K513" s="5" t="s">
        <v>4</v>
      </c>
      <c r="L513" s="97">
        <f>_xll.meDateFromTenor(L512,"1D","FOLLOWING","TGT")</f>
        <v>43231</v>
      </c>
      <c r="M513" s="95">
        <f ca="1"/>
        <v>-1.1556789094726789E-3</v>
      </c>
      <c r="N513" s="5" t="s">
        <v>4</v>
      </c>
      <c r="O513" s="97">
        <f>_xll.meDateFromTenor(O512,"1D","FOLLOWING","TGT")</f>
        <v>43231</v>
      </c>
      <c r="P513" s="95">
        <f ca="1"/>
        <v>8.6019452913639897E-4</v>
      </c>
      <c r="Q513" s="5" t="s">
        <v>4</v>
      </c>
      <c r="R513" s="83" t="s">
        <v>4</v>
      </c>
    </row>
    <row r="514" spans="1:18" x14ac:dyDescent="0.25">
      <c r="A514" s="88">
        <v>500</v>
      </c>
      <c r="B514" s="82"/>
      <c r="C514" s="97">
        <f>_xll.meDateFromTenor(C513,"1D","FOLLOWING","TGT")</f>
        <v>43234</v>
      </c>
      <c r="D514" s="95">
        <f ca="1"/>
        <v>-4.1137135620166188E-3</v>
      </c>
      <c r="E514" s="92"/>
      <c r="F514" s="97">
        <f>_xll.meDateFromTenor(F513,"1D","FOLLOWING","TGT")</f>
        <v>43234</v>
      </c>
      <c r="G514" s="95">
        <f ca="1"/>
        <v>-3.6573246827935418E-3</v>
      </c>
      <c r="H514" s="92" t="s">
        <v>4</v>
      </c>
      <c r="I514" s="97">
        <f>_xll.meDateFromTenor(I513,"1D","FOLLOWING","TGT")</f>
        <v>43234</v>
      </c>
      <c r="J514" s="95">
        <f ca="1"/>
        <v>-2.7051730121907223E-3</v>
      </c>
      <c r="K514" s="5" t="s">
        <v>4</v>
      </c>
      <c r="L514" s="97">
        <f>_xll.meDateFromTenor(L513,"1D","FOLLOWING","TGT")</f>
        <v>43234</v>
      </c>
      <c r="M514" s="95">
        <f ca="1"/>
        <v>-1.1426521837120606E-3</v>
      </c>
      <c r="N514" s="5" t="s">
        <v>4</v>
      </c>
      <c r="O514" s="97">
        <f>_xll.meDateFromTenor(O513,"1D","FOLLOWING","TGT")</f>
        <v>43234</v>
      </c>
      <c r="P514" s="95">
        <f ca="1"/>
        <v>8.7305468091308834E-4</v>
      </c>
      <c r="Q514" s="5" t="s">
        <v>4</v>
      </c>
      <c r="R514" s="83" t="s">
        <v>4</v>
      </c>
    </row>
    <row r="515" spans="1:18" x14ac:dyDescent="0.25">
      <c r="A515" s="88">
        <v>501</v>
      </c>
      <c r="B515" s="82"/>
      <c r="C515" s="97">
        <f>_xll.meDateFromTenor(C514,"1D","FOLLOWING","TGT")</f>
        <v>43235</v>
      </c>
      <c r="D515" s="95">
        <f ca="1"/>
        <v>-4.1112747482511258E-3</v>
      </c>
      <c r="E515" s="92"/>
      <c r="F515" s="97">
        <f>_xll.meDateFromTenor(F514,"1D","FOLLOWING","TGT")</f>
        <v>43235</v>
      </c>
      <c r="G515" s="95">
        <f ca="1"/>
        <v>-3.65430037532701E-3</v>
      </c>
      <c r="H515" s="92" t="s">
        <v>4</v>
      </c>
      <c r="I515" s="97">
        <f>_xll.meDateFromTenor(I514,"1D","FOLLOWING","TGT")</f>
        <v>43235</v>
      </c>
      <c r="J515" s="95">
        <f ca="1"/>
        <v>-2.7009518264431926E-3</v>
      </c>
      <c r="K515" s="5" t="s">
        <v>4</v>
      </c>
      <c r="L515" s="97">
        <f>_xll.meDateFromTenor(L514,"1D","FOLLOWING","TGT")</f>
        <v>43235</v>
      </c>
      <c r="M515" s="95">
        <f ca="1"/>
        <v>-1.1382993985391838E-3</v>
      </c>
      <c r="N515" s="5" t="s">
        <v>4</v>
      </c>
      <c r="O515" s="97">
        <f>_xll.meDateFromTenor(O514,"1D","FOLLOWING","TGT")</f>
        <v>43235</v>
      </c>
      <c r="P515" s="95">
        <f ca="1"/>
        <v>8.7735144988244072E-4</v>
      </c>
      <c r="Q515" s="5" t="s">
        <v>4</v>
      </c>
      <c r="R515" s="83" t="s">
        <v>4</v>
      </c>
    </row>
    <row r="516" spans="1:18" x14ac:dyDescent="0.25">
      <c r="A516" s="88">
        <v>502</v>
      </c>
      <c r="B516" s="82"/>
      <c r="C516" s="97">
        <f>_xll.meDateFromTenor(C515,"1D","FOLLOWING","TGT")</f>
        <v>43236</v>
      </c>
      <c r="D516" s="95">
        <f ca="1"/>
        <v>-4.1088111570235508E-3</v>
      </c>
      <c r="E516" s="92"/>
      <c r="F516" s="97">
        <f>_xll.meDateFromTenor(F515,"1D","FOLLOWING","TGT")</f>
        <v>43236</v>
      </c>
      <c r="G516" s="95">
        <f ca="1"/>
        <v>-3.6512775693801807E-3</v>
      </c>
      <c r="H516" s="92" t="s">
        <v>4</v>
      </c>
      <c r="I516" s="97">
        <f>_xll.meDateFromTenor(I515,"1D","FOLLOWING","TGT")</f>
        <v>43236</v>
      </c>
      <c r="J516" s="95">
        <f ca="1"/>
        <v>-2.6967166223682121E-3</v>
      </c>
      <c r="K516" s="5" t="s">
        <v>4</v>
      </c>
      <c r="L516" s="97">
        <f>_xll.meDateFromTenor(L515,"1D","FOLLOWING","TGT")</f>
        <v>43236</v>
      </c>
      <c r="M516" s="95">
        <f ca="1"/>
        <v>-1.1339415439271265E-3</v>
      </c>
      <c r="N516" s="5" t="s">
        <v>4</v>
      </c>
      <c r="O516" s="97">
        <f>_xll.meDateFromTenor(O515,"1D","FOLLOWING","TGT")</f>
        <v>43236</v>
      </c>
      <c r="P516" s="95">
        <f ca="1"/>
        <v>8.8165321163768604E-4</v>
      </c>
      <c r="Q516" s="5" t="s">
        <v>4</v>
      </c>
      <c r="R516" s="83" t="s">
        <v>4</v>
      </c>
    </row>
    <row r="517" spans="1:18" x14ac:dyDescent="0.25">
      <c r="A517" s="88">
        <v>503</v>
      </c>
      <c r="B517" s="82"/>
      <c r="C517" s="97">
        <f>_xll.meDateFromTenor(C516,"1D","FOLLOWING","TGT")</f>
        <v>43237</v>
      </c>
      <c r="D517" s="95">
        <f ca="1"/>
        <v>-4.1063227891459109E-3</v>
      </c>
      <c r="E517" s="92"/>
      <c r="F517" s="97">
        <f>_xll.meDateFromTenor(F516,"1D","FOLLOWING","TGT")</f>
        <v>43237</v>
      </c>
      <c r="G517" s="95">
        <f ca="1"/>
        <v>-3.6482543248296242E-3</v>
      </c>
      <c r="H517" s="92" t="s">
        <v>4</v>
      </c>
      <c r="I517" s="97">
        <f>_xll.meDateFromTenor(I516,"1D","FOLLOWING","TGT")</f>
        <v>43237</v>
      </c>
      <c r="J517" s="95">
        <f ca="1"/>
        <v>-2.6924679819664283E-3</v>
      </c>
      <c r="K517" s="5" t="s">
        <v>4</v>
      </c>
      <c r="L517" s="97">
        <f>_xll.meDateFromTenor(L516,"1D","FOLLOWING","TGT")</f>
        <v>43237</v>
      </c>
      <c r="M517" s="95">
        <f ca="1"/>
        <v>-1.1295787411881811E-3</v>
      </c>
      <c r="N517" s="5" t="s">
        <v>4</v>
      </c>
      <c r="O517" s="97">
        <f>_xll.meDateFromTenor(O516,"1D","FOLLOWING","TGT")</f>
        <v>43237</v>
      </c>
      <c r="P517" s="95">
        <f ca="1"/>
        <v>8.8595994633722328E-4</v>
      </c>
      <c r="Q517" s="5" t="s">
        <v>4</v>
      </c>
      <c r="R517" s="83" t="s">
        <v>4</v>
      </c>
    </row>
    <row r="518" spans="1:18" x14ac:dyDescent="0.25">
      <c r="A518" s="88">
        <v>504</v>
      </c>
      <c r="B518" s="82"/>
      <c r="C518" s="97">
        <f>_xll.meDateFromTenor(C517,"1D","FOLLOWING","TGT")</f>
        <v>43238</v>
      </c>
      <c r="D518" s="95">
        <f ca="1"/>
        <v>-4.1038096459853346E-3</v>
      </c>
      <c r="E518" s="92"/>
      <c r="F518" s="97">
        <f>_xll.meDateFromTenor(F517,"1D","FOLLOWING","TGT")</f>
        <v>43238</v>
      </c>
      <c r="G518" s="95">
        <f ca="1"/>
        <v>-3.6452287015519115E-3</v>
      </c>
      <c r="H518" s="92" t="s">
        <v>4</v>
      </c>
      <c r="I518" s="97">
        <f>_xll.meDateFromTenor(I517,"1D","FOLLOWING","TGT")</f>
        <v>43238</v>
      </c>
      <c r="J518" s="95">
        <f ca="1"/>
        <v>-2.6882064872384898E-3</v>
      </c>
      <c r="K518" s="5" t="s">
        <v>4</v>
      </c>
      <c r="L518" s="97">
        <f>_xll.meDateFromTenor(L517,"1D","FOLLOWING","TGT")</f>
        <v>43238</v>
      </c>
      <c r="M518" s="95">
        <f ca="1"/>
        <v>-1.1252111116346396E-3</v>
      </c>
      <c r="N518" s="5" t="s">
        <v>4</v>
      </c>
      <c r="O518" s="97">
        <f>_xll.meDateFromTenor(O517,"1D","FOLLOWING","TGT")</f>
        <v>43238</v>
      </c>
      <c r="P518" s="95">
        <f ca="1"/>
        <v>8.902716341394522E-4</v>
      </c>
      <c r="Q518" s="5" t="s">
        <v>4</v>
      </c>
      <c r="R518" s="83" t="s">
        <v>4</v>
      </c>
    </row>
    <row r="519" spans="1:18" x14ac:dyDescent="0.25">
      <c r="A519" s="88">
        <v>505</v>
      </c>
      <c r="B519" s="82"/>
      <c r="C519" s="97">
        <f>_xll.meDateFromTenor(C518,"1D","FOLLOWING","TGT")</f>
        <v>43241</v>
      </c>
      <c r="D519" s="95">
        <f ca="1"/>
        <v>-4.0961215712855825E-3</v>
      </c>
      <c r="E519" s="92"/>
      <c r="F519" s="97">
        <f>_xll.meDateFromTenor(F518,"1D","FOLLOWING","TGT")</f>
        <v>43241</v>
      </c>
      <c r="G519" s="95">
        <f ca="1"/>
        <v>-3.6361181581215304E-3</v>
      </c>
      <c r="H519" s="92" t="s">
        <v>4</v>
      </c>
      <c r="I519" s="97">
        <f>_xll.meDateFromTenor(I518,"1D","FOLLOWING","TGT")</f>
        <v>43241</v>
      </c>
      <c r="J519" s="95">
        <f ca="1"/>
        <v>-2.6753506971042371E-3</v>
      </c>
      <c r="K519" s="5" t="s">
        <v>4</v>
      </c>
      <c r="L519" s="97">
        <f>_xll.meDateFromTenor(L518,"1D","FOLLOWING","TGT")</f>
        <v>43241</v>
      </c>
      <c r="M519" s="95">
        <f ca="1"/>
        <v>-1.1120804752093683E-3</v>
      </c>
      <c r="N519" s="5" t="s">
        <v>4</v>
      </c>
      <c r="O519" s="97">
        <f>_xll.meDateFromTenor(O518,"1D","FOLLOWING","TGT")</f>
        <v>43241</v>
      </c>
      <c r="P519" s="95">
        <f ca="1"/>
        <v>9.0323621774627519E-4</v>
      </c>
      <c r="Q519" s="5" t="s">
        <v>4</v>
      </c>
      <c r="R519" s="83" t="s">
        <v>4</v>
      </c>
    </row>
    <row r="520" spans="1:18" x14ac:dyDescent="0.25">
      <c r="A520" s="88">
        <v>506</v>
      </c>
      <c r="B520" s="82"/>
      <c r="C520" s="97">
        <f>_xll.meDateFromTenor(C519,"1D","FOLLOWING","TGT")</f>
        <v>43242</v>
      </c>
      <c r="D520" s="95">
        <f ca="1"/>
        <v>-4.0935093342996387E-3</v>
      </c>
      <c r="E520" s="92"/>
      <c r="F520" s="97">
        <f>_xll.meDateFromTenor(F519,"1D","FOLLOWING","TGT")</f>
        <v>43242</v>
      </c>
      <c r="G520" s="95">
        <f ca="1"/>
        <v>-3.6330636187008884E-3</v>
      </c>
      <c r="H520" s="92" t="s">
        <v>4</v>
      </c>
      <c r="I520" s="97">
        <f>_xll.meDateFromTenor(I519,"1D","FOLLOWING","TGT")</f>
        <v>43242</v>
      </c>
      <c r="J520" s="95">
        <f ca="1"/>
        <v>-2.6710436050781691E-3</v>
      </c>
      <c r="K520" s="5" t="s">
        <v>4</v>
      </c>
      <c r="L520" s="97">
        <f>_xll.meDateFromTenor(L519,"1D","FOLLOWING","TGT")</f>
        <v>43242</v>
      </c>
      <c r="M520" s="95">
        <f ca="1"/>
        <v>-1.1076947515203705E-3</v>
      </c>
      <c r="N520" s="5" t="s">
        <v>4</v>
      </c>
      <c r="O520" s="97">
        <f>_xll.meDateFromTenor(O519,"1D","FOLLOWING","TGT")</f>
        <v>43242</v>
      </c>
      <c r="P520" s="95">
        <f ca="1"/>
        <v>9.0756751954325897E-4</v>
      </c>
      <c r="Q520" s="5" t="s">
        <v>4</v>
      </c>
      <c r="R520" s="83" t="s">
        <v>4</v>
      </c>
    </row>
    <row r="521" spans="1:18" x14ac:dyDescent="0.25">
      <c r="A521" s="88">
        <v>507</v>
      </c>
      <c r="B521" s="82"/>
      <c r="C521" s="97">
        <f>_xll.meDateFromTenor(C520,"1D","FOLLOWING","TGT")</f>
        <v>43243</v>
      </c>
      <c r="D521" s="95">
        <f ca="1"/>
        <v>-4.0908723264510005E-3</v>
      </c>
      <c r="E521" s="92"/>
      <c r="F521" s="97">
        <f>_xll.meDateFromTenor(F520,"1D","FOLLOWING","TGT")</f>
        <v>43243</v>
      </c>
      <c r="G521" s="95">
        <f ca="1"/>
        <v>-3.6299969999359391E-3</v>
      </c>
      <c r="H521" s="92" t="s">
        <v>4</v>
      </c>
      <c r="I521" s="97">
        <f>_xll.meDateFromTenor(I520,"1D","FOLLOWING","TGT")</f>
        <v>43243</v>
      </c>
      <c r="J521" s="95">
        <f ca="1"/>
        <v>-2.6667265687291904E-3</v>
      </c>
      <c r="K521" s="5" t="s">
        <v>4</v>
      </c>
      <c r="L521" s="97">
        <f>_xll.meDateFromTenor(L520,"1D","FOLLOWING","TGT")</f>
        <v>43243</v>
      </c>
      <c r="M521" s="95">
        <f ca="1"/>
        <v>-1.1033048075782402E-3</v>
      </c>
      <c r="N521" s="5" t="s">
        <v>4</v>
      </c>
      <c r="O521" s="97">
        <f>_xll.meDateFromTenor(O520,"1D","FOLLOWING","TGT")</f>
        <v>43243</v>
      </c>
      <c r="P521" s="95">
        <f ca="1"/>
        <v>9.1190367523492921E-4</v>
      </c>
      <c r="Q521" s="5" t="s">
        <v>4</v>
      </c>
      <c r="R521" s="83" t="s">
        <v>4</v>
      </c>
    </row>
    <row r="522" spans="1:18" x14ac:dyDescent="0.25">
      <c r="A522" s="88">
        <v>508</v>
      </c>
      <c r="B522" s="82"/>
      <c r="C522" s="97">
        <f>_xll.meDateFromTenor(C521,"1D","FOLLOWING","TGT")</f>
        <v>43244</v>
      </c>
      <c r="D522" s="95">
        <f ca="1"/>
        <v>-4.0882105481007125E-3</v>
      </c>
      <c r="E522" s="92"/>
      <c r="F522" s="97">
        <f>_xll.meDateFromTenor(F521,"1D","FOLLOWING","TGT")</f>
        <v>43244</v>
      </c>
      <c r="G522" s="95">
        <f ca="1"/>
        <v>-3.6269163617032511E-3</v>
      </c>
      <c r="H522" s="92" t="s">
        <v>4</v>
      </c>
      <c r="I522" s="97">
        <f>_xll.meDateFromTenor(I521,"1D","FOLLOWING","TGT")</f>
        <v>43244</v>
      </c>
      <c r="J522" s="95">
        <f ca="1"/>
        <v>-2.6624001700579487E-3</v>
      </c>
      <c r="K522" s="5" t="s">
        <v>4</v>
      </c>
      <c r="L522" s="97">
        <f>_xll.meDateFromTenor(L521,"1D","FOLLOWING","TGT")</f>
        <v>43244</v>
      </c>
      <c r="M522" s="95">
        <f ca="1"/>
        <v>-1.0989107646952696E-3</v>
      </c>
      <c r="N522" s="5" t="s">
        <v>4</v>
      </c>
      <c r="O522" s="97">
        <f>_xll.meDateFromTenor(O521,"1D","FOLLOWING","TGT")</f>
        <v>43244</v>
      </c>
      <c r="P522" s="95">
        <f ca="1"/>
        <v>9.1624466497968479E-4</v>
      </c>
      <c r="Q522" s="5" t="s">
        <v>4</v>
      </c>
      <c r="R522" s="83" t="s">
        <v>4</v>
      </c>
    </row>
    <row r="523" spans="1:18" x14ac:dyDescent="0.25">
      <c r="A523" s="88">
        <v>509</v>
      </c>
      <c r="B523" s="82"/>
      <c r="C523" s="97">
        <f>_xll.meDateFromTenor(C522,"1D","FOLLOWING","TGT")</f>
        <v>43245</v>
      </c>
      <c r="D523" s="95">
        <f ca="1"/>
        <v>-4.0855240004439297E-3</v>
      </c>
      <c r="E523" s="92"/>
      <c r="F523" s="97">
        <f>_xll.meDateFromTenor(F522,"1D","FOLLOWING","TGT")</f>
        <v>43245</v>
      </c>
      <c r="G523" s="95">
        <f ca="1"/>
        <v>-3.6238197638793967E-3</v>
      </c>
      <c r="H523" s="92" t="s">
        <v>4</v>
      </c>
      <c r="I523" s="97">
        <f>_xll.meDateFromTenor(I522,"1D","FOLLOWING","TGT")</f>
        <v>43245</v>
      </c>
      <c r="J523" s="95">
        <f ca="1"/>
        <v>-2.6580649910650949E-3</v>
      </c>
      <c r="K523" s="5" t="s">
        <v>4</v>
      </c>
      <c r="L523" s="97">
        <f>_xll.meDateFromTenor(L522,"1D","FOLLOWING","TGT")</f>
        <v>43245</v>
      </c>
      <c r="M523" s="95">
        <f ca="1"/>
        <v>-1.0945127441837523E-3</v>
      </c>
      <c r="N523" s="5" t="s">
        <v>4</v>
      </c>
      <c r="O523" s="97">
        <f>_xll.meDateFromTenor(O522,"1D","FOLLOWING","TGT")</f>
        <v>43245</v>
      </c>
      <c r="P523" s="95">
        <f ca="1"/>
        <v>9.2059046893592459E-4</v>
      </c>
      <c r="Q523" s="5" t="s">
        <v>4</v>
      </c>
      <c r="R523" s="83" t="s">
        <v>4</v>
      </c>
    </row>
    <row r="524" spans="1:18" x14ac:dyDescent="0.25">
      <c r="A524" s="88">
        <v>510</v>
      </c>
      <c r="B524" s="82"/>
      <c r="C524" s="97">
        <f>_xll.meDateFromTenor(C523,"1D","FOLLOWING","TGT")</f>
        <v>43248</v>
      </c>
      <c r="D524" s="95">
        <f ca="1"/>
        <v>-4.0773157494590206E-3</v>
      </c>
      <c r="E524" s="92"/>
      <c r="F524" s="97">
        <f>_xll.meDateFromTenor(F523,"1D","FOLLOWING","TGT")</f>
        <v>43248</v>
      </c>
      <c r="G524" s="95">
        <f ca="1"/>
        <v>-3.6144148116265228E-3</v>
      </c>
      <c r="H524" s="92" t="s">
        <v>4</v>
      </c>
      <c r="I524" s="97">
        <f>_xll.meDateFromTenor(I523,"1D","FOLLOWING","TGT")</f>
        <v>43248</v>
      </c>
      <c r="J524" s="95">
        <f ca="1"/>
        <v>-2.645012592163337E-3</v>
      </c>
      <c r="K524" s="5" t="s">
        <v>4</v>
      </c>
      <c r="L524" s="97">
        <f>_xll.meDateFromTenor(L523,"1D","FOLLOWING","TGT")</f>
        <v>43248</v>
      </c>
      <c r="M524" s="95">
        <f ca="1"/>
        <v>-1.0812960300008428E-3</v>
      </c>
      <c r="N524" s="5" t="s">
        <v>4</v>
      </c>
      <c r="O524" s="97">
        <f>_xll.meDateFromTenor(O523,"1D","FOLLOWING","TGT")</f>
        <v>43248</v>
      </c>
      <c r="P524" s="95">
        <f ca="1"/>
        <v>9.3365656765754135E-4</v>
      </c>
      <c r="Q524" s="5" t="s">
        <v>4</v>
      </c>
      <c r="R524" s="83" t="s">
        <v>4</v>
      </c>
    </row>
    <row r="525" spans="1:18" x14ac:dyDescent="0.25">
      <c r="A525" s="88">
        <v>511</v>
      </c>
      <c r="B525" s="82"/>
      <c r="C525" s="97">
        <f>_xll.meDateFromTenor(C524,"1D","FOLLOWING","TGT")</f>
        <v>43249</v>
      </c>
      <c r="D525" s="95">
        <f ca="1"/>
        <v>-4.0745301327497208E-3</v>
      </c>
      <c r="E525" s="92"/>
      <c r="F525" s="97">
        <f>_xll.meDateFromTenor(F524,"1D","FOLLOWING","TGT")</f>
        <v>43249</v>
      </c>
      <c r="G525" s="95">
        <f ca="1"/>
        <v>-3.6112349742036948E-3</v>
      </c>
      <c r="H525" s="92" t="s">
        <v>4</v>
      </c>
      <c r="I525" s="97">
        <f>_xll.meDateFromTenor(I524,"1D","FOLLOWING","TGT")</f>
        <v>43249</v>
      </c>
      <c r="J525" s="95">
        <f ca="1"/>
        <v>-2.6406481118905157E-3</v>
      </c>
      <c r="K525" s="5" t="s">
        <v>4</v>
      </c>
      <c r="L525" s="97">
        <f>_xll.meDateFromTenor(L524,"1D","FOLLOWING","TGT")</f>
        <v>43249</v>
      </c>
      <c r="M525" s="95">
        <f ca="1"/>
        <v>-1.0768833120980627E-3</v>
      </c>
      <c r="N525" s="5" t="s">
        <v>4</v>
      </c>
      <c r="O525" s="97">
        <f>_xll.meDateFromTenor(O524,"1D","FOLLOWING","TGT")</f>
        <v>43249</v>
      </c>
      <c r="P525" s="95">
        <f ca="1"/>
        <v>9.3802143004370934E-4</v>
      </c>
      <c r="Q525" s="5" t="s">
        <v>4</v>
      </c>
      <c r="R525" s="83" t="s">
        <v>4</v>
      </c>
    </row>
    <row r="526" spans="1:18" x14ac:dyDescent="0.25">
      <c r="A526" s="88">
        <v>512</v>
      </c>
      <c r="B526" s="82"/>
      <c r="C526" s="97">
        <f>_xll.meDateFromTenor(C525,"1D","FOLLOWING","TGT")</f>
        <v>43250</v>
      </c>
      <c r="D526" s="95">
        <f ca="1"/>
        <v>-4.0717197508909342E-3</v>
      </c>
      <c r="E526" s="92"/>
      <c r="F526" s="97">
        <f>_xll.meDateFromTenor(F525,"1D","FOLLOWING","TGT")</f>
        <v>43250</v>
      </c>
      <c r="G526" s="95">
        <f ca="1"/>
        <v>-3.6080294765725479E-3</v>
      </c>
      <c r="H526" s="92" t="s">
        <v>4</v>
      </c>
      <c r="I526" s="97">
        <f>_xll.meDateFromTenor(I525,"1D","FOLLOWING","TGT")</f>
        <v>43250</v>
      </c>
      <c r="J526" s="95">
        <f ca="1"/>
        <v>-2.6362777612993246E-3</v>
      </c>
      <c r="K526" s="5" t="s">
        <v>4</v>
      </c>
      <c r="L526" s="97">
        <f>_xll.meDateFromTenor(L525,"1D","FOLLOWING","TGT")</f>
        <v>43250</v>
      </c>
      <c r="M526" s="95">
        <f ca="1"/>
        <v>-1.0724672231281986E-3</v>
      </c>
      <c r="N526" s="5" t="s">
        <v>4</v>
      </c>
      <c r="O526" s="97">
        <f>_xll.meDateFromTenor(O525,"1D","FOLLOWING","TGT")</f>
        <v>43250</v>
      </c>
      <c r="P526" s="95">
        <f ca="1"/>
        <v>9.4239100743335688E-4</v>
      </c>
      <c r="Q526" s="5" t="s">
        <v>4</v>
      </c>
      <c r="R526" s="83" t="s">
        <v>4</v>
      </c>
    </row>
    <row r="527" spans="1:18" x14ac:dyDescent="0.25">
      <c r="A527" s="88">
        <v>513</v>
      </c>
      <c r="B527" s="82"/>
      <c r="C527" s="97">
        <f>_xll.meDateFromTenor(C526,"1D","FOLLOWING","TGT")</f>
        <v>43251</v>
      </c>
      <c r="D527" s="95">
        <f ca="1"/>
        <v>-4.0688846047485239E-3</v>
      </c>
      <c r="E527" s="92"/>
      <c r="F527" s="97">
        <f>_xll.meDateFromTenor(F526,"1D","FOLLOWING","TGT")</f>
        <v>43251</v>
      </c>
      <c r="G527" s="95">
        <f ca="1"/>
        <v>-3.6047963786096527E-3</v>
      </c>
      <c r="H527" s="92" t="s">
        <v>4</v>
      </c>
      <c r="I527" s="97">
        <f>_xll.meDateFromTenor(I526,"1D","FOLLOWING","TGT")</f>
        <v>43251</v>
      </c>
      <c r="J527" s="95">
        <f ca="1"/>
        <v>-2.6319021223904118E-3</v>
      </c>
      <c r="K527" s="5" t="s">
        <v>4</v>
      </c>
      <c r="L527" s="97">
        <f>_xll.meDateFromTenor(L526,"1D","FOLLOWING","TGT")</f>
        <v>43251</v>
      </c>
      <c r="M527" s="95">
        <f ca="1"/>
        <v>-1.0680478844035423E-3</v>
      </c>
      <c r="N527" s="5" t="s">
        <v>4</v>
      </c>
      <c r="O527" s="97">
        <f>_xll.meDateFromTenor(O526,"1D","FOLLOWING","TGT")</f>
        <v>43251</v>
      </c>
      <c r="P527" s="95">
        <f ca="1"/>
        <v>9.467652799848836E-4</v>
      </c>
      <c r="Q527" s="5" t="s">
        <v>4</v>
      </c>
      <c r="R527" s="83" t="s">
        <v>4</v>
      </c>
    </row>
    <row r="528" spans="1:18" x14ac:dyDescent="0.25">
      <c r="A528" s="88">
        <v>514</v>
      </c>
      <c r="B528" s="82"/>
      <c r="C528" s="97">
        <f>_xll.meDateFromTenor(C527,"1D","FOLLOWING","TGT")</f>
        <v>43252</v>
      </c>
      <c r="D528" s="95">
        <f ca="1"/>
        <v>-4.0660246953059254E-3</v>
      </c>
      <c r="E528" s="92"/>
      <c r="F528" s="97">
        <f>_xll.meDateFromTenor(F527,"1D","FOLLOWING","TGT")</f>
        <v>43252</v>
      </c>
      <c r="G528" s="95">
        <f ca="1"/>
        <v>-3.6015337401915774E-3</v>
      </c>
      <c r="H528" s="92" t="s">
        <v>4</v>
      </c>
      <c r="I528" s="97">
        <f>_xll.meDateFromTenor(I527,"1D","FOLLOWING","TGT")</f>
        <v>43252</v>
      </c>
      <c r="J528" s="95">
        <f ca="1"/>
        <v>-2.627521777164426E-3</v>
      </c>
      <c r="K528" s="5" t="s">
        <v>4</v>
      </c>
      <c r="L528" s="97">
        <f>_xll.meDateFromTenor(L527,"1D","FOLLOWING","TGT")</f>
        <v>43252</v>
      </c>
      <c r="M528" s="95">
        <f ca="1"/>
        <v>-1.0636254172363873E-3</v>
      </c>
      <c r="N528" s="5" t="s">
        <v>4</v>
      </c>
      <c r="O528" s="97">
        <f>_xll.meDateFromTenor(O527,"1D","FOLLOWING","TGT")</f>
        <v>43252</v>
      </c>
      <c r="P528" s="95">
        <f ca="1"/>
        <v>9.5114422785668785E-4</v>
      </c>
      <c r="Q528" s="5" t="s">
        <v>4</v>
      </c>
      <c r="R528" s="83" t="s">
        <v>4</v>
      </c>
    </row>
    <row r="529" spans="1:18" x14ac:dyDescent="0.25">
      <c r="A529" s="88">
        <v>515</v>
      </c>
      <c r="B529" s="82"/>
      <c r="C529" s="97">
        <f>_xll.meDateFromTenor(C528,"1D","FOLLOWING","TGT")</f>
        <v>43255</v>
      </c>
      <c r="D529" s="95">
        <f ca="1"/>
        <v>-4.0573002323599505E-3</v>
      </c>
      <c r="E529" s="92"/>
      <c r="F529" s="97">
        <f>_xll.meDateFromTenor(F528,"1D","FOLLOWING","TGT")</f>
        <v>43255</v>
      </c>
      <c r="G529" s="95">
        <f ca="1"/>
        <v>-3.5915491809719795E-3</v>
      </c>
      <c r="H529" s="92" t="s">
        <v>4</v>
      </c>
      <c r="I529" s="97">
        <f>_xll.meDateFromTenor(I528,"1D","FOLLOWING","TGT")</f>
        <v>43255</v>
      </c>
      <c r="J529" s="95">
        <f ca="1"/>
        <v>-2.6143583235905201E-3</v>
      </c>
      <c r="K529" s="5" t="s">
        <v>4</v>
      </c>
      <c r="L529" s="97">
        <f>_xll.meDateFromTenor(L528,"1D","FOLLOWING","TGT")</f>
        <v>43255</v>
      </c>
      <c r="M529" s="95">
        <f ca="1"/>
        <v>-1.0503404582028557E-3</v>
      </c>
      <c r="N529" s="5" t="s">
        <v>4</v>
      </c>
      <c r="O529" s="97">
        <f>_xll.meDateFromTenor(O528,"1D","FOLLOWING","TGT")</f>
        <v>43255</v>
      </c>
      <c r="P529" s="95">
        <f ca="1"/>
        <v>9.6430892497775735E-4</v>
      </c>
      <c r="Q529" s="5" t="s">
        <v>4</v>
      </c>
      <c r="R529" s="83" t="s">
        <v>4</v>
      </c>
    </row>
    <row r="530" spans="1:18" x14ac:dyDescent="0.25">
      <c r="A530" s="88">
        <v>516</v>
      </c>
      <c r="B530" s="82"/>
      <c r="C530" s="97">
        <f>_xll.meDateFromTenor(C529,"1D","FOLLOWING","TGT")</f>
        <v>43256</v>
      </c>
      <c r="D530" s="95">
        <f ca="1"/>
        <v>-4.0543643044409494E-3</v>
      </c>
      <c r="E530" s="92"/>
      <c r="F530" s="97">
        <f>_xll.meDateFromTenor(F529,"1D","FOLLOWING","TGT")</f>
        <v>43256</v>
      </c>
      <c r="G530" s="95">
        <f ca="1"/>
        <v>-3.588149585814002E-3</v>
      </c>
      <c r="H530" s="92" t="s">
        <v>4</v>
      </c>
      <c r="I530" s="97">
        <f>_xll.meDateFromTenor(I529,"1D","FOLLOWING","TGT")</f>
        <v>43256</v>
      </c>
      <c r="J530" s="95">
        <f ca="1"/>
        <v>-2.6099648801727751E-3</v>
      </c>
      <c r="K530" s="5" t="s">
        <v>4</v>
      </c>
      <c r="L530" s="97">
        <f>_xll.meDateFromTenor(L529,"1D","FOLLOWING","TGT")</f>
        <v>43256</v>
      </c>
      <c r="M530" s="95">
        <f ca="1"/>
        <v>-1.0459066702095247E-3</v>
      </c>
      <c r="N530" s="5" t="s">
        <v>4</v>
      </c>
      <c r="O530" s="97">
        <f>_xll.meDateFromTenor(O529,"1D","FOLLOWING","TGT")</f>
        <v>43256</v>
      </c>
      <c r="P530" s="95">
        <f ca="1"/>
        <v>9.6870637713124567E-4</v>
      </c>
      <c r="Q530" s="5" t="s">
        <v>4</v>
      </c>
      <c r="R530" s="83" t="s">
        <v>4</v>
      </c>
    </row>
    <row r="531" spans="1:18" x14ac:dyDescent="0.25">
      <c r="A531" s="88">
        <v>517</v>
      </c>
      <c r="B531" s="82"/>
      <c r="C531" s="97">
        <f>_xll.meDateFromTenor(C530,"1D","FOLLOWING","TGT")</f>
        <v>43257</v>
      </c>
      <c r="D531" s="95">
        <f ca="1"/>
        <v>-4.0514266432325474E-3</v>
      </c>
      <c r="E531" s="92"/>
      <c r="F531" s="97">
        <f>_xll.meDateFromTenor(F530,"1D","FOLLOWING","TGT")</f>
        <v>43257</v>
      </c>
      <c r="G531" s="95">
        <f ca="1"/>
        <v>-3.5847143874743817E-3</v>
      </c>
      <c r="H531" s="92" t="s">
        <v>4</v>
      </c>
      <c r="I531" s="97">
        <f>_xll.meDateFromTenor(I530,"1D","FOLLOWING","TGT")</f>
        <v>43257</v>
      </c>
      <c r="J531" s="95">
        <f ca="1"/>
        <v>-2.6055690828614719E-3</v>
      </c>
      <c r="K531" s="5" t="s">
        <v>4</v>
      </c>
      <c r="L531" s="97">
        <f>_xll.meDateFromTenor(L530,"1D","FOLLOWING","TGT")</f>
        <v>43257</v>
      </c>
      <c r="M531" s="95">
        <f ca="1"/>
        <v>-1.0414702392605182E-3</v>
      </c>
      <c r="N531" s="5" t="s">
        <v>4</v>
      </c>
      <c r="O531" s="97">
        <f>_xll.meDateFromTenor(O530,"1D","FOLLOWING","TGT")</f>
        <v>43257</v>
      </c>
      <c r="P531" s="95">
        <f ca="1"/>
        <v>9.7310841389650169E-4</v>
      </c>
      <c r="Q531" s="5" t="s">
        <v>4</v>
      </c>
      <c r="R531" s="83" t="s">
        <v>4</v>
      </c>
    </row>
    <row r="532" spans="1:18" x14ac:dyDescent="0.25">
      <c r="A532" s="88">
        <v>518</v>
      </c>
      <c r="B532" s="82"/>
      <c r="C532" s="97">
        <f>_xll.meDateFromTenor(C531,"1D","FOLLOWING","TGT")</f>
        <v>43258</v>
      </c>
      <c r="D532" s="95">
        <f ca="1"/>
        <v>-4.0484872489982004E-3</v>
      </c>
      <c r="E532" s="92"/>
      <c r="F532" s="97">
        <f>_xll.meDateFromTenor(F531,"1D","FOLLOWING","TGT")</f>
        <v>43258</v>
      </c>
      <c r="G532" s="95">
        <f ca="1"/>
        <v>-3.5812452837203747E-3</v>
      </c>
      <c r="H532" s="92" t="s">
        <v>4</v>
      </c>
      <c r="I532" s="97">
        <f>_xll.meDateFromTenor(I531,"1D","FOLLOWING","TGT")</f>
        <v>43258</v>
      </c>
      <c r="J532" s="95">
        <f ca="1"/>
        <v>-2.6011709560775273E-3</v>
      </c>
      <c r="K532" s="5" t="s">
        <v>4</v>
      </c>
      <c r="L532" s="97">
        <f>_xll.meDateFromTenor(L531,"1D","FOLLOWING","TGT")</f>
        <v>43258</v>
      </c>
      <c r="M532" s="95">
        <f ca="1"/>
        <v>-1.0370311655934889E-3</v>
      </c>
      <c r="N532" s="5" t="s">
        <v>4</v>
      </c>
      <c r="O532" s="97">
        <f>_xll.meDateFromTenor(O531,"1D","FOLLOWING","TGT")</f>
        <v>43258</v>
      </c>
      <c r="P532" s="95">
        <f ca="1"/>
        <v>9.7751502393141911E-4</v>
      </c>
      <c r="Q532" s="5" t="s">
        <v>4</v>
      </c>
      <c r="R532" s="83" t="s">
        <v>4</v>
      </c>
    </row>
    <row r="533" spans="1:18" x14ac:dyDescent="0.25">
      <c r="A533" s="88">
        <v>519</v>
      </c>
      <c r="B533" s="82"/>
      <c r="C533" s="97">
        <f>_xll.meDateFromTenor(C532,"1D","FOLLOWING","TGT")</f>
        <v>43259</v>
      </c>
      <c r="D533" s="95">
        <f ca="1"/>
        <v>-4.0455461216828414E-3</v>
      </c>
      <c r="E533" s="92"/>
      <c r="F533" s="97">
        <f>_xll.meDateFromTenor(F532,"1D","FOLLOWING","TGT")</f>
        <v>43259</v>
      </c>
      <c r="G533" s="95">
        <f ca="1"/>
        <v>-3.5777439723192373E-3</v>
      </c>
      <c r="H533" s="92" t="s">
        <v>4</v>
      </c>
      <c r="I533" s="97">
        <f>_xll.meDateFromTenor(I532,"1D","FOLLOWING","TGT")</f>
        <v>43259</v>
      </c>
      <c r="J533" s="95">
        <f ca="1"/>
        <v>-2.5967705242418613E-3</v>
      </c>
      <c r="K533" s="5" t="s">
        <v>4</v>
      </c>
      <c r="L533" s="97">
        <f>_xll.meDateFromTenor(L532,"1D","FOLLOWING","TGT")</f>
        <v>43259</v>
      </c>
      <c r="M533" s="95">
        <f ca="1"/>
        <v>-1.0325894494460899E-3</v>
      </c>
      <c r="N533" s="5" t="s">
        <v>4</v>
      </c>
      <c r="O533" s="97">
        <f>_xll.meDateFromTenor(O532,"1D","FOLLOWING","TGT")</f>
        <v>43259</v>
      </c>
      <c r="P533" s="95">
        <f ca="1"/>
        <v>9.8192619589389197E-4</v>
      </c>
      <c r="Q533" s="5" t="s">
        <v>4</v>
      </c>
      <c r="R533" s="83" t="s">
        <v>4</v>
      </c>
    </row>
    <row r="534" spans="1:18" x14ac:dyDescent="0.25">
      <c r="A534" s="88">
        <v>520</v>
      </c>
      <c r="B534" s="82"/>
      <c r="C534" s="97">
        <f>_xll.meDateFromTenor(C533,"1D","FOLLOWING","TGT")</f>
        <v>43262</v>
      </c>
      <c r="D534" s="95">
        <f ca="1"/>
        <v>-4.0367123403816096E-3</v>
      </c>
      <c r="E534" s="92"/>
      <c r="F534" s="97">
        <f>_xll.meDateFromTenor(F533,"1D","FOLLOWING","TGT")</f>
        <v>43262</v>
      </c>
      <c r="G534" s="95">
        <f ca="1"/>
        <v>-3.5670637699056081E-3</v>
      </c>
      <c r="H534" s="92" t="s">
        <v>4</v>
      </c>
      <c r="I534" s="97">
        <f>_xll.meDateFromTenor(I533,"1D","FOLLOWING","TGT")</f>
        <v>43262</v>
      </c>
      <c r="J534" s="95">
        <f ca="1"/>
        <v>-2.5835556426337218E-3</v>
      </c>
      <c r="K534" s="5" t="s">
        <v>4</v>
      </c>
      <c r="L534" s="97">
        <f>_xll.meDateFromTenor(L533,"1D","FOLLOWING","TGT")</f>
        <v>43262</v>
      </c>
      <c r="M534" s="95">
        <f ca="1"/>
        <v>-1.0192484484982053E-3</v>
      </c>
      <c r="N534" s="5" t="s">
        <v>4</v>
      </c>
      <c r="O534" s="97">
        <f>_xll.meDateFromTenor(O533,"1D","FOLLOWING","TGT")</f>
        <v>43262</v>
      </c>
      <c r="P534" s="95">
        <f ca="1"/>
        <v>9.9518696992557791E-4</v>
      </c>
      <c r="Q534" s="5" t="s">
        <v>4</v>
      </c>
      <c r="R534" s="83" t="s">
        <v>4</v>
      </c>
    </row>
    <row r="535" spans="1:18" x14ac:dyDescent="0.25">
      <c r="A535" s="88">
        <v>521</v>
      </c>
      <c r="B535" s="82"/>
      <c r="C535" s="97">
        <f>_xll.meDateFromTenor(C534,"1D","FOLLOWING","TGT")</f>
        <v>43263</v>
      </c>
      <c r="D535" s="95">
        <f ca="1"/>
        <v>-4.0337642802705798E-3</v>
      </c>
      <c r="E535" s="92"/>
      <c r="F535" s="97">
        <f>_xll.meDateFromTenor(F534,"1D","FOLLOWING","TGT")</f>
        <v>43263</v>
      </c>
      <c r="G535" s="95">
        <f ca="1"/>
        <v>-3.5634506055885144E-3</v>
      </c>
      <c r="H535" s="92" t="s">
        <v>4</v>
      </c>
      <c r="I535" s="97">
        <f>_xll.meDateFromTenor(I534,"1D","FOLLOWING","TGT")</f>
        <v>43263</v>
      </c>
      <c r="J535" s="95">
        <f ca="1"/>
        <v>-2.5791462348003559E-3</v>
      </c>
      <c r="K535" s="5" t="s">
        <v>4</v>
      </c>
      <c r="L535" s="97">
        <f>_xll.meDateFromTenor(L534,"1D","FOLLOWING","TGT")</f>
        <v>43263</v>
      </c>
      <c r="M535" s="95">
        <f ca="1"/>
        <v>-1.0147961648058566E-3</v>
      </c>
      <c r="N535" s="5" t="s">
        <v>4</v>
      </c>
      <c r="O535" s="97">
        <f>_xll.meDateFromTenor(O534,"1D","FOLLOWING","TGT")</f>
        <v>43263</v>
      </c>
      <c r="P535" s="95">
        <f ca="1"/>
        <v>9.996162761772094E-4</v>
      </c>
      <c r="Q535" s="5" t="s">
        <v>4</v>
      </c>
      <c r="R535" s="83" t="s">
        <v>4</v>
      </c>
    </row>
    <row r="536" spans="1:18" x14ac:dyDescent="0.25">
      <c r="A536" s="88">
        <v>522</v>
      </c>
      <c r="B536" s="82"/>
      <c r="C536" s="97">
        <f>_xll.meDateFromTenor(C535,"1D","FOLLOWING","TGT")</f>
        <v>43264</v>
      </c>
      <c r="D536" s="95">
        <f ca="1"/>
        <v>-4.0308144869635187E-3</v>
      </c>
      <c r="E536" s="92"/>
      <c r="F536" s="97">
        <f>_xll.meDateFromTenor(F535,"1D","FOLLOWING","TGT")</f>
        <v>43264</v>
      </c>
      <c r="G536" s="95">
        <f ca="1"/>
        <v>-3.5598137224605716E-3</v>
      </c>
      <c r="H536" s="92" t="s">
        <v>4</v>
      </c>
      <c r="I536" s="97">
        <f>_xll.meDateFromTenor(I535,"1D","FOLLOWING","TGT")</f>
        <v>43264</v>
      </c>
      <c r="J536" s="95">
        <f ca="1"/>
        <v>-2.5747346440198626E-3</v>
      </c>
      <c r="K536" s="5" t="s">
        <v>4</v>
      </c>
      <c r="L536" s="97">
        <f>_xll.meDateFromTenor(L535,"1D","FOLLOWING","TGT")</f>
        <v>43264</v>
      </c>
      <c r="M536" s="95">
        <f ca="1"/>
        <v>-1.0103412398214022E-3</v>
      </c>
      <c r="N536" s="5" t="s">
        <v>4</v>
      </c>
      <c r="O536" s="97">
        <f>_xll.meDateFromTenor(O535,"1D","FOLLOWING","TGT")</f>
        <v>43264</v>
      </c>
      <c r="P536" s="95">
        <f ca="1"/>
        <v>1.004050087645865E-3</v>
      </c>
      <c r="Q536" s="5" t="s">
        <v>4</v>
      </c>
      <c r="R536" s="83" t="s">
        <v>4</v>
      </c>
    </row>
    <row r="537" spans="1:18" x14ac:dyDescent="0.25">
      <c r="A537" s="88">
        <v>523</v>
      </c>
      <c r="B537" s="82"/>
      <c r="C537" s="97">
        <f>_xll.meDateFromTenor(C536,"1D","FOLLOWING","TGT")</f>
        <v>43265</v>
      </c>
      <c r="D537" s="95">
        <f ca="1"/>
        <v>-4.0278629605627891E-3</v>
      </c>
      <c r="E537" s="92"/>
      <c r="F537" s="97">
        <f>_xll.meDateFromTenor(F536,"1D","FOLLOWING","TGT")</f>
        <v>43265</v>
      </c>
      <c r="G537" s="95">
        <f ca="1"/>
        <v>-3.5561548182890378E-3</v>
      </c>
      <c r="H537" s="92" t="s">
        <v>4</v>
      </c>
      <c r="I537" s="97">
        <f>_xll.meDateFromTenor(I536,"1D","FOLLOWING","TGT")</f>
        <v>43265</v>
      </c>
      <c r="J537" s="95">
        <f ca="1"/>
        <v>-2.57032089471316E-3</v>
      </c>
      <c r="K537" s="5" t="s">
        <v>4</v>
      </c>
      <c r="L537" s="97">
        <f>_xll.meDateFromTenor(L536,"1D","FOLLOWING","TGT")</f>
        <v>43265</v>
      </c>
      <c r="M537" s="95">
        <f ca="1"/>
        <v>-1.0058836737824959E-3</v>
      </c>
      <c r="N537" s="5" t="s">
        <v>4</v>
      </c>
      <c r="O537" s="97">
        <f>_xll.meDateFromTenor(O536,"1D","FOLLOWING","TGT")</f>
        <v>43265</v>
      </c>
      <c r="P537" s="95">
        <f ca="1"/>
        <v>1.0084883929894386E-3</v>
      </c>
      <c r="Q537" s="5" t="s">
        <v>4</v>
      </c>
      <c r="R537" s="83" t="s">
        <v>4</v>
      </c>
    </row>
    <row r="538" spans="1:18" x14ac:dyDescent="0.25">
      <c r="A538" s="88">
        <v>524</v>
      </c>
      <c r="B538" s="82"/>
      <c r="C538" s="97">
        <f>_xll.meDateFromTenor(C537,"1D","FOLLOWING","TGT")</f>
        <v>43266</v>
      </c>
      <c r="D538" s="95">
        <f ca="1"/>
        <v>-4.024909700814816E-3</v>
      </c>
      <c r="E538" s="92"/>
      <c r="F538" s="97">
        <f>_xll.meDateFromTenor(F537,"1D","FOLLOWING","TGT")</f>
        <v>43266</v>
      </c>
      <c r="G538" s="95">
        <f ca="1"/>
        <v>-3.5524755908411679E-3</v>
      </c>
      <c r="H538" s="92" t="s">
        <v>4</v>
      </c>
      <c r="I538" s="97">
        <f>_xll.meDateFromTenor(I537,"1D","FOLLOWING","TGT")</f>
        <v>43266</v>
      </c>
      <c r="J538" s="95">
        <f ca="1"/>
        <v>-2.5659050113011664E-3</v>
      </c>
      <c r="K538" s="5" t="s">
        <v>4</v>
      </c>
      <c r="L538" s="97">
        <f>_xll.meDateFromTenor(L537,"1D","FOLLOWING","TGT")</f>
        <v>43266</v>
      </c>
      <c r="M538" s="95">
        <f ca="1"/>
        <v>-1.0014234669267895E-3</v>
      </c>
      <c r="N538" s="5" t="s">
        <v>4</v>
      </c>
      <c r="O538" s="97">
        <f>_xll.meDateFromTenor(O537,"1D","FOLLOWING","TGT")</f>
        <v>43266</v>
      </c>
      <c r="P538" s="95">
        <f ca="1"/>
        <v>1.0129311808658235E-3</v>
      </c>
      <c r="Q538" s="5" t="s">
        <v>4</v>
      </c>
      <c r="R538" s="83" t="s">
        <v>4</v>
      </c>
    </row>
    <row r="539" spans="1:18" x14ac:dyDescent="0.25">
      <c r="A539" s="88">
        <v>525</v>
      </c>
      <c r="B539" s="82"/>
      <c r="C539" s="97">
        <f>_xll.meDateFromTenor(C538,"1D","FOLLOWING","TGT")</f>
        <v>43269</v>
      </c>
      <c r="D539" s="95">
        <f ca="1"/>
        <v>-4.0160395222894607E-3</v>
      </c>
      <c r="E539" s="92"/>
      <c r="F539" s="97">
        <f>_xll.meDateFromTenor(F538,"1D","FOLLOWING","TGT")</f>
        <v>43269</v>
      </c>
      <c r="G539" s="95">
        <f ca="1"/>
        <v>-3.5413329465121116E-3</v>
      </c>
      <c r="H539" s="92" t="s">
        <v>4</v>
      </c>
      <c r="I539" s="97">
        <f>_xll.meDateFromTenor(I538,"1D","FOLLOWING","TGT")</f>
        <v>43269</v>
      </c>
      <c r="J539" s="95">
        <f ca="1"/>
        <v>-2.5526448006426318E-3</v>
      </c>
      <c r="K539" s="5" t="s">
        <v>4</v>
      </c>
      <c r="L539" s="97">
        <f>_xll.meDateFromTenor(L538,"1D","FOLLOWING","TGT")</f>
        <v>43269</v>
      </c>
      <c r="M539" s="95">
        <f ca="1"/>
        <v>-9.8802700383540405E-4</v>
      </c>
      <c r="N539" s="5" t="s">
        <v>4</v>
      </c>
      <c r="O539" s="97">
        <f>_xll.meDateFromTenor(O538,"1D","FOLLOWING","TGT")</f>
        <v>43269</v>
      </c>
      <c r="P539" s="95">
        <f ca="1"/>
        <v>1.0262863262707864E-3</v>
      </c>
      <c r="Q539" s="5" t="s">
        <v>4</v>
      </c>
      <c r="R539" s="83" t="s">
        <v>4</v>
      </c>
    </row>
    <row r="540" spans="1:18" x14ac:dyDescent="0.25">
      <c r="A540" s="88">
        <v>526</v>
      </c>
      <c r="B540" s="82"/>
      <c r="C540" s="97">
        <f>_xll.meDateFromTenor(C539,"1D","FOLLOWING","TGT")</f>
        <v>43270</v>
      </c>
      <c r="D540" s="95">
        <f ca="1"/>
        <v>-4.0130793296361267E-3</v>
      </c>
      <c r="E540" s="92"/>
      <c r="F540" s="97">
        <f>_xll.meDateFromTenor(F539,"1D","FOLLOWING","TGT")</f>
        <v>43270</v>
      </c>
      <c r="G540" s="95">
        <f ca="1"/>
        <v>-3.5375894036314645E-3</v>
      </c>
      <c r="H540" s="92" t="s">
        <v>4</v>
      </c>
      <c r="I540" s="97">
        <f>_xll.meDateFromTenor(I539,"1D","FOLLOWING","TGT")</f>
        <v>43270</v>
      </c>
      <c r="J540" s="95">
        <f ca="1"/>
        <v>-2.5482206250186643E-3</v>
      </c>
      <c r="K540" s="5" t="s">
        <v>4</v>
      </c>
      <c r="L540" s="97">
        <f>_xll.meDateFromTenor(L539,"1D","FOLLOWING","TGT")</f>
        <v>43270</v>
      </c>
      <c r="M540" s="95">
        <f ca="1"/>
        <v>-9.835562360890292E-4</v>
      </c>
      <c r="N540" s="5" t="s">
        <v>4</v>
      </c>
      <c r="O540" s="97">
        <f>_xll.meDateFromTenor(O539,"1D","FOLLOWING","TGT")</f>
        <v>43270</v>
      </c>
      <c r="P540" s="95">
        <f ca="1"/>
        <v>1.030746930857356E-3</v>
      </c>
      <c r="Q540" s="5" t="s">
        <v>4</v>
      </c>
      <c r="R540" s="83" t="s">
        <v>4</v>
      </c>
    </row>
    <row r="541" spans="1:18" x14ac:dyDescent="0.25">
      <c r="A541" s="88">
        <v>527</v>
      </c>
      <c r="B541" s="82"/>
      <c r="C541" s="97">
        <f>_xll.meDateFromTenor(C540,"1D","FOLLOWING","TGT")</f>
        <v>43271</v>
      </c>
      <c r="D541" s="95">
        <f ca="1"/>
        <v>-4.0101174039171017E-3</v>
      </c>
      <c r="E541" s="92"/>
      <c r="F541" s="97">
        <f>_xll.meDateFromTenor(F540,"1D","FOLLOWING","TGT")</f>
        <v>43271</v>
      </c>
      <c r="G541" s="95">
        <f ca="1"/>
        <v>-3.5338340263107652E-3</v>
      </c>
      <c r="H541" s="92" t="s">
        <v>4</v>
      </c>
      <c r="I541" s="97">
        <f>_xll.meDateFromTenor(I540,"1D","FOLLOWING","TGT")</f>
        <v>43271</v>
      </c>
      <c r="J541" s="95">
        <f ca="1"/>
        <v>-2.5437944373940002E-3</v>
      </c>
      <c r="K541" s="5" t="s">
        <v>4</v>
      </c>
      <c r="L541" s="97">
        <f>_xll.meDateFromTenor(L540,"1D","FOLLOWING","TGT")</f>
        <v>43271</v>
      </c>
      <c r="M541" s="95">
        <f ca="1"/>
        <v>-9.7908282871411994E-4</v>
      </c>
      <c r="N541" s="5" t="s">
        <v>4</v>
      </c>
      <c r="O541" s="97">
        <f>_xll.meDateFromTenor(O540,"1D","FOLLOWING","TGT")</f>
        <v>43271</v>
      </c>
      <c r="P541" s="95">
        <f ca="1"/>
        <v>1.0352119612662054E-3</v>
      </c>
      <c r="Q541" s="5" t="s">
        <v>4</v>
      </c>
      <c r="R541" s="83" t="s">
        <v>4</v>
      </c>
    </row>
    <row r="542" spans="1:18" x14ac:dyDescent="0.25">
      <c r="A542" s="88">
        <v>528</v>
      </c>
      <c r="B542" s="82"/>
      <c r="C542" s="97">
        <f>_xll.meDateFromTenor(C541,"1D","FOLLOWING","TGT")</f>
        <v>43272</v>
      </c>
      <c r="D542" s="95">
        <f ca="1"/>
        <v>-4.0071537445995897E-3</v>
      </c>
      <c r="E542" s="92"/>
      <c r="F542" s="97">
        <f>_xll.meDateFromTenor(F541,"1D","FOLLOWING","TGT")</f>
        <v>43272</v>
      </c>
      <c r="G542" s="95">
        <f ca="1"/>
        <v>-3.5300685123172688E-3</v>
      </c>
      <c r="H542" s="92" t="s">
        <v>4</v>
      </c>
      <c r="I542" s="97">
        <f>_xll.meDateFromTenor(I541,"1D","FOLLOWING","TGT")</f>
        <v>43272</v>
      </c>
      <c r="J542" s="95">
        <f ca="1"/>
        <v>-2.5393662621895573E-3</v>
      </c>
      <c r="K542" s="5" t="s">
        <v>4</v>
      </c>
      <c r="L542" s="97">
        <f>_xll.meDateFromTenor(L541,"1D","FOLLOWING","TGT")</f>
        <v>43272</v>
      </c>
      <c r="M542" s="95">
        <f ca="1"/>
        <v>-9.7460678194832753E-4</v>
      </c>
      <c r="N542" s="5" t="s">
        <v>4</v>
      </c>
      <c r="O542" s="97">
        <f>_xll.meDateFromTenor(O541,"1D","FOLLOWING","TGT")</f>
        <v>43272</v>
      </c>
      <c r="P542" s="95">
        <f ca="1"/>
        <v>1.0396814061552299E-3</v>
      </c>
      <c r="Q542" s="5" t="s">
        <v>4</v>
      </c>
      <c r="R542" s="83" t="s">
        <v>4</v>
      </c>
    </row>
    <row r="543" spans="1:18" x14ac:dyDescent="0.25">
      <c r="A543" s="88">
        <v>529</v>
      </c>
      <c r="B543" s="82"/>
      <c r="C543" s="97">
        <f>_xll.meDateFromTenor(C542,"1D","FOLLOWING","TGT")</f>
        <v>43273</v>
      </c>
      <c r="D543" s="95">
        <f ca="1"/>
        <v>-4.0041883521855226E-3</v>
      </c>
      <c r="E543" s="92"/>
      <c r="F543" s="97">
        <f>_xll.meDateFromTenor(F542,"1D","FOLLOWING","TGT")</f>
        <v>43273</v>
      </c>
      <c r="G543" s="95">
        <f ca="1"/>
        <v>-3.5262945594182319E-3</v>
      </c>
      <c r="H543" s="92" t="s">
        <v>4</v>
      </c>
      <c r="I543" s="97">
        <f>_xll.meDateFromTenor(I542,"1D","FOLLOWING","TGT")</f>
        <v>43273</v>
      </c>
      <c r="J543" s="95">
        <f ca="1"/>
        <v>-2.5349361238262555E-3</v>
      </c>
      <c r="K543" s="5" t="s">
        <v>4</v>
      </c>
      <c r="L543" s="97">
        <f>_xll.meDateFromTenor(L542,"1D","FOLLOWING","TGT")</f>
        <v>43273</v>
      </c>
      <c r="M543" s="95">
        <f ca="1"/>
        <v>-9.7012809602930626E-4</v>
      </c>
      <c r="N543" s="5" t="s">
        <v>4</v>
      </c>
      <c r="O543" s="97">
        <f>_xll.meDateFromTenor(O542,"1D","FOLLOWING","TGT")</f>
        <v>43273</v>
      </c>
      <c r="P543" s="95">
        <f ca="1"/>
        <v>1.0441552541823225E-3</v>
      </c>
      <c r="Q543" s="5" t="s">
        <v>4</v>
      </c>
      <c r="R543" s="83" t="s">
        <v>4</v>
      </c>
    </row>
    <row r="544" spans="1:18" x14ac:dyDescent="0.25">
      <c r="A544" s="88">
        <v>530</v>
      </c>
      <c r="B544" s="82"/>
      <c r="C544" s="97">
        <f>_xll.meDateFromTenor(C543,"1D","FOLLOWING","TGT")</f>
        <v>43276</v>
      </c>
      <c r="D544" s="95">
        <f ca="1"/>
        <v>-3.9952817751761627E-3</v>
      </c>
      <c r="E544" s="92"/>
      <c r="F544" s="97">
        <f>_xll.meDateFromTenor(F543,"1D","FOLLOWING","TGT")</f>
        <v>43276</v>
      </c>
      <c r="G544" s="95">
        <f ca="1"/>
        <v>-3.5149390449604407E-3</v>
      </c>
      <c r="H544" s="92" t="s">
        <v>4</v>
      </c>
      <c r="I544" s="97">
        <f>_xll.meDateFromTenor(I543,"1D","FOLLOWING","TGT")</f>
        <v>43276</v>
      </c>
      <c r="J544" s="95">
        <f ca="1"/>
        <v>-2.5216341739923813E-3</v>
      </c>
      <c r="K544" s="5" t="s">
        <v>4</v>
      </c>
      <c r="L544" s="97">
        <f>_xll.meDateFromTenor(L543,"1D","FOLLOWING","TGT")</f>
        <v>43276</v>
      </c>
      <c r="M544" s="95">
        <f ca="1"/>
        <v>-9.566762057293956E-4</v>
      </c>
      <c r="N544" s="5" t="s">
        <v>4</v>
      </c>
      <c r="O544" s="97">
        <f>_xll.meDateFromTenor(O543,"1D","FOLLOWING","TGT")</f>
        <v>43276</v>
      </c>
      <c r="P544" s="95">
        <f ca="1"/>
        <v>1.0576031036709465E-3</v>
      </c>
      <c r="Q544" s="5" t="s">
        <v>4</v>
      </c>
      <c r="R544" s="83" t="s">
        <v>4</v>
      </c>
    </row>
    <row r="545" spans="1:18" x14ac:dyDescent="0.25">
      <c r="A545" s="88">
        <v>531</v>
      </c>
      <c r="B545" s="82"/>
      <c r="C545" s="97">
        <f>_xll.meDateFromTenor(C544,"1D","FOLLOWING","TGT")</f>
        <v>43277</v>
      </c>
      <c r="D545" s="95">
        <f ca="1"/>
        <v>-3.9923094494661582E-3</v>
      </c>
      <c r="E545" s="92"/>
      <c r="F545" s="97">
        <f>_xll.meDateFromTenor(F544,"1D","FOLLOWING","TGT")</f>
        <v>43277</v>
      </c>
      <c r="G545" s="95">
        <f ca="1"/>
        <v>-3.511148314111806E-3</v>
      </c>
      <c r="H545" s="92" t="s">
        <v>4</v>
      </c>
      <c r="I545" s="97">
        <f>_xll.meDateFromTenor(I544,"1D","FOLLOWING","TGT")</f>
        <v>43277</v>
      </c>
      <c r="J545" s="95">
        <f ca="1"/>
        <v>-2.5171964272028293E-3</v>
      </c>
      <c r="K545" s="5" t="s">
        <v>4</v>
      </c>
      <c r="L545" s="97">
        <f>_xll.meDateFromTenor(L544,"1D","FOLLOWING","TGT")</f>
        <v>43277</v>
      </c>
      <c r="M545" s="95">
        <f ca="1"/>
        <v>-9.5218696557398605E-4</v>
      </c>
      <c r="N545" s="5" t="s">
        <v>4</v>
      </c>
      <c r="O545" s="97">
        <f>_xll.meDateFromTenor(O544,"1D","FOLLOWING","TGT")</f>
        <v>43277</v>
      </c>
      <c r="P545" s="95">
        <f ca="1"/>
        <v>1.0620944508292493E-3</v>
      </c>
      <c r="Q545" s="5" t="s">
        <v>4</v>
      </c>
      <c r="R545" s="83" t="s">
        <v>4</v>
      </c>
    </row>
    <row r="546" spans="1:18" x14ac:dyDescent="0.25">
      <c r="A546" s="88">
        <v>532</v>
      </c>
      <c r="B546" s="82"/>
      <c r="C546" s="97">
        <f>_xll.meDateFromTenor(C545,"1D","FOLLOWING","TGT")</f>
        <v>43278</v>
      </c>
      <c r="D546" s="95">
        <f ca="1"/>
        <v>-3.9893353905031681E-3</v>
      </c>
      <c r="E546" s="92"/>
      <c r="F546" s="97">
        <f>_xll.meDateFromTenor(F545,"1D","FOLLOWING","TGT")</f>
        <v>43278</v>
      </c>
      <c r="G546" s="95">
        <f ca="1"/>
        <v>-3.5073576331939135E-3</v>
      </c>
      <c r="H546" s="92" t="s">
        <v>4</v>
      </c>
      <c r="I546" s="97">
        <f>_xll.meDateFromTenor(I545,"1D","FOLLOWING","TGT")</f>
        <v>43278</v>
      </c>
      <c r="J546" s="95">
        <f ca="1"/>
        <v>-2.512756839359013E-3</v>
      </c>
      <c r="K546" s="5" t="s">
        <v>4</v>
      </c>
      <c r="L546" s="97">
        <f>_xll.meDateFromTenor(L545,"1D","FOLLOWING","TGT")</f>
        <v>43278</v>
      </c>
      <c r="M546" s="95">
        <f ca="1"/>
        <v>-9.4769508745361274E-4</v>
      </c>
      <c r="N546" s="5" t="s">
        <v>4</v>
      </c>
      <c r="O546" s="97">
        <f>_xll.meDateFromTenor(O545,"1D","FOLLOWING","TGT")</f>
        <v>43278</v>
      </c>
      <c r="P546" s="95">
        <f ca="1"/>
        <v>1.0665901444150883E-3</v>
      </c>
      <c r="Q546" s="5" t="s">
        <v>4</v>
      </c>
      <c r="R546" s="83" t="s">
        <v>4</v>
      </c>
    </row>
    <row r="547" spans="1:18" x14ac:dyDescent="0.25">
      <c r="A547" s="88">
        <v>533</v>
      </c>
      <c r="B547" s="82"/>
      <c r="C547" s="97">
        <f>_xll.meDateFromTenor(C546,"1D","FOLLOWING","TGT")</f>
        <v>43279</v>
      </c>
      <c r="D547" s="95">
        <f ca="1"/>
        <v>-3.9863595982317923E-3</v>
      </c>
      <c r="E547" s="92"/>
      <c r="F547" s="97">
        <f>_xll.meDateFromTenor(F546,"1D","FOLLOWING","TGT")</f>
        <v>43279</v>
      </c>
      <c r="G547" s="95">
        <f ca="1"/>
        <v>-3.5035686999740183E-3</v>
      </c>
      <c r="H547" s="92" t="s">
        <v>4</v>
      </c>
      <c r="I547" s="97">
        <f>_xll.meDateFromTenor(I546,"1D","FOLLOWING","TGT")</f>
        <v>43279</v>
      </c>
      <c r="J547" s="95">
        <f ca="1"/>
        <v>-2.5083154348818485E-3</v>
      </c>
      <c r="K547" s="5" t="s">
        <v>4</v>
      </c>
      <c r="L547" s="97">
        <f>_xll.meDateFromTenor(L546,"1D","FOLLOWING","TGT")</f>
        <v>43279</v>
      </c>
      <c r="M547" s="95">
        <f ca="1"/>
        <v>-9.4320057160592681E-4</v>
      </c>
      <c r="N547" s="5" t="s">
        <v>4</v>
      </c>
      <c r="O547" s="97">
        <f>_xll.meDateFromTenor(O546,"1D","FOLLOWING","TGT")</f>
        <v>43279</v>
      </c>
      <c r="P547" s="95">
        <f ca="1"/>
        <v>1.0710901730863589E-3</v>
      </c>
      <c r="Q547" s="5" t="s">
        <v>4</v>
      </c>
      <c r="R547" s="83" t="s">
        <v>4</v>
      </c>
    </row>
    <row r="548" spans="1:18" x14ac:dyDescent="0.25">
      <c r="A548" s="88">
        <v>534</v>
      </c>
      <c r="B548" s="82"/>
      <c r="C548" s="97">
        <f>_xll.meDateFromTenor(C547,"1D","FOLLOWING","TGT")</f>
        <v>43280</v>
      </c>
      <c r="D548" s="95">
        <f ca="1"/>
        <v>-3.9833820725969638E-3</v>
      </c>
      <c r="E548" s="92"/>
      <c r="F548" s="97">
        <f>_xll.meDateFromTenor(F547,"1D","FOLLOWING","TGT")</f>
        <v>43280</v>
      </c>
      <c r="G548" s="95">
        <f ca="1"/>
        <v>-3.4997832122193782E-3</v>
      </c>
      <c r="H548" s="92" t="s">
        <v>4</v>
      </c>
      <c r="I548" s="97">
        <f>_xll.meDateFromTenor(I547,"1D","FOLLOWING","TGT")</f>
        <v>43280</v>
      </c>
      <c r="J548" s="95">
        <f ca="1"/>
        <v>-2.503872238192257E-3</v>
      </c>
      <c r="K548" s="5" t="s">
        <v>4</v>
      </c>
      <c r="L548" s="97">
        <f>_xll.meDateFromTenor(L547,"1D","FOLLOWING","TGT")</f>
        <v>43280</v>
      </c>
      <c r="M548" s="95">
        <f ca="1"/>
        <v>-9.3870341826858246E-4</v>
      </c>
      <c r="N548" s="5" t="s">
        <v>4</v>
      </c>
      <c r="O548" s="97">
        <f>_xll.meDateFromTenor(O547,"1D","FOLLOWING","TGT")</f>
        <v>43280</v>
      </c>
      <c r="P548" s="95">
        <f ca="1"/>
        <v>1.0755945255009529E-3</v>
      </c>
      <c r="Q548" s="5" t="s">
        <v>4</v>
      </c>
      <c r="R548" s="83" t="s">
        <v>4</v>
      </c>
    </row>
    <row r="549" spans="1:18" x14ac:dyDescent="0.25">
      <c r="A549" s="88">
        <v>535</v>
      </c>
      <c r="B549" s="82"/>
      <c r="C549" s="97">
        <f>_xll.meDateFromTenor(C548,"1D","FOLLOWING","TGT")</f>
        <v>43283</v>
      </c>
      <c r="D549" s="95">
        <f ca="1"/>
        <v>-3.9744390954760123E-3</v>
      </c>
      <c r="E549" s="92"/>
      <c r="F549" s="97">
        <f>_xll.meDateFromTenor(F548,"1D","FOLLOWING","TGT")</f>
        <v>43283</v>
      </c>
      <c r="G549" s="95">
        <f ca="1"/>
        <v>-3.4884643994195475E-3</v>
      </c>
      <c r="H549" s="92" t="s">
        <v>4</v>
      </c>
      <c r="I549" s="97">
        <f>_xll.meDateFromTenor(I548,"1D","FOLLOWING","TGT")</f>
        <v>43283</v>
      </c>
      <c r="J549" s="95">
        <f ca="1"/>
        <v>-2.490532139058099E-3</v>
      </c>
      <c r="K549" s="5" t="s">
        <v>4</v>
      </c>
      <c r="L549" s="97">
        <f>_xll.meDateFromTenor(L548,"1D","FOLLOWING","TGT")</f>
        <v>43283</v>
      </c>
      <c r="M549" s="95">
        <f ca="1"/>
        <v>-9.2519613569512244E-4</v>
      </c>
      <c r="N549" s="5" t="s">
        <v>4</v>
      </c>
      <c r="O549" s="97">
        <f>_xll.meDateFromTenor(O548,"1D","FOLLOWING","TGT")</f>
        <v>43283</v>
      </c>
      <c r="P549" s="95">
        <f ca="1"/>
        <v>1.0891334117836225E-3</v>
      </c>
      <c r="Q549" s="5" t="s">
        <v>4</v>
      </c>
      <c r="R549" s="83" t="s">
        <v>4</v>
      </c>
    </row>
    <row r="550" spans="1:18" x14ac:dyDescent="0.25">
      <c r="A550" s="88">
        <v>536</v>
      </c>
      <c r="B550" s="82"/>
      <c r="C550" s="97">
        <f>_xll.meDateFromTenor(C549,"1D","FOLLOWING","TGT")</f>
        <v>43284</v>
      </c>
      <c r="D550" s="95">
        <f ca="1"/>
        <v>-3.9714546362323855E-3</v>
      </c>
      <c r="E550" s="92"/>
      <c r="F550" s="97">
        <f>_xll.meDateFromTenor(F549,"1D","FOLLOWING","TGT")</f>
        <v>43284</v>
      </c>
      <c r="G550" s="95">
        <f ca="1"/>
        <v>-3.4847093960001384E-3</v>
      </c>
      <c r="H550" s="92" t="s">
        <v>4</v>
      </c>
      <c r="I550" s="97">
        <f>_xll.meDateFromTenor(I549,"1D","FOLLOWING","TGT")</f>
        <v>43284</v>
      </c>
      <c r="J550" s="95">
        <f ca="1"/>
        <v>-2.486082017727982E-3</v>
      </c>
      <c r="K550" s="5" t="s">
        <v>4</v>
      </c>
      <c r="L550" s="97">
        <f>_xll.meDateFromTenor(L549,"1D","FOLLOWING","TGT")</f>
        <v>43284</v>
      </c>
      <c r="M550" s="95">
        <f ca="1"/>
        <v>-9.2068843477567045E-4</v>
      </c>
      <c r="N550" s="5" t="s">
        <v>4</v>
      </c>
      <c r="O550" s="97">
        <f>_xll.meDateFromTenor(O549,"1D","FOLLOWING","TGT")</f>
        <v>43284</v>
      </c>
      <c r="P550" s="95">
        <f ca="1"/>
        <v>1.0936549457504531E-3</v>
      </c>
      <c r="Q550" s="5" t="s">
        <v>4</v>
      </c>
      <c r="R550" s="83" t="s">
        <v>4</v>
      </c>
    </row>
    <row r="551" spans="1:18" x14ac:dyDescent="0.25">
      <c r="A551" s="88">
        <v>537</v>
      </c>
      <c r="B551" s="82"/>
      <c r="C551" s="97">
        <f>_xll.meDateFromTenor(C550,"1D","FOLLOWING","TGT")</f>
        <v>43285</v>
      </c>
      <c r="D551" s="95">
        <f ca="1"/>
        <v>-3.9684684436274154E-3</v>
      </c>
      <c r="E551" s="92"/>
      <c r="F551" s="97">
        <f>_xll.meDateFromTenor(F550,"1D","FOLLOWING","TGT")</f>
        <v>43285</v>
      </c>
      <c r="G551" s="95">
        <f ca="1"/>
        <v>-3.4809646756921598E-3</v>
      </c>
      <c r="H551" s="92" t="s">
        <v>4</v>
      </c>
      <c r="I551" s="97">
        <f>_xll.meDateFromTenor(I550,"1D","FOLLOWING","TGT")</f>
        <v>43285</v>
      </c>
      <c r="J551" s="95">
        <f ca="1"/>
        <v>-2.4816302262900304E-3</v>
      </c>
      <c r="K551" s="5" t="s">
        <v>4</v>
      </c>
      <c r="L551" s="97">
        <f>_xll.meDateFromTenor(L550,"1D","FOLLOWING","TGT")</f>
        <v>43285</v>
      </c>
      <c r="M551" s="95">
        <f ca="1"/>
        <v>-9.1617809755482383E-4</v>
      </c>
      <c r="N551" s="5" t="s">
        <v>4</v>
      </c>
      <c r="O551" s="97">
        <f>_xll.meDateFromTenor(O550,"1D","FOLLOWING","TGT")</f>
        <v>43285</v>
      </c>
      <c r="P551" s="95">
        <f ca="1"/>
        <v>1.0981807467500774E-3</v>
      </c>
      <c r="Q551" s="5" t="s">
        <v>4</v>
      </c>
      <c r="R551" s="83" t="s">
        <v>4</v>
      </c>
    </row>
    <row r="552" spans="1:18" x14ac:dyDescent="0.25">
      <c r="A552" s="88">
        <v>538</v>
      </c>
      <c r="B552" s="82"/>
      <c r="C552" s="97">
        <f>_xll.meDateFromTenor(C551,"1D","FOLLOWING","TGT")</f>
        <v>43286</v>
      </c>
      <c r="D552" s="95">
        <f ca="1"/>
        <v>-3.9654805178050978E-3</v>
      </c>
      <c r="E552" s="92"/>
      <c r="F552" s="97">
        <f>_xll.meDateFromTenor(F551,"1D","FOLLOWING","TGT")</f>
        <v>43286</v>
      </c>
      <c r="G552" s="95">
        <f ca="1"/>
        <v>-3.4772302850727657E-3</v>
      </c>
      <c r="H552" s="92" t="s">
        <v>4</v>
      </c>
      <c r="I552" s="97">
        <f>_xll.meDateFromTenor(I551,"1D","FOLLOWING","TGT")</f>
        <v>43286</v>
      </c>
      <c r="J552" s="95">
        <f ca="1"/>
        <v>-2.4771767891651627E-3</v>
      </c>
      <c r="K552" s="5" t="s">
        <v>4</v>
      </c>
      <c r="L552" s="97">
        <f>_xll.meDateFromTenor(L551,"1D","FOLLOWING","TGT")</f>
        <v>43286</v>
      </c>
      <c r="M552" s="95">
        <f ca="1"/>
        <v>-9.1166512427023579E-4</v>
      </c>
      <c r="N552" s="5" t="s">
        <v>4</v>
      </c>
      <c r="O552" s="97">
        <f>_xll.meDateFromTenor(O551,"1D","FOLLOWING","TGT")</f>
        <v>43286</v>
      </c>
      <c r="P552" s="95">
        <f ca="1"/>
        <v>1.1027108034403889E-3</v>
      </c>
      <c r="Q552" s="5" t="s">
        <v>4</v>
      </c>
      <c r="R552" s="83" t="s">
        <v>4</v>
      </c>
    </row>
    <row r="553" spans="1:18" x14ac:dyDescent="0.25">
      <c r="A553" s="88">
        <v>539</v>
      </c>
      <c r="B553" s="82"/>
      <c r="C553" s="97">
        <f>_xll.meDateFromTenor(C552,"1D","FOLLOWING","TGT")</f>
        <v>43287</v>
      </c>
      <c r="D553" s="95">
        <f ca="1"/>
        <v>-3.9624908583116847E-3</v>
      </c>
      <c r="E553" s="92"/>
      <c r="F553" s="97">
        <f>_xll.meDateFromTenor(F552,"1D","FOLLOWING","TGT")</f>
        <v>43287</v>
      </c>
      <c r="G553" s="95">
        <f ca="1"/>
        <v>-3.4735062707191046E-3</v>
      </c>
      <c r="H553" s="92" t="s">
        <v>4</v>
      </c>
      <c r="I553" s="97">
        <f>_xll.meDateFromTenor(I552,"1D","FOLLOWING","TGT")</f>
        <v>43287</v>
      </c>
      <c r="J553" s="95">
        <f ca="1"/>
        <v>-2.4727217307742994E-3</v>
      </c>
      <c r="K553" s="5" t="s">
        <v>4</v>
      </c>
      <c r="L553" s="97">
        <f>_xll.meDateFromTenor(L552,"1D","FOLLOWING","TGT")</f>
        <v>43287</v>
      </c>
      <c r="M553" s="95">
        <f ca="1"/>
        <v>-9.0714951515955965E-4</v>
      </c>
      <c r="N553" s="5" t="s">
        <v>4</v>
      </c>
      <c r="O553" s="97">
        <f>_xll.meDateFromTenor(O552,"1D","FOLLOWING","TGT")</f>
        <v>43287</v>
      </c>
      <c r="P553" s="95">
        <f ca="1"/>
        <v>1.1072451044792802E-3</v>
      </c>
      <c r="Q553" s="5" t="s">
        <v>4</v>
      </c>
      <c r="R553" s="83" t="s">
        <v>4</v>
      </c>
    </row>
    <row r="554" spans="1:18" x14ac:dyDescent="0.25">
      <c r="A554" s="88">
        <v>540</v>
      </c>
      <c r="B554" s="82"/>
      <c r="C554" s="97">
        <f>_xll.meDateFromTenor(C553,"1D","FOLLOWING","TGT")</f>
        <v>43290</v>
      </c>
      <c r="D554" s="95">
        <f ca="1"/>
        <v>-3.9535114793628479E-3</v>
      </c>
      <c r="E554" s="92"/>
      <c r="F554" s="97">
        <f>_xll.meDateFromTenor(F553,"1D","FOLLOWING","TGT")</f>
        <v>43290</v>
      </c>
      <c r="G554" s="95">
        <f ca="1"/>
        <v>-3.4623969510240399E-3</v>
      </c>
      <c r="H554" s="92" t="s">
        <v>4</v>
      </c>
      <c r="I554" s="97">
        <f>_xll.meDateFromTenor(I553,"1D","FOLLOWING","TGT")</f>
        <v>43290</v>
      </c>
      <c r="J554" s="95">
        <f ca="1"/>
        <v>-2.4593470722149144E-3</v>
      </c>
      <c r="K554" s="5" t="s">
        <v>4</v>
      </c>
      <c r="L554" s="97">
        <f>_xll.meDateFromTenor(L553,"1D","FOLLOWING","TGT")</f>
        <v>43290</v>
      </c>
      <c r="M554" s="95">
        <f ca="1"/>
        <v>-8.9358687524752629E-4</v>
      </c>
      <c r="N554" s="5" t="s">
        <v>4</v>
      </c>
      <c r="O554" s="97">
        <f>_xll.meDateFromTenor(O553,"1D","FOLLOWING","TGT")</f>
        <v>43290</v>
      </c>
      <c r="P554" s="95">
        <f ca="1"/>
        <v>1.1208733602663798E-3</v>
      </c>
      <c r="Q554" s="5" t="s">
        <v>4</v>
      </c>
      <c r="R554" s="83" t="s">
        <v>4</v>
      </c>
    </row>
    <row r="555" spans="1:18" x14ac:dyDescent="0.25">
      <c r="A555" s="88">
        <v>541</v>
      </c>
      <c r="B555" s="82"/>
      <c r="C555" s="97">
        <f>_xll.meDateFromTenor(C554,"1D","FOLLOWING","TGT")</f>
        <v>43291</v>
      </c>
      <c r="D555" s="95">
        <f ca="1"/>
        <v>-3.9505148862646333E-3</v>
      </c>
      <c r="E555" s="92"/>
      <c r="F555" s="97">
        <f>_xll.meDateFromTenor(F554,"1D","FOLLOWING","TGT")</f>
        <v>43291</v>
      </c>
      <c r="G555" s="95">
        <f ca="1"/>
        <v>-3.4587149075048281E-3</v>
      </c>
      <c r="H555" s="92" t="s">
        <v>4</v>
      </c>
      <c r="I555" s="97">
        <f>_xll.meDateFromTenor(I554,"1D","FOLLOWING","TGT")</f>
        <v>43291</v>
      </c>
      <c r="J555" s="95">
        <f ca="1"/>
        <v>-2.4548857729692498E-3</v>
      </c>
      <c r="K555" s="5" t="s">
        <v>4</v>
      </c>
      <c r="L555" s="97">
        <f>_xll.meDateFromTenor(L554,"1D","FOLLOWING","TGT")</f>
        <v>43291</v>
      </c>
      <c r="M555" s="95">
        <f ca="1"/>
        <v>-8.8906072520902348E-4</v>
      </c>
      <c r="N555" s="5" t="s">
        <v>4</v>
      </c>
      <c r="O555" s="97">
        <f>_xll.meDateFromTenor(O554,"1D","FOLLOWING","TGT")</f>
        <v>43291</v>
      </c>
      <c r="P555" s="95">
        <f ca="1"/>
        <v>1.1254245252785334E-3</v>
      </c>
      <c r="Q555" s="5" t="s">
        <v>4</v>
      </c>
      <c r="R555" s="83" t="s">
        <v>4</v>
      </c>
    </row>
    <row r="556" spans="1:18" x14ac:dyDescent="0.25">
      <c r="A556" s="88">
        <v>542</v>
      </c>
      <c r="B556" s="82"/>
      <c r="C556" s="97">
        <f>_xll.meDateFromTenor(C555,"1D","FOLLOWING","TGT")</f>
        <v>43292</v>
      </c>
      <c r="D556" s="95">
        <f ca="1"/>
        <v>-3.9475165594179407E-3</v>
      </c>
      <c r="E556" s="92"/>
      <c r="F556" s="97">
        <f>_xll.meDateFromTenor(F555,"1D","FOLLOWING","TGT")</f>
        <v>43292</v>
      </c>
      <c r="G556" s="95">
        <f ca="1"/>
        <v>-3.4550434731371073E-3</v>
      </c>
      <c r="H556" s="92" t="s">
        <v>4</v>
      </c>
      <c r="I556" s="97">
        <f>_xll.meDateFromTenor(I555,"1D","FOLLOWING","TGT")</f>
        <v>43292</v>
      </c>
      <c r="J556" s="95">
        <f ca="1"/>
        <v>-2.4504229745621825E-3</v>
      </c>
      <c r="K556" s="5" t="s">
        <v>4</v>
      </c>
      <c r="L556" s="97">
        <f>_xll.meDateFromTenor(L555,"1D","FOLLOWING","TGT")</f>
        <v>43292</v>
      </c>
      <c r="M556" s="95">
        <f ca="1"/>
        <v>-8.8453194053269625E-4</v>
      </c>
      <c r="N556" s="5" t="s">
        <v>4</v>
      </c>
      <c r="O556" s="97">
        <f>_xll.meDateFromTenor(O555,"1D","FOLLOWING","TGT")</f>
        <v>43292</v>
      </c>
      <c r="P556" s="95">
        <f ca="1"/>
        <v>1.129979877928737E-3</v>
      </c>
      <c r="Q556" s="5" t="s">
        <v>4</v>
      </c>
      <c r="R556" s="83" t="s">
        <v>4</v>
      </c>
    </row>
    <row r="557" spans="1:18" x14ac:dyDescent="0.25">
      <c r="A557" s="88">
        <v>543</v>
      </c>
      <c r="B557" s="82"/>
      <c r="C557" s="97">
        <f>_xll.meDateFromTenor(C556,"1D","FOLLOWING","TGT")</f>
        <v>43293</v>
      </c>
      <c r="D557" s="95">
        <f ca="1"/>
        <v>-3.9445164991256387E-3</v>
      </c>
      <c r="E557" s="92"/>
      <c r="F557" s="97">
        <f>_xll.meDateFromTenor(F556,"1D","FOLLOWING","TGT")</f>
        <v>43293</v>
      </c>
      <c r="G557" s="95">
        <f ca="1"/>
        <v>-3.4513826944980279E-3</v>
      </c>
      <c r="H557" s="92" t="s">
        <v>4</v>
      </c>
      <c r="I557" s="97">
        <f>_xll.meDateFromTenor(I556,"1D","FOLLOWING","TGT")</f>
        <v>43293</v>
      </c>
      <c r="J557" s="95">
        <f ca="1"/>
        <v>-2.4459587014146311E-3</v>
      </c>
      <c r="K557" s="5" t="s">
        <v>4</v>
      </c>
      <c r="L557" s="97">
        <f>_xll.meDateFromTenor(L556,"1D","FOLLOWING","TGT")</f>
        <v>43293</v>
      </c>
      <c r="M557" s="95">
        <f ca="1"/>
        <v>-8.8000052145619781E-4</v>
      </c>
      <c r="N557" s="5" t="s">
        <v>4</v>
      </c>
      <c r="O557" s="97">
        <f>_xll.meDateFromTenor(O556,"1D","FOLLOWING","TGT")</f>
        <v>43293</v>
      </c>
      <c r="P557" s="95">
        <f ca="1"/>
        <v>1.134539406874884E-3</v>
      </c>
      <c r="Q557" s="5" t="s">
        <v>4</v>
      </c>
      <c r="R557" s="83" t="s">
        <v>4</v>
      </c>
    </row>
    <row r="558" spans="1:18" x14ac:dyDescent="0.25">
      <c r="A558" s="88">
        <v>544</v>
      </c>
      <c r="B558" s="82"/>
      <c r="C558" s="97">
        <f>_xll.meDateFromTenor(C557,"1D","FOLLOWING","TGT")</f>
        <v>43294</v>
      </c>
      <c r="D558" s="95">
        <f ca="1"/>
        <v>-3.9415147054516764E-3</v>
      </c>
      <c r="E558" s="92"/>
      <c r="F558" s="97">
        <f>_xll.meDateFromTenor(F557,"1D","FOLLOWING","TGT")</f>
        <v>43294</v>
      </c>
      <c r="G558" s="95">
        <f ca="1"/>
        <v>-3.4477326181647418E-3</v>
      </c>
      <c r="H558" s="92" t="s">
        <v>4</v>
      </c>
      <c r="I558" s="97">
        <f>_xll.meDateFromTenor(I557,"1D","FOLLOWING","TGT")</f>
        <v>43294</v>
      </c>
      <c r="J558" s="95">
        <f ca="1"/>
        <v>-2.4414929779475137E-3</v>
      </c>
      <c r="K558" s="5" t="s">
        <v>4</v>
      </c>
      <c r="L558" s="97">
        <f>_xll.meDateFromTenor(L557,"1D","FOLLOWING","TGT")</f>
        <v>43294</v>
      </c>
      <c r="M558" s="95">
        <f ca="1"/>
        <v>-8.7546646821718105E-4</v>
      </c>
      <c r="N558" s="5" t="s">
        <v>4</v>
      </c>
      <c r="O558" s="97">
        <f>_xll.meDateFromTenor(O557,"1D","FOLLOWING","TGT")</f>
        <v>43294</v>
      </c>
      <c r="P558" s="95">
        <f ca="1"/>
        <v>1.1391031007748687E-3</v>
      </c>
      <c r="Q558" s="5" t="s">
        <v>4</v>
      </c>
      <c r="R558" s="83" t="s">
        <v>4</v>
      </c>
    </row>
    <row r="559" spans="1:18" x14ac:dyDescent="0.25">
      <c r="A559" s="88">
        <v>545</v>
      </c>
      <c r="B559" s="82"/>
      <c r="C559" s="97">
        <f>_xll.meDateFromTenor(C558,"1D","FOLLOWING","TGT")</f>
        <v>43297</v>
      </c>
      <c r="D559" s="95">
        <f ca="1"/>
        <v>-3.9324989229492235E-3</v>
      </c>
      <c r="E559" s="92"/>
      <c r="F559" s="97">
        <f>_xll.meDateFromTenor(F558,"1D","FOLLOWING","TGT")</f>
        <v>43297</v>
      </c>
      <c r="G559" s="95">
        <f ca="1"/>
        <v>-3.4368470687711561E-3</v>
      </c>
      <c r="H559" s="92" t="s">
        <v>4</v>
      </c>
      <c r="I559" s="97">
        <f>_xll.meDateFromTenor(I558,"1D","FOLLOWING","TGT")</f>
        <v>43297</v>
      </c>
      <c r="J559" s="95">
        <f ca="1"/>
        <v>-2.4280873498379553E-3</v>
      </c>
      <c r="K559" s="5" t="s">
        <v>4</v>
      </c>
      <c r="L559" s="97">
        <f>_xll.meDateFromTenor(L558,"1D","FOLLOWING","TGT")</f>
        <v>43297</v>
      </c>
      <c r="M559" s="95">
        <f ca="1"/>
        <v>-8.6184850590154875E-4</v>
      </c>
      <c r="N559" s="5" t="s">
        <v>4</v>
      </c>
      <c r="O559" s="97">
        <f>_xll.meDateFromTenor(O558,"1D","FOLLOWING","TGT")</f>
        <v>43297</v>
      </c>
      <c r="P559" s="95">
        <f ca="1"/>
        <v>1.1528190587767834E-3</v>
      </c>
      <c r="Q559" s="5" t="s">
        <v>4</v>
      </c>
      <c r="R559" s="83" t="s">
        <v>4</v>
      </c>
    </row>
    <row r="560" spans="1:18" x14ac:dyDescent="0.25">
      <c r="A560" s="88">
        <v>546</v>
      </c>
      <c r="B560" s="82"/>
      <c r="C560" s="97">
        <f>_xll.meDateFromTenor(C559,"1D","FOLLOWING","TGT")</f>
        <v>43298</v>
      </c>
      <c r="D560" s="95">
        <f ca="1"/>
        <v>-3.9294901950357453E-3</v>
      </c>
      <c r="E560" s="92"/>
      <c r="F560" s="97">
        <f>_xll.meDateFromTenor(F559,"1D","FOLLOWING","TGT")</f>
        <v>43298</v>
      </c>
      <c r="G560" s="95">
        <f ca="1"/>
        <v>-3.4332402674325567E-3</v>
      </c>
      <c r="H560" s="92" t="s">
        <v>4</v>
      </c>
      <c r="I560" s="97">
        <f>_xll.meDateFromTenor(I559,"1D","FOLLOWING","TGT")</f>
        <v>43298</v>
      </c>
      <c r="J560" s="95">
        <f ca="1"/>
        <v>-2.4236160693017639E-3</v>
      </c>
      <c r="K560" s="5" t="s">
        <v>4</v>
      </c>
      <c r="L560" s="97">
        <f>_xll.meDateFromTenor(L559,"1D","FOLLOWING","TGT")</f>
        <v>43298</v>
      </c>
      <c r="M560" s="95">
        <f ca="1"/>
        <v>-8.5730391838898759E-4</v>
      </c>
      <c r="N560" s="5" t="s">
        <v>4</v>
      </c>
      <c r="O560" s="97">
        <f>_xll.meDateFromTenor(O559,"1D","FOLLOWING","TGT")</f>
        <v>43298</v>
      </c>
      <c r="P560" s="95">
        <f ca="1"/>
        <v>1.1573992990710543E-3</v>
      </c>
      <c r="Q560" s="5" t="s">
        <v>4</v>
      </c>
      <c r="R560" s="83" t="s">
        <v>4</v>
      </c>
    </row>
    <row r="561" spans="1:18" x14ac:dyDescent="0.25">
      <c r="A561" s="88">
        <v>547</v>
      </c>
      <c r="B561" s="82"/>
      <c r="C561" s="97">
        <f>_xll.meDateFromTenor(C560,"1D","FOLLOWING","TGT")</f>
        <v>43299</v>
      </c>
      <c r="D561" s="95">
        <f ca="1"/>
        <v>-3.9264797336228119E-3</v>
      </c>
      <c r="E561" s="92"/>
      <c r="F561" s="97">
        <f>_xll.meDateFromTenor(F560,"1D","FOLLOWING","TGT")</f>
        <v>43299</v>
      </c>
      <c r="G561" s="95">
        <f ca="1"/>
        <v>-3.4296444012855065E-3</v>
      </c>
      <c r="H561" s="92" t="s">
        <v>4</v>
      </c>
      <c r="I561" s="97">
        <f>_xll.meDateFromTenor(I560,"1D","FOLLOWING","TGT")</f>
        <v>43299</v>
      </c>
      <c r="J561" s="95">
        <f ca="1"/>
        <v>-2.4191434605505989E-3</v>
      </c>
      <c r="K561" s="5" t="s">
        <v>4</v>
      </c>
      <c r="L561" s="97">
        <f>_xll.meDateFromTenor(L560,"1D","FOLLOWING","TGT")</f>
        <v>43299</v>
      </c>
      <c r="M561" s="95">
        <f ca="1"/>
        <v>-8.5275669790217158E-4</v>
      </c>
      <c r="N561" s="5" t="s">
        <v>4</v>
      </c>
      <c r="O561" s="97">
        <f>_xll.meDateFromTenor(O560,"1D","FOLLOWING","TGT")</f>
        <v>43299</v>
      </c>
      <c r="P561" s="95">
        <f ca="1"/>
        <v>1.1619836476086322E-3</v>
      </c>
      <c r="Q561" s="5" t="s">
        <v>4</v>
      </c>
      <c r="R561" s="83" t="s">
        <v>4</v>
      </c>
    </row>
    <row r="562" spans="1:18" x14ac:dyDescent="0.25">
      <c r="A562" s="88">
        <v>548</v>
      </c>
      <c r="B562" s="82"/>
      <c r="C562" s="97">
        <f>_xll.meDateFromTenor(C561,"1D","FOLLOWING","TGT")</f>
        <v>43300</v>
      </c>
      <c r="D562" s="95">
        <f ca="1"/>
        <v>-3.9234675382967543E-3</v>
      </c>
      <c r="E562" s="92"/>
      <c r="F562" s="97">
        <f>_xll.meDateFromTenor(F561,"1D","FOLLOWING","TGT")</f>
        <v>43300</v>
      </c>
      <c r="G562" s="95">
        <f ca="1"/>
        <v>-3.4260595169071572E-3</v>
      </c>
      <c r="H562" s="92" t="s">
        <v>4</v>
      </c>
      <c r="I562" s="97">
        <f>_xll.meDateFromTenor(I561,"1D","FOLLOWING","TGT")</f>
        <v>43300</v>
      </c>
      <c r="J562" s="95">
        <f ca="1"/>
        <v>-2.414669548005381E-3</v>
      </c>
      <c r="K562" s="5" t="s">
        <v>4</v>
      </c>
      <c r="L562" s="97">
        <f>_xll.meDateFromTenor(L561,"1D","FOLLOWING","TGT")</f>
        <v>43300</v>
      </c>
      <c r="M562" s="95">
        <f ca="1"/>
        <v>-8.4820684467875446E-4</v>
      </c>
      <c r="N562" s="5" t="s">
        <v>4</v>
      </c>
      <c r="O562" s="97">
        <f>_xll.meDateFromTenor(O561,"1D","FOLLOWING","TGT")</f>
        <v>43300</v>
      </c>
      <c r="P562" s="95">
        <f ca="1"/>
        <v>1.1665720930474103E-3</v>
      </c>
      <c r="Q562" s="5" t="s">
        <v>4</v>
      </c>
      <c r="R562" s="83" t="s">
        <v>4</v>
      </c>
    </row>
    <row r="563" spans="1:18" x14ac:dyDescent="0.25">
      <c r="A563" s="88">
        <v>549</v>
      </c>
      <c r="B563" s="82"/>
      <c r="C563" s="97">
        <f>_xll.meDateFromTenor(C562,"1D","FOLLOWING","TGT")</f>
        <v>43301</v>
      </c>
      <c r="D563" s="95">
        <f ca="1"/>
        <v>-3.9204536096789644E-3</v>
      </c>
      <c r="E563" s="92"/>
      <c r="F563" s="97">
        <f>_xll.meDateFromTenor(F562,"1D","FOLLOWING","TGT")</f>
        <v>43301</v>
      </c>
      <c r="G563" s="95">
        <f ca="1"/>
        <v>-3.42248566087466E-3</v>
      </c>
      <c r="H563" s="92" t="s">
        <v>4</v>
      </c>
      <c r="I563" s="97">
        <f>_xll.meDateFromTenor(I562,"1D","FOLLOWING","TGT")</f>
        <v>43301</v>
      </c>
      <c r="J563" s="95">
        <f ca="1"/>
        <v>-2.4101943560870284E-3</v>
      </c>
      <c r="K563" s="5" t="s">
        <v>4</v>
      </c>
      <c r="L563" s="97">
        <f>_xll.meDateFromTenor(L562,"1D","FOLLOWING","TGT")</f>
        <v>43301</v>
      </c>
      <c r="M563" s="95">
        <f ca="1"/>
        <v>-8.4365435895638924E-4</v>
      </c>
      <c r="N563" s="5" t="s">
        <v>4</v>
      </c>
      <c r="O563" s="97">
        <f>_xll.meDateFromTenor(O562,"1D","FOLLOWING","TGT")</f>
        <v>43301</v>
      </c>
      <c r="P563" s="95">
        <f ca="1"/>
        <v>1.171164624045282E-3</v>
      </c>
      <c r="Q563" s="5" t="s">
        <v>4</v>
      </c>
      <c r="R563" s="83" t="s">
        <v>4</v>
      </c>
    </row>
    <row r="564" spans="1:18" x14ac:dyDescent="0.25">
      <c r="A564" s="88">
        <v>550</v>
      </c>
      <c r="B564" s="82"/>
      <c r="C564" s="97">
        <f>_xll.meDateFromTenor(C563,"1D","FOLLOWING","TGT")</f>
        <v>43304</v>
      </c>
      <c r="D564" s="95">
        <f ca="1"/>
        <v>-3.9114014216096171E-3</v>
      </c>
      <c r="E564" s="92"/>
      <c r="F564" s="97">
        <f>_xll.meDateFromTenor(F563,"1D","FOLLOWING","TGT")</f>
        <v>43304</v>
      </c>
      <c r="G564" s="95">
        <f ca="1"/>
        <v>-3.4118307286237961E-3</v>
      </c>
      <c r="H564" s="92" t="s">
        <v>4</v>
      </c>
      <c r="I564" s="97">
        <f>_xll.meDateFromTenor(I563,"1D","FOLLOWING","TGT")</f>
        <v>43304</v>
      </c>
      <c r="J564" s="95">
        <f ca="1"/>
        <v>-2.3967613483023534E-3</v>
      </c>
      <c r="K564" s="5" t="s">
        <v>4</v>
      </c>
      <c r="L564" s="97">
        <f>_xll.meDateFromTenor(L563,"1D","FOLLOWING","TGT")</f>
        <v>43304</v>
      </c>
      <c r="M564" s="95">
        <f ca="1"/>
        <v>-8.2998110917213361E-4</v>
      </c>
      <c r="N564" s="5" t="s">
        <v>4</v>
      </c>
      <c r="O564" s="97">
        <f>_xll.meDateFromTenor(O563,"1D","FOLLOWING","TGT")</f>
        <v>43304</v>
      </c>
      <c r="P564" s="95">
        <f ca="1"/>
        <v>1.184966616972397E-3</v>
      </c>
      <c r="Q564" s="5" t="s">
        <v>4</v>
      </c>
      <c r="R564" s="83" t="s">
        <v>4</v>
      </c>
    </row>
    <row r="565" spans="1:18" x14ac:dyDescent="0.25">
      <c r="A565" s="88">
        <v>551</v>
      </c>
      <c r="B565" s="82"/>
      <c r="C565" s="97">
        <f>_xll.meDateFromTenor(C564,"1D","FOLLOWING","TGT")</f>
        <v>43305</v>
      </c>
      <c r="D565" s="95">
        <f ca="1"/>
        <v>-3.9083805582749154E-3</v>
      </c>
      <c r="E565" s="92"/>
      <c r="F565" s="97">
        <f>_xll.meDateFromTenor(F564,"1D","FOLLOWING","TGT")</f>
        <v>43305</v>
      </c>
      <c r="G565" s="95">
        <f ca="1"/>
        <v>-3.4083014517462215E-3</v>
      </c>
      <c r="H565" s="92" t="s">
        <v>4</v>
      </c>
      <c r="I565" s="97">
        <f>_xll.meDateFromTenor(I564,"1D","FOLLOWING","TGT")</f>
        <v>43305</v>
      </c>
      <c r="J565" s="95">
        <f ca="1"/>
        <v>-2.3922812831006506E-3</v>
      </c>
      <c r="K565" s="5" t="s">
        <v>4</v>
      </c>
      <c r="L565" s="97">
        <f>_xll.meDateFromTenor(L564,"1D","FOLLOWING","TGT")</f>
        <v>43305</v>
      </c>
      <c r="M565" s="95">
        <f ca="1"/>
        <v>-8.254180958305043E-4</v>
      </c>
      <c r="N565" s="5" t="s">
        <v>4</v>
      </c>
      <c r="O565" s="97">
        <f>_xll.meDateFromTenor(O564,"1D","FOLLOWING","TGT")</f>
        <v>43305</v>
      </c>
      <c r="P565" s="95">
        <f ca="1"/>
        <v>1.1895753767855815E-3</v>
      </c>
      <c r="Q565" s="5" t="s">
        <v>4</v>
      </c>
      <c r="R565" s="83" t="s">
        <v>4</v>
      </c>
    </row>
    <row r="566" spans="1:18" x14ac:dyDescent="0.25">
      <c r="A566" s="88">
        <v>552</v>
      </c>
      <c r="B566" s="82"/>
      <c r="C566" s="97">
        <f>_xll.meDateFromTenor(C565,"1D","FOLLOWING","TGT")</f>
        <v>43306</v>
      </c>
      <c r="D566" s="95">
        <f ca="1"/>
        <v>-3.9053579614110046E-3</v>
      </c>
      <c r="E566" s="92"/>
      <c r="F566" s="97">
        <f>_xll.meDateFromTenor(F565,"1D","FOLLOWING","TGT")</f>
        <v>43306</v>
      </c>
      <c r="G566" s="95">
        <f ca="1"/>
        <v>-3.4047834361002555E-3</v>
      </c>
      <c r="H566" s="92" t="s">
        <v>4</v>
      </c>
      <c r="I566" s="97">
        <f>_xll.meDateFromTenor(I565,"1D","FOLLOWING","TGT")</f>
        <v>43306</v>
      </c>
      <c r="J566" s="95">
        <f ca="1"/>
        <v>-2.3878000606304068E-3</v>
      </c>
      <c r="K566" s="5" t="s">
        <v>4</v>
      </c>
      <c r="L566" s="97">
        <f>_xll.meDateFromTenor(L565,"1D","FOLLOWING","TGT")</f>
        <v>43306</v>
      </c>
      <c r="M566" s="95">
        <f ca="1"/>
        <v>-8.2085245117819111E-4</v>
      </c>
      <c r="N566" s="5" t="s">
        <v>4</v>
      </c>
      <c r="O566" s="97">
        <f>_xll.meDateFromTenor(O565,"1D","FOLLOWING","TGT")</f>
        <v>43306</v>
      </c>
      <c r="P566" s="95">
        <f ca="1"/>
        <v>1.1941881654473287E-3</v>
      </c>
      <c r="Q566" s="5" t="s">
        <v>4</v>
      </c>
      <c r="R566" s="83" t="s">
        <v>4</v>
      </c>
    </row>
    <row r="567" spans="1:18" x14ac:dyDescent="0.25">
      <c r="A567" s="88">
        <v>553</v>
      </c>
      <c r="B567" s="82"/>
      <c r="C567" s="97">
        <f>_xll.meDateFromTenor(C566,"1D","FOLLOWING","TGT")</f>
        <v>43307</v>
      </c>
      <c r="D567" s="95">
        <f ca="1"/>
        <v>-3.9023336305243905E-3</v>
      </c>
      <c r="E567" s="92"/>
      <c r="F567" s="97">
        <f>_xll.meDateFromTenor(F566,"1D","FOLLOWING","TGT")</f>
        <v>43307</v>
      </c>
      <c r="G567" s="95">
        <f ca="1"/>
        <v>-3.4012767282630496E-3</v>
      </c>
      <c r="H567" s="92" t="s">
        <v>4</v>
      </c>
      <c r="I567" s="97">
        <f>_xll.meDateFromTenor(I566,"1D","FOLLOWING","TGT")</f>
        <v>43307</v>
      </c>
      <c r="J567" s="95">
        <f ca="1"/>
        <v>-2.3833177053125421E-3</v>
      </c>
      <c r="K567" s="5" t="s">
        <v>4</v>
      </c>
      <c r="L567" s="97">
        <f>_xll.meDateFromTenor(L566,"1D","FOLLOWING","TGT")</f>
        <v>43307</v>
      </c>
      <c r="M567" s="95">
        <f ca="1"/>
        <v>-8.1628417545284791E-4</v>
      </c>
      <c r="N567" s="5" t="s">
        <v>4</v>
      </c>
      <c r="O567" s="97">
        <f>_xll.meDateFromTenor(O566,"1D","FOLLOWING","TGT")</f>
        <v>43307</v>
      </c>
      <c r="P567" s="95">
        <f ca="1"/>
        <v>1.1988049716155317E-3</v>
      </c>
      <c r="Q567" s="5" t="s">
        <v>4</v>
      </c>
      <c r="R567" s="83" t="s">
        <v>4</v>
      </c>
    </row>
    <row r="568" spans="1:18" x14ac:dyDescent="0.25">
      <c r="A568" s="88">
        <v>554</v>
      </c>
      <c r="B568" s="82"/>
      <c r="C568" s="97">
        <f>_xll.meDateFromTenor(C567,"1D","FOLLOWING","TGT")</f>
        <v>43308</v>
      </c>
      <c r="D568" s="95">
        <f ca="1"/>
        <v>-3.899307566235688E-3</v>
      </c>
      <c r="E568" s="92"/>
      <c r="F568" s="97">
        <f>_xll.meDateFromTenor(F567,"1D","FOLLOWING","TGT")</f>
        <v>43308</v>
      </c>
      <c r="G568" s="95">
        <f ca="1"/>
        <v>-3.3977813748117562E-3</v>
      </c>
      <c r="H568" s="92" t="s">
        <v>4</v>
      </c>
      <c r="I568" s="97">
        <f>_xll.meDateFromTenor(I567,"1D","FOLLOWING","TGT")</f>
        <v>43308</v>
      </c>
      <c r="J568" s="95">
        <f ca="1"/>
        <v>-2.3788342415679738E-3</v>
      </c>
      <c r="K568" s="5" t="s">
        <v>4</v>
      </c>
      <c r="L568" s="97">
        <f>_xll.meDateFromTenor(L567,"1D","FOLLOWING","TGT")</f>
        <v>43308</v>
      </c>
      <c r="M568" s="95">
        <f ca="1"/>
        <v>-8.1171326889212616E-4</v>
      </c>
      <c r="N568" s="5" t="s">
        <v>4</v>
      </c>
      <c r="O568" s="97">
        <f>_xll.meDateFromTenor(O567,"1D","FOLLOWING","TGT")</f>
        <v>43308</v>
      </c>
      <c r="P568" s="95">
        <f ca="1"/>
        <v>1.2034257839480856E-3</v>
      </c>
      <c r="Q568" s="5" t="s">
        <v>4</v>
      </c>
      <c r="R568" s="83" t="s">
        <v>4</v>
      </c>
    </row>
    <row r="569" spans="1:18" x14ac:dyDescent="0.25">
      <c r="A569" s="88">
        <v>555</v>
      </c>
      <c r="B569" s="82"/>
      <c r="C569" s="97">
        <f>_xll.meDateFromTenor(C568,"1D","FOLLOWING","TGT")</f>
        <v>43311</v>
      </c>
      <c r="D569" s="95">
        <f ca="1"/>
        <v>-3.8902189705772861E-3</v>
      </c>
      <c r="E569" s="92"/>
      <c r="F569" s="97">
        <f>_xll.meDateFromTenor(F568,"1D","FOLLOWING","TGT")</f>
        <v>43311</v>
      </c>
      <c r="G569" s="95">
        <f ca="1"/>
        <v>-3.3873639065448544E-3</v>
      </c>
      <c r="H569" s="92" t="s">
        <v>4</v>
      </c>
      <c r="I569" s="97">
        <f>_xll.meDateFromTenor(I568,"1D","FOLLOWING","TGT")</f>
        <v>43311</v>
      </c>
      <c r="J569" s="95">
        <f ca="1"/>
        <v>-2.3653774439832361E-3</v>
      </c>
      <c r="K569" s="5" t="s">
        <v>4</v>
      </c>
      <c r="L569" s="97">
        <f>_xll.meDateFromTenor(L568,"1D","FOLLOWING","TGT")</f>
        <v>43311</v>
      </c>
      <c r="M569" s="95">
        <f ca="1"/>
        <v>-7.9798476657422148E-4</v>
      </c>
      <c r="N569" s="5" t="s">
        <v>4</v>
      </c>
      <c r="O569" s="97">
        <f>_xll.meDateFromTenor(O568,"1D","FOLLOWING","TGT")</f>
        <v>43311</v>
      </c>
      <c r="P569" s="95">
        <f ca="1"/>
        <v>1.2173121445107861E-3</v>
      </c>
      <c r="Q569" s="5" t="s">
        <v>4</v>
      </c>
      <c r="R569" s="83" t="s">
        <v>4</v>
      </c>
    </row>
    <row r="570" spans="1:18" x14ac:dyDescent="0.25">
      <c r="A570" s="88">
        <v>556</v>
      </c>
      <c r="B570" s="82"/>
      <c r="C570" s="97">
        <f>_xll.meDateFromTenor(C569,"1D","FOLLOWING","TGT")</f>
        <v>43312</v>
      </c>
      <c r="D570" s="95">
        <f ca="1"/>
        <v>-3.8871859709339596E-3</v>
      </c>
      <c r="E570" s="92"/>
      <c r="F570" s="97">
        <f>_xll.meDateFromTenor(F569,"1D","FOLLOWING","TGT")</f>
        <v>43312</v>
      </c>
      <c r="G570" s="95">
        <f ca="1"/>
        <v>-3.3839144364087191E-3</v>
      </c>
      <c r="H570" s="92" t="s">
        <v>4</v>
      </c>
      <c r="I570" s="97">
        <f>_xll.meDateFromTenor(I569,"1D","FOLLOWING","TGT")</f>
        <v>43312</v>
      </c>
      <c r="J570" s="95">
        <f ca="1"/>
        <v>-2.3608897907410414E-3</v>
      </c>
      <c r="K570" s="5" t="s">
        <v>4</v>
      </c>
      <c r="L570" s="97">
        <f>_xll.meDateFromTenor(L569,"1D","FOLLOWING","TGT")</f>
        <v>43312</v>
      </c>
      <c r="M570" s="95">
        <f ca="1"/>
        <v>-7.9340333904851662E-4</v>
      </c>
      <c r="N570" s="5" t="s">
        <v>4</v>
      </c>
      <c r="O570" s="97">
        <f>_xll.meDateFromTenor(O569,"1D","FOLLOWING","TGT")</f>
        <v>43312</v>
      </c>
      <c r="P570" s="95">
        <f ca="1"/>
        <v>1.2219488680796785E-3</v>
      </c>
      <c r="Q570" s="5" t="s">
        <v>4</v>
      </c>
      <c r="R570" s="83" t="s">
        <v>4</v>
      </c>
    </row>
    <row r="571" spans="1:18" x14ac:dyDescent="0.25">
      <c r="A571" s="88">
        <v>557</v>
      </c>
      <c r="B571" s="82"/>
      <c r="C571" s="97">
        <f>_xll.meDateFromTenor(C570,"1D","FOLLOWING","TGT")</f>
        <v>43313</v>
      </c>
      <c r="D571" s="95">
        <f ca="1"/>
        <v>-3.8841512378903209E-3</v>
      </c>
      <c r="E571" s="92"/>
      <c r="F571" s="97">
        <f>_xll.meDateFromTenor(F570,"1D","FOLLOWING","TGT")</f>
        <v>43313</v>
      </c>
      <c r="G571" s="95">
        <f ca="1"/>
        <v>-3.380476553544252E-3</v>
      </c>
      <c r="H571" s="92" t="s">
        <v>4</v>
      </c>
      <c r="I571" s="97">
        <f>_xll.meDateFromTenor(I570,"1D","FOLLOWING","TGT")</f>
        <v>43313</v>
      </c>
      <c r="J571" s="95">
        <f ca="1"/>
        <v>-2.356401151176738E-3</v>
      </c>
      <c r="K571" s="5" t="s">
        <v>4</v>
      </c>
      <c r="L571" s="97">
        <f>_xll.meDateFromTenor(L570,"1D","FOLLOWING","TGT")</f>
        <v>43313</v>
      </c>
      <c r="M571" s="95">
        <f ca="1"/>
        <v>-7.8881928187569895E-4</v>
      </c>
      <c r="N571" s="5" t="s">
        <v>4</v>
      </c>
      <c r="O571" s="97">
        <f>_xll.meDateFromTenor(O570,"1D","FOLLOWING","TGT")</f>
        <v>43313</v>
      </c>
      <c r="P571" s="95">
        <f ca="1"/>
        <v>1.2265895411023892E-3</v>
      </c>
      <c r="Q571" s="5" t="s">
        <v>4</v>
      </c>
      <c r="R571" s="83" t="s">
        <v>4</v>
      </c>
    </row>
    <row r="572" spans="1:18" x14ac:dyDescent="0.25">
      <c r="A572" s="88">
        <v>558</v>
      </c>
      <c r="B572" s="82"/>
      <c r="C572" s="97">
        <f>_xll.meDateFromTenor(C571,"1D","FOLLOWING","TGT")</f>
        <v>43314</v>
      </c>
      <c r="D572" s="95">
        <f ca="1"/>
        <v>-3.88111477079367E-3</v>
      </c>
      <c r="E572" s="92"/>
      <c r="F572" s="97">
        <f>_xll.meDateFromTenor(F571,"1D","FOLLOWING","TGT")</f>
        <v>43314</v>
      </c>
      <c r="G572" s="95">
        <f ca="1"/>
        <v>-3.3770503045286037E-3</v>
      </c>
      <c r="H572" s="92" t="s">
        <v>4</v>
      </c>
      <c r="I572" s="97">
        <f>_xll.meDateFromTenor(I571,"1D","FOLLOWING","TGT")</f>
        <v>43314</v>
      </c>
      <c r="J572" s="95">
        <f ca="1"/>
        <v>-2.3519115497112439E-3</v>
      </c>
      <c r="K572" s="5" t="s">
        <v>4</v>
      </c>
      <c r="L572" s="97">
        <f>_xll.meDateFromTenor(L571,"1D","FOLLOWING","TGT")</f>
        <v>43314</v>
      </c>
      <c r="M572" s="95">
        <f ca="1"/>
        <v>-7.8423259529341997E-4</v>
      </c>
      <c r="N572" s="5" t="s">
        <v>4</v>
      </c>
      <c r="O572" s="97">
        <f>_xll.meDateFromTenor(O571,"1D","FOLLOWING","TGT")</f>
        <v>43314</v>
      </c>
      <c r="P572" s="95">
        <f ca="1"/>
        <v>1.2312341522368135E-3</v>
      </c>
      <c r="Q572" s="5" t="s">
        <v>4</v>
      </c>
      <c r="R572" s="83" t="s">
        <v>4</v>
      </c>
    </row>
    <row r="573" spans="1:18" x14ac:dyDescent="0.25">
      <c r="A573" s="88">
        <v>559</v>
      </c>
      <c r="B573" s="82"/>
      <c r="C573" s="97">
        <f>_xll.meDateFromTenor(C572,"1D","FOLLOWING","TGT")</f>
        <v>43315</v>
      </c>
      <c r="D573" s="95">
        <f ca="1"/>
        <v>-3.8780765699863995E-3</v>
      </c>
      <c r="E573" s="92"/>
      <c r="F573" s="97">
        <f>_xll.meDateFromTenor(F572,"1D","FOLLOWING","TGT")</f>
        <v>43315</v>
      </c>
      <c r="G573" s="95">
        <f ca="1"/>
        <v>-3.3736355543392839E-3</v>
      </c>
      <c r="H573" s="92" t="s">
        <v>4</v>
      </c>
      <c r="I573" s="97">
        <f>_xll.meDateFromTenor(I572,"1D","FOLLOWING","TGT")</f>
        <v>43315</v>
      </c>
      <c r="J573" s="95">
        <f ca="1"/>
        <v>-2.3474210107654781E-3</v>
      </c>
      <c r="K573" s="5" t="s">
        <v>4</v>
      </c>
      <c r="L573" s="97">
        <f>_xll.meDateFromTenor(L572,"1D","FOLLOWING","TGT")</f>
        <v>43315</v>
      </c>
      <c r="M573" s="95">
        <f ca="1"/>
        <v>-7.7964327953933396E-4</v>
      </c>
      <c r="N573" s="5" t="s">
        <v>4</v>
      </c>
      <c r="O573" s="97">
        <f>_xll.meDateFromTenor(O572,"1D","FOLLOWING","TGT")</f>
        <v>43315</v>
      </c>
      <c r="P573" s="95">
        <f ca="1"/>
        <v>1.235882690140844E-3</v>
      </c>
      <c r="Q573" s="5" t="s">
        <v>4</v>
      </c>
      <c r="R573" s="83" t="s">
        <v>4</v>
      </c>
    </row>
    <row r="574" spans="1:18" x14ac:dyDescent="0.25">
      <c r="A574" s="88">
        <v>560</v>
      </c>
      <c r="B574" s="82"/>
      <c r="C574" s="97">
        <f>_xll.meDateFromTenor(C573,"1D","FOLLOWING","TGT")</f>
        <v>43318</v>
      </c>
      <c r="D574" s="95">
        <f ca="1"/>
        <v>-3.8689515641878724E-3</v>
      </c>
      <c r="E574" s="92"/>
      <c r="F574" s="97">
        <f>_xll.meDateFromTenor(F573,"1D","FOLLOWING","TGT")</f>
        <v>43318</v>
      </c>
      <c r="G574" s="95">
        <f ca="1"/>
        <v>-3.3634509561201037E-3</v>
      </c>
      <c r="H574" s="92" t="s">
        <v>4</v>
      </c>
      <c r="I574" s="97">
        <f>_xll.meDateFromTenor(I573,"1D","FOLLOWING","TGT")</f>
        <v>43318</v>
      </c>
      <c r="J574" s="95">
        <f ca="1"/>
        <v>-2.3339440132557334E-3</v>
      </c>
      <c r="K574" s="5" t="s">
        <v>4</v>
      </c>
      <c r="L574" s="97">
        <f>_xll.meDateFromTenor(L573,"1D","FOLLOWING","TGT")</f>
        <v>43318</v>
      </c>
      <c r="M574" s="95">
        <f ca="1"/>
        <v>-7.6585955962275626E-4</v>
      </c>
      <c r="N574" s="5" t="s">
        <v>4</v>
      </c>
      <c r="O574" s="97">
        <f>_xll.meDateFromTenor(O573,"1D","FOLLOWING","TGT")</f>
        <v>43318</v>
      </c>
      <c r="P574" s="95">
        <f ca="1"/>
        <v>1.2498517510495144E-3</v>
      </c>
      <c r="Q574" s="5" t="s">
        <v>4</v>
      </c>
      <c r="R574" s="83" t="s">
        <v>4</v>
      </c>
    </row>
    <row r="575" spans="1:18" x14ac:dyDescent="0.25">
      <c r="A575" s="88">
        <v>561</v>
      </c>
      <c r="B575" s="82"/>
      <c r="C575" s="97">
        <f>_xll.meDateFromTenor(C574,"1D","FOLLOWING","TGT")</f>
        <v>43319</v>
      </c>
      <c r="D575" s="95">
        <f ca="1"/>
        <v>-3.8659064279028543E-3</v>
      </c>
      <c r="E575" s="92"/>
      <c r="F575" s="97">
        <f>_xll.meDateFromTenor(F574,"1D","FOLLOWING","TGT")</f>
        <v>43319</v>
      </c>
      <c r="G575" s="95">
        <f ca="1"/>
        <v>-3.3600724974276221E-3</v>
      </c>
      <c r="H575" s="92" t="s">
        <v>4</v>
      </c>
      <c r="I575" s="97">
        <f>_xll.meDateFromTenor(I574,"1D","FOLLOWING","TGT")</f>
        <v>43319</v>
      </c>
      <c r="J575" s="95">
        <f ca="1"/>
        <v>-2.3294499685980663E-3</v>
      </c>
      <c r="K575" s="5" t="s">
        <v>4</v>
      </c>
      <c r="L575" s="97">
        <f>_xll.meDateFromTenor(L574,"1D","FOLLOWING","TGT")</f>
        <v>43319</v>
      </c>
      <c r="M575" s="95">
        <f ca="1"/>
        <v>-7.6125972955796756E-4</v>
      </c>
      <c r="N575" s="5" t="s">
        <v>4</v>
      </c>
      <c r="O575" s="97">
        <f>_xll.meDateFromTenor(O574,"1D","FOLLOWING","TGT")</f>
        <v>43319</v>
      </c>
      <c r="P575" s="95">
        <f ca="1"/>
        <v>1.2545158826109096E-3</v>
      </c>
      <c r="Q575" s="5" t="s">
        <v>4</v>
      </c>
      <c r="R575" s="83" t="s">
        <v>4</v>
      </c>
    </row>
    <row r="576" spans="1:18" x14ac:dyDescent="0.25">
      <c r="A576" s="88">
        <v>562</v>
      </c>
      <c r="B576" s="82"/>
      <c r="C576" s="97">
        <f>_xll.meDateFromTenor(C575,"1D","FOLLOWING","TGT")</f>
        <v>43320</v>
      </c>
      <c r="D576" s="95">
        <f ca="1"/>
        <v>-3.8628595576691849E-3</v>
      </c>
      <c r="E576" s="92"/>
      <c r="F576" s="97">
        <f>_xll.meDateFromTenor(F575,"1D","FOLLOWING","TGT")</f>
        <v>43320</v>
      </c>
      <c r="G576" s="95">
        <f ca="1"/>
        <v>-3.3567005040575902E-3</v>
      </c>
      <c r="H576" s="92" t="s">
        <v>4</v>
      </c>
      <c r="I576" s="97">
        <f>_xll.meDateFromTenor(I575,"1D","FOLLOWING","TGT")</f>
        <v>43320</v>
      </c>
      <c r="J576" s="95">
        <f ca="1"/>
        <v>-2.3249551085647202E-3</v>
      </c>
      <c r="K576" s="5" t="s">
        <v>4</v>
      </c>
      <c r="L576" s="97">
        <f>_xll.meDateFromTenor(L575,"1D","FOLLOWING","TGT")</f>
        <v>43320</v>
      </c>
      <c r="M576" s="95">
        <f ca="1"/>
        <v>-7.5665727150963551E-4</v>
      </c>
      <c r="N576" s="5" t="s">
        <v>4</v>
      </c>
      <c r="O576" s="97">
        <f>_xll.meDateFromTenor(O575,"1D","FOLLOWING","TGT")</f>
        <v>43320</v>
      </c>
      <c r="P576" s="95">
        <f ca="1"/>
        <v>1.25918388423138E-3</v>
      </c>
      <c r="Q576" s="5" t="s">
        <v>4</v>
      </c>
      <c r="R576" s="83" t="s">
        <v>4</v>
      </c>
    </row>
    <row r="577" spans="1:18" x14ac:dyDescent="0.25">
      <c r="A577" s="88">
        <v>563</v>
      </c>
      <c r="B577" s="82"/>
      <c r="C577" s="97">
        <f>_xll.meDateFromTenor(C576,"1D","FOLLOWING","TGT")</f>
        <v>43321</v>
      </c>
      <c r="D577" s="95">
        <f ca="1"/>
        <v>-3.8598109535903369E-3</v>
      </c>
      <c r="E577" s="92"/>
      <c r="F577" s="97">
        <f>_xll.meDateFromTenor(F576,"1D","FOLLOWING","TGT")</f>
        <v>43321</v>
      </c>
      <c r="G577" s="95">
        <f ca="1"/>
        <v>-3.3533339329893026E-3</v>
      </c>
      <c r="H577" s="92" t="s">
        <v>4</v>
      </c>
      <c r="I577" s="97">
        <f>_xll.meDateFromTenor(I576,"1D","FOLLOWING","TGT")</f>
        <v>43321</v>
      </c>
      <c r="J577" s="95">
        <f ca="1"/>
        <v>-2.320459457576615E-3</v>
      </c>
      <c r="K577" s="5" t="s">
        <v>4</v>
      </c>
      <c r="L577" s="97">
        <f>_xll.meDateFromTenor(L576,"1D","FOLLOWING","TGT")</f>
        <v>43321</v>
      </c>
      <c r="M577" s="95">
        <f ca="1"/>
        <v>-7.5205218571541322E-4</v>
      </c>
      <c r="N577" s="5" t="s">
        <v>4</v>
      </c>
      <c r="O577" s="97">
        <f>_xll.meDateFromTenor(O576,"1D","FOLLOWING","TGT")</f>
        <v>43321</v>
      </c>
      <c r="P577" s="95">
        <f ca="1"/>
        <v>1.2638557445688202E-3</v>
      </c>
      <c r="Q577" s="5" t="s">
        <v>4</v>
      </c>
      <c r="R577" s="83" t="s">
        <v>4</v>
      </c>
    </row>
    <row r="578" spans="1:18" x14ac:dyDescent="0.25">
      <c r="A578" s="88">
        <v>564</v>
      </c>
      <c r="B578" s="82"/>
      <c r="C578" s="97">
        <f>_xll.meDateFromTenor(C577,"1D","FOLLOWING","TGT")</f>
        <v>43322</v>
      </c>
      <c r="D578" s="95">
        <f ca="1"/>
        <v>-3.8567606154913392E-3</v>
      </c>
      <c r="E578" s="92"/>
      <c r="F578" s="97">
        <f>_xll.meDateFromTenor(F577,"1D","FOLLOWING","TGT")</f>
        <v>43322</v>
      </c>
      <c r="G578" s="95">
        <f ca="1"/>
        <v>-3.3499717412020565E-3</v>
      </c>
      <c r="H578" s="92" t="s">
        <v>4</v>
      </c>
      <c r="I578" s="97">
        <f>_xll.meDateFromTenor(I577,"1D","FOLLOWING","TGT")</f>
        <v>43322</v>
      </c>
      <c r="J578" s="95">
        <f ca="1"/>
        <v>-2.31596304005467E-3</v>
      </c>
      <c r="K578" s="5" t="s">
        <v>4</v>
      </c>
      <c r="L578" s="97">
        <f>_xll.meDateFromTenor(L577,"1D","FOLLOWING","TGT")</f>
        <v>43322</v>
      </c>
      <c r="M578" s="95">
        <f ca="1"/>
        <v>-7.4744447241295413E-4</v>
      </c>
      <c r="N578" s="5" t="s">
        <v>4</v>
      </c>
      <c r="O578" s="97">
        <f>_xll.meDateFromTenor(O577,"1D","FOLLOWING","TGT")</f>
        <v>43322</v>
      </c>
      <c r="P578" s="95">
        <f ca="1"/>
        <v>1.2685314522811225E-3</v>
      </c>
      <c r="Q578" s="5" t="s">
        <v>4</v>
      </c>
      <c r="R578" s="83" t="s">
        <v>4</v>
      </c>
    </row>
    <row r="579" spans="1:18" x14ac:dyDescent="0.25">
      <c r="A579" s="88">
        <v>565</v>
      </c>
      <c r="B579" s="82"/>
      <c r="C579" s="97">
        <f>_xll.meDateFromTenor(C578,"1D","FOLLOWING","TGT")</f>
        <v>43325</v>
      </c>
      <c r="D579" s="95">
        <f ca="1"/>
        <v>-3.8475991972733992E-3</v>
      </c>
      <c r="E579" s="92"/>
      <c r="F579" s="97">
        <f>_xll.meDateFromTenor(F578,"1D","FOLLOWING","TGT")</f>
        <v>43325</v>
      </c>
      <c r="G579" s="95">
        <f ca="1"/>
        <v>-3.3399010113195162E-3</v>
      </c>
      <c r="H579" s="92" t="s">
        <v>4</v>
      </c>
      <c r="I579" s="97">
        <f>_xll.meDateFromTenor(I578,"1D","FOLLOWING","TGT")</f>
        <v>43325</v>
      </c>
      <c r="J579" s="95">
        <f ca="1"/>
        <v>-2.3024694324949753E-3</v>
      </c>
      <c r="K579" s="5" t="s">
        <v>4</v>
      </c>
      <c r="L579" s="97">
        <f>_xll.meDateFromTenor(L578,"1D","FOLLOWING","TGT")</f>
        <v>43325</v>
      </c>
      <c r="M579" s="95">
        <f ca="1"/>
        <v>-7.3360556983267954E-4</v>
      </c>
      <c r="N579" s="5" t="s">
        <v>4</v>
      </c>
      <c r="O579" s="97">
        <f>_xll.meDateFromTenor(O578,"1D","FOLLOWING","TGT")</f>
        <v>43325</v>
      </c>
      <c r="P579" s="95">
        <f ca="1"/>
        <v>1.2825815462461469E-3</v>
      </c>
      <c r="Q579" s="5" t="s">
        <v>4</v>
      </c>
      <c r="R579" s="83" t="s">
        <v>4</v>
      </c>
    </row>
    <row r="580" spans="1:18" x14ac:dyDescent="0.25">
      <c r="A580" s="88">
        <v>566</v>
      </c>
      <c r="B580" s="82"/>
      <c r="C580" s="97">
        <f>_xll.meDateFromTenor(C579,"1D","FOLLOWING","TGT")</f>
        <v>43326</v>
      </c>
      <c r="D580" s="95">
        <f ca="1"/>
        <v>-3.8445419232936429E-3</v>
      </c>
      <c r="E580" s="92"/>
      <c r="F580" s="97">
        <f>_xll.meDateFromTenor(F579,"1D","FOLLOWING","TGT")</f>
        <v>43326</v>
      </c>
      <c r="G580" s="95">
        <f ca="1"/>
        <v>-3.336545906449388E-3</v>
      </c>
      <c r="H580" s="92" t="s">
        <v>4</v>
      </c>
      <c r="I580" s="97">
        <f>_xll.meDateFromTenor(I579,"1D","FOLLOWING","TGT")</f>
        <v>43326</v>
      </c>
      <c r="J580" s="95">
        <f ca="1"/>
        <v>-2.2979701930468531E-3</v>
      </c>
      <c r="K580" s="5" t="s">
        <v>4</v>
      </c>
      <c r="L580" s="97">
        <f>_xll.meDateFromTenor(L579,"1D","FOLLOWING","TGT")</f>
        <v>43326</v>
      </c>
      <c r="M580" s="95">
        <f ca="1"/>
        <v>-7.2898734887379883E-4</v>
      </c>
      <c r="N580" s="5" t="s">
        <v>4</v>
      </c>
      <c r="O580" s="97">
        <f>_xll.meDateFromTenor(O579,"1D","FOLLOWING","TGT")</f>
        <v>43326</v>
      </c>
      <c r="P580" s="95">
        <f ca="1"/>
        <v>1.2872725300368401E-3</v>
      </c>
      <c r="Q580" s="5" t="s">
        <v>4</v>
      </c>
      <c r="R580" s="83" t="s">
        <v>4</v>
      </c>
    </row>
    <row r="581" spans="1:18" x14ac:dyDescent="0.25">
      <c r="A581" s="88">
        <v>567</v>
      </c>
      <c r="B581" s="82"/>
      <c r="C581" s="97">
        <f>_xll.meDateFromTenor(C580,"1D","FOLLOWING","TGT")</f>
        <v>43327</v>
      </c>
      <c r="D581" s="95">
        <f ca="1"/>
        <v>-3.841482915174721E-3</v>
      </c>
      <c r="E581" s="92"/>
      <c r="F581" s="97">
        <f>_xll.meDateFromTenor(F580,"1D","FOLLOWING","TGT")</f>
        <v>43327</v>
      </c>
      <c r="G581" s="95">
        <f ca="1"/>
        <v>-3.3331899657567782E-3</v>
      </c>
      <c r="H581" s="92" t="s">
        <v>4</v>
      </c>
      <c r="I581" s="97">
        <f>_xll.meDateFromTenor(I580,"1D","FOLLOWING","TGT")</f>
        <v>43327</v>
      </c>
      <c r="J581" s="95">
        <f ca="1"/>
        <v>-2.293470309169484E-3</v>
      </c>
      <c r="K581" s="5" t="s">
        <v>4</v>
      </c>
      <c r="L581" s="97">
        <f>_xll.meDateFromTenor(L580,"1D","FOLLOWING","TGT")</f>
        <v>43327</v>
      </c>
      <c r="M581" s="95">
        <f ca="1"/>
        <v>-7.2436650159494488E-4</v>
      </c>
      <c r="N581" s="5" t="s">
        <v>4</v>
      </c>
      <c r="O581" s="97">
        <f>_xll.meDateFromTenor(O580,"1D","FOLLOWING","TGT")</f>
        <v>43327</v>
      </c>
      <c r="P581" s="95">
        <f ca="1"/>
        <v>1.2919673044918649E-3</v>
      </c>
      <c r="Q581" s="5" t="s">
        <v>4</v>
      </c>
      <c r="R581" s="83" t="s">
        <v>4</v>
      </c>
    </row>
    <row r="582" spans="1:18" x14ac:dyDescent="0.25">
      <c r="A582" s="88">
        <v>568</v>
      </c>
      <c r="B582" s="82"/>
      <c r="C582" s="97">
        <f>_xll.meDateFromTenor(C581,"1D","FOLLOWING","TGT")</f>
        <v>43328</v>
      </c>
      <c r="D582" s="95">
        <f ca="1"/>
        <v>-3.8384221731396773E-3</v>
      </c>
      <c r="E582" s="92"/>
      <c r="F582" s="97">
        <f>_xll.meDateFromTenor(F581,"1D","FOLLOWING","TGT")</f>
        <v>43328</v>
      </c>
      <c r="G582" s="95">
        <f ca="1"/>
        <v>-3.3298321462209837E-3</v>
      </c>
      <c r="H582" s="92" t="s">
        <v>4</v>
      </c>
      <c r="I582" s="97">
        <f>_xll.meDateFromTenor(I581,"1D","FOLLOWING","TGT")</f>
        <v>43328</v>
      </c>
      <c r="J582" s="95">
        <f ca="1"/>
        <v>-2.2889698052837868E-3</v>
      </c>
      <c r="K582" s="5" t="s">
        <v>4</v>
      </c>
      <c r="L582" s="97">
        <f>_xll.meDateFromTenor(L581,"1D","FOLLOWING","TGT")</f>
        <v>43328</v>
      </c>
      <c r="M582" s="95">
        <f ca="1"/>
        <v>-7.1974302823377102E-4</v>
      </c>
      <c r="N582" s="5" t="s">
        <v>4</v>
      </c>
      <c r="O582" s="97">
        <f>_xll.meDateFromTenor(O581,"1D","FOLLOWING","TGT")</f>
        <v>43328</v>
      </c>
      <c r="P582" s="95">
        <f ca="1"/>
        <v>1.2966658582691155E-3</v>
      </c>
      <c r="Q582" s="5" t="s">
        <v>4</v>
      </c>
      <c r="R582" s="83" t="s">
        <v>4</v>
      </c>
    </row>
    <row r="583" spans="1:18" x14ac:dyDescent="0.25">
      <c r="A583" s="88">
        <v>569</v>
      </c>
      <c r="B583" s="82"/>
      <c r="C583" s="97">
        <f>_xll.meDateFromTenor(C582,"1D","FOLLOWING","TGT")</f>
        <v>43329</v>
      </c>
      <c r="D583" s="95">
        <f ca="1"/>
        <v>-3.8353596968538906E-3</v>
      </c>
      <c r="E583" s="92"/>
      <c r="F583" s="97">
        <f>_xll.meDateFromTenor(F582,"1D","FOLLOWING","TGT")</f>
        <v>43329</v>
      </c>
      <c r="G583" s="95">
        <f ca="1"/>
        <v>-3.3264714048212994E-3</v>
      </c>
      <c r="H583" s="92" t="s">
        <v>4</v>
      </c>
      <c r="I583" s="97">
        <f>_xll.meDateFromTenor(I582,"1D","FOLLOWING","TGT")</f>
        <v>43329</v>
      </c>
      <c r="J583" s="95">
        <f ca="1"/>
        <v>-2.2844687058106794E-3</v>
      </c>
      <c r="K583" s="5" t="s">
        <v>4</v>
      </c>
      <c r="L583" s="97">
        <f>_xll.meDateFromTenor(L582,"1D","FOLLOWING","TGT")</f>
        <v>43329</v>
      </c>
      <c r="M583" s="95">
        <f ca="1"/>
        <v>-7.1511692902793001E-4</v>
      </c>
      <c r="N583" s="5" t="s">
        <v>4</v>
      </c>
      <c r="O583" s="97">
        <f>_xll.meDateFromTenor(O582,"1D","FOLLOWING","TGT")</f>
        <v>43329</v>
      </c>
      <c r="P583" s="95">
        <f ca="1"/>
        <v>1.3013681800264857E-3</v>
      </c>
      <c r="Q583" s="5" t="s">
        <v>4</v>
      </c>
      <c r="R583" s="83" t="s">
        <v>4</v>
      </c>
    </row>
    <row r="584" spans="1:18" x14ac:dyDescent="0.25">
      <c r="A584" s="88">
        <v>570</v>
      </c>
      <c r="B584" s="82"/>
      <c r="C584" s="97">
        <f>_xll.meDateFromTenor(C583,"1D","FOLLOWING","TGT")</f>
        <v>43332</v>
      </c>
      <c r="D584" s="95">
        <f ca="1"/>
        <v>-3.8261618637676076E-3</v>
      </c>
      <c r="E584" s="92"/>
      <c r="F584" s="97">
        <f>_xll.meDateFromTenor(F583,"1D","FOLLOWING","TGT")</f>
        <v>43332</v>
      </c>
      <c r="G584" s="95">
        <f ca="1"/>
        <v>-3.3163612192318656E-3</v>
      </c>
      <c r="H584" s="92" t="s">
        <v>4</v>
      </c>
      <c r="I584" s="97">
        <f>_xll.meDateFromTenor(I583,"1D","FOLLOWING","TGT")</f>
        <v>43332</v>
      </c>
      <c r="J584" s="95">
        <f ca="1"/>
        <v>-2.2709620780760895E-3</v>
      </c>
      <c r="K584" s="5" t="s">
        <v>4</v>
      </c>
      <c r="L584" s="97">
        <f>_xll.meDateFromTenor(L583,"1D","FOLLOWING","TGT")</f>
        <v>43332</v>
      </c>
      <c r="M584" s="95">
        <f ca="1"/>
        <v>-7.0122287871893284E-4</v>
      </c>
      <c r="N584" s="5" t="s">
        <v>4</v>
      </c>
      <c r="O584" s="97">
        <f>_xll.meDateFromTenor(O583,"1D","FOLLOWING","TGT")</f>
        <v>43332</v>
      </c>
      <c r="P584" s="95">
        <f ca="1"/>
        <v>1.3154976397582495E-3</v>
      </c>
      <c r="Q584" s="5" t="s">
        <v>4</v>
      </c>
      <c r="R584" s="83" t="s">
        <v>4</v>
      </c>
    </row>
    <row r="585" spans="1:18" x14ac:dyDescent="0.25">
      <c r="A585" s="88">
        <v>571</v>
      </c>
      <c r="B585" s="82"/>
      <c r="C585" s="97">
        <f>_xll.meDateFromTenor(C584,"1D","FOLLOWING","TGT")</f>
        <v>43333</v>
      </c>
      <c r="D585" s="95">
        <f ca="1"/>
        <v>-3.823092450997434E-3</v>
      </c>
      <c r="E585" s="92"/>
      <c r="F585" s="97">
        <f>_xll.meDateFromTenor(F584,"1D","FOLLOWING","TGT")</f>
        <v>43333</v>
      </c>
      <c r="G585" s="95">
        <f ca="1"/>
        <v>-3.3129783601695798E-3</v>
      </c>
      <c r="H585" s="92" t="s">
        <v>4</v>
      </c>
      <c r="I585" s="97">
        <f>_xll.meDateFromTenor(I584,"1D","FOLLOWING","TGT")</f>
        <v>43333</v>
      </c>
      <c r="J585" s="95">
        <f ca="1"/>
        <v>-2.2664588404625319E-3</v>
      </c>
      <c r="K585" s="5" t="s">
        <v>4</v>
      </c>
      <c r="L585" s="97">
        <f>_xll.meDateFromTenor(L584,"1D","FOLLOWING","TGT")</f>
        <v>43333</v>
      </c>
      <c r="M585" s="95">
        <f ca="1"/>
        <v>-6.9658627851095249E-4</v>
      </c>
      <c r="N585" s="5" t="s">
        <v>4</v>
      </c>
      <c r="O585" s="97">
        <f>_xll.meDateFromTenor(O584,"1D","FOLLOWING","TGT")</f>
        <v>43333</v>
      </c>
      <c r="P585" s="95">
        <f ca="1"/>
        <v>1.3202149200150343E-3</v>
      </c>
      <c r="Q585" s="5" t="s">
        <v>4</v>
      </c>
      <c r="R585" s="83" t="s">
        <v>4</v>
      </c>
    </row>
    <row r="586" spans="1:18" x14ac:dyDescent="0.25">
      <c r="A586" s="88">
        <v>572</v>
      </c>
      <c r="B586" s="82"/>
      <c r="C586" s="97">
        <f>_xll.meDateFromTenor(C585,"1D","FOLLOWING","TGT")</f>
        <v>43334</v>
      </c>
      <c r="D586" s="95">
        <f ca="1"/>
        <v>-3.8200213041756914E-3</v>
      </c>
      <c r="E586" s="92"/>
      <c r="F586" s="97">
        <f>_xll.meDateFromTenor(F585,"1D","FOLLOWING","TGT")</f>
        <v>43334</v>
      </c>
      <c r="G586" s="95">
        <f ca="1"/>
        <v>-3.309587364139882E-3</v>
      </c>
      <c r="H586" s="92" t="s">
        <v>4</v>
      </c>
      <c r="I586" s="97">
        <f>_xll.meDateFromTenor(I585,"1D","FOLLOWING","TGT")</f>
        <v>43334</v>
      </c>
      <c r="J586" s="95">
        <f ca="1"/>
        <v>-2.2619551293661579E-3</v>
      </c>
      <c r="K586" s="5" t="s">
        <v>4</v>
      </c>
      <c r="L586" s="97">
        <f>_xll.meDateFromTenor(L585,"1D","FOLLOWING","TGT")</f>
        <v>43334</v>
      </c>
      <c r="M586" s="95">
        <f ca="1"/>
        <v>-6.9194705364656857E-4</v>
      </c>
      <c r="N586" s="5" t="s">
        <v>4</v>
      </c>
      <c r="O586" s="97">
        <f>_xll.meDateFromTenor(O585,"1D","FOLLOWING","TGT")</f>
        <v>43334</v>
      </c>
      <c r="P586" s="95">
        <f ca="1"/>
        <v>1.3249359115414085E-3</v>
      </c>
      <c r="Q586" s="5" t="s">
        <v>4</v>
      </c>
      <c r="R586" s="83" t="s">
        <v>4</v>
      </c>
    </row>
    <row r="587" spans="1:18" x14ac:dyDescent="0.25">
      <c r="A587" s="88">
        <v>573</v>
      </c>
      <c r="B587" s="82"/>
      <c r="C587" s="97">
        <f>_xll.meDateFromTenor(C586,"1D","FOLLOWING","TGT")</f>
        <v>43335</v>
      </c>
      <c r="D587" s="95">
        <f ca="1"/>
        <v>-3.8169484232468687E-3</v>
      </c>
      <c r="E587" s="92"/>
      <c r="F587" s="97">
        <f>_xll.meDateFromTenor(F586,"1D","FOLLOWING","TGT")</f>
        <v>43335</v>
      </c>
      <c r="G587" s="95">
        <f ca="1"/>
        <v>-3.3061871881220691E-3</v>
      </c>
      <c r="H587" s="92" t="s">
        <v>4</v>
      </c>
      <c r="I587" s="97">
        <f>_xll.meDateFromTenor(I586,"1D","FOLLOWING","TGT")</f>
        <v>43335</v>
      </c>
      <c r="J587" s="95">
        <f ca="1"/>
        <v>-2.2574509692078865E-3</v>
      </c>
      <c r="K587" s="5" t="s">
        <v>4</v>
      </c>
      <c r="L587" s="97">
        <f>_xll.meDateFromTenor(L586,"1D","FOLLOWING","TGT")</f>
        <v>43335</v>
      </c>
      <c r="M587" s="95">
        <f ca="1"/>
        <v>-6.8730520436343474E-4</v>
      </c>
      <c r="N587" s="5" t="s">
        <v>4</v>
      </c>
      <c r="O587" s="97">
        <f>_xll.meDateFromTenor(O586,"1D","FOLLOWING","TGT")</f>
        <v>43335</v>
      </c>
      <c r="P587" s="95">
        <f ca="1"/>
        <v>1.3296606029952647E-3</v>
      </c>
      <c r="Q587" s="5" t="s">
        <v>4</v>
      </c>
      <c r="R587" s="83" t="s">
        <v>4</v>
      </c>
    </row>
    <row r="588" spans="1:18" x14ac:dyDescent="0.25">
      <c r="A588" s="88">
        <v>574</v>
      </c>
      <c r="B588" s="82"/>
      <c r="C588" s="97">
        <f>_xll.meDateFromTenor(C587,"1D","FOLLOWING","TGT")</f>
        <v>43336</v>
      </c>
      <c r="D588" s="95">
        <f ca="1"/>
        <v>-3.8138738079958046E-3</v>
      </c>
      <c r="E588" s="92"/>
      <c r="F588" s="97">
        <f>_xll.meDateFromTenor(F587,"1D","FOLLOWING","TGT")</f>
        <v>43336</v>
      </c>
      <c r="G588" s="95">
        <f ca="1"/>
        <v>-3.302776789095436E-3</v>
      </c>
      <c r="H588" s="92" t="s">
        <v>4</v>
      </c>
      <c r="I588" s="97">
        <f>_xll.meDateFromTenor(I587,"1D","FOLLOWING","TGT")</f>
        <v>43336</v>
      </c>
      <c r="J588" s="95">
        <f ca="1"/>
        <v>-2.2529463844086373E-3</v>
      </c>
      <c r="K588" s="5" t="s">
        <v>4</v>
      </c>
      <c r="L588" s="97">
        <f>_xll.meDateFromTenor(L587,"1D","FOLLOWING","TGT")</f>
        <v>43336</v>
      </c>
      <c r="M588" s="95">
        <f ca="1"/>
        <v>-6.826607308992042E-4</v>
      </c>
      <c r="N588" s="5" t="s">
        <v>4</v>
      </c>
      <c r="O588" s="97">
        <f>_xll.meDateFromTenor(O587,"1D","FOLLOWING","TGT")</f>
        <v>43336</v>
      </c>
      <c r="P588" s="95">
        <f ca="1"/>
        <v>1.3343889830344964E-3</v>
      </c>
      <c r="Q588" s="5" t="s">
        <v>4</v>
      </c>
      <c r="R588" s="83" t="s">
        <v>4</v>
      </c>
    </row>
    <row r="589" spans="1:18" x14ac:dyDescent="0.25">
      <c r="A589" s="88">
        <v>575</v>
      </c>
      <c r="B589" s="82"/>
      <c r="C589" s="97">
        <f>_xll.meDateFromTenor(C588,"1D","FOLLOWING","TGT")</f>
        <v>43339</v>
      </c>
      <c r="D589" s="95">
        <f ca="1"/>
        <v>-3.8046395569062419E-3</v>
      </c>
      <c r="E589" s="92"/>
      <c r="F589" s="97">
        <f>_xll.meDateFromTenor(F588,"1D","FOLLOWING","TGT")</f>
        <v>43339</v>
      </c>
      <c r="G589" s="95">
        <f ca="1"/>
        <v>-3.2924738237555752E-3</v>
      </c>
      <c r="H589" s="92" t="s">
        <v>4</v>
      </c>
      <c r="I589" s="97">
        <f>_xll.meDateFromTenor(I588,"1D","FOLLOWING","TGT")</f>
        <v>43339</v>
      </c>
      <c r="J589" s="95">
        <f ca="1"/>
        <v>-2.2394303263742056E-3</v>
      </c>
      <c r="K589" s="5" t="s">
        <v>4</v>
      </c>
      <c r="L589" s="97">
        <f>_xll.meDateFromTenor(L588,"1D","FOLLOWING","TGT")</f>
        <v>43339</v>
      </c>
      <c r="M589" s="95">
        <f ca="1"/>
        <v>-6.6871156779645916E-4</v>
      </c>
      <c r="N589" s="5" t="s">
        <v>4</v>
      </c>
      <c r="O589" s="97">
        <f>_xll.meDateFromTenor(O588,"1D","FOLLOWING","TGT")</f>
        <v>43339</v>
      </c>
      <c r="P589" s="95">
        <f ca="1"/>
        <v>1.3485961412433858E-3</v>
      </c>
      <c r="Q589" s="5" t="s">
        <v>4</v>
      </c>
      <c r="R589" s="83" t="s">
        <v>4</v>
      </c>
    </row>
    <row r="590" spans="1:18" x14ac:dyDescent="0.25">
      <c r="A590" s="88">
        <v>576</v>
      </c>
      <c r="B590" s="82"/>
      <c r="C590" s="97">
        <f>_xll.meDateFromTenor(C589,"1D","FOLLOWING","TGT")</f>
        <v>43340</v>
      </c>
      <c r="D590" s="95">
        <f ca="1"/>
        <v>-3.8015580047641162E-3</v>
      </c>
      <c r="E590" s="92"/>
      <c r="F590" s="97">
        <f>_xll.meDateFromTenor(F589,"1D","FOLLOWING","TGT")</f>
        <v>43340</v>
      </c>
      <c r="G590" s="95">
        <f ca="1"/>
        <v>-3.2890121024866208E-3</v>
      </c>
      <c r="H590" s="92" t="s">
        <v>4</v>
      </c>
      <c r="I590" s="97">
        <f>_xll.meDateFromTenor(I589,"1D","FOLLOWING","TGT")</f>
        <v>43340</v>
      </c>
      <c r="J590" s="95">
        <f ca="1"/>
        <v>-2.2349242872202308E-3</v>
      </c>
      <c r="K590" s="5" t="s">
        <v>4</v>
      </c>
      <c r="L590" s="97">
        <f>_xll.meDateFromTenor(L589,"1D","FOLLOWING","TGT")</f>
        <v>43340</v>
      </c>
      <c r="M590" s="95">
        <f ca="1"/>
        <v>-6.6405659998437035E-4</v>
      </c>
      <c r="N590" s="5" t="s">
        <v>4</v>
      </c>
      <c r="O590" s="97">
        <f>_xll.meDateFromTenor(O589,"1D","FOLLOWING","TGT")</f>
        <v>43340</v>
      </c>
      <c r="P590" s="95">
        <f ca="1"/>
        <v>1.3533391622030586E-3</v>
      </c>
      <c r="Q590" s="5" t="s">
        <v>4</v>
      </c>
      <c r="R590" s="83" t="s">
        <v>4</v>
      </c>
    </row>
    <row r="591" spans="1:18" x14ac:dyDescent="0.25">
      <c r="A591" s="88">
        <v>577</v>
      </c>
      <c r="B591" s="82"/>
      <c r="C591" s="97">
        <f>_xll.meDateFromTenor(C590,"1D","FOLLOWING","TGT")</f>
        <v>43341</v>
      </c>
      <c r="D591" s="95">
        <f ca="1"/>
        <v>-3.7984747182198131E-3</v>
      </c>
      <c r="E591" s="92"/>
      <c r="F591" s="97">
        <f>_xll.meDateFromTenor(F590,"1D","FOLLOWING","TGT")</f>
        <v>43341</v>
      </c>
      <c r="G591" s="95">
        <f ca="1"/>
        <v>-3.2855349431053244E-3</v>
      </c>
      <c r="H591" s="92" t="s">
        <v>4</v>
      </c>
      <c r="I591" s="97">
        <f>_xll.meDateFromTenor(I590,"1D","FOLLOWING","TGT")</f>
        <v>43341</v>
      </c>
      <c r="J591" s="95">
        <f ca="1"/>
        <v>-2.2304179455298703E-3</v>
      </c>
      <c r="K591" s="5" t="s">
        <v>4</v>
      </c>
      <c r="L591" s="97">
        <f>_xll.meDateFromTenor(L590,"1D","FOLLOWING","TGT")</f>
        <v>43341</v>
      </c>
      <c r="M591" s="95">
        <f ca="1"/>
        <v>-6.5939900917944818E-4</v>
      </c>
      <c r="N591" s="5" t="s">
        <v>4</v>
      </c>
      <c r="O591" s="97">
        <f>_xll.meDateFromTenor(O590,"1D","FOLLOWING","TGT")</f>
        <v>43341</v>
      </c>
      <c r="P591" s="95">
        <f ca="1"/>
        <v>1.3580858150375767E-3</v>
      </c>
      <c r="Q591" s="5" t="s">
        <v>4</v>
      </c>
      <c r="R591" s="83" t="s">
        <v>4</v>
      </c>
    </row>
    <row r="592" spans="1:18" x14ac:dyDescent="0.25">
      <c r="A592" s="88">
        <v>578</v>
      </c>
      <c r="B592" s="82"/>
      <c r="C592" s="97">
        <f>_xll.meDateFromTenor(C591,"1D","FOLLOWING","TGT")</f>
        <v>43342</v>
      </c>
      <c r="D592" s="95">
        <f ca="1"/>
        <v>-3.7953896973770274E-3</v>
      </c>
      <c r="E592" s="92"/>
      <c r="F592" s="97">
        <f>_xll.meDateFromTenor(F591,"1D","FOLLOWING","TGT")</f>
        <v>43342</v>
      </c>
      <c r="G592" s="95">
        <f ca="1"/>
        <v>-3.2820413025909816E-3</v>
      </c>
      <c r="H592" s="92" t="s">
        <v>4</v>
      </c>
      <c r="I592" s="97">
        <f>_xll.meDateFromTenor(I591,"1D","FOLLOWING","TGT")</f>
        <v>43342</v>
      </c>
      <c r="J592" s="95">
        <f ca="1"/>
        <v>-2.2259113257240446E-3</v>
      </c>
      <c r="K592" s="5" t="s">
        <v>4</v>
      </c>
      <c r="L592" s="97">
        <f>_xll.meDateFromTenor(L591,"1D","FOLLOWING","TGT")</f>
        <v>43342</v>
      </c>
      <c r="M592" s="95">
        <f ca="1"/>
        <v>-6.5473879561934697E-4</v>
      </c>
      <c r="N592" s="5" t="s">
        <v>4</v>
      </c>
      <c r="O592" s="97">
        <f>_xll.meDateFromTenor(O591,"1D","FOLLOWING","TGT")</f>
        <v>43342</v>
      </c>
      <c r="P592" s="95">
        <f ca="1"/>
        <v>1.3628360884048324E-3</v>
      </c>
      <c r="Q592" s="5" t="s">
        <v>4</v>
      </c>
      <c r="R592" s="83" t="s">
        <v>4</v>
      </c>
    </row>
    <row r="593" spans="1:18" x14ac:dyDescent="0.25">
      <c r="A593" s="88">
        <v>579</v>
      </c>
      <c r="B593" s="82"/>
      <c r="C593" s="97">
        <f>_xll.meDateFromTenor(C592,"1D","FOLLOWING","TGT")</f>
        <v>43343</v>
      </c>
      <c r="D593" s="95">
        <f ca="1"/>
        <v>-3.7923029421399468E-3</v>
      </c>
      <c r="E593" s="92"/>
      <c r="F593" s="97">
        <f>_xll.meDateFromTenor(F592,"1D","FOLLOWING","TGT")</f>
        <v>43343</v>
      </c>
      <c r="G593" s="95">
        <f ca="1"/>
        <v>-3.2785301379228901E-3</v>
      </c>
      <c r="H593" s="92" t="s">
        <v>4</v>
      </c>
      <c r="I593" s="97">
        <f>_xll.meDateFromTenor(I592,"1D","FOLLOWING","TGT")</f>
        <v>43343</v>
      </c>
      <c r="J593" s="95">
        <f ca="1"/>
        <v>-2.2214044522236714E-3</v>
      </c>
      <c r="K593" s="5" t="s">
        <v>4</v>
      </c>
      <c r="L593" s="97">
        <f>_xll.meDateFromTenor(L592,"1D","FOLLOWING","TGT")</f>
        <v>43343</v>
      </c>
      <c r="M593" s="95">
        <f ca="1"/>
        <v>-6.500759595417185E-4</v>
      </c>
      <c r="N593" s="5" t="s">
        <v>4</v>
      </c>
      <c r="O593" s="97">
        <f>_xll.meDateFromTenor(O592,"1D","FOLLOWING","TGT")</f>
        <v>43343</v>
      </c>
      <c r="P593" s="95">
        <f ca="1"/>
        <v>1.3675899709627213E-3</v>
      </c>
      <c r="Q593" s="5" t="s">
        <v>4</v>
      </c>
      <c r="R593" s="83" t="s">
        <v>4</v>
      </c>
    </row>
    <row r="594" spans="1:18" x14ac:dyDescent="0.25">
      <c r="A594" s="88">
        <v>580</v>
      </c>
      <c r="B594" s="82"/>
      <c r="C594" s="97">
        <f>_xll.meDateFromTenor(C593,"1D","FOLLOWING","TGT")</f>
        <v>43346</v>
      </c>
      <c r="D594" s="95">
        <f ca="1"/>
        <v>-3.7830323518864839E-3</v>
      </c>
      <c r="E594" s="92"/>
      <c r="F594" s="97">
        <f>_xll.meDateFromTenor(F593,"1D","FOLLOWING","TGT")</f>
        <v>43346</v>
      </c>
      <c r="G594" s="95">
        <f ca="1"/>
        <v>-3.2678810687890698E-3</v>
      </c>
      <c r="H594" s="92" t="s">
        <v>4</v>
      </c>
      <c r="I594" s="97">
        <f>_xll.meDateFromTenor(I593,"1D","FOLLOWING","TGT")</f>
        <v>43346</v>
      </c>
      <c r="J594" s="95">
        <f ca="1"/>
        <v>-2.2078825537644549E-3</v>
      </c>
      <c r="K594" s="5" t="s">
        <v>4</v>
      </c>
      <c r="L594" s="97">
        <f>_xll.meDateFromTenor(L593,"1D","FOLLOWING","TGT")</f>
        <v>43346</v>
      </c>
      <c r="M594" s="95">
        <f ca="1"/>
        <v>-6.3607171858020152E-4</v>
      </c>
      <c r="N594" s="5" t="s">
        <v>4</v>
      </c>
      <c r="O594" s="97">
        <f>_xll.meDateFromTenor(O593,"1D","FOLLOWING","TGT")</f>
        <v>43346</v>
      </c>
      <c r="P594" s="95">
        <f ca="1"/>
        <v>1.3818731603591199E-3</v>
      </c>
      <c r="Q594" s="5" t="s">
        <v>4</v>
      </c>
      <c r="R594" s="83" t="s">
        <v>4</v>
      </c>
    </row>
    <row r="595" spans="1:18" x14ac:dyDescent="0.25">
      <c r="A595" s="88">
        <v>581</v>
      </c>
      <c r="B595" s="82"/>
      <c r="C595" s="97">
        <f>_xll.meDateFromTenor(C594,"1D","FOLLOWING","TGT")</f>
        <v>43347</v>
      </c>
      <c r="D595" s="95">
        <f ca="1"/>
        <v>-3.7799391483075429E-3</v>
      </c>
      <c r="E595" s="92"/>
      <c r="F595" s="97">
        <f>_xll.meDateFromTenor(F594,"1D","FOLLOWING","TGT")</f>
        <v>43347</v>
      </c>
      <c r="G595" s="95">
        <f ca="1"/>
        <v>-3.2642897224385257E-3</v>
      </c>
      <c r="H595" s="92" t="s">
        <v>4</v>
      </c>
      <c r="I595" s="97">
        <f>_xll.meDateFromTenor(I594,"1D","FOLLOWING","TGT")</f>
        <v>43347</v>
      </c>
      <c r="J595" s="95">
        <f ca="1"/>
        <v>-2.2033749045897964E-3</v>
      </c>
      <c r="K595" s="5" t="s">
        <v>4</v>
      </c>
      <c r="L595" s="97">
        <f>_xll.meDateFromTenor(L594,"1D","FOLLOWING","TGT")</f>
        <v>43347</v>
      </c>
      <c r="M595" s="95">
        <f ca="1"/>
        <v>-6.3139839480899499E-4</v>
      </c>
      <c r="N595" s="5" t="s">
        <v>4</v>
      </c>
      <c r="O595" s="97">
        <f>_xll.meDateFromTenor(O594,"1D","FOLLOWING","TGT")</f>
        <v>43347</v>
      </c>
      <c r="P595" s="95">
        <f ca="1"/>
        <v>1.3866413662584757E-3</v>
      </c>
      <c r="Q595" s="5" t="s">
        <v>4</v>
      </c>
      <c r="R595" s="83" t="s">
        <v>4</v>
      </c>
    </row>
    <row r="596" spans="1:18" x14ac:dyDescent="0.25">
      <c r="A596" s="88">
        <v>582</v>
      </c>
      <c r="B596" s="82"/>
      <c r="C596" s="97">
        <f>_xll.meDateFromTenor(C595,"1D","FOLLOWING","TGT")</f>
        <v>43348</v>
      </c>
      <c r="D596" s="95">
        <f ca="1"/>
        <v>-3.7768446995346538E-3</v>
      </c>
      <c r="E596" s="92"/>
      <c r="F596" s="97">
        <f>_xll.meDateFromTenor(F595,"1D","FOLLOWING","TGT")</f>
        <v>43348</v>
      </c>
      <c r="G596" s="95">
        <f ca="1"/>
        <v>-3.2606777076682578E-3</v>
      </c>
      <c r="H596" s="92" t="s">
        <v>4</v>
      </c>
      <c r="I596" s="97">
        <f>_xll.meDateFromTenor(I595,"1D","FOLLOWING","TGT")</f>
        <v>43348</v>
      </c>
      <c r="J596" s="95">
        <f ca="1"/>
        <v>-2.1988670931934822E-3</v>
      </c>
      <c r="K596" s="5" t="s">
        <v>4</v>
      </c>
      <c r="L596" s="97">
        <f>_xll.meDateFromTenor(L595,"1D","FOLLOWING","TGT")</f>
        <v>43348</v>
      </c>
      <c r="M596" s="95">
        <f ca="1"/>
        <v>-6.2672244970852619E-4</v>
      </c>
      <c r="N596" s="5" t="s">
        <v>4</v>
      </c>
      <c r="O596" s="97">
        <f>_xll.meDateFromTenor(O595,"1D","FOLLOWING","TGT")</f>
        <v>43348</v>
      </c>
      <c r="P596" s="95">
        <f ca="1"/>
        <v>1.3914131246379328E-3</v>
      </c>
      <c r="Q596" s="5" t="s">
        <v>4</v>
      </c>
      <c r="R596" s="83" t="s">
        <v>4</v>
      </c>
    </row>
    <row r="597" spans="1:18" x14ac:dyDescent="0.25">
      <c r="A597" s="88">
        <v>583</v>
      </c>
      <c r="B597" s="82"/>
      <c r="C597" s="97">
        <f>_xll.meDateFromTenor(C596,"1D","FOLLOWING","TGT")</f>
        <v>43349</v>
      </c>
      <c r="D597" s="95">
        <f ca="1"/>
        <v>-3.7737490055960166E-3</v>
      </c>
      <c r="E597" s="92"/>
      <c r="F597" s="97">
        <f>_xll.meDateFromTenor(F596,"1D","FOLLOWING","TGT")</f>
        <v>43349</v>
      </c>
      <c r="G597" s="95">
        <f ca="1"/>
        <v>-3.2570460522951096E-3</v>
      </c>
      <c r="H597" s="92" t="s">
        <v>4</v>
      </c>
      <c r="I597" s="97">
        <f>_xll.meDateFromTenor(I596,"1D","FOLLOWING","TGT")</f>
        <v>43349</v>
      </c>
      <c r="J597" s="95">
        <f ca="1"/>
        <v>-2.194359113364729E-3</v>
      </c>
      <c r="K597" s="5" t="s">
        <v>4</v>
      </c>
      <c r="L597" s="97">
        <f>_xll.meDateFromTenor(L596,"1D","FOLLOWING","TGT")</f>
        <v>43349</v>
      </c>
      <c r="M597" s="95">
        <f ca="1"/>
        <v>-6.2204388351644888E-4</v>
      </c>
      <c r="N597" s="5" t="s">
        <v>4</v>
      </c>
      <c r="O597" s="97">
        <f>_xll.meDateFromTenor(O596,"1D","FOLLOWING","TGT")</f>
        <v>43349</v>
      </c>
      <c r="P597" s="95">
        <f ca="1"/>
        <v>1.396188424155384E-3</v>
      </c>
      <c r="Q597" s="5" t="s">
        <v>4</v>
      </c>
      <c r="R597" s="83" t="s">
        <v>4</v>
      </c>
    </row>
    <row r="598" spans="1:18" x14ac:dyDescent="0.25">
      <c r="A598" s="88">
        <v>584</v>
      </c>
      <c r="B598" s="82"/>
      <c r="C598" s="97">
        <f>_xll.meDateFromTenor(C597,"1D","FOLLOWING","TGT")</f>
        <v>43350</v>
      </c>
      <c r="D598" s="95">
        <f ca="1"/>
        <v>-3.7706520662411647E-3</v>
      </c>
      <c r="E598" s="92"/>
      <c r="F598" s="97">
        <f>_xll.meDateFromTenor(F597,"1D","FOLLOWING","TGT")</f>
        <v>43350</v>
      </c>
      <c r="G598" s="95">
        <f ca="1"/>
        <v>-3.2533957841359247E-3</v>
      </c>
      <c r="H598" s="92" t="s">
        <v>4</v>
      </c>
      <c r="I598" s="97">
        <f>_xll.meDateFromTenor(I597,"1D","FOLLOWING","TGT")</f>
        <v>43350</v>
      </c>
      <c r="J598" s="95">
        <f ca="1"/>
        <v>-2.1898509588927531E-3</v>
      </c>
      <c r="K598" s="5" t="s">
        <v>4</v>
      </c>
      <c r="L598" s="97">
        <f>_xll.meDateFromTenor(L597,"1D","FOLLOWING","TGT")</f>
        <v>43350</v>
      </c>
      <c r="M598" s="95">
        <f ca="1"/>
        <v>-6.1736269647041442E-4</v>
      </c>
      <c r="N598" s="5" t="s">
        <v>4</v>
      </c>
      <c r="O598" s="97">
        <f>_xll.meDateFromTenor(O597,"1D","FOLLOWING","TGT")</f>
        <v>43350</v>
      </c>
      <c r="P598" s="95">
        <f ca="1"/>
        <v>1.4009672534687249E-3</v>
      </c>
      <c r="Q598" s="5" t="s">
        <v>4</v>
      </c>
      <c r="R598" s="83" t="s">
        <v>4</v>
      </c>
    </row>
    <row r="599" spans="1:18" x14ac:dyDescent="0.25">
      <c r="A599" s="88">
        <v>585</v>
      </c>
      <c r="B599" s="82"/>
      <c r="C599" s="97">
        <f>_xll.meDateFromTenor(C598,"1D","FOLLOWING","TGT")</f>
        <v>43353</v>
      </c>
      <c r="D599" s="95">
        <f ca="1"/>
        <v>-3.7613537760415872E-3</v>
      </c>
      <c r="E599" s="92"/>
      <c r="F599" s="97">
        <f>_xll.meDateFromTenor(F598,"1D","FOLLOWING","TGT")</f>
        <v>43353</v>
      </c>
      <c r="G599" s="95">
        <f ca="1"/>
        <v>-3.2423435811105789E-3</v>
      </c>
      <c r="H599" s="92" t="s">
        <v>4</v>
      </c>
      <c r="I599" s="97">
        <f>_xll.meDateFromTenor(I598,"1D","FOLLOWING","TGT")</f>
        <v>43353</v>
      </c>
      <c r="J599" s="95">
        <f ca="1"/>
        <v>-2.1763253855096535E-3</v>
      </c>
      <c r="K599" s="5" t="s">
        <v>4</v>
      </c>
      <c r="L599" s="97">
        <f>_xll.meDateFromTenor(L598,"1D","FOLLOWING","TGT")</f>
        <v>43353</v>
      </c>
      <c r="M599" s="95">
        <f ca="1"/>
        <v>-6.0330341258510141E-4</v>
      </c>
      <c r="N599" s="5" t="s">
        <v>4</v>
      </c>
      <c r="O599" s="97">
        <f>_xll.meDateFromTenor(O598,"1D","FOLLOWING","TGT")</f>
        <v>43353</v>
      </c>
      <c r="P599" s="95">
        <f ca="1"/>
        <v>1.4153248067630168E-3</v>
      </c>
      <c r="Q599" s="5" t="s">
        <v>4</v>
      </c>
      <c r="R599" s="83" t="s">
        <v>4</v>
      </c>
    </row>
    <row r="600" spans="1:18" x14ac:dyDescent="0.25">
      <c r="A600" s="88">
        <v>586</v>
      </c>
      <c r="B600" s="82"/>
      <c r="C600" s="97">
        <f>_xll.meDateFromTenor(C599,"1D","FOLLOWING","TGT")</f>
        <v>43354</v>
      </c>
      <c r="D600" s="95">
        <f ca="1"/>
        <v>-3.7582518550268729E-3</v>
      </c>
      <c r="E600" s="92"/>
      <c r="F600" s="97">
        <f>_xll.meDateFromTenor(F599,"1D","FOLLOWING","TGT")</f>
        <v>43354</v>
      </c>
      <c r="G600" s="95">
        <f ca="1"/>
        <v>-3.238629139975678E-3</v>
      </c>
      <c r="H600" s="92" t="s">
        <v>4</v>
      </c>
      <c r="I600" s="97">
        <f>_xll.meDateFromTenor(I599,"1D","FOLLOWING","TGT")</f>
        <v>43354</v>
      </c>
      <c r="J600" s="95">
        <f ca="1"/>
        <v>-2.1718164703569518E-3</v>
      </c>
      <c r="K600" s="5" t="s">
        <v>4</v>
      </c>
      <c r="L600" s="97">
        <f>_xll.meDateFromTenor(L599,"1D","FOLLOWING","TGT")</f>
        <v>43354</v>
      </c>
      <c r="M600" s="95">
        <f ca="1"/>
        <v>-5.9861174449976986E-4</v>
      </c>
      <c r="N600" s="5" t="s">
        <v>4</v>
      </c>
      <c r="O600" s="97">
        <f>_xll.meDateFromTenor(O599,"1D","FOLLOWING","TGT")</f>
        <v>43354</v>
      </c>
      <c r="P600" s="95">
        <f ca="1"/>
        <v>1.4201176418388501E-3</v>
      </c>
      <c r="Q600" s="5" t="s">
        <v>4</v>
      </c>
      <c r="R600" s="83" t="s">
        <v>4</v>
      </c>
    </row>
    <row r="601" spans="1:18" x14ac:dyDescent="0.25">
      <c r="A601" s="88">
        <v>587</v>
      </c>
      <c r="B601" s="82"/>
      <c r="C601" s="97">
        <f>_xll.meDateFromTenor(C600,"1D","FOLLOWING","TGT")</f>
        <v>43355</v>
      </c>
      <c r="D601" s="95">
        <f ca="1"/>
        <v>-3.7551486885775143E-3</v>
      </c>
      <c r="E601" s="92"/>
      <c r="F601" s="97">
        <f>_xll.meDateFromTenor(F600,"1D","FOLLOWING","TGT")</f>
        <v>43355</v>
      </c>
      <c r="G601" s="95">
        <f ca="1"/>
        <v>-3.2349012251389579E-3</v>
      </c>
      <c r="H601" s="92" t="s">
        <v>4</v>
      </c>
      <c r="I601" s="97">
        <f>_xll.meDateFromTenor(I600,"1D","FOLLOWING","TGT")</f>
        <v>43355</v>
      </c>
      <c r="J601" s="95">
        <f ca="1"/>
        <v>-2.1673073495071088E-3</v>
      </c>
      <c r="K601" s="5" t="s">
        <v>4</v>
      </c>
      <c r="L601" s="97">
        <f>_xll.meDateFromTenor(L600,"1D","FOLLOWING","TGT")</f>
        <v>43355</v>
      </c>
      <c r="M601" s="95">
        <f ca="1"/>
        <v>-5.9391745674874626E-4</v>
      </c>
      <c r="N601" s="5" t="s">
        <v>4</v>
      </c>
      <c r="O601" s="97">
        <f>_xll.meDateFromTenor(O600,"1D","FOLLOWING","TGT")</f>
        <v>43355</v>
      </c>
      <c r="P601" s="95">
        <f ca="1"/>
        <v>1.4249139500000414E-3</v>
      </c>
      <c r="Q601" s="5" t="s">
        <v>4</v>
      </c>
      <c r="R601" s="83" t="s">
        <v>4</v>
      </c>
    </row>
    <row r="602" spans="1:18" x14ac:dyDescent="0.25">
      <c r="A602" s="88">
        <v>588</v>
      </c>
      <c r="B602" s="82"/>
      <c r="C602" s="97">
        <f>_xll.meDateFromTenor(C601,"1D","FOLLOWING","TGT")</f>
        <v>43356</v>
      </c>
      <c r="D602" s="95">
        <f ca="1"/>
        <v>-3.7520442766427742E-3</v>
      </c>
      <c r="E602" s="92"/>
      <c r="F602" s="97">
        <f>_xll.meDateFromTenor(F601,"1D","FOLLOWING","TGT")</f>
        <v>43356</v>
      </c>
      <c r="G602" s="95">
        <f ca="1"/>
        <v>-3.2311608644172594E-3</v>
      </c>
      <c r="H602" s="92" t="s">
        <v>4</v>
      </c>
      <c r="I602" s="97">
        <f>_xll.meDateFromTenor(I601,"1D","FOLLOWING","TGT")</f>
        <v>43356</v>
      </c>
      <c r="J602" s="95">
        <f ca="1"/>
        <v>-2.1627980167493429E-3</v>
      </c>
      <c r="K602" s="5" t="s">
        <v>4</v>
      </c>
      <c r="L602" s="97">
        <f>_xll.meDateFromTenor(L601,"1D","FOLLOWING","TGT")</f>
        <v>43356</v>
      </c>
      <c r="M602" s="95">
        <f ca="1"/>
        <v>-5.8922054956968371E-4</v>
      </c>
      <c r="N602" s="5" t="s">
        <v>4</v>
      </c>
      <c r="O602" s="97">
        <f>_xll.meDateFromTenor(O601,"1D","FOLLOWING","TGT")</f>
        <v>43356</v>
      </c>
      <c r="P602" s="95">
        <f ca="1"/>
        <v>1.4297137199044839E-3</v>
      </c>
      <c r="Q602" s="5" t="s">
        <v>4</v>
      </c>
      <c r="R602" s="83" t="s">
        <v>4</v>
      </c>
    </row>
    <row r="603" spans="1:18" x14ac:dyDescent="0.25">
      <c r="A603" s="88">
        <v>589</v>
      </c>
      <c r="B603" s="82"/>
      <c r="C603" s="97">
        <f>_xll.meDateFromTenor(C602,"1D","FOLLOWING","TGT")</f>
        <v>43357</v>
      </c>
      <c r="D603" s="95">
        <f ca="1"/>
        <v>-3.7489386192112173E-3</v>
      </c>
      <c r="E603" s="92"/>
      <c r="F603" s="97">
        <f>_xll.meDateFromTenor(F602,"1D","FOLLOWING","TGT")</f>
        <v>43357</v>
      </c>
      <c r="G603" s="95">
        <f ca="1"/>
        <v>-3.227409085627428E-3</v>
      </c>
      <c r="H603" s="92" t="s">
        <v>4</v>
      </c>
      <c r="I603" s="97">
        <f>_xll.meDateFromTenor(I602,"1D","FOLLOWING","TGT")</f>
        <v>43357</v>
      </c>
      <c r="J603" s="95">
        <f ca="1"/>
        <v>-2.1582884658728698E-3</v>
      </c>
      <c r="K603" s="5" t="s">
        <v>4</v>
      </c>
      <c r="L603" s="97">
        <f>_xll.meDateFromTenor(L602,"1D","FOLLOWING","TGT")</f>
        <v>43357</v>
      </c>
      <c r="M603" s="95">
        <f ca="1"/>
        <v>-5.8452102320023477E-4</v>
      </c>
      <c r="N603" s="5" t="s">
        <v>4</v>
      </c>
      <c r="O603" s="97">
        <f>_xll.meDateFromTenor(O602,"1D","FOLLOWING","TGT")</f>
        <v>43357</v>
      </c>
      <c r="P603" s="95">
        <f ca="1"/>
        <v>1.4345169402100715E-3</v>
      </c>
      <c r="Q603" s="5" t="s">
        <v>4</v>
      </c>
      <c r="R603" s="83" t="s">
        <v>4</v>
      </c>
    </row>
    <row r="604" spans="1:18" x14ac:dyDescent="0.25">
      <c r="A604" s="88">
        <v>590</v>
      </c>
      <c r="B604" s="82"/>
      <c r="C604" s="97">
        <f>_xll.meDateFromTenor(C603,"1D","FOLLOWING","TGT")</f>
        <v>43360</v>
      </c>
      <c r="D604" s="95">
        <f ca="1"/>
        <v>-3.7396141727441545E-3</v>
      </c>
      <c r="E604" s="92"/>
      <c r="F604" s="97">
        <f>_xll.meDateFromTenor(F603,"1D","FOLLOWING","TGT")</f>
        <v>43360</v>
      </c>
      <c r="G604" s="95">
        <f ca="1"/>
        <v>-3.2160955190175663E-3</v>
      </c>
      <c r="H604" s="92" t="s">
        <v>4</v>
      </c>
      <c r="I604" s="97">
        <f>_xll.meDateFromTenor(I603,"1D","FOLLOWING","TGT")</f>
        <v>43360</v>
      </c>
      <c r="J604" s="95">
        <f ca="1"/>
        <v>-2.1447584424233732E-3</v>
      </c>
      <c r="K604" s="5" t="s">
        <v>4</v>
      </c>
      <c r="L604" s="97">
        <f>_xll.meDateFromTenor(L603,"1D","FOLLOWING","TGT")</f>
        <v>43360</v>
      </c>
      <c r="M604" s="95">
        <f ca="1"/>
        <v>-5.7040673132610121E-4</v>
      </c>
      <c r="N604" s="5" t="s">
        <v>4</v>
      </c>
      <c r="O604" s="97">
        <f>_xll.meDateFromTenor(O603,"1D","FOLLOWING","TGT")</f>
        <v>43360</v>
      </c>
      <c r="P604" s="95">
        <f ca="1"/>
        <v>1.4489471901126412E-3</v>
      </c>
      <c r="Q604" s="5" t="s">
        <v>4</v>
      </c>
      <c r="R604" s="83" t="s">
        <v>4</v>
      </c>
    </row>
    <row r="605" spans="1:18" x14ac:dyDescent="0.25">
      <c r="A605" s="88">
        <v>591</v>
      </c>
      <c r="B605" s="82"/>
      <c r="C605" s="97">
        <f>_xll.meDateFromTenor(C604,"1D","FOLLOWING","TGT")</f>
        <v>43361</v>
      </c>
      <c r="D605" s="95">
        <f ca="1"/>
        <v>-3.7365035324924412E-3</v>
      </c>
      <c r="E605" s="92"/>
      <c r="F605" s="97">
        <f>_xll.meDateFromTenor(F604,"1D","FOLLOWING","TGT")</f>
        <v>43361</v>
      </c>
      <c r="G605" s="95">
        <f ca="1"/>
        <v>-3.2123083461236333E-3</v>
      </c>
      <c r="H605" s="92" t="s">
        <v>4</v>
      </c>
      <c r="I605" s="97">
        <f>_xll.meDateFromTenor(I604,"1D","FOLLOWING","TGT")</f>
        <v>43361</v>
      </c>
      <c r="J605" s="95">
        <f ca="1"/>
        <v>-2.1402479569642362E-3</v>
      </c>
      <c r="K605" s="5" t="s">
        <v>4</v>
      </c>
      <c r="L605" s="97">
        <f>_xll.meDateFromTenor(L604,"1D","FOLLOWING","TGT")</f>
        <v>43361</v>
      </c>
      <c r="M605" s="95">
        <f ca="1"/>
        <v>-5.6569673057163636E-4</v>
      </c>
      <c r="N605" s="5" t="s">
        <v>4</v>
      </c>
      <c r="O605" s="97">
        <f>_xll.meDateFromTenor(O604,"1D","FOLLOWING","TGT")</f>
        <v>43361</v>
      </c>
      <c r="P605" s="95">
        <f ca="1"/>
        <v>1.4537640986017474E-3</v>
      </c>
      <c r="Q605" s="5" t="s">
        <v>4</v>
      </c>
      <c r="R605" s="83" t="s">
        <v>4</v>
      </c>
    </row>
    <row r="606" spans="1:18" x14ac:dyDescent="0.25">
      <c r="A606" s="88">
        <v>592</v>
      </c>
      <c r="B606" s="82"/>
      <c r="C606" s="97">
        <f>_xll.meDateFromTenor(C605,"1D","FOLLOWING","TGT")</f>
        <v>43362</v>
      </c>
      <c r="D606" s="95">
        <f ca="1"/>
        <v>-3.7333916465267514E-3</v>
      </c>
      <c r="E606" s="92"/>
      <c r="F606" s="97">
        <f>_xll.meDateFromTenor(F605,"1D","FOLLOWING","TGT")</f>
        <v>43362</v>
      </c>
      <c r="G606" s="95">
        <f ca="1"/>
        <v>-3.2085148942457833E-3</v>
      </c>
      <c r="H606" s="92" t="s">
        <v>4</v>
      </c>
      <c r="I606" s="97">
        <f>_xll.meDateFromTenor(I605,"1D","FOLLOWING","TGT")</f>
        <v>43362</v>
      </c>
      <c r="J606" s="95">
        <f ca="1"/>
        <v>-2.135737222332474E-3</v>
      </c>
      <c r="K606" s="5" t="s">
        <v>4</v>
      </c>
      <c r="L606" s="97">
        <f>_xll.meDateFromTenor(L605,"1D","FOLLOWING","TGT")</f>
        <v>43362</v>
      </c>
      <c r="M606" s="95">
        <f ca="1"/>
        <v>-5.6098411181504978E-4</v>
      </c>
      <c r="N606" s="5" t="s">
        <v>4</v>
      </c>
      <c r="O606" s="97">
        <f>_xll.meDateFromTenor(O605,"1D","FOLLOWING","TGT")</f>
        <v>43362</v>
      </c>
      <c r="P606" s="95">
        <f ca="1"/>
        <v>1.4585844007814674E-3</v>
      </c>
      <c r="Q606" s="5" t="s">
        <v>4</v>
      </c>
      <c r="R606" s="83" t="s">
        <v>4</v>
      </c>
    </row>
    <row r="607" spans="1:18" x14ac:dyDescent="0.25">
      <c r="A607" s="88">
        <v>593</v>
      </c>
      <c r="B607" s="82"/>
      <c r="C607" s="97">
        <f>_xll.meDateFromTenor(C606,"1D","FOLLOWING","TGT")</f>
        <v>43363</v>
      </c>
      <c r="D607" s="95">
        <f ca="1"/>
        <v>-3.7302785146762218E-3</v>
      </c>
      <c r="E607" s="92"/>
      <c r="F607" s="97">
        <f>_xll.meDateFromTenor(F606,"1D","FOLLOWING","TGT")</f>
        <v>43363</v>
      </c>
      <c r="G607" s="95">
        <f ca="1"/>
        <v>-3.2047161912008609E-3</v>
      </c>
      <c r="H607" s="92" t="s">
        <v>4</v>
      </c>
      <c r="I607" s="97">
        <f>_xll.meDateFromTenor(I606,"1D","FOLLOWING","TGT")</f>
        <v>43363</v>
      </c>
      <c r="J607" s="95">
        <f ca="1"/>
        <v>-2.1312262323173038E-3</v>
      </c>
      <c r="K607" s="5" t="s">
        <v>4</v>
      </c>
      <c r="L607" s="97">
        <f>_xll.meDateFromTenor(L606,"1D","FOLLOWING","TGT")</f>
        <v>43363</v>
      </c>
      <c r="M607" s="95">
        <f ca="1"/>
        <v>-5.5626887529399436E-4</v>
      </c>
      <c r="N607" s="5" t="s">
        <v>4</v>
      </c>
      <c r="O607" s="97">
        <f>_xll.meDateFromTenor(O606,"1D","FOLLOWING","TGT")</f>
        <v>43363</v>
      </c>
      <c r="P607" s="95">
        <f ca="1"/>
        <v>1.4634080853096955E-3</v>
      </c>
      <c r="Q607" s="5" t="s">
        <v>4</v>
      </c>
      <c r="R607" s="83" t="s">
        <v>4</v>
      </c>
    </row>
    <row r="608" spans="1:18" x14ac:dyDescent="0.25">
      <c r="A608" s="88">
        <v>594</v>
      </c>
      <c r="B608" s="82"/>
      <c r="C608" s="97">
        <f>_xll.meDateFromTenor(C607,"1D","FOLLOWING","TGT")</f>
        <v>43364</v>
      </c>
      <c r="D608" s="95">
        <f ca="1"/>
        <v>-3.7271641372477182E-3</v>
      </c>
      <c r="E608" s="92"/>
      <c r="F608" s="97">
        <f>_xll.meDateFromTenor(F607,"1D","FOLLOWING","TGT")</f>
        <v>43364</v>
      </c>
      <c r="G608" s="95">
        <f ca="1"/>
        <v>-3.200913264805707E-3</v>
      </c>
      <c r="H608" s="92" t="s">
        <v>4</v>
      </c>
      <c r="I608" s="97">
        <f>_xll.meDateFromTenor(I607,"1D","FOLLOWING","TGT")</f>
        <v>43364</v>
      </c>
      <c r="J608" s="95">
        <f ca="1"/>
        <v>-2.1267149807079424E-3</v>
      </c>
      <c r="K608" s="5" t="s">
        <v>4</v>
      </c>
      <c r="L608" s="97">
        <f>_xll.meDateFromTenor(L607,"1D","FOLLOWING","TGT")</f>
        <v>43364</v>
      </c>
      <c r="M608" s="95">
        <f ca="1"/>
        <v>-5.5155102124612287E-4</v>
      </c>
      <c r="N608" s="5" t="s">
        <v>4</v>
      </c>
      <c r="O608" s="97">
        <f>_xll.meDateFromTenor(O607,"1D","FOLLOWING","TGT")</f>
        <v>43364</v>
      </c>
      <c r="P608" s="95">
        <f ca="1"/>
        <v>1.4682351408443245E-3</v>
      </c>
      <c r="Q608" s="5" t="s">
        <v>4</v>
      </c>
      <c r="R608" s="83" t="s">
        <v>4</v>
      </c>
    </row>
    <row r="609" spans="1:18" x14ac:dyDescent="0.25">
      <c r="A609" s="88">
        <v>595</v>
      </c>
      <c r="B609" s="82"/>
      <c r="C609" s="97">
        <f>_xll.meDateFromTenor(C608,"1D","FOLLOWING","TGT")</f>
        <v>43367</v>
      </c>
      <c r="D609" s="95">
        <f ca="1"/>
        <v>-3.7178135287507796E-3</v>
      </c>
      <c r="E609" s="92"/>
      <c r="F609" s="97">
        <f>_xll.meDateFromTenor(F608,"1D","FOLLOWING","TGT")</f>
        <v>43367</v>
      </c>
      <c r="G609" s="95">
        <f ca="1"/>
        <v>-3.1894894236873003E-3</v>
      </c>
      <c r="H609" s="92" t="s">
        <v>4</v>
      </c>
      <c r="I609" s="97">
        <f>_xll.meDateFromTenor(I608,"1D","FOLLOWING","TGT")</f>
        <v>43367</v>
      </c>
      <c r="J609" s="95">
        <f ca="1"/>
        <v>-2.1131795942068727E-3</v>
      </c>
      <c r="K609" s="5" t="s">
        <v>4</v>
      </c>
      <c r="L609" s="97">
        <f>_xll.meDateFromTenor(L608,"1D","FOLLOWING","TGT")</f>
        <v>43367</v>
      </c>
      <c r="M609" s="95">
        <f ca="1"/>
        <v>-5.3738175631814252E-4</v>
      </c>
      <c r="N609" s="5" t="s">
        <v>4</v>
      </c>
      <c r="O609" s="97">
        <f>_xll.meDateFromTenor(O608,"1D","FOLLOWING","TGT")</f>
        <v>43367</v>
      </c>
      <c r="P609" s="95">
        <f ca="1"/>
        <v>1.4827364200655593E-3</v>
      </c>
      <c r="Q609" s="5" t="s">
        <v>4</v>
      </c>
      <c r="R609" s="83" t="s">
        <v>4</v>
      </c>
    </row>
    <row r="610" spans="1:18" x14ac:dyDescent="0.25">
      <c r="A610" s="88">
        <v>596</v>
      </c>
      <c r="B610" s="82"/>
      <c r="C610" s="97">
        <f>_xll.meDateFromTenor(C609,"1D","FOLLOWING","TGT")</f>
        <v>43368</v>
      </c>
      <c r="D610" s="95">
        <f ca="1"/>
        <v>-3.7146941674213174E-3</v>
      </c>
      <c r="E610" s="92"/>
      <c r="F610" s="97">
        <f>_xll.meDateFromTenor(F609,"1D","FOLLOWING","TGT")</f>
        <v>43368</v>
      </c>
      <c r="G610" s="95">
        <f ca="1"/>
        <v>-3.1856798820596595E-3</v>
      </c>
      <c r="H610" s="92" t="s">
        <v>4</v>
      </c>
      <c r="I610" s="97">
        <f>_xll.meDateFromTenor(I609,"1D","FOLLOWING","TGT")</f>
        <v>43368</v>
      </c>
      <c r="J610" s="95">
        <f ca="1"/>
        <v>-2.1086672341129094E-3</v>
      </c>
      <c r="K610" s="5" t="s">
        <v>4</v>
      </c>
      <c r="L610" s="97">
        <f>_xll.meDateFromTenor(L609,"1D","FOLLOWING","TGT")</f>
        <v>43368</v>
      </c>
      <c r="M610" s="95">
        <f ca="1"/>
        <v>-5.3265343453953609E-4</v>
      </c>
      <c r="N610" s="5" t="s">
        <v>4</v>
      </c>
      <c r="O610" s="97">
        <f>_xll.meDateFromTenor(O609,"1D","FOLLOWING","TGT")</f>
        <v>43368</v>
      </c>
      <c r="P610" s="95">
        <f ca="1"/>
        <v>1.4875768462047328E-3</v>
      </c>
      <c r="Q610" s="5" t="s">
        <v>4</v>
      </c>
      <c r="R610" s="83" t="s">
        <v>4</v>
      </c>
    </row>
    <row r="611" spans="1:18" x14ac:dyDescent="0.25">
      <c r="A611" s="88">
        <v>597</v>
      </c>
      <c r="B611" s="82"/>
      <c r="C611" s="97">
        <f>_xll.meDateFromTenor(C610,"1D","FOLLOWING","TGT")</f>
        <v>43369</v>
      </c>
      <c r="D611" s="95">
        <f ca="1"/>
        <v>-3.7115735600179445E-3</v>
      </c>
      <c r="E611" s="92"/>
      <c r="F611" s="97">
        <f>_xll.meDateFromTenor(F610,"1D","FOLLOWING","TGT")</f>
        <v>43369</v>
      </c>
      <c r="G611" s="95">
        <f ca="1"/>
        <v>-3.1818712561660061E-3</v>
      </c>
      <c r="H611" s="92" t="s">
        <v>4</v>
      </c>
      <c r="I611" s="97">
        <f>_xll.meDateFromTenor(I610,"1D","FOLLOWING","TGT")</f>
        <v>43369</v>
      </c>
      <c r="J611" s="95">
        <f ca="1"/>
        <v>-2.1041545813708378E-3</v>
      </c>
      <c r="K611" s="5" t="s">
        <v>4</v>
      </c>
      <c r="L611" s="97">
        <f>_xll.meDateFromTenor(L610,"1D","FOLLOWING","TGT")</f>
        <v>43369</v>
      </c>
      <c r="M611" s="95">
        <f ca="1"/>
        <v>-5.2792249642237901E-4</v>
      </c>
      <c r="N611" s="5" t="s">
        <v>4</v>
      </c>
      <c r="O611" s="97">
        <f>_xll.meDateFromTenor(O610,"1D","FOLLOWING","TGT")</f>
        <v>43369</v>
      </c>
      <c r="P611" s="95">
        <f ca="1"/>
        <v>1.4924205866397755E-3</v>
      </c>
      <c r="Q611" s="5" t="s">
        <v>4</v>
      </c>
      <c r="R611" s="83" t="s">
        <v>4</v>
      </c>
    </row>
    <row r="612" spans="1:18" x14ac:dyDescent="0.25">
      <c r="A612" s="88">
        <v>598</v>
      </c>
      <c r="B612" s="82"/>
      <c r="C612" s="97">
        <f>_xll.meDateFromTenor(C611,"1D","FOLLOWING","TGT")</f>
        <v>43370</v>
      </c>
      <c r="D612" s="95">
        <f ca="1"/>
        <v>-3.7084517064494005E-3</v>
      </c>
      <c r="E612" s="92"/>
      <c r="F612" s="97">
        <f>_xll.meDateFromTenor(F611,"1D","FOLLOWING","TGT")</f>
        <v>43370</v>
      </c>
      <c r="G612" s="95">
        <f ca="1"/>
        <v>-3.1780645738231825E-3</v>
      </c>
      <c r="H612" s="92" t="s">
        <v>4</v>
      </c>
      <c r="I612" s="97">
        <f>_xll.meDateFromTenor(I611,"1D","FOLLOWING","TGT")</f>
        <v>43370</v>
      </c>
      <c r="J612" s="95">
        <f ca="1"/>
        <v>-2.0996416297698718E-3</v>
      </c>
      <c r="K612" s="5" t="s">
        <v>4</v>
      </c>
      <c r="L612" s="97">
        <f>_xll.meDateFromTenor(L611,"1D","FOLLOWING","TGT")</f>
        <v>43370</v>
      </c>
      <c r="M612" s="95">
        <f ca="1"/>
        <v>-5.2318894220432244E-4</v>
      </c>
      <c r="N612" s="5" t="s">
        <v>4</v>
      </c>
      <c r="O612" s="97">
        <f>_xll.meDateFromTenor(O611,"1D","FOLLOWING","TGT")</f>
        <v>43370</v>
      </c>
      <c r="P612" s="95">
        <f ca="1"/>
        <v>1.4972676300285838E-3</v>
      </c>
      <c r="Q612" s="5" t="s">
        <v>4</v>
      </c>
      <c r="R612" s="83" t="s">
        <v>4</v>
      </c>
    </row>
    <row r="613" spans="1:18" x14ac:dyDescent="0.25">
      <c r="A613" s="88">
        <v>599</v>
      </c>
      <c r="B613" s="82"/>
      <c r="C613" s="97">
        <f>_xll.meDateFromTenor(C612,"1D","FOLLOWING","TGT")</f>
        <v>43371</v>
      </c>
      <c r="D613" s="95">
        <f ca="1"/>
        <v>-3.7053286068235991E-3</v>
      </c>
      <c r="E613" s="92"/>
      <c r="F613" s="97">
        <f>_xll.meDateFromTenor(F612,"1D","FOLLOWING","TGT")</f>
        <v>43371</v>
      </c>
      <c r="G613" s="95">
        <f ca="1"/>
        <v>-3.1742608628480321E-3</v>
      </c>
      <c r="H613" s="92" t="s">
        <v>4</v>
      </c>
      <c r="I613" s="97">
        <f>_xll.meDateFromTenor(I612,"1D","FOLLOWING","TGT")</f>
        <v>43371</v>
      </c>
      <c r="J613" s="95">
        <f ca="1"/>
        <v>-2.0951283730992303E-3</v>
      </c>
      <c r="K613" s="5" t="s">
        <v>4</v>
      </c>
      <c r="L613" s="97">
        <f>_xll.meDateFromTenor(L612,"1D","FOLLOWING","TGT")</f>
        <v>43371</v>
      </c>
      <c r="M613" s="95">
        <f ca="1"/>
        <v>-5.1845277212302023E-4</v>
      </c>
      <c r="N613" s="5" t="s">
        <v>4</v>
      </c>
      <c r="O613" s="97">
        <f>_xll.meDateFromTenor(O612,"1D","FOLLOWING","TGT")</f>
        <v>43371</v>
      </c>
      <c r="P613" s="95">
        <f ca="1"/>
        <v>1.50211796502905E-3</v>
      </c>
      <c r="Q613" s="5" t="s">
        <v>4</v>
      </c>
      <c r="R613" s="83" t="s">
        <v>4</v>
      </c>
    </row>
    <row r="614" spans="1:18" x14ac:dyDescent="0.25">
      <c r="A614" s="88">
        <v>600</v>
      </c>
      <c r="B614" s="82"/>
      <c r="C614" s="97">
        <f>_xll.meDateFromTenor(C613,"1D","FOLLOWING","TGT")</f>
        <v>43374</v>
      </c>
      <c r="D614" s="95">
        <f ca="1"/>
        <v>-3.6959518307289052E-3</v>
      </c>
      <c r="E614" s="92"/>
      <c r="F614" s="97">
        <f>_xll.meDateFromTenor(F613,"1D","FOLLOWING","TGT")</f>
        <v>43374</v>
      </c>
      <c r="G614" s="95">
        <f ca="1"/>
        <v>-3.1628778362970526E-3</v>
      </c>
      <c r="H614" s="92" t="s">
        <v>4</v>
      </c>
      <c r="I614" s="97">
        <f>_xll.meDateFromTenor(I613,"1D","FOLLOWING","TGT")</f>
        <v>43374</v>
      </c>
      <c r="J614" s="95">
        <f ca="1"/>
        <v>-2.0815867105614134E-3</v>
      </c>
      <c r="K614" s="5" t="s">
        <v>4</v>
      </c>
      <c r="L614" s="97">
        <f>_xll.meDateFromTenor(L613,"1D","FOLLOWING","TGT")</f>
        <v>43374</v>
      </c>
      <c r="M614" s="95">
        <f ca="1"/>
        <v>-5.0422856907616825E-4</v>
      </c>
      <c r="N614" s="5" t="s">
        <v>4</v>
      </c>
      <c r="O614" s="97">
        <f>_xll.meDateFromTenor(O613,"1D","FOLLOWING","TGT")</f>
        <v>43374</v>
      </c>
      <c r="P614" s="95">
        <f ca="1"/>
        <v>1.516688606279334E-3</v>
      </c>
      <c r="Q614" s="5" t="s">
        <v>4</v>
      </c>
      <c r="R614" s="83" t="s">
        <v>4</v>
      </c>
    </row>
    <row r="615" spans="1:18" x14ac:dyDescent="0.25">
      <c r="A615" s="88">
        <v>601</v>
      </c>
      <c r="B615" s="82"/>
      <c r="C615" s="97">
        <f>_xll.meDateFromTenor(C614,"1D","FOLLOWING","TGT")</f>
        <v>43375</v>
      </c>
      <c r="D615" s="95">
        <f ca="1"/>
        <v>-3.6928237463591529E-3</v>
      </c>
      <c r="E615" s="92"/>
      <c r="F615" s="97">
        <f>_xll.meDateFromTenor(F614,"1D","FOLLOWING","TGT")</f>
        <v>43375</v>
      </c>
      <c r="G615" s="95">
        <f ca="1"/>
        <v>-3.1590962889610288E-3</v>
      </c>
      <c r="H615" s="92" t="s">
        <v>4</v>
      </c>
      <c r="I615" s="97">
        <f>_xll.meDateFromTenor(I614,"1D","FOLLOWING","TGT")</f>
        <v>43375</v>
      </c>
      <c r="J615" s="95">
        <f ca="1"/>
        <v>-2.0770721715042319E-3</v>
      </c>
      <c r="K615" s="5" t="s">
        <v>4</v>
      </c>
      <c r="L615" s="97">
        <f>_xll.meDateFromTenor(L614,"1D","FOLLOWING","TGT")</f>
        <v>43375</v>
      </c>
      <c r="M615" s="95">
        <f ca="1"/>
        <v>-4.9948193791841207E-4</v>
      </c>
      <c r="N615" s="5" t="s">
        <v>4</v>
      </c>
      <c r="O615" s="97">
        <f>_xll.meDateFromTenor(O614,"1D","FOLLOWING","TGT")</f>
        <v>43375</v>
      </c>
      <c r="P615" s="95">
        <f ca="1"/>
        <v>1.5215519943053699E-3</v>
      </c>
      <c r="Q615" s="5" t="s">
        <v>4</v>
      </c>
      <c r="R615" s="83" t="s">
        <v>4</v>
      </c>
    </row>
    <row r="616" spans="1:18" x14ac:dyDescent="0.25">
      <c r="A616" s="88">
        <v>602</v>
      </c>
      <c r="B616" s="82"/>
      <c r="C616" s="97">
        <f>_xll.meDateFromTenor(C615,"1D","FOLLOWING","TGT")</f>
        <v>43376</v>
      </c>
      <c r="D616" s="95">
        <f ca="1"/>
        <v>-3.6896944153561595E-3</v>
      </c>
      <c r="E616" s="92"/>
      <c r="F616" s="97">
        <f>_xll.meDateFromTenor(F615,"1D","FOLLOWING","TGT")</f>
        <v>43376</v>
      </c>
      <c r="G616" s="95">
        <f ca="1"/>
        <v>-3.1553226629822372E-3</v>
      </c>
      <c r="H616" s="92" t="s">
        <v>4</v>
      </c>
      <c r="I616" s="97">
        <f>_xll.meDateFromTenor(I615,"1D","FOLLOWING","TGT")</f>
        <v>43376</v>
      </c>
      <c r="J616" s="95">
        <f ca="1"/>
        <v>-2.0725572963234576E-3</v>
      </c>
      <c r="K616" s="5" t="s">
        <v>4</v>
      </c>
      <c r="L616" s="97">
        <f>_xll.meDateFromTenor(L615,"1D","FOLLOWING","TGT")</f>
        <v>43376</v>
      </c>
      <c r="M616" s="95">
        <f ca="1"/>
        <v>-4.9473269208567534E-4</v>
      </c>
      <c r="N616" s="5" t="s">
        <v>4</v>
      </c>
      <c r="O616" s="97">
        <f>_xll.meDateFromTenor(O615,"1D","FOLLOWING","TGT")</f>
        <v>43376</v>
      </c>
      <c r="P616" s="95">
        <f ca="1"/>
        <v>1.5264186172325319E-3</v>
      </c>
      <c r="Q616" s="5" t="s">
        <v>4</v>
      </c>
      <c r="R616" s="83" t="s">
        <v>4</v>
      </c>
    </row>
    <row r="617" spans="1:18" x14ac:dyDescent="0.25">
      <c r="A617" s="88">
        <v>603</v>
      </c>
      <c r="B617" s="82"/>
      <c r="C617" s="97">
        <f>_xll.meDateFromTenor(C616,"1D","FOLLOWING","TGT")</f>
        <v>43377</v>
      </c>
      <c r="D617" s="95">
        <f ca="1"/>
        <v>-3.6865638381862187E-3</v>
      </c>
      <c r="E617" s="92"/>
      <c r="F617" s="97">
        <f>_xll.meDateFromTenor(F616,"1D","FOLLOWING","TGT")</f>
        <v>43377</v>
      </c>
      <c r="G617" s="95">
        <f ca="1"/>
        <v>-3.151557040704227E-3</v>
      </c>
      <c r="H617" s="92" t="s">
        <v>4</v>
      </c>
      <c r="I617" s="97">
        <f>_xll.meDateFromTenor(I616,"1D","FOLLOWING","TGT")</f>
        <v>43377</v>
      </c>
      <c r="J617" s="95">
        <f ca="1"/>
        <v>-2.0680420788083053E-3</v>
      </c>
      <c r="K617" s="5" t="s">
        <v>4</v>
      </c>
      <c r="L617" s="97">
        <f>_xll.meDateFromTenor(L616,"1D","FOLLOWING","TGT")</f>
        <v>43377</v>
      </c>
      <c r="M617" s="95">
        <f ca="1"/>
        <v>-4.8998083181560955E-4</v>
      </c>
      <c r="N617" s="5" t="s">
        <v>4</v>
      </c>
      <c r="O617" s="97">
        <f>_xll.meDateFromTenor(O616,"1D","FOLLOWING","TGT")</f>
        <v>43377</v>
      </c>
      <c r="P617" s="95">
        <f ca="1"/>
        <v>1.5312884637187153E-3</v>
      </c>
      <c r="Q617" s="5" t="s">
        <v>4</v>
      </c>
      <c r="R617" s="83" t="s">
        <v>4</v>
      </c>
    </row>
    <row r="618" spans="1:18" x14ac:dyDescent="0.25">
      <c r="A618" s="88">
        <v>604</v>
      </c>
      <c r="B618" s="82"/>
      <c r="C618" s="97">
        <f>_xll.meDateFromTenor(C617,"1D","FOLLOWING","TGT")</f>
        <v>43378</v>
      </c>
      <c r="D618" s="95">
        <f ca="1"/>
        <v>-3.6834320145189281E-3</v>
      </c>
      <c r="E618" s="92"/>
      <c r="F618" s="97">
        <f>_xll.meDateFromTenor(F617,"1D","FOLLOWING","TGT")</f>
        <v>43378</v>
      </c>
      <c r="G618" s="95">
        <f ca="1"/>
        <v>-3.1477993153758935E-3</v>
      </c>
      <c r="H618" s="92" t="s">
        <v>4</v>
      </c>
      <c r="I618" s="97">
        <f>_xll.meDateFromTenor(I617,"1D","FOLLOWING","TGT")</f>
        <v>43378</v>
      </c>
      <c r="J618" s="95">
        <f ca="1"/>
        <v>-2.0635265127479925E-3</v>
      </c>
      <c r="K618" s="5" t="s">
        <v>4</v>
      </c>
      <c r="L618" s="97">
        <f>_xll.meDateFromTenor(L617,"1D","FOLLOWING","TGT")</f>
        <v>43378</v>
      </c>
      <c r="M618" s="95">
        <f ca="1"/>
        <v>-4.8522635734586905E-4</v>
      </c>
      <c r="N618" s="5" t="s">
        <v>4</v>
      </c>
      <c r="O618" s="97">
        <f>_xll.meDateFromTenor(O617,"1D","FOLLOWING","TGT")</f>
        <v>43378</v>
      </c>
      <c r="P618" s="95">
        <f ca="1"/>
        <v>1.5361615224218125E-3</v>
      </c>
      <c r="Q618" s="5" t="s">
        <v>4</v>
      </c>
      <c r="R618" s="83" t="s">
        <v>4</v>
      </c>
    </row>
    <row r="619" spans="1:18" x14ac:dyDescent="0.25">
      <c r="A619" s="88">
        <v>605</v>
      </c>
      <c r="B619" s="82"/>
      <c r="C619" s="97">
        <f>_xll.meDateFromTenor(C618,"1D","FOLLOWING","TGT")</f>
        <v>43381</v>
      </c>
      <c r="D619" s="95">
        <f ca="1"/>
        <v>-3.6740290647758744E-3</v>
      </c>
      <c r="E619" s="92"/>
      <c r="F619" s="97">
        <f>_xll.meDateFromTenor(F618,"1D","FOLLOWING","TGT")</f>
        <v>43381</v>
      </c>
      <c r="G619" s="95">
        <f ca="1"/>
        <v>-3.1365724535778656E-3</v>
      </c>
      <c r="H619" s="92" t="s">
        <v>4</v>
      </c>
      <c r="I619" s="97">
        <f>_xll.meDateFromTenor(I618,"1D","FOLLOWING","TGT")</f>
        <v>43381</v>
      </c>
      <c r="J619" s="95">
        <f ca="1"/>
        <v>-2.0499776611882549E-3</v>
      </c>
      <c r="K619" s="5" t="s">
        <v>4</v>
      </c>
      <c r="L619" s="97">
        <f>_xll.meDateFromTenor(L618,"1D","FOLLOWING","TGT")</f>
        <v>43381</v>
      </c>
      <c r="M619" s="95">
        <f ca="1"/>
        <v>-4.7094725111512142E-4</v>
      </c>
      <c r="N619" s="5" t="s">
        <v>4</v>
      </c>
      <c r="O619" s="97">
        <f>_xll.meDateFromTenor(O618,"1D","FOLLOWING","TGT")</f>
        <v>43381</v>
      </c>
      <c r="P619" s="95">
        <f ca="1"/>
        <v>1.5507998584115298E-3</v>
      </c>
      <c r="Q619" s="5" t="s">
        <v>4</v>
      </c>
      <c r="R619" s="83" t="s">
        <v>4</v>
      </c>
    </row>
    <row r="620" spans="1:18" x14ac:dyDescent="0.25">
      <c r="A620" s="88">
        <v>606</v>
      </c>
      <c r="B620" s="82"/>
      <c r="C620" s="97">
        <f>_xll.meDateFromTenor(C619,"1D","FOLLOWING","TGT")</f>
        <v>43382</v>
      </c>
      <c r="D620" s="95">
        <f ca="1"/>
        <v>-3.6708922551226264E-3</v>
      </c>
      <c r="E620" s="92"/>
      <c r="F620" s="97">
        <f>_xll.meDateFromTenor(F619,"1D","FOLLOWING","TGT")</f>
        <v>43382</v>
      </c>
      <c r="G620" s="95">
        <f ca="1"/>
        <v>-3.1328452485371561E-3</v>
      </c>
      <c r="H620" s="92" t="s">
        <v>4</v>
      </c>
      <c r="I620" s="97">
        <f>_xll.meDateFromTenor(I619,"1D","FOLLOWING","TGT")</f>
        <v>43382</v>
      </c>
      <c r="J620" s="95">
        <f ca="1"/>
        <v>-2.0454606388394638E-3</v>
      </c>
      <c r="K620" s="5" t="s">
        <v>4</v>
      </c>
      <c r="L620" s="97">
        <f>_xll.meDateFromTenor(L619,"1D","FOLLOWING","TGT")</f>
        <v>43382</v>
      </c>
      <c r="M620" s="95">
        <f ca="1"/>
        <v>-4.6618232222320714E-4</v>
      </c>
      <c r="N620" s="5" t="s">
        <v>4</v>
      </c>
      <c r="O620" s="97">
        <f>_xll.meDateFromTenor(O619,"1D","FOLLOWING","TGT")</f>
        <v>43382</v>
      </c>
      <c r="P620" s="95">
        <f ca="1"/>
        <v>1.5556856525612232E-3</v>
      </c>
      <c r="Q620" s="5" t="s">
        <v>4</v>
      </c>
      <c r="R620" s="83" t="s">
        <v>4</v>
      </c>
    </row>
    <row r="621" spans="1:18" x14ac:dyDescent="0.25">
      <c r="A621" s="88">
        <v>607</v>
      </c>
      <c r="B621" s="82"/>
      <c r="C621" s="97">
        <f>_xll.meDateFromTenor(C620,"1D","FOLLOWING","TGT")</f>
        <v>43383</v>
      </c>
      <c r="D621" s="95">
        <f ca="1"/>
        <v>-3.6677541988739959E-3</v>
      </c>
      <c r="E621" s="92"/>
      <c r="F621" s="97">
        <f>_xll.meDateFromTenor(F620,"1D","FOLLOWING","TGT")</f>
        <v>43383</v>
      </c>
      <c r="G621" s="95">
        <f ca="1"/>
        <v>-3.1291254066905853E-3</v>
      </c>
      <c r="H621" s="92" t="s">
        <v>4</v>
      </c>
      <c r="I621" s="97">
        <f>_xll.meDateFromTenor(I620,"1D","FOLLOWING","TGT")</f>
        <v>43383</v>
      </c>
      <c r="J621" s="95">
        <f ca="1"/>
        <v>-2.0409432368915952E-3</v>
      </c>
      <c r="K621" s="5" t="s">
        <v>4</v>
      </c>
      <c r="L621" s="97">
        <f>_xll.meDateFromTenor(L620,"1D","FOLLOWING","TGT")</f>
        <v>43383</v>
      </c>
      <c r="M621" s="95">
        <f ca="1"/>
        <v>-4.61414780319882E-4</v>
      </c>
      <c r="N621" s="5" t="s">
        <v>4</v>
      </c>
      <c r="O621" s="97">
        <f>_xll.meDateFromTenor(O620,"1D","FOLLOWING","TGT")</f>
        <v>43383</v>
      </c>
      <c r="P621" s="95">
        <f ca="1"/>
        <v>1.5605746022172996E-3</v>
      </c>
      <c r="Q621" s="5" t="s">
        <v>4</v>
      </c>
      <c r="R621" s="83" t="s">
        <v>4</v>
      </c>
    </row>
    <row r="622" spans="1:18" x14ac:dyDescent="0.25">
      <c r="A622" s="88">
        <v>608</v>
      </c>
      <c r="B622" s="82"/>
      <c r="C622" s="97">
        <f>_xll.meDateFromTenor(C621,"1D","FOLLOWING","TGT")</f>
        <v>43384</v>
      </c>
      <c r="D622" s="95">
        <f ca="1"/>
        <v>-3.6646148959386116E-3</v>
      </c>
      <c r="E622" s="92"/>
      <c r="F622" s="97">
        <f>_xll.meDateFromTenor(F621,"1D","FOLLOWING","TGT")</f>
        <v>43384</v>
      </c>
      <c r="G622" s="95">
        <f ca="1"/>
        <v>-3.1254128212870455E-3</v>
      </c>
      <c r="H622" s="92" t="s">
        <v>4</v>
      </c>
      <c r="I622" s="97">
        <f>_xll.meDateFromTenor(I621,"1D","FOLLOWING","TGT")</f>
        <v>43384</v>
      </c>
      <c r="J622" s="95">
        <f ca="1"/>
        <v>-2.0364254491338652E-3</v>
      </c>
      <c r="K622" s="5" t="s">
        <v>4</v>
      </c>
      <c r="L622" s="97">
        <f>_xll.meDateFromTenor(L621,"1D","FOLLOWING","TGT")</f>
        <v>43384</v>
      </c>
      <c r="M622" s="95">
        <f ca="1"/>
        <v>-4.5664462564279942E-4</v>
      </c>
      <c r="N622" s="5" t="s">
        <v>4</v>
      </c>
      <c r="O622" s="97">
        <f>_xll.meDateFromTenor(O621,"1D","FOLLOWING","TGT")</f>
        <v>43384</v>
      </c>
      <c r="P622" s="95">
        <f ca="1"/>
        <v>1.5654666960376524E-3</v>
      </c>
      <c r="Q622" s="5" t="s">
        <v>4</v>
      </c>
      <c r="R622" s="83" t="s">
        <v>4</v>
      </c>
    </row>
    <row r="623" spans="1:18" x14ac:dyDescent="0.25">
      <c r="A623" s="88">
        <v>609</v>
      </c>
      <c r="B623" s="82"/>
      <c r="C623" s="97">
        <f>_xll.meDateFromTenor(C622,"1D","FOLLOWING","TGT")</f>
        <v>43385</v>
      </c>
      <c r="D623" s="95">
        <f ca="1"/>
        <v>-3.6614743463049271E-3</v>
      </c>
      <c r="E623" s="92"/>
      <c r="F623" s="97">
        <f>_xll.meDateFromTenor(F622,"1D","FOLLOWING","TGT")</f>
        <v>43385</v>
      </c>
      <c r="G623" s="95">
        <f ca="1"/>
        <v>-3.1217073855754275E-3</v>
      </c>
      <c r="H623" s="92" t="s">
        <v>4</v>
      </c>
      <c r="I623" s="97">
        <f>_xll.meDateFromTenor(I622,"1D","FOLLOWING","TGT")</f>
        <v>43385</v>
      </c>
      <c r="J623" s="95">
        <f ca="1"/>
        <v>-2.0319072693554892E-3</v>
      </c>
      <c r="K623" s="5" t="s">
        <v>4</v>
      </c>
      <c r="L623" s="97">
        <f>_xll.meDateFromTenor(L622,"1D","FOLLOWING","TGT")</f>
        <v>43385</v>
      </c>
      <c r="M623" s="95">
        <f ca="1"/>
        <v>-4.5187185842961083E-4</v>
      </c>
      <c r="N623" s="5" t="s">
        <v>4</v>
      </c>
      <c r="O623" s="97">
        <f>_xll.meDateFromTenor(O622,"1D","FOLLOWING","TGT")</f>
        <v>43385</v>
      </c>
      <c r="P623" s="95">
        <f ca="1"/>
        <v>1.5703619226801772E-3</v>
      </c>
      <c r="Q623" s="5" t="s">
        <v>4</v>
      </c>
      <c r="R623" s="83" t="s">
        <v>4</v>
      </c>
    </row>
    <row r="624" spans="1:18" x14ac:dyDescent="0.25">
      <c r="A624" s="88">
        <v>610</v>
      </c>
      <c r="B624" s="82"/>
      <c r="C624" s="97">
        <f>_xll.meDateFromTenor(C623,"1D","FOLLOWING","TGT")</f>
        <v>43388</v>
      </c>
      <c r="D624" s="95">
        <f ca="1"/>
        <v>-3.652045216817501E-3</v>
      </c>
      <c r="E624" s="92"/>
      <c r="F624" s="97">
        <f>_xll.meDateFromTenor(F623,"1D","FOLLOWING","TGT")</f>
        <v>43388</v>
      </c>
      <c r="G624" s="95">
        <f ca="1"/>
        <v>-3.1106329090810378E-3</v>
      </c>
      <c r="H624" s="92" t="s">
        <v>4</v>
      </c>
      <c r="I624" s="97">
        <f>_xll.meDateFromTenor(I623,"1D","FOLLOWING","TGT")</f>
        <v>43388</v>
      </c>
      <c r="J624" s="95">
        <f ca="1"/>
        <v>-2.0183503157886569E-3</v>
      </c>
      <c r="K624" s="5" t="s">
        <v>4</v>
      </c>
      <c r="L624" s="97">
        <f>_xll.meDateFromTenor(L623,"1D","FOLLOWING","TGT")</f>
        <v>43388</v>
      </c>
      <c r="M624" s="95">
        <f ca="1"/>
        <v>-4.3753788394994357E-4</v>
      </c>
      <c r="N624" s="5" t="s">
        <v>4</v>
      </c>
      <c r="O624" s="97">
        <f>_xll.meDateFromTenor(O623,"1D","FOLLOWING","TGT")</f>
        <v>43388</v>
      </c>
      <c r="P624" s="95">
        <f ca="1"/>
        <v>1.5850662861197121E-3</v>
      </c>
      <c r="Q624" s="5" t="s">
        <v>4</v>
      </c>
      <c r="R624" s="83" t="s">
        <v>4</v>
      </c>
    </row>
    <row r="625" spans="1:18" x14ac:dyDescent="0.25">
      <c r="A625" s="88">
        <v>611</v>
      </c>
      <c r="B625" s="82"/>
      <c r="C625" s="97">
        <f>_xll.meDateFromTenor(C624,"1D","FOLLOWING","TGT")</f>
        <v>43389</v>
      </c>
      <c r="D625" s="95">
        <f ca="1"/>
        <v>-3.6488996799944884E-3</v>
      </c>
      <c r="E625" s="92"/>
      <c r="F625" s="97">
        <f>_xll.meDateFromTenor(F624,"1D","FOLLOWING","TGT")</f>
        <v>43389</v>
      </c>
      <c r="G625" s="95">
        <f ca="1"/>
        <v>-3.1069550046260368E-3</v>
      </c>
      <c r="H625" s="92" t="s">
        <v>4</v>
      </c>
      <c r="I625" s="97">
        <f>_xll.meDateFromTenor(I624,"1D","FOLLOWING","TGT")</f>
        <v>43389</v>
      </c>
      <c r="J625" s="95">
        <f ca="1"/>
        <v>-2.0138305058198655E-3</v>
      </c>
      <c r="K625" s="5" t="s">
        <v>4</v>
      </c>
      <c r="L625" s="97">
        <f>_xll.meDateFromTenor(L624,"1D","FOLLOWING","TGT")</f>
        <v>43389</v>
      </c>
      <c r="M625" s="95">
        <f ca="1"/>
        <v>-4.3275466896886309E-4</v>
      </c>
      <c r="N625" s="5" t="s">
        <v>4</v>
      </c>
      <c r="O625" s="97">
        <f>_xll.meDateFromTenor(O624,"1D","FOLLOWING","TGT")</f>
        <v>43389</v>
      </c>
      <c r="P625" s="95">
        <f ca="1"/>
        <v>1.5899739306298578E-3</v>
      </c>
      <c r="Q625" s="5" t="s">
        <v>4</v>
      </c>
      <c r="R625" s="83" t="s">
        <v>4</v>
      </c>
    </row>
    <row r="626" spans="1:18" x14ac:dyDescent="0.25">
      <c r="A626" s="88">
        <v>612</v>
      </c>
      <c r="B626" s="82"/>
      <c r="C626" s="97">
        <f>_xll.meDateFromTenor(C625,"1D","FOLLOWING","TGT")</f>
        <v>43390</v>
      </c>
      <c r="D626" s="95">
        <f ca="1"/>
        <v>-3.6457528962152708E-3</v>
      </c>
      <c r="E626" s="92"/>
      <c r="F626" s="97">
        <f>_xll.meDateFromTenor(F625,"1D","FOLLOWING","TGT")</f>
        <v>43390</v>
      </c>
      <c r="G626" s="95">
        <f ca="1"/>
        <v>-3.1032837161074208E-3</v>
      </c>
      <c r="H626" s="92" t="s">
        <v>4</v>
      </c>
      <c r="I626" s="97">
        <f>_xll.meDateFromTenor(I625,"1D","FOLLOWING","TGT")</f>
        <v>43390</v>
      </c>
      <c r="J626" s="95">
        <f ca="1"/>
        <v>-2.0093102727765108E-3</v>
      </c>
      <c r="K626" s="5" t="s">
        <v>4</v>
      </c>
      <c r="L626" s="97">
        <f>_xll.meDateFromTenor(L625,"1D","FOLLOWING","TGT")</f>
        <v>43390</v>
      </c>
      <c r="M626" s="95">
        <f ca="1"/>
        <v>-4.2796884263994191E-4</v>
      </c>
      <c r="N626" s="5" t="s">
        <v>4</v>
      </c>
      <c r="O626" s="97">
        <f>_xll.meDateFromTenor(O625,"1D","FOLLOWING","TGT")</f>
        <v>43390</v>
      </c>
      <c r="P626" s="95">
        <f ca="1"/>
        <v>1.5948846512516429E-3</v>
      </c>
      <c r="Q626" s="5" t="s">
        <v>4</v>
      </c>
      <c r="R626" s="83" t="s">
        <v>4</v>
      </c>
    </row>
    <row r="627" spans="1:18" x14ac:dyDescent="0.25">
      <c r="A627" s="88">
        <v>613</v>
      </c>
      <c r="B627" s="82"/>
      <c r="C627" s="97">
        <f>_xll.meDateFromTenor(C626,"1D","FOLLOWING","TGT")</f>
        <v>43391</v>
      </c>
      <c r="D627" s="95">
        <f ca="1"/>
        <v>-3.6426048654684129E-3</v>
      </c>
      <c r="E627" s="92"/>
      <c r="F627" s="97">
        <f>_xll.meDateFromTenor(F626,"1D","FOLLOWING","TGT")</f>
        <v>43391</v>
      </c>
      <c r="G627" s="95">
        <f ca="1"/>
        <v>-3.0996189367740834E-3</v>
      </c>
      <c r="H627" s="92" t="s">
        <v>4</v>
      </c>
      <c r="I627" s="97">
        <f>_xll.meDateFromTenor(I626,"1D","FOLLOWING","TGT")</f>
        <v>43391</v>
      </c>
      <c r="J627" s="95">
        <f ca="1"/>
        <v>-2.0047896104478102E-3</v>
      </c>
      <c r="K627" s="5" t="s">
        <v>4</v>
      </c>
      <c r="L627" s="97">
        <f>_xll.meDateFromTenor(L626,"1D","FOLLOWING","TGT")</f>
        <v>43391</v>
      </c>
      <c r="M627" s="95">
        <f ca="1"/>
        <v>-4.2318040520083279E-4</v>
      </c>
      <c r="N627" s="5" t="s">
        <v>4</v>
      </c>
      <c r="O627" s="97">
        <f>_xll.meDateFromTenor(O626,"1D","FOLLOWING","TGT")</f>
        <v>43391</v>
      </c>
      <c r="P627" s="95">
        <f ca="1"/>
        <v>1.5997984366429617E-3</v>
      </c>
      <c r="Q627" s="5" t="s">
        <v>4</v>
      </c>
      <c r="R627" s="83" t="s">
        <v>4</v>
      </c>
    </row>
    <row r="628" spans="1:18" x14ac:dyDescent="0.25">
      <c r="A628" s="88">
        <v>614</v>
      </c>
      <c r="B628" s="82"/>
      <c r="C628" s="97">
        <f>_xll.meDateFromTenor(C627,"1D","FOLLOWING","TGT")</f>
        <v>43392</v>
      </c>
      <c r="D628" s="95">
        <f ca="1"/>
        <v>-3.6394555878216384E-3</v>
      </c>
      <c r="E628" s="92"/>
      <c r="F628" s="97">
        <f>_xll.meDateFromTenor(F627,"1D","FOLLOWING","TGT")</f>
        <v>43392</v>
      </c>
      <c r="G628" s="95">
        <f ca="1"/>
        <v>-3.0959605598749169E-3</v>
      </c>
      <c r="H628" s="92" t="s">
        <v>4</v>
      </c>
      <c r="I628" s="97">
        <f>_xll.meDateFromTenor(I627,"1D","FOLLOWING","TGT")</f>
        <v>43392</v>
      </c>
      <c r="J628" s="95">
        <f ca="1"/>
        <v>-2.0002685126229804E-3</v>
      </c>
      <c r="K628" s="5" t="s">
        <v>4</v>
      </c>
      <c r="L628" s="97">
        <f>_xll.meDateFromTenor(L627,"1D","FOLLOWING","TGT")</f>
        <v>43392</v>
      </c>
      <c r="M628" s="95">
        <f ca="1"/>
        <v>-4.1838935688918863E-4</v>
      </c>
      <c r="N628" s="5" t="s">
        <v>4</v>
      </c>
      <c r="O628" s="97">
        <f>_xll.meDateFromTenor(O627,"1D","FOLLOWING","TGT")</f>
        <v>43392</v>
      </c>
      <c r="P628" s="95">
        <f ca="1"/>
        <v>1.6047152754617075E-3</v>
      </c>
      <c r="Q628" s="5" t="s">
        <v>4</v>
      </c>
      <c r="R628" s="83" t="s">
        <v>4</v>
      </c>
    </row>
    <row r="629" spans="1:18" x14ac:dyDescent="0.25">
      <c r="A629" s="88">
        <v>615</v>
      </c>
      <c r="B629" s="82"/>
      <c r="C629" s="97">
        <f>_xll.meDateFromTenor(C628,"1D","FOLLOWING","TGT")</f>
        <v>43395</v>
      </c>
      <c r="D629" s="95">
        <f ca="1"/>
        <v>-3.6300002723297364E-3</v>
      </c>
      <c r="E629" s="92"/>
      <c r="F629" s="97">
        <f>_xll.meDateFromTenor(F628,"1D","FOLLOWING","TGT")</f>
        <v>43395</v>
      </c>
      <c r="G629" s="95">
        <f ca="1"/>
        <v>-3.0850227762713655E-3</v>
      </c>
      <c r="H629" s="92" t="s">
        <v>4</v>
      </c>
      <c r="I629" s="97">
        <f>_xll.meDateFromTenor(I628,"1D","FOLLOWING","TGT")</f>
        <v>43395</v>
      </c>
      <c r="J629" s="95">
        <f ca="1"/>
        <v>-1.9867025440638781E-3</v>
      </c>
      <c r="K629" s="5" t="s">
        <v>4</v>
      </c>
      <c r="L629" s="97">
        <f>_xll.meDateFromTenor(L628,"1D","FOLLOWING","TGT")</f>
        <v>43395</v>
      </c>
      <c r="M629" s="95">
        <f ca="1"/>
        <v>-4.0400054909557636E-4</v>
      </c>
      <c r="N629" s="5" t="s">
        <v>4</v>
      </c>
      <c r="O629" s="97">
        <f>_xll.meDateFromTenor(O628,"1D","FOLLOWING","TGT")</f>
        <v>43395</v>
      </c>
      <c r="P629" s="95">
        <f ca="1"/>
        <v>1.6194839990614463E-3</v>
      </c>
      <c r="Q629" s="5" t="s">
        <v>4</v>
      </c>
      <c r="R629" s="83" t="s">
        <v>4</v>
      </c>
    </row>
    <row r="630" spans="1:18" x14ac:dyDescent="0.25">
      <c r="A630" s="88">
        <v>616</v>
      </c>
      <c r="B630" s="82"/>
      <c r="C630" s="97">
        <f>_xll.meDateFromTenor(C629,"1D","FOLLOWING","TGT")</f>
        <v>43396</v>
      </c>
      <c r="D630" s="95">
        <f ca="1"/>
        <v>-3.6268460063689778E-3</v>
      </c>
      <c r="E630" s="92"/>
      <c r="F630" s="97">
        <f>_xll.meDateFromTenor(F629,"1D","FOLLOWING","TGT")</f>
        <v>43396</v>
      </c>
      <c r="G630" s="95">
        <f ca="1"/>
        <v>-3.0813889415978067E-3</v>
      </c>
      <c r="H630" s="92" t="s">
        <v>4</v>
      </c>
      <c r="I630" s="97">
        <f>_xll.meDateFromTenor(I629,"1D","FOLLOWING","TGT")</f>
        <v>43396</v>
      </c>
      <c r="J630" s="95">
        <f ca="1"/>
        <v>-1.9821796421466945E-3</v>
      </c>
      <c r="K630" s="5" t="s">
        <v>4</v>
      </c>
      <c r="L630" s="97">
        <f>_xll.meDateFromTenor(L629,"1D","FOLLOWING","TGT")</f>
        <v>43396</v>
      </c>
      <c r="M630" s="95">
        <f ca="1"/>
        <v>-3.9919905967032216E-4</v>
      </c>
      <c r="N630" s="5" t="s">
        <v>4</v>
      </c>
      <c r="O630" s="97">
        <f>_xll.meDateFromTenor(O629,"1D","FOLLOWING","TGT")</f>
        <v>43396</v>
      </c>
      <c r="P630" s="95">
        <f ca="1"/>
        <v>1.6244129381688382E-3</v>
      </c>
      <c r="Q630" s="5" t="s">
        <v>4</v>
      </c>
      <c r="R630" s="83" t="s">
        <v>4</v>
      </c>
    </row>
    <row r="631" spans="1:18" x14ac:dyDescent="0.25">
      <c r="A631" s="88">
        <v>617</v>
      </c>
      <c r="B631" s="82"/>
      <c r="C631" s="97">
        <f>_xll.meDateFromTenor(C630,"1D","FOLLOWING","TGT")</f>
        <v>43397</v>
      </c>
      <c r="D631" s="95">
        <f ca="1"/>
        <v>-3.6236904930115887E-3</v>
      </c>
      <c r="E631" s="92"/>
      <c r="F631" s="97">
        <f>_xll.meDateFromTenor(F630,"1D","FOLLOWING","TGT")</f>
        <v>43397</v>
      </c>
      <c r="G631" s="95">
        <f ca="1"/>
        <v>-3.0777609756028812E-3</v>
      </c>
      <c r="H631" s="92" t="s">
        <v>4</v>
      </c>
      <c r="I631" s="97">
        <f>_xll.meDateFromTenor(I630,"1D","FOLLOWING","TGT")</f>
        <v>43397</v>
      </c>
      <c r="J631" s="95">
        <f ca="1"/>
        <v>-1.977656273679464E-3</v>
      </c>
      <c r="K631" s="5" t="s">
        <v>4</v>
      </c>
      <c r="L631" s="97">
        <f>_xll.meDateFromTenor(L630,"1D","FOLLOWING","TGT")</f>
        <v>43397</v>
      </c>
      <c r="M631" s="95">
        <f ca="1"/>
        <v>-3.9439496056079665E-4</v>
      </c>
      <c r="N631" s="5" t="s">
        <v>4</v>
      </c>
      <c r="O631" s="97">
        <f>_xll.meDateFromTenor(O630,"1D","FOLLOWING","TGT")</f>
        <v>43397</v>
      </c>
      <c r="P631" s="95">
        <f ca="1"/>
        <v>1.6293448739931272E-3</v>
      </c>
      <c r="Q631" s="5" t="s">
        <v>4</v>
      </c>
      <c r="R631" s="83" t="s">
        <v>4</v>
      </c>
    </row>
    <row r="632" spans="1:18" x14ac:dyDescent="0.25">
      <c r="A632" s="88">
        <v>618</v>
      </c>
      <c r="B632" s="82"/>
      <c r="C632" s="97">
        <f>_xll.meDateFromTenor(C631,"1D","FOLLOWING","TGT")</f>
        <v>43398</v>
      </c>
      <c r="D632" s="95">
        <f ca="1"/>
        <v>-3.6205337325639908E-3</v>
      </c>
      <c r="E632" s="92"/>
      <c r="F632" s="97">
        <f>_xll.meDateFromTenor(F631,"1D","FOLLOWING","TGT")</f>
        <v>43398</v>
      </c>
      <c r="G632" s="95">
        <f ca="1"/>
        <v>-3.0741387715354815E-3</v>
      </c>
      <c r="H632" s="92" t="s">
        <v>4</v>
      </c>
      <c r="I632" s="97">
        <f>_xll.meDateFromTenor(I631,"1D","FOLLOWING","TGT")</f>
        <v>43398</v>
      </c>
      <c r="J632" s="95">
        <f ca="1"/>
        <v>-1.9731324324514026E-3</v>
      </c>
      <c r="K632" s="5" t="s">
        <v>4</v>
      </c>
      <c r="L632" s="97">
        <f>_xll.meDateFromTenor(L631,"1D","FOLLOWING","TGT")</f>
        <v>43398</v>
      </c>
      <c r="M632" s="95">
        <f ca="1"/>
        <v>-3.8958825200465348E-4</v>
      </c>
      <c r="N632" s="5" t="s">
        <v>4</v>
      </c>
      <c r="O632" s="97">
        <f>_xll.meDateFromTenor(O631,"1D","FOLLOWING","TGT")</f>
        <v>43398</v>
      </c>
      <c r="P632" s="95">
        <f ca="1"/>
        <v>1.6342797951922059E-3</v>
      </c>
      <c r="Q632" s="5" t="s">
        <v>4</v>
      </c>
      <c r="R632" s="83" t="s">
        <v>4</v>
      </c>
    </row>
    <row r="633" spans="1:18" x14ac:dyDescent="0.25">
      <c r="A633" s="88">
        <v>619</v>
      </c>
      <c r="B633" s="82"/>
      <c r="C633" s="97">
        <f>_xll.meDateFromTenor(C632,"1D","FOLLOWING","TGT")</f>
        <v>43399</v>
      </c>
      <c r="D633" s="95">
        <f ca="1"/>
        <v>-3.6173757246973359E-3</v>
      </c>
      <c r="E633" s="92"/>
      <c r="F633" s="97">
        <f>_xll.meDateFromTenor(F632,"1D","FOLLOWING","TGT")</f>
        <v>43399</v>
      </c>
      <c r="G633" s="95">
        <f ca="1"/>
        <v>-3.0705222226444992E-3</v>
      </c>
      <c r="H633" s="92" t="s">
        <v>4</v>
      </c>
      <c r="I633" s="97">
        <f>_xll.meDateFromTenor(I632,"1D","FOLLOWING","TGT")</f>
        <v>43399</v>
      </c>
      <c r="J633" s="95">
        <f ca="1"/>
        <v>-1.9686081122517267E-3</v>
      </c>
      <c r="K633" s="5" t="s">
        <v>4</v>
      </c>
      <c r="L633" s="97">
        <f>_xll.meDateFromTenor(L632,"1D","FOLLOWING","TGT")</f>
        <v>43399</v>
      </c>
      <c r="M633" s="95">
        <f ca="1"/>
        <v>-3.847789342395456E-4</v>
      </c>
      <c r="N633" s="5" t="s">
        <v>4</v>
      </c>
      <c r="O633" s="97">
        <f>_xll.meDateFromTenor(O632,"1D","FOLLOWING","TGT")</f>
        <v>43399</v>
      </c>
      <c r="P633" s="95">
        <f ca="1"/>
        <v>1.6392176904239685E-3</v>
      </c>
      <c r="Q633" s="5" t="s">
        <v>4</v>
      </c>
      <c r="R633" s="83" t="s">
        <v>4</v>
      </c>
    </row>
    <row r="634" spans="1:18" x14ac:dyDescent="0.25">
      <c r="A634" s="88">
        <v>620</v>
      </c>
      <c r="B634" s="82"/>
      <c r="C634" s="97">
        <f>_xll.meDateFromTenor(C633,"1D","FOLLOWING","TGT")</f>
        <v>43402</v>
      </c>
      <c r="D634" s="95">
        <f ca="1"/>
        <v>-3.6078942170150174E-3</v>
      </c>
      <c r="E634" s="92"/>
      <c r="F634" s="97">
        <f>_xll.meDateFromTenor(F633,"1D","FOLLOWING","TGT")</f>
        <v>43402</v>
      </c>
      <c r="G634" s="95">
        <f ca="1"/>
        <v>-3.0597054395189905E-3</v>
      </c>
      <c r="H634" s="92" t="s">
        <v>4</v>
      </c>
      <c r="I634" s="97">
        <f>_xll.meDateFromTenor(I633,"1D","FOLLOWING","TGT")</f>
        <v>43402</v>
      </c>
      <c r="J634" s="95">
        <f ca="1"/>
        <v>-1.9550322157151803E-3</v>
      </c>
      <c r="K634" s="5" t="s">
        <v>4</v>
      </c>
      <c r="L634" s="97">
        <f>_xll.meDateFromTenor(L633,"1D","FOLLOWING","TGT")</f>
        <v>43402</v>
      </c>
      <c r="M634" s="95">
        <f ca="1"/>
        <v>-3.7033532806696347E-4</v>
      </c>
      <c r="N634" s="5" t="s">
        <v>4</v>
      </c>
      <c r="O634" s="97">
        <f>_xll.meDateFromTenor(O633,"1D","FOLLOWING","TGT")</f>
        <v>43402</v>
      </c>
      <c r="P634" s="95">
        <f ca="1"/>
        <v>1.6540491068942952E-3</v>
      </c>
      <c r="Q634" s="5" t="s">
        <v>4</v>
      </c>
      <c r="R634" s="83" t="s">
        <v>4</v>
      </c>
    </row>
    <row r="635" spans="1:18" x14ac:dyDescent="0.25">
      <c r="A635" s="88">
        <v>621</v>
      </c>
      <c r="B635" s="82"/>
      <c r="C635" s="97">
        <f>_xll.meDateFromTenor(C634,"1D","FOLLOWING","TGT")</f>
        <v>43403</v>
      </c>
      <c r="D635" s="95">
        <f ca="1"/>
        <v>-3.6047312195488512E-3</v>
      </c>
      <c r="E635" s="92"/>
      <c r="F635" s="97">
        <f>_xll.meDateFromTenor(F634,"1D","FOLLOWING","TGT")</f>
        <v>43403</v>
      </c>
      <c r="G635" s="95">
        <f ca="1"/>
        <v>-3.0561104438226075E-3</v>
      </c>
      <c r="H635" s="92" t="s">
        <v>4</v>
      </c>
      <c r="I635" s="97">
        <f>_xll.meDateFromTenor(I634,"1D","FOLLOWING","TGT")</f>
        <v>43403</v>
      </c>
      <c r="J635" s="95">
        <f ca="1"/>
        <v>-1.9505059175212126E-3</v>
      </c>
      <c r="K635" s="5" t="s">
        <v>4</v>
      </c>
      <c r="L635" s="97">
        <f>_xll.meDateFromTenor(L634,"1D","FOLLOWING","TGT")</f>
        <v>43403</v>
      </c>
      <c r="M635" s="95">
        <f ca="1"/>
        <v>-3.6551557584252564E-4</v>
      </c>
      <c r="N635" s="5" t="s">
        <v>4</v>
      </c>
      <c r="O635" s="97">
        <f>_xll.meDateFromTenor(O634,"1D","FOLLOWING","TGT")</f>
        <v>43403</v>
      </c>
      <c r="P635" s="95">
        <f ca="1"/>
        <v>1.6589987848357301E-3</v>
      </c>
      <c r="Q635" s="5" t="s">
        <v>4</v>
      </c>
      <c r="R635" s="83" t="s">
        <v>4</v>
      </c>
    </row>
    <row r="636" spans="1:18" x14ac:dyDescent="0.25">
      <c r="A636" s="88">
        <v>622</v>
      </c>
      <c r="B636" s="82"/>
      <c r="C636" s="97">
        <f>_xll.meDateFromTenor(C635,"1D","FOLLOWING","TGT")</f>
        <v>43404</v>
      </c>
      <c r="D636" s="95">
        <f ca="1"/>
        <v>-3.601566974643533E-3</v>
      </c>
      <c r="E636" s="92"/>
      <c r="F636" s="97">
        <f>_xll.meDateFromTenor(F635,"1D","FOLLOWING","TGT")</f>
        <v>43404</v>
      </c>
      <c r="G636" s="95">
        <f ca="1"/>
        <v>-3.0525205695471056E-3</v>
      </c>
      <c r="H636" s="92" t="s">
        <v>4</v>
      </c>
      <c r="I636" s="97">
        <f>_xll.meDateFromTenor(I635,"1D","FOLLOWING","TGT")</f>
        <v>43404</v>
      </c>
      <c r="J636" s="95">
        <f ca="1"/>
        <v>-1.9459791093017142E-3</v>
      </c>
      <c r="K636" s="5" t="s">
        <v>4</v>
      </c>
      <c r="L636" s="97">
        <f>_xll.meDateFromTenor(L635,"1D","FOLLOWING","TGT")</f>
        <v>43404</v>
      </c>
      <c r="M636" s="95">
        <f ca="1"/>
        <v>-3.6069321559738845E-4</v>
      </c>
      <c r="N636" s="5" t="s">
        <v>4</v>
      </c>
      <c r="O636" s="97">
        <f>_xll.meDateFromTenor(O635,"1D","FOLLOWING","TGT")</f>
        <v>43404</v>
      </c>
      <c r="P636" s="95">
        <f ca="1"/>
        <v>1.6639513800993169E-3</v>
      </c>
      <c r="Q636" s="5" t="s">
        <v>4</v>
      </c>
      <c r="R636" s="83" t="s">
        <v>4</v>
      </c>
    </row>
    <row r="637" spans="1:18" x14ac:dyDescent="0.25">
      <c r="A637" s="88">
        <v>623</v>
      </c>
      <c r="B637" s="82"/>
      <c r="C637" s="97">
        <f>_xll.meDateFromTenor(C636,"1D","FOLLOWING","TGT")</f>
        <v>43405</v>
      </c>
      <c r="D637" s="95">
        <f ca="1"/>
        <v>-3.5984014820882315E-3</v>
      </c>
      <c r="E637" s="92"/>
      <c r="F637" s="97">
        <f>_xll.meDateFromTenor(F636,"1D","FOLLOWING","TGT")</f>
        <v>43405</v>
      </c>
      <c r="G637" s="95">
        <f ca="1"/>
        <v>-3.0489357099413778E-3</v>
      </c>
      <c r="H637" s="92" t="s">
        <v>4</v>
      </c>
      <c r="I637" s="97">
        <f>_xll.meDateFromTenor(I636,"1D","FOLLOWING","TGT")</f>
        <v>43405</v>
      </c>
      <c r="J637" s="95">
        <f ca="1"/>
        <v>-1.9414517848459001E-3</v>
      </c>
      <c r="K637" s="5" t="s">
        <v>4</v>
      </c>
      <c r="L637" s="97">
        <f>_xll.meDateFromTenor(L636,"1D","FOLLOWING","TGT")</f>
        <v>43405</v>
      </c>
      <c r="M637" s="95">
        <f ca="1"/>
        <v>-3.5586824756920305E-4</v>
      </c>
      <c r="N637" s="5" t="s">
        <v>4</v>
      </c>
      <c r="O637" s="97">
        <f>_xll.meDateFromTenor(O636,"1D","FOLLOWING","TGT")</f>
        <v>43405</v>
      </c>
      <c r="P637" s="95">
        <f ca="1"/>
        <v>1.6689068813429508E-3</v>
      </c>
      <c r="Q637" s="5" t="s">
        <v>4</v>
      </c>
      <c r="R637" s="83" t="s">
        <v>4</v>
      </c>
    </row>
    <row r="638" spans="1:18" x14ac:dyDescent="0.25">
      <c r="A638" s="88">
        <v>624</v>
      </c>
      <c r="B638" s="82"/>
      <c r="C638" s="97">
        <f>_xll.meDateFromTenor(C637,"1D","FOLLOWING","TGT")</f>
        <v>43406</v>
      </c>
      <c r="D638" s="95">
        <f ca="1"/>
        <v>-3.5952347420701303E-3</v>
      </c>
      <c r="E638" s="92"/>
      <c r="F638" s="97">
        <f>_xll.meDateFromTenor(F637,"1D","FOLLOWING","TGT")</f>
        <v>43406</v>
      </c>
      <c r="G638" s="95">
        <f ca="1"/>
        <v>-3.0453557582543148E-3</v>
      </c>
      <c r="H638" s="92" t="s">
        <v>4</v>
      </c>
      <c r="I638" s="97">
        <f>_xll.meDateFromTenor(I637,"1D","FOLLOWING","TGT")</f>
        <v>43406</v>
      </c>
      <c r="J638" s="95">
        <f ca="1"/>
        <v>-1.9369239379429869E-3</v>
      </c>
      <c r="K638" s="5" t="s">
        <v>4</v>
      </c>
      <c r="L638" s="97">
        <f>_xll.meDateFromTenor(L637,"1D","FOLLOWING","TGT")</f>
        <v>43406</v>
      </c>
      <c r="M638" s="95">
        <f ca="1"/>
        <v>-3.5104067199562321E-4</v>
      </c>
      <c r="N638" s="5" t="s">
        <v>4</v>
      </c>
      <c r="O638" s="97">
        <f>_xll.meDateFromTenor(O637,"1D","FOLLOWING","TGT")</f>
        <v>43406</v>
      </c>
      <c r="P638" s="95">
        <f ca="1"/>
        <v>1.6738652772245249E-3</v>
      </c>
      <c r="Q638" s="5" t="s">
        <v>4</v>
      </c>
      <c r="R638" s="83" t="s">
        <v>4</v>
      </c>
    </row>
    <row r="639" spans="1:18" x14ac:dyDescent="0.25">
      <c r="A639" s="88">
        <v>625</v>
      </c>
      <c r="B639" s="82"/>
      <c r="C639" s="97">
        <f>_xll.meDateFromTenor(C638,"1D","FOLLOWING","TGT")</f>
        <v>43409</v>
      </c>
      <c r="D639" s="95">
        <f ca="1"/>
        <v>-3.5857270358072846E-3</v>
      </c>
      <c r="E639" s="92"/>
      <c r="F639" s="97">
        <f>_xll.meDateFromTenor(F638,"1D","FOLLOWING","TGT")</f>
        <v>43409</v>
      </c>
      <c r="G639" s="95">
        <f ca="1"/>
        <v>-3.0346405487218899E-3</v>
      </c>
      <c r="H639" s="92" t="s">
        <v>4</v>
      </c>
      <c r="I639" s="97">
        <f>_xll.meDateFromTenor(I638,"1D","FOLLOWING","TGT")</f>
        <v>43409</v>
      </c>
      <c r="J639" s="95">
        <f ca="1"/>
        <v>-1.9233372004438213E-3</v>
      </c>
      <c r="K639" s="5" t="s">
        <v>4</v>
      </c>
      <c r="L639" s="97">
        <f>_xll.meDateFromTenor(L638,"1D","FOLLOWING","TGT")</f>
        <v>43409</v>
      </c>
      <c r="M639" s="95">
        <f ca="1"/>
        <v>-3.3654230237904569E-4</v>
      </c>
      <c r="N639" s="5" t="s">
        <v>4</v>
      </c>
      <c r="O639" s="97">
        <f>_xll.meDateFromTenor(O638,"1D","FOLLOWING","TGT")</f>
        <v>43409</v>
      </c>
      <c r="P639" s="95">
        <f ca="1"/>
        <v>1.6887577192758252E-3</v>
      </c>
      <c r="Q639" s="5" t="s">
        <v>4</v>
      </c>
      <c r="R639" s="83" t="s">
        <v>4</v>
      </c>
    </row>
    <row r="640" spans="1:18" x14ac:dyDescent="0.25">
      <c r="A640" s="88">
        <v>626</v>
      </c>
      <c r="B640" s="82"/>
      <c r="C640" s="97">
        <f>_xll.meDateFromTenor(C639,"1D","FOLLOWING","TGT")</f>
        <v>43410</v>
      </c>
      <c r="D640" s="95">
        <f ca="1"/>
        <v>-3.5825553046653358E-3</v>
      </c>
      <c r="E640" s="92"/>
      <c r="F640" s="97">
        <f>_xll.meDateFromTenor(F639,"1D","FOLLOWING","TGT")</f>
        <v>43410</v>
      </c>
      <c r="G640" s="95">
        <f ca="1"/>
        <v>-3.031074043588421E-3</v>
      </c>
      <c r="H640" s="92" t="s">
        <v>4</v>
      </c>
      <c r="I640" s="97">
        <f>_xll.meDateFromTenor(I639,"1D","FOLLOWING","TGT")</f>
        <v>43410</v>
      </c>
      <c r="J640" s="95">
        <f ca="1"/>
        <v>-1.9188072016446788E-3</v>
      </c>
      <c r="K640" s="5" t="s">
        <v>4</v>
      </c>
      <c r="L640" s="97">
        <f>_xll.meDateFromTenor(L639,"1D","FOLLOWING","TGT")</f>
        <v>43410</v>
      </c>
      <c r="M640" s="95">
        <f ca="1"/>
        <v>-3.3170429900041692E-4</v>
      </c>
      <c r="N640" s="5" t="s">
        <v>4</v>
      </c>
      <c r="O640" s="97">
        <f>_xll.meDateFromTenor(O639,"1D","FOLLOWING","TGT")</f>
        <v>43410</v>
      </c>
      <c r="P640" s="95">
        <f ca="1"/>
        <v>1.6937275802880972E-3</v>
      </c>
      <c r="Q640" s="5" t="s">
        <v>4</v>
      </c>
      <c r="R640" s="83" t="s">
        <v>4</v>
      </c>
    </row>
    <row r="641" spans="1:18" x14ac:dyDescent="0.25">
      <c r="A641" s="88">
        <v>627</v>
      </c>
      <c r="B641" s="82"/>
      <c r="C641" s="97">
        <f>_xll.meDateFromTenor(C640,"1D","FOLLOWING","TGT")</f>
        <v>43411</v>
      </c>
      <c r="D641" s="95">
        <f ca="1"/>
        <v>-3.5793823260413804E-3</v>
      </c>
      <c r="E641" s="92"/>
      <c r="F641" s="97">
        <f>_xll.meDateFromTenor(F640,"1D","FOLLOWING","TGT")</f>
        <v>43411</v>
      </c>
      <c r="G641" s="95">
        <f ca="1"/>
        <v>-3.0275085930872724E-3</v>
      </c>
      <c r="H641" s="92" t="s">
        <v>4</v>
      </c>
      <c r="I641" s="97">
        <f>_xll.meDateFromTenor(I640,"1D","FOLLOWING","TGT")</f>
        <v>43411</v>
      </c>
      <c r="J641" s="95">
        <f ca="1"/>
        <v>-1.9142766493445208E-3</v>
      </c>
      <c r="K641" s="5" t="s">
        <v>4</v>
      </c>
      <c r="L641" s="97">
        <f>_xll.meDateFromTenor(L640,"1D","FOLLOWING","TGT")</f>
        <v>43411</v>
      </c>
      <c r="M641" s="95">
        <f ca="1"/>
        <v>-3.268636892646589E-4</v>
      </c>
      <c r="N641" s="5" t="s">
        <v>4</v>
      </c>
      <c r="O641" s="97">
        <f>_xll.meDateFromTenor(O640,"1D","FOLLOWING","TGT")</f>
        <v>43411</v>
      </c>
      <c r="P641" s="95">
        <f ca="1"/>
        <v>1.6987002792277777E-3</v>
      </c>
      <c r="Q641" s="5" t="s">
        <v>4</v>
      </c>
      <c r="R641" s="83" t="s">
        <v>4</v>
      </c>
    </row>
    <row r="642" spans="1:18" x14ac:dyDescent="0.25">
      <c r="A642" s="88">
        <v>628</v>
      </c>
      <c r="B642" s="82"/>
      <c r="C642" s="97">
        <f>_xll.meDateFromTenor(C641,"1D","FOLLOWING","TGT")</f>
        <v>43412</v>
      </c>
      <c r="D642" s="95">
        <f ca="1"/>
        <v>-3.5762080994856671E-3</v>
      </c>
      <c r="E642" s="92"/>
      <c r="F642" s="97">
        <f>_xll.meDateFromTenor(F641,"1D","FOLLOWING","TGT")</f>
        <v>43412</v>
      </c>
      <c r="G642" s="95">
        <f ca="1"/>
        <v>-3.0239432605846345E-3</v>
      </c>
      <c r="H642" s="92" t="s">
        <v>4</v>
      </c>
      <c r="I642" s="97">
        <f>_xll.meDateFromTenor(I641,"1D","FOLLOWING","TGT")</f>
        <v>43412</v>
      </c>
      <c r="J642" s="95">
        <f ca="1"/>
        <v>-1.9097455373325621E-3</v>
      </c>
      <c r="K642" s="5" t="s">
        <v>4</v>
      </c>
      <c r="L642" s="97">
        <f>_xll.meDateFromTenor(L641,"1D","FOLLOWING","TGT")</f>
        <v>43412</v>
      </c>
      <c r="M642" s="95">
        <f ca="1"/>
        <v>-3.2202047340942306E-4</v>
      </c>
      <c r="N642" s="5" t="s">
        <v>4</v>
      </c>
      <c r="O642" s="97">
        <f>_xll.meDateFromTenor(O641,"1D","FOLLOWING","TGT")</f>
        <v>43412</v>
      </c>
      <c r="P642" s="95">
        <f ca="1"/>
        <v>1.7036758047527616E-3</v>
      </c>
      <c r="Q642" s="5" t="s">
        <v>4</v>
      </c>
      <c r="R642" s="83" t="s">
        <v>4</v>
      </c>
    </row>
    <row r="643" spans="1:18" x14ac:dyDescent="0.25">
      <c r="A643" s="88">
        <v>629</v>
      </c>
      <c r="B643" s="82"/>
      <c r="C643" s="97">
        <f>_xll.meDateFromTenor(C642,"1D","FOLLOWING","TGT")</f>
        <v>43413</v>
      </c>
      <c r="D643" s="95">
        <f ca="1"/>
        <v>-3.5730326248269995E-3</v>
      </c>
      <c r="E643" s="92"/>
      <c r="F643" s="97">
        <f>_xll.meDateFromTenor(F642,"1D","FOLLOWING","TGT")</f>
        <v>43413</v>
      </c>
      <c r="G643" s="95">
        <f ca="1"/>
        <v>-3.0203771094466977E-3</v>
      </c>
      <c r="H643" s="92" t="s">
        <v>4</v>
      </c>
      <c r="I643" s="97">
        <f>_xll.meDateFromTenor(I642,"1D","FOLLOWING","TGT")</f>
        <v>43413</v>
      </c>
      <c r="J643" s="95">
        <f ca="1"/>
        <v>-1.9052138593980215E-3</v>
      </c>
      <c r="K643" s="5" t="s">
        <v>4</v>
      </c>
      <c r="L643" s="97">
        <f>_xll.meDateFromTenor(L642,"1D","FOLLOWING","TGT")</f>
        <v>43413</v>
      </c>
      <c r="M643" s="95">
        <f ca="1"/>
        <v>-3.1717465167236373E-4</v>
      </c>
      <c r="N643" s="5" t="s">
        <v>4</v>
      </c>
      <c r="O643" s="97">
        <f>_xll.meDateFromTenor(O642,"1D","FOLLOWING","TGT")</f>
        <v>43413</v>
      </c>
      <c r="P643" s="95">
        <f ca="1"/>
        <v>1.7086541455209412E-3</v>
      </c>
      <c r="Q643" s="5" t="s">
        <v>4</v>
      </c>
      <c r="R643" s="83" t="s">
        <v>4</v>
      </c>
    </row>
    <row r="644" spans="1:18" x14ac:dyDescent="0.25">
      <c r="A644" s="88">
        <v>630</v>
      </c>
      <c r="B644" s="82"/>
      <c r="C644" s="97">
        <f>_xll.meDateFromTenor(C643,"1D","FOLLOWING","TGT")</f>
        <v>43416</v>
      </c>
      <c r="D644" s="95">
        <f ca="1"/>
        <v>-3.5634987134687268E-3</v>
      </c>
      <c r="E644" s="92"/>
      <c r="F644" s="97">
        <f>_xll.meDateFromTenor(F643,"1D","FOLLOWING","TGT")</f>
        <v>43416</v>
      </c>
      <c r="G644" s="95">
        <f ca="1"/>
        <v>-3.0096643778829988E-3</v>
      </c>
      <c r="H644" s="92" t="s">
        <v>4</v>
      </c>
      <c r="I644" s="97">
        <f>_xll.meDateFromTenor(I643,"1D","FOLLOWING","TGT")</f>
        <v>43416</v>
      </c>
      <c r="J644" s="95">
        <f ca="1"/>
        <v>-1.891615367951063E-3</v>
      </c>
      <c r="K644" s="5" t="s">
        <v>4</v>
      </c>
      <c r="L644" s="97">
        <f>_xll.meDateFromTenor(L643,"1D","FOLLOWING","TGT")</f>
        <v>43416</v>
      </c>
      <c r="M644" s="95">
        <f ca="1"/>
        <v>-3.0262155354676695E-4</v>
      </c>
      <c r="N644" s="5" t="s">
        <v>4</v>
      </c>
      <c r="O644" s="97">
        <f>_xll.meDateFromTenor(O643,"1D","FOLLOWING","TGT")</f>
        <v>43416</v>
      </c>
      <c r="P644" s="95">
        <f ca="1"/>
        <v>1.7236059458635993E-3</v>
      </c>
      <c r="Q644" s="5" t="s">
        <v>4</v>
      </c>
      <c r="R644" s="83" t="s">
        <v>4</v>
      </c>
    </row>
    <row r="645" spans="1:18" x14ac:dyDescent="0.25">
      <c r="A645" s="88">
        <v>631</v>
      </c>
      <c r="B645" s="82"/>
      <c r="C645" s="97">
        <f>_xll.meDateFromTenor(C644,"1D","FOLLOWING","TGT")</f>
        <v>43417</v>
      </c>
      <c r="D645" s="95">
        <f ca="1"/>
        <v>-3.5603182467177641E-3</v>
      </c>
      <c r="E645" s="92"/>
      <c r="F645" s="97">
        <f>_xll.meDateFromTenor(F644,"1D","FOLLOWING","TGT")</f>
        <v>43417</v>
      </c>
      <c r="G645" s="95">
        <f ca="1"/>
        <v>-3.0060855858657707E-3</v>
      </c>
      <c r="H645" s="92" t="s">
        <v>4</v>
      </c>
      <c r="I645" s="97">
        <f>_xll.meDateFromTenor(I644,"1D","FOLLOWING","TGT")</f>
        <v>43417</v>
      </c>
      <c r="J645" s="95">
        <f ca="1"/>
        <v>-1.8870813642183537E-3</v>
      </c>
      <c r="K645" s="5" t="s">
        <v>4</v>
      </c>
      <c r="L645" s="97">
        <f>_xll.meDateFromTenor(L644,"1D","FOLLOWING","TGT")</f>
        <v>43417</v>
      </c>
      <c r="M645" s="95">
        <f ca="1"/>
        <v>-2.9776531065893891E-4</v>
      </c>
      <c r="N645" s="5" t="s">
        <v>4</v>
      </c>
      <c r="O645" s="97">
        <f>_xll.meDateFromTenor(O644,"1D","FOLLOWING","TGT")</f>
        <v>43417</v>
      </c>
      <c r="P645" s="95">
        <f ca="1"/>
        <v>1.7285954341835035E-3</v>
      </c>
      <c r="Q645" s="5" t="s">
        <v>4</v>
      </c>
      <c r="R645" s="83" t="s">
        <v>4</v>
      </c>
    </row>
    <row r="646" spans="1:18" x14ac:dyDescent="0.25">
      <c r="A646" s="88">
        <v>632</v>
      </c>
      <c r="B646" s="82"/>
      <c r="C646" s="97">
        <f>_xll.meDateFromTenor(C645,"1D","FOLLOWING","TGT")</f>
        <v>43418</v>
      </c>
      <c r="D646" s="95">
        <f ca="1"/>
        <v>-3.5571365319241322E-3</v>
      </c>
      <c r="E646" s="92"/>
      <c r="F646" s="97">
        <f>_xll.meDateFromTenor(F645,"1D","FOLLOWING","TGT")</f>
        <v>43418</v>
      </c>
      <c r="G646" s="95">
        <f ca="1"/>
        <v>-3.002501292044196E-3</v>
      </c>
      <c r="H646" s="92" t="s">
        <v>4</v>
      </c>
      <c r="I646" s="97">
        <f>_xll.meDateFromTenor(I645,"1D","FOLLOWING","TGT")</f>
        <v>43418</v>
      </c>
      <c r="J646" s="95">
        <f ca="1"/>
        <v>-1.8825467635091436E-3</v>
      </c>
      <c r="K646" s="5" t="s">
        <v>4</v>
      </c>
      <c r="L646" s="97">
        <f>_xll.meDateFromTenor(L645,"1D","FOLLOWING","TGT")</f>
        <v>43418</v>
      </c>
      <c r="M646" s="95">
        <f ca="1"/>
        <v>-2.9290646307755103E-4</v>
      </c>
      <c r="N646" s="5" t="s">
        <v>4</v>
      </c>
      <c r="O646" s="97">
        <f>_xll.meDateFromTenor(O645,"1D","FOLLOWING","TGT")</f>
        <v>43418</v>
      </c>
      <c r="P646" s="95">
        <f ca="1"/>
        <v>1.7335876810360732E-3</v>
      </c>
      <c r="Q646" s="5" t="s">
        <v>4</v>
      </c>
      <c r="R646" s="83" t="s">
        <v>4</v>
      </c>
    </row>
    <row r="647" spans="1:18" x14ac:dyDescent="0.25">
      <c r="A647" s="88">
        <v>633</v>
      </c>
      <c r="B647" s="82"/>
      <c r="C647" s="97">
        <f>_xll.meDateFromTenor(C646,"1D","FOLLOWING","TGT")</f>
        <v>43419</v>
      </c>
      <c r="D647" s="95">
        <f ca="1"/>
        <v>-3.5539535690360946E-3</v>
      </c>
      <c r="E647" s="92"/>
      <c r="F647" s="97">
        <f>_xll.meDateFromTenor(F646,"1D","FOLLOWING","TGT")</f>
        <v>43419</v>
      </c>
      <c r="G647" s="95">
        <f ca="1"/>
        <v>-2.9989105597844649E-3</v>
      </c>
      <c r="H647" s="92" t="s">
        <v>4</v>
      </c>
      <c r="I647" s="97">
        <f>_xll.meDateFromTenor(I646,"1D","FOLLOWING","TGT")</f>
        <v>43419</v>
      </c>
      <c r="J647" s="95">
        <f ca="1"/>
        <v>-1.8780115596126498E-3</v>
      </c>
      <c r="K647" s="5" t="s">
        <v>4</v>
      </c>
      <c r="L647" s="97">
        <f>_xll.meDateFromTenor(L646,"1D","FOLLOWING","TGT")</f>
        <v>43419</v>
      </c>
      <c r="M647" s="95">
        <f ca="1"/>
        <v>-2.8804501104025634E-4</v>
      </c>
      <c r="N647" s="5" t="s">
        <v>4</v>
      </c>
      <c r="O647" s="97">
        <f>_xll.meDateFromTenor(O646,"1D","FOLLOWING","TGT")</f>
        <v>43419</v>
      </c>
      <c r="P647" s="95">
        <f ca="1"/>
        <v>1.738582675079202E-3</v>
      </c>
      <c r="Q647" s="5" t="s">
        <v>4</v>
      </c>
      <c r="R647" s="83" t="s">
        <v>4</v>
      </c>
    </row>
    <row r="648" spans="1:18" x14ac:dyDescent="0.25">
      <c r="A648" s="88">
        <v>634</v>
      </c>
      <c r="B648" s="82"/>
      <c r="C648" s="97">
        <f>_xll.meDateFromTenor(C647,"1D","FOLLOWING","TGT")</f>
        <v>43420</v>
      </c>
      <c r="D648" s="95">
        <f ca="1"/>
        <v>-3.5507693578427091E-3</v>
      </c>
      <c r="E648" s="92"/>
      <c r="F648" s="97">
        <f>_xll.meDateFromTenor(F647,"1D","FOLLOWING","TGT")</f>
        <v>43420</v>
      </c>
      <c r="G648" s="95">
        <f ca="1"/>
        <v>-2.9953124524527692E-3</v>
      </c>
      <c r="H648" s="92" t="s">
        <v>4</v>
      </c>
      <c r="I648" s="97">
        <f>_xll.meDateFromTenor(I647,"1D","FOLLOWING","TGT")</f>
        <v>43420</v>
      </c>
      <c r="J648" s="95">
        <f ca="1"/>
        <v>-1.873475746318089E-3</v>
      </c>
      <c r="K648" s="5" t="s">
        <v>4</v>
      </c>
      <c r="L648" s="97">
        <f>_xll.meDateFromTenor(L647,"1D","FOLLOWING","TGT")</f>
        <v>43420</v>
      </c>
      <c r="M648" s="95">
        <f ca="1"/>
        <v>-2.831809547847085E-4</v>
      </c>
      <c r="N648" s="5" t="s">
        <v>4</v>
      </c>
      <c r="O648" s="97">
        <f>_xll.meDateFromTenor(O647,"1D","FOLLOWING","TGT")</f>
        <v>43420</v>
      </c>
      <c r="P648" s="95">
        <f ca="1"/>
        <v>1.743580404970783E-3</v>
      </c>
      <c r="Q648" s="5" t="s">
        <v>4</v>
      </c>
      <c r="R648" s="83" t="s">
        <v>4</v>
      </c>
    </row>
    <row r="649" spans="1:18" x14ac:dyDescent="0.25">
      <c r="A649" s="88">
        <v>635</v>
      </c>
      <c r="B649" s="82"/>
      <c r="C649" s="97">
        <f>_xll.meDateFromTenor(C648,"1D","FOLLOWING","TGT")</f>
        <v>43423</v>
      </c>
      <c r="D649" s="95">
        <f ca="1"/>
        <v>-3.5412092344307977E-3</v>
      </c>
      <c r="E649" s="92"/>
      <c r="F649" s="97">
        <f>_xll.meDateFromTenor(F648,"1D","FOLLOWING","TGT")</f>
        <v>43423</v>
      </c>
      <c r="G649" s="95">
        <f ca="1"/>
        <v>-2.9844645136877885E-3</v>
      </c>
      <c r="H649" s="92" t="s">
        <v>4</v>
      </c>
      <c r="I649" s="97">
        <f>_xll.meDateFromTenor(I648,"1D","FOLLOWING","TGT")</f>
        <v>43423</v>
      </c>
      <c r="J649" s="95">
        <f ca="1"/>
        <v>-1.859864587938164E-3</v>
      </c>
      <c r="K649" s="5" t="s">
        <v>4</v>
      </c>
      <c r="L649" s="97">
        <f>_xll.meDateFromTenor(L648,"1D","FOLLOWING","TGT")</f>
        <v>43423</v>
      </c>
      <c r="M649" s="95">
        <f ca="1"/>
        <v>-2.6857316308506859E-4</v>
      </c>
      <c r="N649" s="5" t="s">
        <v>4</v>
      </c>
      <c r="O649" s="97">
        <f>_xll.meDateFromTenor(O648,"1D","FOLLOWING","TGT")</f>
        <v>43423</v>
      </c>
      <c r="P649" s="95">
        <f ca="1"/>
        <v>1.7585898963151834E-3</v>
      </c>
      <c r="Q649" s="5" t="s">
        <v>4</v>
      </c>
      <c r="R649" s="83" t="s">
        <v>4</v>
      </c>
    </row>
    <row r="650" spans="1:18" x14ac:dyDescent="0.25">
      <c r="A650" s="88">
        <v>636</v>
      </c>
      <c r="B650" s="82"/>
      <c r="C650" s="97">
        <f>_xll.meDateFromTenor(C649,"1D","FOLLOWING","TGT")</f>
        <v>43424</v>
      </c>
      <c r="D650" s="95">
        <f ca="1"/>
        <v>-3.5380200300165754E-3</v>
      </c>
      <c r="E650" s="92"/>
      <c r="F650" s="97">
        <f>_xll.meDateFromTenor(F649,"1D","FOLLOWING","TGT")</f>
        <v>43424</v>
      </c>
      <c r="G650" s="95">
        <f ca="1"/>
        <v>-2.9808275397301327E-3</v>
      </c>
      <c r="H650" s="92" t="s">
        <v>4</v>
      </c>
      <c r="I650" s="97">
        <f>_xll.meDateFromTenor(I649,"1D","FOLLOWING","TGT")</f>
        <v>43424</v>
      </c>
      <c r="J650" s="95">
        <f ca="1"/>
        <v>-1.8553262749434968E-3</v>
      </c>
      <c r="K650" s="5" t="s">
        <v>4</v>
      </c>
      <c r="L650" s="97">
        <f>_xll.meDateFromTenor(L649,"1D","FOLLOWING","TGT")</f>
        <v>43424</v>
      </c>
      <c r="M650" s="95">
        <f ca="1"/>
        <v>-2.6369869233303301E-4</v>
      </c>
      <c r="N650" s="5" t="s">
        <v>4</v>
      </c>
      <c r="O650" s="97">
        <f>_xll.meDateFromTenor(O649,"1D","FOLLOWING","TGT")</f>
        <v>43424</v>
      </c>
      <c r="P650" s="95">
        <f ca="1"/>
        <v>1.7635984561795142E-3</v>
      </c>
      <c r="Q650" s="5" t="s">
        <v>4</v>
      </c>
      <c r="R650" s="83" t="s">
        <v>4</v>
      </c>
    </row>
    <row r="651" spans="1:18" x14ac:dyDescent="0.25">
      <c r="A651" s="88">
        <v>637</v>
      </c>
      <c r="B651" s="82"/>
      <c r="C651" s="97">
        <f>_xll.meDateFromTenor(C650,"1D","FOLLOWING","TGT")</f>
        <v>43425</v>
      </c>
      <c r="D651" s="95">
        <f ca="1"/>
        <v>-3.5348295767994031E-3</v>
      </c>
      <c r="E651" s="92"/>
      <c r="F651" s="97">
        <f>_xll.meDateFromTenor(F650,"1D","FOLLOWING","TGT")</f>
        <v>43425</v>
      </c>
      <c r="G651" s="95">
        <f ca="1"/>
        <v>-2.9771785075314635E-3</v>
      </c>
      <c r="H651" s="92" t="s">
        <v>4</v>
      </c>
      <c r="I651" s="97">
        <f>_xll.meDateFromTenor(I650,"1D","FOLLOWING","TGT")</f>
        <v>43425</v>
      </c>
      <c r="J651" s="95">
        <f ca="1"/>
        <v>-1.8507873214968446E-3</v>
      </c>
      <c r="K651" s="5" t="s">
        <v>4</v>
      </c>
      <c r="L651" s="97">
        <f>_xll.meDateFromTenor(L650,"1D","FOLLOWING","TGT")</f>
        <v>43425</v>
      </c>
      <c r="M651" s="95">
        <f ca="1"/>
        <v>-2.5882161855100795E-4</v>
      </c>
      <c r="N651" s="5" t="s">
        <v>4</v>
      </c>
      <c r="O651" s="97">
        <f>_xll.meDateFromTenor(O650,"1D","FOLLOWING","TGT")</f>
        <v>43425</v>
      </c>
      <c r="P651" s="95">
        <f ca="1"/>
        <v>1.7686096951817678E-3</v>
      </c>
      <c r="Q651" s="5" t="s">
        <v>4</v>
      </c>
      <c r="R651" s="83" t="s">
        <v>4</v>
      </c>
    </row>
    <row r="652" spans="1:18" x14ac:dyDescent="0.25">
      <c r="A652" s="88">
        <v>638</v>
      </c>
      <c r="B652" s="82"/>
      <c r="C652" s="97">
        <f>_xll.meDateFromTenor(C651,"1D","FOLLOWING","TGT")</f>
        <v>43426</v>
      </c>
      <c r="D652" s="95">
        <f ca="1"/>
        <v>-3.5316378752454636E-3</v>
      </c>
      <c r="E652" s="92"/>
      <c r="F652" s="97">
        <f>_xll.meDateFromTenor(F651,"1D","FOLLOWING","TGT")</f>
        <v>43426</v>
      </c>
      <c r="G652" s="95">
        <f ca="1"/>
        <v>-2.973516480457971E-3</v>
      </c>
      <c r="H652" s="92" t="s">
        <v>4</v>
      </c>
      <c r="I652" s="97">
        <f>_xll.meDateFromTenor(I651,"1D","FOLLOWING","TGT")</f>
        <v>43426</v>
      </c>
      <c r="J652" s="95">
        <f ca="1"/>
        <v>-1.8462477213874234E-3</v>
      </c>
      <c r="K652" s="5" t="s">
        <v>4</v>
      </c>
      <c r="L652" s="97">
        <f>_xll.meDateFromTenor(L651,"1D","FOLLOWING","TGT")</f>
        <v>43426</v>
      </c>
      <c r="M652" s="95">
        <f ca="1"/>
        <v>-2.5394194197664625E-4</v>
      </c>
      <c r="N652" s="5" t="s">
        <v>4</v>
      </c>
      <c r="O652" s="97">
        <f>_xll.meDateFromTenor(O651,"1D","FOLLOWING","TGT")</f>
        <v>43426</v>
      </c>
      <c r="P652" s="95">
        <f ca="1"/>
        <v>1.7736236019798364E-3</v>
      </c>
      <c r="Q652" s="5" t="s">
        <v>4</v>
      </c>
      <c r="R652" s="83" t="s">
        <v>4</v>
      </c>
    </row>
    <row r="653" spans="1:18" x14ac:dyDescent="0.25">
      <c r="A653" s="88">
        <v>639</v>
      </c>
      <c r="B653" s="82"/>
      <c r="C653" s="97">
        <f>_xll.meDateFromTenor(C652,"1D","FOLLOWING","TGT")</f>
        <v>43427</v>
      </c>
      <c r="D653" s="95">
        <f ca="1"/>
        <v>-3.5284449253426553E-3</v>
      </c>
      <c r="E653" s="92"/>
      <c r="F653" s="97">
        <f>_xll.meDateFromTenor(F652,"1D","FOLLOWING","TGT")</f>
        <v>43427</v>
      </c>
      <c r="G653" s="95">
        <f ca="1"/>
        <v>-2.9698405218758451E-3</v>
      </c>
      <c r="H653" s="92" t="s">
        <v>4</v>
      </c>
      <c r="I653" s="97">
        <f>_xll.meDateFromTenor(I652,"1D","FOLLOWING","TGT")</f>
        <v>43427</v>
      </c>
      <c r="J653" s="95">
        <f ca="1"/>
        <v>-1.8417074684044501E-3</v>
      </c>
      <c r="K653" s="5" t="s">
        <v>4</v>
      </c>
      <c r="L653" s="97">
        <f>_xll.meDateFromTenor(L652,"1D","FOLLOWING","TGT")</f>
        <v>43427</v>
      </c>
      <c r="M653" s="95">
        <f ca="1"/>
        <v>-2.4905966284760091E-4</v>
      </c>
      <c r="N653" s="5" t="s">
        <v>4</v>
      </c>
      <c r="O653" s="97">
        <f>_xll.meDateFromTenor(O652,"1D","FOLLOWING","TGT")</f>
        <v>43427</v>
      </c>
      <c r="P653" s="95">
        <f ca="1"/>
        <v>1.7786401652316146E-3</v>
      </c>
      <c r="Q653" s="5" t="s">
        <v>4</v>
      </c>
      <c r="R653" s="83" t="s">
        <v>4</v>
      </c>
    </row>
    <row r="654" spans="1:18" x14ac:dyDescent="0.25">
      <c r="A654" s="88">
        <v>640</v>
      </c>
      <c r="B654" s="82"/>
      <c r="C654" s="97">
        <f>_xll.meDateFromTenor(C653,"1D","FOLLOWING","TGT")</f>
        <v>43430</v>
      </c>
      <c r="D654" s="95">
        <f ca="1"/>
        <v>-3.5188585833120234E-3</v>
      </c>
      <c r="E654" s="92"/>
      <c r="F654" s="97">
        <f>_xll.meDateFromTenor(F653,"1D","FOLLOWING","TGT")</f>
        <v>43430</v>
      </c>
      <c r="G654" s="95">
        <f ca="1"/>
        <v>-2.9587196907395761E-3</v>
      </c>
      <c r="H654" s="92" t="s">
        <v>4</v>
      </c>
      <c r="I654" s="97">
        <f>_xll.meDateFromTenor(I653,"1D","FOLLOWING","TGT")</f>
        <v>43430</v>
      </c>
      <c r="J654" s="95">
        <f ca="1"/>
        <v>-1.8280827301063837E-3</v>
      </c>
      <c r="K654" s="5" t="s">
        <v>4</v>
      </c>
      <c r="L654" s="97">
        <f>_xll.meDateFromTenor(L653,"1D","FOLLOWING","TGT")</f>
        <v>43430</v>
      </c>
      <c r="M654" s="95">
        <f ca="1"/>
        <v>-2.3439721250889214E-4</v>
      </c>
      <c r="N654" s="5" t="s">
        <v>4</v>
      </c>
      <c r="O654" s="97">
        <f>_xll.meDateFromTenor(O653,"1D","FOLLOWING","TGT")</f>
        <v>43430</v>
      </c>
      <c r="P654" s="95">
        <f ca="1"/>
        <v>1.793705680288142E-3</v>
      </c>
      <c r="Q654" s="5" t="s">
        <v>4</v>
      </c>
      <c r="R654" s="83" t="s">
        <v>4</v>
      </c>
    </row>
    <row r="655" spans="1:18" x14ac:dyDescent="0.25">
      <c r="A655" s="88">
        <v>641</v>
      </c>
      <c r="B655" s="82"/>
      <c r="C655" s="97">
        <f>_xll.meDateFromTenor(C654,"1D","FOLLOWING","TGT")</f>
        <v>43431</v>
      </c>
      <c r="D655" s="95">
        <f ca="1"/>
        <v>-3.5156606385011724E-3</v>
      </c>
      <c r="E655" s="92"/>
      <c r="F655" s="97">
        <f>_xll.meDateFromTenor(F654,"1D","FOLLOWING","TGT")</f>
        <v>43431</v>
      </c>
      <c r="G655" s="95">
        <f ca="1"/>
        <v>-2.9549786397848245E-3</v>
      </c>
      <c r="H655" s="92" t="s">
        <v>4</v>
      </c>
      <c r="I655" s="97">
        <f>_xll.meDateFromTenor(I654,"1D","FOLLOWING","TGT")</f>
        <v>43431</v>
      </c>
      <c r="J655" s="95">
        <f ca="1"/>
        <v>-1.823539803521368E-3</v>
      </c>
      <c r="K655" s="5" t="s">
        <v>4</v>
      </c>
      <c r="L655" s="97">
        <f>_xll.meDateFromTenor(L654,"1D","FOLLOWING","TGT")</f>
        <v>43431</v>
      </c>
      <c r="M655" s="95">
        <f ca="1"/>
        <v>-2.2950452553764165E-4</v>
      </c>
      <c r="N655" s="5" t="s">
        <v>4</v>
      </c>
      <c r="O655" s="97">
        <f>_xll.meDateFromTenor(O654,"1D","FOLLOWING","TGT")</f>
        <v>43431</v>
      </c>
      <c r="P655" s="95">
        <f ca="1"/>
        <v>1.7987327559336945E-3</v>
      </c>
      <c r="Q655" s="5" t="s">
        <v>4</v>
      </c>
      <c r="R655" s="83" t="s">
        <v>4</v>
      </c>
    </row>
    <row r="656" spans="1:18" x14ac:dyDescent="0.25">
      <c r="A656" s="88">
        <v>642</v>
      </c>
      <c r="B656" s="82"/>
      <c r="C656" s="97">
        <f>_xll.meDateFromTenor(C655,"1D","FOLLOWING","TGT")</f>
        <v>43432</v>
      </c>
      <c r="D656" s="95">
        <f ca="1"/>
        <v>-3.5124614449634217E-3</v>
      </c>
      <c r="E656" s="92"/>
      <c r="F656" s="97">
        <f>_xll.meDateFromTenor(F655,"1D","FOLLOWING","TGT")</f>
        <v>43432</v>
      </c>
      <c r="G656" s="95">
        <f ca="1"/>
        <v>-2.9512189741523909E-3</v>
      </c>
      <c r="H656" s="92" t="s">
        <v>4</v>
      </c>
      <c r="I656" s="97">
        <f>_xll.meDateFromTenor(I655,"1D","FOLLOWING","TGT")</f>
        <v>43432</v>
      </c>
      <c r="J656" s="95">
        <f ca="1"/>
        <v>-1.8189961930088815E-3</v>
      </c>
      <c r="K656" s="5" t="s">
        <v>4</v>
      </c>
      <c r="L656" s="97">
        <f>_xll.meDateFromTenor(L655,"1D","FOLLOWING","TGT")</f>
        <v>43432</v>
      </c>
      <c r="M656" s="95">
        <f ca="1"/>
        <v>-2.2460923719997108E-4</v>
      </c>
      <c r="N656" s="5" t="s">
        <v>4</v>
      </c>
      <c r="O656" s="97">
        <f>_xll.meDateFromTenor(O655,"1D","FOLLOWING","TGT")</f>
        <v>43432</v>
      </c>
      <c r="P656" s="95">
        <f ca="1"/>
        <v>1.8037624313224263E-3</v>
      </c>
      <c r="Q656" s="5" t="s">
        <v>4</v>
      </c>
      <c r="R656" s="83" t="s">
        <v>4</v>
      </c>
    </row>
    <row r="657" spans="1:18" x14ac:dyDescent="0.25">
      <c r="A657" s="88">
        <v>643</v>
      </c>
      <c r="B657" s="82"/>
      <c r="C657" s="97">
        <f>_xll.meDateFromTenor(C656,"1D","FOLLOWING","TGT")</f>
        <v>43433</v>
      </c>
      <c r="D657" s="95">
        <f ca="1"/>
        <v>-3.509261002647035E-3</v>
      </c>
      <c r="E657" s="92"/>
      <c r="F657" s="97">
        <f>_xll.meDateFromTenor(F656,"1D","FOLLOWING","TGT")</f>
        <v>43433</v>
      </c>
      <c r="G657" s="95">
        <f ca="1"/>
        <v>-2.9474397572084679E-3</v>
      </c>
      <c r="H657" s="92" t="s">
        <v>4</v>
      </c>
      <c r="I657" s="97">
        <f>_xll.meDateFromTenor(I656,"1D","FOLLOWING","TGT")</f>
        <v>43433</v>
      </c>
      <c r="J657" s="95">
        <f ca="1"/>
        <v>-1.8144518923581417E-3</v>
      </c>
      <c r="K657" s="5" t="s">
        <v>4</v>
      </c>
      <c r="L657" s="97">
        <f>_xll.meDateFromTenor(L656,"1D","FOLLOWING","TGT")</f>
        <v>43433</v>
      </c>
      <c r="M657" s="95">
        <f ca="1"/>
        <v>-2.1971134773353417E-4</v>
      </c>
      <c r="N657" s="5" t="s">
        <v>4</v>
      </c>
      <c r="O657" s="97">
        <f>_xll.meDateFromTenor(O656,"1D","FOLLOWING","TGT")</f>
        <v>43433</v>
      </c>
      <c r="P657" s="95">
        <f ca="1"/>
        <v>1.80879469511223E-3</v>
      </c>
      <c r="Q657" s="5" t="s">
        <v>4</v>
      </c>
      <c r="R657" s="83" t="s">
        <v>4</v>
      </c>
    </row>
    <row r="658" spans="1:18" x14ac:dyDescent="0.25">
      <c r="A658" s="88">
        <v>644</v>
      </c>
      <c r="B658" s="82"/>
      <c r="C658" s="97">
        <f>_xll.meDateFromTenor(C657,"1D","FOLLOWING","TGT")</f>
        <v>43434</v>
      </c>
      <c r="D658" s="95">
        <f ca="1"/>
        <v>-3.5060593113009908E-3</v>
      </c>
      <c r="E658" s="92"/>
      <c r="F658" s="97">
        <f>_xll.meDateFromTenor(F657,"1D","FOLLOWING","TGT")</f>
        <v>43434</v>
      </c>
      <c r="G658" s="95">
        <f ca="1"/>
        <v>-2.9436400523192444E-3</v>
      </c>
      <c r="H658" s="92" t="s">
        <v>4</v>
      </c>
      <c r="I658" s="97">
        <f>_xll.meDateFromTenor(I657,"1D","FOLLOWING","TGT")</f>
        <v>43434</v>
      </c>
      <c r="J658" s="95">
        <f ca="1"/>
        <v>-1.8099068953583658E-3</v>
      </c>
      <c r="K658" s="5" t="s">
        <v>4</v>
      </c>
      <c r="L658" s="97">
        <f>_xll.meDateFromTenor(L657,"1D","FOLLOWING","TGT")</f>
        <v>43434</v>
      </c>
      <c r="M658" s="95">
        <f ca="1"/>
        <v>-2.1481085737598378E-4</v>
      </c>
      <c r="N658" s="5" t="s">
        <v>4</v>
      </c>
      <c r="O658" s="97">
        <f>_xll.meDateFromTenor(O657,"1D","FOLLOWING","TGT")</f>
        <v>43434</v>
      </c>
      <c r="P658" s="95">
        <f ca="1"/>
        <v>1.8138295359609992E-3</v>
      </c>
      <c r="Q658" s="5" t="s">
        <v>4</v>
      </c>
      <c r="R658" s="83" t="s">
        <v>4</v>
      </c>
    </row>
    <row r="659" spans="1:18" x14ac:dyDescent="0.25">
      <c r="A659" s="88">
        <v>645</v>
      </c>
      <c r="B659" s="82"/>
      <c r="C659" s="97">
        <f>_xll.meDateFromTenor(C658,"1D","FOLLOWING","TGT")</f>
        <v>43437</v>
      </c>
      <c r="D659" s="95">
        <f ca="1"/>
        <v>-3.4964501970276007E-3</v>
      </c>
      <c r="E659" s="92"/>
      <c r="F659" s="97">
        <f>_xll.meDateFromTenor(F658,"1D","FOLLOWING","TGT")</f>
        <v>43437</v>
      </c>
      <c r="G659" s="95">
        <f ca="1"/>
        <v>-2.9321086436416791E-3</v>
      </c>
      <c r="H659" s="92" t="s">
        <v>4</v>
      </c>
      <c r="I659" s="97">
        <f>_xll.meDateFromTenor(I658,"1D","FOLLOWING","TGT")</f>
        <v>43437</v>
      </c>
      <c r="J659" s="95">
        <f ca="1"/>
        <v>-1.7962676641569827E-3</v>
      </c>
      <c r="K659" s="5" t="s">
        <v>4</v>
      </c>
      <c r="L659" s="97">
        <f>_xll.meDateFromTenor(L658,"1D","FOLLOWING","TGT")</f>
        <v>43437</v>
      </c>
      <c r="M659" s="95">
        <f ca="1"/>
        <v>-2.000937833331808E-4</v>
      </c>
      <c r="N659" s="5" t="s">
        <v>4</v>
      </c>
      <c r="O659" s="97">
        <f>_xll.meDateFromTenor(O658,"1D","FOLLOWING","TGT")</f>
        <v>43437</v>
      </c>
      <c r="P659" s="95">
        <f ca="1"/>
        <v>1.8289494074400401E-3</v>
      </c>
      <c r="Q659" s="5" t="s">
        <v>4</v>
      </c>
      <c r="R659" s="83" t="s">
        <v>4</v>
      </c>
    </row>
    <row r="660" spans="1:18" x14ac:dyDescent="0.25">
      <c r="A660" s="88">
        <v>646</v>
      </c>
      <c r="B660" s="82"/>
      <c r="C660" s="97">
        <f>_xll.meDateFromTenor(C659,"1D","FOLLOWING","TGT")</f>
        <v>43438</v>
      </c>
      <c r="D660" s="95">
        <f ca="1"/>
        <v>-3.4932642291520821E-3</v>
      </c>
      <c r="E660" s="92"/>
      <c r="F660" s="97">
        <f>_xll.meDateFromTenor(F659,"1D","FOLLOWING","TGT")</f>
        <v>43438</v>
      </c>
      <c r="G660" s="95">
        <f ca="1"/>
        <v>-2.9282181039160496E-3</v>
      </c>
      <c r="H660" s="92" t="s">
        <v>4</v>
      </c>
      <c r="I660" s="97">
        <f>_xll.meDateFromTenor(I659,"1D","FOLLOWING","TGT")</f>
        <v>43438</v>
      </c>
      <c r="J660" s="95">
        <f ca="1"/>
        <v>-1.7917198209624128E-3</v>
      </c>
      <c r="K660" s="5" t="s">
        <v>4</v>
      </c>
      <c r="L660" s="97">
        <f>_xll.meDateFromTenor(L659,"1D","FOLLOWING","TGT")</f>
        <v>43438</v>
      </c>
      <c r="M660" s="95">
        <f ca="1"/>
        <v>-1.9518289177361227E-4</v>
      </c>
      <c r="N660" s="5" t="s">
        <v>4</v>
      </c>
      <c r="O660" s="97">
        <f>_xll.meDateFromTenor(O659,"1D","FOLLOWING","TGT")</f>
        <v>43438</v>
      </c>
      <c r="P660" s="95">
        <f ca="1"/>
        <v>1.8339944431036096E-3</v>
      </c>
      <c r="Q660" s="5" t="s">
        <v>4</v>
      </c>
      <c r="R660" s="83" t="s">
        <v>4</v>
      </c>
    </row>
    <row r="661" spans="1:18" x14ac:dyDescent="0.25">
      <c r="A661" s="88">
        <v>647</v>
      </c>
      <c r="B661" s="82"/>
      <c r="C661" s="97">
        <f>_xll.meDateFromTenor(C660,"1D","FOLLOWING","TGT")</f>
        <v>43439</v>
      </c>
      <c r="D661" s="95">
        <f ca="1"/>
        <v>-3.4900977306489001E-3</v>
      </c>
      <c r="E661" s="92"/>
      <c r="F661" s="97">
        <f>_xll.meDateFromTenor(F660,"1D","FOLLOWING","TGT")</f>
        <v>43439</v>
      </c>
      <c r="G661" s="95">
        <f ca="1"/>
        <v>-2.9243052927734022E-3</v>
      </c>
      <c r="H661" s="92" t="s">
        <v>4</v>
      </c>
      <c r="I661" s="97">
        <f>_xll.meDateFromTenor(I660,"1D","FOLLOWING","TGT")</f>
        <v>43439</v>
      </c>
      <c r="J661" s="95">
        <f ca="1"/>
        <v>-1.7871712582200106E-3</v>
      </c>
      <c r="K661" s="5" t="s">
        <v>4</v>
      </c>
      <c r="L661" s="97">
        <f>_xll.meDateFromTenor(L660,"1D","FOLLOWING","TGT")</f>
        <v>43439</v>
      </c>
      <c r="M661" s="95">
        <f ca="1"/>
        <v>-1.9026940042663E-4</v>
      </c>
      <c r="N661" s="5" t="s">
        <v>4</v>
      </c>
      <c r="O661" s="97">
        <f>_xll.meDateFromTenor(O660,"1D","FOLLOWING","TGT")</f>
        <v>43439</v>
      </c>
      <c r="P661" s="95">
        <f ca="1"/>
        <v>1.8390419991156147E-3</v>
      </c>
      <c r="Q661" s="5" t="s">
        <v>4</v>
      </c>
      <c r="R661" s="83" t="s">
        <v>4</v>
      </c>
    </row>
    <row r="662" spans="1:18" x14ac:dyDescent="0.25">
      <c r="A662" s="88">
        <v>648</v>
      </c>
      <c r="B662" s="82"/>
      <c r="C662" s="97">
        <f>_xll.meDateFromTenor(C661,"1D","FOLLOWING","TGT")</f>
        <v>43440</v>
      </c>
      <c r="D662" s="95">
        <f ca="1"/>
        <v>-3.4869507012650347E-3</v>
      </c>
      <c r="E662" s="92"/>
      <c r="F662" s="97">
        <f>_xll.meDateFromTenor(F661,"1D","FOLLOWING","TGT")</f>
        <v>43440</v>
      </c>
      <c r="G662" s="95">
        <f ca="1"/>
        <v>-2.9203721732772576E-3</v>
      </c>
      <c r="H662" s="92" t="s">
        <v>4</v>
      </c>
      <c r="I662" s="97">
        <f>_xll.meDateFromTenor(I661,"1D","FOLLOWING","TGT")</f>
        <v>43440</v>
      </c>
      <c r="J662" s="95">
        <f ca="1"/>
        <v>-1.7826219775741166E-3</v>
      </c>
      <c r="K662" s="5" t="s">
        <v>4</v>
      </c>
      <c r="L662" s="97">
        <f>_xll.meDateFromTenor(L661,"1D","FOLLOWING","TGT")</f>
        <v>43440</v>
      </c>
      <c r="M662" s="95">
        <f ca="1"/>
        <v>-1.853533094453244E-4</v>
      </c>
      <c r="N662" s="5" t="s">
        <v>4</v>
      </c>
      <c r="O662" s="97">
        <f>_xll.meDateFromTenor(O661,"1D","FOLLOWING","TGT")</f>
        <v>43440</v>
      </c>
      <c r="P662" s="95">
        <f ca="1"/>
        <v>1.8440920641339474E-3</v>
      </c>
      <c r="Q662" s="5" t="s">
        <v>4</v>
      </c>
      <c r="R662" s="83" t="s">
        <v>4</v>
      </c>
    </row>
    <row r="663" spans="1:18" x14ac:dyDescent="0.25">
      <c r="A663" s="88">
        <v>649</v>
      </c>
      <c r="B663" s="82"/>
      <c r="C663" s="97">
        <f>_xll.meDateFromTenor(C662,"1D","FOLLOWING","TGT")</f>
        <v>43441</v>
      </c>
      <c r="D663" s="95">
        <f ca="1"/>
        <v>-3.483823140029374E-3</v>
      </c>
      <c r="E663" s="92"/>
      <c r="F663" s="97">
        <f>_xll.meDateFromTenor(F662,"1D","FOLLOWING","TGT")</f>
        <v>43441</v>
      </c>
      <c r="G663" s="95">
        <f ca="1"/>
        <v>-2.9164207084911363E-3</v>
      </c>
      <c r="H663" s="92" t="s">
        <v>4</v>
      </c>
      <c r="I663" s="97">
        <f>_xll.meDateFromTenor(I662,"1D","FOLLOWING","TGT")</f>
        <v>43441</v>
      </c>
      <c r="J663" s="95">
        <f ca="1"/>
        <v>-1.7780719806690685E-3</v>
      </c>
      <c r="K663" s="5" t="s">
        <v>4</v>
      </c>
      <c r="L663" s="97">
        <f>_xll.meDateFromTenor(L662,"1D","FOLLOWING","TGT")</f>
        <v>43441</v>
      </c>
      <c r="M663" s="95">
        <f ca="1"/>
        <v>-1.804346189827828E-4</v>
      </c>
      <c r="N663" s="5" t="s">
        <v>4</v>
      </c>
      <c r="O663" s="97">
        <f>_xll.meDateFromTenor(O662,"1D","FOLLOWING","TGT")</f>
        <v>43441</v>
      </c>
      <c r="P663" s="95">
        <f ca="1"/>
        <v>1.8491446268165028E-3</v>
      </c>
      <c r="Q663" s="5" t="s">
        <v>4</v>
      </c>
      <c r="R663" s="83" t="s">
        <v>4</v>
      </c>
    </row>
    <row r="664" spans="1:18" x14ac:dyDescent="0.25">
      <c r="A664" s="88">
        <v>650</v>
      </c>
      <c r="B664" s="82"/>
      <c r="C664" s="97">
        <f>_xll.meDateFromTenor(C663,"1D","FOLLOWING","TGT")</f>
        <v>43444</v>
      </c>
      <c r="D664" s="95">
        <f ca="1"/>
        <v>-3.4745572598261498E-3</v>
      </c>
      <c r="E664" s="92"/>
      <c r="F664" s="97">
        <f>_xll.meDateFromTenor(F663,"1D","FOLLOWING","TGT")</f>
        <v>43444</v>
      </c>
      <c r="G664" s="95">
        <f ca="1"/>
        <v>-2.9044758730281182E-3</v>
      </c>
      <c r="H664" s="92" t="s">
        <v>4</v>
      </c>
      <c r="I664" s="97">
        <f>_xll.meDateFromTenor(I663,"1D","FOLLOWING","TGT")</f>
        <v>43444</v>
      </c>
      <c r="J664" s="95">
        <f ca="1"/>
        <v>-1.7644177088423916E-3</v>
      </c>
      <c r="K664" s="5" t="s">
        <v>4</v>
      </c>
      <c r="L664" s="97">
        <f>_xll.meDateFromTenor(L663,"1D","FOLLOWING","TGT")</f>
        <v>43444</v>
      </c>
      <c r="M664" s="95">
        <f ca="1"/>
        <v>-1.6566295223863583E-4</v>
      </c>
      <c r="N664" s="5" t="s">
        <v>4</v>
      </c>
      <c r="O664" s="97">
        <f>_xll.meDateFromTenor(O663,"1D","FOLLOWING","TGT")</f>
        <v>43444</v>
      </c>
      <c r="P664" s="95">
        <f ca="1"/>
        <v>1.8643171874284407E-3</v>
      </c>
      <c r="Q664" s="5" t="s">
        <v>4</v>
      </c>
      <c r="R664" s="83" t="s">
        <v>4</v>
      </c>
    </row>
    <row r="665" spans="1:18" x14ac:dyDescent="0.25">
      <c r="A665" s="88">
        <v>651</v>
      </c>
      <c r="B665" s="82"/>
      <c r="C665" s="97">
        <f>_xll.meDateFromTenor(C664,"1D","FOLLOWING","TGT")</f>
        <v>43445</v>
      </c>
      <c r="D665" s="95">
        <f ca="1"/>
        <v>-3.4715075653536376E-3</v>
      </c>
      <c r="E665" s="92"/>
      <c r="F665" s="97">
        <f>_xll.meDateFromTenor(F664,"1D","FOLLOWING","TGT")</f>
        <v>43445</v>
      </c>
      <c r="G665" s="95">
        <f ca="1"/>
        <v>-2.9004706577172956E-3</v>
      </c>
      <c r="H665" s="92" t="s">
        <v>4</v>
      </c>
      <c r="I665" s="97">
        <f>_xll.meDateFromTenor(I664,"1D","FOLLOWING","TGT")</f>
        <v>43445</v>
      </c>
      <c r="J665" s="95">
        <f ca="1"/>
        <v>-1.7598648633441189E-3</v>
      </c>
      <c r="K665" s="5" t="s">
        <v>4</v>
      </c>
      <c r="L665" s="97">
        <f>_xll.meDateFromTenor(L664,"1D","FOLLOWING","TGT")</f>
        <v>43445</v>
      </c>
      <c r="M665" s="95">
        <f ca="1"/>
        <v>-1.6073386538204243E-4</v>
      </c>
      <c r="N665" s="5" t="s">
        <v>4</v>
      </c>
      <c r="O665" s="97">
        <f>_xll.meDateFromTenor(O664,"1D","FOLLOWING","TGT")</f>
        <v>43445</v>
      </c>
      <c r="P665" s="95">
        <f ca="1"/>
        <v>1.8693796273468232E-3</v>
      </c>
      <c r="Q665" s="5" t="s">
        <v>4</v>
      </c>
      <c r="R665" s="83" t="s">
        <v>4</v>
      </c>
    </row>
    <row r="666" spans="1:18" x14ac:dyDescent="0.25">
      <c r="A666" s="88">
        <v>652</v>
      </c>
      <c r="B666" s="82"/>
      <c r="C666" s="97">
        <f>_xll.meDateFromTenor(C665,"1D","FOLLOWING","TGT")</f>
        <v>43446</v>
      </c>
      <c r="D666" s="95">
        <f ca="1"/>
        <v>-3.4684773359094923E-3</v>
      </c>
      <c r="E666" s="92"/>
      <c r="F666" s="97">
        <f>_xll.meDateFromTenor(F665,"1D","FOLLOWING","TGT")</f>
        <v>43446</v>
      </c>
      <c r="G666" s="95">
        <f ca="1"/>
        <v>-2.8964569124340996E-3</v>
      </c>
      <c r="H666" s="92" t="s">
        <v>4</v>
      </c>
      <c r="I666" s="97">
        <f>_xll.meDateFromTenor(I665,"1D","FOLLOWING","TGT")</f>
        <v>43446</v>
      </c>
      <c r="J666" s="95">
        <f ca="1"/>
        <v>-1.7553113098083876E-3</v>
      </c>
      <c r="K666" s="5" t="s">
        <v>4</v>
      </c>
      <c r="L666" s="97">
        <f>_xll.meDateFromTenor(L665,"1D","FOLLOWING","TGT")</f>
        <v>43446</v>
      </c>
      <c r="M666" s="95">
        <f ca="1"/>
        <v>-1.5580217980965837E-4</v>
      </c>
      <c r="N666" s="5" t="s">
        <v>4</v>
      </c>
      <c r="O666" s="97">
        <f>_xll.meDateFromTenor(O665,"1D","FOLLOWING","TGT")</f>
        <v>43446</v>
      </c>
      <c r="P666" s="95">
        <f ca="1"/>
        <v>1.8744445082188963E-3</v>
      </c>
      <c r="Q666" s="5" t="s">
        <v>4</v>
      </c>
      <c r="R666" s="83" t="s">
        <v>4</v>
      </c>
    </row>
    <row r="667" spans="1:18" x14ac:dyDescent="0.25">
      <c r="A667" s="88">
        <v>653</v>
      </c>
      <c r="B667" s="82"/>
      <c r="C667" s="97">
        <f>_xll.meDateFromTenor(C666,"1D","FOLLOWING","TGT")</f>
        <v>43447</v>
      </c>
      <c r="D667" s="95">
        <f ca="1"/>
        <v>-3.4654665707148924E-3</v>
      </c>
      <c r="E667" s="92"/>
      <c r="F667" s="97">
        <f>_xll.meDateFromTenor(F666,"1D","FOLLOWING","TGT")</f>
        <v>43447</v>
      </c>
      <c r="G667" s="95">
        <f ca="1"/>
        <v>-2.8924366002420505E-3</v>
      </c>
      <c r="H667" s="92" t="s">
        <v>4</v>
      </c>
      <c r="I667" s="97">
        <f>_xll.meDateFromTenor(I666,"1D","FOLLOWING","TGT")</f>
        <v>43447</v>
      </c>
      <c r="J667" s="95">
        <f ca="1"/>
        <v>-1.7507570498795377E-3</v>
      </c>
      <c r="K667" s="5" t="s">
        <v>4</v>
      </c>
      <c r="L667" s="97">
        <f>_xll.meDateFromTenor(L666,"1D","FOLLOWING","TGT")</f>
        <v>43447</v>
      </c>
      <c r="M667" s="95">
        <f ca="1"/>
        <v>-1.5086789567457322E-4</v>
      </c>
      <c r="N667" s="5" t="s">
        <v>4</v>
      </c>
      <c r="O667" s="97">
        <f>_xll.meDateFromTenor(O666,"1D","FOLLOWING","TGT")</f>
        <v>43447</v>
      </c>
      <c r="P667" s="95">
        <f ca="1"/>
        <v>1.8795118187025536E-3</v>
      </c>
      <c r="Q667" s="5" t="s">
        <v>4</v>
      </c>
      <c r="R667" s="83" t="s">
        <v>4</v>
      </c>
    </row>
    <row r="668" spans="1:18" x14ac:dyDescent="0.25">
      <c r="A668" s="88">
        <v>654</v>
      </c>
      <c r="B668" s="82"/>
      <c r="C668" s="97">
        <f>_xll.meDateFromTenor(C667,"1D","FOLLOWING","TGT")</f>
        <v>43448</v>
      </c>
      <c r="D668" s="95">
        <f ca="1"/>
        <v>-3.4624752695077143E-3</v>
      </c>
      <c r="E668" s="92"/>
      <c r="F668" s="97">
        <f>_xll.meDateFromTenor(F667,"1D","FOLLOWING","TGT")</f>
        <v>43448</v>
      </c>
      <c r="G668" s="95">
        <f ca="1"/>
        <v>-2.8884116842046682E-3</v>
      </c>
      <c r="H668" s="92" t="s">
        <v>4</v>
      </c>
      <c r="I668" s="97">
        <f>_xll.meDateFromTenor(I667,"1D","FOLLOWING","TGT")</f>
        <v>43448</v>
      </c>
      <c r="J668" s="95">
        <f ca="1"/>
        <v>-1.7462020852019062E-3</v>
      </c>
      <c r="K668" s="5" t="s">
        <v>4</v>
      </c>
      <c r="L668" s="97">
        <f>_xll.meDateFromTenor(L667,"1D","FOLLOWING","TGT")</f>
        <v>43448</v>
      </c>
      <c r="M668" s="95">
        <f ca="1"/>
        <v>-1.4593101312987441E-4</v>
      </c>
      <c r="N668" s="5" t="s">
        <v>4</v>
      </c>
      <c r="O668" s="97">
        <f>_xll.meDateFromTenor(O667,"1D","FOLLOWING","TGT")</f>
        <v>43448</v>
      </c>
      <c r="P668" s="95">
        <f ca="1"/>
        <v>1.8845815474556908E-3</v>
      </c>
      <c r="Q668" s="5" t="s">
        <v>4</v>
      </c>
      <c r="R668" s="83" t="s">
        <v>4</v>
      </c>
    </row>
    <row r="669" spans="1:18" x14ac:dyDescent="0.25">
      <c r="A669" s="88">
        <v>655</v>
      </c>
      <c r="B669" s="82"/>
      <c r="C669" s="97">
        <f>_xll.meDateFromTenor(C668,"1D","FOLLOWING","TGT")</f>
        <v>43451</v>
      </c>
      <c r="D669" s="95">
        <f ca="1"/>
        <v>-3.4536181413566958E-3</v>
      </c>
      <c r="E669" s="92"/>
      <c r="F669" s="97">
        <f>_xll.meDateFromTenor(F668,"1D","FOLLOWING","TGT")</f>
        <v>43451</v>
      </c>
      <c r="G669" s="95">
        <f ca="1"/>
        <v>-2.8763289436557287E-3</v>
      </c>
      <c r="H669" s="92" t="s">
        <v>4</v>
      </c>
      <c r="I669" s="97">
        <f>_xll.meDateFromTenor(I668,"1D","FOLLOWING","TGT")</f>
        <v>43451</v>
      </c>
      <c r="J669" s="95">
        <f ca="1"/>
        <v>-1.7325329791197201E-3</v>
      </c>
      <c r="K669" s="5" t="s">
        <v>4</v>
      </c>
      <c r="L669" s="97">
        <f>_xll.meDateFromTenor(L668,"1D","FOLLOWING","TGT")</f>
        <v>43451</v>
      </c>
      <c r="M669" s="95">
        <f ca="1"/>
        <v>-1.3110477656899026E-4</v>
      </c>
      <c r="N669" s="5" t="s">
        <v>4</v>
      </c>
      <c r="O669" s="97">
        <f>_xll.meDateFromTenor(O668,"1D","FOLLOWING","TGT")</f>
        <v>43451</v>
      </c>
      <c r="P669" s="95">
        <f ca="1"/>
        <v>1.8998051299109098E-3</v>
      </c>
      <c r="Q669" s="5" t="s">
        <v>4</v>
      </c>
      <c r="R669" s="83" t="s">
        <v>4</v>
      </c>
    </row>
    <row r="670" spans="1:18" x14ac:dyDescent="0.25">
      <c r="A670" s="88">
        <v>656</v>
      </c>
      <c r="B670" s="82"/>
      <c r="C670" s="97">
        <f>_xll.meDateFromTenor(C669,"1D","FOLLOWING","TGT")</f>
        <v>43452</v>
      </c>
      <c r="D670" s="95">
        <f ca="1"/>
        <v>-3.4507046884759696E-3</v>
      </c>
      <c r="E670" s="92"/>
      <c r="F670" s="97">
        <f>_xll.meDateFromTenor(F669,"1D","FOLLOWING","TGT")</f>
        <v>43452</v>
      </c>
      <c r="G670" s="95">
        <f ca="1"/>
        <v>-2.8723052428722192E-3</v>
      </c>
      <c r="H670" s="92" t="s">
        <v>4</v>
      </c>
      <c r="I670" s="97">
        <f>_xll.meDateFromTenor(I669,"1D","FOLLOWING","TGT")</f>
        <v>43452</v>
      </c>
      <c r="J670" s="95">
        <f ca="1"/>
        <v>-1.7279752118903569E-3</v>
      </c>
      <c r="K670" s="5" t="s">
        <v>4</v>
      </c>
      <c r="L670" s="97">
        <f>_xll.meDateFromTenor(L669,"1D","FOLLOWING","TGT")</f>
        <v>43452</v>
      </c>
      <c r="M670" s="95">
        <f ca="1"/>
        <v>-1.2615750191672881E-4</v>
      </c>
      <c r="N670" s="5" t="s">
        <v>4</v>
      </c>
      <c r="O670" s="97">
        <f>_xll.meDateFromTenor(O669,"1D","FOLLOWING","TGT")</f>
        <v>43452</v>
      </c>
      <c r="P670" s="95">
        <f ca="1"/>
        <v>1.9048844183208991E-3</v>
      </c>
      <c r="Q670" s="5" t="s">
        <v>4</v>
      </c>
      <c r="R670" s="83" t="s">
        <v>4</v>
      </c>
    </row>
    <row r="671" spans="1:18" x14ac:dyDescent="0.25">
      <c r="A671" s="88">
        <v>657</v>
      </c>
      <c r="B671" s="82"/>
      <c r="C671" s="97">
        <f>_xll.meDateFromTenor(C670,"1D","FOLLOWING","TGT")</f>
        <v>43453</v>
      </c>
      <c r="D671" s="95">
        <f ca="1"/>
        <v>-3.4478106960242894E-3</v>
      </c>
      <c r="E671" s="92"/>
      <c r="F671" s="97">
        <f>_xll.meDateFromTenor(F670,"1D","FOLLOWING","TGT")</f>
        <v>43453</v>
      </c>
      <c r="G671" s="95">
        <f ca="1"/>
        <v>-2.8682867535609795E-3</v>
      </c>
      <c r="H671" s="92" t="s">
        <v>4</v>
      </c>
      <c r="I671" s="97">
        <f>_xll.meDateFromTenor(I670,"1D","FOLLOWING","TGT")</f>
        <v>43453</v>
      </c>
      <c r="J671" s="95">
        <f ca="1"/>
        <v>-1.7234167481339079E-3</v>
      </c>
      <c r="K671" s="5" t="s">
        <v>4</v>
      </c>
      <c r="L671" s="97">
        <f>_xll.meDateFromTenor(L670,"1D","FOLLOWING","TGT")</f>
        <v>43453</v>
      </c>
      <c r="M671" s="95">
        <f ca="1"/>
        <v>-1.2120762962029892E-4</v>
      </c>
      <c r="N671" s="5" t="s">
        <v>4</v>
      </c>
      <c r="O671" s="97">
        <f>_xll.meDateFromTenor(O670,"1D","FOLLOWING","TGT")</f>
        <v>43453</v>
      </c>
      <c r="P671" s="95">
        <f ca="1"/>
        <v>1.9099660682898355E-3</v>
      </c>
      <c r="Q671" s="5" t="s">
        <v>4</v>
      </c>
      <c r="R671" s="83" t="s">
        <v>4</v>
      </c>
    </row>
    <row r="672" spans="1:18" x14ac:dyDescent="0.25">
      <c r="A672" s="88">
        <v>658</v>
      </c>
      <c r="B672" s="82"/>
      <c r="C672" s="97">
        <f>_xll.meDateFromTenor(C671,"1D","FOLLOWING","TGT")</f>
        <v>43454</v>
      </c>
      <c r="D672" s="95">
        <f ca="1"/>
        <v>-3.4449361636529341E-3</v>
      </c>
      <c r="E672" s="92"/>
      <c r="F672" s="97">
        <f>_xll.meDateFromTenor(F671,"1D","FOLLOWING","TGT")</f>
        <v>43454</v>
      </c>
      <c r="G672" s="95">
        <f ca="1"/>
        <v>-2.8642754387855308E-3</v>
      </c>
      <c r="H672" s="92" t="s">
        <v>4</v>
      </c>
      <c r="I672" s="97">
        <f>_xll.meDateFromTenor(I671,"1D","FOLLOWING","TGT")</f>
        <v>43454</v>
      </c>
      <c r="J672" s="95">
        <f ca="1"/>
        <v>-1.7188575894947129E-3</v>
      </c>
      <c r="K672" s="5" t="s">
        <v>4</v>
      </c>
      <c r="L672" s="97">
        <f>_xll.meDateFromTenor(L671,"1D","FOLLOWING","TGT")</f>
        <v>43454</v>
      </c>
      <c r="M672" s="95">
        <f ca="1"/>
        <v>-1.1625515983278949E-4</v>
      </c>
      <c r="N672" s="5" t="s">
        <v>4</v>
      </c>
      <c r="O672" s="97">
        <f>_xll.meDateFromTenor(O671,"1D","FOLLOWING","TGT")</f>
        <v>43454</v>
      </c>
      <c r="P672" s="95">
        <f ca="1"/>
        <v>1.9150500684756136E-3</v>
      </c>
      <c r="Q672" s="5" t="s">
        <v>4</v>
      </c>
      <c r="R672" s="83" t="s">
        <v>4</v>
      </c>
    </row>
    <row r="673" spans="1:18" x14ac:dyDescent="0.25">
      <c r="A673" s="88">
        <v>659</v>
      </c>
      <c r="B673" s="82"/>
      <c r="C673" s="97">
        <f>_xll.meDateFromTenor(C672,"1D","FOLLOWING","TGT")</f>
        <v>43455</v>
      </c>
      <c r="D673" s="95">
        <f ca="1"/>
        <v>-3.4420810902950905E-3</v>
      </c>
      <c r="E673" s="92"/>
      <c r="F673" s="97">
        <f>_xll.meDateFromTenor(F672,"1D","FOLLOWING","TGT")</f>
        <v>43455</v>
      </c>
      <c r="G673" s="95">
        <f ca="1"/>
        <v>-2.8602732616093921E-3</v>
      </c>
      <c r="H673" s="92" t="s">
        <v>4</v>
      </c>
      <c r="I673" s="97">
        <f>_xll.meDateFromTenor(I672,"1D","FOLLOWING","TGT")</f>
        <v>43455</v>
      </c>
      <c r="J673" s="95">
        <f ca="1"/>
        <v>-1.71429773761711E-3</v>
      </c>
      <c r="K673" s="5" t="s">
        <v>4</v>
      </c>
      <c r="L673" s="97">
        <f>_xll.meDateFromTenor(L672,"1D","FOLLOWING","TGT")</f>
        <v>43455</v>
      </c>
      <c r="M673" s="95">
        <f ca="1"/>
        <v>-1.1130009270728947E-4</v>
      </c>
      <c r="N673" s="5" t="s">
        <v>4</v>
      </c>
      <c r="O673" s="97">
        <f>_xll.meDateFromTenor(O672,"1D","FOLLOWING","TGT")</f>
        <v>43455</v>
      </c>
      <c r="P673" s="95">
        <f ca="1"/>
        <v>1.9201364075361266E-3</v>
      </c>
      <c r="Q673" s="5" t="s">
        <v>4</v>
      </c>
      <c r="R673" s="83" t="s">
        <v>4</v>
      </c>
    </row>
    <row r="674" spans="1:18" x14ac:dyDescent="0.25">
      <c r="A674" s="88">
        <v>660</v>
      </c>
      <c r="B674" s="82"/>
      <c r="C674" s="97">
        <f>_xll.meDateFromTenor(C673,"1D","FOLLOWING","TGT")</f>
        <v>43458</v>
      </c>
      <c r="D674" s="95">
        <f ca="1"/>
        <v>-3.4336326191940492E-3</v>
      </c>
      <c r="E674" s="92"/>
      <c r="F674" s="97">
        <f>_xll.meDateFromTenor(F673,"1D","FOLLOWING","TGT")</f>
        <v>43458</v>
      </c>
      <c r="G674" s="95">
        <f ca="1"/>
        <v>-2.8483411863120486E-3</v>
      </c>
      <c r="H674" s="92" t="s">
        <v>4</v>
      </c>
      <c r="I674" s="97">
        <f>_xll.meDateFromTenor(I673,"1D","FOLLOWING","TGT")</f>
        <v>43458</v>
      </c>
      <c r="J674" s="95">
        <f ca="1"/>
        <v>-1.700614038997249E-3</v>
      </c>
      <c r="K674" s="5" t="s">
        <v>4</v>
      </c>
      <c r="L674" s="97">
        <f>_xll.meDateFromTenor(L673,"1D","FOLLOWING","TGT")</f>
        <v>43458</v>
      </c>
      <c r="M674" s="95">
        <f ca="1"/>
        <v>-9.6419308833736213E-5</v>
      </c>
      <c r="N674" s="5" t="s">
        <v>4</v>
      </c>
      <c r="O674" s="97">
        <f>_xll.meDateFromTenor(O673,"1D","FOLLOWING","TGT")</f>
        <v>43458</v>
      </c>
      <c r="P674" s="95">
        <f ca="1"/>
        <v>1.9354093445450118E-3</v>
      </c>
      <c r="Q674" s="5" t="s">
        <v>4</v>
      </c>
      <c r="R674" s="83" t="s">
        <v>4</v>
      </c>
    </row>
    <row r="675" spans="1:18" x14ac:dyDescent="0.25">
      <c r="A675" s="88">
        <v>661</v>
      </c>
      <c r="B675" s="82"/>
      <c r="C675" s="97">
        <f>_xll.meDateFromTenor(C674,"1D","FOLLOWING","TGT")</f>
        <v>43461</v>
      </c>
      <c r="D675" s="95">
        <f ca="1"/>
        <v>-3.4253592575890224E-3</v>
      </c>
      <c r="E675" s="92"/>
      <c r="F675" s="97">
        <f>_xll.meDateFromTenor(F674,"1D","FOLLOWING","TGT")</f>
        <v>43461</v>
      </c>
      <c r="G675" s="95">
        <f ca="1"/>
        <v>-2.8365620196952389E-3</v>
      </c>
      <c r="H675" s="92" t="s">
        <v>4</v>
      </c>
      <c r="I675" s="97">
        <f>_xll.meDateFromTenor(I674,"1D","FOLLOWING","TGT")</f>
        <v>43461</v>
      </c>
      <c r="J675" s="95">
        <f ca="1"/>
        <v>-1.6869241604279238E-3</v>
      </c>
      <c r="K675" s="5" t="s">
        <v>4</v>
      </c>
      <c r="L675" s="97">
        <f>_xll.meDateFromTenor(L674,"1D","FOLLOWING","TGT")</f>
        <v>43461</v>
      </c>
      <c r="M675" s="95">
        <f ca="1"/>
        <v>-8.1515154429466036E-5</v>
      </c>
      <c r="N675" s="5" t="s">
        <v>4</v>
      </c>
      <c r="O675" s="97">
        <f>_xll.meDateFromTenor(O674,"1D","FOLLOWING","TGT")</f>
        <v>43461</v>
      </c>
      <c r="P675" s="95">
        <f ca="1"/>
        <v>1.9507029231106904E-3</v>
      </c>
      <c r="Q675" s="5" t="s">
        <v>4</v>
      </c>
      <c r="R675" s="83" t="s">
        <v>4</v>
      </c>
    </row>
    <row r="676" spans="1:18" x14ac:dyDescent="0.25">
      <c r="A676" s="88">
        <v>662</v>
      </c>
      <c r="B676" s="82"/>
      <c r="C676" s="97">
        <f>_xll.meDateFromTenor(C675,"1D","FOLLOWING","TGT")</f>
        <v>43462</v>
      </c>
      <c r="D676" s="95">
        <f ca="1"/>
        <v>-3.422640380782882E-3</v>
      </c>
      <c r="E676" s="92"/>
      <c r="F676" s="97">
        <f>_xll.meDateFromTenor(F675,"1D","FOLLOWING","TGT")</f>
        <v>43462</v>
      </c>
      <c r="G676" s="95">
        <f ca="1"/>
        <v>-2.8326787714928509E-3</v>
      </c>
      <c r="H676" s="92" t="s">
        <v>4</v>
      </c>
      <c r="I676" s="97">
        <f>_xll.meDateFromTenor(I675,"1D","FOLLOWING","TGT")</f>
        <v>43462</v>
      </c>
      <c r="J676" s="95">
        <f ca="1"/>
        <v>-1.6823595019229609E-3</v>
      </c>
      <c r="K676" s="5" t="s">
        <v>4</v>
      </c>
      <c r="L676" s="97">
        <f>_xll.meDateFromTenor(L675,"1D","FOLLOWING","TGT")</f>
        <v>43462</v>
      </c>
      <c r="M676" s="95">
        <f ca="1"/>
        <v>-7.6541910224520822E-5</v>
      </c>
      <c r="N676" s="5" t="s">
        <v>4</v>
      </c>
      <c r="O676" s="97">
        <f>_xll.meDateFromTenor(O675,"1D","FOLLOWING","TGT")</f>
        <v>43462</v>
      </c>
      <c r="P676" s="95">
        <f ca="1"/>
        <v>1.9558053167153745E-3</v>
      </c>
      <c r="Q676" s="5" t="s">
        <v>4</v>
      </c>
      <c r="R676" s="83" t="s">
        <v>4</v>
      </c>
    </row>
    <row r="677" spans="1:18" x14ac:dyDescent="0.25">
      <c r="A677" s="88">
        <v>663</v>
      </c>
      <c r="B677" s="82"/>
      <c r="C677" s="97">
        <f>_xll.meDateFromTenor(C676,"1D","FOLLOWING","TGT")</f>
        <v>43465</v>
      </c>
      <c r="D677" s="95">
        <f ca="1"/>
        <v>-3.4146004717052758E-3</v>
      </c>
      <c r="E677" s="92"/>
      <c r="F677" s="97">
        <f>_xll.meDateFromTenor(F676,"1D","FOLLOWING","TGT")</f>
        <v>43465</v>
      </c>
      <c r="G677" s="95">
        <f ca="1"/>
        <v>-2.8211859317846173E-3</v>
      </c>
      <c r="H677" s="92" t="s">
        <v>4</v>
      </c>
      <c r="I677" s="97">
        <f>_xll.meDateFromTenor(I676,"1D","FOLLOWING","TGT")</f>
        <v>43465</v>
      </c>
      <c r="J677" s="95">
        <f ca="1"/>
        <v>-1.668661452483258E-3</v>
      </c>
      <c r="K677" s="5" t="s">
        <v>4</v>
      </c>
      <c r="L677" s="97">
        <f>_xll.meDateFromTenor(L676,"1D","FOLLOWING","TGT")</f>
        <v>43465</v>
      </c>
      <c r="M677" s="95">
        <f ca="1"/>
        <v>-6.1606601542364849E-5</v>
      </c>
      <c r="N677" s="5" t="s">
        <v>4</v>
      </c>
      <c r="O677" s="97">
        <f>_xll.meDateFromTenor(O676,"1D","FOLLOWING","TGT")</f>
        <v>43465</v>
      </c>
      <c r="P677" s="95">
        <f ca="1"/>
        <v>1.9711259409883122E-3</v>
      </c>
      <c r="Q677" s="5" t="s">
        <v>4</v>
      </c>
      <c r="R677" s="83" t="s">
        <v>4</v>
      </c>
    </row>
    <row r="678" spans="1:18" x14ac:dyDescent="0.25">
      <c r="A678" s="88">
        <v>664</v>
      </c>
      <c r="B678" s="82"/>
      <c r="C678" s="97">
        <f>_xll.meDateFromTenor(C677,"1D","FOLLOWING","TGT")</f>
        <v>43467</v>
      </c>
      <c r="D678" s="95">
        <f ca="1"/>
        <v>-3.409337794258116E-3</v>
      </c>
      <c r="E678" s="92"/>
      <c r="F678" s="97">
        <f>_xll.meDateFromTenor(F677,"1D","FOLLOWING","TGT")</f>
        <v>43467</v>
      </c>
      <c r="G678" s="95">
        <f ca="1"/>
        <v>-2.8136744233634436E-3</v>
      </c>
      <c r="H678" s="92" t="s">
        <v>4</v>
      </c>
      <c r="I678" s="97">
        <f>_xll.meDateFromTenor(I677,"1D","FOLLOWING","TGT")</f>
        <v>43467</v>
      </c>
      <c r="J678" s="95">
        <f ca="1"/>
        <v>-1.6595260410294996E-3</v>
      </c>
      <c r="K678" s="5" t="s">
        <v>4</v>
      </c>
      <c r="L678" s="97">
        <f>_xll.meDateFromTenor(L677,"1D","FOLLOWING","TGT")</f>
        <v>43467</v>
      </c>
      <c r="M678" s="95">
        <f ca="1"/>
        <v>-5.1636750562382602E-5</v>
      </c>
      <c r="N678" s="5" t="s">
        <v>4</v>
      </c>
      <c r="O678" s="97">
        <f>_xll.meDateFromTenor(O677,"1D","FOLLOWING","TGT")</f>
        <v>43467</v>
      </c>
      <c r="P678" s="95">
        <f ca="1"/>
        <v>1.9813507799649474E-3</v>
      </c>
      <c r="Q678" s="5" t="s">
        <v>4</v>
      </c>
      <c r="R678" s="83" t="s">
        <v>4</v>
      </c>
    </row>
    <row r="679" spans="1:18" x14ac:dyDescent="0.25">
      <c r="A679" s="88">
        <v>665</v>
      </c>
      <c r="B679" s="82"/>
      <c r="C679" s="97">
        <f>_xll.meDateFromTenor(C678,"1D","FOLLOWING","TGT")</f>
        <v>43468</v>
      </c>
      <c r="D679" s="95">
        <f ca="1"/>
        <v>-3.4067356319019693E-3</v>
      </c>
      <c r="E679" s="92"/>
      <c r="F679" s="97">
        <f>_xll.meDateFromTenor(F678,"1D","FOLLOWING","TGT")</f>
        <v>43468</v>
      </c>
      <c r="G679" s="95">
        <f ca="1"/>
        <v>-2.8099690137974522E-3</v>
      </c>
      <c r="H679" s="92" t="s">
        <v>4</v>
      </c>
      <c r="I679" s="97">
        <f>_xll.meDateFromTenor(I678,"1D","FOLLOWING","TGT")</f>
        <v>43468</v>
      </c>
      <c r="J679" s="95">
        <f ca="1"/>
        <v>-1.6549573266874497E-3</v>
      </c>
      <c r="K679" s="5" t="s">
        <v>4</v>
      </c>
      <c r="L679" s="97">
        <f>_xll.meDateFromTenor(L678,"1D","FOLLOWING","TGT")</f>
        <v>43468</v>
      </c>
      <c r="M679" s="95">
        <f ca="1"/>
        <v>-4.6647931974094194E-5</v>
      </c>
      <c r="N679" s="5" t="s">
        <v>4</v>
      </c>
      <c r="O679" s="97">
        <f>_xll.meDateFromTenor(O678,"1D","FOLLOWING","TGT")</f>
        <v>43468</v>
      </c>
      <c r="P679" s="95">
        <f ca="1"/>
        <v>1.9864664922653497E-3</v>
      </c>
      <c r="Q679" s="5" t="s">
        <v>4</v>
      </c>
      <c r="R679" s="83" t="s">
        <v>4</v>
      </c>
    </row>
    <row r="680" spans="1:18" x14ac:dyDescent="0.25">
      <c r="A680" s="88">
        <v>666</v>
      </c>
      <c r="B680" s="82"/>
      <c r="C680" s="97">
        <f>_xll.meDateFromTenor(C679,"1D","FOLLOWING","TGT")</f>
        <v>43469</v>
      </c>
      <c r="D680" s="95">
        <f ca="1"/>
        <v>-3.4041529198374221E-3</v>
      </c>
      <c r="E680" s="92"/>
      <c r="F680" s="97">
        <f>_xll.meDateFromTenor(F679,"1D","FOLLOWING","TGT")</f>
        <v>43469</v>
      </c>
      <c r="G680" s="95">
        <f ca="1"/>
        <v>-2.8062962649524951E-3</v>
      </c>
      <c r="H680" s="92" t="s">
        <v>4</v>
      </c>
      <c r="I680" s="97">
        <f>_xll.meDateFromTenor(I679,"1D","FOLLOWING","TGT")</f>
        <v>43469</v>
      </c>
      <c r="J680" s="95">
        <f ca="1"/>
        <v>-1.6503879421277388E-3</v>
      </c>
      <c r="K680" s="5" t="s">
        <v>4</v>
      </c>
      <c r="L680" s="97">
        <f>_xll.meDateFromTenor(L679,"1D","FOLLOWING","TGT")</f>
        <v>43469</v>
      </c>
      <c r="M680" s="95">
        <f ca="1"/>
        <v>-4.1656518191059793E-5</v>
      </c>
      <c r="N680" s="5" t="s">
        <v>4</v>
      </c>
      <c r="O680" s="97">
        <f>_xll.meDateFromTenor(O679,"1D","FOLLOWING","TGT")</f>
        <v>43469</v>
      </c>
      <c r="P680" s="95">
        <f ca="1"/>
        <v>1.9915843846510001E-3</v>
      </c>
      <c r="Q680" s="5" t="s">
        <v>4</v>
      </c>
      <c r="R680" s="83" t="s">
        <v>4</v>
      </c>
    </row>
    <row r="681" spans="1:18" x14ac:dyDescent="0.25">
      <c r="A681" s="88">
        <v>667</v>
      </c>
      <c r="B681" s="82"/>
      <c r="C681" s="97">
        <f>_xll.meDateFromTenor(C680,"1D","FOLLOWING","TGT")</f>
        <v>43472</v>
      </c>
      <c r="D681" s="95">
        <f ca="1"/>
        <v>-3.3965214786493281E-3</v>
      </c>
      <c r="E681" s="92"/>
      <c r="F681" s="97">
        <f>_xll.meDateFromTenor(F680,"1D","FOLLOWING","TGT")</f>
        <v>43472</v>
      </c>
      <c r="G681" s="95">
        <f ca="1"/>
        <v>-2.7954540157034071E-3</v>
      </c>
      <c r="H681" s="92" t="s">
        <v>4</v>
      </c>
      <c r="I681" s="97">
        <f>_xll.meDateFromTenor(I680,"1D","FOLLOWING","TGT")</f>
        <v>43472</v>
      </c>
      <c r="J681" s="95">
        <f ca="1"/>
        <v>-1.6366757835860287E-3</v>
      </c>
      <c r="K681" s="5" t="s">
        <v>4</v>
      </c>
      <c r="L681" s="97">
        <f>_xll.meDateFromTenor(L680,"1D","FOLLOWING","TGT")</f>
        <v>43472</v>
      </c>
      <c r="M681" s="95">
        <f ca="1"/>
        <v>-2.6666707204369168E-5</v>
      </c>
      <c r="N681" s="5" t="s">
        <v>4</v>
      </c>
      <c r="O681" s="97">
        <f>_xll.meDateFromTenor(O680,"1D","FOLLOWING","TGT")</f>
        <v>43472</v>
      </c>
      <c r="P681" s="95">
        <f ca="1"/>
        <v>2.0069510288983753E-3</v>
      </c>
      <c r="Q681" s="5" t="s">
        <v>4</v>
      </c>
      <c r="R681" s="83" t="s">
        <v>4</v>
      </c>
    </row>
    <row r="682" spans="1:18" x14ac:dyDescent="0.25">
      <c r="A682" s="88">
        <v>668</v>
      </c>
      <c r="B682" s="82"/>
      <c r="C682" s="97">
        <f>_xll.meDateFromTenor(C681,"1D","FOLLOWING","TGT")</f>
        <v>43473</v>
      </c>
      <c r="D682" s="95">
        <f ca="1"/>
        <v>-3.3940165610418793E-3</v>
      </c>
      <c r="E682" s="92"/>
      <c r="F682" s="97">
        <f>_xll.meDateFromTenor(F681,"1D","FOLLOWING","TGT")</f>
        <v>43473</v>
      </c>
      <c r="G682" s="95">
        <f ca="1"/>
        <v>-2.7918919427021628E-3</v>
      </c>
      <c r="H682" s="92" t="s">
        <v>4</v>
      </c>
      <c r="I682" s="97">
        <f>_xll.meDateFromTenor(I681,"1D","FOLLOWING","TGT")</f>
        <v>43473</v>
      </c>
      <c r="J682" s="95">
        <f ca="1"/>
        <v>-1.632103734599063E-3</v>
      </c>
      <c r="K682" s="5" t="s">
        <v>4</v>
      </c>
      <c r="L682" s="97">
        <f>_xll.meDateFromTenor(L681,"1D","FOLLOWING","TGT")</f>
        <v>43473</v>
      </c>
      <c r="M682" s="95">
        <f ca="1"/>
        <v>-2.166491417324032E-5</v>
      </c>
      <c r="N682" s="5" t="s">
        <v>4</v>
      </c>
      <c r="O682" s="97">
        <f>_xll.meDateFromTenor(O681,"1D","FOLLOWING","TGT")</f>
        <v>43473</v>
      </c>
      <c r="P682" s="95">
        <f ca="1"/>
        <v>2.0120775282039538E-3</v>
      </c>
      <c r="Q682" s="5" t="s">
        <v>4</v>
      </c>
      <c r="R682" s="83" t="s">
        <v>4</v>
      </c>
    </row>
    <row r="683" spans="1:18" x14ac:dyDescent="0.25">
      <c r="A683" s="88">
        <v>669</v>
      </c>
      <c r="B683" s="82"/>
      <c r="C683" s="97">
        <f>_xll.meDateFromTenor(C682,"1D","FOLLOWING","TGT")</f>
        <v>43474</v>
      </c>
      <c r="D683" s="95">
        <f ca="1"/>
        <v>-3.3915310906048601E-3</v>
      </c>
      <c r="E683" s="92"/>
      <c r="F683" s="97">
        <f>_xll.meDateFromTenor(F682,"1D","FOLLOWING","TGT")</f>
        <v>43474</v>
      </c>
      <c r="G683" s="95">
        <f ca="1"/>
        <v>-2.7883525469017392E-3</v>
      </c>
      <c r="H683" s="92" t="s">
        <v>4</v>
      </c>
      <c r="I683" s="97">
        <f>_xll.meDateFromTenor(I682,"1D","FOLLOWING","TGT")</f>
        <v>43474</v>
      </c>
      <c r="J683" s="95">
        <f ca="1"/>
        <v>-1.627531023616131E-3</v>
      </c>
      <c r="K683" s="5" t="s">
        <v>4</v>
      </c>
      <c r="L683" s="97">
        <f>_xll.meDateFromTenor(L682,"1D","FOLLOWING","TGT")</f>
        <v>43474</v>
      </c>
      <c r="M683" s="95">
        <f ca="1"/>
        <v>-1.6660526712809123E-5</v>
      </c>
      <c r="N683" s="5" t="s">
        <v>4</v>
      </c>
      <c r="O683" s="97">
        <f>_xll.meDateFromTenor(O682,"1D","FOLLOWING","TGT")</f>
        <v>43474</v>
      </c>
      <c r="P683" s="95">
        <f ca="1"/>
        <v>2.0172061508842501E-3</v>
      </c>
      <c r="Q683" s="5" t="s">
        <v>4</v>
      </c>
      <c r="R683" s="83" t="s">
        <v>4</v>
      </c>
    </row>
    <row r="684" spans="1:18" x14ac:dyDescent="0.25">
      <c r="A684" s="88">
        <v>670</v>
      </c>
      <c r="B684" s="82"/>
      <c r="C684" s="97">
        <f>_xll.meDateFromTenor(C683,"1D","FOLLOWING","TGT")</f>
        <v>43475</v>
      </c>
      <c r="D684" s="95">
        <f ca="1"/>
        <v>-3.3890650663283006E-3</v>
      </c>
      <c r="E684" s="92"/>
      <c r="F684" s="97">
        <f>_xll.meDateFromTenor(F683,"1D","FOLLOWING","TGT")</f>
        <v>43475</v>
      </c>
      <c r="G684" s="95">
        <f ca="1"/>
        <v>-2.7848338315980942E-3</v>
      </c>
      <c r="H684" s="92" t="s">
        <v>4</v>
      </c>
      <c r="I684" s="97">
        <f>_xll.meDateFromTenor(I683,"1D","FOLLOWING","TGT")</f>
        <v>43475</v>
      </c>
      <c r="J684" s="95">
        <f ca="1"/>
        <v>-1.6229576522815714E-3</v>
      </c>
      <c r="K684" s="5" t="s">
        <v>4</v>
      </c>
      <c r="L684" s="97">
        <f>_xll.meDateFromTenor(L683,"1D","FOLLOWING","TGT")</f>
        <v>43475</v>
      </c>
      <c r="M684" s="95">
        <f ca="1"/>
        <v>-1.1653544976165268E-5</v>
      </c>
      <c r="N684" s="5" t="s">
        <v>4</v>
      </c>
      <c r="O684" s="97">
        <f>_xll.meDateFromTenor(O683,"1D","FOLLOWING","TGT")</f>
        <v>43475</v>
      </c>
      <c r="P684" s="95">
        <f ca="1"/>
        <v>2.0223368855971568E-3</v>
      </c>
      <c r="Q684" s="5" t="s">
        <v>4</v>
      </c>
      <c r="R684" s="83" t="s">
        <v>4</v>
      </c>
    </row>
    <row r="685" spans="1:18" x14ac:dyDescent="0.25">
      <c r="A685" s="88">
        <v>671</v>
      </c>
      <c r="B685" s="82"/>
      <c r="C685" s="97">
        <f>_xll.meDateFromTenor(C684,"1D","FOLLOWING","TGT")</f>
        <v>43476</v>
      </c>
      <c r="D685" s="95">
        <f ca="1"/>
        <v>-3.3866184878381667E-3</v>
      </c>
      <c r="E685" s="92"/>
      <c r="F685" s="97">
        <f>_xll.meDateFromTenor(F684,"1D","FOLLOWING","TGT")</f>
        <v>43476</v>
      </c>
      <c r="G685" s="95">
        <f ca="1"/>
        <v>-2.7813338000871853E-3</v>
      </c>
      <c r="H685" s="92" t="s">
        <v>4</v>
      </c>
      <c r="I685" s="97">
        <f>_xll.meDateFromTenor(I684,"1D","FOLLOWING","TGT")</f>
        <v>43476</v>
      </c>
      <c r="J685" s="95">
        <f ca="1"/>
        <v>-1.6183836222397243E-3</v>
      </c>
      <c r="K685" s="5" t="s">
        <v>4</v>
      </c>
      <c r="L685" s="97">
        <f>_xll.meDateFromTenor(L684,"1D","FOLLOWING","TGT")</f>
        <v>43476</v>
      </c>
      <c r="M685" s="95">
        <f ca="1"/>
        <v>-6.6439691163984456E-6</v>
      </c>
      <c r="N685" s="5" t="s">
        <v>4</v>
      </c>
      <c r="O685" s="97">
        <f>_xll.meDateFromTenor(O684,"1D","FOLLOWING","TGT")</f>
        <v>43476</v>
      </c>
      <c r="P685" s="95">
        <f ca="1"/>
        <v>2.027469721000567E-3</v>
      </c>
      <c r="Q685" s="5" t="s">
        <v>4</v>
      </c>
      <c r="R685" s="83" t="s">
        <v>4</v>
      </c>
    </row>
    <row r="686" spans="1:18" x14ac:dyDescent="0.25">
      <c r="A686" s="88">
        <v>672</v>
      </c>
      <c r="B686" s="82"/>
      <c r="C686" s="97">
        <f>_xll.meDateFromTenor(C685,"1D","FOLLOWING","TGT")</f>
        <v>43479</v>
      </c>
      <c r="D686" s="95">
        <f ca="1"/>
        <v>-3.3793954203044096E-3</v>
      </c>
      <c r="E686" s="92"/>
      <c r="F686" s="97">
        <f>_xll.meDateFromTenor(F685,"1D","FOLLOWING","TGT")</f>
        <v>43479</v>
      </c>
      <c r="G686" s="95">
        <f ca="1"/>
        <v>-2.7709258412704453E-3</v>
      </c>
      <c r="H686" s="92" t="s">
        <v>4</v>
      </c>
      <c r="I686" s="97">
        <f>_xll.meDateFromTenor(I685,"1D","FOLLOWING","TGT")</f>
        <v>43479</v>
      </c>
      <c r="J686" s="95">
        <f ca="1"/>
        <v>-1.6046575963138418E-3</v>
      </c>
      <c r="K686" s="5" t="s">
        <v>4</v>
      </c>
      <c r="L686" s="97">
        <f>_xll.meDateFromTenor(L685,"1D","FOLLOWING","TGT")</f>
        <v>43479</v>
      </c>
      <c r="M686" s="95">
        <f ca="1"/>
        <v>8.4003216707580004E-6</v>
      </c>
      <c r="N686" s="5" t="s">
        <v>4</v>
      </c>
      <c r="O686" s="97">
        <f>_xll.meDateFromTenor(O685,"1D","FOLLOWING","TGT")</f>
        <v>43479</v>
      </c>
      <c r="P686" s="95">
        <f ca="1"/>
        <v>2.042880717932764E-3</v>
      </c>
      <c r="Q686" s="5" t="s">
        <v>4</v>
      </c>
      <c r="R686" s="83" t="s">
        <v>4</v>
      </c>
    </row>
    <row r="687" spans="1:18" x14ac:dyDescent="0.25">
      <c r="A687" s="88">
        <v>673</v>
      </c>
      <c r="B687" s="82"/>
      <c r="C687" s="97">
        <f>_xll.meDateFromTenor(C686,"1D","FOLLOWING","TGT")</f>
        <v>43480</v>
      </c>
      <c r="D687" s="95">
        <f ca="1"/>
        <v>-3.3770266182914233E-3</v>
      </c>
      <c r="E687" s="92"/>
      <c r="F687" s="97">
        <f>_xll.meDateFromTenor(F686,"1D","FOLLOWING","TGT")</f>
        <v>43480</v>
      </c>
      <c r="G687" s="95">
        <f ca="1"/>
        <v>-2.7674805778900523E-3</v>
      </c>
      <c r="H687" s="92" t="s">
        <v>4</v>
      </c>
      <c r="I687" s="97">
        <f>_xll.meDateFromTenor(I686,"1D","FOLLOWING","TGT")</f>
        <v>43480</v>
      </c>
      <c r="J687" s="95">
        <f ca="1"/>
        <v>-1.6000809478862311E-3</v>
      </c>
      <c r="K687" s="5" t="s">
        <v>4</v>
      </c>
      <c r="L687" s="97">
        <f>_xll.meDateFromTenor(L686,"1D","FOLLOWING","TGT")</f>
        <v>43480</v>
      </c>
      <c r="M687" s="95">
        <f ca="1"/>
        <v>1.3420272492131702E-5</v>
      </c>
      <c r="N687" s="5" t="s">
        <v>4</v>
      </c>
      <c r="O687" s="97">
        <f>_xll.meDateFromTenor(O686,"1D","FOLLOWING","TGT")</f>
        <v>43480</v>
      </c>
      <c r="P687" s="95">
        <f ca="1"/>
        <v>2.04802184267713E-3</v>
      </c>
      <c r="Q687" s="5" t="s">
        <v>4</v>
      </c>
      <c r="R687" s="83" t="s">
        <v>4</v>
      </c>
    </row>
    <row r="688" spans="1:18" x14ac:dyDescent="0.25">
      <c r="A688" s="88">
        <v>674</v>
      </c>
      <c r="B688" s="82"/>
      <c r="C688" s="97">
        <f>_xll.meDateFromTenor(C687,"1D","FOLLOWING","TGT")</f>
        <v>43481</v>
      </c>
      <c r="D688" s="95">
        <f ca="1"/>
        <v>-3.3746772589039464E-3</v>
      </c>
      <c r="E688" s="92"/>
      <c r="F688" s="97">
        <f>_xll.meDateFromTenor(F687,"1D","FOLLOWING","TGT")</f>
        <v>43481</v>
      </c>
      <c r="G688" s="95">
        <f ca="1"/>
        <v>-2.7640440147821805E-3</v>
      </c>
      <c r="H688" s="92" t="s">
        <v>4</v>
      </c>
      <c r="I688" s="97">
        <f>_xll.meDateFromTenor(I687,"1D","FOLLOWING","TGT")</f>
        <v>43481</v>
      </c>
      <c r="J688" s="95">
        <f ca="1"/>
        <v>-1.5955036489730271E-3</v>
      </c>
      <c r="K688" s="5" t="s">
        <v>4</v>
      </c>
      <c r="L688" s="97">
        <f>_xll.meDateFromTenor(L687,"1D","FOLLOWING","TGT")</f>
        <v>43481</v>
      </c>
      <c r="M688" s="95">
        <f ca="1"/>
        <v>1.8442816671184641E-5</v>
      </c>
      <c r="N688" s="5" t="s">
        <v>4</v>
      </c>
      <c r="O688" s="97">
        <f>_xll.meDateFromTenor(O687,"1D","FOLLOWING","TGT")</f>
        <v>43481</v>
      </c>
      <c r="P688" s="95">
        <f ca="1"/>
        <v>2.0531650114014696E-3</v>
      </c>
      <c r="Q688" s="5" t="s">
        <v>4</v>
      </c>
      <c r="R688" s="83" t="s">
        <v>4</v>
      </c>
    </row>
    <row r="689" spans="1:18" x14ac:dyDescent="0.25">
      <c r="A689" s="88">
        <v>675</v>
      </c>
      <c r="B689" s="82"/>
      <c r="C689" s="97">
        <f>_xll.meDateFromTenor(C688,"1D","FOLLOWING","TGT")</f>
        <v>43482</v>
      </c>
      <c r="D689" s="95">
        <f ca="1"/>
        <v>-3.3723473413630467E-3</v>
      </c>
      <c r="E689" s="92"/>
      <c r="F689" s="97">
        <f>_xll.meDateFromTenor(F688,"1D","FOLLOWING","TGT")</f>
        <v>43482</v>
      </c>
      <c r="G689" s="95">
        <f ca="1"/>
        <v>-2.7606141552427893E-3</v>
      </c>
      <c r="H689" s="92" t="s">
        <v>4</v>
      </c>
      <c r="I689" s="97">
        <f>_xll.meDateFromTenor(I688,"1D","FOLLOWING","TGT")</f>
        <v>43482</v>
      </c>
      <c r="J689" s="95">
        <f ca="1"/>
        <v>-1.5909257012185702E-3</v>
      </c>
      <c r="K689" s="5" t="s">
        <v>4</v>
      </c>
      <c r="L689" s="97">
        <f>_xll.meDateFromTenor(L688,"1D","FOLLOWING","TGT")</f>
        <v>43482</v>
      </c>
      <c r="M689" s="95">
        <f ca="1"/>
        <v>2.3467954054827135E-5</v>
      </c>
      <c r="N689" s="5" t="s">
        <v>4</v>
      </c>
      <c r="O689" s="97">
        <f>_xll.meDateFromTenor(O688,"1D","FOLLOWING","TGT")</f>
        <v>43482</v>
      </c>
      <c r="P689" s="95">
        <f ca="1"/>
        <v>2.0583102127636746E-3</v>
      </c>
      <c r="Q689" s="5" t="s">
        <v>4</v>
      </c>
      <c r="R689" s="83" t="s">
        <v>4</v>
      </c>
    </row>
    <row r="690" spans="1:18" x14ac:dyDescent="0.25">
      <c r="A690" s="88">
        <v>676</v>
      </c>
      <c r="B690" s="82"/>
      <c r="C690" s="97">
        <f>_xll.meDateFromTenor(C689,"1D","FOLLOWING","TGT")</f>
        <v>43483</v>
      </c>
      <c r="D690" s="95">
        <f ca="1"/>
        <v>-3.3700368650477763E-3</v>
      </c>
      <c r="E690" s="92"/>
      <c r="F690" s="97">
        <f>_xll.meDateFromTenor(F689,"1D","FOLLOWING","TGT")</f>
        <v>43483</v>
      </c>
      <c r="G690" s="95">
        <f ca="1"/>
        <v>-2.7571890025678341E-3</v>
      </c>
      <c r="H690" s="92" t="s">
        <v>4</v>
      </c>
      <c r="I690" s="97">
        <f>_xll.meDateFromTenor(I689,"1D","FOLLOWING","TGT")</f>
        <v>43483</v>
      </c>
      <c r="J690" s="95">
        <f ca="1"/>
        <v>-1.586347106267197E-3</v>
      </c>
      <c r="K690" s="5" t="s">
        <v>4</v>
      </c>
      <c r="L690" s="97">
        <f>_xll.meDateFromTenor(L689,"1D","FOLLOWING","TGT")</f>
        <v>43483</v>
      </c>
      <c r="M690" s="95">
        <f ca="1"/>
        <v>2.849568448997195E-5</v>
      </c>
      <c r="N690" s="5" t="s">
        <v>4</v>
      </c>
      <c r="O690" s="97">
        <f>_xll.meDateFromTenor(O689,"1D","FOLLOWING","TGT")</f>
        <v>43483</v>
      </c>
      <c r="P690" s="95">
        <f ca="1"/>
        <v>2.0634574354216413E-3</v>
      </c>
      <c r="Q690" s="5" t="s">
        <v>4</v>
      </c>
      <c r="R690" s="83" t="s">
        <v>4</v>
      </c>
    </row>
    <row r="691" spans="1:18" x14ac:dyDescent="0.25">
      <c r="A691" s="88">
        <v>677</v>
      </c>
      <c r="B691" s="82"/>
      <c r="C691" s="97">
        <f>_xll.meDateFromTenor(C690,"1D","FOLLOWING","TGT")</f>
        <v>43486</v>
      </c>
      <c r="D691" s="95">
        <f ca="1"/>
        <v>-3.3632220773498478E-3</v>
      </c>
      <c r="E691" s="92"/>
      <c r="F691" s="97">
        <f>_xll.meDateFromTenor(F690,"1D","FOLLOWING","TGT")</f>
        <v>43486</v>
      </c>
      <c r="G691" s="95">
        <f ca="1"/>
        <v>-2.7469218186891632E-3</v>
      </c>
      <c r="H691" s="92" t="s">
        <v>4</v>
      </c>
      <c r="I691" s="97">
        <f>_xll.meDateFromTenor(I690,"1D","FOLLOWING","TGT")</f>
        <v>43486</v>
      </c>
      <c r="J691" s="95">
        <f ca="1"/>
        <v>-1.5726074546749777E-3</v>
      </c>
      <c r="K691" s="5" t="s">
        <v>4</v>
      </c>
      <c r="L691" s="97">
        <f>_xll.meDateFromTenor(L690,"1D","FOLLOWING","TGT")</f>
        <v>43486</v>
      </c>
      <c r="M691" s="95">
        <f ca="1"/>
        <v>4.359443257352537E-5</v>
      </c>
      <c r="N691" s="5" t="s">
        <v>4</v>
      </c>
      <c r="O691" s="97">
        <f>_xll.meDateFromTenor(O690,"1D","FOLLOWING","TGT")</f>
        <v>43486</v>
      </c>
      <c r="P691" s="95">
        <f ca="1"/>
        <v>2.0789111177490441E-3</v>
      </c>
      <c r="Q691" s="5" t="s">
        <v>4</v>
      </c>
      <c r="R691" s="83" t="s">
        <v>4</v>
      </c>
    </row>
    <row r="692" spans="1:18" x14ac:dyDescent="0.25">
      <c r="A692" s="88">
        <v>678</v>
      </c>
      <c r="B692" s="82"/>
      <c r="C692" s="97">
        <f>_xll.meDateFromTenor(C691,"1D","FOLLOWING","TGT")</f>
        <v>43487</v>
      </c>
      <c r="D692" s="95">
        <f ca="1"/>
        <v>-3.3609893596263651E-3</v>
      </c>
      <c r="E692" s="92"/>
      <c r="F692" s="97">
        <f>_xll.meDateFromTenor(F691,"1D","FOLLOWING","TGT")</f>
        <v>43487</v>
      </c>
      <c r="G692" s="95">
        <f ca="1"/>
        <v>-2.743495526431528E-3</v>
      </c>
      <c r="H692" s="92" t="s">
        <v>4</v>
      </c>
      <c r="I692" s="97">
        <f>_xll.meDateFromTenor(I691,"1D","FOLLOWING","TGT")</f>
        <v>43487</v>
      </c>
      <c r="J692" s="95">
        <f ca="1"/>
        <v>-1.5680262873793338E-3</v>
      </c>
      <c r="K692" s="5" t="s">
        <v>4</v>
      </c>
      <c r="L692" s="97">
        <f>_xll.meDateFromTenor(L691,"1D","FOLLOWING","TGT")</f>
        <v>43487</v>
      </c>
      <c r="M692" s="95">
        <f ca="1"/>
        <v>4.8632533683787061E-5</v>
      </c>
      <c r="N692" s="5" t="s">
        <v>4</v>
      </c>
      <c r="O692" s="97">
        <f>_xll.meDateFromTenor(O691,"1D","FOLLOWING","TGT")</f>
        <v>43487</v>
      </c>
      <c r="P692" s="95">
        <f ca="1"/>
        <v>2.0840663121689919E-3</v>
      </c>
      <c r="Q692" s="5" t="s">
        <v>4</v>
      </c>
      <c r="R692" s="83" t="s">
        <v>4</v>
      </c>
    </row>
    <row r="693" spans="1:18" x14ac:dyDescent="0.25">
      <c r="A693" s="88">
        <v>679</v>
      </c>
      <c r="B693" s="82"/>
      <c r="C693" s="97">
        <f>_xll.meDateFromTenor(C692,"1D","FOLLOWING","TGT")</f>
        <v>43488</v>
      </c>
      <c r="D693" s="95">
        <f ca="1"/>
        <v>-3.3587760802058497E-3</v>
      </c>
      <c r="E693" s="92"/>
      <c r="F693" s="97">
        <f>_xll.meDateFromTenor(F692,"1D","FOLLOWING","TGT")</f>
        <v>43488</v>
      </c>
      <c r="G693" s="95">
        <f ca="1"/>
        <v>-2.7400639575181156E-3</v>
      </c>
      <c r="H693" s="92" t="s">
        <v>4</v>
      </c>
      <c r="I693" s="97">
        <f>_xll.meDateFromTenor(I692,"1D","FOLLOWING","TGT")</f>
        <v>43488</v>
      </c>
      <c r="J693" s="95">
        <f ca="1"/>
        <v>-1.5634444811084703E-3</v>
      </c>
      <c r="K693" s="5" t="s">
        <v>4</v>
      </c>
      <c r="L693" s="97">
        <f>_xll.meDateFromTenor(L692,"1D","FOLLOWING","TGT")</f>
        <v>43488</v>
      </c>
      <c r="M693" s="95">
        <f ca="1"/>
        <v>5.3673227080105742E-5</v>
      </c>
      <c r="N693" s="5" t="s">
        <v>4</v>
      </c>
      <c r="O693" s="97">
        <f>_xll.meDateFromTenor(O692,"1D","FOLLOWING","TGT")</f>
        <v>43488</v>
      </c>
      <c r="P693" s="95">
        <f ca="1"/>
        <v>2.089223471174169E-3</v>
      </c>
      <c r="Q693" s="5" t="s">
        <v>4</v>
      </c>
      <c r="R693" s="83" t="s">
        <v>4</v>
      </c>
    </row>
    <row r="694" spans="1:18" x14ac:dyDescent="0.25">
      <c r="A694" s="88">
        <v>680</v>
      </c>
      <c r="B694" s="82"/>
      <c r="C694" s="97">
        <f>_xll.meDateFromTenor(C693,"1D","FOLLOWING","TGT")</f>
        <v>43489</v>
      </c>
      <c r="D694" s="95">
        <f ca="1"/>
        <v>-3.3565822379044707E-3</v>
      </c>
      <c r="E694" s="92"/>
      <c r="F694" s="97">
        <f>_xll.meDateFromTenor(F693,"1D","FOLLOWING","TGT")</f>
        <v>43489</v>
      </c>
      <c r="G694" s="95">
        <f ca="1"/>
        <v>-2.7366251152448839E-3</v>
      </c>
      <c r="H694" s="92" t="s">
        <v>4</v>
      </c>
      <c r="I694" s="97">
        <f>_xll.meDateFromTenor(I693,"1D","FOLLOWING","TGT")</f>
        <v>43489</v>
      </c>
      <c r="J694" s="95">
        <f ca="1"/>
        <v>-1.5588620375067256E-3</v>
      </c>
      <c r="K694" s="5" t="s">
        <v>4</v>
      </c>
      <c r="L694" s="97">
        <f>_xll.meDateFromTenor(L693,"1D","FOLLOWING","TGT")</f>
        <v>43489</v>
      </c>
      <c r="M694" s="95">
        <f ca="1"/>
        <v>5.8716512609392527E-5</v>
      </c>
      <c r="N694" s="5" t="s">
        <v>4</v>
      </c>
      <c r="O694" s="97">
        <f>_xll.meDateFromTenor(O693,"1D","FOLLOWING","TGT")</f>
        <v>43489</v>
      </c>
      <c r="P694" s="95">
        <f ca="1"/>
        <v>2.0943825834224697E-3</v>
      </c>
      <c r="Q694" s="5" t="s">
        <v>4</v>
      </c>
      <c r="R694" s="83" t="s">
        <v>4</v>
      </c>
    </row>
    <row r="695" spans="1:18" x14ac:dyDescent="0.25">
      <c r="A695" s="88">
        <v>681</v>
      </c>
      <c r="B695" s="82"/>
      <c r="C695" s="97">
        <f>_xll.meDateFromTenor(C694,"1D","FOLLOWING","TGT")</f>
        <v>43490</v>
      </c>
      <c r="D695" s="95">
        <f ca="1"/>
        <v>-3.3544078326894766E-3</v>
      </c>
      <c r="E695" s="92"/>
      <c r="F695" s="97">
        <f>_xll.meDateFromTenor(F694,"1D","FOLLOWING","TGT")</f>
        <v>43490</v>
      </c>
      <c r="G695" s="95">
        <f ca="1"/>
        <v>-2.7331770029077897E-3</v>
      </c>
      <c r="H695" s="92" t="s">
        <v>4</v>
      </c>
      <c r="I695" s="97">
        <f>_xll.meDateFromTenor(I694,"1D","FOLLOWING","TGT")</f>
        <v>43490</v>
      </c>
      <c r="J695" s="95">
        <f ca="1"/>
        <v>-1.5542789582184387E-3</v>
      </c>
      <c r="K695" s="5" t="s">
        <v>4</v>
      </c>
      <c r="L695" s="97">
        <f>_xll.meDateFromTenor(L694,"1D","FOLLOWING","TGT")</f>
        <v>43490</v>
      </c>
      <c r="M695" s="95">
        <f ca="1"/>
        <v>6.3762390118558474E-5</v>
      </c>
      <c r="N695" s="5" t="s">
        <v>4</v>
      </c>
      <c r="O695" s="97">
        <f>_xll.meDateFromTenor(O694,"1D","FOLLOWING","TGT")</f>
        <v>43490</v>
      </c>
      <c r="P695" s="95">
        <f ca="1"/>
        <v>2.0995436375717881E-3</v>
      </c>
      <c r="Q695" s="5" t="s">
        <v>4</v>
      </c>
      <c r="R695" s="83" t="s">
        <v>4</v>
      </c>
    </row>
    <row r="696" spans="1:18" x14ac:dyDescent="0.25">
      <c r="A696" s="88">
        <v>682</v>
      </c>
      <c r="B696" s="82"/>
      <c r="C696" s="97">
        <f>_xll.meDateFromTenor(C695,"1D","FOLLOWING","TGT")</f>
        <v>43493</v>
      </c>
      <c r="D696" s="95">
        <f ca="1"/>
        <v>-3.3480012309097251E-3</v>
      </c>
      <c r="E696" s="92"/>
      <c r="F696" s="97">
        <f>_xll.meDateFromTenor(F695,"1D","FOLLOWING","TGT")</f>
        <v>43493</v>
      </c>
      <c r="G696" s="95">
        <f ca="1"/>
        <v>-2.7227570784729067E-3</v>
      </c>
      <c r="H696" s="92" t="s">
        <v>4</v>
      </c>
      <c r="I696" s="97">
        <f>_xll.meDateFromTenor(I695,"1D","FOLLOWING","TGT")</f>
        <v>43493</v>
      </c>
      <c r="J696" s="95">
        <f ca="1"/>
        <v>-1.5405259226777164E-3</v>
      </c>
      <c r="K696" s="5" t="s">
        <v>4</v>
      </c>
      <c r="L696" s="97">
        <f>_xll.meDateFromTenor(L695,"1D","FOLLOWING","TGT")</f>
        <v>43493</v>
      </c>
      <c r="M696" s="95">
        <f ca="1"/>
        <v>7.8915572994441648E-5</v>
      </c>
      <c r="N696" s="5" t="s">
        <v>4</v>
      </c>
      <c r="O696" s="97">
        <f>_xll.meDateFromTenor(O695,"1D","FOLLOWING","TGT")</f>
        <v>43493</v>
      </c>
      <c r="P696" s="95">
        <f ca="1"/>
        <v>2.1150383380047818E-3</v>
      </c>
      <c r="Q696" s="5" t="s">
        <v>4</v>
      </c>
      <c r="R696" s="83" t="s">
        <v>4</v>
      </c>
    </row>
    <row r="697" spans="1:18" x14ac:dyDescent="0.25">
      <c r="A697" s="88">
        <v>683</v>
      </c>
      <c r="B697" s="82"/>
      <c r="C697" s="97">
        <f>_xll.meDateFromTenor(C696,"1D","FOLLOWING","TGT")</f>
        <v>43494</v>
      </c>
      <c r="D697" s="95">
        <f ca="1"/>
        <v>-3.3459045665359399E-3</v>
      </c>
      <c r="E697" s="92"/>
      <c r="F697" s="97">
        <f>_xll.meDateFromTenor(F696,"1D","FOLLOWING","TGT")</f>
        <v>43494</v>
      </c>
      <c r="G697" s="95">
        <f ca="1"/>
        <v>-2.7192519188399371E-3</v>
      </c>
      <c r="H697" s="92" t="s">
        <v>4</v>
      </c>
      <c r="I697" s="97">
        <f>_xll.meDateFromTenor(I696,"1D","FOLLOWING","TGT")</f>
        <v>43494</v>
      </c>
      <c r="J697" s="95">
        <f ca="1"/>
        <v>-1.5359403170866518E-3</v>
      </c>
      <c r="K697" s="5" t="s">
        <v>4</v>
      </c>
      <c r="L697" s="97">
        <f>_xll.meDateFromTenor(L696,"1D","FOLLOWING","TGT")</f>
        <v>43494</v>
      </c>
      <c r="M697" s="95">
        <f ca="1"/>
        <v>8.3971816892234561E-5</v>
      </c>
      <c r="N697" s="5" t="s">
        <v>4</v>
      </c>
      <c r="O697" s="97">
        <f>_xll.meDateFromTenor(O696,"1D","FOLLOWING","TGT")</f>
        <v>43494</v>
      </c>
      <c r="P697" s="95">
        <f ca="1"/>
        <v>2.120207046337105E-3</v>
      </c>
      <c r="Q697" s="5" t="s">
        <v>4</v>
      </c>
      <c r="R697" s="83" t="s">
        <v>4</v>
      </c>
    </row>
    <row r="698" spans="1:18" x14ac:dyDescent="0.25">
      <c r="A698" s="88">
        <v>684</v>
      </c>
      <c r="B698" s="82"/>
      <c r="C698" s="97">
        <f>_xll.meDateFromTenor(C697,"1D","FOLLOWING","TGT")</f>
        <v>43495</v>
      </c>
      <c r="D698" s="95">
        <f ca="1"/>
        <v>-3.3438273355300696E-3</v>
      </c>
      <c r="E698" s="92"/>
      <c r="F698" s="97">
        <f>_xll.meDateFromTenor(F697,"1D","FOLLOWING","TGT")</f>
        <v>43495</v>
      </c>
      <c r="G698" s="95">
        <f ca="1"/>
        <v>-2.7157275056228906E-3</v>
      </c>
      <c r="H698" s="92" t="s">
        <v>4</v>
      </c>
      <c r="I698" s="97">
        <f>_xll.meDateFromTenor(I697,"1D","FOLLOWING","TGT")</f>
        <v>43495</v>
      </c>
      <c r="J698" s="95">
        <f ca="1"/>
        <v>-1.5313540840307396E-3</v>
      </c>
      <c r="K698" s="5" t="s">
        <v>4</v>
      </c>
      <c r="L698" s="97">
        <f>_xll.meDateFromTenor(L697,"1D","FOLLOWING","TGT")</f>
        <v>43495</v>
      </c>
      <c r="M698" s="95">
        <f ca="1"/>
        <v>8.9030652004462986E-5</v>
      </c>
      <c r="N698" s="5" t="s">
        <v>4</v>
      </c>
      <c r="O698" s="97">
        <f>_xll.meDateFromTenor(O697,"1D","FOLLOWING","TGT")</f>
        <v>43495</v>
      </c>
      <c r="P698" s="95">
        <f ca="1"/>
        <v>2.1253776398599154E-3</v>
      </c>
      <c r="Q698" s="5" t="s">
        <v>4</v>
      </c>
      <c r="R698" s="83" t="s">
        <v>4</v>
      </c>
    </row>
    <row r="699" spans="1:18" x14ac:dyDescent="0.25">
      <c r="A699" s="88">
        <v>685</v>
      </c>
      <c r="B699" s="82"/>
      <c r="C699" s="97">
        <f>_xll.meDateFromTenor(C698,"1D","FOLLOWING","TGT")</f>
        <v>43496</v>
      </c>
      <c r="D699" s="95">
        <f ca="1"/>
        <v>-3.3417695375750345E-3</v>
      </c>
      <c r="E699" s="92"/>
      <c r="F699" s="97">
        <f>_xll.meDateFromTenor(F698,"1D","FOLLOWING","TGT")</f>
        <v>43496</v>
      </c>
      <c r="G699" s="95">
        <f ca="1"/>
        <v>-2.7121818421177251E-3</v>
      </c>
      <c r="H699" s="92" t="s">
        <v>4</v>
      </c>
      <c r="I699" s="97">
        <f>_xll.meDateFromTenor(I698,"1D","FOLLOWING","TGT")</f>
        <v>43496</v>
      </c>
      <c r="J699" s="95">
        <f ca="1"/>
        <v>-1.5267672251543195E-3</v>
      </c>
      <c r="K699" s="5" t="s">
        <v>4</v>
      </c>
      <c r="L699" s="97">
        <f>_xll.meDateFromTenor(L698,"1D","FOLLOWING","TGT")</f>
        <v>43496</v>
      </c>
      <c r="M699" s="95">
        <f ca="1"/>
        <v>9.4092078178037184E-5</v>
      </c>
      <c r="N699" s="5" t="s">
        <v>4</v>
      </c>
      <c r="O699" s="97">
        <f>_xll.meDateFromTenor(O698,"1D","FOLLOWING","TGT")</f>
        <v>43496</v>
      </c>
      <c r="P699" s="95">
        <f ca="1"/>
        <v>2.1305501072311057E-3</v>
      </c>
      <c r="Q699" s="5" t="s">
        <v>4</v>
      </c>
      <c r="R699" s="83" t="s">
        <v>4</v>
      </c>
    </row>
    <row r="700" spans="1:18" x14ac:dyDescent="0.25">
      <c r="A700" s="88">
        <v>686</v>
      </c>
      <c r="B700" s="82"/>
      <c r="C700" s="97">
        <f>_xll.meDateFromTenor(C699,"1D","FOLLOWING","TGT")</f>
        <v>43497</v>
      </c>
      <c r="D700" s="95">
        <f ca="1"/>
        <v>-3.3397311718748046E-3</v>
      </c>
      <c r="E700" s="92"/>
      <c r="F700" s="97">
        <f>_xll.meDateFromTenor(F699,"1D","FOLLOWING","TGT")</f>
        <v>43497</v>
      </c>
      <c r="G700" s="95">
        <f ca="1"/>
        <v>-2.7086129316203984E-3</v>
      </c>
      <c r="H700" s="92" t="s">
        <v>4</v>
      </c>
      <c r="I700" s="97">
        <f>_xll.meDateFromTenor(I699,"1D","FOLLOWING","TGT")</f>
        <v>43497</v>
      </c>
      <c r="J700" s="95">
        <f ca="1"/>
        <v>-1.5221797421017301E-3</v>
      </c>
      <c r="K700" s="5" t="s">
        <v>4</v>
      </c>
      <c r="L700" s="97">
        <f>_xll.meDateFromTenor(L699,"1D","FOLLOWING","TGT")</f>
        <v>43497</v>
      </c>
      <c r="M700" s="95">
        <f ca="1"/>
        <v>9.9156095259868309E-5</v>
      </c>
      <c r="N700" s="5" t="s">
        <v>4</v>
      </c>
      <c r="O700" s="97">
        <f>_xll.meDateFromTenor(O699,"1D","FOLLOWING","TGT")</f>
        <v>43497</v>
      </c>
      <c r="P700" s="95">
        <f ca="1"/>
        <v>2.1357244371085693E-3</v>
      </c>
      <c r="Q700" s="5" t="s">
        <v>4</v>
      </c>
      <c r="R700" s="83" t="s">
        <v>4</v>
      </c>
    </row>
    <row r="701" spans="1:18" x14ac:dyDescent="0.25">
      <c r="A701" s="88">
        <v>687</v>
      </c>
      <c r="B701" s="82"/>
      <c r="C701" s="97">
        <f>_xll.meDateFromTenor(C700,"1D","FOLLOWING","TGT")</f>
        <v>43500</v>
      </c>
      <c r="D701" s="95">
        <f ca="1"/>
        <v>-3.333732662793798E-3</v>
      </c>
      <c r="E701" s="92"/>
      <c r="F701" s="97">
        <f>_xll.meDateFromTenor(F700,"1D","FOLLOWING","TGT")</f>
        <v>43500</v>
      </c>
      <c r="G701" s="95">
        <f ca="1"/>
        <v>-2.6977467511350244E-3</v>
      </c>
      <c r="H701" s="92" t="s">
        <v>4</v>
      </c>
      <c r="I701" s="97">
        <f>_xll.meDateFromTenor(I700,"1D","FOLLOWING","TGT")</f>
        <v>43500</v>
      </c>
      <c r="J701" s="95">
        <f ca="1"/>
        <v>-1.5084135643303395E-3</v>
      </c>
      <c r="K701" s="5" t="s">
        <v>4</v>
      </c>
      <c r="L701" s="97">
        <f>_xll.meDateFromTenor(L700,"1D","FOLLOWING","TGT")</f>
        <v>43500</v>
      </c>
      <c r="M701" s="95">
        <f ca="1"/>
        <v>1.1436369042401317E-4</v>
      </c>
      <c r="N701" s="5" t="s">
        <v>4</v>
      </c>
      <c r="O701" s="97">
        <f>_xll.meDateFromTenor(O700,"1D","FOLLOWING","TGT")</f>
        <v>43500</v>
      </c>
      <c r="P701" s="95">
        <f ca="1"/>
        <v>2.1512584883575389E-3</v>
      </c>
      <c r="Q701" s="5" t="s">
        <v>4</v>
      </c>
      <c r="R701" s="83" t="s">
        <v>4</v>
      </c>
    </row>
    <row r="702" spans="1:18" x14ac:dyDescent="0.25">
      <c r="A702" s="88">
        <v>688</v>
      </c>
      <c r="B702" s="82"/>
      <c r="C702" s="97">
        <f>_xll.meDateFromTenor(C701,"1D","FOLLOWING","TGT")</f>
        <v>43501</v>
      </c>
      <c r="D702" s="95">
        <f ca="1"/>
        <v>-3.3317720200403134E-3</v>
      </c>
      <c r="E702" s="92"/>
      <c r="F702" s="97">
        <f>_xll.meDateFromTenor(F701,"1D","FOLLOWING","TGT")</f>
        <v>43501</v>
      </c>
      <c r="G702" s="95">
        <f ca="1"/>
        <v>-2.6940654582951655E-3</v>
      </c>
      <c r="H702" s="92" t="s">
        <v>4</v>
      </c>
      <c r="I702" s="97">
        <f>_xll.meDateFromTenor(I701,"1D","FOLLOWING","TGT")</f>
        <v>43501</v>
      </c>
      <c r="J702" s="95">
        <f ca="1"/>
        <v>-1.5038236010164643E-3</v>
      </c>
      <c r="K702" s="5" t="s">
        <v>4</v>
      </c>
      <c r="L702" s="97">
        <f>_xll.meDateFromTenor(L701,"1D","FOLLOWING","TGT")</f>
        <v>43501</v>
      </c>
      <c r="M702" s="95">
        <f ca="1"/>
        <v>1.1943806960798287E-4</v>
      </c>
      <c r="N702" s="5" t="s">
        <v>4</v>
      </c>
      <c r="O702" s="97">
        <f>_xll.meDateFromTenor(O701,"1D","FOLLOWING","TGT")</f>
        <v>43501</v>
      </c>
      <c r="P702" s="95">
        <f ca="1"/>
        <v>2.1564401548390347E-3</v>
      </c>
      <c r="Q702" s="5" t="s">
        <v>4</v>
      </c>
      <c r="R702" s="83" t="s">
        <v>4</v>
      </c>
    </row>
    <row r="703" spans="1:18" x14ac:dyDescent="0.25">
      <c r="A703" s="88">
        <v>689</v>
      </c>
      <c r="B703" s="82"/>
      <c r="C703" s="97">
        <f>_xll.meDateFromTenor(C702,"1D","FOLLOWING","TGT")</f>
        <v>43502</v>
      </c>
      <c r="D703" s="95">
        <f ca="1"/>
        <v>-3.329830806460099E-3</v>
      </c>
      <c r="E703" s="92"/>
      <c r="F703" s="97">
        <f>_xll.meDateFromTenor(F702,"1D","FOLLOWING","TGT")</f>
        <v>43502</v>
      </c>
      <c r="G703" s="95">
        <f ca="1"/>
        <v>-2.6903543709421774E-3</v>
      </c>
      <c r="H703" s="92" t="s">
        <v>4</v>
      </c>
      <c r="I703" s="97">
        <f>_xll.meDateFromTenor(I702,"1D","FOLLOWING","TGT")</f>
        <v>43502</v>
      </c>
      <c r="J703" s="95">
        <f ca="1"/>
        <v>-1.499233021748115E-3</v>
      </c>
      <c r="K703" s="5" t="s">
        <v>4</v>
      </c>
      <c r="L703" s="97">
        <f>_xll.meDateFromTenor(L702,"1D","FOLLOWING","TGT")</f>
        <v>43502</v>
      </c>
      <c r="M703" s="95">
        <f ca="1"/>
        <v>1.2451503893476501E-4</v>
      </c>
      <c r="N703" s="5" t="s">
        <v>4</v>
      </c>
      <c r="O703" s="97">
        <f>_xll.meDateFromTenor(O702,"1D","FOLLOWING","TGT")</f>
        <v>43502</v>
      </c>
      <c r="P703" s="95">
        <f ca="1"/>
        <v>2.1616236271162735E-3</v>
      </c>
      <c r="Q703" s="5" t="s">
        <v>4</v>
      </c>
      <c r="R703" s="83" t="s">
        <v>4</v>
      </c>
    </row>
    <row r="704" spans="1:18" x14ac:dyDescent="0.25">
      <c r="A704" s="88">
        <v>690</v>
      </c>
      <c r="B704" s="82"/>
      <c r="C704" s="97">
        <f>_xll.meDateFromTenor(C703,"1D","FOLLOWING","TGT")</f>
        <v>43503</v>
      </c>
      <c r="D704" s="95">
        <f ca="1"/>
        <v>-3.3279090215286855E-3</v>
      </c>
      <c r="E704" s="92"/>
      <c r="F704" s="97">
        <f>_xll.meDateFromTenor(F703,"1D","FOLLOWING","TGT")</f>
        <v>43503</v>
      </c>
      <c r="G704" s="95">
        <f ca="1"/>
        <v>-2.6866149283712609E-3</v>
      </c>
      <c r="H704" s="92" t="s">
        <v>4</v>
      </c>
      <c r="I704" s="97">
        <f>_xll.meDateFromTenor(I703,"1D","FOLLOWING","TGT")</f>
        <v>43503</v>
      </c>
      <c r="J704" s="95">
        <f ca="1"/>
        <v>-1.4946418281696317E-3</v>
      </c>
      <c r="K704" s="5" t="s">
        <v>4</v>
      </c>
      <c r="L704" s="97">
        <f>_xll.meDateFromTenor(L703,"1D","FOLLOWING","TGT")</f>
        <v>43503</v>
      </c>
      <c r="M704" s="95">
        <f ca="1"/>
        <v>1.2959459825126983E-4</v>
      </c>
      <c r="N704" s="5" t="s">
        <v>4</v>
      </c>
      <c r="O704" s="97">
        <f>_xll.meDateFromTenor(O703,"1D","FOLLOWING","TGT")</f>
        <v>43503</v>
      </c>
      <c r="P704" s="95">
        <f ca="1"/>
        <v>2.166808893847147E-3</v>
      </c>
      <c r="Q704" s="5" t="s">
        <v>4</v>
      </c>
      <c r="R704" s="83" t="s">
        <v>4</v>
      </c>
    </row>
    <row r="705" spans="1:18" x14ac:dyDescent="0.25">
      <c r="A705" s="88">
        <v>691</v>
      </c>
      <c r="B705" s="82"/>
      <c r="C705" s="97">
        <f>_xll.meDateFromTenor(C704,"1D","FOLLOWING","TGT")</f>
        <v>43504</v>
      </c>
      <c r="D705" s="95">
        <f ca="1"/>
        <v>-3.3260066644821284E-3</v>
      </c>
      <c r="E705" s="92"/>
      <c r="F705" s="97">
        <f>_xll.meDateFromTenor(F704,"1D","FOLLOWING","TGT")</f>
        <v>43504</v>
      </c>
      <c r="G705" s="95">
        <f ca="1"/>
        <v>-2.6828485698776176E-3</v>
      </c>
      <c r="H705" s="92" t="s">
        <v>4</v>
      </c>
      <c r="I705" s="97">
        <f>_xll.meDateFromTenor(I704,"1D","FOLLOWING","TGT")</f>
        <v>43504</v>
      </c>
      <c r="J705" s="95">
        <f ca="1"/>
        <v>-1.4900500219253517E-3</v>
      </c>
      <c r="K705" s="5" t="s">
        <v>4</v>
      </c>
      <c r="L705" s="97">
        <f>_xll.meDateFromTenor(L704,"1D","FOLLOWING","TGT")</f>
        <v>43504</v>
      </c>
      <c r="M705" s="95">
        <f ca="1"/>
        <v>1.3467674740441009E-4</v>
      </c>
      <c r="N705" s="5" t="s">
        <v>4</v>
      </c>
      <c r="O705" s="97">
        <f>_xll.meDateFromTenor(O704,"1D","FOLLOWING","TGT")</f>
        <v>43504</v>
      </c>
      <c r="P705" s="95">
        <f ca="1"/>
        <v>2.1719959436895518E-3</v>
      </c>
      <c r="Q705" s="5" t="s">
        <v>4</v>
      </c>
      <c r="R705" s="83" t="s">
        <v>4</v>
      </c>
    </row>
    <row r="706" spans="1:18" x14ac:dyDescent="0.25">
      <c r="A706" s="88">
        <v>692</v>
      </c>
      <c r="B706" s="82"/>
      <c r="C706" s="97">
        <f>_xll.meDateFromTenor(C705,"1D","FOLLOWING","TGT")</f>
        <v>43507</v>
      </c>
      <c r="D706" s="95">
        <f ca="1"/>
        <v>-3.3204161539862609E-3</v>
      </c>
      <c r="E706" s="92"/>
      <c r="F706" s="97">
        <f>_xll.meDateFromTenor(F705,"1D","FOLLOWING","TGT")</f>
        <v>43507</v>
      </c>
      <c r="G706" s="95">
        <f ca="1"/>
        <v>-2.6714023918123515E-3</v>
      </c>
      <c r="H706" s="92" t="s">
        <v>4</v>
      </c>
      <c r="I706" s="97">
        <f>_xll.meDateFromTenor(I705,"1D","FOLLOWING","TGT")</f>
        <v>43507</v>
      </c>
      <c r="J706" s="95">
        <f ca="1"/>
        <v>-1.4762709436411264E-3</v>
      </c>
      <c r="K706" s="5" t="s">
        <v>4</v>
      </c>
      <c r="L706" s="97">
        <f>_xll.meDateFromTenor(L705,"1D","FOLLOWING","TGT")</f>
        <v>43507</v>
      </c>
      <c r="M706" s="95">
        <f ca="1"/>
        <v>1.4993873235274948E-4</v>
      </c>
      <c r="N706" s="5" t="s">
        <v>4</v>
      </c>
      <c r="O706" s="97">
        <f>_xll.meDateFromTenor(O705,"1D","FOLLOWING","TGT")</f>
        <v>43507</v>
      </c>
      <c r="P706" s="95">
        <f ca="1"/>
        <v>2.1875676784648829E-3</v>
      </c>
      <c r="Q706" s="5" t="s">
        <v>4</v>
      </c>
      <c r="R706" s="83" t="s">
        <v>4</v>
      </c>
    </row>
    <row r="707" spans="1:18" x14ac:dyDescent="0.25">
      <c r="A707" s="88">
        <v>693</v>
      </c>
      <c r="B707" s="82"/>
      <c r="C707" s="97">
        <f>_xll.meDateFromTenor(C706,"1D","FOLLOWING","TGT")</f>
        <v>43508</v>
      </c>
      <c r="D707" s="95">
        <f ca="1"/>
        <v>-3.3185915017687195E-3</v>
      </c>
      <c r="E707" s="92"/>
      <c r="F707" s="97">
        <f>_xll.meDateFromTenor(F706,"1D","FOLLOWING","TGT")</f>
        <v>43508</v>
      </c>
      <c r="G707" s="95">
        <f ca="1"/>
        <v>-2.6675427625798241E-3</v>
      </c>
      <c r="H707" s="92" t="s">
        <v>4</v>
      </c>
      <c r="I707" s="97">
        <f>_xll.meDateFromTenor(I706,"1D","FOLLOWING","TGT")</f>
        <v>43508</v>
      </c>
      <c r="J707" s="95">
        <f ca="1"/>
        <v>-1.4716767031770527E-3</v>
      </c>
      <c r="K707" s="5" t="s">
        <v>4</v>
      </c>
      <c r="L707" s="97">
        <f>_xll.meDateFromTenor(L706,"1D","FOLLOWING","TGT")</f>
        <v>43508</v>
      </c>
      <c r="M707" s="95">
        <f ca="1"/>
        <v>1.550312393215392E-4</v>
      </c>
      <c r="N707" s="5" t="s">
        <v>4</v>
      </c>
      <c r="O707" s="97">
        <f>_xll.meDateFromTenor(O706,"1D","FOLLOWING","TGT")</f>
        <v>43508</v>
      </c>
      <c r="P707" s="95">
        <f ca="1"/>
        <v>2.1927617473323454E-3</v>
      </c>
      <c r="Q707" s="5" t="s">
        <v>4</v>
      </c>
      <c r="R707" s="83" t="s">
        <v>4</v>
      </c>
    </row>
    <row r="708" spans="1:18" x14ac:dyDescent="0.25">
      <c r="A708" s="88">
        <v>694</v>
      </c>
      <c r="B708" s="82"/>
      <c r="C708" s="97">
        <f>_xll.meDateFromTenor(C707,"1D","FOLLOWING","TGT")</f>
        <v>43509</v>
      </c>
      <c r="D708" s="95">
        <f ca="1"/>
        <v>-3.3167862746330545E-3</v>
      </c>
      <c r="E708" s="92"/>
      <c r="F708" s="97">
        <f>_xll.meDateFromTenor(F707,"1D","FOLLOWING","TGT")</f>
        <v>43509</v>
      </c>
      <c r="G708" s="95">
        <f ca="1"/>
        <v>-2.6636634139005811E-3</v>
      </c>
      <c r="H708" s="92" t="s">
        <v>4</v>
      </c>
      <c r="I708" s="97">
        <f>_xll.meDateFromTenor(I707,"1D","FOLLOWING","TGT")</f>
        <v>43509</v>
      </c>
      <c r="J708" s="95">
        <f ca="1"/>
        <v>-1.4670818582688788E-3</v>
      </c>
      <c r="K708" s="5" t="s">
        <v>4</v>
      </c>
      <c r="L708" s="97">
        <f>_xll.meDateFromTenor(L707,"1D","FOLLOWING","TGT")</f>
        <v>43509</v>
      </c>
      <c r="M708" s="95">
        <f ca="1"/>
        <v>1.601263353615182E-4</v>
      </c>
      <c r="N708" s="5" t="s">
        <v>4</v>
      </c>
      <c r="O708" s="97">
        <f>_xll.meDateFromTenor(O707,"1D","FOLLOWING","TGT")</f>
        <v>43509</v>
      </c>
      <c r="P708" s="95">
        <f ca="1"/>
        <v>2.1979575426008058E-3</v>
      </c>
      <c r="Q708" s="5" t="s">
        <v>4</v>
      </c>
      <c r="R708" s="83" t="s">
        <v>4</v>
      </c>
    </row>
    <row r="709" spans="1:18" x14ac:dyDescent="0.25">
      <c r="A709" s="88">
        <v>695</v>
      </c>
      <c r="B709" s="82"/>
      <c r="C709" s="97">
        <f>_xll.meDateFromTenor(C708,"1D","FOLLOWING","TGT")</f>
        <v>43510</v>
      </c>
      <c r="D709" s="95">
        <f ca="1"/>
        <v>-3.315000471330154E-3</v>
      </c>
      <c r="E709" s="92"/>
      <c r="F709" s="97">
        <f>_xll.meDateFromTenor(F708,"1D","FOLLOWING","TGT")</f>
        <v>43510</v>
      </c>
      <c r="G709" s="95">
        <f ca="1"/>
        <v>-2.6597657850698231E-3</v>
      </c>
      <c r="H709" s="92" t="s">
        <v>4</v>
      </c>
      <c r="I709" s="97">
        <f>_xll.meDateFromTenor(I708,"1D","FOLLOWING","TGT")</f>
        <v>43510</v>
      </c>
      <c r="J709" s="95">
        <f ca="1"/>
        <v>-1.4624864105609425E-3</v>
      </c>
      <c r="K709" s="5" t="s">
        <v>4</v>
      </c>
      <c r="L709" s="97">
        <f>_xll.meDateFromTenor(L708,"1D","FOLLOWING","TGT")</f>
        <v>43510</v>
      </c>
      <c r="M709" s="95">
        <f ca="1"/>
        <v>1.6522402031959928E-4</v>
      </c>
      <c r="N709" s="5" t="s">
        <v>4</v>
      </c>
      <c r="O709" s="97">
        <f>_xll.meDateFromTenor(O708,"1D","FOLLOWING","TGT")</f>
        <v>43510</v>
      </c>
      <c r="P709" s="95">
        <f ca="1"/>
        <v>2.2031550529281593E-3</v>
      </c>
      <c r="Q709" s="5" t="s">
        <v>4</v>
      </c>
      <c r="R709" s="83" t="s">
        <v>4</v>
      </c>
    </row>
    <row r="710" spans="1:18" x14ac:dyDescent="0.25">
      <c r="A710" s="88">
        <v>696</v>
      </c>
      <c r="B710" s="82"/>
      <c r="C710" s="97">
        <f>_xll.meDateFromTenor(C709,"1D","FOLLOWING","TGT")</f>
        <v>43511</v>
      </c>
      <c r="D710" s="95">
        <f ca="1"/>
        <v>-3.3132340914860947E-3</v>
      </c>
      <c r="E710" s="92"/>
      <c r="F710" s="97">
        <f>_xll.meDateFromTenor(F709,"1D","FOLLOWING","TGT")</f>
        <v>43511</v>
      </c>
      <c r="G710" s="95">
        <f ca="1"/>
        <v>-2.6558513153827532E-3</v>
      </c>
      <c r="H710" s="92" t="s">
        <v>4</v>
      </c>
      <c r="I710" s="97">
        <f>_xll.meDateFromTenor(I709,"1D","FOLLOWING","TGT")</f>
        <v>43511</v>
      </c>
      <c r="J710" s="95">
        <f ca="1"/>
        <v>-1.4578903616975832E-3</v>
      </c>
      <c r="K710" s="5" t="s">
        <v>4</v>
      </c>
      <c r="L710" s="97">
        <f>_xll.meDateFromTenor(L709,"1D","FOLLOWING","TGT")</f>
        <v>43511</v>
      </c>
      <c r="M710" s="95">
        <f ca="1"/>
        <v>1.7032429404269258E-4</v>
      </c>
      <c r="N710" s="5" t="s">
        <v>4</v>
      </c>
      <c r="O710" s="97">
        <f>_xll.meDateFromTenor(O709,"1D","FOLLOWING","TGT")</f>
        <v>43511</v>
      </c>
      <c r="P710" s="95">
        <f ca="1"/>
        <v>2.2083542669722998E-3</v>
      </c>
      <c r="Q710" s="5" t="s">
        <v>4</v>
      </c>
      <c r="R710" s="83" t="s">
        <v>4</v>
      </c>
    </row>
    <row r="711" spans="1:18" x14ac:dyDescent="0.25">
      <c r="A711" s="88">
        <v>697</v>
      </c>
      <c r="B711" s="82"/>
      <c r="C711" s="97">
        <f>_xll.meDateFromTenor(C710,"1D","FOLLOWING","TGT")</f>
        <v>43514</v>
      </c>
      <c r="D711" s="95">
        <f ca="1"/>
        <v>-3.3080514859232801E-3</v>
      </c>
      <c r="E711" s="92"/>
      <c r="F711" s="97">
        <f>_xll.meDateFromTenor(F710,"1D","FOLLOWING","TGT")</f>
        <v>43514</v>
      </c>
      <c r="G711" s="95">
        <f ca="1"/>
        <v>-2.6440212541356924E-3</v>
      </c>
      <c r="H711" s="92" t="s">
        <v>4</v>
      </c>
      <c r="I711" s="97">
        <f>_xll.meDateFromTenor(I710,"1D","FOLLOWING","TGT")</f>
        <v>43514</v>
      </c>
      <c r="J711" s="95">
        <f ca="1"/>
        <v>-1.4440986246183592E-3</v>
      </c>
      <c r="K711" s="5" t="s">
        <v>4</v>
      </c>
      <c r="L711" s="97">
        <f>_xll.meDateFromTenor(L710,"1D","FOLLOWING","TGT")</f>
        <v>43514</v>
      </c>
      <c r="M711" s="95">
        <f ca="1"/>
        <v>1.8564064627115686E-4</v>
      </c>
      <c r="N711" s="5" t="s">
        <v>4</v>
      </c>
      <c r="O711" s="97">
        <f>_xll.meDateFromTenor(O710,"1D","FOLLOWING","TGT")</f>
        <v>43514</v>
      </c>
      <c r="P711" s="95">
        <f ca="1"/>
        <v>2.2239620179843765E-3</v>
      </c>
      <c r="Q711" s="5" t="s">
        <v>4</v>
      </c>
      <c r="R711" s="83" t="s">
        <v>4</v>
      </c>
    </row>
    <row r="712" spans="1:18" x14ac:dyDescent="0.25">
      <c r="A712" s="88">
        <v>698</v>
      </c>
      <c r="B712" s="82"/>
      <c r="C712" s="97">
        <f>_xll.meDateFromTenor(C711,"1D","FOLLOWING","TGT")</f>
        <v>43515</v>
      </c>
      <c r="D712" s="95">
        <f ca="1"/>
        <v>-3.3063627932845563E-3</v>
      </c>
      <c r="E712" s="92"/>
      <c r="F712" s="97">
        <f>_xll.meDateFromTenor(F711,"1D","FOLLOWING","TGT")</f>
        <v>43515</v>
      </c>
      <c r="G712" s="95">
        <f ca="1"/>
        <v>-2.6400538139753947E-3</v>
      </c>
      <c r="H712" s="92" t="s">
        <v>4</v>
      </c>
      <c r="I712" s="97">
        <f>_xll.meDateFromTenor(I711,"1D","FOLLOWING","TGT")</f>
        <v>43515</v>
      </c>
      <c r="J712" s="95">
        <f ca="1"/>
        <v>-1.4395001875766986E-3</v>
      </c>
      <c r="K712" s="5" t="s">
        <v>4</v>
      </c>
      <c r="L712" s="97">
        <f>_xll.meDateFromTenor(L711,"1D","FOLLOWING","TGT")</f>
        <v>43515</v>
      </c>
      <c r="M712" s="95">
        <f ca="1"/>
        <v>1.9075127352341054E-4</v>
      </c>
      <c r="N712" s="5" t="s">
        <v>4</v>
      </c>
      <c r="O712" s="97">
        <f>_xll.meDateFromTenor(O711,"1D","FOLLOWING","TGT")</f>
        <v>43515</v>
      </c>
      <c r="P712" s="95">
        <f ca="1"/>
        <v>2.2291679334746003E-3</v>
      </c>
      <c r="Q712" s="5" t="s">
        <v>4</v>
      </c>
      <c r="R712" s="83" t="s">
        <v>4</v>
      </c>
    </row>
    <row r="713" spans="1:18" x14ac:dyDescent="0.25">
      <c r="A713" s="88">
        <v>699</v>
      </c>
      <c r="B713" s="82"/>
      <c r="C713" s="97">
        <f>_xll.meDateFromTenor(C712,"1D","FOLLOWING","TGT")</f>
        <v>43516</v>
      </c>
      <c r="D713" s="95">
        <f ca="1"/>
        <v>-3.3046935209433137E-3</v>
      </c>
      <c r="E713" s="92"/>
      <c r="F713" s="97">
        <f>_xll.meDateFromTenor(F712,"1D","FOLLOWING","TGT")</f>
        <v>43516</v>
      </c>
      <c r="G713" s="95">
        <f ca="1"/>
        <v>-2.6360767294347945E-3</v>
      </c>
      <c r="H713" s="92" t="s">
        <v>4</v>
      </c>
      <c r="I713" s="97">
        <f>_xll.meDateFromTenor(I712,"1D","FOLLOWING","TGT")</f>
        <v>43516</v>
      </c>
      <c r="J713" s="95">
        <f ca="1"/>
        <v>-1.4349011576013102E-3</v>
      </c>
      <c r="K713" s="5" t="s">
        <v>4</v>
      </c>
      <c r="L713" s="97">
        <f>_xll.meDateFromTenor(L712,"1D","FOLLOWING","TGT")</f>
        <v>43516</v>
      </c>
      <c r="M713" s="95">
        <f ca="1"/>
        <v>1.9586448877523203E-4</v>
      </c>
      <c r="N713" s="5" t="s">
        <v>4</v>
      </c>
      <c r="O713" s="97">
        <f>_xll.meDateFromTenor(O712,"1D","FOLLOWING","TGT")</f>
        <v>43516</v>
      </c>
      <c r="P713" s="95">
        <f ca="1"/>
        <v>2.2343754959710791E-3</v>
      </c>
      <c r="Q713" s="5" t="s">
        <v>4</v>
      </c>
      <c r="R713" s="83" t="s">
        <v>4</v>
      </c>
    </row>
    <row r="714" spans="1:18" x14ac:dyDescent="0.25">
      <c r="A714" s="88">
        <v>700</v>
      </c>
      <c r="B714" s="82"/>
      <c r="C714" s="97">
        <f>_xll.meDateFromTenor(C713,"1D","FOLLOWING","TGT")</f>
        <v>43517</v>
      </c>
      <c r="D714" s="95">
        <f ca="1"/>
        <v>-3.3030436680010489E-3</v>
      </c>
      <c r="E714" s="92"/>
      <c r="F714" s="97">
        <f>_xll.meDateFromTenor(F713,"1D","FOLLOWING","TGT")</f>
        <v>43517</v>
      </c>
      <c r="G714" s="95">
        <f ca="1"/>
        <v>-2.6320914398090963E-3</v>
      </c>
      <c r="H714" s="92" t="s">
        <v>4</v>
      </c>
      <c r="I714" s="97">
        <f>_xll.meDateFromTenor(I713,"1D","FOLLOWING","TGT")</f>
        <v>43517</v>
      </c>
      <c r="J714" s="95">
        <f ca="1"/>
        <v>-1.4303015363365337E-3</v>
      </c>
      <c r="K714" s="5" t="s">
        <v>4</v>
      </c>
      <c r="L714" s="97">
        <f>_xll.meDateFromTenor(L713,"1D","FOLLOWING","TGT")</f>
        <v>43517</v>
      </c>
      <c r="M714" s="95">
        <f ca="1"/>
        <v>2.009802918735316E-4</v>
      </c>
      <c r="N714" s="5" t="s">
        <v>4</v>
      </c>
      <c r="O714" s="97">
        <f>_xll.meDateFromTenor(O713,"1D","FOLLOWING","TGT")</f>
        <v>43517</v>
      </c>
      <c r="P714" s="95">
        <f ca="1"/>
        <v>2.2395846941317063E-3</v>
      </c>
      <c r="Q714" s="5" t="s">
        <v>4</v>
      </c>
      <c r="R714" s="83" t="s">
        <v>4</v>
      </c>
    </row>
    <row r="715" spans="1:18" x14ac:dyDescent="0.25">
      <c r="A715" s="88">
        <v>701</v>
      </c>
      <c r="B715" s="82"/>
      <c r="C715" s="97">
        <f>_xll.meDateFromTenor(C714,"1D","FOLLOWING","TGT")</f>
        <v>43518</v>
      </c>
      <c r="D715" s="95">
        <f ca="1"/>
        <v>-3.3014132341554481E-3</v>
      </c>
      <c r="E715" s="92"/>
      <c r="F715" s="97">
        <f>_xll.meDateFromTenor(F714,"1D","FOLLOWING","TGT")</f>
        <v>43518</v>
      </c>
      <c r="G715" s="95">
        <f ca="1"/>
        <v>-2.628099384393498E-3</v>
      </c>
      <c r="H715" s="92" t="s">
        <v>4</v>
      </c>
      <c r="I715" s="97">
        <f>_xll.meDateFromTenor(I714,"1D","FOLLOWING","TGT")</f>
        <v>43518</v>
      </c>
      <c r="J715" s="95">
        <f ca="1"/>
        <v>-1.4257013254267063E-3</v>
      </c>
      <c r="K715" s="5" t="s">
        <v>4</v>
      </c>
      <c r="L715" s="97">
        <f>_xll.meDateFromTenor(L714,"1D","FOLLOWING","TGT")</f>
        <v>43518</v>
      </c>
      <c r="M715" s="95">
        <f ca="1"/>
        <v>2.0609868266522214E-4</v>
      </c>
      <c r="N715" s="5" t="s">
        <v>4</v>
      </c>
      <c r="O715" s="97">
        <f>_xll.meDateFromTenor(O714,"1D","FOLLOWING","TGT")</f>
        <v>43518</v>
      </c>
      <c r="P715" s="95">
        <f ca="1"/>
        <v>2.244795516614378E-3</v>
      </c>
      <c r="Q715" s="5" t="s">
        <v>4</v>
      </c>
      <c r="R715" s="83" t="s">
        <v>4</v>
      </c>
    </row>
    <row r="716" spans="1:18" x14ac:dyDescent="0.25">
      <c r="A716" s="88">
        <v>702</v>
      </c>
      <c r="B716" s="82"/>
      <c r="C716" s="97">
        <f>_xll.meDateFromTenor(C715,"1D","FOLLOWING","TGT")</f>
        <v>43521</v>
      </c>
      <c r="D716" s="95">
        <f ca="1"/>
        <v>-3.2966384398179782E-3</v>
      </c>
      <c r="E716" s="92"/>
      <c r="F716" s="97">
        <f>_xll.meDateFromTenor(F715,"1D","FOLLOWING","TGT")</f>
        <v>43521</v>
      </c>
      <c r="G716" s="95">
        <f ca="1"/>
        <v>-2.6160970163593388E-3</v>
      </c>
      <c r="H716" s="92" t="s">
        <v>4</v>
      </c>
      <c r="I716" s="97">
        <f>_xll.meDateFromTenor(I715,"1D","FOLLOWING","TGT")</f>
        <v>43521</v>
      </c>
      <c r="J716" s="95">
        <f ca="1"/>
        <v>-1.4118971712703177E-3</v>
      </c>
      <c r="K716" s="5" t="s">
        <v>4</v>
      </c>
      <c r="L716" s="97">
        <f>_xll.meDateFromTenor(L715,"1D","FOLLOWING","TGT")</f>
        <v>43521</v>
      </c>
      <c r="M716" s="95">
        <f ca="1"/>
        <v>2.2146937966974396E-4</v>
      </c>
      <c r="N716" s="5" t="s">
        <v>4</v>
      </c>
      <c r="O716" s="97">
        <f>_xll.meDateFromTenor(O715,"1D","FOLLOWING","TGT")</f>
        <v>43521</v>
      </c>
      <c r="P716" s="95">
        <f ca="1"/>
        <v>2.2604376165735848E-3</v>
      </c>
      <c r="Q716" s="5" t="s">
        <v>4</v>
      </c>
      <c r="R716" s="83" t="s">
        <v>4</v>
      </c>
    </row>
    <row r="717" spans="1:18" x14ac:dyDescent="0.25">
      <c r="A717" s="88">
        <v>703</v>
      </c>
      <c r="B717" s="82"/>
      <c r="C717" s="97">
        <f>_xll.meDateFromTenor(C716,"1D","FOLLOWING","TGT")</f>
        <v>43522</v>
      </c>
      <c r="D717" s="95">
        <f ca="1"/>
        <v>-3.2950856751319257E-3</v>
      </c>
      <c r="E717" s="92"/>
      <c r="F717" s="97">
        <f>_xll.meDateFromTenor(F716,"1D","FOLLOWING","TGT")</f>
        <v>43522</v>
      </c>
      <c r="G717" s="95">
        <f ca="1"/>
        <v>-2.6120922907361694E-3</v>
      </c>
      <c r="H717" s="92" t="s">
        <v>4</v>
      </c>
      <c r="I717" s="97">
        <f>_xll.meDateFromTenor(I716,"1D","FOLLOWING","TGT")</f>
        <v>43522</v>
      </c>
      <c r="J717" s="95">
        <f ca="1"/>
        <v>-1.4072946182236816E-3</v>
      </c>
      <c r="K717" s="5" t="s">
        <v>4</v>
      </c>
      <c r="L717" s="97">
        <f>_xll.meDateFromTenor(L716,"1D","FOLLOWING","TGT")</f>
        <v>43522</v>
      </c>
      <c r="M717" s="95">
        <f ca="1"/>
        <v>2.2659811970410562E-4</v>
      </c>
      <c r="N717" s="5" t="s">
        <v>4</v>
      </c>
      <c r="O717" s="97">
        <f>_xll.meDateFromTenor(O716,"1D","FOLLOWING","TGT")</f>
        <v>43522</v>
      </c>
      <c r="P717" s="95">
        <f ca="1"/>
        <v>2.2656548229233651E-3</v>
      </c>
      <c r="Q717" s="5" t="s">
        <v>4</v>
      </c>
      <c r="R717" s="83" t="s">
        <v>4</v>
      </c>
    </row>
    <row r="718" spans="1:18" x14ac:dyDescent="0.25">
      <c r="A718" s="88">
        <v>704</v>
      </c>
      <c r="B718" s="82"/>
      <c r="C718" s="97">
        <f>_xll.meDateFromTenor(C717,"1D","FOLLOWING","TGT")</f>
        <v>43523</v>
      </c>
      <c r="D718" s="95">
        <f ca="1"/>
        <v>-3.2935523263812883E-3</v>
      </c>
      <c r="E718" s="92"/>
      <c r="F718" s="97">
        <f>_xll.meDateFromTenor(F717,"1D","FOLLOWING","TGT")</f>
        <v>43523</v>
      </c>
      <c r="G718" s="95">
        <f ca="1"/>
        <v>-2.6080879957991131E-3</v>
      </c>
      <c r="H718" s="92" t="s">
        <v>4</v>
      </c>
      <c r="I718" s="97">
        <f>_xll.meDateFromTenor(I717,"1D","FOLLOWING","TGT")</f>
        <v>43523</v>
      </c>
      <c r="J718" s="95">
        <f ca="1"/>
        <v>-1.4026914837536909E-3</v>
      </c>
      <c r="K718" s="5" t="s">
        <v>4</v>
      </c>
      <c r="L718" s="97">
        <f>_xll.meDateFromTenor(L717,"1D","FOLLOWING","TGT")</f>
        <v>43523</v>
      </c>
      <c r="M718" s="95">
        <f ca="1"/>
        <v>2.3172944666641283E-4</v>
      </c>
      <c r="N718" s="5" t="s">
        <v>4</v>
      </c>
      <c r="O718" s="97">
        <f>_xll.meDateFromTenor(O717,"1D","FOLLOWING","TGT")</f>
        <v>43523</v>
      </c>
      <c r="P718" s="95">
        <f ca="1"/>
        <v>2.2708735968846568E-3</v>
      </c>
      <c r="Q718" s="5" t="s">
        <v>4</v>
      </c>
      <c r="R718" s="83" t="s">
        <v>4</v>
      </c>
    </row>
    <row r="719" spans="1:18" x14ac:dyDescent="0.25">
      <c r="A719" s="88">
        <v>705</v>
      </c>
      <c r="B719" s="82"/>
      <c r="C719" s="97">
        <f>_xll.meDateFromTenor(C718,"1D","FOLLOWING","TGT")</f>
        <v>43524</v>
      </c>
      <c r="D719" s="95">
        <f ca="1"/>
        <v>-3.2920383925798546E-3</v>
      </c>
      <c r="E719" s="92"/>
      <c r="F719" s="97">
        <f>_xll.meDateFromTenor(F718,"1D","FOLLOWING","TGT")</f>
        <v>43524</v>
      </c>
      <c r="G719" s="95">
        <f ca="1"/>
        <v>-2.6040855708433707E-3</v>
      </c>
      <c r="H719" s="92" t="s">
        <v>4</v>
      </c>
      <c r="I719" s="97">
        <f>_xll.meDateFromTenor(I718,"1D","FOLLOWING","TGT")</f>
        <v>43524</v>
      </c>
      <c r="J719" s="95">
        <f ca="1"/>
        <v>-1.3980877695046843E-3</v>
      </c>
      <c r="K719" s="5" t="s">
        <v>4</v>
      </c>
      <c r="L719" s="97">
        <f>_xll.meDateFromTenor(L718,"1D","FOLLOWING","TGT")</f>
        <v>43524</v>
      </c>
      <c r="M719" s="95">
        <f ca="1"/>
        <v>2.3686336040357666E-4</v>
      </c>
      <c r="N719" s="5" t="s">
        <v>4</v>
      </c>
      <c r="O719" s="97">
        <f>_xll.meDateFromTenor(O718,"1D","FOLLOWING","TGT")</f>
        <v>43524</v>
      </c>
      <c r="P719" s="95">
        <f ca="1"/>
        <v>2.276093927115354E-3</v>
      </c>
      <c r="Q719" s="5" t="s">
        <v>4</v>
      </c>
      <c r="R719" s="83" t="s">
        <v>4</v>
      </c>
    </row>
    <row r="720" spans="1:18" x14ac:dyDescent="0.25">
      <c r="A720" s="88">
        <v>706</v>
      </c>
      <c r="B720" s="82"/>
      <c r="C720" s="97">
        <f>_xll.meDateFromTenor(C719,"1D","FOLLOWING","TGT")</f>
        <v>43525</v>
      </c>
      <c r="D720" s="95">
        <f ca="1"/>
        <v>-3.2905438734572856E-3</v>
      </c>
      <c r="E720" s="92"/>
      <c r="F720" s="97">
        <f>_xll.meDateFromTenor(F719,"1D","FOLLOWING","TGT")</f>
        <v>43525</v>
      </c>
      <c r="G720" s="95">
        <f ca="1"/>
        <v>-2.6000864551641439E-3</v>
      </c>
      <c r="H720" s="92" t="s">
        <v>4</v>
      </c>
      <c r="I720" s="97">
        <f>_xll.meDateFromTenor(I719,"1D","FOLLOWING","TGT")</f>
        <v>43525</v>
      </c>
      <c r="J720" s="95">
        <f ca="1"/>
        <v>-1.393483477121001E-3</v>
      </c>
      <c r="K720" s="5" t="s">
        <v>4</v>
      </c>
      <c r="L720" s="97">
        <f>_xll.meDateFromTenor(L719,"1D","FOLLOWING","TGT")</f>
        <v>43525</v>
      </c>
      <c r="M720" s="95">
        <f ca="1"/>
        <v>2.4199986076250824E-4</v>
      </c>
      <c r="N720" s="5" t="s">
        <v>4</v>
      </c>
      <c r="O720" s="97">
        <f>_xll.meDateFromTenor(O719,"1D","FOLLOWING","TGT")</f>
        <v>43525</v>
      </c>
      <c r="P720" s="95">
        <f ca="1"/>
        <v>2.2813158022733505E-3</v>
      </c>
      <c r="Q720" s="5" t="s">
        <v>4</v>
      </c>
      <c r="R720" s="83" t="s">
        <v>4</v>
      </c>
    </row>
    <row r="721" spans="1:18" x14ac:dyDescent="0.25">
      <c r="A721" s="88">
        <v>707</v>
      </c>
      <c r="B721" s="82"/>
      <c r="C721" s="97">
        <f>_xll.meDateFromTenor(C720,"1D","FOLLOWING","TGT")</f>
        <v>43528</v>
      </c>
      <c r="D721" s="95">
        <f ca="1"/>
        <v>-3.2861671123555203E-3</v>
      </c>
      <c r="E721" s="92"/>
      <c r="F721" s="97">
        <f>_xll.meDateFromTenor(F720,"1D","FOLLOWING","TGT")</f>
        <v>43528</v>
      </c>
      <c r="G721" s="95">
        <f ca="1"/>
        <v>-2.5881233567375834E-3</v>
      </c>
      <c r="H721" s="92" t="s">
        <v>4</v>
      </c>
      <c r="I721" s="97">
        <f>_xll.meDateFromTenor(I720,"1D","FOLLOWING","TGT")</f>
        <v>43528</v>
      </c>
      <c r="J721" s="95">
        <f ca="1"/>
        <v>-1.3796671476052819E-3</v>
      </c>
      <c r="K721" s="5" t="s">
        <v>4</v>
      </c>
      <c r="L721" s="97">
        <f>_xll.meDateFromTenor(L720,"1D","FOLLOWING","TGT")</f>
        <v>43528</v>
      </c>
      <c r="M721" s="95">
        <f ca="1"/>
        <v>2.5742488003901965E-4</v>
      </c>
      <c r="N721" s="5" t="s">
        <v>4</v>
      </c>
      <c r="O721" s="97">
        <f>_xll.meDateFromTenor(O720,"1D","FOLLOWING","TGT")</f>
        <v>43528</v>
      </c>
      <c r="P721" s="95">
        <f ca="1"/>
        <v>2.2969905838900731E-3</v>
      </c>
      <c r="Q721" s="5" t="s">
        <v>4</v>
      </c>
      <c r="R721" s="83" t="s">
        <v>4</v>
      </c>
    </row>
    <row r="722" spans="1:18" x14ac:dyDescent="0.25">
      <c r="A722" s="88">
        <v>708</v>
      </c>
      <c r="B722" s="82"/>
      <c r="C722" s="97">
        <f>_xll.meDateFromTenor(C721,"1D","FOLLOWING","TGT")</f>
        <v>43529</v>
      </c>
      <c r="D722" s="95">
        <f ca="1"/>
        <v>-3.284692144196244E-3</v>
      </c>
      <c r="E722" s="92"/>
      <c r="F722" s="97">
        <f>_xll.meDateFromTenor(F721,"1D","FOLLOWING","TGT")</f>
        <v>43529</v>
      </c>
      <c r="G722" s="95">
        <f ca="1"/>
        <v>-2.584151499762352E-3</v>
      </c>
      <c r="H722" s="92" t="s">
        <v>4</v>
      </c>
      <c r="I722" s="97">
        <f>_xll.meDateFromTenor(I721,"1D","FOLLOWING","TGT")</f>
        <v>43529</v>
      </c>
      <c r="J722" s="95">
        <f ca="1"/>
        <v>-1.3750605536641913E-3</v>
      </c>
      <c r="K722" s="5" t="s">
        <v>4</v>
      </c>
      <c r="L722" s="97">
        <f>_xll.meDateFromTenor(L721,"1D","FOLLOWING","TGT")</f>
        <v>43529</v>
      </c>
      <c r="M722" s="95">
        <f ca="1"/>
        <v>2.6257172535413327E-4</v>
      </c>
      <c r="N722" s="5" t="s">
        <v>4</v>
      </c>
      <c r="O722" s="97">
        <f>_xll.meDateFromTenor(O721,"1D","FOLLOWING","TGT")</f>
        <v>43529</v>
      </c>
      <c r="P722" s="95">
        <f ca="1"/>
        <v>2.3022185253362046E-3</v>
      </c>
      <c r="Q722" s="5" t="s">
        <v>4</v>
      </c>
      <c r="R722" s="83" t="s">
        <v>4</v>
      </c>
    </row>
    <row r="723" spans="1:18" x14ac:dyDescent="0.25">
      <c r="A723" s="88">
        <v>709</v>
      </c>
      <c r="B723" s="82"/>
      <c r="C723" s="97">
        <f>_xll.meDateFromTenor(C722,"1D","FOLLOWING","TGT")</f>
        <v>43530</v>
      </c>
      <c r="D723" s="95">
        <f ca="1"/>
        <v>-3.2831784888610605E-3</v>
      </c>
      <c r="E723" s="92"/>
      <c r="F723" s="97">
        <f>_xll.meDateFromTenor(F722,"1D","FOLLOWING","TGT")</f>
        <v>43530</v>
      </c>
      <c r="G723" s="95">
        <f ca="1"/>
        <v>-2.5801879204151112E-3</v>
      </c>
      <c r="H723" s="92" t="s">
        <v>4</v>
      </c>
      <c r="I723" s="97">
        <f>_xll.meDateFromTenor(I722,"1D","FOLLOWING","TGT")</f>
        <v>43530</v>
      </c>
      <c r="J723" s="95">
        <f ca="1"/>
        <v>-1.3704533570375755E-3</v>
      </c>
      <c r="K723" s="5" t="s">
        <v>4</v>
      </c>
      <c r="L723" s="97">
        <f>_xll.meDateFromTenor(L722,"1D","FOLLOWING","TGT")</f>
        <v>43530</v>
      </c>
      <c r="M723" s="95">
        <f ca="1"/>
        <v>2.6772115652556926E-4</v>
      </c>
      <c r="N723" s="5" t="s">
        <v>4</v>
      </c>
      <c r="O723" s="97">
        <f>_xll.meDateFromTenor(O722,"1D","FOLLOWING","TGT")</f>
        <v>43530</v>
      </c>
      <c r="P723" s="95">
        <f ca="1"/>
        <v>2.3074479549991035E-3</v>
      </c>
      <c r="Q723" s="5" t="s">
        <v>4</v>
      </c>
      <c r="R723" s="83" t="s">
        <v>4</v>
      </c>
    </row>
    <row r="724" spans="1:18" x14ac:dyDescent="0.25">
      <c r="A724" s="88">
        <v>710</v>
      </c>
      <c r="B724" s="82"/>
      <c r="C724" s="97">
        <f>_xll.meDateFromTenor(C723,"1D","FOLLOWING","TGT")</f>
        <v>43531</v>
      </c>
      <c r="D724" s="95">
        <f ca="1"/>
        <v>-3.2816261472499164E-3</v>
      </c>
      <c r="E724" s="92"/>
      <c r="F724" s="97">
        <f>_xll.meDateFromTenor(F723,"1D","FOLLOWING","TGT")</f>
        <v>43531</v>
      </c>
      <c r="G724" s="95">
        <f ca="1"/>
        <v>-2.5762318298665223E-3</v>
      </c>
      <c r="H724" s="92" t="s">
        <v>4</v>
      </c>
      <c r="I724" s="97">
        <f>_xll.meDateFromTenor(I723,"1D","FOLLOWING","TGT")</f>
        <v>43531</v>
      </c>
      <c r="J724" s="95">
        <f ca="1"/>
        <v>-1.3658455265972281E-3</v>
      </c>
      <c r="K724" s="5" t="s">
        <v>4</v>
      </c>
      <c r="L724" s="97">
        <f>_xll.meDateFromTenor(L723,"1D","FOLLOWING","TGT")</f>
        <v>43531</v>
      </c>
      <c r="M724" s="95">
        <f ca="1"/>
        <v>2.7287317340024048E-4</v>
      </c>
      <c r="N724" s="5" t="s">
        <v>4</v>
      </c>
      <c r="O724" s="97">
        <f>_xll.meDateFromTenor(O723,"1D","FOLLOWING","TGT")</f>
        <v>43531</v>
      </c>
      <c r="P724" s="95">
        <f ca="1"/>
        <v>2.3126788615366648E-3</v>
      </c>
      <c r="Q724" s="5" t="s">
        <v>4</v>
      </c>
      <c r="R724" s="83" t="s">
        <v>4</v>
      </c>
    </row>
    <row r="725" spans="1:18" x14ac:dyDescent="0.25">
      <c r="A725" s="88">
        <v>711</v>
      </c>
      <c r="B725" s="82"/>
      <c r="C725" s="97">
        <f>_xll.meDateFromTenor(C724,"1D","FOLLOWING","TGT")</f>
        <v>43532</v>
      </c>
      <c r="D725" s="95">
        <f ca="1"/>
        <v>-3.2800351209353318E-3</v>
      </c>
      <c r="E725" s="92"/>
      <c r="F725" s="97">
        <f>_xll.meDateFromTenor(F724,"1D","FOLLOWING","TGT")</f>
        <v>43532</v>
      </c>
      <c r="G725" s="95">
        <f ca="1"/>
        <v>-2.5722824392872519E-3</v>
      </c>
      <c r="H725" s="92" t="s">
        <v>4</v>
      </c>
      <c r="I725" s="97">
        <f>_xll.meDateFromTenor(I724,"1D","FOLLOWING","TGT")</f>
        <v>43532</v>
      </c>
      <c r="J725" s="95">
        <f ca="1"/>
        <v>-1.3612370312149451E-3</v>
      </c>
      <c r="K725" s="5" t="s">
        <v>4</v>
      </c>
      <c r="L725" s="97">
        <f>_xll.meDateFromTenor(L724,"1D","FOLLOWING","TGT")</f>
        <v>43532</v>
      </c>
      <c r="M725" s="95">
        <f ca="1"/>
        <v>2.7802777582505716E-4</v>
      </c>
      <c r="N725" s="5" t="s">
        <v>4</v>
      </c>
      <c r="O725" s="97">
        <f>_xll.meDateFromTenor(O724,"1D","FOLLOWING","TGT")</f>
        <v>43532</v>
      </c>
      <c r="P725" s="95">
        <f ca="1"/>
        <v>2.3179112336067821E-3</v>
      </c>
      <c r="Q725" s="5" t="s">
        <v>4</v>
      </c>
      <c r="R725" s="83" t="s">
        <v>4</v>
      </c>
    </row>
    <row r="726" spans="1:18" x14ac:dyDescent="0.25">
      <c r="A726" s="88">
        <v>712</v>
      </c>
      <c r="B726" s="82"/>
      <c r="C726" s="97">
        <f>_xll.meDateFromTenor(C725,"1D","FOLLOWING","TGT")</f>
        <v>43535</v>
      </c>
      <c r="D726" s="95">
        <f ca="1"/>
        <v>-3.2750299445696296E-3</v>
      </c>
      <c r="E726" s="92"/>
      <c r="F726" s="97">
        <f>_xll.meDateFromTenor(F725,"1D","FOLLOWING","TGT")</f>
        <v>43535</v>
      </c>
      <c r="G726" s="95">
        <f ca="1"/>
        <v>-2.5604665790719917E-3</v>
      </c>
      <c r="H726" s="92" t="s">
        <v>4</v>
      </c>
      <c r="I726" s="97">
        <f>_xll.meDateFromTenor(I725,"1D","FOLLOWING","TGT")</f>
        <v>43535</v>
      </c>
      <c r="J726" s="95">
        <f ca="1"/>
        <v>-1.3474072441344311E-3</v>
      </c>
      <c r="K726" s="5" t="s">
        <v>4</v>
      </c>
      <c r="L726" s="97">
        <f>_xll.meDateFromTenor(L725,"1D","FOLLOWING","TGT")</f>
        <v>43535</v>
      </c>
      <c r="M726" s="95">
        <f ca="1"/>
        <v>2.9350709486949017E-4</v>
      </c>
      <c r="N726" s="5" t="s">
        <v>4</v>
      </c>
      <c r="O726" s="97">
        <f>_xll.meDateFromTenor(O725,"1D","FOLLOWING","TGT")</f>
        <v>43535</v>
      </c>
      <c r="P726" s="95">
        <f ca="1"/>
        <v>2.3336170295914054E-3</v>
      </c>
      <c r="Q726" s="5" t="s">
        <v>4</v>
      </c>
      <c r="R726" s="83" t="s">
        <v>4</v>
      </c>
    </row>
    <row r="727" spans="1:18" x14ac:dyDescent="0.25">
      <c r="A727" s="88">
        <v>713</v>
      </c>
      <c r="B727" s="82"/>
      <c r="C727" s="97">
        <f>_xll.meDateFromTenor(C726,"1D","FOLLOWING","TGT")</f>
        <v>43536</v>
      </c>
      <c r="D727" s="95">
        <f ca="1"/>
        <v>-3.2732841908149624E-3</v>
      </c>
      <c r="E727" s="92"/>
      <c r="F727" s="97">
        <f>_xll.meDateFromTenor(F726,"1D","FOLLOWING","TGT")</f>
        <v>43536</v>
      </c>
      <c r="G727" s="95">
        <f ca="1"/>
        <v>-2.5565361000766378E-3</v>
      </c>
      <c r="H727" s="92" t="s">
        <v>4</v>
      </c>
      <c r="I727" s="97">
        <f>_xll.meDateFromTenor(I726,"1D","FOLLOWING","TGT")</f>
        <v>43536</v>
      </c>
      <c r="J727" s="95">
        <f ca="1"/>
        <v>-1.342795777702354E-3</v>
      </c>
      <c r="K727" s="5" t="s">
        <v>4</v>
      </c>
      <c r="L727" s="97">
        <f>_xll.meDateFromTenor(L726,"1D","FOLLOWING","TGT")</f>
        <v>43536</v>
      </c>
      <c r="M727" s="95">
        <f ca="1"/>
        <v>2.9867203796399966E-4</v>
      </c>
      <c r="N727" s="5" t="s">
        <v>4</v>
      </c>
      <c r="O727" s="97">
        <f>_xll.meDateFromTenor(O726,"1D","FOLLOWING","TGT")</f>
        <v>43536</v>
      </c>
      <c r="P727" s="95">
        <f ca="1"/>
        <v>2.3388551503706833E-3</v>
      </c>
      <c r="Q727" s="5" t="s">
        <v>4</v>
      </c>
      <c r="R727" s="83" t="s">
        <v>4</v>
      </c>
    </row>
    <row r="728" spans="1:18" x14ac:dyDescent="0.25">
      <c r="A728" s="88">
        <v>714</v>
      </c>
      <c r="B728" s="82"/>
      <c r="C728" s="97">
        <f>_xll.meDateFromTenor(C727,"1D","FOLLOWING","TGT")</f>
        <v>43537</v>
      </c>
      <c r="D728" s="95">
        <f ca="1"/>
        <v>-3.2714997580413074E-3</v>
      </c>
      <c r="E728" s="92"/>
      <c r="F728" s="97">
        <f>_xll.meDateFromTenor(F727,"1D","FOLLOWING","TGT")</f>
        <v>43537</v>
      </c>
      <c r="G728" s="95">
        <f ca="1"/>
        <v>-2.5526083769039235E-3</v>
      </c>
      <c r="H728" s="92" t="s">
        <v>4</v>
      </c>
      <c r="I728" s="97">
        <f>_xll.meDateFromTenor(I727,"1D","FOLLOWING","TGT")</f>
        <v>43537</v>
      </c>
      <c r="J728" s="95">
        <f ca="1"/>
        <v>-1.3381834906873156E-3</v>
      </c>
      <c r="K728" s="5" t="s">
        <v>4</v>
      </c>
      <c r="L728" s="97">
        <f>_xll.meDateFromTenor(L727,"1D","FOLLOWING","TGT")</f>
        <v>43537</v>
      </c>
      <c r="M728" s="95">
        <f ca="1"/>
        <v>3.0383956584321015E-4</v>
      </c>
      <c r="N728" s="5" t="s">
        <v>4</v>
      </c>
      <c r="O728" s="97">
        <f>_xll.meDateFromTenor(O727,"1D","FOLLOWING","TGT")</f>
        <v>43537</v>
      </c>
      <c r="P728" s="95">
        <f ca="1"/>
        <v>2.3440946799719851E-3</v>
      </c>
      <c r="Q728" s="5" t="s">
        <v>4</v>
      </c>
      <c r="R728" s="83" t="s">
        <v>4</v>
      </c>
    </row>
    <row r="729" spans="1:18" x14ac:dyDescent="0.25">
      <c r="A729" s="88">
        <v>715</v>
      </c>
      <c r="B729" s="82"/>
      <c r="C729" s="97">
        <f>_xll.meDateFromTenor(C728,"1D","FOLLOWING","TGT")</f>
        <v>43538</v>
      </c>
      <c r="D729" s="95">
        <f ca="1"/>
        <v>-3.2696766476748573E-3</v>
      </c>
      <c r="E729" s="92"/>
      <c r="F729" s="97">
        <f>_xll.meDateFromTenor(F728,"1D","FOLLOWING","TGT")</f>
        <v>43538</v>
      </c>
      <c r="G729" s="95">
        <f ca="1"/>
        <v>-2.5486826207245144E-3</v>
      </c>
      <c r="H729" s="92" t="s">
        <v>4</v>
      </c>
      <c r="I729" s="97">
        <f>_xll.meDateFromTenor(I728,"1D","FOLLOWING","TGT")</f>
        <v>43538</v>
      </c>
      <c r="J729" s="95">
        <f ca="1"/>
        <v>-1.3335703519611114E-3</v>
      </c>
      <c r="K729" s="5" t="s">
        <v>4</v>
      </c>
      <c r="L729" s="97">
        <f>_xll.meDateFromTenor(L728,"1D","FOLLOWING","TGT")</f>
        <v>43538</v>
      </c>
      <c r="M729" s="95">
        <f ca="1"/>
        <v>3.0900967835403273E-4</v>
      </c>
      <c r="N729" s="5" t="s">
        <v>4</v>
      </c>
      <c r="O729" s="97">
        <f>_xll.meDateFromTenor(O728,"1D","FOLLOWING","TGT")</f>
        <v>43538</v>
      </c>
      <c r="P729" s="95">
        <f ca="1"/>
        <v>2.349335607053206E-3</v>
      </c>
      <c r="Q729" s="5" t="s">
        <v>4</v>
      </c>
      <c r="R729" s="83" t="s">
        <v>4</v>
      </c>
    </row>
    <row r="730" spans="1:18" x14ac:dyDescent="0.25">
      <c r="A730" s="88">
        <v>716</v>
      </c>
      <c r="B730" s="82"/>
      <c r="C730" s="97">
        <f>_xll.meDateFromTenor(C729,"1D","FOLLOWING","TGT")</f>
        <v>43539</v>
      </c>
      <c r="D730" s="95">
        <f ca="1"/>
        <v>-3.2678148604997626E-3</v>
      </c>
      <c r="E730" s="92"/>
      <c r="F730" s="97">
        <f>_xll.meDateFromTenor(F729,"1D","FOLLOWING","TGT")</f>
        <v>43539</v>
      </c>
      <c r="G730" s="95">
        <f ca="1"/>
        <v>-2.5447580427090748E-3</v>
      </c>
      <c r="H730" s="92" t="s">
        <v>4</v>
      </c>
      <c r="I730" s="97">
        <f>_xll.meDateFromTenor(I729,"1D","FOLLOWING","TGT")</f>
        <v>43539</v>
      </c>
      <c r="J730" s="95">
        <f ca="1"/>
        <v>-1.3289563303955365E-3</v>
      </c>
      <c r="K730" s="5" t="s">
        <v>4</v>
      </c>
      <c r="L730" s="97">
        <f>_xll.meDateFromTenor(L729,"1D","FOLLOWING","TGT")</f>
        <v>43539</v>
      </c>
      <c r="M730" s="95">
        <f ca="1"/>
        <v>3.1418237534337767E-4</v>
      </c>
      <c r="N730" s="5" t="s">
        <v>4</v>
      </c>
      <c r="O730" s="97">
        <f>_xll.meDateFromTenor(O729,"1D","FOLLOWING","TGT")</f>
        <v>43539</v>
      </c>
      <c r="P730" s="95">
        <f ca="1"/>
        <v>2.3545779202722378E-3</v>
      </c>
      <c r="Q730" s="5" t="s">
        <v>4</v>
      </c>
      <c r="R730" s="83" t="s">
        <v>4</v>
      </c>
    </row>
    <row r="731" spans="1:18" x14ac:dyDescent="0.25">
      <c r="A731" s="88">
        <v>717</v>
      </c>
      <c r="B731" s="82"/>
      <c r="C731" s="97">
        <f>_xll.meDateFromTenor(C730,"1D","FOLLOWING","TGT")</f>
        <v>43542</v>
      </c>
      <c r="D731" s="95">
        <f ca="1"/>
        <v>-3.2619974518348638E-3</v>
      </c>
      <c r="E731" s="92"/>
      <c r="F731" s="97">
        <f>_xll.meDateFromTenor(F730,"1D","FOLLOWING","TGT")</f>
        <v>43542</v>
      </c>
      <c r="G731" s="95">
        <f ca="1"/>
        <v>-2.5329834893532172E-3</v>
      </c>
      <c r="H731" s="92" t="s">
        <v>4</v>
      </c>
      <c r="I731" s="97">
        <f>_xll.meDateFromTenor(I730,"1D","FOLLOWING","TGT")</f>
        <v>43542</v>
      </c>
      <c r="J731" s="95">
        <f ca="1"/>
        <v>-1.315108657380531E-3</v>
      </c>
      <c r="K731" s="5" t="s">
        <v>4</v>
      </c>
      <c r="L731" s="97">
        <f>_xll.meDateFromTenor(L730,"1D","FOLLOWING","TGT")</f>
        <v>43542</v>
      </c>
      <c r="M731" s="95">
        <f ca="1"/>
        <v>3.2971597165166501E-4</v>
      </c>
      <c r="N731" s="5" t="s">
        <v>4</v>
      </c>
      <c r="O731" s="97">
        <f>_xll.meDateFromTenor(O730,"1D","FOLLOWING","TGT")</f>
        <v>43542</v>
      </c>
      <c r="P731" s="95">
        <f ca="1"/>
        <v>2.3703130633351468E-3</v>
      </c>
      <c r="Q731" s="5" t="s">
        <v>4</v>
      </c>
      <c r="R731" s="83" t="s">
        <v>4</v>
      </c>
    </row>
    <row r="732" spans="1:18" x14ac:dyDescent="0.25">
      <c r="A732" s="88">
        <v>718</v>
      </c>
      <c r="B732" s="82"/>
      <c r="C732" s="97">
        <f>_xll.meDateFromTenor(C731,"1D","FOLLOWING","TGT")</f>
        <v>43543</v>
      </c>
      <c r="D732" s="95">
        <f ca="1"/>
        <v>-3.2599809701587823E-3</v>
      </c>
      <c r="E732" s="92"/>
      <c r="F732" s="97">
        <f>_xll.meDateFromTenor(F731,"1D","FOLLOWING","TGT")</f>
        <v>43543</v>
      </c>
      <c r="G732" s="95">
        <f ca="1"/>
        <v>-2.5290557357002998E-3</v>
      </c>
      <c r="H732" s="92" t="s">
        <v>4</v>
      </c>
      <c r="I732" s="97">
        <f>_xll.meDateFromTenor(I731,"1D","FOLLOWING","TGT")</f>
        <v>43543</v>
      </c>
      <c r="J732" s="95">
        <f ca="1"/>
        <v>-1.3104907931754198E-3</v>
      </c>
      <c r="K732" s="5" t="s">
        <v>4</v>
      </c>
      <c r="L732" s="97">
        <f>_xll.meDateFromTenor(L731,"1D","FOLLOWING","TGT")</f>
        <v>43543</v>
      </c>
      <c r="M732" s="95">
        <f ca="1"/>
        <v>3.3489900502421449E-4</v>
      </c>
      <c r="N732" s="5" t="s">
        <v>4</v>
      </c>
      <c r="O732" s="97">
        <f>_xll.meDateFromTenor(O731,"1D","FOLLOWING","TGT")</f>
        <v>43543</v>
      </c>
      <c r="P732" s="95">
        <f ca="1"/>
        <v>2.3755608076843657E-3</v>
      </c>
      <c r="Q732" s="5" t="s">
        <v>4</v>
      </c>
      <c r="R732" s="83" t="s">
        <v>4</v>
      </c>
    </row>
    <row r="733" spans="1:18" x14ac:dyDescent="0.25">
      <c r="A733" s="88">
        <v>719</v>
      </c>
      <c r="B733" s="82"/>
      <c r="C733" s="97">
        <f>_xll.meDateFromTenor(C732,"1D","FOLLOWING","TGT")</f>
        <v>43544</v>
      </c>
      <c r="D733" s="95">
        <f ca="1"/>
        <v>-3.2579258177195536E-3</v>
      </c>
      <c r="E733" s="92"/>
      <c r="F733" s="97">
        <f>_xll.meDateFromTenor(F732,"1D","FOLLOWING","TGT")</f>
        <v>43544</v>
      </c>
      <c r="G733" s="95">
        <f ca="1"/>
        <v>-2.5251252160646753E-3</v>
      </c>
      <c r="H733" s="92" t="s">
        <v>4</v>
      </c>
      <c r="I733" s="97">
        <f>_xll.meDateFromTenor(I732,"1D","FOLLOWING","TGT")</f>
        <v>43544</v>
      </c>
      <c r="J733" s="95">
        <f ca="1"/>
        <v>-1.3058718904899128E-3</v>
      </c>
      <c r="K733" s="5" t="s">
        <v>4</v>
      </c>
      <c r="L733" s="97">
        <f>_xll.meDateFromTenor(L732,"1D","FOLLOWING","TGT")</f>
        <v>43544</v>
      </c>
      <c r="M733" s="95">
        <f ca="1"/>
        <v>3.4008462210984177E-4</v>
      </c>
      <c r="N733" s="5" t="s">
        <v>4</v>
      </c>
      <c r="O733" s="97">
        <f>_xll.meDateFromTenor(O732,"1D","FOLLOWING","TGT")</f>
        <v>43544</v>
      </c>
      <c r="P733" s="95">
        <f ca="1"/>
        <v>2.380809881460865E-3</v>
      </c>
      <c r="Q733" s="5" t="s">
        <v>4</v>
      </c>
      <c r="R733" s="83" t="s">
        <v>4</v>
      </c>
    </row>
    <row r="734" spans="1:18" x14ac:dyDescent="0.25">
      <c r="A734" s="88">
        <v>720</v>
      </c>
      <c r="B734" s="82"/>
      <c r="C734" s="97">
        <f>_xll.meDateFromTenor(C733,"1D","FOLLOWING","TGT")</f>
        <v>43545</v>
      </c>
      <c r="D734" s="95">
        <f ca="1"/>
        <v>-3.2558319955535708E-3</v>
      </c>
      <c r="E734" s="92"/>
      <c r="F734" s="97">
        <f>_xll.meDateFromTenor(F733,"1D","FOLLOWING","TGT")</f>
        <v>43545</v>
      </c>
      <c r="G734" s="95">
        <f ca="1"/>
        <v>-2.5211911416170062E-3</v>
      </c>
      <c r="H734" s="92" t="s">
        <v>4</v>
      </c>
      <c r="I734" s="97">
        <f>_xll.meDateFromTenor(I733,"1D","FOLLOWING","TGT")</f>
        <v>43545</v>
      </c>
      <c r="J734" s="95">
        <f ca="1"/>
        <v>-1.301251918195803E-3</v>
      </c>
      <c r="K734" s="5" t="s">
        <v>4</v>
      </c>
      <c r="L734" s="97">
        <f>_xll.meDateFromTenor(L733,"1D","FOLLOWING","TGT")</f>
        <v>43545</v>
      </c>
      <c r="M734" s="95">
        <f ca="1"/>
        <v>3.4527282275545972E-4</v>
      </c>
      <c r="N734" s="5" t="s">
        <v>4</v>
      </c>
      <c r="O734" s="97">
        <f>_xll.meDateFromTenor(O733,"1D","FOLLOWING","TGT")</f>
        <v>43545</v>
      </c>
      <c r="P734" s="95">
        <f ca="1"/>
        <v>2.3860602733225393E-3</v>
      </c>
      <c r="Q734" s="5" t="s">
        <v>4</v>
      </c>
      <c r="R734" s="83" t="s">
        <v>4</v>
      </c>
    </row>
    <row r="735" spans="1:18" x14ac:dyDescent="0.25">
      <c r="A735" s="88">
        <v>721</v>
      </c>
      <c r="B735" s="82"/>
      <c r="C735" s="97">
        <f>_xll.meDateFromTenor(C734,"1D","FOLLOWING","TGT")</f>
        <v>43546</v>
      </c>
      <c r="D735" s="95">
        <f ca="1"/>
        <v>-3.2536995048518813E-3</v>
      </c>
      <c r="E735" s="92"/>
      <c r="F735" s="97">
        <f>_xll.meDateFromTenor(F734,"1D","FOLLOWING","TGT")</f>
        <v>43546</v>
      </c>
      <c r="G735" s="95">
        <f ca="1"/>
        <v>-2.5172527235279578E-3</v>
      </c>
      <c r="H735" s="92" t="s">
        <v>4</v>
      </c>
      <c r="I735" s="97">
        <f>_xll.meDateFromTenor(I734,"1D","FOLLOWING","TGT")</f>
        <v>43546</v>
      </c>
      <c r="J735" s="95">
        <f ca="1"/>
        <v>-1.2966308451648871E-3</v>
      </c>
      <c r="K735" s="5" t="s">
        <v>4</v>
      </c>
      <c r="L735" s="97">
        <f>_xll.meDateFromTenor(L734,"1D","FOLLOWING","TGT")</f>
        <v>43546</v>
      </c>
      <c r="M735" s="95">
        <f ca="1"/>
        <v>3.5046360680797862E-4</v>
      </c>
      <c r="N735" s="5" t="s">
        <v>4</v>
      </c>
      <c r="O735" s="97">
        <f>_xll.meDateFromTenor(O734,"1D","FOLLOWING","TGT")</f>
        <v>43546</v>
      </c>
      <c r="P735" s="95">
        <f ca="1"/>
        <v>2.3913119719272827E-3</v>
      </c>
      <c r="Q735" s="5" t="s">
        <v>4</v>
      </c>
      <c r="R735" s="83" t="s">
        <v>4</v>
      </c>
    </row>
    <row r="736" spans="1:18" x14ac:dyDescent="0.25">
      <c r="A736" s="88">
        <v>722</v>
      </c>
      <c r="B736" s="82"/>
      <c r="C736" s="97">
        <f>_xll.meDateFromTenor(C735,"1D","FOLLOWING","TGT")</f>
        <v>43549</v>
      </c>
      <c r="D736" s="95">
        <f ca="1"/>
        <v>-3.2470700326209245E-3</v>
      </c>
      <c r="E736" s="92"/>
      <c r="F736" s="97">
        <f>_xll.meDateFromTenor(F735,"1D","FOLLOWING","TGT")</f>
        <v>43549</v>
      </c>
      <c r="G736" s="95">
        <f ca="1"/>
        <v>-2.5054035191191849E-3</v>
      </c>
      <c r="H736" s="92" t="s">
        <v>4</v>
      </c>
      <c r="I736" s="97">
        <f>_xll.meDateFromTenor(I735,"1D","FOLLOWING","TGT")</f>
        <v>43549</v>
      </c>
      <c r="J736" s="95">
        <f ca="1"/>
        <v>-1.2827607103692484E-3</v>
      </c>
      <c r="K736" s="5" t="s">
        <v>4</v>
      </c>
      <c r="L736" s="97">
        <f>_xll.meDateFromTenor(L735,"1D","FOLLOWING","TGT")</f>
        <v>43549</v>
      </c>
      <c r="M736" s="95">
        <f ca="1"/>
        <v>3.6605145787605049E-4</v>
      </c>
      <c r="N736" s="5" t="s">
        <v>4</v>
      </c>
      <c r="O736" s="97">
        <f>_xll.meDateFromTenor(O735,"1D","FOLLOWING","TGT")</f>
        <v>43549</v>
      </c>
      <c r="P736" s="95">
        <f ca="1"/>
        <v>2.4070747947788607E-3</v>
      </c>
      <c r="Q736" s="5" t="s">
        <v>4</v>
      </c>
      <c r="R736" s="83" t="s">
        <v>4</v>
      </c>
    </row>
    <row r="737" spans="1:18" x14ac:dyDescent="0.25">
      <c r="A737" s="88">
        <v>723</v>
      </c>
      <c r="B737" s="82"/>
      <c r="C737" s="97">
        <f>_xll.meDateFromTenor(C736,"1D","FOLLOWING","TGT")</f>
        <v>43550</v>
      </c>
      <c r="D737" s="95">
        <f ca="1"/>
        <v>-3.2447828786826838E-3</v>
      </c>
      <c r="E737" s="92"/>
      <c r="F737" s="97">
        <f>_xll.meDateFromTenor(F736,"1D","FOLLOWING","TGT")</f>
        <v>43550</v>
      </c>
      <c r="G737" s="95">
        <f ca="1"/>
        <v>-2.5014398381712653E-3</v>
      </c>
      <c r="H737" s="92" t="s">
        <v>4</v>
      </c>
      <c r="I737" s="97">
        <f>_xll.meDateFromTenor(I736,"1D","FOLLOWING","TGT")</f>
        <v>43550</v>
      </c>
      <c r="J737" s="95">
        <f ca="1"/>
        <v>-1.2781349231090549E-3</v>
      </c>
      <c r="K737" s="5" t="s">
        <v>4</v>
      </c>
      <c r="L737" s="97">
        <f>_xll.meDateFromTenor(L736,"1D","FOLLOWING","TGT")</f>
        <v>43550</v>
      </c>
      <c r="M737" s="95">
        <f ca="1"/>
        <v>3.7125257402528388E-4</v>
      </c>
      <c r="N737" s="5" t="s">
        <v>4</v>
      </c>
      <c r="O737" s="97">
        <f>_xll.meDateFromTenor(O736,"1D","FOLLOWING","TGT")</f>
        <v>43550</v>
      </c>
      <c r="P737" s="95">
        <f ca="1"/>
        <v>2.4123316069348164E-3</v>
      </c>
      <c r="Q737" s="5" t="s">
        <v>4</v>
      </c>
      <c r="R737" s="83" t="s">
        <v>4</v>
      </c>
    </row>
    <row r="738" spans="1:18" x14ac:dyDescent="0.25">
      <c r="A738" s="88">
        <v>724</v>
      </c>
      <c r="B738" s="82"/>
      <c r="C738" s="97">
        <f>_xll.meDateFromTenor(C737,"1D","FOLLOWING","TGT")</f>
        <v>43551</v>
      </c>
      <c r="D738" s="95">
        <f ca="1"/>
        <v>-3.2424570618984072E-3</v>
      </c>
      <c r="E738" s="92"/>
      <c r="F738" s="97">
        <f>_xll.meDateFromTenor(F737,"1D","FOLLOWING","TGT")</f>
        <v>43551</v>
      </c>
      <c r="G738" s="95">
        <f ca="1"/>
        <v>-2.4974678694352896E-3</v>
      </c>
      <c r="H738" s="92" t="s">
        <v>4</v>
      </c>
      <c r="I738" s="97">
        <f>_xll.meDateFromTenor(I737,"1D","FOLLOWING","TGT")</f>
        <v>43551</v>
      </c>
      <c r="J738" s="95">
        <f ca="1"/>
        <v>-1.2735078794710295E-3</v>
      </c>
      <c r="K738" s="5" t="s">
        <v>4</v>
      </c>
      <c r="L738" s="97">
        <f>_xll.meDateFromTenor(L737,"1D","FOLLOWING","TGT")</f>
        <v>43551</v>
      </c>
      <c r="M738" s="95">
        <f ca="1"/>
        <v>3.7645627281597375E-4</v>
      </c>
      <c r="N738" s="5" t="s">
        <v>4</v>
      </c>
      <c r="O738" s="97">
        <f>_xll.meDateFromTenor(O737,"1D","FOLLOWING","TGT")</f>
        <v>43551</v>
      </c>
      <c r="P738" s="95">
        <f ca="1"/>
        <v>2.4175896691233092E-3</v>
      </c>
      <c r="Q738" s="5" t="s">
        <v>4</v>
      </c>
      <c r="R738" s="83" t="s">
        <v>4</v>
      </c>
    </row>
    <row r="739" spans="1:18" x14ac:dyDescent="0.25">
      <c r="A739" s="88">
        <v>725</v>
      </c>
      <c r="B739" s="82"/>
      <c r="C739" s="97">
        <f>_xll.meDateFromTenor(C738,"1D","FOLLOWING","TGT")</f>
        <v>43552</v>
      </c>
      <c r="D739" s="95">
        <f ca="1"/>
        <v>-3.2400925828746097E-3</v>
      </c>
      <c r="E739" s="92"/>
      <c r="F739" s="97">
        <f>_xll.meDateFromTenor(F738,"1D","FOLLOWING","TGT")</f>
        <v>43552</v>
      </c>
      <c r="G739" s="95">
        <f ca="1"/>
        <v>-2.4934868240819217E-3</v>
      </c>
      <c r="H739" s="92" t="s">
        <v>4</v>
      </c>
      <c r="I739" s="97">
        <f>_xll.meDateFromTenor(I738,"1D","FOLLOWING","TGT")</f>
        <v>43552</v>
      </c>
      <c r="J739" s="95">
        <f ca="1"/>
        <v>-1.2688795483269668E-3</v>
      </c>
      <c r="K739" s="5" t="s">
        <v>4</v>
      </c>
      <c r="L739" s="97">
        <f>_xll.meDateFromTenor(L738,"1D","FOLLOWING","TGT")</f>
        <v>43552</v>
      </c>
      <c r="M739" s="95">
        <f ca="1"/>
        <v>3.8166255409503104E-4</v>
      </c>
      <c r="N739" s="5" t="s">
        <v>4</v>
      </c>
      <c r="O739" s="97">
        <f>_xll.meDateFromTenor(O738,"1D","FOLLOWING","TGT")</f>
        <v>43552</v>
      </c>
      <c r="P739" s="95">
        <f ca="1"/>
        <v>2.4228489700022331E-3</v>
      </c>
      <c r="Q739" s="5" t="s">
        <v>4</v>
      </c>
      <c r="R739" s="83" t="s">
        <v>4</v>
      </c>
    </row>
    <row r="740" spans="1:18" x14ac:dyDescent="0.25">
      <c r="A740" s="88">
        <v>726</v>
      </c>
      <c r="B740" s="82"/>
      <c r="C740" s="97">
        <f>_xll.meDateFromTenor(C739,"1D","FOLLOWING","TGT")</f>
        <v>43553</v>
      </c>
      <c r="D740" s="95">
        <f ca="1"/>
        <v>-3.2376894432094572E-3</v>
      </c>
      <c r="E740" s="92"/>
      <c r="F740" s="97">
        <f>_xll.meDateFromTenor(F739,"1D","FOLLOWING","TGT")</f>
        <v>43553</v>
      </c>
      <c r="G740" s="95">
        <f ca="1"/>
        <v>-2.4894959132818269E-3</v>
      </c>
      <c r="H740" s="92" t="s">
        <v>4</v>
      </c>
      <c r="I740" s="97">
        <f>_xll.meDateFromTenor(I739,"1D","FOLLOWING","TGT")</f>
        <v>43553</v>
      </c>
      <c r="J740" s="95">
        <f ca="1"/>
        <v>-1.2642498985486631E-3</v>
      </c>
      <c r="K740" s="5" t="s">
        <v>4</v>
      </c>
      <c r="L740" s="97">
        <f>_xll.meDateFromTenor(L739,"1D","FOLLOWING","TGT")</f>
        <v>43553</v>
      </c>
      <c r="M740" s="95">
        <f ca="1"/>
        <v>3.8687141770936607E-4</v>
      </c>
      <c r="N740" s="5" t="s">
        <v>4</v>
      </c>
      <c r="O740" s="97">
        <f>_xll.meDateFromTenor(O739,"1D","FOLLOWING","TGT")</f>
        <v>43553</v>
      </c>
      <c r="P740" s="95">
        <f ca="1"/>
        <v>2.4281094982294806E-3</v>
      </c>
      <c r="Q740" s="5" t="s">
        <v>4</v>
      </c>
      <c r="R740" s="83" t="s">
        <v>4</v>
      </c>
    </row>
    <row r="741" spans="1:18" x14ac:dyDescent="0.25">
      <c r="A741" s="88">
        <v>727</v>
      </c>
      <c r="B741" s="82"/>
      <c r="C741" s="97">
        <f>_xll.meDateFromTenor(C740,"1D","FOLLOWING","TGT")</f>
        <v>43556</v>
      </c>
      <c r="D741" s="95">
        <f ca="1"/>
        <v>-3.2302480692278923E-3</v>
      </c>
      <c r="E741" s="92"/>
      <c r="F741" s="97">
        <f>_xll.meDateFromTenor(F740,"1D","FOLLOWING","TGT")</f>
        <v>43556</v>
      </c>
      <c r="G741" s="95">
        <f ca="1"/>
        <v>-2.477456099907821E-3</v>
      </c>
      <c r="H741" s="92" t="s">
        <v>4</v>
      </c>
      <c r="I741" s="97">
        <f>_xll.meDateFromTenor(I740,"1D","FOLLOWING","TGT")</f>
        <v>43556</v>
      </c>
      <c r="J741" s="95">
        <f ca="1"/>
        <v>-1.2503527261262465E-3</v>
      </c>
      <c r="K741" s="5" t="s">
        <v>4</v>
      </c>
      <c r="L741" s="97">
        <f>_xll.meDateFromTenor(L740,"1D","FOLLOWING","TGT")</f>
        <v>43556</v>
      </c>
      <c r="M741" s="95">
        <f ca="1"/>
        <v>4.0251350103315546E-4</v>
      </c>
      <c r="N741" s="5" t="s">
        <v>4</v>
      </c>
      <c r="O741" s="97">
        <f>_xll.meDateFromTenor(O740,"1D","FOLLOWING","TGT")</f>
        <v>43556</v>
      </c>
      <c r="P741" s="95">
        <f ca="1"/>
        <v>2.4438983335801135E-3</v>
      </c>
      <c r="Q741" s="5" t="s">
        <v>4</v>
      </c>
      <c r="R741" s="83" t="s">
        <v>4</v>
      </c>
    </row>
    <row r="742" spans="1:18" x14ac:dyDescent="0.25">
      <c r="A742" s="88">
        <v>728</v>
      </c>
      <c r="B742" s="82"/>
      <c r="C742" s="97">
        <f>_xll.meDateFromTenor(C741,"1D","FOLLOWING","TGT")</f>
        <v>43557</v>
      </c>
      <c r="D742" s="95">
        <f ca="1"/>
        <v>-3.2276902963948029E-3</v>
      </c>
      <c r="E742" s="92"/>
      <c r="F742" s="97">
        <f>_xll.meDateFromTenor(F741,"1D","FOLLOWING","TGT")</f>
        <v>43557</v>
      </c>
      <c r="G742" s="95">
        <f ca="1"/>
        <v>-2.4734178390274602E-3</v>
      </c>
      <c r="H742" s="92" t="s">
        <v>4</v>
      </c>
      <c r="I742" s="97">
        <f>_xll.meDateFromTenor(I741,"1D","FOLLOWING","TGT")</f>
        <v>43557</v>
      </c>
      <c r="J742" s="95">
        <f ca="1"/>
        <v>-1.245717490528923E-3</v>
      </c>
      <c r="K742" s="5" t="s">
        <v>4</v>
      </c>
      <c r="L742" s="97">
        <f>_xll.meDateFromTenor(L741,"1D","FOLLOWING","TGT")</f>
        <v>43557</v>
      </c>
      <c r="M742" s="95">
        <f ca="1"/>
        <v>4.0773269245771677E-4</v>
      </c>
      <c r="N742" s="5" t="s">
        <v>4</v>
      </c>
      <c r="O742" s="97">
        <f>_xll.meDateFromTenor(O741,"1D","FOLLOWING","TGT")</f>
        <v>43557</v>
      </c>
      <c r="P742" s="95">
        <f ca="1"/>
        <v>2.4491636577796002E-3</v>
      </c>
      <c r="Q742" s="5" t="s">
        <v>4</v>
      </c>
      <c r="R742" s="83" t="s">
        <v>4</v>
      </c>
    </row>
    <row r="743" spans="1:18" x14ac:dyDescent="0.25">
      <c r="A743" s="88">
        <v>729</v>
      </c>
      <c r="B743" s="82"/>
      <c r="C743" s="97">
        <f>_xll.meDateFromTenor(C742,"1D","FOLLOWING","TGT")</f>
        <v>43558</v>
      </c>
      <c r="D743" s="95">
        <f ca="1"/>
        <v>-3.2250938681346319E-3</v>
      </c>
      <c r="E743" s="92"/>
      <c r="F743" s="97">
        <f>_xll.meDateFromTenor(F742,"1D","FOLLOWING","TGT")</f>
        <v>43558</v>
      </c>
      <c r="G743" s="95">
        <f ca="1"/>
        <v>-2.4693661097033659E-3</v>
      </c>
      <c r="H743" s="92" t="s">
        <v>4</v>
      </c>
      <c r="I743" s="97">
        <f>_xll.meDateFromTenor(I742,"1D","FOLLOWING","TGT")</f>
        <v>43558</v>
      </c>
      <c r="J743" s="95">
        <f ca="1"/>
        <v>-1.241080780656332E-3</v>
      </c>
      <c r="K743" s="5" t="s">
        <v>4</v>
      </c>
      <c r="L743" s="97">
        <f>_xll.meDateFromTenor(L742,"1D","FOLLOWING","TGT")</f>
        <v>43558</v>
      </c>
      <c r="M743" s="95">
        <f ca="1"/>
        <v>4.1295446545211217E-4</v>
      </c>
      <c r="N743" s="5" t="s">
        <v>4</v>
      </c>
      <c r="O743" s="97">
        <f>_xll.meDateFromTenor(O742,"1D","FOLLOWING","TGT")</f>
        <v>43558</v>
      </c>
      <c r="P743" s="95">
        <f ca="1"/>
        <v>2.4544301526168797E-3</v>
      </c>
      <c r="Q743" s="5" t="s">
        <v>4</v>
      </c>
      <c r="R743" s="83" t="s">
        <v>4</v>
      </c>
    </row>
    <row r="744" spans="1:18" x14ac:dyDescent="0.25">
      <c r="A744" s="88">
        <v>730</v>
      </c>
      <c r="B744" s="82"/>
      <c r="C744" s="97">
        <f>_xll.meDateFromTenor(C743,"1D","FOLLOWING","TGT")</f>
        <v>43559</v>
      </c>
      <c r="D744" s="95">
        <f ca="1"/>
        <v>-3.2224587851420461E-3</v>
      </c>
      <c r="E744" s="92"/>
      <c r="F744" s="97">
        <f>_xll.meDateFromTenor(F743,"1D","FOLLOWING","TGT")</f>
        <v>43559</v>
      </c>
      <c r="G744" s="95">
        <f ca="1"/>
        <v>-2.4653018288545592E-3</v>
      </c>
      <c r="H744" s="92" t="s">
        <v>4</v>
      </c>
      <c r="I744" s="97">
        <f>_xll.meDateFromTenor(I743,"1D","FOLLOWING","TGT")</f>
        <v>43559</v>
      </c>
      <c r="J744" s="95">
        <f ca="1"/>
        <v>-1.2364425653802686E-3</v>
      </c>
      <c r="K744" s="5" t="s">
        <v>4</v>
      </c>
      <c r="L744" s="97">
        <f>_xll.meDateFromTenor(L743,"1D","FOLLOWING","TGT")</f>
        <v>43559</v>
      </c>
      <c r="M744" s="95">
        <f ca="1"/>
        <v>4.1817881986325282E-4</v>
      </c>
      <c r="N744" s="5" t="s">
        <v>4</v>
      </c>
      <c r="O744" s="97">
        <f>_xll.meDateFromTenor(O743,"1D","FOLLOWING","TGT")</f>
        <v>43559</v>
      </c>
      <c r="P744" s="95">
        <f ca="1"/>
        <v>2.4596978067498478E-3</v>
      </c>
      <c r="Q744" s="5" t="s">
        <v>4</v>
      </c>
      <c r="R744" s="83" t="s">
        <v>4</v>
      </c>
    </row>
    <row r="745" spans="1:18" x14ac:dyDescent="0.25">
      <c r="A745" s="88">
        <v>731</v>
      </c>
      <c r="B745" s="82"/>
      <c r="C745" s="97">
        <f>_xll.meDateFromTenor(C744,"1D","FOLLOWING","TGT")</f>
        <v>43560</v>
      </c>
      <c r="D745" s="95">
        <f ca="1"/>
        <v>-3.219785048625412E-3</v>
      </c>
      <c r="E745" s="92"/>
      <c r="F745" s="97">
        <f>_xll.meDateFromTenor(F744,"1D","FOLLOWING","TGT")</f>
        <v>43560</v>
      </c>
      <c r="G745" s="95">
        <f ca="1"/>
        <v>-2.4612262545497324E-3</v>
      </c>
      <c r="H745" s="92" t="s">
        <v>4</v>
      </c>
      <c r="I745" s="97">
        <f>_xll.meDateFromTenor(I744,"1D","FOLLOWING","TGT")</f>
        <v>43560</v>
      </c>
      <c r="J745" s="95">
        <f ca="1"/>
        <v>-1.2318028135725276E-3</v>
      </c>
      <c r="K745" s="5" t="s">
        <v>4</v>
      </c>
      <c r="L745" s="97">
        <f>_xll.meDateFromTenor(L744,"1D","FOLLOWING","TGT")</f>
        <v>43560</v>
      </c>
      <c r="M745" s="95">
        <f ca="1"/>
        <v>4.2340575553804973E-4</v>
      </c>
      <c r="N745" s="5" t="s">
        <v>4</v>
      </c>
      <c r="O745" s="97">
        <f>_xll.meDateFromTenor(O744,"1D","FOLLOWING","TGT")</f>
        <v>43560</v>
      </c>
      <c r="P745" s="95">
        <f ca="1"/>
        <v>2.464966608836397E-3</v>
      </c>
      <c r="Q745" s="5" t="s">
        <v>4</v>
      </c>
      <c r="R745" s="83" t="s">
        <v>4</v>
      </c>
    </row>
    <row r="746" spans="1:18" x14ac:dyDescent="0.25">
      <c r="A746" s="88">
        <v>732</v>
      </c>
      <c r="B746" s="82"/>
      <c r="C746" s="97">
        <f>_xll.meDateFromTenor(C745,"1D","FOLLOWING","TGT")</f>
        <v>43563</v>
      </c>
      <c r="D746" s="95">
        <f ca="1"/>
        <v>-3.2115319275557441E-3</v>
      </c>
      <c r="E746" s="92"/>
      <c r="F746" s="97">
        <f>_xll.meDateFromTenor(F745,"1D","FOLLOWING","TGT")</f>
        <v>43563</v>
      </c>
      <c r="G746" s="95">
        <f ca="1"/>
        <v>-2.4489443515860587E-3</v>
      </c>
      <c r="H746" s="92" t="s">
        <v>4</v>
      </c>
      <c r="I746" s="97">
        <f>_xll.meDateFromTenor(I745,"1D","FOLLOWING","TGT")</f>
        <v>43563</v>
      </c>
      <c r="J746" s="95">
        <f ca="1"/>
        <v>-1.2178740276771901E-3</v>
      </c>
      <c r="K746" s="5" t="s">
        <v>4</v>
      </c>
      <c r="L746" s="97">
        <f>_xll.meDateFromTenor(L745,"1D","FOLLOWING","TGT")</f>
        <v>43563</v>
      </c>
      <c r="M746" s="95">
        <f ca="1"/>
        <v>4.3910204861348848E-4</v>
      </c>
      <c r="N746" s="5" t="s">
        <v>4</v>
      </c>
      <c r="O746" s="97">
        <f>_xll.meDateFromTenor(O745,"1D","FOLLOWING","TGT")</f>
        <v>43563</v>
      </c>
      <c r="P746" s="95">
        <f ca="1"/>
        <v>2.4807797893964694E-3</v>
      </c>
      <c r="Q746" s="5" t="s">
        <v>4</v>
      </c>
      <c r="R746" s="83" t="s">
        <v>4</v>
      </c>
    </row>
    <row r="747" spans="1:18" x14ac:dyDescent="0.25">
      <c r="A747" s="88">
        <v>733</v>
      </c>
      <c r="B747" s="82"/>
      <c r="C747" s="97">
        <f>_xll.meDateFromTenor(C746,"1D","FOLLOWING","TGT")</f>
        <v>43564</v>
      </c>
      <c r="D747" s="95">
        <f ca="1"/>
        <v>-3.2087035868639813E-3</v>
      </c>
      <c r="E747" s="92"/>
      <c r="F747" s="97">
        <f>_xll.meDateFromTenor(F746,"1D","FOLLOWING","TGT")</f>
        <v>43564</v>
      </c>
      <c r="G747" s="95">
        <f ca="1"/>
        <v>-2.4448361841440773E-3</v>
      </c>
      <c r="H747" s="92" t="s">
        <v>4</v>
      </c>
      <c r="I747" s="97">
        <f>_xll.meDateFromTenor(I746,"1D","FOLLOWING","TGT")</f>
        <v>43564</v>
      </c>
      <c r="J747" s="95">
        <f ca="1"/>
        <v>-1.2132278184606884E-3</v>
      </c>
      <c r="K747" s="5" t="s">
        <v>4</v>
      </c>
      <c r="L747" s="97">
        <f>_xll.meDateFromTenor(L746,"1D","FOLLOWING","TGT")</f>
        <v>43564</v>
      </c>
      <c r="M747" s="95">
        <f ca="1"/>
        <v>4.4433930781202167E-4</v>
      </c>
      <c r="N747" s="5" t="s">
        <v>4</v>
      </c>
      <c r="O747" s="97">
        <f>_xll.meDateFromTenor(O746,"1D","FOLLOWING","TGT")</f>
        <v>43564</v>
      </c>
      <c r="P747" s="95">
        <f ca="1"/>
        <v>2.4860530698762821E-3</v>
      </c>
      <c r="Q747" s="5" t="s">
        <v>4</v>
      </c>
      <c r="R747" s="83" t="s">
        <v>4</v>
      </c>
    </row>
    <row r="748" spans="1:18" x14ac:dyDescent="0.25">
      <c r="A748" s="88">
        <v>734</v>
      </c>
      <c r="B748" s="82"/>
      <c r="C748" s="97">
        <f>_xll.meDateFromTenor(C747,"1D","FOLLOWING","TGT")</f>
        <v>43565</v>
      </c>
      <c r="D748" s="95">
        <f ca="1"/>
        <v>-3.2058365976262992E-3</v>
      </c>
      <c r="E748" s="92"/>
      <c r="F748" s="97">
        <f>_xll.meDateFromTenor(F747,"1D","FOLLOWING","TGT")</f>
        <v>43565</v>
      </c>
      <c r="G748" s="95">
        <f ca="1"/>
        <v>-2.4407230135895398E-3</v>
      </c>
      <c r="H748" s="92" t="s">
        <v>4</v>
      </c>
      <c r="I748" s="97">
        <f>_xll.meDateFromTenor(I747,"1D","FOLLOWING","TGT")</f>
        <v>43565</v>
      </c>
      <c r="J748" s="95">
        <f ca="1"/>
        <v>-1.2085799170714849E-3</v>
      </c>
      <c r="K748" s="5" t="s">
        <v>4</v>
      </c>
      <c r="L748" s="97">
        <f>_xll.meDateFromTenor(L747,"1D","FOLLOWING","TGT")</f>
        <v>43565</v>
      </c>
      <c r="M748" s="95">
        <f ca="1"/>
        <v>4.4957914750876586E-4</v>
      </c>
      <c r="N748" s="5" t="s">
        <v>4</v>
      </c>
      <c r="O748" s="97">
        <f>_xll.meDateFromTenor(O747,"1D","FOLLOWING","TGT")</f>
        <v>43565</v>
      </c>
      <c r="P748" s="95">
        <f ca="1"/>
        <v>2.4913274415991437E-3</v>
      </c>
      <c r="Q748" s="5" t="s">
        <v>4</v>
      </c>
      <c r="R748" s="83" t="s">
        <v>4</v>
      </c>
    </row>
    <row r="749" spans="1:18" x14ac:dyDescent="0.25">
      <c r="A749" s="88">
        <v>735</v>
      </c>
      <c r="B749" s="82"/>
      <c r="C749" s="97">
        <f>_xll.meDateFromTenor(C748,"1D","FOLLOWING","TGT")</f>
        <v>43566</v>
      </c>
      <c r="D749" s="95">
        <f ca="1"/>
        <v>-3.2029309603467393E-3</v>
      </c>
      <c r="E749" s="92"/>
      <c r="F749" s="97">
        <f>_xll.meDateFromTenor(F748,"1D","FOLLOWING","TGT")</f>
        <v>43566</v>
      </c>
      <c r="G749" s="95">
        <f ca="1"/>
        <v>-2.4366060979911365E-3</v>
      </c>
      <c r="H749" s="92" t="s">
        <v>4</v>
      </c>
      <c r="I749" s="97">
        <f>_xll.meDateFromTenor(I748,"1D","FOLLOWING","TGT")</f>
        <v>43566</v>
      </c>
      <c r="J749" s="95">
        <f ca="1"/>
        <v>-1.2039302923813728E-3</v>
      </c>
      <c r="K749" s="5" t="s">
        <v>4</v>
      </c>
      <c r="L749" s="97">
        <f>_xll.meDateFromTenor(L748,"1D","FOLLOWING","TGT")</f>
        <v>43566</v>
      </c>
      <c r="M749" s="95">
        <f ca="1"/>
        <v>4.5482156755063377E-4</v>
      </c>
      <c r="N749" s="5" t="s">
        <v>4</v>
      </c>
      <c r="O749" s="97">
        <f>_xll.meDateFromTenor(O748,"1D","FOLLOWING","TGT")</f>
        <v>43566</v>
      </c>
      <c r="P749" s="95">
        <f ca="1"/>
        <v>2.4966028932229506E-3</v>
      </c>
      <c r="Q749" s="5" t="s">
        <v>4</v>
      </c>
      <c r="R749" s="83" t="s">
        <v>4</v>
      </c>
    </row>
    <row r="750" spans="1:18" x14ac:dyDescent="0.25">
      <c r="A750" s="88">
        <v>736</v>
      </c>
      <c r="B750" s="82"/>
      <c r="C750" s="97">
        <f>_xll.meDateFromTenor(C749,"1D","FOLLOWING","TGT")</f>
        <v>43567</v>
      </c>
      <c r="D750" s="95">
        <f ca="1"/>
        <v>-3.1999866769593099E-3</v>
      </c>
      <c r="E750" s="92"/>
      <c r="F750" s="97">
        <f>_xll.meDateFromTenor(F749,"1D","FOLLOWING","TGT")</f>
        <v>43567</v>
      </c>
      <c r="G750" s="95">
        <f ca="1"/>
        <v>-2.432486695417561E-3</v>
      </c>
      <c r="H750" s="92" t="s">
        <v>4</v>
      </c>
      <c r="I750" s="97">
        <f>_xll.meDateFromTenor(I749,"1D","FOLLOWING","TGT")</f>
        <v>43567</v>
      </c>
      <c r="J750" s="95">
        <f ca="1"/>
        <v>-1.1992789132621473E-3</v>
      </c>
      <c r="K750" s="5" t="s">
        <v>4</v>
      </c>
      <c r="L750" s="97">
        <f>_xll.meDateFromTenor(L749,"1D","FOLLOWING","TGT")</f>
        <v>43567</v>
      </c>
      <c r="M750" s="95">
        <f ca="1"/>
        <v>4.6006656778453577E-4</v>
      </c>
      <c r="N750" s="5" t="s">
        <v>4</v>
      </c>
      <c r="O750" s="97">
        <f>_xll.meDateFromTenor(O749,"1D","FOLLOWING","TGT")</f>
        <v>43567</v>
      </c>
      <c r="P750" s="95">
        <f ca="1"/>
        <v>2.5018794134055952E-3</v>
      </c>
      <c r="Q750" s="5" t="s">
        <v>4</v>
      </c>
      <c r="R750" s="83" t="s">
        <v>4</v>
      </c>
    </row>
    <row r="751" spans="1:18" x14ac:dyDescent="0.25">
      <c r="A751" s="88">
        <v>737</v>
      </c>
      <c r="B751" s="82"/>
      <c r="C751" s="97">
        <f>_xll.meDateFromTenor(C750,"1D","FOLLOWING","TGT")</f>
        <v>43570</v>
      </c>
      <c r="D751" s="95">
        <f ca="1"/>
        <v>-3.1909219560353197E-3</v>
      </c>
      <c r="E751" s="92"/>
      <c r="F751" s="97">
        <f>_xll.meDateFromTenor(F750,"1D","FOLLOWING","TGT")</f>
        <v>43570</v>
      </c>
      <c r="G751" s="95">
        <f ca="1"/>
        <v>-2.4201261465327277E-3</v>
      </c>
      <c r="H751" s="92" t="s">
        <v>4</v>
      </c>
      <c r="I751" s="97">
        <f>_xll.meDateFromTenor(I750,"1D","FOLLOWING","TGT")</f>
        <v>43570</v>
      </c>
      <c r="J751" s="95">
        <f ca="1"/>
        <v>-1.185313938047744E-3</v>
      </c>
      <c r="K751" s="5" t="s">
        <v>4</v>
      </c>
      <c r="L751" s="97">
        <f>_xll.meDateFromTenor(L750,"1D","FOLLOWING","TGT")</f>
        <v>43570</v>
      </c>
      <c r="M751" s="95">
        <f ca="1"/>
        <v>4.758170481075568E-4</v>
      </c>
      <c r="N751" s="5" t="s">
        <v>4</v>
      </c>
      <c r="O751" s="97">
        <f>_xll.meDateFromTenor(O750,"1D","FOLLOWING","TGT")</f>
        <v>43570</v>
      </c>
      <c r="P751" s="95">
        <f ca="1"/>
        <v>2.5177152718854931E-3</v>
      </c>
      <c r="Q751" s="5" t="s">
        <v>4</v>
      </c>
      <c r="R751" s="83" t="s">
        <v>4</v>
      </c>
    </row>
    <row r="752" spans="1:18" x14ac:dyDescent="0.25">
      <c r="A752" s="88">
        <v>738</v>
      </c>
      <c r="B752" s="82"/>
      <c r="C752" s="97">
        <f>_xll.meDateFromTenor(C751,"1D","FOLLOWING","TGT")</f>
        <v>43571</v>
      </c>
      <c r="D752" s="95">
        <f ca="1"/>
        <v>-3.1878230955537656E-3</v>
      </c>
      <c r="E752" s="92"/>
      <c r="F752" s="97">
        <f>_xll.meDateFromTenor(F751,"1D","FOLLOWING","TGT")</f>
        <v>43571</v>
      </c>
      <c r="G752" s="95">
        <f ca="1"/>
        <v>-2.4160093767453899E-3</v>
      </c>
      <c r="H752" s="92" t="s">
        <v>4</v>
      </c>
      <c r="I752" s="97">
        <f>_xll.meDateFromTenor(I751,"1D","FOLLOWING","TGT")</f>
        <v>43571</v>
      </c>
      <c r="J752" s="95">
        <f ca="1"/>
        <v>-1.1806552299300176E-3</v>
      </c>
      <c r="K752" s="5" t="s">
        <v>4</v>
      </c>
      <c r="L752" s="97">
        <f>_xll.meDateFromTenor(L751,"1D","FOLLOWING","TGT")</f>
        <v>43571</v>
      </c>
      <c r="M752" s="95">
        <f ca="1"/>
        <v>4.8107236757870508E-4</v>
      </c>
      <c r="N752" s="5" t="s">
        <v>4</v>
      </c>
      <c r="O752" s="97">
        <f>_xll.meDateFromTenor(O751,"1D","FOLLOWING","TGT")</f>
        <v>43571</v>
      </c>
      <c r="P752" s="95">
        <f ca="1"/>
        <v>2.5229959528824258E-3</v>
      </c>
      <c r="Q752" s="5" t="s">
        <v>4</v>
      </c>
      <c r="R752" s="83" t="s">
        <v>4</v>
      </c>
    </row>
    <row r="753" spans="1:18" x14ac:dyDescent="0.25">
      <c r="A753" s="88">
        <v>739</v>
      </c>
      <c r="B753" s="82"/>
      <c r="C753" s="97">
        <f>_xll.meDateFromTenor(C752,"1D","FOLLOWING","TGT")</f>
        <v>43572</v>
      </c>
      <c r="D753" s="95">
        <f ca="1"/>
        <v>-3.1846855931486617E-3</v>
      </c>
      <c r="E753" s="92"/>
      <c r="F753" s="97">
        <f>_xll.meDateFromTenor(F752,"1D","FOLLOWING","TGT")</f>
        <v>43572</v>
      </c>
      <c r="G753" s="95">
        <f ca="1"/>
        <v>-2.4118964103263417E-3</v>
      </c>
      <c r="H753" s="92" t="s">
        <v>4</v>
      </c>
      <c r="I753" s="97">
        <f>_xll.meDateFromTenor(I752,"1D","FOLLOWING","TGT")</f>
        <v>43572</v>
      </c>
      <c r="J753" s="95">
        <f ca="1"/>
        <v>-1.1759946117421516E-3</v>
      </c>
      <c r="K753" s="5" t="s">
        <v>4</v>
      </c>
      <c r="L753" s="97">
        <f>_xll.meDateFromTenor(L752,"1D","FOLLOWING","TGT")</f>
        <v>43572</v>
      </c>
      <c r="M753" s="95">
        <f ca="1"/>
        <v>4.863302664764436E-4</v>
      </c>
      <c r="N753" s="5" t="s">
        <v>4</v>
      </c>
      <c r="O753" s="97">
        <f>_xll.meDateFromTenor(O752,"1D","FOLLOWING","TGT")</f>
        <v>43572</v>
      </c>
      <c r="P753" s="95">
        <f ca="1"/>
        <v>2.528277645727666E-3</v>
      </c>
      <c r="Q753" s="5" t="s">
        <v>4</v>
      </c>
      <c r="R753" s="83" t="s">
        <v>4</v>
      </c>
    </row>
    <row r="754" spans="1:18" x14ac:dyDescent="0.25">
      <c r="A754" s="88">
        <v>740</v>
      </c>
      <c r="B754" s="82"/>
      <c r="C754" s="97">
        <f>_xll.meDateFromTenor(C753,"1D","FOLLOWING","TGT")</f>
        <v>43573</v>
      </c>
      <c r="D754" s="95">
        <f ca="1"/>
        <v>-3.181509449810771E-3</v>
      </c>
      <c r="E754" s="92"/>
      <c r="F754" s="97">
        <f>_xll.meDateFromTenor(F753,"1D","FOLLOWING","TGT")</f>
        <v>43573</v>
      </c>
      <c r="G754" s="95">
        <f ca="1"/>
        <v>-2.4077885053442765E-3</v>
      </c>
      <c r="H754" s="92" t="s">
        <v>4</v>
      </c>
      <c r="I754" s="97">
        <f>_xll.meDateFromTenor(I753,"1D","FOLLOWING","TGT")</f>
        <v>43573</v>
      </c>
      <c r="J754" s="95">
        <f ca="1"/>
        <v>-1.1713320523559429E-3</v>
      </c>
      <c r="K754" s="5" t="s">
        <v>4</v>
      </c>
      <c r="L754" s="97">
        <f>_xll.meDateFromTenor(L753,"1D","FOLLOWING","TGT")</f>
        <v>43573</v>
      </c>
      <c r="M754" s="95">
        <f ca="1"/>
        <v>4.915907446476829E-4</v>
      </c>
      <c r="N754" s="5" t="s">
        <v>4</v>
      </c>
      <c r="O754" s="97">
        <f>_xll.meDateFromTenor(O753,"1D","FOLLOWING","TGT")</f>
        <v>43573</v>
      </c>
      <c r="P754" s="95">
        <f ca="1"/>
        <v>2.533560339079107E-3</v>
      </c>
      <c r="Q754" s="5" t="s">
        <v>4</v>
      </c>
      <c r="R754" s="83" t="s">
        <v>4</v>
      </c>
    </row>
    <row r="755" spans="1:18" x14ac:dyDescent="0.25">
      <c r="A755" s="88">
        <v>741</v>
      </c>
      <c r="B755" s="82"/>
      <c r="C755" s="97">
        <f>_xll.meDateFromTenor(C754,"1D","FOLLOWING","TGT")</f>
        <v>43578</v>
      </c>
      <c r="D755" s="95">
        <f ca="1"/>
        <v>-3.1650491504262579E-3</v>
      </c>
      <c r="E755" s="92"/>
      <c r="F755" s="97">
        <f>_xll.meDateFromTenor(F754,"1D","FOLLOWING","TGT")</f>
        <v>43578</v>
      </c>
      <c r="G755" s="95">
        <f ca="1"/>
        <v>-2.3873689343929362E-3</v>
      </c>
      <c r="H755" s="92" t="s">
        <v>4</v>
      </c>
      <c r="I755" s="97">
        <f>_xll.meDateFromTenor(I754,"1D","FOLLOWING","TGT")</f>
        <v>43578</v>
      </c>
      <c r="J755" s="95">
        <f ca="1"/>
        <v>-1.1479890479625728E-3</v>
      </c>
      <c r="K755" s="5" t="s">
        <v>4</v>
      </c>
      <c r="L755" s="97">
        <f>_xll.meDateFromTenor(L754,"1D","FOLLOWING","TGT")</f>
        <v>43578</v>
      </c>
      <c r="M755" s="95">
        <f ca="1"/>
        <v>5.1793181924827633E-4</v>
      </c>
      <c r="N755" s="5" t="s">
        <v>4</v>
      </c>
      <c r="O755" s="97">
        <f>_xll.meDateFromTenor(O754,"1D","FOLLOWING","TGT")</f>
        <v>43578</v>
      </c>
      <c r="P755" s="95">
        <f ca="1"/>
        <v>2.5599884164555975E-3</v>
      </c>
      <c r="Q755" s="5" t="s">
        <v>4</v>
      </c>
      <c r="R755" s="83" t="s">
        <v>4</v>
      </c>
    </row>
    <row r="756" spans="1:18" x14ac:dyDescent="0.25">
      <c r="A756" s="88">
        <v>742</v>
      </c>
      <c r="B756" s="82"/>
      <c r="C756" s="97">
        <f>_xll.meDateFromTenor(C755,"1D","FOLLOWING","TGT")</f>
        <v>43579</v>
      </c>
      <c r="D756" s="95">
        <f ca="1"/>
        <v>-3.1616411800965416E-3</v>
      </c>
      <c r="E756" s="92"/>
      <c r="F756" s="97">
        <f>_xll.meDateFromTenor(F755,"1D","FOLLOWING","TGT")</f>
        <v>43579</v>
      </c>
      <c r="G756" s="95">
        <f ca="1"/>
        <v>-2.3833178174753125E-3</v>
      </c>
      <c r="H756" s="92" t="s">
        <v>4</v>
      </c>
      <c r="I756" s="97">
        <f>_xll.meDateFromTenor(I755,"1D","FOLLOWING","TGT")</f>
        <v>43579</v>
      </c>
      <c r="J756" s="95">
        <f ca="1"/>
        <v>-1.143314187693998E-3</v>
      </c>
      <c r="K756" s="5" t="s">
        <v>4</v>
      </c>
      <c r="L756" s="97">
        <f>_xll.meDateFromTenor(L755,"1D","FOLLOWING","TGT")</f>
        <v>43579</v>
      </c>
      <c r="M756" s="95">
        <f ca="1"/>
        <v>5.2320776984565243E-4</v>
      </c>
      <c r="N756" s="5" t="s">
        <v>4</v>
      </c>
      <c r="O756" s="97">
        <f>_xll.meDateFromTenor(O755,"1D","FOLLOWING","TGT")</f>
        <v>43579</v>
      </c>
      <c r="P756" s="95">
        <f ca="1"/>
        <v>2.5652768746600098E-3</v>
      </c>
      <c r="Q756" s="5" t="s">
        <v>4</v>
      </c>
      <c r="R756" s="83" t="s">
        <v>4</v>
      </c>
    </row>
    <row r="757" spans="1:18" x14ac:dyDescent="0.25">
      <c r="A757" s="88">
        <v>743</v>
      </c>
      <c r="B757" s="82"/>
      <c r="C757" s="97">
        <f>_xll.meDateFromTenor(C756,"1D","FOLLOWING","TGT")</f>
        <v>43580</v>
      </c>
      <c r="D757" s="95">
        <f ca="1"/>
        <v>-3.1581945753651475E-3</v>
      </c>
      <c r="E757" s="92"/>
      <c r="F757" s="97">
        <f>_xll.meDateFromTenor(F756,"1D","FOLLOWING","TGT")</f>
        <v>43580</v>
      </c>
      <c r="G757" s="95">
        <f ca="1"/>
        <v>-2.3792805684755207E-3</v>
      </c>
      <c r="H757" s="92" t="s">
        <v>4</v>
      </c>
      <c r="I757" s="97">
        <f>_xll.meDateFromTenor(I756,"1D","FOLLOWING","TGT")</f>
        <v>43580</v>
      </c>
      <c r="J757" s="95">
        <f ca="1"/>
        <v>-1.1386371683296454E-3</v>
      </c>
      <c r="K757" s="5" t="s">
        <v>4</v>
      </c>
      <c r="L757" s="97">
        <f>_xll.meDateFromTenor(L756,"1D","FOLLOWING","TGT")</f>
        <v>43580</v>
      </c>
      <c r="M757" s="95">
        <f ca="1"/>
        <v>5.2848629864490611E-4</v>
      </c>
      <c r="N757" s="5" t="s">
        <v>4</v>
      </c>
      <c r="O757" s="97">
        <f>_xll.meDateFromTenor(O756,"1D","FOLLOWING","TGT")</f>
        <v>43580</v>
      </c>
      <c r="P757" s="95">
        <f ca="1"/>
        <v>2.5705662539758783E-3</v>
      </c>
      <c r="Q757" s="5" t="s">
        <v>4</v>
      </c>
      <c r="R757" s="83" t="s">
        <v>4</v>
      </c>
    </row>
    <row r="758" spans="1:18" x14ac:dyDescent="0.25">
      <c r="A758" s="88">
        <v>744</v>
      </c>
      <c r="B758" s="82"/>
      <c r="C758" s="97">
        <f>_xll.meDateFromTenor(C757,"1D","FOLLOWING","TGT")</f>
        <v>43581</v>
      </c>
      <c r="D758" s="95">
        <f ca="1"/>
        <v>-3.1547093364706624E-3</v>
      </c>
      <c r="E758" s="92"/>
      <c r="F758" s="97">
        <f>_xll.meDateFromTenor(F757,"1D","FOLLOWING","TGT")</f>
        <v>43581</v>
      </c>
      <c r="G758" s="95">
        <f ca="1"/>
        <v>-2.3752584454622512E-3</v>
      </c>
      <c r="H758" s="92" t="s">
        <v>4</v>
      </c>
      <c r="I758" s="97">
        <f>_xll.meDateFromTenor(I757,"1D","FOLLOWING","TGT")</f>
        <v>43581</v>
      </c>
      <c r="J758" s="95">
        <f ca="1"/>
        <v>-1.133957958741308E-3</v>
      </c>
      <c r="K758" s="5" t="s">
        <v>4</v>
      </c>
      <c r="L758" s="97">
        <f>_xll.meDateFromTenor(L757,"1D","FOLLOWING","TGT")</f>
        <v>43581</v>
      </c>
      <c r="M758" s="95">
        <f ca="1"/>
        <v>5.3376740549295019E-4</v>
      </c>
      <c r="N758" s="5" t="s">
        <v>4</v>
      </c>
      <c r="O758" s="97">
        <f>_xll.meDateFromTenor(O757,"1D","FOLLOWING","TGT")</f>
        <v>43581</v>
      </c>
      <c r="P758" s="95">
        <f ca="1"/>
        <v>2.5758565430610988E-3</v>
      </c>
      <c r="Q758" s="5" t="s">
        <v>4</v>
      </c>
      <c r="R758" s="83" t="s">
        <v>4</v>
      </c>
    </row>
    <row r="759" spans="1:18" x14ac:dyDescent="0.25">
      <c r="A759" s="88">
        <v>745</v>
      </c>
      <c r="B759" s="82"/>
      <c r="C759" s="97">
        <f>_xll.meDateFromTenor(C758,"1D","FOLLOWING","TGT")</f>
        <v>43584</v>
      </c>
      <c r="D759" s="95">
        <f ca="1"/>
        <v>-3.144021825646548E-3</v>
      </c>
      <c r="E759" s="92"/>
      <c r="F759" s="97">
        <f>_xll.meDateFromTenor(F758,"1D","FOLLOWING","TGT")</f>
        <v>43584</v>
      </c>
      <c r="G759" s="95">
        <f ca="1"/>
        <v>-2.3632954130285095E-3</v>
      </c>
      <c r="H759" s="92" t="s">
        <v>4</v>
      </c>
      <c r="I759" s="97">
        <f>_xll.meDateFromTenor(I758,"1D","FOLLOWING","TGT")</f>
        <v>43584</v>
      </c>
      <c r="J759" s="95">
        <f ca="1"/>
        <v>-1.119906877350344E-3</v>
      </c>
      <c r="K759" s="5" t="s">
        <v>4</v>
      </c>
      <c r="L759" s="97">
        <f>_xll.meDateFromTenor(L758,"1D","FOLLOWING","TGT")</f>
        <v>43584</v>
      </c>
      <c r="M759" s="95">
        <f ca="1"/>
        <v>5.4962619279892906E-4</v>
      </c>
      <c r="N759" s="5" t="s">
        <v>4</v>
      </c>
      <c r="O759" s="97">
        <f>_xll.meDateFromTenor(O758,"1D","FOLLOWING","TGT")</f>
        <v>43584</v>
      </c>
      <c r="P759" s="95">
        <f ca="1"/>
        <v>2.5917327555117996E-3</v>
      </c>
      <c r="Q759" s="5" t="s">
        <v>4</v>
      </c>
      <c r="R759" s="83" t="s">
        <v>4</v>
      </c>
    </row>
    <row r="760" spans="1:18" x14ac:dyDescent="0.25">
      <c r="A760" s="88">
        <v>746</v>
      </c>
      <c r="B760" s="82"/>
      <c r="C760" s="97">
        <f>_xll.meDateFromTenor(C759,"1D","FOLLOWING","TGT")</f>
        <v>43585</v>
      </c>
      <c r="D760" s="95">
        <f ca="1"/>
        <v>-3.1403820599195109E-3</v>
      </c>
      <c r="E760" s="92"/>
      <c r="F760" s="97">
        <f>_xll.meDateFromTenor(F759,"1D","FOLLOWING","TGT")</f>
        <v>43585</v>
      </c>
      <c r="G760" s="95">
        <f ca="1"/>
        <v>-2.3593463746482586E-3</v>
      </c>
      <c r="H760" s="92" t="s">
        <v>4</v>
      </c>
      <c r="I760" s="97">
        <f>_xll.meDateFromTenor(I759,"1D","FOLLOWING","TGT")</f>
        <v>43585</v>
      </c>
      <c r="J760" s="95">
        <f ca="1"/>
        <v>-1.1152185955840212E-3</v>
      </c>
      <c r="K760" s="5" t="s">
        <v>4</v>
      </c>
      <c r="L760" s="97">
        <f>_xll.meDateFromTenor(L759,"1D","FOLLOWING","TGT")</f>
        <v>43585</v>
      </c>
      <c r="M760" s="95">
        <f ca="1"/>
        <v>5.549176103112418E-4</v>
      </c>
      <c r="N760" s="5" t="s">
        <v>4</v>
      </c>
      <c r="O760" s="97">
        <f>_xll.meDateFromTenor(O759,"1D","FOLLOWING","TGT")</f>
        <v>43585</v>
      </c>
      <c r="P760" s="95">
        <f ca="1"/>
        <v>2.5970265702533603E-3</v>
      </c>
      <c r="Q760" s="5" t="s">
        <v>4</v>
      </c>
      <c r="R760" s="83" t="s">
        <v>4</v>
      </c>
    </row>
    <row r="761" spans="1:18" x14ac:dyDescent="0.25">
      <c r="A761" s="88">
        <v>747</v>
      </c>
      <c r="B761" s="82"/>
      <c r="C761" s="97">
        <f>_xll.meDateFromTenor(C760,"1D","FOLLOWING","TGT")</f>
        <v>43587</v>
      </c>
      <c r="D761" s="95">
        <f ca="1"/>
        <v>-3.132986640153157E-3</v>
      </c>
      <c r="E761" s="92"/>
      <c r="F761" s="97">
        <f>_xll.meDateFromTenor(F760,"1D","FOLLOWING","TGT")</f>
        <v>43587</v>
      </c>
      <c r="G761" s="95">
        <f ca="1"/>
        <v>-2.3515138049464081E-3</v>
      </c>
      <c r="H761" s="92" t="s">
        <v>4</v>
      </c>
      <c r="I761" s="97">
        <f>_xll.meDateFromTenor(I760,"1D","FOLLOWING","TGT")</f>
        <v>43587</v>
      </c>
      <c r="J761" s="95">
        <f ca="1"/>
        <v>-1.1058349633281434E-3</v>
      </c>
      <c r="K761" s="5" t="s">
        <v>4</v>
      </c>
      <c r="L761" s="97">
        <f>_xll.meDateFromTenor(L760,"1D","FOLLOWING","TGT")</f>
        <v>43587</v>
      </c>
      <c r="M761" s="95">
        <f ca="1"/>
        <v>5.6550817703281337E-4</v>
      </c>
      <c r="N761" s="5" t="s">
        <v>4</v>
      </c>
      <c r="O761" s="97">
        <f>_xll.meDateFromTenor(O760,"1D","FOLLOWING","TGT")</f>
        <v>43587</v>
      </c>
      <c r="P761" s="95">
        <f ca="1"/>
        <v>2.6076167475708335E-3</v>
      </c>
      <c r="Q761" s="5" t="s">
        <v>4</v>
      </c>
      <c r="R761" s="83" t="s">
        <v>4</v>
      </c>
    </row>
    <row r="762" spans="1:18" x14ac:dyDescent="0.25">
      <c r="A762" s="88">
        <v>748</v>
      </c>
      <c r="B762" s="82"/>
      <c r="C762" s="97">
        <f>_xll.meDateFromTenor(C761,"1D","FOLLOWING","TGT")</f>
        <v>43588</v>
      </c>
      <c r="D762" s="95">
        <f ca="1"/>
        <v>-3.1292309878068192E-3</v>
      </c>
      <c r="E762" s="92"/>
      <c r="F762" s="97">
        <f>_xll.meDateFromTenor(F761,"1D","FOLLOWING","TGT")</f>
        <v>43588</v>
      </c>
      <c r="G762" s="95">
        <f ca="1"/>
        <v>-2.347632281153336E-3</v>
      </c>
      <c r="H762" s="92" t="s">
        <v>4</v>
      </c>
      <c r="I762" s="97">
        <f>_xll.meDateFromTenor(I761,"1D","FOLLOWING","TGT")</f>
        <v>43588</v>
      </c>
      <c r="J762" s="95">
        <f ca="1"/>
        <v>-1.1011395505821783E-3</v>
      </c>
      <c r="K762" s="5" t="s">
        <v>4</v>
      </c>
      <c r="L762" s="97">
        <f>_xll.meDateFromTenor(L761,"1D","FOLLOWING","TGT")</f>
        <v>43588</v>
      </c>
      <c r="M762" s="95">
        <f ca="1"/>
        <v>5.7080732593589437E-4</v>
      </c>
      <c r="N762" s="5" t="s">
        <v>4</v>
      </c>
      <c r="O762" s="97">
        <f>_xll.meDateFromTenor(O761,"1D","FOLLOWING","TGT")</f>
        <v>43588</v>
      </c>
      <c r="P762" s="95">
        <f ca="1"/>
        <v>2.6129130874625334E-3</v>
      </c>
      <c r="Q762" s="5" t="s">
        <v>4</v>
      </c>
      <c r="R762" s="83" t="s">
        <v>4</v>
      </c>
    </row>
    <row r="763" spans="1:18" x14ac:dyDescent="0.25">
      <c r="A763" s="88">
        <v>749</v>
      </c>
      <c r="B763" s="82"/>
      <c r="C763" s="97">
        <f>_xll.meDateFromTenor(C762,"1D","FOLLOWING","TGT")</f>
        <v>43591</v>
      </c>
      <c r="D763" s="95">
        <f ca="1"/>
        <v>-3.1177322701808619E-3</v>
      </c>
      <c r="E763" s="92"/>
      <c r="F763" s="97">
        <f>_xll.meDateFromTenor(F762,"1D","FOLLOWING","TGT")</f>
        <v>43591</v>
      </c>
      <c r="G763" s="95">
        <f ca="1"/>
        <v>-2.336113368733835E-3</v>
      </c>
      <c r="H763" s="92" t="s">
        <v>4</v>
      </c>
      <c r="I763" s="97">
        <f>_xll.meDateFromTenor(I762,"1D","FOLLOWING","TGT")</f>
        <v>43591</v>
      </c>
      <c r="J763" s="95">
        <f ca="1"/>
        <v>-1.0870385523337178E-3</v>
      </c>
      <c r="K763" s="5" t="s">
        <v>4</v>
      </c>
      <c r="L763" s="97">
        <f>_xll.meDateFromTenor(L762,"1D","FOLLOWING","TGT")</f>
        <v>43591</v>
      </c>
      <c r="M763" s="95">
        <f ca="1"/>
        <v>5.8672023297725044E-4</v>
      </c>
      <c r="N763" s="5" t="s">
        <v>4</v>
      </c>
      <c r="O763" s="97">
        <f>_xll.meDateFromTenor(O762,"1D","FOLLOWING","TGT")</f>
        <v>43591</v>
      </c>
      <c r="P763" s="95">
        <f ca="1"/>
        <v>2.628806975964214E-3</v>
      </c>
      <c r="Q763" s="5" t="s">
        <v>4</v>
      </c>
      <c r="R763" s="83" t="s">
        <v>4</v>
      </c>
    </row>
    <row r="764" spans="1:18" x14ac:dyDescent="0.25">
      <c r="A764" s="88">
        <v>750</v>
      </c>
      <c r="B764" s="82"/>
      <c r="C764" s="97">
        <f>_xll.meDateFromTenor(C763,"1D","FOLLOWING","TGT")</f>
        <v>43592</v>
      </c>
      <c r="D764" s="95">
        <f ca="1"/>
        <v>-3.1138221134662247E-3</v>
      </c>
      <c r="E764" s="92"/>
      <c r="F764" s="97">
        <f>_xll.meDateFromTenor(F763,"1D","FOLLOWING","TGT")</f>
        <v>43592</v>
      </c>
      <c r="G764" s="95">
        <f ca="1"/>
        <v>-2.3323096389657356E-3</v>
      </c>
      <c r="H764" s="92" t="s">
        <v>4</v>
      </c>
      <c r="I764" s="97">
        <f>_xll.meDateFromTenor(I763,"1D","FOLLOWING","TGT")</f>
        <v>43592</v>
      </c>
      <c r="J764" s="95">
        <f ca="1"/>
        <v>-1.0823331958200262E-3</v>
      </c>
      <c r="K764" s="5" t="s">
        <v>4</v>
      </c>
      <c r="L764" s="97">
        <f>_xll.meDateFromTenor(L763,"1D","FOLLOWING","TGT")</f>
        <v>43592</v>
      </c>
      <c r="M764" s="95">
        <f ca="1"/>
        <v>5.9202968825811022E-4</v>
      </c>
      <c r="N764" s="5" t="s">
        <v>4</v>
      </c>
      <c r="O764" s="97">
        <f>_xll.meDateFromTenor(O763,"1D","FOLLOWING","TGT")</f>
        <v>43592</v>
      </c>
      <c r="P764" s="95">
        <f ca="1"/>
        <v>2.6341065239332789E-3</v>
      </c>
      <c r="Q764" s="5" t="s">
        <v>4</v>
      </c>
      <c r="R764" s="83" t="s">
        <v>4</v>
      </c>
    </row>
    <row r="765" spans="1:18" x14ac:dyDescent="0.25">
      <c r="A765" s="88">
        <v>751</v>
      </c>
      <c r="B765" s="82"/>
      <c r="C765" s="97">
        <f>_xll.meDateFromTenor(C764,"1D","FOLLOWING","TGT")</f>
        <v>43593</v>
      </c>
      <c r="D765" s="95">
        <f ca="1"/>
        <v>-3.109873332426627E-3</v>
      </c>
      <c r="E765" s="92"/>
      <c r="F765" s="97">
        <f>_xll.meDateFromTenor(F764,"1D","FOLLOWING","TGT")</f>
        <v>43593</v>
      </c>
      <c r="G765" s="95">
        <f ca="1"/>
        <v>-2.3285208737427506E-3</v>
      </c>
      <c r="H765" s="92" t="s">
        <v>4</v>
      </c>
      <c r="I765" s="97">
        <f>_xll.meDateFromTenor(I764,"1D","FOLLOWING","TGT")</f>
        <v>43593</v>
      </c>
      <c r="J765" s="95">
        <f ca="1"/>
        <v>-1.0776252755438894E-3</v>
      </c>
      <c r="K765" s="5" t="s">
        <v>4</v>
      </c>
      <c r="L765" s="97">
        <f>_xll.meDateFromTenor(L764,"1D","FOLLOWING","TGT")</f>
        <v>43593</v>
      </c>
      <c r="M765" s="95">
        <f ca="1"/>
        <v>5.9734171975069365E-4</v>
      </c>
      <c r="N765" s="5" t="s">
        <v>4</v>
      </c>
      <c r="O765" s="97">
        <f>_xll.meDateFromTenor(O764,"1D","FOLLOWING","TGT")</f>
        <v>43593</v>
      </c>
      <c r="P765" s="95">
        <f ca="1"/>
        <v>2.6394068455664211E-3</v>
      </c>
      <c r="Q765" s="5" t="s">
        <v>4</v>
      </c>
      <c r="R765" s="83" t="s">
        <v>4</v>
      </c>
    </row>
    <row r="766" spans="1:18" x14ac:dyDescent="0.25">
      <c r="A766" s="88">
        <v>752</v>
      </c>
      <c r="B766" s="82"/>
      <c r="C766" s="97">
        <f>_xll.meDateFromTenor(C765,"1D","FOLLOWING","TGT")</f>
        <v>43594</v>
      </c>
      <c r="D766" s="95">
        <f ca="1"/>
        <v>-3.1058859279192719E-3</v>
      </c>
      <c r="E766" s="92"/>
      <c r="F766" s="97">
        <f>_xll.meDateFromTenor(F765,"1D","FOLLOWING","TGT")</f>
        <v>43594</v>
      </c>
      <c r="G766" s="95">
        <f ca="1"/>
        <v>-2.3247452794804297E-3</v>
      </c>
      <c r="H766" s="92" t="s">
        <v>4</v>
      </c>
      <c r="I766" s="97">
        <f>_xll.meDateFromTenor(I765,"1D","FOLLOWING","TGT")</f>
        <v>43594</v>
      </c>
      <c r="J766" s="95">
        <f ca="1"/>
        <v>-1.072914760377103E-3</v>
      </c>
      <c r="K766" s="5" t="s">
        <v>4</v>
      </c>
      <c r="L766" s="97">
        <f>_xll.meDateFromTenor(L765,"1D","FOLLOWING","TGT")</f>
        <v>43594</v>
      </c>
      <c r="M766" s="95">
        <f ca="1"/>
        <v>6.0265632730191075E-4</v>
      </c>
      <c r="N766" s="5" t="s">
        <v>4</v>
      </c>
      <c r="O766" s="97">
        <f>_xll.meDateFromTenor(O765,"1D","FOLLOWING","TGT")</f>
        <v>43594</v>
      </c>
      <c r="P766" s="95">
        <f ca="1"/>
        <v>2.6447079295215331E-3</v>
      </c>
      <c r="Q766" s="5" t="s">
        <v>4</v>
      </c>
      <c r="R766" s="83" t="s">
        <v>4</v>
      </c>
    </row>
    <row r="767" spans="1:18" x14ac:dyDescent="0.25">
      <c r="A767" s="88">
        <v>753</v>
      </c>
      <c r="B767" s="82"/>
      <c r="C767" s="97">
        <f>_xll.meDateFromTenor(C766,"1D","FOLLOWING","TGT")</f>
        <v>43595</v>
      </c>
      <c r="D767" s="95">
        <f ca="1"/>
        <v>-3.1018599007970327E-3</v>
      </c>
      <c r="E767" s="92"/>
      <c r="F767" s="97">
        <f>_xll.meDateFromTenor(F766,"1D","FOLLOWING","TGT")</f>
        <v>43595</v>
      </c>
      <c r="G767" s="95">
        <f ca="1"/>
        <v>-2.3209810625943218E-3</v>
      </c>
      <c r="H767" s="92" t="s">
        <v>4</v>
      </c>
      <c r="I767" s="97">
        <f>_xll.meDateFromTenor(I766,"1D","FOLLOWING","TGT")</f>
        <v>43595</v>
      </c>
      <c r="J767" s="95">
        <f ca="1"/>
        <v>-1.0682016191914622E-3</v>
      </c>
      <c r="K767" s="5" t="s">
        <v>4</v>
      </c>
      <c r="L767" s="97">
        <f>_xll.meDateFromTenor(L766,"1D","FOLLOWING","TGT")</f>
        <v>43595</v>
      </c>
      <c r="M767" s="95">
        <f ca="1"/>
        <v>6.079735107586727E-4</v>
      </c>
      <c r="N767" s="5" t="s">
        <v>4</v>
      </c>
      <c r="O767" s="97">
        <f>_xll.meDateFromTenor(O766,"1D","FOLLOWING","TGT")</f>
        <v>43595</v>
      </c>
      <c r="P767" s="95">
        <f ca="1"/>
        <v>2.650009764456509E-3</v>
      </c>
      <c r="Q767" s="5" t="s">
        <v>4</v>
      </c>
      <c r="R767" s="83" t="s">
        <v>4</v>
      </c>
    </row>
    <row r="768" spans="1:18" x14ac:dyDescent="0.25">
      <c r="A768" s="88">
        <v>754</v>
      </c>
      <c r="B768" s="82"/>
      <c r="C768" s="97">
        <f>_xll.meDateFromTenor(C767,"1D","FOLLOWING","TGT")</f>
        <v>43598</v>
      </c>
      <c r="D768" s="95">
        <f ca="1"/>
        <v>-3.0895500904090101E-3</v>
      </c>
      <c r="E768" s="92"/>
      <c r="F768" s="97">
        <f>_xll.meDateFromTenor(F767,"1D","FOLLOWING","TGT")</f>
        <v>43598</v>
      </c>
      <c r="G768" s="95">
        <f ca="1"/>
        <v>-2.3097387403487623E-3</v>
      </c>
      <c r="H768" s="92" t="s">
        <v>4</v>
      </c>
      <c r="I768" s="97">
        <f>_xll.meDateFromTenor(I767,"1D","FOLLOWING","TGT")</f>
        <v>43598</v>
      </c>
      <c r="J768" s="95">
        <f ca="1"/>
        <v>-1.0540461282393619E-3</v>
      </c>
      <c r="K768" s="5" t="s">
        <v>4</v>
      </c>
      <c r="L768" s="97">
        <f>_xll.meDateFromTenor(L767,"1D","FOLLOWING","TGT")</f>
        <v>43598</v>
      </c>
      <c r="M768" s="95">
        <f ca="1"/>
        <v>6.2394051503133802E-4</v>
      </c>
      <c r="N768" s="5" t="s">
        <v>4</v>
      </c>
      <c r="O768" s="97">
        <f>_xll.meDateFromTenor(O767,"1D","FOLLOWING","TGT")</f>
        <v>43598</v>
      </c>
      <c r="P768" s="95">
        <f ca="1"/>
        <v>2.6659196617195534E-3</v>
      </c>
      <c r="Q768" s="5" t="s">
        <v>4</v>
      </c>
      <c r="R768" s="83" t="s">
        <v>4</v>
      </c>
    </row>
    <row r="769" spans="1:18" x14ac:dyDescent="0.25">
      <c r="A769" s="88">
        <v>755</v>
      </c>
      <c r="B769" s="82"/>
      <c r="C769" s="97">
        <f>_xll.meDateFromTenor(C768,"1D","FOLLOWING","TGT")</f>
        <v>43599</v>
      </c>
      <c r="D769" s="95">
        <f ca="1"/>
        <v>-3.0853695797917746E-3</v>
      </c>
      <c r="E769" s="92"/>
      <c r="F769" s="97">
        <f>_xll.meDateFromTenor(F768,"1D","FOLLOWING","TGT")</f>
        <v>43599</v>
      </c>
      <c r="G769" s="95">
        <f ca="1"/>
        <v>-2.3060020971229925E-3</v>
      </c>
      <c r="H769" s="92" t="s">
        <v>4</v>
      </c>
      <c r="I769" s="97">
        <f>_xll.meDateFromTenor(I768,"1D","FOLLOWING","TGT")</f>
        <v>43599</v>
      </c>
      <c r="J769" s="95">
        <f ca="1"/>
        <v>-1.0493221716962522E-3</v>
      </c>
      <c r="K769" s="5" t="s">
        <v>4</v>
      </c>
      <c r="L769" s="97">
        <f>_xll.meDateFromTenor(L768,"1D","FOLLOWING","TGT")</f>
        <v>43599</v>
      </c>
      <c r="M769" s="95">
        <f ca="1"/>
        <v>6.2926800057939059E-4</v>
      </c>
      <c r="N769" s="5" t="s">
        <v>4</v>
      </c>
      <c r="O769" s="97">
        <f>_xll.meDateFromTenor(O768,"1D","FOLLOWING","TGT")</f>
        <v>43599</v>
      </c>
      <c r="P769" s="95">
        <f ca="1"/>
        <v>2.6712243871529207E-3</v>
      </c>
      <c r="Q769" s="5" t="s">
        <v>4</v>
      </c>
      <c r="R769" s="83" t="s">
        <v>4</v>
      </c>
    </row>
    <row r="770" spans="1:18" x14ac:dyDescent="0.25">
      <c r="A770" s="88">
        <v>756</v>
      </c>
      <c r="B770" s="82"/>
      <c r="C770" s="97">
        <f>_xll.meDateFromTenor(C769,"1D","FOLLOWING","TGT")</f>
        <v>43600</v>
      </c>
      <c r="D770" s="95">
        <f ca="1"/>
        <v>-3.0811504499200781E-3</v>
      </c>
      <c r="E770" s="92"/>
      <c r="F770" s="97">
        <f>_xll.meDateFromTenor(F769,"1D","FOLLOWING","TGT")</f>
        <v>43600</v>
      </c>
      <c r="G770" s="95">
        <f ca="1"/>
        <v>-2.3022678633511798E-3</v>
      </c>
      <c r="H770" s="92" t="s">
        <v>4</v>
      </c>
      <c r="I770" s="97">
        <f>_xll.meDateFromTenor(I769,"1D","FOLLOWING","TGT")</f>
        <v>43600</v>
      </c>
      <c r="J770" s="95">
        <f ca="1"/>
        <v>-1.0445954334932625E-3</v>
      </c>
      <c r="K770" s="5" t="s">
        <v>4</v>
      </c>
      <c r="L770" s="97">
        <f>_xll.meDateFromTenor(L769,"1D","FOLLOWING","TGT")</f>
        <v>43600</v>
      </c>
      <c r="M770" s="95">
        <f ca="1"/>
        <v>6.3459806126754345E-4</v>
      </c>
      <c r="N770" s="5" t="s">
        <v>4</v>
      </c>
      <c r="O770" s="97">
        <f>_xll.meDateFromTenor(O769,"1D","FOLLOWING","TGT")</f>
        <v>43600</v>
      </c>
      <c r="P770" s="95">
        <f ca="1"/>
        <v>2.6765298068556196E-3</v>
      </c>
      <c r="Q770" s="5" t="s">
        <v>4</v>
      </c>
      <c r="R770" s="83" t="s">
        <v>4</v>
      </c>
    </row>
    <row r="771" spans="1:18" x14ac:dyDescent="0.25">
      <c r="A771" s="88">
        <v>757</v>
      </c>
      <c r="B771" s="82"/>
      <c r="C771" s="97">
        <f>_xll.meDateFromTenor(C770,"1D","FOLLOWING","TGT")</f>
        <v>43601</v>
      </c>
      <c r="D771" s="95">
        <f ca="1"/>
        <v>-3.0768927015404346E-3</v>
      </c>
      <c r="E771" s="92"/>
      <c r="F771" s="97">
        <f>_xll.meDateFromTenor(F770,"1D","FOLLOWING","TGT")</f>
        <v>43601</v>
      </c>
      <c r="G771" s="95">
        <f ca="1"/>
        <v>-2.2985342454488731E-3</v>
      </c>
      <c r="H771" s="92" t="s">
        <v>4</v>
      </c>
      <c r="I771" s="97">
        <f>_xll.meDateFromTenor(I770,"1D","FOLLOWING","TGT")</f>
        <v>43601</v>
      </c>
      <c r="J771" s="95">
        <f ca="1"/>
        <v>-1.0398658825021886E-3</v>
      </c>
      <c r="K771" s="5" t="s">
        <v>4</v>
      </c>
      <c r="L771" s="97">
        <f>_xll.meDateFromTenor(L770,"1D","FOLLOWING","TGT")</f>
        <v>43601</v>
      </c>
      <c r="M771" s="95">
        <f ca="1"/>
        <v>6.3993069694270703E-4</v>
      </c>
      <c r="N771" s="5" t="s">
        <v>4</v>
      </c>
      <c r="O771" s="97">
        <f>_xll.meDateFromTenor(O770,"1D","FOLLOWING","TGT")</f>
        <v>43601</v>
      </c>
      <c r="P771" s="95">
        <f ca="1"/>
        <v>2.6818359094855446E-3</v>
      </c>
      <c r="Q771" s="5" t="s">
        <v>4</v>
      </c>
      <c r="R771" s="83" t="s">
        <v>4</v>
      </c>
    </row>
    <row r="772" spans="1:18" x14ac:dyDescent="0.25">
      <c r="A772" s="88">
        <v>758</v>
      </c>
      <c r="B772" s="82"/>
      <c r="C772" s="97">
        <f>_xll.meDateFromTenor(C771,"1D","FOLLOWING","TGT")</f>
        <v>43602</v>
      </c>
      <c r="D772" s="95">
        <f ca="1"/>
        <v>-3.072596335514044E-3</v>
      </c>
      <c r="E772" s="92"/>
      <c r="F772" s="97">
        <f>_xll.meDateFromTenor(F771,"1D","FOLLOWING","TGT")</f>
        <v>43602</v>
      </c>
      <c r="G772" s="95">
        <f ca="1"/>
        <v>-2.2947994498316196E-3</v>
      </c>
      <c r="H772" s="92" t="s">
        <v>4</v>
      </c>
      <c r="I772" s="97">
        <f>_xll.meDateFromTenor(I771,"1D","FOLLOWING","TGT")</f>
        <v>43602</v>
      </c>
      <c r="J772" s="95">
        <f ca="1"/>
        <v>-1.0351334875948238E-3</v>
      </c>
      <c r="K772" s="5" t="s">
        <v>4</v>
      </c>
      <c r="L772" s="97">
        <f>_xll.meDateFromTenor(L771,"1D","FOLLOWING","TGT")</f>
        <v>43602</v>
      </c>
      <c r="M772" s="95">
        <f ca="1"/>
        <v>6.4526590745179384E-4</v>
      </c>
      <c r="N772" s="5" t="s">
        <v>4</v>
      </c>
      <c r="O772" s="97">
        <f>_xll.meDateFromTenor(O771,"1D","FOLLOWING","TGT")</f>
        <v>43602</v>
      </c>
      <c r="P772" s="95">
        <f ca="1"/>
        <v>2.6871426837005901E-3</v>
      </c>
      <c r="Q772" s="5" t="s">
        <v>4</v>
      </c>
      <c r="R772" s="83" t="s">
        <v>4</v>
      </c>
    </row>
    <row r="773" spans="1:18" x14ac:dyDescent="0.25">
      <c r="A773" s="88">
        <v>759</v>
      </c>
      <c r="B773" s="82"/>
      <c r="C773" s="97">
        <f>_xll.meDateFromTenor(C772,"1D","FOLLOWING","TGT")</f>
        <v>43605</v>
      </c>
      <c r="D773" s="95">
        <f ca="1"/>
        <v>-3.0594755373939408E-3</v>
      </c>
      <c r="E773" s="92"/>
      <c r="F773" s="97">
        <f>_xll.meDateFromTenor(F772,"1D","FOLLOWING","TGT")</f>
        <v>43605</v>
      </c>
      <c r="G773" s="95">
        <f ca="1"/>
        <v>-2.2835700608456739E-3</v>
      </c>
      <c r="H773" s="92" t="s">
        <v>4</v>
      </c>
      <c r="I773" s="97">
        <f>_xll.meDateFromTenor(I772,"1D","FOLLOWING","TGT")</f>
        <v>43605</v>
      </c>
      <c r="J773" s="95">
        <f ca="1"/>
        <v>-1.0209189280929393E-3</v>
      </c>
      <c r="K773" s="5" t="s">
        <v>4</v>
      </c>
      <c r="L773" s="97">
        <f>_xll.meDateFromTenor(L772,"1D","FOLLOWING","TGT")</f>
        <v>43605</v>
      </c>
      <c r="M773" s="95">
        <f ca="1"/>
        <v>6.6128698645170122E-4</v>
      </c>
      <c r="N773" s="5" t="s">
        <v>4</v>
      </c>
      <c r="O773" s="97">
        <f>_xll.meDateFromTenor(O772,"1D","FOLLOWING","TGT")</f>
        <v>43605</v>
      </c>
      <c r="P773" s="95">
        <f ca="1"/>
        <v>2.7030669224353838E-3</v>
      </c>
      <c r="Q773" s="5" t="s">
        <v>4</v>
      </c>
      <c r="R773" s="83" t="s">
        <v>4</v>
      </c>
    </row>
    <row r="774" spans="1:18" x14ac:dyDescent="0.25">
      <c r="A774" s="88">
        <v>760</v>
      </c>
      <c r="B774" s="82"/>
      <c r="C774" s="97">
        <f>_xll.meDateFromTenor(C773,"1D","FOLLOWING","TGT")</f>
        <v>43606</v>
      </c>
      <c r="D774" s="95">
        <f ca="1"/>
        <v>-3.0550247069560665E-3</v>
      </c>
      <c r="E774" s="92"/>
      <c r="F774" s="97">
        <f>_xll.meDateFromTenor(F773,"1D","FOLLOWING","TGT")</f>
        <v>43606</v>
      </c>
      <c r="G774" s="95">
        <f ca="1"/>
        <v>-2.279812618524126E-3</v>
      </c>
      <c r="H774" s="92" t="s">
        <v>4</v>
      </c>
      <c r="I774" s="97">
        <f>_xll.meDateFromTenor(I773,"1D","FOLLOWING","TGT")</f>
        <v>43606</v>
      </c>
      <c r="J774" s="95">
        <f ca="1"/>
        <v>-1.0161748462383651E-3</v>
      </c>
      <c r="K774" s="5" t="s">
        <v>4</v>
      </c>
      <c r="L774" s="97">
        <f>_xll.meDateFromTenor(L773,"1D","FOLLOWING","TGT")</f>
        <v>43606</v>
      </c>
      <c r="M774" s="95">
        <f ca="1"/>
        <v>6.6663249476558864E-4</v>
      </c>
      <c r="N774" s="5" t="s">
        <v>4</v>
      </c>
      <c r="O774" s="97">
        <f>_xll.meDateFromTenor(O773,"1D","FOLLOWING","TGT")</f>
        <v>43606</v>
      </c>
      <c r="P774" s="95">
        <f ca="1"/>
        <v>2.7083762695698462E-3</v>
      </c>
      <c r="Q774" s="5" t="s">
        <v>4</v>
      </c>
      <c r="R774" s="83" t="s">
        <v>4</v>
      </c>
    </row>
    <row r="775" spans="1:18" x14ac:dyDescent="0.25">
      <c r="A775" s="88">
        <v>761</v>
      </c>
      <c r="B775" s="82"/>
      <c r="C775" s="97">
        <f>_xll.meDateFromTenor(C774,"1D","FOLLOWING","TGT")</f>
        <v>43607</v>
      </c>
      <c r="D775" s="95">
        <f ca="1"/>
        <v>-3.0505352617971049E-3</v>
      </c>
      <c r="E775" s="92"/>
      <c r="F775" s="97">
        <f>_xll.meDateFromTenor(F774,"1D","FOLLOWING","TGT")</f>
        <v>43607</v>
      </c>
      <c r="G775" s="95">
        <f ca="1"/>
        <v>-2.2760450305653762E-3</v>
      </c>
      <c r="H775" s="92" t="s">
        <v>4</v>
      </c>
      <c r="I775" s="97">
        <f>_xll.meDateFromTenor(I774,"1D","FOLLOWING","TGT")</f>
        <v>43607</v>
      </c>
      <c r="J775" s="95">
        <f ca="1"/>
        <v>-1.0114277648264746E-3</v>
      </c>
      <c r="K775" s="5" t="s">
        <v>4</v>
      </c>
      <c r="L775" s="97">
        <f>_xll.meDateFromTenor(L774,"1D","FOLLOWING","TGT")</f>
        <v>43607</v>
      </c>
      <c r="M775" s="95">
        <f ca="1"/>
        <v>6.7198057714795516E-4</v>
      </c>
      <c r="N775" s="5" t="s">
        <v>4</v>
      </c>
      <c r="O775" s="97">
        <f>_xll.meDateFromTenor(O774,"1D","FOLLOWING","TGT")</f>
        <v>43607</v>
      </c>
      <c r="P775" s="95">
        <f ca="1"/>
        <v>2.7136862315788979E-3</v>
      </c>
      <c r="Q775" s="5" t="s">
        <v>4</v>
      </c>
      <c r="R775" s="83" t="s">
        <v>4</v>
      </c>
    </row>
    <row r="776" spans="1:18" x14ac:dyDescent="0.25">
      <c r="A776" s="88">
        <v>762</v>
      </c>
      <c r="B776" s="82"/>
      <c r="C776" s="97">
        <f>_xll.meDateFromTenor(C775,"1D","FOLLOWING","TGT")</f>
        <v>43608</v>
      </c>
      <c r="D776" s="95">
        <f ca="1"/>
        <v>-3.0460072029909746E-3</v>
      </c>
      <c r="E776" s="92"/>
      <c r="F776" s="97">
        <f>_xll.meDateFromTenor(F775,"1D","FOLLOWING","TGT")</f>
        <v>43608</v>
      </c>
      <c r="G776" s="95">
        <f ca="1"/>
        <v>-2.2722655033849725E-3</v>
      </c>
      <c r="H776" s="92" t="s">
        <v>4</v>
      </c>
      <c r="I776" s="97">
        <f>_xll.meDateFromTenor(I775,"1D","FOLLOWING","TGT")</f>
        <v>43608</v>
      </c>
      <c r="J776" s="95">
        <f ca="1"/>
        <v>-1.0066776527290638E-3</v>
      </c>
      <c r="K776" s="5" t="s">
        <v>4</v>
      </c>
      <c r="L776" s="97">
        <f>_xll.meDateFromTenor(L775,"1D","FOLLOWING","TGT")</f>
        <v>43608</v>
      </c>
      <c r="M776" s="95">
        <f ca="1"/>
        <v>6.7733123344571077E-4</v>
      </c>
      <c r="N776" s="5" t="s">
        <v>4</v>
      </c>
      <c r="O776" s="97">
        <f>_xll.meDateFromTenor(O775,"1D","FOLLOWING","TGT")</f>
        <v>43608</v>
      </c>
      <c r="P776" s="95">
        <f ca="1"/>
        <v>2.7189967971204322E-3</v>
      </c>
      <c r="Q776" s="5" t="s">
        <v>4</v>
      </c>
      <c r="R776" s="83" t="s">
        <v>4</v>
      </c>
    </row>
    <row r="777" spans="1:18" x14ac:dyDescent="0.25">
      <c r="A777" s="88">
        <v>763</v>
      </c>
      <c r="B777" s="82"/>
      <c r="C777" s="97">
        <f>_xll.meDateFromTenor(C776,"1D","FOLLOWING","TGT")</f>
        <v>43609</v>
      </c>
      <c r="D777" s="95">
        <f ca="1"/>
        <v>-3.0414405306508074E-3</v>
      </c>
      <c r="E777" s="92"/>
      <c r="F777" s="97">
        <f>_xll.meDateFromTenor(F776,"1D","FOLLOWING","TGT")</f>
        <v>43609</v>
      </c>
      <c r="G777" s="95">
        <f ca="1"/>
        <v>-2.268472243398466E-3</v>
      </c>
      <c r="H777" s="92" t="s">
        <v>4</v>
      </c>
      <c r="I777" s="97">
        <f>_xll.meDateFromTenor(I776,"1D","FOLLOWING","TGT")</f>
        <v>43609</v>
      </c>
      <c r="J777" s="95">
        <f ca="1"/>
        <v>-1.0019244788179275E-3</v>
      </c>
      <c r="K777" s="5" t="s">
        <v>4</v>
      </c>
      <c r="L777" s="97">
        <f>_xll.meDateFromTenor(L776,"1D","FOLLOWING","TGT")</f>
        <v>43609</v>
      </c>
      <c r="M777" s="95">
        <f ca="1"/>
        <v>6.8268446350576667E-4</v>
      </c>
      <c r="N777" s="5" t="s">
        <v>4</v>
      </c>
      <c r="O777" s="97">
        <f>_xll.meDateFromTenor(O776,"1D","FOLLOWING","TGT")</f>
        <v>43609</v>
      </c>
      <c r="P777" s="95">
        <f ca="1"/>
        <v>2.7243079548523426E-3</v>
      </c>
      <c r="Q777" s="5" t="s">
        <v>4</v>
      </c>
      <c r="R777" s="83" t="s">
        <v>4</v>
      </c>
    </row>
    <row r="778" spans="1:18" x14ac:dyDescent="0.25">
      <c r="A778" s="88">
        <v>764</v>
      </c>
      <c r="B778" s="82"/>
      <c r="C778" s="97">
        <f>_xll.meDateFromTenor(C777,"1D","FOLLOWING","TGT")</f>
        <v>43612</v>
      </c>
      <c r="D778" s="95">
        <f ca="1"/>
        <v>-3.027508840502291E-3</v>
      </c>
      <c r="E778" s="92"/>
      <c r="F778" s="97">
        <f>_xll.meDateFromTenor(F777,"1D","FOLLOWING","TGT")</f>
        <v>43612</v>
      </c>
      <c r="G778" s="95">
        <f ca="1"/>
        <v>-2.2569921307578067E-3</v>
      </c>
      <c r="H778" s="92" t="s">
        <v>4</v>
      </c>
      <c r="I778" s="97">
        <f>_xll.meDateFromTenor(I777,"1D","FOLLOWING","TGT")</f>
        <v>43612</v>
      </c>
      <c r="J778" s="95">
        <f ca="1"/>
        <v>-9.8764627492011641E-4</v>
      </c>
      <c r="K778" s="5" t="s">
        <v>4</v>
      </c>
      <c r="L778" s="97">
        <f>_xll.meDateFromTenor(L777,"1D","FOLLOWING","TGT")</f>
        <v>43612</v>
      </c>
      <c r="M778" s="95">
        <f ca="1"/>
        <v>6.9875959472884643E-4</v>
      </c>
      <c r="N778" s="5" t="s">
        <v>4</v>
      </c>
      <c r="O778" s="97">
        <f>_xll.meDateFromTenor(O777,"1D","FOLLOWING","TGT")</f>
        <v>43612</v>
      </c>
      <c r="P778" s="95">
        <f ca="1"/>
        <v>2.7402448677692698E-3</v>
      </c>
      <c r="Q778" s="5" t="s">
        <v>4</v>
      </c>
      <c r="R778" s="83" t="s">
        <v>4</v>
      </c>
    </row>
    <row r="779" spans="1:18" x14ac:dyDescent="0.25">
      <c r="A779" s="88">
        <v>765</v>
      </c>
      <c r="B779" s="82"/>
      <c r="C779" s="97">
        <f>_xll.meDateFromTenor(C778,"1D","FOLLOWING","TGT")</f>
        <v>43613</v>
      </c>
      <c r="D779" s="95">
        <f ca="1"/>
        <v>-3.0227877211238541E-3</v>
      </c>
      <c r="E779" s="92"/>
      <c r="F779" s="97">
        <f>_xll.meDateFromTenor(F778,"1D","FOLLOWING","TGT")</f>
        <v>43613</v>
      </c>
      <c r="G779" s="95">
        <f ca="1"/>
        <v>-2.2531260037023707E-3</v>
      </c>
      <c r="H779" s="92" t="s">
        <v>4</v>
      </c>
      <c r="I779" s="97">
        <f>_xll.meDateFromTenor(I778,"1D","FOLLOWING","TGT")</f>
        <v>43613</v>
      </c>
      <c r="J779" s="95">
        <f ca="1"/>
        <v>-9.8288054247202823E-4</v>
      </c>
      <c r="K779" s="5" t="s">
        <v>4</v>
      </c>
      <c r="L779" s="97">
        <f>_xll.meDateFromTenor(L778,"1D","FOLLOWING","TGT")</f>
        <v>43613</v>
      </c>
      <c r="M779" s="95">
        <f ca="1"/>
        <v>7.0412311830721447E-4</v>
      </c>
      <c r="N779" s="5" t="s">
        <v>4</v>
      </c>
      <c r="O779" s="97">
        <f>_xll.meDateFromTenor(O778,"1D","FOLLOWING","TGT")</f>
        <v>43613</v>
      </c>
      <c r="P779" s="95">
        <f ca="1"/>
        <v>2.7455582808416233E-3</v>
      </c>
      <c r="Q779" s="5" t="s">
        <v>4</v>
      </c>
      <c r="R779" s="83" t="s">
        <v>4</v>
      </c>
    </row>
    <row r="780" spans="1:18" x14ac:dyDescent="0.25">
      <c r="A780" s="88">
        <v>766</v>
      </c>
      <c r="B780" s="82"/>
      <c r="C780" s="97">
        <f>_xll.meDateFromTenor(C779,"1D","FOLLOWING","TGT")</f>
        <v>43614</v>
      </c>
      <c r="D780" s="95">
        <f ca="1"/>
        <v>-3.0180279914592267E-3</v>
      </c>
      <c r="E780" s="92"/>
      <c r="F780" s="97">
        <f>_xll.meDateFromTenor(F779,"1D","FOLLOWING","TGT")</f>
        <v>43614</v>
      </c>
      <c r="G780" s="95">
        <f ca="1"/>
        <v>-2.2492371759185738E-3</v>
      </c>
      <c r="H780" s="92" t="s">
        <v>4</v>
      </c>
      <c r="I780" s="97">
        <f>_xll.meDateFromTenor(I779,"1D","FOLLOWING","TGT")</f>
        <v>43614</v>
      </c>
      <c r="J780" s="95">
        <f ca="1"/>
        <v>-9.7811159256918907E-4</v>
      </c>
      <c r="K780" s="5" t="s">
        <v>4</v>
      </c>
      <c r="L780" s="97">
        <f>_xll.meDateFromTenor(L779,"1D","FOLLOWING","TGT")</f>
        <v>43614</v>
      </c>
      <c r="M780" s="95">
        <f ca="1"/>
        <v>7.0948921488243834E-4</v>
      </c>
      <c r="N780" s="5" t="s">
        <v>4</v>
      </c>
      <c r="O780" s="97">
        <f>_xll.meDateFromTenor(O779,"1D","FOLLOWING","TGT")</f>
        <v>43614</v>
      </c>
      <c r="P780" s="95">
        <f ca="1"/>
        <v>2.7508722293938222E-3</v>
      </c>
      <c r="Q780" s="5" t="s">
        <v>4</v>
      </c>
      <c r="R780" s="83" t="s">
        <v>4</v>
      </c>
    </row>
    <row r="781" spans="1:18" x14ac:dyDescent="0.25">
      <c r="A781" s="88">
        <v>767</v>
      </c>
      <c r="B781" s="82"/>
      <c r="C781" s="97">
        <f>_xll.meDateFromTenor(C780,"1D","FOLLOWING","TGT")</f>
        <v>43615</v>
      </c>
      <c r="D781" s="95">
        <f ca="1"/>
        <v>-3.0132296519931323E-3</v>
      </c>
      <c r="E781" s="92"/>
      <c r="F781" s="97">
        <f>_xll.meDateFromTenor(F780,"1D","FOLLOWING","TGT")</f>
        <v>43615</v>
      </c>
      <c r="G781" s="95">
        <f ca="1"/>
        <v>-2.2453238538219671E-3</v>
      </c>
      <c r="H781" s="92" t="s">
        <v>4</v>
      </c>
      <c r="I781" s="97">
        <f>_xll.meDateFromTenor(I780,"1D","FOLLOWING","TGT")</f>
        <v>43615</v>
      </c>
      <c r="J781" s="95">
        <f ca="1"/>
        <v>-9.7333939408339486E-4</v>
      </c>
      <c r="K781" s="5" t="s">
        <v>4</v>
      </c>
      <c r="L781" s="97">
        <f>_xll.meDateFromTenor(L780,"1D","FOLLOWING","TGT")</f>
        <v>43615</v>
      </c>
      <c r="M781" s="95">
        <f ca="1"/>
        <v>7.1485788430142836E-4</v>
      </c>
      <c r="N781" s="5" t="s">
        <v>4</v>
      </c>
      <c r="O781" s="97">
        <f>_xll.meDateFromTenor(O780,"1D","FOLLOWING","TGT")</f>
        <v>43615</v>
      </c>
      <c r="P781" s="95">
        <f ca="1"/>
        <v>2.7561867020837595E-3</v>
      </c>
      <c r="Q781" s="5" t="s">
        <v>4</v>
      </c>
      <c r="R781" s="83" t="s">
        <v>4</v>
      </c>
    </row>
    <row r="782" spans="1:18" x14ac:dyDescent="0.25">
      <c r="A782" s="88">
        <v>768</v>
      </c>
      <c r="B782" s="82"/>
      <c r="C782" s="97">
        <f>_xll.meDateFromTenor(C781,"1D","FOLLOWING","TGT")</f>
        <v>43616</v>
      </c>
      <c r="D782" s="95">
        <f ca="1"/>
        <v>-3.0083927032459323E-3</v>
      </c>
      <c r="E782" s="92"/>
      <c r="F782" s="97">
        <f>_xll.meDateFromTenor(F781,"1D","FOLLOWING","TGT")</f>
        <v>43616</v>
      </c>
      <c r="G782" s="95">
        <f ca="1"/>
        <v>-2.2413842438280965E-3</v>
      </c>
      <c r="H782" s="92" t="s">
        <v>4</v>
      </c>
      <c r="I782" s="97">
        <f>_xll.meDateFromTenor(I781,"1D","FOLLOWING","TGT")</f>
        <v>43616</v>
      </c>
      <c r="J782" s="95">
        <f ca="1"/>
        <v>-9.6856391588643926E-4</v>
      </c>
      <c r="K782" s="5" t="s">
        <v>4</v>
      </c>
      <c r="L782" s="97">
        <f>_xll.meDateFromTenor(L781,"1D","FOLLOWING","TGT")</f>
        <v>43616</v>
      </c>
      <c r="M782" s="95">
        <f ca="1"/>
        <v>7.2022912641109727E-4</v>
      </c>
      <c r="N782" s="5" t="s">
        <v>4</v>
      </c>
      <c r="O782" s="97">
        <f>_xll.meDateFromTenor(O781,"1D","FOLLOWING","TGT")</f>
        <v>43616</v>
      </c>
      <c r="P782" s="95">
        <f ca="1"/>
        <v>2.76150168756933E-3</v>
      </c>
      <c r="Q782" s="5" t="s">
        <v>4</v>
      </c>
      <c r="R782" s="83" t="s">
        <v>4</v>
      </c>
    </row>
    <row r="783" spans="1:18" x14ac:dyDescent="0.25">
      <c r="A783" s="88">
        <v>769</v>
      </c>
      <c r="B783" s="82"/>
      <c r="C783" s="97">
        <f>_xll.meDateFromTenor(C782,"1D","FOLLOWING","TGT")</f>
        <v>43619</v>
      </c>
      <c r="D783" s="95">
        <f ca="1"/>
        <v>-2.993656984956683E-3</v>
      </c>
      <c r="E783" s="92"/>
      <c r="F783" s="97">
        <f>_xll.meDateFromTenor(F782,"1D","FOLLOWING","TGT")</f>
        <v>43619</v>
      </c>
      <c r="G783" s="95">
        <f ca="1"/>
        <v>-2.2293897506183982E-3</v>
      </c>
      <c r="H783" s="92" t="s">
        <v>4</v>
      </c>
      <c r="I783" s="97">
        <f>_xll.meDateFromTenor(I782,"1D","FOLLOWING","TGT")</f>
        <v>43619</v>
      </c>
      <c r="J783" s="95">
        <f ca="1"/>
        <v>-9.5421749174655736E-4</v>
      </c>
      <c r="K783" s="5" t="s">
        <v>4</v>
      </c>
      <c r="L783" s="97">
        <f>_xll.meDateFromTenor(L782,"1D","FOLLOWING","TGT")</f>
        <v>43619</v>
      </c>
      <c r="M783" s="95">
        <f ca="1"/>
        <v>7.3635828735328212E-4</v>
      </c>
      <c r="N783" s="5" t="s">
        <v>4</v>
      </c>
      <c r="O783" s="97">
        <f>_xll.meDateFromTenor(O782,"1D","FOLLOWING","TGT")</f>
        <v>43619</v>
      </c>
      <c r="P783" s="95">
        <f ca="1"/>
        <v>2.7774496073787753E-3</v>
      </c>
      <c r="Q783" s="5" t="s">
        <v>4</v>
      </c>
      <c r="R783" s="83" t="s">
        <v>4</v>
      </c>
    </row>
    <row r="784" spans="1:18" x14ac:dyDescent="0.25">
      <c r="A784" s="88">
        <v>770</v>
      </c>
      <c r="B784" s="82"/>
      <c r="C784" s="97">
        <f>_xll.meDateFromTenor(C783,"1D","FOLLOWING","TGT")</f>
        <v>43620</v>
      </c>
      <c r="D784" s="95">
        <f ca="1"/>
        <v>-2.9887062725925118E-3</v>
      </c>
      <c r="E784" s="92"/>
      <c r="F784" s="97">
        <f>_xll.meDateFromTenor(F783,"1D","FOLLOWING","TGT")</f>
        <v>43620</v>
      </c>
      <c r="G784" s="95">
        <f ca="1"/>
        <v>-2.2253275636127967E-3</v>
      </c>
      <c r="H784" s="92" t="s">
        <v>4</v>
      </c>
      <c r="I784" s="97">
        <f>_xll.meDateFromTenor(I783,"1D","FOLLOWING","TGT")</f>
        <v>43620</v>
      </c>
      <c r="J784" s="95">
        <f ca="1"/>
        <v>-9.4942858907236022E-4</v>
      </c>
      <c r="K784" s="5" t="s">
        <v>4</v>
      </c>
      <c r="L784" s="97">
        <f>_xll.meDateFromTenor(L783,"1D","FOLLOWING","TGT")</f>
        <v>43620</v>
      </c>
      <c r="M784" s="95">
        <f ca="1"/>
        <v>7.4173981865530993E-4</v>
      </c>
      <c r="N784" s="5" t="s">
        <v>4</v>
      </c>
      <c r="O784" s="97">
        <f>_xll.meDateFromTenor(O783,"1D","FOLLOWING","TGT")</f>
        <v>43620</v>
      </c>
      <c r="P784" s="95">
        <f ca="1"/>
        <v>2.7827665346881465E-3</v>
      </c>
      <c r="Q784" s="5" t="s">
        <v>4</v>
      </c>
      <c r="R784" s="83" t="s">
        <v>4</v>
      </c>
    </row>
    <row r="785" spans="1:18" x14ac:dyDescent="0.25">
      <c r="A785" s="88">
        <v>771</v>
      </c>
      <c r="B785" s="82"/>
      <c r="C785" s="97">
        <f>_xll.meDateFromTenor(C784,"1D","FOLLOWING","TGT")</f>
        <v>43621</v>
      </c>
      <c r="D785" s="95">
        <f ca="1"/>
        <v>-2.9837576211367844E-3</v>
      </c>
      <c r="E785" s="92"/>
      <c r="F785" s="97">
        <f>_xll.meDateFromTenor(F784,"1D","FOLLOWING","TGT")</f>
        <v>43621</v>
      </c>
      <c r="G785" s="95">
        <f ca="1"/>
        <v>-2.2212331833186645E-3</v>
      </c>
      <c r="H785" s="92" t="s">
        <v>4</v>
      </c>
      <c r="I785" s="97">
        <f>_xll.meDateFromTenor(I784,"1D","FOLLOWING","TGT")</f>
        <v>43621</v>
      </c>
      <c r="J785" s="95">
        <f ca="1"/>
        <v>-9.4463628494269119E-4</v>
      </c>
      <c r="K785" s="5" t="s">
        <v>4</v>
      </c>
      <c r="L785" s="97">
        <f>_xll.meDateFromTenor(L784,"1D","FOLLOWING","TGT")</f>
        <v>43621</v>
      </c>
      <c r="M785" s="95">
        <f ca="1"/>
        <v>7.4712392164578588E-4</v>
      </c>
      <c r="N785" s="5" t="s">
        <v>4</v>
      </c>
      <c r="O785" s="97">
        <f>_xll.meDateFromTenor(O784,"1D","FOLLOWING","TGT")</f>
        <v>43621</v>
      </c>
      <c r="P785" s="95">
        <f ca="1"/>
        <v>2.7880839424566117E-3</v>
      </c>
      <c r="Q785" s="5" t="s">
        <v>4</v>
      </c>
      <c r="R785" s="83" t="s">
        <v>4</v>
      </c>
    </row>
    <row r="786" spans="1:18" x14ac:dyDescent="0.25">
      <c r="A786" s="88">
        <v>772</v>
      </c>
      <c r="B786" s="82"/>
      <c r="C786" s="97">
        <f>_xll.meDateFromTenor(C785,"1D","FOLLOWING","TGT")</f>
        <v>43622</v>
      </c>
      <c r="D786" s="95">
        <f ca="1"/>
        <v>-2.9788110301818271E-3</v>
      </c>
      <c r="E786" s="92"/>
      <c r="F786" s="97">
        <f>_xll.meDateFromTenor(F785,"1D","FOLLOWING","TGT")</f>
        <v>43622</v>
      </c>
      <c r="G786" s="95">
        <f ca="1"/>
        <v>-2.2171078786825402E-3</v>
      </c>
      <c r="H786" s="92" t="s">
        <v>4</v>
      </c>
      <c r="I786" s="97">
        <f>_xll.meDateFromTenor(I785,"1D","FOLLOWING","TGT")</f>
        <v>43622</v>
      </c>
      <c r="J786" s="95">
        <f ca="1"/>
        <v>-9.3984058212605976E-4</v>
      </c>
      <c r="K786" s="5" t="s">
        <v>4</v>
      </c>
      <c r="L786" s="97">
        <f>_xll.meDateFromTenor(L785,"1D","FOLLOWING","TGT")</f>
        <v>43622</v>
      </c>
      <c r="M786" s="95">
        <f ca="1"/>
        <v>7.5251059593483638E-4</v>
      </c>
      <c r="N786" s="5" t="s">
        <v>4</v>
      </c>
      <c r="O786" s="97">
        <f>_xll.meDateFromTenor(O785,"1D","FOLLOWING","TGT")</f>
        <v>43622</v>
      </c>
      <c r="P786" s="95">
        <f ca="1"/>
        <v>2.7934018437160545E-3</v>
      </c>
      <c r="Q786" s="5" t="s">
        <v>4</v>
      </c>
      <c r="R786" s="83" t="s">
        <v>4</v>
      </c>
    </row>
    <row r="787" spans="1:18" x14ac:dyDescent="0.25">
      <c r="A787" s="88">
        <v>773</v>
      </c>
      <c r="B787" s="82"/>
      <c r="C787" s="97">
        <f>_xll.meDateFromTenor(C786,"1D","FOLLOWING","TGT")</f>
        <v>43623</v>
      </c>
      <c r="D787" s="95">
        <f ca="1"/>
        <v>-2.9738664993994579E-3</v>
      </c>
      <c r="E787" s="92"/>
      <c r="F787" s="97">
        <f>_xll.meDateFromTenor(F786,"1D","FOLLOWING","TGT")</f>
        <v>43623</v>
      </c>
      <c r="G787" s="95">
        <f ca="1"/>
        <v>-2.2129529186509594E-3</v>
      </c>
      <c r="H787" s="92" t="s">
        <v>4</v>
      </c>
      <c r="I787" s="97">
        <f>_xll.meDateFromTenor(I786,"1D","FOLLOWING","TGT")</f>
        <v>43623</v>
      </c>
      <c r="J787" s="95">
        <f ca="1"/>
        <v>-9.350414833909751E-4</v>
      </c>
      <c r="K787" s="5" t="s">
        <v>4</v>
      </c>
      <c r="L787" s="97">
        <f>_xll.meDateFromTenor(L786,"1D","FOLLOWING","TGT")</f>
        <v>43623</v>
      </c>
      <c r="M787" s="95">
        <f ca="1"/>
        <v>7.578998411325869E-4</v>
      </c>
      <c r="N787" s="5" t="s">
        <v>4</v>
      </c>
      <c r="O787" s="97">
        <f>_xll.meDateFromTenor(O786,"1D","FOLLOWING","TGT")</f>
        <v>43623</v>
      </c>
      <c r="P787" s="95">
        <f ca="1"/>
        <v>2.7987202514983631E-3</v>
      </c>
      <c r="Q787" s="5" t="s">
        <v>4</v>
      </c>
      <c r="R787" s="83" t="s">
        <v>4</v>
      </c>
    </row>
    <row r="788" spans="1:18" x14ac:dyDescent="0.25">
      <c r="A788" s="88">
        <v>774</v>
      </c>
      <c r="B788" s="82"/>
      <c r="C788" s="97">
        <f>_xll.meDateFromTenor(C787,"1D","FOLLOWING","TGT")</f>
        <v>43626</v>
      </c>
      <c r="D788" s="95">
        <f ca="1"/>
        <v>-2.9590452669259193E-3</v>
      </c>
      <c r="E788" s="92"/>
      <c r="F788" s="97">
        <f>_xll.meDateFromTenor(F787,"1D","FOLLOWING","TGT")</f>
        <v>43626</v>
      </c>
      <c r="G788" s="95">
        <f ca="1"/>
        <v>-2.2003227956488578E-3</v>
      </c>
      <c r="H788" s="92" t="s">
        <v>4</v>
      </c>
      <c r="I788" s="97">
        <f>_xll.meDateFromTenor(I787,"1D","FOLLOWING","TGT")</f>
        <v>43626</v>
      </c>
      <c r="J788" s="95">
        <f ca="1"/>
        <v>-9.2062383936009583E-4</v>
      </c>
      <c r="K788" s="5" t="s">
        <v>4</v>
      </c>
      <c r="L788" s="97">
        <f>_xll.meDateFromTenor(L787,"1D","FOLLOWING","TGT")</f>
        <v>43626</v>
      </c>
      <c r="M788" s="95">
        <f ca="1"/>
        <v>7.7408299827929901E-4</v>
      </c>
      <c r="N788" s="5" t="s">
        <v>4</v>
      </c>
      <c r="O788" s="97">
        <f>_xll.meDateFromTenor(O787,"1D","FOLLOWING","TGT")</f>
        <v>43626</v>
      </c>
      <c r="P788" s="95">
        <f ca="1"/>
        <v>2.8146786443013277E-3</v>
      </c>
      <c r="Q788" s="5" t="s">
        <v>4</v>
      </c>
      <c r="R788" s="83" t="s">
        <v>4</v>
      </c>
    </row>
    <row r="789" spans="1:18" x14ac:dyDescent="0.25">
      <c r="A789" s="88">
        <v>775</v>
      </c>
      <c r="B789" s="82"/>
      <c r="C789" s="97">
        <f>_xll.meDateFromTenor(C788,"1D","FOLLOWING","TGT")</f>
        <v>43627</v>
      </c>
      <c r="D789" s="95">
        <f ca="1"/>
        <v>-2.9541089750320104E-3</v>
      </c>
      <c r="E789" s="92"/>
      <c r="F789" s="97">
        <f>_xll.meDateFromTenor(F788,"1D","FOLLOWING","TGT")</f>
        <v>43627</v>
      </c>
      <c r="G789" s="95">
        <f ca="1"/>
        <v>-2.196061903500828E-3</v>
      </c>
      <c r="H789" s="92" t="s">
        <v>4</v>
      </c>
      <c r="I789" s="97">
        <f>_xll.meDateFromTenor(I788,"1D","FOLLOWING","TGT")</f>
        <v>43627</v>
      </c>
      <c r="J789" s="95">
        <f ca="1"/>
        <v>-9.1581118463629203E-4</v>
      </c>
      <c r="K789" s="5" t="s">
        <v>4</v>
      </c>
      <c r="L789" s="97">
        <f>_xll.meDateFromTenor(L788,"1D","FOLLOWING","TGT")</f>
        <v>43627</v>
      </c>
      <c r="M789" s="95">
        <f ca="1"/>
        <v>7.7948252321310919E-4</v>
      </c>
      <c r="N789" s="5" t="s">
        <v>4</v>
      </c>
      <c r="O789" s="97">
        <f>_xll.meDateFromTenor(O788,"1D","FOLLOWING","TGT")</f>
        <v>43627</v>
      </c>
      <c r="P789" s="95">
        <f ca="1"/>
        <v>2.8199992084939479E-3</v>
      </c>
      <c r="Q789" s="5" t="s">
        <v>4</v>
      </c>
      <c r="R789" s="83" t="s">
        <v>4</v>
      </c>
    </row>
    <row r="790" spans="1:18" x14ac:dyDescent="0.25">
      <c r="A790" s="88">
        <v>776</v>
      </c>
      <c r="B790" s="82"/>
      <c r="C790" s="97">
        <f>_xll.meDateFromTenor(C789,"1D","FOLLOWING","TGT")</f>
        <v>43628</v>
      </c>
      <c r="D790" s="95">
        <f ca="1"/>
        <v>-2.9491747423889825E-3</v>
      </c>
      <c r="E790" s="92"/>
      <c r="F790" s="97">
        <f>_xll.meDateFromTenor(F789,"1D","FOLLOWING","TGT")</f>
        <v>43628</v>
      </c>
      <c r="G790" s="95">
        <f ca="1"/>
        <v>-2.1917777006900284E-3</v>
      </c>
      <c r="H790" s="92" t="s">
        <v>4</v>
      </c>
      <c r="I790" s="97">
        <f>_xll.meDateFromTenor(I789,"1D","FOLLOWING","TGT")</f>
        <v>43628</v>
      </c>
      <c r="J790" s="95">
        <f ca="1"/>
        <v>-9.1099514783658071E-4</v>
      </c>
      <c r="K790" s="5" t="s">
        <v>4</v>
      </c>
      <c r="L790" s="97">
        <f>_xll.meDateFromTenor(L789,"1D","FOLLOWING","TGT")</f>
        <v>43628</v>
      </c>
      <c r="M790" s="95">
        <f ca="1"/>
        <v>7.8488461710625023E-4</v>
      </c>
      <c r="N790" s="5" t="s">
        <v>4</v>
      </c>
      <c r="O790" s="97">
        <f>_xll.meDateFromTenor(O789,"1D","FOLLOWING","TGT")</f>
        <v>43628</v>
      </c>
      <c r="P790" s="95">
        <f ca="1"/>
        <v>2.8253203443688603E-3</v>
      </c>
      <c r="Q790" s="5" t="s">
        <v>4</v>
      </c>
      <c r="R790" s="83" t="s">
        <v>4</v>
      </c>
    </row>
    <row r="791" spans="1:18" x14ac:dyDescent="0.25">
      <c r="A791" s="88">
        <v>777</v>
      </c>
      <c r="B791" s="82"/>
      <c r="C791" s="97">
        <f>_xll.meDateFromTenor(C790,"1D","FOLLOWING","TGT")</f>
        <v>43629</v>
      </c>
      <c r="D791" s="95">
        <f ca="1"/>
        <v>-2.9442425684299556E-3</v>
      </c>
      <c r="E791" s="92"/>
      <c r="F791" s="97">
        <f>_xll.meDateFromTenor(F790,"1D","FOLLOWING","TGT")</f>
        <v>43629</v>
      </c>
      <c r="G791" s="95">
        <f ca="1"/>
        <v>-2.1874714561629966E-3</v>
      </c>
      <c r="H791" s="92" t="s">
        <v>4</v>
      </c>
      <c r="I791" s="97">
        <f>_xll.meDateFromTenor(I790,"1D","FOLLOWING","TGT")</f>
        <v>43629</v>
      </c>
      <c r="J791" s="95">
        <f ca="1"/>
        <v>-9.0617573172947189E-4</v>
      </c>
      <c r="K791" s="5" t="s">
        <v>4</v>
      </c>
      <c r="L791" s="97">
        <f>_xll.meDateFromTenor(L790,"1D","FOLLOWING","TGT")</f>
        <v>43629</v>
      </c>
      <c r="M791" s="95">
        <f ca="1"/>
        <v>7.9028927956884703E-4</v>
      </c>
      <c r="N791" s="5" t="s">
        <v>4</v>
      </c>
      <c r="O791" s="97">
        <f>_xll.meDateFromTenor(O790,"1D","FOLLOWING","TGT")</f>
        <v>43629</v>
      </c>
      <c r="P791" s="95">
        <f ca="1"/>
        <v>2.8306420649579513E-3</v>
      </c>
      <c r="Q791" s="5" t="s">
        <v>4</v>
      </c>
      <c r="R791" s="83" t="s">
        <v>4</v>
      </c>
    </row>
    <row r="792" spans="1:18" x14ac:dyDescent="0.25">
      <c r="A792" s="88">
        <v>778</v>
      </c>
      <c r="B792" s="82"/>
      <c r="C792" s="97">
        <f>_xll.meDateFromTenor(C791,"1D","FOLLOWING","TGT")</f>
        <v>43630</v>
      </c>
      <c r="D792" s="95">
        <f ca="1"/>
        <v>-2.9393124533050319E-3</v>
      </c>
      <c r="E792" s="92"/>
      <c r="F792" s="97">
        <f>_xll.meDateFromTenor(F791,"1D","FOLLOWING","TGT")</f>
        <v>43630</v>
      </c>
      <c r="G792" s="95">
        <f ca="1"/>
        <v>-2.1831444388662699E-3</v>
      </c>
      <c r="H792" s="92" t="s">
        <v>4</v>
      </c>
      <c r="I792" s="97">
        <f>_xll.meDateFromTenor(I791,"1D","FOLLOWING","TGT")</f>
        <v>43630</v>
      </c>
      <c r="J792" s="95">
        <f ca="1"/>
        <v>-9.0135293908347495E-4</v>
      </c>
      <c r="K792" s="5" t="s">
        <v>4</v>
      </c>
      <c r="L792" s="97">
        <f>_xll.meDateFromTenor(L791,"1D","FOLLOWING","TGT")</f>
        <v>43630</v>
      </c>
      <c r="M792" s="95">
        <f ca="1"/>
        <v>7.956965102110257E-4</v>
      </c>
      <c r="N792" s="5" t="s">
        <v>4</v>
      </c>
      <c r="O792" s="97">
        <f>_xll.meDateFromTenor(O791,"1D","FOLLOWING","TGT")</f>
        <v>43630</v>
      </c>
      <c r="P792" s="95">
        <f ca="1"/>
        <v>2.8359643832931046E-3</v>
      </c>
      <c r="Q792" s="5" t="s">
        <v>4</v>
      </c>
      <c r="R792" s="83" t="s">
        <v>4</v>
      </c>
    </row>
    <row r="793" spans="1:18" x14ac:dyDescent="0.25">
      <c r="A793" s="88">
        <v>779</v>
      </c>
      <c r="B793" s="82"/>
      <c r="C793" s="97">
        <f>_xll.meDateFromTenor(C792,"1D","FOLLOWING","TGT")</f>
        <v>43633</v>
      </c>
      <c r="D793" s="95">
        <f ca="1"/>
        <v>-2.9245344568588072E-3</v>
      </c>
      <c r="E793" s="92"/>
      <c r="F793" s="97">
        <f>_xll.meDateFromTenor(F792,"1D","FOLLOWING","TGT")</f>
        <v>43633</v>
      </c>
      <c r="G793" s="95">
        <f ca="1"/>
        <v>-2.1700514398232946E-3</v>
      </c>
      <c r="H793" s="92" t="s">
        <v>4</v>
      </c>
      <c r="I793" s="97">
        <f>_xll.meDateFromTenor(I792,"1D","FOLLOWING","TGT")</f>
        <v>43633</v>
      </c>
      <c r="J793" s="95">
        <f ca="1"/>
        <v>-8.8686432959724784E-4</v>
      </c>
      <c r="K793" s="5" t="s">
        <v>4</v>
      </c>
      <c r="L793" s="97">
        <f>_xll.meDateFromTenor(L792,"1D","FOLLOWING","TGT")</f>
        <v>43633</v>
      </c>
      <c r="M793" s="95">
        <f ca="1"/>
        <v>8.1193360731631218E-4</v>
      </c>
      <c r="N793" s="5" t="s">
        <v>4</v>
      </c>
      <c r="O793" s="97">
        <f>_xll.meDateFromTenor(O792,"1D","FOLLOWING","TGT")</f>
        <v>43633</v>
      </c>
      <c r="P793" s="95">
        <f ca="1"/>
        <v>2.8519350550937983E-3</v>
      </c>
      <c r="Q793" s="5" t="s">
        <v>4</v>
      </c>
      <c r="R793" s="83" t="s">
        <v>4</v>
      </c>
    </row>
    <row r="794" spans="1:18" x14ac:dyDescent="0.25">
      <c r="A794" s="88">
        <v>780</v>
      </c>
      <c r="B794" s="82"/>
      <c r="C794" s="97">
        <f>_xll.meDateFromTenor(C793,"1D","FOLLOWING","TGT")</f>
        <v>43634</v>
      </c>
      <c r="D794" s="95">
        <f ca="1"/>
        <v>-2.9196125738705225E-3</v>
      </c>
      <c r="E794" s="92"/>
      <c r="F794" s="97">
        <f>_xll.meDateFromTenor(F793,"1D","FOLLOWING","TGT")</f>
        <v>43634</v>
      </c>
      <c r="G794" s="95">
        <f ca="1"/>
        <v>-2.1656540209131622E-3</v>
      </c>
      <c r="H794" s="92" t="s">
        <v>4</v>
      </c>
      <c r="I794" s="97">
        <f>_xll.meDateFromTenor(I793,"1D","FOLLOWING","TGT")</f>
        <v>43634</v>
      </c>
      <c r="J794" s="95">
        <f ca="1"/>
        <v>-8.820280584807918E-4</v>
      </c>
      <c r="K794" s="5" t="s">
        <v>4</v>
      </c>
      <c r="L794" s="97">
        <f>_xll.meDateFromTenor(L793,"1D","FOLLOWING","TGT")</f>
        <v>43634</v>
      </c>
      <c r="M794" s="95">
        <f ca="1"/>
        <v>8.1735110677807674E-4</v>
      </c>
      <c r="N794" s="5" t="s">
        <v>4</v>
      </c>
      <c r="O794" s="97">
        <f>_xll.meDateFromTenor(O793,"1D","FOLLOWING","TGT")</f>
        <v>43634</v>
      </c>
      <c r="P794" s="95">
        <f ca="1"/>
        <v>2.8572598947320576E-3</v>
      </c>
      <c r="Q794" s="5" t="s">
        <v>4</v>
      </c>
      <c r="R794" s="83" t="s">
        <v>4</v>
      </c>
    </row>
    <row r="795" spans="1:18" x14ac:dyDescent="0.25">
      <c r="A795" s="88">
        <v>781</v>
      </c>
      <c r="B795" s="82"/>
      <c r="C795" s="97">
        <f>_xll.meDateFromTenor(C794,"1D","FOLLOWING","TGT")</f>
        <v>43635</v>
      </c>
      <c r="D795" s="95">
        <f ca="1"/>
        <v>-2.9146927481960017E-3</v>
      </c>
      <c r="E795" s="92"/>
      <c r="F795" s="97">
        <f>_xll.meDateFromTenor(F794,"1D","FOLLOWING","TGT")</f>
        <v>43635</v>
      </c>
      <c r="G795" s="95">
        <f ca="1"/>
        <v>-2.1612421739660207E-3</v>
      </c>
      <c r="H795" s="92" t="s">
        <v>4</v>
      </c>
      <c r="I795" s="97">
        <f>_xll.meDateFromTenor(I794,"1D","FOLLOWING","TGT")</f>
        <v>43635</v>
      </c>
      <c r="J795" s="95">
        <f ca="1"/>
        <v>-8.7718842466799336E-4</v>
      </c>
      <c r="K795" s="5" t="s">
        <v>4</v>
      </c>
      <c r="L795" s="97">
        <f>_xll.meDateFromTenor(L794,"1D","FOLLOWING","TGT")</f>
        <v>43635</v>
      </c>
      <c r="M795" s="95">
        <f ca="1"/>
        <v>8.2277117247005357E-4</v>
      </c>
      <c r="N795" s="5" t="s">
        <v>4</v>
      </c>
      <c r="O795" s="97">
        <f>_xll.meDateFromTenor(O794,"1D","FOLLOWING","TGT")</f>
        <v>43635</v>
      </c>
      <c r="P795" s="95">
        <f ca="1"/>
        <v>2.8625853972758099E-3</v>
      </c>
      <c r="Q795" s="5" t="s">
        <v>4</v>
      </c>
      <c r="R795" s="83" t="s">
        <v>4</v>
      </c>
    </row>
    <row r="796" spans="1:18" x14ac:dyDescent="0.25">
      <c r="A796" s="88">
        <v>782</v>
      </c>
      <c r="B796" s="82"/>
      <c r="C796" s="97">
        <f>_xll.meDateFromTenor(C795,"1D","FOLLOWING","TGT")</f>
        <v>43636</v>
      </c>
      <c r="D796" s="95">
        <f ca="1"/>
        <v>-2.9097749797463157E-3</v>
      </c>
      <c r="E796" s="92"/>
      <c r="F796" s="97">
        <f>_xll.meDateFromTenor(F795,"1D","FOLLOWING","TGT")</f>
        <v>43636</v>
      </c>
      <c r="G796" s="95">
        <f ca="1"/>
        <v>-2.1568171679284087E-3</v>
      </c>
      <c r="H796" s="92" t="s">
        <v>4</v>
      </c>
      <c r="I796" s="97">
        <f>_xll.meDateFromTenor(I795,"1D","FOLLOWING","TGT")</f>
        <v>43636</v>
      </c>
      <c r="J796" s="95">
        <f ca="1"/>
        <v>-8.7234543092736298E-4</v>
      </c>
      <c r="K796" s="5" t="s">
        <v>4</v>
      </c>
      <c r="L796" s="97">
        <f>_xll.meDateFromTenor(L795,"1D","FOLLOWING","TGT")</f>
        <v>43636</v>
      </c>
      <c r="M796" s="95">
        <f ca="1"/>
        <v>8.2819380400236725E-4</v>
      </c>
      <c r="N796" s="5" t="s">
        <v>4</v>
      </c>
      <c r="O796" s="97">
        <f>_xll.meDateFromTenor(O795,"1D","FOLLOWING","TGT")</f>
        <v>43636</v>
      </c>
      <c r="P796" s="95">
        <f ca="1"/>
        <v>2.8679115757569359E-3</v>
      </c>
      <c r="Q796" s="5" t="s">
        <v>4</v>
      </c>
      <c r="R796" s="83" t="s">
        <v>4</v>
      </c>
    </row>
    <row r="797" spans="1:18" x14ac:dyDescent="0.25">
      <c r="A797" s="88">
        <v>783</v>
      </c>
      <c r="B797" s="82"/>
      <c r="C797" s="97">
        <f>_xll.meDateFromTenor(C796,"1D","FOLLOWING","TGT")</f>
        <v>43637</v>
      </c>
      <c r="D797" s="95">
        <f ca="1"/>
        <v>-2.9048592682728858E-3</v>
      </c>
      <c r="E797" s="92"/>
      <c r="F797" s="97">
        <f>_xll.meDateFromTenor(F796,"1D","FOLLOWING","TGT")</f>
        <v>43637</v>
      </c>
      <c r="G797" s="95">
        <f ca="1"/>
        <v>-2.1523802717468626E-3</v>
      </c>
      <c r="H797" s="92" t="s">
        <v>4</v>
      </c>
      <c r="I797" s="97">
        <f>_xll.meDateFromTenor(I796,"1D","FOLLOWING","TGT")</f>
        <v>43637</v>
      </c>
      <c r="J797" s="95">
        <f ca="1"/>
        <v>-8.6749908002740884E-4</v>
      </c>
      <c r="K797" s="5" t="s">
        <v>4</v>
      </c>
      <c r="L797" s="97">
        <f>_xll.meDateFromTenor(L796,"1D","FOLLOWING","TGT")</f>
        <v>43637</v>
      </c>
      <c r="M797" s="95">
        <f ca="1"/>
        <v>8.3361900098514498E-4</v>
      </c>
      <c r="N797" s="5" t="s">
        <v>4</v>
      </c>
      <c r="O797" s="97">
        <f>_xll.meDateFromTenor(O796,"1D","FOLLOWING","TGT")</f>
        <v>43637</v>
      </c>
      <c r="P797" s="95">
        <f ca="1"/>
        <v>2.8732384432073252E-3</v>
      </c>
      <c r="Q797" s="5" t="s">
        <v>4</v>
      </c>
      <c r="R797" s="83" t="s">
        <v>4</v>
      </c>
    </row>
    <row r="798" spans="1:18" x14ac:dyDescent="0.25">
      <c r="A798" s="88">
        <v>784</v>
      </c>
      <c r="B798" s="82"/>
      <c r="C798" s="97">
        <f>_xll.meDateFromTenor(C797,"1D","FOLLOWING","TGT")</f>
        <v>43640</v>
      </c>
      <c r="D798" s="95">
        <f ca="1"/>
        <v>-2.8901244733468001E-3</v>
      </c>
      <c r="E798" s="92"/>
      <c r="F798" s="97">
        <f>_xll.meDateFromTenor(F797,"1D","FOLLOWING","TGT")</f>
        <v>43640</v>
      </c>
      <c r="G798" s="95">
        <f ca="1"/>
        <v>-2.1390109318039923E-3</v>
      </c>
      <c r="H798" s="92" t="s">
        <v>4</v>
      </c>
      <c r="I798" s="97">
        <f>_xll.meDateFromTenor(I797,"1D","FOLLOWING","TGT")</f>
        <v>43640</v>
      </c>
      <c r="J798" s="95">
        <f ca="1"/>
        <v>-8.5293991205669995E-4</v>
      </c>
      <c r="K798" s="5" t="s">
        <v>4</v>
      </c>
      <c r="L798" s="97">
        <f>_xll.meDateFromTenor(L797,"1D","FOLLOWING","TGT")</f>
        <v>43640</v>
      </c>
      <c r="M798" s="95">
        <f ca="1"/>
        <v>8.4990998073751858E-4</v>
      </c>
      <c r="N798" s="5" t="s">
        <v>4</v>
      </c>
      <c r="O798" s="97">
        <f>_xll.meDateFromTenor(O797,"1D","FOLLOWING","TGT")</f>
        <v>43640</v>
      </c>
      <c r="P798" s="95">
        <f ca="1"/>
        <v>2.8892233096929174E-3</v>
      </c>
      <c r="Q798" s="5" t="s">
        <v>4</v>
      </c>
      <c r="R798" s="83" t="s">
        <v>4</v>
      </c>
    </row>
    <row r="799" spans="1:18" x14ac:dyDescent="0.25">
      <c r="A799" s="88">
        <v>785</v>
      </c>
      <c r="B799" s="82"/>
      <c r="C799" s="97">
        <f>_xll.meDateFromTenor(C798,"1D","FOLLOWING","TGT")</f>
        <v>43641</v>
      </c>
      <c r="D799" s="95">
        <f ca="1"/>
        <v>-2.8852169872551903E-3</v>
      </c>
      <c r="E799" s="92"/>
      <c r="F799" s="97">
        <f>_xll.meDateFromTenor(F798,"1D","FOLLOWING","TGT")</f>
        <v>43641</v>
      </c>
      <c r="G799" s="95">
        <f ca="1"/>
        <v>-2.1345391645120832E-3</v>
      </c>
      <c r="H799" s="92" t="s">
        <v>4</v>
      </c>
      <c r="I799" s="97">
        <f>_xll.meDateFromTenor(I798,"1D","FOLLOWING","TGT")</f>
        <v>43641</v>
      </c>
      <c r="J799" s="95">
        <f ca="1"/>
        <v>-8.48080160204546E-4</v>
      </c>
      <c r="K799" s="5" t="s">
        <v>4</v>
      </c>
      <c r="L799" s="97">
        <f>_xll.meDateFromTenor(L798,"1D","FOLLOWING","TGT")</f>
        <v>43641</v>
      </c>
      <c r="M799" s="95">
        <f ca="1"/>
        <v>8.553454356234095E-4</v>
      </c>
      <c r="N799" s="5" t="s">
        <v>4</v>
      </c>
      <c r="O799" s="97">
        <f>_xll.meDateFromTenor(O798,"1D","FOLLOWING","TGT")</f>
        <v>43641</v>
      </c>
      <c r="P799" s="95">
        <f ca="1"/>
        <v>2.8945530633392091E-3</v>
      </c>
      <c r="Q799" s="5" t="s">
        <v>4</v>
      </c>
      <c r="R799" s="83" t="s">
        <v>4</v>
      </c>
    </row>
    <row r="800" spans="1:18" x14ac:dyDescent="0.25">
      <c r="A800" s="88">
        <v>786</v>
      </c>
      <c r="B800" s="82"/>
      <c r="C800" s="97">
        <f>_xll.meDateFromTenor(C799,"1D","FOLLOWING","TGT")</f>
        <v>43642</v>
      </c>
      <c r="D800" s="95">
        <f ca="1"/>
        <v>-2.8803115571368609E-3</v>
      </c>
      <c r="E800" s="92"/>
      <c r="F800" s="97">
        <f>_xll.meDateFromTenor(F799,"1D","FOLLOWING","TGT")</f>
        <v>43642</v>
      </c>
      <c r="G800" s="95">
        <f ca="1"/>
        <v>-2.1300618518089258E-3</v>
      </c>
      <c r="H800" s="92" t="s">
        <v>4</v>
      </c>
      <c r="I800" s="97">
        <f>_xll.meDateFromTenor(I799,"1D","FOLLOWING","TGT")</f>
        <v>43642</v>
      </c>
      <c r="J800" s="95">
        <f ca="1"/>
        <v>-8.4321706503561519E-4</v>
      </c>
      <c r="K800" s="5" t="s">
        <v>4</v>
      </c>
      <c r="L800" s="97">
        <f>_xll.meDateFromTenor(L799,"1D","FOLLOWING","TGT")</f>
        <v>43642</v>
      </c>
      <c r="M800" s="95">
        <f ca="1"/>
        <v>8.6078345401039357E-4</v>
      </c>
      <c r="N800" s="5" t="s">
        <v>4</v>
      </c>
      <c r="O800" s="97">
        <f>_xll.meDateFromTenor(O799,"1D","FOLLOWING","TGT")</f>
        <v>43642</v>
      </c>
      <c r="P800" s="95">
        <f ca="1"/>
        <v>2.8998835711141887E-3</v>
      </c>
      <c r="Q800" s="5" t="s">
        <v>4</v>
      </c>
      <c r="R800" s="83" t="s">
        <v>4</v>
      </c>
    </row>
    <row r="801" spans="1:18" x14ac:dyDescent="0.25">
      <c r="A801" s="88">
        <v>787</v>
      </c>
      <c r="B801" s="82"/>
      <c r="C801" s="97">
        <f>_xll.meDateFromTenor(C800,"1D","FOLLOWING","TGT")</f>
        <v>43643</v>
      </c>
      <c r="D801" s="95">
        <f ca="1"/>
        <v>-2.8754081823051392E-3</v>
      </c>
      <c r="E801" s="92"/>
      <c r="F801" s="97">
        <f>_xll.meDateFromTenor(F800,"1D","FOLLOWING","TGT")</f>
        <v>43643</v>
      </c>
      <c r="G801" s="95">
        <f ca="1"/>
        <v>-2.1255802626410593E-3</v>
      </c>
      <c r="H801" s="92" t="s">
        <v>4</v>
      </c>
      <c r="I801" s="97">
        <f>_xll.meDateFromTenor(I800,"1D","FOLLOWING","TGT")</f>
        <v>43643</v>
      </c>
      <c r="J801" s="95">
        <f ca="1"/>
        <v>-8.3835062931841766E-4</v>
      </c>
      <c r="K801" s="5" t="s">
        <v>4</v>
      </c>
      <c r="L801" s="97">
        <f>_xll.meDateFromTenor(L800,"1D","FOLLOWING","TGT")</f>
        <v>43643</v>
      </c>
      <c r="M801" s="95">
        <f ca="1"/>
        <v>8.6622403550859592E-4</v>
      </c>
      <c r="N801" s="5" t="s">
        <v>4</v>
      </c>
      <c r="O801" s="97">
        <f>_xll.meDateFromTenor(O800,"1D","FOLLOWING","TGT")</f>
        <v>43643</v>
      </c>
      <c r="P801" s="95">
        <f ca="1"/>
        <v>2.905214846049743E-3</v>
      </c>
      <c r="Q801" s="5" t="s">
        <v>4</v>
      </c>
      <c r="R801" s="83" t="s">
        <v>4</v>
      </c>
    </row>
    <row r="802" spans="1:18" x14ac:dyDescent="0.25">
      <c r="A802" s="88">
        <v>788</v>
      </c>
      <c r="B802" s="82"/>
      <c r="C802" s="97">
        <f>_xll.meDateFromTenor(C801,"1D","FOLLOWING","TGT")</f>
        <v>43644</v>
      </c>
      <c r="D802" s="95">
        <f ca="1"/>
        <v>-2.8705068632686181E-3</v>
      </c>
      <c r="E802" s="92"/>
      <c r="F802" s="97">
        <f>_xll.meDateFromTenor(F801,"1D","FOLLOWING","TGT")</f>
        <v>43644</v>
      </c>
      <c r="G802" s="95">
        <f ca="1"/>
        <v>-2.1210956659550189E-3</v>
      </c>
      <c r="H802" s="92" t="s">
        <v>4</v>
      </c>
      <c r="I802" s="97">
        <f>_xll.meDateFromTenor(I801,"1D","FOLLOWING","TGT")</f>
        <v>43644</v>
      </c>
      <c r="J802" s="95">
        <f ca="1"/>
        <v>-8.3348085582146127E-4</v>
      </c>
      <c r="K802" s="5" t="s">
        <v>4</v>
      </c>
      <c r="L802" s="97">
        <f>_xll.meDateFromTenor(L801,"1D","FOLLOWING","TGT")</f>
        <v>43644</v>
      </c>
      <c r="M802" s="95">
        <f ca="1"/>
        <v>8.7166717972814395E-4</v>
      </c>
      <c r="N802" s="5" t="s">
        <v>4</v>
      </c>
      <c r="O802" s="97">
        <f>_xll.meDateFromTenor(O801,"1D","FOLLOWING","TGT")</f>
        <v>43644</v>
      </c>
      <c r="P802" s="95">
        <f ca="1"/>
        <v>2.9105469011777587E-3</v>
      </c>
      <c r="Q802" s="5" t="s">
        <v>4</v>
      </c>
      <c r="R802" s="83" t="s">
        <v>4</v>
      </c>
    </row>
    <row r="803" spans="1:18" x14ac:dyDescent="0.25">
      <c r="A803" s="88">
        <v>789</v>
      </c>
      <c r="B803" s="82"/>
      <c r="C803" s="97">
        <f>_xll.meDateFromTenor(C802,"1D","FOLLOWING","TGT")</f>
        <v>43647</v>
      </c>
      <c r="D803" s="95">
        <f ca="1"/>
        <v>-2.8558152346990218E-3</v>
      </c>
      <c r="E803" s="92"/>
      <c r="F803" s="97">
        <f>_xll.meDateFromTenor(F802,"1D","FOLLOWING","TGT")</f>
        <v>43647</v>
      </c>
      <c r="G803" s="95">
        <f ca="1"/>
        <v>-2.1076365202532337E-3</v>
      </c>
      <c r="H803" s="92" t="s">
        <v>4</v>
      </c>
      <c r="I803" s="97">
        <f>_xll.meDateFromTenor(I802,"1D","FOLLOWING","TGT")</f>
        <v>43647</v>
      </c>
      <c r="J803" s="95">
        <f ca="1"/>
        <v>-8.188515363371367E-4</v>
      </c>
      <c r="K803" s="5" t="s">
        <v>4</v>
      </c>
      <c r="L803" s="97">
        <f>_xll.meDateFromTenor(L802,"1D","FOLLOWING","TGT")</f>
        <v>43647</v>
      </c>
      <c r="M803" s="95">
        <f ca="1"/>
        <v>8.8801198481611686E-4</v>
      </c>
      <c r="N803" s="5" t="s">
        <v>4</v>
      </c>
      <c r="O803" s="97">
        <f>_xll.meDateFromTenor(O802,"1D","FOLLOWING","TGT")</f>
        <v>43647</v>
      </c>
      <c r="P803" s="95">
        <f ca="1"/>
        <v>2.9265478780354211E-3</v>
      </c>
      <c r="Q803" s="5" t="s">
        <v>4</v>
      </c>
      <c r="R803" s="83" t="s">
        <v>4</v>
      </c>
    </row>
    <row r="804" spans="1:18" x14ac:dyDescent="0.25">
      <c r="A804" s="88">
        <v>790</v>
      </c>
      <c r="B804" s="82"/>
      <c r="C804" s="97">
        <f>_xll.meDateFromTenor(C803,"1D","FOLLOWING","TGT")</f>
        <v>43648</v>
      </c>
      <c r="D804" s="95">
        <f ca="1"/>
        <v>-2.8509221342458702E-3</v>
      </c>
      <c r="E804" s="92"/>
      <c r="F804" s="97">
        <f>_xll.meDateFromTenor(F803,"1D","FOLLOWING","TGT")</f>
        <v>43648</v>
      </c>
      <c r="G804" s="95">
        <f ca="1"/>
        <v>-2.103152582959874E-3</v>
      </c>
      <c r="H804" s="92" t="s">
        <v>4</v>
      </c>
      <c r="I804" s="97">
        <f>_xll.meDateFromTenor(I803,"1D","FOLLOWING","TGT")</f>
        <v>43648</v>
      </c>
      <c r="J804" s="95">
        <f ca="1"/>
        <v>-8.1396843940624043E-4</v>
      </c>
      <c r="K804" s="5" t="s">
        <v>4</v>
      </c>
      <c r="L804" s="97">
        <f>_xll.meDateFromTenor(L803,"1D","FOLLOWING","TGT")</f>
        <v>43648</v>
      </c>
      <c r="M804" s="95">
        <f ca="1"/>
        <v>8.9346537602230441E-4</v>
      </c>
      <c r="N804" s="5" t="s">
        <v>4</v>
      </c>
      <c r="O804" s="97">
        <f>_xll.meDateFromTenor(O803,"1D","FOLLOWING","TGT")</f>
        <v>43648</v>
      </c>
      <c r="P804" s="95">
        <f ca="1"/>
        <v>2.9318831842521324E-3</v>
      </c>
      <c r="Q804" s="5" t="s">
        <v>4</v>
      </c>
      <c r="R804" s="83" t="s">
        <v>4</v>
      </c>
    </row>
    <row r="805" spans="1:18" x14ac:dyDescent="0.25">
      <c r="A805" s="88">
        <v>791</v>
      </c>
      <c r="B805" s="82"/>
      <c r="C805" s="97">
        <f>_xll.meDateFromTenor(C804,"1D","FOLLOWING","TGT")</f>
        <v>43649</v>
      </c>
      <c r="D805" s="95">
        <f ca="1"/>
        <v>-2.8460310880263906E-3</v>
      </c>
      <c r="E805" s="92"/>
      <c r="F805" s="97">
        <f>_xll.meDateFromTenor(F804,"1D","FOLLOWING","TGT")</f>
        <v>43649</v>
      </c>
      <c r="G805" s="95">
        <f ca="1"/>
        <v>-2.0986717587801549E-3</v>
      </c>
      <c r="H805" s="92" t="s">
        <v>4</v>
      </c>
      <c r="I805" s="97">
        <f>_xll.meDateFromTenor(I804,"1D","FOLLOWING","TGT")</f>
        <v>43649</v>
      </c>
      <c r="J805" s="95">
        <f ca="1"/>
        <v>-8.0908201853813265E-4</v>
      </c>
      <c r="K805" s="5" t="s">
        <v>4</v>
      </c>
      <c r="L805" s="97">
        <f>_xll.meDateFromTenor(L804,"1D","FOLLOWING","TGT")</f>
        <v>43649</v>
      </c>
      <c r="M805" s="95">
        <f ca="1"/>
        <v>8.9892132800046664E-4</v>
      </c>
      <c r="N805" s="5" t="s">
        <v>4</v>
      </c>
      <c r="O805" s="97">
        <f>_xll.meDateFromTenor(O804,"1D","FOLLOWING","TGT")</f>
        <v>43649</v>
      </c>
      <c r="P805" s="95">
        <f ca="1"/>
        <v>2.9372193358207324E-3</v>
      </c>
      <c r="Q805" s="5" t="s">
        <v>4</v>
      </c>
      <c r="R805" s="83" t="s">
        <v>4</v>
      </c>
    </row>
    <row r="806" spans="1:18" x14ac:dyDescent="0.25">
      <c r="A806" s="88">
        <v>792</v>
      </c>
      <c r="B806" s="82"/>
      <c r="C806" s="97">
        <f>_xll.meDateFromTenor(C805,"1D","FOLLOWING","TGT")</f>
        <v>43650</v>
      </c>
      <c r="D806" s="95">
        <f ca="1"/>
        <v>-2.8411420957122901E-3</v>
      </c>
      <c r="E806" s="92"/>
      <c r="F806" s="97">
        <f>_xll.meDateFromTenor(F805,"1D","FOLLOWING","TGT")</f>
        <v>43650</v>
      </c>
      <c r="G806" s="95">
        <f ca="1"/>
        <v>-2.0941941961562455E-3</v>
      </c>
      <c r="H806" s="92" t="s">
        <v>4</v>
      </c>
      <c r="I806" s="97">
        <f>_xll.meDateFromTenor(I805,"1D","FOLLOWING","TGT")</f>
        <v>43650</v>
      </c>
      <c r="J806" s="95">
        <f ca="1"/>
        <v>-8.0419227650132207E-4</v>
      </c>
      <c r="K806" s="5" t="s">
        <v>4</v>
      </c>
      <c r="L806" s="97">
        <f>_xll.meDateFromTenor(L805,"1D","FOLLOWING","TGT")</f>
        <v>43650</v>
      </c>
      <c r="M806" s="95">
        <f ca="1"/>
        <v>9.0437984036072965E-4</v>
      </c>
      <c r="N806" s="5" t="s">
        <v>4</v>
      </c>
      <c r="O806" s="97">
        <f>_xll.meDateFromTenor(O805,"1D","FOLLOWING","TGT")</f>
        <v>43650</v>
      </c>
      <c r="P806" s="95">
        <f ca="1"/>
        <v>2.9425563457731053E-3</v>
      </c>
      <c r="Q806" s="5" t="s">
        <v>4</v>
      </c>
      <c r="R806" s="83" t="s">
        <v>4</v>
      </c>
    </row>
    <row r="807" spans="1:18" x14ac:dyDescent="0.25">
      <c r="A807" s="88">
        <v>793</v>
      </c>
      <c r="B807" s="82"/>
      <c r="C807" s="97">
        <f>_xll.meDateFromTenor(C806,"1D","FOLLOWING","TGT")</f>
        <v>43651</v>
      </c>
      <c r="D807" s="95">
        <f ca="1"/>
        <v>-2.8362551568953398E-3</v>
      </c>
      <c r="E807" s="92"/>
      <c r="F807" s="97">
        <f>_xll.meDateFromTenor(F806,"1D","FOLLOWING","TGT")</f>
        <v>43651</v>
      </c>
      <c r="G807" s="95">
        <f ca="1"/>
        <v>-2.0897198194294456E-3</v>
      </c>
      <c r="H807" s="92" t="s">
        <v>4</v>
      </c>
      <c r="I807" s="97">
        <f>_xll.meDateFromTenor(I806,"1D","FOLLOWING","TGT")</f>
        <v>43651</v>
      </c>
      <c r="J807" s="95">
        <f ca="1"/>
        <v>-7.9929921606431851E-4</v>
      </c>
      <c r="K807" s="5" t="s">
        <v>4</v>
      </c>
      <c r="L807" s="97">
        <f>_xll.meDateFromTenor(L806,"1D","FOLLOWING","TGT")</f>
        <v>43651</v>
      </c>
      <c r="M807" s="95">
        <f ca="1"/>
        <v>9.09840912713219E-4</v>
      </c>
      <c r="N807" s="5" t="s">
        <v>4</v>
      </c>
      <c r="O807" s="97">
        <f>_xll.meDateFromTenor(O806,"1D","FOLLOWING","TGT")</f>
        <v>43651</v>
      </c>
      <c r="P807" s="95">
        <f ca="1"/>
        <v>2.947894227141137E-3</v>
      </c>
      <c r="Q807" s="5" t="s">
        <v>4</v>
      </c>
      <c r="R807" s="83" t="s">
        <v>4</v>
      </c>
    </row>
    <row r="808" spans="1:18" x14ac:dyDescent="0.25">
      <c r="A808" s="88">
        <v>794</v>
      </c>
      <c r="B808" s="82"/>
      <c r="C808" s="97">
        <f>_xll.meDateFromTenor(C807,"1D","FOLLOWING","TGT")</f>
        <v>43654</v>
      </c>
      <c r="D808" s="95">
        <f ca="1"/>
        <v>-2.8216066606957524E-3</v>
      </c>
      <c r="E808" s="92"/>
      <c r="F808" s="97">
        <f>_xll.meDateFromTenor(F807,"1D","FOLLOWING","TGT")</f>
        <v>43654</v>
      </c>
      <c r="G808" s="95">
        <f ca="1"/>
        <v>-2.0763150480446737E-3</v>
      </c>
      <c r="H808" s="92" t="s">
        <v>4</v>
      </c>
      <c r="I808" s="97">
        <f>_xll.meDateFromTenor(I807,"1D","FOLLOWING","TGT")</f>
        <v>43654</v>
      </c>
      <c r="J808" s="95">
        <f ca="1"/>
        <v>-7.8460015203724335E-4</v>
      </c>
      <c r="K808" s="5" t="s">
        <v>4</v>
      </c>
      <c r="L808" s="97">
        <f>_xll.meDateFromTenor(L807,"1D","FOLLOWING","TGT")</f>
        <v>43654</v>
      </c>
      <c r="M808" s="95">
        <f ca="1"/>
        <v>9.2623948582530482E-4</v>
      </c>
      <c r="N808" s="5" t="s">
        <v>4</v>
      </c>
      <c r="O808" s="97">
        <f>_xll.meDateFromTenor(O807,"1D","FOLLOWING","TGT")</f>
        <v>43654</v>
      </c>
      <c r="P808" s="95">
        <f ca="1"/>
        <v>2.9639132300580402E-3</v>
      </c>
      <c r="Q808" s="5" t="s">
        <v>4</v>
      </c>
      <c r="R808" s="83" t="s">
        <v>4</v>
      </c>
    </row>
    <row r="809" spans="1:18" x14ac:dyDescent="0.25">
      <c r="A809" s="88">
        <v>795</v>
      </c>
      <c r="B809" s="82"/>
      <c r="C809" s="97">
        <f>_xll.meDateFromTenor(C808,"1D","FOLLOWING","TGT")</f>
        <v>43655</v>
      </c>
      <c r="D809" s="95">
        <f ca="1"/>
        <v>-2.8167279344176732E-3</v>
      </c>
      <c r="E809" s="92"/>
      <c r="F809" s="97">
        <f>_xll.meDateFromTenor(F808,"1D","FOLLOWING","TGT")</f>
        <v>43655</v>
      </c>
      <c r="G809" s="95">
        <f ca="1"/>
        <v>-2.0718526583192844E-3</v>
      </c>
      <c r="H809" s="92" t="s">
        <v>4</v>
      </c>
      <c r="I809" s="97">
        <f>_xll.meDateFromTenor(I808,"1D","FOLLOWING","TGT")</f>
        <v>43655</v>
      </c>
      <c r="J809" s="95">
        <f ca="1"/>
        <v>-7.7969384568456006E-4</v>
      </c>
      <c r="K809" s="5" t="s">
        <v>4</v>
      </c>
      <c r="L809" s="97">
        <f>_xll.meDateFromTenor(L808,"1D","FOLLOWING","TGT")</f>
        <v>43655</v>
      </c>
      <c r="M809" s="95">
        <f ca="1"/>
        <v>9.3171079424796013E-4</v>
      </c>
      <c r="N809" s="5" t="s">
        <v>4</v>
      </c>
      <c r="O809" s="97">
        <f>_xll.meDateFromTenor(O808,"1D","FOLLOWING","TGT")</f>
        <v>43655</v>
      </c>
      <c r="P809" s="95">
        <f ca="1"/>
        <v>2.9692547274075627E-3</v>
      </c>
      <c r="Q809" s="5" t="s">
        <v>4</v>
      </c>
      <c r="R809" s="83" t="s">
        <v>4</v>
      </c>
    </row>
    <row r="810" spans="1:18" x14ac:dyDescent="0.25">
      <c r="A810" s="88">
        <v>796</v>
      </c>
      <c r="B810" s="82"/>
      <c r="C810" s="97">
        <f>_xll.meDateFromTenor(C809,"1D","FOLLOWING","TGT")</f>
        <v>43656</v>
      </c>
      <c r="D810" s="95">
        <f ca="1"/>
        <v>-2.8118512605929125E-3</v>
      </c>
      <c r="E810" s="92"/>
      <c r="F810" s="97">
        <f>_xll.meDateFromTenor(F809,"1D","FOLLOWING","TGT")</f>
        <v>43656</v>
      </c>
      <c r="G810" s="95">
        <f ca="1"/>
        <v>-2.0673930761974909E-3</v>
      </c>
      <c r="H810" s="92" t="s">
        <v>4</v>
      </c>
      <c r="I810" s="97">
        <f>_xll.meDateFromTenor(I809,"1D","FOLLOWING","TGT")</f>
        <v>43656</v>
      </c>
      <c r="J810" s="95">
        <f ca="1"/>
        <v>-7.7478423477423015E-4</v>
      </c>
      <c r="K810" s="5" t="s">
        <v>4</v>
      </c>
      <c r="L810" s="97">
        <f>_xll.meDateFromTenor(L809,"1D","FOLLOWING","TGT")</f>
        <v>43656</v>
      </c>
      <c r="M810" s="95">
        <f ca="1"/>
        <v>9.3718466071347154E-4</v>
      </c>
      <c r="N810" s="5" t="s">
        <v>4</v>
      </c>
      <c r="O810" s="97">
        <f>_xll.meDateFromTenor(O809,"1D","FOLLOWING","TGT")</f>
        <v>43656</v>
      </c>
      <c r="P810" s="95">
        <f ca="1"/>
        <v>2.9745971613321718E-3</v>
      </c>
      <c r="Q810" s="5" t="s">
        <v>4</v>
      </c>
      <c r="R810" s="83" t="s">
        <v>4</v>
      </c>
    </row>
    <row r="811" spans="1:18" x14ac:dyDescent="0.25">
      <c r="A811" s="88">
        <v>797</v>
      </c>
      <c r="B811" s="82"/>
      <c r="C811" s="97">
        <f>_xll.meDateFromTenor(C810,"1D","FOLLOWING","TGT")</f>
        <v>43657</v>
      </c>
      <c r="D811" s="95">
        <f ca="1"/>
        <v>-2.8069766391318751E-3</v>
      </c>
      <c r="E811" s="92"/>
      <c r="F811" s="97">
        <f>_xll.meDateFromTenor(F810,"1D","FOLLOWING","TGT")</f>
        <v>43657</v>
      </c>
      <c r="G811" s="95">
        <f ca="1"/>
        <v>-2.0629362260205916E-3</v>
      </c>
      <c r="H811" s="92" t="s">
        <v>4</v>
      </c>
      <c r="I811" s="97">
        <f>_xll.meDateFromTenor(I810,"1D","FOLLOWING","TGT")</f>
        <v>43657</v>
      </c>
      <c r="J811" s="95">
        <f ca="1"/>
        <v>-7.6987132207476257E-4</v>
      </c>
      <c r="K811" s="5" t="s">
        <v>4</v>
      </c>
      <c r="L811" s="97">
        <f>_xll.meDateFromTenor(L810,"1D","FOLLOWING","TGT")</f>
        <v>43657</v>
      </c>
      <c r="M811" s="95">
        <f ca="1"/>
        <v>9.4266108483196537E-4</v>
      </c>
      <c r="N811" s="5" t="s">
        <v>4</v>
      </c>
      <c r="O811" s="97">
        <f>_xll.meDateFromTenor(O810,"1D","FOLLOWING","TGT")</f>
        <v>43657</v>
      </c>
      <c r="P811" s="95">
        <f ca="1"/>
        <v>2.9799405448637539E-3</v>
      </c>
      <c r="Q811" s="5" t="s">
        <v>4</v>
      </c>
      <c r="R811" s="83" t="s">
        <v>4</v>
      </c>
    </row>
    <row r="812" spans="1:18" x14ac:dyDescent="0.25">
      <c r="A812" s="88">
        <v>798</v>
      </c>
      <c r="B812" s="82"/>
      <c r="C812" s="97">
        <f>_xll.meDateFromTenor(C811,"1D","FOLLOWING","TGT")</f>
        <v>43658</v>
      </c>
      <c r="D812" s="95">
        <f ca="1"/>
        <v>-2.8021040696266653E-3</v>
      </c>
      <c r="E812" s="92"/>
      <c r="F812" s="97">
        <f>_xll.meDateFromTenor(F811,"1D","FOLLOWING","TGT")</f>
        <v>43658</v>
      </c>
      <c r="G812" s="95">
        <f ca="1"/>
        <v>-2.0584820321298842E-3</v>
      </c>
      <c r="H812" s="92" t="s">
        <v>4</v>
      </c>
      <c r="I812" s="97">
        <f>_xll.meDateFromTenor(I811,"1D","FOLLOWING","TGT")</f>
        <v>43658</v>
      </c>
      <c r="J812" s="95">
        <f ca="1"/>
        <v>-7.6495511035466692E-4</v>
      </c>
      <c r="K812" s="5" t="s">
        <v>4</v>
      </c>
      <c r="L812" s="97">
        <f>_xll.meDateFromTenor(L811,"1D","FOLLOWING","TGT")</f>
        <v>43658</v>
      </c>
      <c r="M812" s="95">
        <f ca="1"/>
        <v>9.4814006621356749E-4</v>
      </c>
      <c r="N812" s="5" t="s">
        <v>4</v>
      </c>
      <c r="O812" s="97">
        <f>_xll.meDateFromTenor(O811,"1D","FOLLOWING","TGT")</f>
        <v>43658</v>
      </c>
      <c r="P812" s="95">
        <f ca="1"/>
        <v>2.9852848910341926E-3</v>
      </c>
      <c r="Q812" s="5" t="s">
        <v>4</v>
      </c>
      <c r="R812" s="83" t="s">
        <v>4</v>
      </c>
    </row>
    <row r="813" spans="1:18" x14ac:dyDescent="0.25">
      <c r="A813" s="88">
        <v>799</v>
      </c>
      <c r="B813" s="82"/>
      <c r="C813" s="97">
        <f>_xll.meDateFromTenor(C812,"1D","FOLLOWING","TGT")</f>
        <v>43661</v>
      </c>
      <c r="D813" s="95">
        <f ca="1"/>
        <v>-2.7874986712739247E-3</v>
      </c>
      <c r="E813" s="92"/>
      <c r="F813" s="97">
        <f>_xll.meDateFromTenor(F812,"1D","FOLLOWING","TGT")</f>
        <v>43661</v>
      </c>
      <c r="G813" s="95">
        <f ca="1"/>
        <v>-2.0451346315878902E-3</v>
      </c>
      <c r="H813" s="92" t="s">
        <v>4</v>
      </c>
      <c r="I813" s="97">
        <f>_xll.meDateFromTenor(I812,"1D","FOLLOWING","TGT")</f>
        <v>43661</v>
      </c>
      <c r="J813" s="95">
        <f ca="1"/>
        <v>-7.5018670875570486E-4</v>
      </c>
      <c r="K813" s="5" t="s">
        <v>4</v>
      </c>
      <c r="L813" s="97">
        <f>_xll.meDateFromTenor(L812,"1D","FOLLOWING","TGT")</f>
        <v>43661</v>
      </c>
      <c r="M813" s="95">
        <f ca="1"/>
        <v>9.6459235003828092E-4</v>
      </c>
      <c r="N813" s="5" t="s">
        <v>4</v>
      </c>
      <c r="O813" s="97">
        <f>_xll.meDateFromTenor(O812,"1D","FOLLOWING","TGT")</f>
        <v>43661</v>
      </c>
      <c r="P813" s="95">
        <f ca="1"/>
        <v>3.0013238356975088E-3</v>
      </c>
      <c r="Q813" s="5" t="s">
        <v>4</v>
      </c>
      <c r="R813" s="83" t="s">
        <v>4</v>
      </c>
    </row>
    <row r="814" spans="1:18" x14ac:dyDescent="0.25">
      <c r="A814" s="88">
        <v>800</v>
      </c>
      <c r="B814" s="82"/>
      <c r="C814" s="97">
        <f>_xll.meDateFromTenor(C813,"1D","FOLLOWING","TGT")</f>
        <v>43662</v>
      </c>
      <c r="D814" s="95">
        <f ca="1"/>
        <v>-2.782634307821108E-3</v>
      </c>
      <c r="E814" s="92"/>
      <c r="F814" s="97">
        <f>_xll.meDateFromTenor(F813,"1D","FOLLOWING","TGT")</f>
        <v>43662</v>
      </c>
      <c r="G814" s="95">
        <f ca="1"/>
        <v>-2.0406903062549263E-3</v>
      </c>
      <c r="H814" s="92" t="s">
        <v>4</v>
      </c>
      <c r="I814" s="97">
        <f>_xll.meDateFromTenor(I813,"1D","FOLLOWING","TGT")</f>
        <v>43662</v>
      </c>
      <c r="J814" s="95">
        <f ca="1"/>
        <v>-7.4525732863818951E-4</v>
      </c>
      <c r="K814" s="5" t="s">
        <v>4</v>
      </c>
      <c r="L814" s="97">
        <f>_xll.meDateFromTenor(L813,"1D","FOLLOWING","TGT")</f>
        <v>43662</v>
      </c>
      <c r="M814" s="95">
        <f ca="1"/>
        <v>9.7008155657357512E-4</v>
      </c>
      <c r="N814" s="5" t="s">
        <v>4</v>
      </c>
      <c r="O814" s="97">
        <f>_xll.meDateFromTenor(O813,"1D","FOLLOWING","TGT")</f>
        <v>43662</v>
      </c>
      <c r="P814" s="95">
        <f ca="1"/>
        <v>3.006672162742233E-3</v>
      </c>
      <c r="Q814" s="5" t="s">
        <v>4</v>
      </c>
      <c r="R814" s="83" t="s">
        <v>4</v>
      </c>
    </row>
    <row r="815" spans="1:18" x14ac:dyDescent="0.25">
      <c r="A815" s="88">
        <v>801</v>
      </c>
      <c r="B815" s="82"/>
      <c r="C815" s="97">
        <f>_xll.meDateFromTenor(C814,"1D","FOLLOWING","TGT")</f>
        <v>43663</v>
      </c>
      <c r="D815" s="95">
        <f ca="1"/>
        <v>-2.7777719951596058E-3</v>
      </c>
      <c r="E815" s="92"/>
      <c r="F815" s="97">
        <f>_xll.meDateFromTenor(F814,"1D","FOLLOWING","TGT")</f>
        <v>43663</v>
      </c>
      <c r="G815" s="95">
        <f ca="1"/>
        <v>-2.0362482589146432E-3</v>
      </c>
      <c r="H815" s="92" t="s">
        <v>4</v>
      </c>
      <c r="I815" s="97">
        <f>_xll.meDateFromTenor(I814,"1D","FOLLOWING","TGT")</f>
        <v>43663</v>
      </c>
      <c r="J815" s="95">
        <f ca="1"/>
        <v>-7.403246633425932E-4</v>
      </c>
      <c r="K815" s="5" t="s">
        <v>4</v>
      </c>
      <c r="L815" s="97">
        <f>_xll.meDateFromTenor(L814,"1D","FOLLOWING","TGT")</f>
        <v>43663</v>
      </c>
      <c r="M815" s="95">
        <f ca="1"/>
        <v>9.7557331842260608E-4</v>
      </c>
      <c r="N815" s="5" t="s">
        <v>4</v>
      </c>
      <c r="O815" s="97">
        <f>_xll.meDateFromTenor(O814,"1D","FOLLOWING","TGT")</f>
        <v>43663</v>
      </c>
      <c r="P815" s="95">
        <f ca="1"/>
        <v>3.0120215175852413E-3</v>
      </c>
      <c r="Q815" s="5" t="s">
        <v>4</v>
      </c>
      <c r="R815" s="83" t="s">
        <v>4</v>
      </c>
    </row>
    <row r="816" spans="1:18" x14ac:dyDescent="0.25">
      <c r="A816" s="88">
        <v>802</v>
      </c>
      <c r="B816" s="82"/>
      <c r="C816" s="97">
        <f>_xll.meDateFromTenor(C815,"1D","FOLLOWING","TGT")</f>
        <v>43664</v>
      </c>
      <c r="D816" s="95">
        <f ca="1"/>
        <v>-2.7729117332000452E-3</v>
      </c>
      <c r="E816" s="92"/>
      <c r="F816" s="97">
        <f>_xll.meDateFromTenor(F815,"1D","FOLLOWING","TGT")</f>
        <v>43664</v>
      </c>
      <c r="G816" s="95">
        <f ca="1"/>
        <v>-2.0318084139083368E-3</v>
      </c>
      <c r="H816" s="92" t="s">
        <v>4</v>
      </c>
      <c r="I816" s="97">
        <f>_xll.meDateFromTenor(I815,"1D","FOLLOWING","TGT")</f>
        <v>43664</v>
      </c>
      <c r="J816" s="95">
        <f ca="1"/>
        <v>-7.3538871563742368E-4</v>
      </c>
      <c r="K816" s="5" t="s">
        <v>4</v>
      </c>
      <c r="L816" s="97">
        <f>_xll.meDateFromTenor(L815,"1D","FOLLOWING","TGT")</f>
        <v>43664</v>
      </c>
      <c r="M816" s="95">
        <f ca="1"/>
        <v>9.8106763519550185E-4</v>
      </c>
      <c r="N816" s="5" t="s">
        <v>4</v>
      </c>
      <c r="O816" s="97">
        <f>_xll.meDateFromTenor(O815,"1D","FOLLOWING","TGT")</f>
        <v>43664</v>
      </c>
      <c r="P816" s="95">
        <f ca="1"/>
        <v>3.017371913258422E-3</v>
      </c>
      <c r="Q816" s="5" t="s">
        <v>4</v>
      </c>
      <c r="R816" s="83" t="s">
        <v>4</v>
      </c>
    </row>
    <row r="817" spans="1:18" x14ac:dyDescent="0.25">
      <c r="A817" s="88">
        <v>803</v>
      </c>
      <c r="B817" s="82"/>
      <c r="C817" s="97">
        <f>_xll.meDateFromTenor(C816,"1D","FOLLOWING","TGT")</f>
        <v>43665</v>
      </c>
      <c r="D817" s="95">
        <f ca="1"/>
        <v>-2.7680535216537683E-3</v>
      </c>
      <c r="E817" s="92"/>
      <c r="F817" s="97">
        <f>_xll.meDateFromTenor(F816,"1D","FOLLOWING","TGT")</f>
        <v>43665</v>
      </c>
      <c r="G817" s="95">
        <f ca="1"/>
        <v>-2.0273706955773055E-3</v>
      </c>
      <c r="H817" s="92" t="s">
        <v>4</v>
      </c>
      <c r="I817" s="97">
        <f>_xll.meDateFromTenor(I816,"1D","FOLLOWING","TGT")</f>
        <v>43665</v>
      </c>
      <c r="J817" s="95">
        <f ca="1"/>
        <v>-7.30449488291191E-4</v>
      </c>
      <c r="K817" s="5" t="s">
        <v>4</v>
      </c>
      <c r="L817" s="97">
        <f>_xll.meDateFromTenor(L816,"1D","FOLLOWING","TGT")</f>
        <v>43665</v>
      </c>
      <c r="M817" s="95">
        <f ca="1"/>
        <v>9.8656450650238744E-4</v>
      </c>
      <c r="N817" s="5" t="s">
        <v>4</v>
      </c>
      <c r="O817" s="97">
        <f>_xll.meDateFromTenor(O816,"1D","FOLLOWING","TGT")</f>
        <v>43665</v>
      </c>
      <c r="P817" s="95">
        <f ca="1"/>
        <v>3.0227233627936581E-3</v>
      </c>
      <c r="Q817" s="5" t="s">
        <v>4</v>
      </c>
      <c r="R817" s="83" t="s">
        <v>4</v>
      </c>
    </row>
    <row r="818" spans="1:18" x14ac:dyDescent="0.25">
      <c r="A818" s="88">
        <v>804</v>
      </c>
      <c r="B818" s="82"/>
      <c r="C818" s="97">
        <f>_xll.meDateFromTenor(C817,"1D","FOLLOWING","TGT")</f>
        <v>43668</v>
      </c>
      <c r="D818" s="95">
        <f ca="1"/>
        <v>-2.753491187403645E-3</v>
      </c>
      <c r="E818" s="92"/>
      <c r="F818" s="97">
        <f>_xll.meDateFromTenor(F817,"1D","FOLLOWING","TGT")</f>
        <v>43668</v>
      </c>
      <c r="G818" s="95">
        <f ca="1"/>
        <v>-2.0140695440488379E-3</v>
      </c>
      <c r="H818" s="92" t="s">
        <v>4</v>
      </c>
      <c r="I818" s="97">
        <f>_xll.meDateFromTenor(I817,"1D","FOLLOWING","TGT")</f>
        <v>43668</v>
      </c>
      <c r="J818" s="95">
        <f ca="1"/>
        <v>-7.1561215609120714E-4</v>
      </c>
      <c r="K818" s="5" t="s">
        <v>4</v>
      </c>
      <c r="L818" s="97">
        <f>_xll.meDateFromTenor(L817,"1D","FOLLOWING","TGT")</f>
        <v>43668</v>
      </c>
      <c r="M818" s="95">
        <f ca="1"/>
        <v>1.0030704437282423E-3</v>
      </c>
      <c r="N818" s="5" t="s">
        <v>4</v>
      </c>
      <c r="O818" s="97">
        <f>_xll.meDateFromTenor(O817,"1D","FOLLOWING","TGT")</f>
        <v>43668</v>
      </c>
      <c r="P818" s="95">
        <f ca="1"/>
        <v>3.0387841648905588E-3</v>
      </c>
      <c r="Q818" s="5" t="s">
        <v>4</v>
      </c>
      <c r="R818" s="83" t="s">
        <v>4</v>
      </c>
    </row>
    <row r="819" spans="1:18" x14ac:dyDescent="0.25">
      <c r="A819" s="88">
        <v>805</v>
      </c>
      <c r="B819" s="82"/>
      <c r="C819" s="97">
        <f>_xll.meDateFromTenor(C818,"1D","FOLLOWING","TGT")</f>
        <v>43669</v>
      </c>
      <c r="D819" s="95">
        <f ca="1"/>
        <v>-2.7486411753007145E-3</v>
      </c>
      <c r="E819" s="92"/>
      <c r="F819" s="97">
        <f>_xll.meDateFromTenor(F818,"1D","FOLLOWING","TGT")</f>
        <v>43669</v>
      </c>
      <c r="G819" s="95">
        <f ca="1"/>
        <v>-2.0096395758318836E-3</v>
      </c>
      <c r="H819" s="92" t="s">
        <v>4</v>
      </c>
      <c r="I819" s="97">
        <f>_xll.meDateFromTenor(I818,"1D","FOLLOWING","TGT")</f>
        <v>43669</v>
      </c>
      <c r="J819" s="95">
        <f ca="1"/>
        <v>-7.1065983786581556E-4</v>
      </c>
      <c r="K819" s="5" t="s">
        <v>4</v>
      </c>
      <c r="L819" s="97">
        <f>_xll.meDateFromTenor(L818,"1D","FOLLOWING","TGT")</f>
        <v>43669</v>
      </c>
      <c r="M819" s="95">
        <f ca="1"/>
        <v>1.0085775292723452E-3</v>
      </c>
      <c r="N819" s="5" t="s">
        <v>4</v>
      </c>
      <c r="O819" s="97">
        <f>_xll.meDateFromTenor(O818,"1D","FOLLOWING","TGT")</f>
        <v>43669</v>
      </c>
      <c r="P819" s="95">
        <f ca="1"/>
        <v>3.0441399601928748E-3</v>
      </c>
      <c r="Q819" s="5" t="s">
        <v>4</v>
      </c>
      <c r="R819" s="83" t="s">
        <v>4</v>
      </c>
    </row>
    <row r="820" spans="1:18" x14ac:dyDescent="0.25">
      <c r="A820" s="88">
        <v>806</v>
      </c>
      <c r="B820" s="82"/>
      <c r="C820" s="97">
        <f>_xll.meDateFromTenor(C819,"1D","FOLLOWING","TGT")</f>
        <v>43670</v>
      </c>
      <c r="D820" s="95">
        <f ca="1"/>
        <v>-2.7437932125253806E-3</v>
      </c>
      <c r="E820" s="92"/>
      <c r="F820" s="97">
        <f>_xll.meDateFromTenor(F819,"1D","FOLLOWING","TGT")</f>
        <v>43670</v>
      </c>
      <c r="G820" s="95">
        <f ca="1"/>
        <v>-2.005211355996692E-3</v>
      </c>
      <c r="H820" s="92" t="s">
        <v>4</v>
      </c>
      <c r="I820" s="97">
        <f>_xll.meDateFromTenor(I819,"1D","FOLLOWING","TGT")</f>
        <v>43670</v>
      </c>
      <c r="J820" s="95">
        <f ca="1"/>
        <v>-7.057042538419064E-4</v>
      </c>
      <c r="K820" s="5" t="s">
        <v>4</v>
      </c>
      <c r="L820" s="97">
        <f>_xll.meDateFromTenor(L819,"1D","FOLLOWING","TGT")</f>
        <v>43670</v>
      </c>
      <c r="M820" s="95">
        <f ca="1"/>
        <v>1.0140871674010688E-3</v>
      </c>
      <c r="N820" s="5" t="s">
        <v>4</v>
      </c>
      <c r="O820" s="97">
        <f>_xll.meDateFromTenor(O819,"1D","FOLLOWING","TGT")</f>
        <v>43670</v>
      </c>
      <c r="P820" s="95">
        <f ca="1"/>
        <v>3.0494968745166744E-3</v>
      </c>
      <c r="Q820" s="5" t="s">
        <v>4</v>
      </c>
      <c r="R820" s="83" t="s">
        <v>4</v>
      </c>
    </row>
    <row r="821" spans="1:18" x14ac:dyDescent="0.25">
      <c r="A821" s="88">
        <v>807</v>
      </c>
      <c r="B821" s="82"/>
      <c r="C821" s="97">
        <f>_xll.meDateFromTenor(C820,"1D","FOLLOWING","TGT")</f>
        <v>43671</v>
      </c>
      <c r="D821" s="95">
        <f ca="1"/>
        <v>-2.7389472988689212E-3</v>
      </c>
      <c r="E821" s="92"/>
      <c r="F821" s="97">
        <f>_xll.meDateFromTenor(F820,"1D","FOLLOWING","TGT")</f>
        <v>43671</v>
      </c>
      <c r="G821" s="95">
        <f ca="1"/>
        <v>-2.0007848088845607E-3</v>
      </c>
      <c r="H821" s="92" t="s">
        <v>4</v>
      </c>
      <c r="I821" s="97">
        <f>_xll.meDateFromTenor(I820,"1D","FOLLOWING","TGT")</f>
        <v>43671</v>
      </c>
      <c r="J821" s="95">
        <f ca="1"/>
        <v>-7.0074540678799003E-4</v>
      </c>
      <c r="K821" s="5" t="s">
        <v>4</v>
      </c>
      <c r="L821" s="97">
        <f>_xll.meDateFromTenor(L820,"1D","FOLLOWING","TGT")</f>
        <v>43671</v>
      </c>
      <c r="M821" s="95">
        <f ca="1"/>
        <v>1.0195993577245379E-3</v>
      </c>
      <c r="N821" s="5" t="s">
        <v>4</v>
      </c>
      <c r="O821" s="97">
        <f>_xll.meDateFromTenor(O820,"1D","FOLLOWING","TGT")</f>
        <v>43671</v>
      </c>
      <c r="P821" s="95">
        <f ca="1"/>
        <v>3.0548549208938439E-3</v>
      </c>
      <c r="Q821" s="5" t="s">
        <v>4</v>
      </c>
      <c r="R821" s="83" t="s">
        <v>4</v>
      </c>
    </row>
    <row r="822" spans="1:18" x14ac:dyDescent="0.25">
      <c r="A822" s="88">
        <v>808</v>
      </c>
      <c r="B822" s="82"/>
      <c r="C822" s="97">
        <f>_xll.meDateFromTenor(C821,"1D","FOLLOWING","TGT")</f>
        <v>43672</v>
      </c>
      <c r="D822" s="95">
        <f ca="1"/>
        <v>-2.7341034340027104E-3</v>
      </c>
      <c r="E822" s="92"/>
      <c r="F822" s="97">
        <f>_xll.meDateFromTenor(F821,"1D","FOLLOWING","TGT")</f>
        <v>43672</v>
      </c>
      <c r="G822" s="95">
        <f ca="1"/>
        <v>-1.9963598588367886E-3</v>
      </c>
      <c r="H822" s="92" t="s">
        <v>4</v>
      </c>
      <c r="I822" s="97">
        <f>_xll.meDateFromTenor(I821,"1D","FOLLOWING","TGT")</f>
        <v>43672</v>
      </c>
      <c r="J822" s="95">
        <f ca="1"/>
        <v>-6.9578329947257624E-4</v>
      </c>
      <c r="K822" s="5" t="s">
        <v>4</v>
      </c>
      <c r="L822" s="97">
        <f>_xll.meDateFromTenor(L821,"1D","FOLLOWING","TGT")</f>
        <v>43672</v>
      </c>
      <c r="M822" s="95">
        <f ca="1"/>
        <v>1.0251140998528772E-3</v>
      </c>
      <c r="N822" s="5" t="s">
        <v>4</v>
      </c>
      <c r="O822" s="97">
        <f>_xll.meDateFromTenor(O821,"1D","FOLLOWING","TGT")</f>
        <v>43672</v>
      </c>
      <c r="P822" s="95">
        <f ca="1"/>
        <v>3.060214112356267E-3</v>
      </c>
      <c r="Q822" s="5" t="s">
        <v>4</v>
      </c>
      <c r="R822" s="83" t="s">
        <v>4</v>
      </c>
    </row>
    <row r="823" spans="1:18" x14ac:dyDescent="0.25">
      <c r="A823" s="88">
        <v>809</v>
      </c>
      <c r="B823" s="82"/>
      <c r="C823" s="97">
        <f>_xll.meDateFromTenor(C822,"1D","FOLLOWING","TGT")</f>
        <v>43675</v>
      </c>
      <c r="D823" s="95">
        <f ca="1"/>
        <v>-2.7195841302530832E-3</v>
      </c>
      <c r="E823" s="92"/>
      <c r="F823" s="97">
        <f>_xll.meDateFromTenor(F822,"1D","FOLLOWING","TGT")</f>
        <v>43675</v>
      </c>
      <c r="G823" s="95">
        <f ca="1"/>
        <v>-1.9830938344925974E-3</v>
      </c>
      <c r="H823" s="92" t="s">
        <v>4</v>
      </c>
      <c r="I823" s="97">
        <f>_xll.meDateFromTenor(I822,"1D","FOLLOWING","TGT")</f>
        <v>43675</v>
      </c>
      <c r="J823" s="95">
        <f ca="1"/>
        <v>-6.8087744364243657E-4</v>
      </c>
      <c r="K823" s="5" t="s">
        <v>4</v>
      </c>
      <c r="L823" s="97">
        <f>_xll.meDateFromTenor(L822,"1D","FOLLOWING","TGT")</f>
        <v>43675</v>
      </c>
      <c r="M823" s="95">
        <f ca="1"/>
        <v>1.0416736331683855E-3</v>
      </c>
      <c r="N823" s="5" t="s">
        <v>4</v>
      </c>
      <c r="O823" s="97">
        <f>_xll.meDateFromTenor(O822,"1D","FOLLOWING","TGT")</f>
        <v>43675</v>
      </c>
      <c r="P823" s="95">
        <f ca="1"/>
        <v>3.0762986875739235E-3</v>
      </c>
      <c r="Q823" s="5" t="s">
        <v>4</v>
      </c>
      <c r="R823" s="83" t="s">
        <v>4</v>
      </c>
    </row>
    <row r="824" spans="1:18" x14ac:dyDescent="0.25">
      <c r="A824" s="88">
        <v>810</v>
      </c>
      <c r="B824" s="82"/>
      <c r="C824" s="97">
        <f>_xll.meDateFromTenor(C823,"1D","FOLLOWING","TGT")</f>
        <v>43676</v>
      </c>
      <c r="D824" s="95">
        <f ca="1"/>
        <v>-2.7147484583364134E-3</v>
      </c>
      <c r="E824" s="92"/>
      <c r="F824" s="97">
        <f>_xll.meDateFromTenor(F823,"1D","FOLLOWING","TGT")</f>
        <v>43676</v>
      </c>
      <c r="G824" s="95">
        <f ca="1"/>
        <v>-1.978674516115234E-3</v>
      </c>
      <c r="H824" s="92" t="s">
        <v>4</v>
      </c>
      <c r="I824" s="97">
        <f>_xll.meDateFromTenor(I823,"1D","FOLLOWING","TGT")</f>
        <v>43676</v>
      </c>
      <c r="J824" s="95">
        <f ca="1"/>
        <v>-6.7590232296612241E-4</v>
      </c>
      <c r="K824" s="5" t="s">
        <v>4</v>
      </c>
      <c r="L824" s="97">
        <f>_xll.meDateFromTenor(L823,"1D","FOLLOWING","TGT")</f>
        <v>43676</v>
      </c>
      <c r="M824" s="95">
        <f ca="1"/>
        <v>1.0471985786174708E-3</v>
      </c>
      <c r="N824" s="5" t="s">
        <v>4</v>
      </c>
      <c r="O824" s="97">
        <f>_xll.meDateFromTenor(O823,"1D","FOLLOWING","TGT")</f>
        <v>43676</v>
      </c>
      <c r="P824" s="95">
        <f ca="1"/>
        <v>3.0816625896962217E-3</v>
      </c>
      <c r="Q824" s="5" t="s">
        <v>4</v>
      </c>
      <c r="R824" s="83" t="s">
        <v>4</v>
      </c>
    </row>
    <row r="825" spans="1:18" x14ac:dyDescent="0.25">
      <c r="A825" s="88">
        <v>811</v>
      </c>
      <c r="B825" s="82"/>
      <c r="C825" s="97">
        <f>_xll.meDateFromTenor(C824,"1D","FOLLOWING","TGT")</f>
        <v>43677</v>
      </c>
      <c r="D825" s="95">
        <f ca="1"/>
        <v>-2.7099148343632251E-3</v>
      </c>
      <c r="E825" s="92"/>
      <c r="F825" s="97">
        <f>_xll.meDateFromTenor(F824,"1D","FOLLOWING","TGT")</f>
        <v>43677</v>
      </c>
      <c r="G825" s="95">
        <f ca="1"/>
        <v>-1.974256416508717E-3</v>
      </c>
      <c r="H825" s="92" t="s">
        <v>4</v>
      </c>
      <c r="I825" s="97">
        <f>_xll.meDateFromTenor(I824,"1D","FOLLOWING","TGT")</f>
        <v>43677</v>
      </c>
      <c r="J825" s="95">
        <f ca="1"/>
        <v>-6.7092395587085634E-4</v>
      </c>
      <c r="K825" s="5" t="s">
        <v>4</v>
      </c>
      <c r="L825" s="97">
        <f>_xll.meDateFromTenor(L824,"1D","FOLLOWING","TGT")</f>
        <v>43677</v>
      </c>
      <c r="M825" s="95">
        <f ca="1"/>
        <v>1.0527260739220568E-3</v>
      </c>
      <c r="N825" s="5" t="s">
        <v>4</v>
      </c>
      <c r="O825" s="97">
        <f>_xll.meDateFromTenor(O824,"1D","FOLLOWING","TGT")</f>
        <v>43677</v>
      </c>
      <c r="P825" s="95">
        <f ca="1"/>
        <v>3.0870277020632031E-3</v>
      </c>
      <c r="Q825" s="5" t="s">
        <v>4</v>
      </c>
      <c r="R825" s="83" t="s">
        <v>4</v>
      </c>
    </row>
    <row r="826" spans="1:18" x14ac:dyDescent="0.25">
      <c r="A826" s="88">
        <v>812</v>
      </c>
      <c r="B826" s="82"/>
      <c r="C826" s="97">
        <f>_xll.meDateFromTenor(C825,"1D","FOLLOWING","TGT")</f>
        <v>43678</v>
      </c>
      <c r="D826" s="95">
        <f ca="1"/>
        <v>-2.7050832578054962E-3</v>
      </c>
      <c r="E826" s="92"/>
      <c r="F826" s="97">
        <f>_xll.meDateFromTenor(F825,"1D","FOLLOWING","TGT")</f>
        <v>43678</v>
      </c>
      <c r="G826" s="95">
        <f ca="1"/>
        <v>-1.9698394600143458E-3</v>
      </c>
      <c r="H826" s="92" t="s">
        <v>4</v>
      </c>
      <c r="I826" s="97">
        <f>_xll.meDateFromTenor(I825,"1D","FOLLOWING","TGT")</f>
        <v>43678</v>
      </c>
      <c r="J826" s="95">
        <f ca="1"/>
        <v>-6.6594234512514872E-4</v>
      </c>
      <c r="K826" s="5" t="s">
        <v>4</v>
      </c>
      <c r="L826" s="97">
        <f>_xll.meDateFromTenor(L825,"1D","FOLLOWING","TGT")</f>
        <v>43678</v>
      </c>
      <c r="M826" s="95">
        <f ca="1"/>
        <v>1.0582561186922692E-3</v>
      </c>
      <c r="N826" s="5" t="s">
        <v>4</v>
      </c>
      <c r="O826" s="97">
        <f>_xll.meDateFromTenor(O825,"1D","FOLLOWING","TGT")</f>
        <v>43678</v>
      </c>
      <c r="P826" s="95">
        <f ca="1"/>
        <v>3.0923940377067505E-3</v>
      </c>
      <c r="Q826" s="5" t="s">
        <v>4</v>
      </c>
      <c r="R826" s="83" t="s">
        <v>4</v>
      </c>
    </row>
    <row r="827" spans="1:18" x14ac:dyDescent="0.25">
      <c r="A827" s="88">
        <v>813</v>
      </c>
      <c r="B827" s="82"/>
      <c r="C827" s="97">
        <f>_xll.meDateFromTenor(C826,"1D","FOLLOWING","TGT")</f>
        <v>43679</v>
      </c>
      <c r="D827" s="95">
        <f ca="1"/>
        <v>-2.7002537284539496E-3</v>
      </c>
      <c r="E827" s="92"/>
      <c r="F827" s="97">
        <f>_xll.meDateFromTenor(F826,"1D","FOLLOWING","TGT")</f>
        <v>43679</v>
      </c>
      <c r="G827" s="95">
        <f ca="1"/>
        <v>-1.9654235709734144E-3</v>
      </c>
      <c r="H827" s="92" t="s">
        <v>4</v>
      </c>
      <c r="I827" s="97">
        <f>_xll.meDateFromTenor(I826,"1D","FOLLOWING","TGT")</f>
        <v>43679</v>
      </c>
      <c r="J827" s="95">
        <f ca="1"/>
        <v>-6.6095749349750728E-4</v>
      </c>
      <c r="K827" s="5" t="s">
        <v>4</v>
      </c>
      <c r="L827" s="97">
        <f>_xll.meDateFromTenor(L826,"1D","FOLLOWING","TGT")</f>
        <v>43679</v>
      </c>
      <c r="M827" s="95">
        <f ca="1"/>
        <v>1.0637887125382352E-3</v>
      </c>
      <c r="N827" s="5" t="s">
        <v>4</v>
      </c>
      <c r="O827" s="97">
        <f>_xll.meDateFromTenor(O826,"1D","FOLLOWING","TGT")</f>
        <v>43679</v>
      </c>
      <c r="P827" s="95">
        <f ca="1"/>
        <v>3.0977616096587533E-3</v>
      </c>
      <c r="Q827" s="5" t="s">
        <v>4</v>
      </c>
      <c r="R827" s="83" t="s">
        <v>4</v>
      </c>
    </row>
    <row r="828" spans="1:18" x14ac:dyDescent="0.25">
      <c r="A828" s="88">
        <v>814</v>
      </c>
      <c r="B828" s="82"/>
      <c r="C828" s="97">
        <f>_xll.meDateFromTenor(C827,"1D","FOLLOWING","TGT")</f>
        <v>43682</v>
      </c>
      <c r="D828" s="95">
        <f ca="1"/>
        <v>-2.6857774217029506E-3</v>
      </c>
      <c r="E828" s="92"/>
      <c r="F828" s="97">
        <f>_xll.meDateFromTenor(F827,"1D","FOLLOWING","TGT")</f>
        <v>43682</v>
      </c>
      <c r="G828" s="95">
        <f ca="1"/>
        <v>-1.9521761261416912E-3</v>
      </c>
      <c r="H828" s="92" t="s">
        <v>4</v>
      </c>
      <c r="I828" s="97">
        <f>_xll.meDateFromTenor(I827,"1D","FOLLOWING","TGT")</f>
        <v>43682</v>
      </c>
      <c r="J828" s="95">
        <f ca="1"/>
        <v>-6.4598352100807765E-4</v>
      </c>
      <c r="K828" s="5" t="s">
        <v>4</v>
      </c>
      <c r="L828" s="97">
        <f>_xll.meDateFromTenor(L827,"1D","FOLLOWING","TGT")</f>
        <v>43682</v>
      </c>
      <c r="M828" s="95">
        <f ca="1"/>
        <v>1.0804017846319095E-3</v>
      </c>
      <c r="N828" s="5" t="s">
        <v>4</v>
      </c>
      <c r="O828" s="97">
        <f>_xll.meDateFromTenor(O827,"1D","FOLLOWING","TGT")</f>
        <v>43682</v>
      </c>
      <c r="P828" s="95">
        <f ca="1"/>
        <v>3.1138718736843348E-3</v>
      </c>
      <c r="Q828" s="5" t="s">
        <v>4</v>
      </c>
      <c r="R828" s="83" t="s">
        <v>4</v>
      </c>
    </row>
    <row r="829" spans="1:18" x14ac:dyDescent="0.25">
      <c r="A829" s="88">
        <v>815</v>
      </c>
      <c r="B829" s="82"/>
      <c r="C829" s="97">
        <f>_xll.meDateFromTenor(C828,"1D","FOLLOWING","TGT")</f>
        <v>43683</v>
      </c>
      <c r="D829" s="95">
        <f ca="1"/>
        <v>-2.680956079083141E-3</v>
      </c>
      <c r="E829" s="92"/>
      <c r="F829" s="97">
        <f>_xll.meDateFromTenor(F828,"1D","FOLLOWING","TGT")</f>
        <v>43683</v>
      </c>
      <c r="G829" s="95">
        <f ca="1"/>
        <v>-1.9477563149136281E-3</v>
      </c>
      <c r="H829" s="92" t="s">
        <v>4</v>
      </c>
      <c r="I829" s="97">
        <f>_xll.meDateFromTenor(I828,"1D","FOLLOWING","TGT")</f>
        <v>43683</v>
      </c>
      <c r="J829" s="95">
        <f ca="1"/>
        <v>-6.4098573353779664E-4</v>
      </c>
      <c r="K829" s="5" t="s">
        <v>4</v>
      </c>
      <c r="L829" s="97">
        <f>_xll.meDateFromTenor(L828,"1D","FOLLOWING","TGT")</f>
        <v>43683</v>
      </c>
      <c r="M829" s="95">
        <f ca="1"/>
        <v>1.0859445708821468E-3</v>
      </c>
      <c r="N829" s="5" t="s">
        <v>4</v>
      </c>
      <c r="O829" s="97">
        <f>_xll.meDateFromTenor(O828,"1D","FOLLOWING","TGT")</f>
        <v>43683</v>
      </c>
      <c r="P829" s="95">
        <f ca="1"/>
        <v>3.1192445211890058E-3</v>
      </c>
      <c r="Q829" s="5" t="s">
        <v>4</v>
      </c>
      <c r="R829" s="83" t="s">
        <v>4</v>
      </c>
    </row>
    <row r="830" spans="1:18" x14ac:dyDescent="0.25">
      <c r="A830" s="88">
        <v>816</v>
      </c>
      <c r="B830" s="82"/>
      <c r="C830" s="97">
        <f>_xll.meDateFromTenor(C829,"1D","FOLLOWING","TGT")</f>
        <v>43684</v>
      </c>
      <c r="D830" s="95">
        <f ca="1"/>
        <v>-2.6761367828221916E-3</v>
      </c>
      <c r="E830" s="92"/>
      <c r="F830" s="97">
        <f>_xll.meDateFromTenor(F829,"1D","FOLLOWING","TGT")</f>
        <v>43684</v>
      </c>
      <c r="G830" s="95">
        <f ca="1"/>
        <v>-1.9433323698743324E-3</v>
      </c>
      <c r="H830" s="92" t="s">
        <v>4</v>
      </c>
      <c r="I830" s="97">
        <f>_xll.meDateFromTenor(I829,"1D","FOLLOWING","TGT")</f>
        <v>43684</v>
      </c>
      <c r="J830" s="95">
        <f ca="1"/>
        <v>-6.3598471902812873E-4</v>
      </c>
      <c r="K830" s="5" t="s">
        <v>4</v>
      </c>
      <c r="L830" s="97">
        <f>_xll.meDateFromTenor(L829,"1D","FOLLOWING","TGT")</f>
        <v>43684</v>
      </c>
      <c r="M830" s="95">
        <f ca="1"/>
        <v>1.0914899042587668E-3</v>
      </c>
      <c r="N830" s="5" t="s">
        <v>4</v>
      </c>
      <c r="O830" s="97">
        <f>_xll.meDateFromTenor(O829,"1D","FOLLOWING","TGT")</f>
        <v>43684</v>
      </c>
      <c r="P830" s="95">
        <f ca="1"/>
        <v>3.1246184701615586E-3</v>
      </c>
      <c r="Q830" s="5" t="s">
        <v>4</v>
      </c>
      <c r="R830" s="83" t="s">
        <v>4</v>
      </c>
    </row>
    <row r="831" spans="1:18" x14ac:dyDescent="0.25">
      <c r="A831" s="88">
        <v>817</v>
      </c>
      <c r="B831" s="82"/>
      <c r="C831" s="97">
        <f>_xll.meDateFromTenor(C830,"1D","FOLLOWING","TGT")</f>
        <v>43685</v>
      </c>
      <c r="D831" s="95">
        <f ca="1"/>
        <v>-2.6713195322723982E-3</v>
      </c>
      <c r="E831" s="92"/>
      <c r="F831" s="97">
        <f>_xll.meDateFromTenor(F830,"1D","FOLLOWING","TGT")</f>
        <v>43685</v>
      </c>
      <c r="G831" s="95">
        <f ca="1"/>
        <v>-1.9389030096223117E-3</v>
      </c>
      <c r="H831" s="92" t="s">
        <v>4</v>
      </c>
      <c r="I831" s="97">
        <f>_xll.meDateFromTenor(I830,"1D","FOLLOWING","TGT")</f>
        <v>43685</v>
      </c>
      <c r="J831" s="95">
        <f ca="1"/>
        <v>-6.3098048024758362E-4</v>
      </c>
      <c r="K831" s="5" t="s">
        <v>4</v>
      </c>
      <c r="L831" s="97">
        <f>_xll.meDateFromTenor(L830,"1D","FOLLOWING","TGT")</f>
        <v>43685</v>
      </c>
      <c r="M831" s="95">
        <f ca="1"/>
        <v>1.0970377843718951E-3</v>
      </c>
      <c r="N831" s="5" t="s">
        <v>4</v>
      </c>
      <c r="O831" s="97">
        <f>_xll.meDateFromTenor(O830,"1D","FOLLOWING","TGT")</f>
        <v>43685</v>
      </c>
      <c r="P831" s="95">
        <f ca="1"/>
        <v>3.1299937336338778E-3</v>
      </c>
      <c r="Q831" s="5" t="s">
        <v>4</v>
      </c>
      <c r="R831" s="83" t="s">
        <v>4</v>
      </c>
    </row>
    <row r="832" spans="1:18" x14ac:dyDescent="0.25">
      <c r="A832" s="88">
        <v>818</v>
      </c>
      <c r="B832" s="82"/>
      <c r="C832" s="97">
        <f>_xll.meDateFromTenor(C831,"1D","FOLLOWING","TGT")</f>
        <v>43686</v>
      </c>
      <c r="D832" s="95">
        <f ca="1"/>
        <v>-2.6665043274235467E-3</v>
      </c>
      <c r="E832" s="92"/>
      <c r="F832" s="97">
        <f>_xll.meDateFromTenor(F831,"1D","FOLLOWING","TGT")</f>
        <v>43686</v>
      </c>
      <c r="G832" s="95">
        <f ca="1"/>
        <v>-1.9344669527560725E-3</v>
      </c>
      <c r="H832" s="92" t="s">
        <v>4</v>
      </c>
      <c r="I832" s="97">
        <f>_xll.meDateFromTenor(I831,"1D","FOLLOWING","TGT")</f>
        <v>43686</v>
      </c>
      <c r="J832" s="95">
        <f ca="1"/>
        <v>-6.2597301996467015E-4</v>
      </c>
      <c r="K832" s="5" t="s">
        <v>4</v>
      </c>
      <c r="L832" s="97">
        <f>_xll.meDateFromTenor(L831,"1D","FOLLOWING","TGT")</f>
        <v>43686</v>
      </c>
      <c r="M832" s="95">
        <f ca="1"/>
        <v>1.1025882108316582E-3</v>
      </c>
      <c r="N832" s="5" t="s">
        <v>4</v>
      </c>
      <c r="O832" s="97">
        <f>_xll.meDateFromTenor(O831,"1D","FOLLOWING","TGT")</f>
        <v>43686</v>
      </c>
      <c r="P832" s="95">
        <f ca="1"/>
        <v>3.135370324637848E-3</v>
      </c>
      <c r="Q832" s="5" t="s">
        <v>4</v>
      </c>
      <c r="R832" s="83" t="s">
        <v>4</v>
      </c>
    </row>
    <row r="833" spans="1:18" x14ac:dyDescent="0.25">
      <c r="A833" s="88">
        <v>819</v>
      </c>
      <c r="B833" s="82"/>
      <c r="C833" s="97">
        <f>_xll.meDateFromTenor(C832,"1D","FOLLOWING","TGT")</f>
        <v>43689</v>
      </c>
      <c r="D833" s="95">
        <f ca="1"/>
        <v>-2.6520709846700186E-3</v>
      </c>
      <c r="E833" s="92"/>
      <c r="F833" s="97">
        <f>_xll.meDateFromTenor(F832,"1D","FOLLOWING","TGT")</f>
        <v>43689</v>
      </c>
      <c r="G833" s="95">
        <f ca="1"/>
        <v>-1.9211057884571184E-3</v>
      </c>
      <c r="H833" s="92" t="s">
        <v>4</v>
      </c>
      <c r="I833" s="97">
        <f>_xll.meDateFromTenor(I832,"1D","FOLLOWING","TGT")</f>
        <v>43689</v>
      </c>
      <c r="J833" s="95">
        <f ca="1"/>
        <v>-6.1093133778681598E-4</v>
      </c>
      <c r="K833" s="5" t="s">
        <v>4</v>
      </c>
      <c r="L833" s="97">
        <f>_xll.meDateFromTenor(L832,"1D","FOLLOWING","TGT")</f>
        <v>43689</v>
      </c>
      <c r="M833" s="95">
        <f ca="1"/>
        <v>1.119254764392012E-3</v>
      </c>
      <c r="N833" s="5" t="s">
        <v>4</v>
      </c>
      <c r="O833" s="97">
        <f>_xll.meDateFromTenor(O832,"1D","FOLLOWING","TGT")</f>
        <v>43689</v>
      </c>
      <c r="P833" s="95">
        <f ca="1"/>
        <v>3.1515081931585268E-3</v>
      </c>
      <c r="Q833" s="5" t="s">
        <v>4</v>
      </c>
      <c r="R833" s="83" t="s">
        <v>4</v>
      </c>
    </row>
    <row r="834" spans="1:18" x14ac:dyDescent="0.25">
      <c r="A834" s="88">
        <v>820</v>
      </c>
      <c r="B834" s="82"/>
      <c r="C834" s="97">
        <f>_xll.meDateFromTenor(C833,"1D","FOLLOWING","TGT")</f>
        <v>43690</v>
      </c>
      <c r="D834" s="95">
        <f ca="1"/>
        <v>-2.6472639603715153E-3</v>
      </c>
      <c r="E834" s="92"/>
      <c r="F834" s="97">
        <f>_xll.meDateFromTenor(F833,"1D","FOLLOWING","TGT")</f>
        <v>43690</v>
      </c>
      <c r="G834" s="95">
        <f ca="1"/>
        <v>-1.9166301311190775E-3</v>
      </c>
      <c r="H834" s="92" t="s">
        <v>4</v>
      </c>
      <c r="I834" s="97">
        <f>_xll.meDateFromTenor(I833,"1D","FOLLOWING","TGT")</f>
        <v>43690</v>
      </c>
      <c r="J834" s="95">
        <f ca="1"/>
        <v>-6.059110191795232E-4</v>
      </c>
      <c r="K834" s="5" t="s">
        <v>4</v>
      </c>
      <c r="L834" s="97">
        <f>_xll.meDateFromTenor(L833,"1D","FOLLOWING","TGT")</f>
        <v>43690</v>
      </c>
      <c r="M834" s="95">
        <f ca="1"/>
        <v>1.1248153723395725E-3</v>
      </c>
      <c r="N834" s="5" t="s">
        <v>4</v>
      </c>
      <c r="O834" s="97">
        <f>_xll.meDateFromTenor(O833,"1D","FOLLOWING","TGT")</f>
        <v>43690</v>
      </c>
      <c r="P834" s="95">
        <f ca="1"/>
        <v>3.156890224607961E-3</v>
      </c>
      <c r="Q834" s="5" t="s">
        <v>4</v>
      </c>
      <c r="R834" s="83" t="s">
        <v>4</v>
      </c>
    </row>
    <row r="835" spans="1:18" x14ac:dyDescent="0.25">
      <c r="A835" s="88">
        <v>821</v>
      </c>
      <c r="B835" s="82"/>
      <c r="C835" s="97">
        <f>_xll.meDateFromTenor(C834,"1D","FOLLOWING","TGT")</f>
        <v>43691</v>
      </c>
      <c r="D835" s="95">
        <f ca="1"/>
        <v>-2.6424589805275067E-3</v>
      </c>
      <c r="E835" s="92"/>
      <c r="F835" s="97">
        <f>_xll.meDateFromTenor(F834,"1D","FOLLOWING","TGT")</f>
        <v>43691</v>
      </c>
      <c r="G835" s="95">
        <f ca="1"/>
        <v>-1.9121413701593537E-3</v>
      </c>
      <c r="H835" s="92" t="s">
        <v>4</v>
      </c>
      <c r="I835" s="97">
        <f>_xll.meDateFromTenor(I834,"1D","FOLLOWING","TGT")</f>
        <v>43691</v>
      </c>
      <c r="J835" s="95">
        <f ca="1"/>
        <v>-6.0088749291240841E-4</v>
      </c>
      <c r="K835" s="5" t="s">
        <v>4</v>
      </c>
      <c r="L835" s="97">
        <f>_xll.meDateFromTenor(L834,"1D","FOLLOWING","TGT")</f>
        <v>43691</v>
      </c>
      <c r="M835" s="95">
        <f ca="1"/>
        <v>1.1303785246843973E-3</v>
      </c>
      <c r="N835" s="5" t="s">
        <v>4</v>
      </c>
      <c r="O835" s="97">
        <f>_xll.meDateFromTenor(O834,"1D","FOLLOWING","TGT")</f>
        <v>43691</v>
      </c>
      <c r="P835" s="95">
        <f ca="1"/>
        <v>3.1622736487484752E-3</v>
      </c>
      <c r="Q835" s="5" t="s">
        <v>4</v>
      </c>
      <c r="R835" s="83" t="s">
        <v>4</v>
      </c>
    </row>
    <row r="836" spans="1:18" x14ac:dyDescent="0.25">
      <c r="A836" s="88">
        <v>822</v>
      </c>
      <c r="B836" s="82"/>
      <c r="C836" s="97">
        <f>_xll.meDateFromTenor(C835,"1D","FOLLOWING","TGT")</f>
        <v>43692</v>
      </c>
      <c r="D836" s="95">
        <f ca="1"/>
        <v>-2.6376560452076037E-3</v>
      </c>
      <c r="E836" s="92"/>
      <c r="F836" s="97">
        <f>_xll.meDateFromTenor(F835,"1D","FOLLOWING","TGT")</f>
        <v>43692</v>
      </c>
      <c r="G836" s="95">
        <f ca="1"/>
        <v>-1.9076382241764542E-3</v>
      </c>
      <c r="H836" s="92" t="s">
        <v>4</v>
      </c>
      <c r="I836" s="97">
        <f>_xll.meDateFromTenor(I835,"1D","FOLLOWING","TGT")</f>
        <v>43692</v>
      </c>
      <c r="J836" s="95">
        <f ca="1"/>
        <v>-5.9586076175398154E-4</v>
      </c>
      <c r="K836" s="5" t="s">
        <v>4</v>
      </c>
      <c r="L836" s="97">
        <f>_xll.meDateFromTenor(L835,"1D","FOLLOWING","TGT")</f>
        <v>43692</v>
      </c>
      <c r="M836" s="95">
        <f ca="1"/>
        <v>1.135944221036612E-3</v>
      </c>
      <c r="N836" s="5" t="s">
        <v>4</v>
      </c>
      <c r="O836" s="97">
        <f>_xll.meDateFromTenor(O835,"1D","FOLLOWING","TGT")</f>
        <v>43692</v>
      </c>
      <c r="P836" s="95">
        <f ca="1"/>
        <v>3.1676584786119542E-3</v>
      </c>
      <c r="Q836" s="5" t="s">
        <v>4</v>
      </c>
      <c r="R836" s="83" t="s">
        <v>4</v>
      </c>
    </row>
    <row r="837" spans="1:18" x14ac:dyDescent="0.25">
      <c r="A837" s="88">
        <v>823</v>
      </c>
      <c r="B837" s="82"/>
      <c r="C837" s="97">
        <f>_xll.meDateFromTenor(C836,"1D","FOLLOWING","TGT")</f>
        <v>43693</v>
      </c>
      <c r="D837" s="95">
        <f ca="1"/>
        <v>-2.632855153843372E-3</v>
      </c>
      <c r="E837" s="92"/>
      <c r="F837" s="97">
        <f>_xll.meDateFromTenor(F836,"1D","FOLLOWING","TGT")</f>
        <v>43693</v>
      </c>
      <c r="G837" s="95">
        <f ca="1"/>
        <v>-1.9031194117688866E-3</v>
      </c>
      <c r="H837" s="92" t="s">
        <v>4</v>
      </c>
      <c r="I837" s="97">
        <f>_xll.meDateFromTenor(I836,"1D","FOLLOWING","TGT")</f>
        <v>43693</v>
      </c>
      <c r="J837" s="95">
        <f ca="1"/>
        <v>-5.9083082847275143E-4</v>
      </c>
      <c r="K837" s="5" t="s">
        <v>4</v>
      </c>
      <c r="L837" s="97">
        <f>_xll.meDateFromTenor(L836,"1D","FOLLOWING","TGT")</f>
        <v>43693</v>
      </c>
      <c r="M837" s="95">
        <f ca="1"/>
        <v>1.141512461006343E-3</v>
      </c>
      <c r="N837" s="5" t="s">
        <v>4</v>
      </c>
      <c r="O837" s="97">
        <f>_xll.meDateFromTenor(O836,"1D","FOLLOWING","TGT")</f>
        <v>43693</v>
      </c>
      <c r="P837" s="95">
        <f ca="1"/>
        <v>3.1730447272302845E-3</v>
      </c>
      <c r="Q837" s="5" t="s">
        <v>4</v>
      </c>
      <c r="R837" s="83" t="s">
        <v>4</v>
      </c>
    </row>
    <row r="838" spans="1:18" x14ac:dyDescent="0.25">
      <c r="A838" s="88">
        <v>824</v>
      </c>
      <c r="B838" s="82"/>
      <c r="C838" s="97">
        <f>_xll.meDateFromTenor(C837,"1D","FOLLOWING","TGT")</f>
        <v>43696</v>
      </c>
      <c r="D838" s="95">
        <f ca="1"/>
        <v>-2.6184647422674567E-3</v>
      </c>
      <c r="E838" s="92"/>
      <c r="F838" s="97">
        <f>_xll.meDateFromTenor(F837,"1D","FOLLOWING","TGT")</f>
        <v>43696</v>
      </c>
      <c r="G838" s="95">
        <f ca="1"/>
        <v>-1.8894561619832424E-3</v>
      </c>
      <c r="H838" s="92" t="s">
        <v>4</v>
      </c>
      <c r="I838" s="97">
        <f>_xll.meDateFromTenor(I837,"1D","FOLLOWING","TGT")</f>
        <v>43696</v>
      </c>
      <c r="J838" s="95">
        <f ca="1"/>
        <v>-5.757218435773362E-4</v>
      </c>
      <c r="K838" s="5" t="s">
        <v>4</v>
      </c>
      <c r="L838" s="97">
        <f>_xll.meDateFromTenor(L837,"1D","FOLLOWING","TGT")</f>
        <v>43696</v>
      </c>
      <c r="M838" s="95">
        <f ca="1"/>
        <v>1.1582324387218914E-3</v>
      </c>
      <c r="N838" s="5" t="s">
        <v>4</v>
      </c>
      <c r="O838" s="97">
        <f>_xll.meDateFromTenor(O837,"1D","FOLLOWING","TGT")</f>
        <v>43696</v>
      </c>
      <c r="P838" s="95">
        <f ca="1"/>
        <v>3.1892121159332321E-3</v>
      </c>
      <c r="Q838" s="5" t="s">
        <v>4</v>
      </c>
      <c r="R838" s="83" t="s">
        <v>4</v>
      </c>
    </row>
    <row r="839" spans="1:18" x14ac:dyDescent="0.25">
      <c r="A839" s="88">
        <v>825</v>
      </c>
      <c r="B839" s="82"/>
      <c r="C839" s="97">
        <f>_xll.meDateFromTenor(C838,"1D","FOLLOWING","TGT")</f>
        <v>43697</v>
      </c>
      <c r="D839" s="95">
        <f ca="1"/>
        <v>-2.6136720253087109E-3</v>
      </c>
      <c r="E839" s="92"/>
      <c r="F839" s="97">
        <f>_xll.meDateFromTenor(F838,"1D","FOLLOWING","TGT")</f>
        <v>43697</v>
      </c>
      <c r="G839" s="95">
        <f ca="1"/>
        <v>-1.8848618698620709E-3</v>
      </c>
      <c r="H839" s="92" t="s">
        <v>4</v>
      </c>
      <c r="I839" s="97">
        <f>_xll.meDateFromTenor(I838,"1D","FOLLOWING","TGT")</f>
        <v>43697</v>
      </c>
      <c r="J839" s="95">
        <f ca="1"/>
        <v>-5.7067912948998659E-4</v>
      </c>
      <c r="K839" s="5" t="s">
        <v>4</v>
      </c>
      <c r="L839" s="97">
        <f>_xll.meDateFromTenor(L838,"1D","FOLLOWING","TGT")</f>
        <v>43697</v>
      </c>
      <c r="M839" s="95">
        <f ca="1"/>
        <v>1.1638108492629464E-3</v>
      </c>
      <c r="N839" s="5" t="s">
        <v>4</v>
      </c>
      <c r="O839" s="97">
        <f>_xll.meDateFromTenor(O838,"1D","FOLLOWING","TGT")</f>
        <v>43697</v>
      </c>
      <c r="P839" s="95">
        <f ca="1"/>
        <v>3.1946041698898203E-3</v>
      </c>
      <c r="Q839" s="5" t="s">
        <v>4</v>
      </c>
      <c r="R839" s="83" t="s">
        <v>4</v>
      </c>
    </row>
    <row r="840" spans="1:18" x14ac:dyDescent="0.25">
      <c r="A840" s="88">
        <v>826</v>
      </c>
      <c r="B840" s="82"/>
      <c r="C840" s="97">
        <f>_xll.meDateFromTenor(C839,"1D","FOLLOWING","TGT")</f>
        <v>43698</v>
      </c>
      <c r="D840" s="95">
        <f ca="1"/>
        <v>-2.60888135125803E-3</v>
      </c>
      <c r="E840" s="92"/>
      <c r="F840" s="97">
        <f>_xll.meDateFromTenor(F839,"1D","FOLLOWING","TGT")</f>
        <v>43698</v>
      </c>
      <c r="G840" s="95">
        <f ca="1"/>
        <v>-1.8802455043087666E-3</v>
      </c>
      <c r="H840" s="92" t="s">
        <v>4</v>
      </c>
      <c r="I840" s="97">
        <f>_xll.meDateFromTenor(I839,"1D","FOLLOWING","TGT")</f>
        <v>43698</v>
      </c>
      <c r="J840" s="95">
        <f ca="1"/>
        <v>-5.6563322712238108E-4</v>
      </c>
      <c r="K840" s="5" t="s">
        <v>4</v>
      </c>
      <c r="L840" s="97">
        <f>_xll.meDateFromTenor(L839,"1D","FOLLOWING","TGT")</f>
        <v>43698</v>
      </c>
      <c r="M840" s="95">
        <f ca="1"/>
        <v>1.1693918014721461E-3</v>
      </c>
      <c r="N840" s="5" t="s">
        <v>4</v>
      </c>
      <c r="O840" s="97">
        <f>_xll.meDateFromTenor(O839,"1D","FOLLOWING","TGT")</f>
        <v>43698</v>
      </c>
      <c r="P840" s="95">
        <f ca="1"/>
        <v>3.1999977077606851E-3</v>
      </c>
      <c r="Q840" s="5" t="s">
        <v>4</v>
      </c>
      <c r="R840" s="83" t="s">
        <v>4</v>
      </c>
    </row>
    <row r="841" spans="1:18" x14ac:dyDescent="0.25">
      <c r="A841" s="88">
        <v>827</v>
      </c>
      <c r="B841" s="82"/>
      <c r="C841" s="97">
        <f>_xll.meDateFromTenor(C840,"1D","FOLLOWING","TGT")</f>
        <v>43699</v>
      </c>
      <c r="D841" s="95">
        <f ca="1"/>
        <v>-2.6040927199455499E-3</v>
      </c>
      <c r="E841" s="92"/>
      <c r="F841" s="97">
        <f>_xll.meDateFromTenor(F840,"1D","FOLLOWING","TGT")</f>
        <v>43699</v>
      </c>
      <c r="G841" s="95">
        <f ca="1"/>
        <v>-1.8756057839218361E-3</v>
      </c>
      <c r="H841" s="92" t="s">
        <v>4</v>
      </c>
      <c r="I841" s="97">
        <f>_xll.meDateFromTenor(I840,"1D","FOLLOWING","TGT")</f>
        <v>43699</v>
      </c>
      <c r="J841" s="95">
        <f ca="1"/>
        <v>-5.605841392430273E-4</v>
      </c>
      <c r="K841" s="5" t="s">
        <v>4</v>
      </c>
      <c r="L841" s="97">
        <f>_xll.meDateFromTenor(L840,"1D","FOLLOWING","TGT")</f>
        <v>43699</v>
      </c>
      <c r="M841" s="95">
        <f ca="1"/>
        <v>1.1749752949596186E-3</v>
      </c>
      <c r="N841" s="5" t="s">
        <v>4</v>
      </c>
      <c r="O841" s="97">
        <f>_xll.meDateFromTenor(O840,"1D","FOLLOWING","TGT")</f>
        <v>43699</v>
      </c>
      <c r="P841" s="95">
        <f ca="1"/>
        <v>3.2053927425777155E-3</v>
      </c>
      <c r="Q841" s="5" t="s">
        <v>4</v>
      </c>
      <c r="R841" s="83" t="s">
        <v>4</v>
      </c>
    </row>
    <row r="842" spans="1:18" x14ac:dyDescent="0.25">
      <c r="A842" s="88">
        <v>828</v>
      </c>
      <c r="B842" s="82"/>
      <c r="C842" s="97">
        <f>_xll.meDateFromTenor(C841,"1D","FOLLOWING","TGT")</f>
        <v>43700</v>
      </c>
      <c r="D842" s="95">
        <f ca="1"/>
        <v>-2.5993061313213106E-3</v>
      </c>
      <c r="E842" s="92"/>
      <c r="F842" s="97">
        <f>_xll.meDateFromTenor(F841,"1D","FOLLOWING","TGT")</f>
        <v>43700</v>
      </c>
      <c r="G842" s="95">
        <f ca="1"/>
        <v>-1.8709414272997864E-3</v>
      </c>
      <c r="H842" s="92" t="s">
        <v>4</v>
      </c>
      <c r="I842" s="97">
        <f>_xll.meDateFromTenor(I841,"1D","FOLLOWING","TGT")</f>
        <v>43700</v>
      </c>
      <c r="J842" s="95">
        <f ca="1"/>
        <v>-5.5553186862043551E-4</v>
      </c>
      <c r="K842" s="5" t="s">
        <v>4</v>
      </c>
      <c r="L842" s="97">
        <f>_xll.meDateFromTenor(L841,"1D","FOLLOWING","TGT")</f>
        <v>43700</v>
      </c>
      <c r="M842" s="95">
        <f ca="1"/>
        <v>1.1805613293354887E-3</v>
      </c>
      <c r="N842" s="5" t="s">
        <v>4</v>
      </c>
      <c r="O842" s="97">
        <f>_xll.meDateFromTenor(O841,"1D","FOLLOWING","TGT")</f>
        <v>43700</v>
      </c>
      <c r="P842" s="95">
        <f ca="1"/>
        <v>3.2107892873727947E-3</v>
      </c>
      <c r="Q842" s="5" t="s">
        <v>4</v>
      </c>
      <c r="R842" s="83" t="s">
        <v>4</v>
      </c>
    </row>
    <row r="843" spans="1:18" x14ac:dyDescent="0.25">
      <c r="A843" s="88">
        <v>829</v>
      </c>
      <c r="B843" s="82"/>
      <c r="C843" s="97">
        <f>_xll.meDateFromTenor(C842,"1D","FOLLOWING","TGT")</f>
        <v>43703</v>
      </c>
      <c r="D843" s="95">
        <f ca="1"/>
        <v>-2.5849586184837348E-3</v>
      </c>
      <c r="E843" s="92"/>
      <c r="F843" s="97">
        <f>_xll.meDateFromTenor(F842,"1D","FOLLOWING","TGT")</f>
        <v>43703</v>
      </c>
      <c r="G843" s="95">
        <f ca="1"/>
        <v>-1.8567877260079941E-3</v>
      </c>
      <c r="H843" s="92" t="s">
        <v>4</v>
      </c>
      <c r="I843" s="97">
        <f>_xll.meDateFromTenor(I842,"1D","FOLLOWING","TGT")</f>
        <v>43703</v>
      </c>
      <c r="J843" s="95">
        <f ca="1"/>
        <v>-5.4035598797832433E-4</v>
      </c>
      <c r="K843" s="5" t="s">
        <v>4</v>
      </c>
      <c r="L843" s="97">
        <f>_xll.meDateFromTenor(L842,"1D","FOLLOWING","TGT")</f>
        <v>43703</v>
      </c>
      <c r="M843" s="95">
        <f ca="1"/>
        <v>1.1973346738947449E-3</v>
      </c>
      <c r="N843" s="5" t="s">
        <v>4</v>
      </c>
      <c r="O843" s="97">
        <f>_xll.meDateFromTenor(O842,"1D","FOLLOWING","TGT")</f>
        <v>43703</v>
      </c>
      <c r="P843" s="95">
        <f ca="1"/>
        <v>3.2269881119451837E-3</v>
      </c>
      <c r="Q843" s="5" t="s">
        <v>4</v>
      </c>
      <c r="R843" s="83" t="s">
        <v>4</v>
      </c>
    </row>
    <row r="844" spans="1:18" x14ac:dyDescent="0.25">
      <c r="A844" s="88">
        <v>830</v>
      </c>
      <c r="B844" s="82"/>
      <c r="C844" s="97">
        <f>_xll.meDateFromTenor(C843,"1D","FOLLOWING","TGT")</f>
        <v>43704</v>
      </c>
      <c r="D844" s="95">
        <f ca="1"/>
        <v>-2.5801801979570271E-3</v>
      </c>
      <c r="E844" s="92"/>
      <c r="F844" s="97">
        <f>_xll.meDateFromTenor(F843,"1D","FOLLOWING","TGT")</f>
        <v>43704</v>
      </c>
      <c r="G844" s="95">
        <f ca="1"/>
        <v>-1.8520120104305398E-3</v>
      </c>
      <c r="H844" s="92" t="s">
        <v>4</v>
      </c>
      <c r="I844" s="97">
        <f>_xll.meDateFromTenor(I843,"1D","FOLLOWING","TGT")</f>
        <v>43704</v>
      </c>
      <c r="J844" s="95">
        <f ca="1"/>
        <v>-5.3529101406787308E-4</v>
      </c>
      <c r="K844" s="5" t="s">
        <v>4</v>
      </c>
      <c r="L844" s="97">
        <f>_xll.meDateFromTenor(L843,"1D","FOLLOWING","TGT")</f>
        <v>43704</v>
      </c>
      <c r="M844" s="95">
        <f ca="1"/>
        <v>1.2029308679254653E-3</v>
      </c>
      <c r="N844" s="5" t="s">
        <v>4</v>
      </c>
      <c r="O844" s="97">
        <f>_xll.meDateFromTenor(O843,"1D","FOLLOWING","TGT")</f>
        <v>43704</v>
      </c>
      <c r="P844" s="95">
        <f ca="1"/>
        <v>3.2323908269713156E-3</v>
      </c>
      <c r="Q844" s="5" t="s">
        <v>4</v>
      </c>
      <c r="R844" s="83" t="s">
        <v>4</v>
      </c>
    </row>
    <row r="845" spans="1:18" x14ac:dyDescent="0.25">
      <c r="A845" s="88">
        <v>831</v>
      </c>
      <c r="B845" s="82"/>
      <c r="C845" s="97">
        <f>_xll.meDateFromTenor(C844,"1D","FOLLOWING","TGT")</f>
        <v>43705</v>
      </c>
      <c r="D845" s="95">
        <f ca="1"/>
        <v>-2.5754038188309236E-3</v>
      </c>
      <c r="E845" s="92"/>
      <c r="F845" s="97">
        <f>_xll.meDateFromTenor(F844,"1D","FOLLOWING","TGT")</f>
        <v>43705</v>
      </c>
      <c r="G845" s="95">
        <f ca="1"/>
        <v>-1.8472052516105022E-3</v>
      </c>
      <c r="H845" s="92" t="s">
        <v>4</v>
      </c>
      <c r="I845" s="97">
        <f>_xll.meDateFromTenor(I844,"1D","FOLLOWING","TGT")</f>
        <v>43705</v>
      </c>
      <c r="J845" s="95">
        <f ca="1"/>
        <v>-5.3022287125673083E-4</v>
      </c>
      <c r="K845" s="5" t="s">
        <v>4</v>
      </c>
      <c r="L845" s="97">
        <f>_xll.meDateFromTenor(L844,"1D","FOLLOWING","TGT")</f>
        <v>43705</v>
      </c>
      <c r="M845" s="95">
        <f ca="1"/>
        <v>1.2085296008952121E-3</v>
      </c>
      <c r="N845" s="5" t="s">
        <v>4</v>
      </c>
      <c r="O845" s="97">
        <f>_xll.meDateFromTenor(O844,"1D","FOLLOWING","TGT")</f>
        <v>43705</v>
      </c>
      <c r="P845" s="95">
        <f ca="1"/>
        <v>3.2377951171349236E-3</v>
      </c>
      <c r="Q845" s="5" t="s">
        <v>4</v>
      </c>
      <c r="R845" s="83" t="s">
        <v>4</v>
      </c>
    </row>
    <row r="846" spans="1:18" x14ac:dyDescent="0.25">
      <c r="A846" s="88">
        <v>832</v>
      </c>
      <c r="B846" s="82"/>
      <c r="C846" s="97">
        <f>_xll.meDateFromTenor(C845,"1D","FOLLOWING","TGT")</f>
        <v>43706</v>
      </c>
      <c r="D846" s="95">
        <f ca="1"/>
        <v>-2.5706294810152741E-3</v>
      </c>
      <c r="E846" s="92"/>
      <c r="F846" s="97">
        <f>_xll.meDateFromTenor(F845,"1D","FOLLOWING","TGT")</f>
        <v>43706</v>
      </c>
      <c r="G846" s="95">
        <f ca="1"/>
        <v>-1.8423661681463877E-3</v>
      </c>
      <c r="H846" s="92" t="s">
        <v>4</v>
      </c>
      <c r="I846" s="97">
        <f>_xll.meDateFromTenor(I845,"1D","FOLLOWING","TGT")</f>
        <v>43706</v>
      </c>
      <c r="J846" s="95">
        <f ca="1"/>
        <v>-5.2515156231340554E-4</v>
      </c>
      <c r="K846" s="5" t="s">
        <v>4</v>
      </c>
      <c r="L846" s="97">
        <f>_xll.meDateFromTenor(L845,"1D","FOLLOWING","TGT")</f>
        <v>43706</v>
      </c>
      <c r="M846" s="95">
        <f ca="1"/>
        <v>1.2141308724141131E-3</v>
      </c>
      <c r="N846" s="5" t="s">
        <v>4</v>
      </c>
      <c r="O846" s="97">
        <f>_xll.meDateFromTenor(O845,"1D","FOLLOWING","TGT")</f>
        <v>43706</v>
      </c>
      <c r="P846" s="95">
        <f ca="1"/>
        <v>3.2432009954678942E-3</v>
      </c>
      <c r="Q846" s="5" t="s">
        <v>4</v>
      </c>
      <c r="R846" s="83" t="s">
        <v>4</v>
      </c>
    </row>
    <row r="847" spans="1:18" x14ac:dyDescent="0.25">
      <c r="A847" s="88">
        <v>833</v>
      </c>
      <c r="B847" s="82"/>
      <c r="C847" s="97">
        <f>_xll.meDateFromTenor(C846,"1D","FOLLOWING","TGT")</f>
        <v>43707</v>
      </c>
      <c r="D847" s="95">
        <f ca="1"/>
        <v>-2.5658571843001354E-3</v>
      </c>
      <c r="E847" s="92"/>
      <c r="F847" s="97">
        <f>_xll.meDateFromTenor(F846,"1D","FOLLOWING","TGT")</f>
        <v>43707</v>
      </c>
      <c r="G847" s="95">
        <f ca="1"/>
        <v>-1.8374934786367046E-3</v>
      </c>
      <c r="H847" s="92" t="s">
        <v>4</v>
      </c>
      <c r="I847" s="97">
        <f>_xll.meDateFromTenor(I846,"1D","FOLLOWING","TGT")</f>
        <v>43707</v>
      </c>
      <c r="J847" s="95">
        <f ca="1"/>
        <v>-5.200770900064079E-4</v>
      </c>
      <c r="K847" s="5" t="s">
        <v>4</v>
      </c>
      <c r="L847" s="97">
        <f>_xll.meDateFromTenor(L846,"1D","FOLLOWING","TGT")</f>
        <v>43707</v>
      </c>
      <c r="M847" s="95">
        <f ca="1"/>
        <v>1.2197346820922927E-3</v>
      </c>
      <c r="N847" s="5" t="s">
        <v>4</v>
      </c>
      <c r="O847" s="97">
        <f>_xll.meDateFromTenor(O846,"1D","FOLLOWING","TGT")</f>
        <v>43707</v>
      </c>
      <c r="P847" s="95">
        <f ca="1"/>
        <v>3.2486084750021123E-3</v>
      </c>
      <c r="Q847" s="5" t="s">
        <v>4</v>
      </c>
      <c r="R847" s="83" t="s">
        <v>4</v>
      </c>
    </row>
    <row r="848" spans="1:18" x14ac:dyDescent="0.25">
      <c r="A848" s="88">
        <v>834</v>
      </c>
      <c r="B848" s="82"/>
      <c r="C848" s="97">
        <f>_xll.meDateFromTenor(C847,"1D","FOLLOWING","TGT")</f>
        <v>43710</v>
      </c>
      <c r="D848" s="95">
        <f ca="1"/>
        <v>-2.5515520306443884E-3</v>
      </c>
      <c r="E848" s="92"/>
      <c r="F848" s="97">
        <f>_xll.meDateFromTenor(F847,"1D","FOLLOWING","TGT")</f>
        <v>43710</v>
      </c>
      <c r="G848" s="95">
        <f ca="1"/>
        <v>-1.8226609598193072E-3</v>
      </c>
      <c r="H848" s="92" t="s">
        <v>4</v>
      </c>
      <c r="I848" s="97">
        <f>_xll.meDateFromTenor(I847,"1D","FOLLOWING","TGT")</f>
        <v>43710</v>
      </c>
      <c r="J848" s="95">
        <f ca="1"/>
        <v>-5.0483472058846684E-4</v>
      </c>
      <c r="K848" s="5" t="s">
        <v>4</v>
      </c>
      <c r="L848" s="97">
        <f>_xll.meDateFromTenor(L847,"1D","FOLLOWING","TGT")</f>
        <v>43710</v>
      </c>
      <c r="M848" s="95">
        <f ca="1"/>
        <v>1.2365613361837691E-3</v>
      </c>
      <c r="N848" s="5" t="s">
        <v>4</v>
      </c>
      <c r="O848" s="97">
        <f>_xll.meDateFromTenor(O847,"1D","FOLLOWING","TGT")</f>
        <v>43710</v>
      </c>
      <c r="P848" s="95">
        <f ca="1"/>
        <v>3.2648406511311123E-3</v>
      </c>
      <c r="Q848" s="5" t="s">
        <v>4</v>
      </c>
      <c r="R848" s="83" t="s">
        <v>4</v>
      </c>
    </row>
    <row r="849" spans="1:18" x14ac:dyDescent="0.25">
      <c r="A849" s="88">
        <v>835</v>
      </c>
      <c r="B849" s="82"/>
      <c r="C849" s="97">
        <f>_xll.meDateFromTenor(C848,"1D","FOLLOWING","TGT")</f>
        <v>43711</v>
      </c>
      <c r="D849" s="95">
        <f ca="1"/>
        <v>-2.5467848527815917E-3</v>
      </c>
      <c r="E849" s="92"/>
      <c r="F849" s="97">
        <f>_xll.meDateFromTenor(F848,"1D","FOLLOWING","TGT")</f>
        <v>43711</v>
      </c>
      <c r="G849" s="95">
        <f ca="1"/>
        <v>-1.8176417019130431E-3</v>
      </c>
      <c r="H849" s="92" t="s">
        <v>4</v>
      </c>
      <c r="I849" s="97">
        <f>_xll.meDateFromTenor(I848,"1D","FOLLOWING","TGT")</f>
        <v>43711</v>
      </c>
      <c r="J849" s="95">
        <f ca="1"/>
        <v>-4.9974762078325947E-4</v>
      </c>
      <c r="K849" s="5" t="s">
        <v>4</v>
      </c>
      <c r="L849" s="97">
        <f>_xll.meDateFromTenor(L848,"1D","FOLLOWING","TGT")</f>
        <v>43711</v>
      </c>
      <c r="M849" s="95">
        <f ca="1"/>
        <v>1.2421752946003258E-3</v>
      </c>
      <c r="N849" s="5" t="s">
        <v>4</v>
      </c>
      <c r="O849" s="97">
        <f>_xll.meDateFromTenor(O848,"1D","FOLLOWING","TGT")</f>
        <v>43711</v>
      </c>
      <c r="P849" s="95">
        <f ca="1"/>
        <v>3.2702546657891788E-3</v>
      </c>
      <c r="Q849" s="5" t="s">
        <v>4</v>
      </c>
      <c r="R849" s="83" t="s">
        <v>4</v>
      </c>
    </row>
    <row r="850" spans="1:18" x14ac:dyDescent="0.25">
      <c r="A850" s="88">
        <v>836</v>
      </c>
      <c r="B850" s="82"/>
      <c r="C850" s="97">
        <f>_xll.meDateFromTenor(C849,"1D","FOLLOWING","TGT")</f>
        <v>43712</v>
      </c>
      <c r="D850" s="95">
        <f ca="1"/>
        <v>-2.54201667187548E-3</v>
      </c>
      <c r="E850" s="92"/>
      <c r="F850" s="97">
        <f>_xll.meDateFromTenor(F849,"1D","FOLLOWING","TGT")</f>
        <v>43712</v>
      </c>
      <c r="G850" s="95">
        <f ca="1"/>
        <v>-1.8125864497575053E-3</v>
      </c>
      <c r="H850" s="92" t="s">
        <v>4</v>
      </c>
      <c r="I850" s="97">
        <f>_xll.meDateFromTenor(I849,"1D","FOLLOWING","TGT")</f>
        <v>43712</v>
      </c>
      <c r="J850" s="95">
        <f ca="1"/>
        <v>-4.9465736108526858E-4</v>
      </c>
      <c r="K850" s="5" t="s">
        <v>4</v>
      </c>
      <c r="L850" s="97">
        <f>_xll.meDateFromTenor(L849,"1D","FOLLOWING","TGT")</f>
        <v>43712</v>
      </c>
      <c r="M850" s="95">
        <f ca="1"/>
        <v>1.2477917892267918E-3</v>
      </c>
      <c r="N850" s="5" t="s">
        <v>4</v>
      </c>
      <c r="O850" s="97">
        <f>_xll.meDateFromTenor(O849,"1D","FOLLOWING","TGT")</f>
        <v>43712</v>
      </c>
      <c r="P850" s="95">
        <f ca="1"/>
        <v>3.2756703468079205E-3</v>
      </c>
      <c r="Q850" s="5" t="s">
        <v>4</v>
      </c>
      <c r="R850" s="83" t="s">
        <v>4</v>
      </c>
    </row>
    <row r="851" spans="1:18" x14ac:dyDescent="0.25">
      <c r="A851" s="88">
        <v>837</v>
      </c>
      <c r="B851" s="82"/>
      <c r="C851" s="97">
        <f>_xll.meDateFromTenor(C850,"1D","FOLLOWING","TGT")</f>
        <v>43713</v>
      </c>
      <c r="D851" s="95">
        <f ca="1"/>
        <v>-2.5372474879116202E-3</v>
      </c>
      <c r="E851" s="92"/>
      <c r="F851" s="97">
        <f>_xll.meDateFromTenor(F850,"1D","FOLLOWING","TGT")</f>
        <v>43713</v>
      </c>
      <c r="G851" s="95">
        <f ca="1"/>
        <v>-1.8074979407549602E-3</v>
      </c>
      <c r="H851" s="92" t="s">
        <v>4</v>
      </c>
      <c r="I851" s="97">
        <f>_xll.meDateFromTenor(I850,"1D","FOLLOWING","TGT")</f>
        <v>43713</v>
      </c>
      <c r="J851" s="95">
        <f ca="1"/>
        <v>-4.89563933891347E-4</v>
      </c>
      <c r="K851" s="5" t="s">
        <v>4</v>
      </c>
      <c r="L851" s="97">
        <f>_xll.meDateFromTenor(L850,"1D","FOLLOWING","TGT")</f>
        <v>43713</v>
      </c>
      <c r="M851" s="95">
        <f ca="1"/>
        <v>1.2534108196732927E-3</v>
      </c>
      <c r="N851" s="5" t="s">
        <v>4</v>
      </c>
      <c r="O851" s="97">
        <f>_xll.meDateFromTenor(O850,"1D","FOLLOWING","TGT")</f>
        <v>43713</v>
      </c>
      <c r="P851" s="95">
        <f ca="1"/>
        <v>3.2810877072192231E-3</v>
      </c>
      <c r="Q851" s="5" t="s">
        <v>4</v>
      </c>
      <c r="R851" s="83" t="s">
        <v>4</v>
      </c>
    </row>
    <row r="852" spans="1:18" x14ac:dyDescent="0.25">
      <c r="A852" s="88">
        <v>838</v>
      </c>
      <c r="B852" s="82"/>
      <c r="C852" s="97">
        <f>_xll.meDateFromTenor(C851,"1D","FOLLOWING","TGT")</f>
        <v>43714</v>
      </c>
      <c r="D852" s="95">
        <f ca="1"/>
        <v>-2.5324773006377699E-3</v>
      </c>
      <c r="E852" s="92"/>
      <c r="F852" s="97">
        <f>_xll.meDateFromTenor(F851,"1D","FOLLOWING","TGT")</f>
        <v>43714</v>
      </c>
      <c r="G852" s="95">
        <f ca="1"/>
        <v>-1.802378912307675E-3</v>
      </c>
      <c r="H852" s="92" t="s">
        <v>4</v>
      </c>
      <c r="I852" s="97">
        <f>_xll.meDateFromTenor(I851,"1D","FOLLOWING","TGT")</f>
        <v>43714</v>
      </c>
      <c r="J852" s="95">
        <f ca="1"/>
        <v>-4.8446733159834777E-4</v>
      </c>
      <c r="K852" s="5" t="s">
        <v>4</v>
      </c>
      <c r="L852" s="97">
        <f>_xll.meDateFromTenor(L851,"1D","FOLLOWING","TGT")</f>
        <v>43714</v>
      </c>
      <c r="M852" s="95">
        <f ca="1"/>
        <v>1.2590323855499537E-3</v>
      </c>
      <c r="N852" s="5" t="s">
        <v>4</v>
      </c>
      <c r="O852" s="97">
        <f>_xll.meDateFromTenor(O851,"1D","FOLLOWING","TGT")</f>
        <v>43714</v>
      </c>
      <c r="P852" s="95">
        <f ca="1"/>
        <v>3.2865067600549719E-3</v>
      </c>
      <c r="Q852" s="5" t="s">
        <v>4</v>
      </c>
      <c r="R852" s="83" t="s">
        <v>4</v>
      </c>
    </row>
    <row r="853" spans="1:18" x14ac:dyDescent="0.25">
      <c r="A853" s="88">
        <v>839</v>
      </c>
      <c r="B853" s="82"/>
      <c r="C853" s="97">
        <f>_xll.meDateFromTenor(C852,"1D","FOLLOWING","TGT")</f>
        <v>43717</v>
      </c>
      <c r="D853" s="95">
        <f ca="1"/>
        <v>-2.5181607164972419E-3</v>
      </c>
      <c r="E853" s="92"/>
      <c r="F853" s="97">
        <f>_xll.meDateFromTenor(F852,"1D","FOLLOWING","TGT")</f>
        <v>43717</v>
      </c>
      <c r="G853" s="95">
        <f ca="1"/>
        <v>-1.7868660843200447E-3</v>
      </c>
      <c r="H853" s="92" t="s">
        <v>4</v>
      </c>
      <c r="I853" s="97">
        <f>_xll.meDateFromTenor(I852,"1D","FOLLOWING","TGT")</f>
        <v>43717</v>
      </c>
      <c r="J853" s="95">
        <f ca="1"/>
        <v>-4.6915839809340385E-4</v>
      </c>
      <c r="K853" s="5" t="s">
        <v>4</v>
      </c>
      <c r="L853" s="97">
        <f>_xll.meDateFromTenor(L852,"1D","FOLLOWING","TGT")</f>
        <v>43717</v>
      </c>
      <c r="M853" s="95">
        <f ca="1"/>
        <v>1.2759122918621628E-3</v>
      </c>
      <c r="N853" s="5" t="s">
        <v>4</v>
      </c>
      <c r="O853" s="97">
        <f>_xll.meDateFromTenor(O852,"1D","FOLLOWING","TGT")</f>
        <v>43717</v>
      </c>
      <c r="P853" s="95">
        <f ca="1"/>
        <v>3.302774203427753E-3</v>
      </c>
      <c r="Q853" s="5" t="s">
        <v>4</v>
      </c>
      <c r="R853" s="83" t="s">
        <v>4</v>
      </c>
    </row>
    <row r="854" spans="1:18" x14ac:dyDescent="0.25">
      <c r="A854" s="88">
        <v>840</v>
      </c>
      <c r="B854" s="82"/>
      <c r="C854" s="97">
        <f>_xll.meDateFromTenor(C853,"1D","FOLLOWING","TGT")</f>
        <v>43718</v>
      </c>
      <c r="D854" s="95">
        <f ca="1"/>
        <v>-2.5133865138852185E-3</v>
      </c>
      <c r="E854" s="92"/>
      <c r="F854" s="97">
        <f>_xll.meDateFromTenor(F853,"1D","FOLLOWING","TGT")</f>
        <v>43718</v>
      </c>
      <c r="G854" s="95">
        <f ca="1"/>
        <v>-1.7816523521164659E-3</v>
      </c>
      <c r="H854" s="92" t="s">
        <v>4</v>
      </c>
      <c r="I854" s="97">
        <f>_xll.meDateFromTenor(I853,"1D","FOLLOWING","TGT")</f>
        <v>43718</v>
      </c>
      <c r="J854" s="95">
        <f ca="1"/>
        <v>-4.6404901937261589E-4</v>
      </c>
      <c r="K854" s="5" t="s">
        <v>4</v>
      </c>
      <c r="L854" s="97">
        <f>_xll.meDateFromTenor(L853,"1D","FOLLOWING","TGT")</f>
        <v>43718</v>
      </c>
      <c r="M854" s="95">
        <f ca="1"/>
        <v>1.2815439955607272E-3</v>
      </c>
      <c r="N854" s="5" t="s">
        <v>4</v>
      </c>
      <c r="O854" s="97">
        <f>_xll.meDateFromTenor(O853,"1D","FOLLOWING","TGT")</f>
        <v>43718</v>
      </c>
      <c r="P854" s="95">
        <f ca="1"/>
        <v>3.3082001562801441E-3</v>
      </c>
      <c r="Q854" s="5" t="s">
        <v>4</v>
      </c>
      <c r="R854" s="83" t="s">
        <v>4</v>
      </c>
    </row>
    <row r="855" spans="1:18" x14ac:dyDescent="0.25">
      <c r="A855" s="88">
        <v>841</v>
      </c>
      <c r="B855" s="82"/>
      <c r="C855" s="97">
        <f>_xll.meDateFromTenor(C854,"1D","FOLLOWING","TGT")</f>
        <v>43719</v>
      </c>
      <c r="D855" s="95">
        <f ca="1"/>
        <v>-2.5086113071740579E-3</v>
      </c>
      <c r="E855" s="92"/>
      <c r="F855" s="97">
        <f>_xll.meDateFromTenor(F854,"1D","FOLLOWING","TGT")</f>
        <v>43719</v>
      </c>
      <c r="G855" s="95">
        <f ca="1"/>
        <v>-1.776421787479481E-3</v>
      </c>
      <c r="H855" s="92" t="s">
        <v>4</v>
      </c>
      <c r="I855" s="97">
        <f>_xll.meDateFromTenor(I854,"1D","FOLLOWING","TGT")</f>
        <v>43719</v>
      </c>
      <c r="J855" s="95">
        <f ca="1"/>
        <v>-4.5893642753701215E-4</v>
      </c>
      <c r="K855" s="5" t="s">
        <v>4</v>
      </c>
      <c r="L855" s="97">
        <f>_xll.meDateFromTenor(L854,"1D","FOLLOWING","TGT")</f>
        <v>43719</v>
      </c>
      <c r="M855" s="95">
        <f ca="1"/>
        <v>1.2871782327400823E-3</v>
      </c>
      <c r="N855" s="5" t="s">
        <v>4</v>
      </c>
      <c r="O855" s="97">
        <f>_xll.meDateFromTenor(O854,"1D","FOLLOWING","TGT")</f>
        <v>43719</v>
      </c>
      <c r="P855" s="95">
        <f ca="1"/>
        <v>3.3136278667164096E-3</v>
      </c>
      <c r="Q855" s="5" t="s">
        <v>4</v>
      </c>
      <c r="R855" s="83" t="s">
        <v>4</v>
      </c>
    </row>
    <row r="856" spans="1:18" x14ac:dyDescent="0.25">
      <c r="A856" s="88">
        <v>842</v>
      </c>
      <c r="B856" s="82"/>
      <c r="C856" s="97">
        <f>_xll.meDateFromTenor(C855,"1D","FOLLOWING","TGT")</f>
        <v>43720</v>
      </c>
      <c r="D856" s="95">
        <f ca="1"/>
        <v>-2.5038350958712652E-3</v>
      </c>
      <c r="E856" s="92"/>
      <c r="F856" s="97">
        <f>_xll.meDateFromTenor(F855,"1D","FOLLOWING","TGT")</f>
        <v>43720</v>
      </c>
      <c r="G856" s="95">
        <f ca="1"/>
        <v>-1.7711771278113566E-3</v>
      </c>
      <c r="H856" s="92" t="s">
        <v>4</v>
      </c>
      <c r="I856" s="97">
        <f>_xll.meDateFromTenor(I855,"1D","FOLLOWING","TGT")</f>
        <v>43720</v>
      </c>
      <c r="J856" s="95">
        <f ca="1"/>
        <v>-4.5382061498344531E-4</v>
      </c>
      <c r="K856" s="5" t="s">
        <v>4</v>
      </c>
      <c r="L856" s="97">
        <f>_xll.meDateFromTenor(L855,"1D","FOLLOWING","TGT")</f>
        <v>43720</v>
      </c>
      <c r="M856" s="95">
        <f ca="1"/>
        <v>1.2928150030103542E-3</v>
      </c>
      <c r="N856" s="5" t="s">
        <v>4</v>
      </c>
      <c r="O856" s="97">
        <f>_xll.meDateFromTenor(O855,"1D","FOLLOWING","TGT")</f>
        <v>43720</v>
      </c>
      <c r="P856" s="95">
        <f ca="1"/>
        <v>3.3190573477684337E-3</v>
      </c>
      <c r="Q856" s="5" t="s">
        <v>4</v>
      </c>
      <c r="R856" s="83" t="s">
        <v>4</v>
      </c>
    </row>
    <row r="857" spans="1:18" x14ac:dyDescent="0.25">
      <c r="A857" s="88">
        <v>843</v>
      </c>
      <c r="B857" s="82"/>
      <c r="C857" s="97">
        <f>_xll.meDateFromTenor(C856,"1D","FOLLOWING","TGT")</f>
        <v>43721</v>
      </c>
      <c r="D857" s="95">
        <f ca="1"/>
        <v>-2.4990578802018826E-3</v>
      </c>
      <c r="E857" s="92"/>
      <c r="F857" s="97">
        <f>_xll.meDateFromTenor(F856,"1D","FOLLOWING","TGT")</f>
        <v>43721</v>
      </c>
      <c r="G857" s="95">
        <f ca="1"/>
        <v>-1.76592111051436E-3</v>
      </c>
      <c r="H857" s="92" t="s">
        <v>4</v>
      </c>
      <c r="I857" s="97">
        <f>_xll.meDateFromTenor(I856,"1D","FOLLOWING","TGT")</f>
        <v>43721</v>
      </c>
      <c r="J857" s="95">
        <f ca="1"/>
        <v>-4.4870157410876793E-4</v>
      </c>
      <c r="K857" s="5" t="s">
        <v>4</v>
      </c>
      <c r="L857" s="97">
        <f>_xll.meDateFromTenor(L856,"1D","FOLLOWING","TGT")</f>
        <v>43721</v>
      </c>
      <c r="M857" s="95">
        <f ca="1"/>
        <v>1.2984543059816683E-3</v>
      </c>
      <c r="N857" s="5" t="s">
        <v>4</v>
      </c>
      <c r="O857" s="97">
        <f>_xll.meDateFromTenor(O856,"1D","FOLLOWING","TGT")</f>
        <v>43721</v>
      </c>
      <c r="P857" s="95">
        <f ca="1"/>
        <v>3.3244886124681036E-3</v>
      </c>
      <c r="Q857" s="5" t="s">
        <v>4</v>
      </c>
      <c r="R857" s="83" t="s">
        <v>4</v>
      </c>
    </row>
    <row r="858" spans="1:18" x14ac:dyDescent="0.25">
      <c r="A858" s="88">
        <v>844</v>
      </c>
      <c r="B858" s="82"/>
      <c r="C858" s="97">
        <f>_xll.meDateFromTenor(C857,"1D","FOLLOWING","TGT")</f>
        <v>43724</v>
      </c>
      <c r="D858" s="95">
        <f ca="1"/>
        <v>-2.4847202035032101E-3</v>
      </c>
      <c r="E858" s="92"/>
      <c r="F858" s="97">
        <f>_xll.meDateFromTenor(F857,"1D","FOLLOWING","TGT")</f>
        <v>43724</v>
      </c>
      <c r="G858" s="95">
        <f ca="1"/>
        <v>-1.7501122868728047E-3</v>
      </c>
      <c r="H858" s="92" t="s">
        <v>4</v>
      </c>
      <c r="I858" s="97">
        <f>_xll.meDateFromTenor(I857,"1D","FOLLOWING","TGT")</f>
        <v>43724</v>
      </c>
      <c r="J858" s="95">
        <f ca="1"/>
        <v>-4.3332500552659831E-4</v>
      </c>
      <c r="K858" s="5" t="s">
        <v>4</v>
      </c>
      <c r="L858" s="97">
        <f>_xll.meDateFromTenor(L857,"1D","FOLLOWING","TGT")</f>
        <v>43724</v>
      </c>
      <c r="M858" s="95">
        <f ca="1"/>
        <v>1.3153874072031244E-3</v>
      </c>
      <c r="N858" s="5" t="s">
        <v>4</v>
      </c>
      <c r="O858" s="97">
        <f>_xll.meDateFromTenor(O857,"1D","FOLLOWING","TGT")</f>
        <v>43724</v>
      </c>
      <c r="P858" s="95">
        <f ca="1"/>
        <v>3.340793238771839E-3</v>
      </c>
      <c r="Q858" s="5" t="s">
        <v>4</v>
      </c>
      <c r="R858" s="83" t="s">
        <v>4</v>
      </c>
    </row>
    <row r="859" spans="1:18" x14ac:dyDescent="0.25">
      <c r="A859" s="88">
        <v>845</v>
      </c>
      <c r="B859" s="82"/>
      <c r="C859" s="97">
        <f>_xll.meDateFromTenor(C858,"1D","FOLLOWING","TGT")</f>
        <v>43725</v>
      </c>
      <c r="D859" s="95">
        <f ca="1"/>
        <v>-2.4799389675543848E-3</v>
      </c>
      <c r="E859" s="92"/>
      <c r="F859" s="97">
        <f>_xll.meDateFromTenor(F858,"1D","FOLLOWING","TGT")</f>
        <v>43725</v>
      </c>
      <c r="G859" s="95">
        <f ca="1"/>
        <v>-1.7448382130829877E-3</v>
      </c>
      <c r="H859" s="92" t="s">
        <v>4</v>
      </c>
      <c r="I859" s="97">
        <f>_xll.meDateFromTenor(I858,"1D","FOLLOWING","TGT")</f>
        <v>43725</v>
      </c>
      <c r="J859" s="95">
        <f ca="1"/>
        <v>-4.2819297533600471E-4</v>
      </c>
      <c r="K859" s="5" t="s">
        <v>4</v>
      </c>
      <c r="L859" s="97">
        <f>_xll.meDateFromTenor(L858,"1D","FOLLOWING","TGT")</f>
        <v>43725</v>
      </c>
      <c r="M859" s="95">
        <f ca="1"/>
        <v>1.3210368370798671E-3</v>
      </c>
      <c r="N859" s="5" t="s">
        <v>4</v>
      </c>
      <c r="O859" s="97">
        <f>_xll.meDateFromTenor(O858,"1D","FOLLOWING","TGT")</f>
        <v>43725</v>
      </c>
      <c r="P859" s="95">
        <f ca="1"/>
        <v>3.3462317683809442E-3</v>
      </c>
      <c r="Q859" s="5" t="s">
        <v>4</v>
      </c>
      <c r="R859" s="83" t="s">
        <v>4</v>
      </c>
    </row>
    <row r="860" spans="1:18" x14ac:dyDescent="0.25">
      <c r="A860" s="88">
        <v>846</v>
      </c>
      <c r="B860" s="82"/>
      <c r="C860" s="97">
        <f>_xll.meDateFromTenor(C859,"1D","FOLLOWING","TGT")</f>
        <v>43726</v>
      </c>
      <c r="D860" s="95">
        <f ca="1"/>
        <v>-2.4751567260914431E-3</v>
      </c>
      <c r="E860" s="92"/>
      <c r="F860" s="97">
        <f>_xll.meDateFromTenor(F859,"1D","FOLLOWING","TGT")</f>
        <v>43726</v>
      </c>
      <c r="G860" s="95">
        <f ca="1"/>
        <v>-1.7395664686756316E-3</v>
      </c>
      <c r="H860" s="92" t="s">
        <v>4</v>
      </c>
      <c r="I860" s="97">
        <f>_xll.meDateFromTenor(I859,"1D","FOLLOWING","TGT")</f>
        <v>43726</v>
      </c>
      <c r="J860" s="95">
        <f ca="1"/>
        <v>-4.2305767880856232E-4</v>
      </c>
      <c r="K860" s="5" t="s">
        <v>4</v>
      </c>
      <c r="L860" s="97">
        <f>_xll.meDateFromTenor(L859,"1D","FOLLOWING","TGT")</f>
        <v>43726</v>
      </c>
      <c r="M860" s="95">
        <f ca="1"/>
        <v>1.3266887977082826E-3</v>
      </c>
      <c r="N860" s="5" t="s">
        <v>4</v>
      </c>
      <c r="O860" s="97">
        <f>_xll.meDateFromTenor(O859,"1D","FOLLOWING","TGT")</f>
        <v>43726</v>
      </c>
      <c r="P860" s="95">
        <f ca="1"/>
        <v>3.3516721467971231E-3</v>
      </c>
      <c r="Q860" s="5" t="s">
        <v>4</v>
      </c>
      <c r="R860" s="83" t="s">
        <v>4</v>
      </c>
    </row>
    <row r="861" spans="1:18" x14ac:dyDescent="0.25">
      <c r="A861" s="88">
        <v>847</v>
      </c>
      <c r="B861" s="82"/>
      <c r="C861" s="97">
        <f>_xll.meDateFromTenor(C860,"1D","FOLLOWING","TGT")</f>
        <v>43727</v>
      </c>
      <c r="D861" s="95">
        <f ca="1"/>
        <v>-2.4703734792199672E-3</v>
      </c>
      <c r="E861" s="92"/>
      <c r="F861" s="97">
        <f>_xll.meDateFromTenor(F860,"1D","FOLLOWING","TGT")</f>
        <v>43727</v>
      </c>
      <c r="G861" s="95">
        <f ca="1"/>
        <v>-1.7342997910530045E-3</v>
      </c>
      <c r="H861" s="92" t="s">
        <v>4</v>
      </c>
      <c r="I861" s="97">
        <f>_xll.meDateFromTenor(I860,"1D","FOLLOWING","TGT")</f>
        <v>43727</v>
      </c>
      <c r="J861" s="95">
        <f ca="1"/>
        <v>-4.1791910834112464E-4</v>
      </c>
      <c r="K861" s="5" t="s">
        <v>4</v>
      </c>
      <c r="L861" s="97">
        <f>_xll.meDateFromTenor(L860,"1D","FOLLOWING","TGT")</f>
        <v>43727</v>
      </c>
      <c r="M861" s="95">
        <f ca="1"/>
        <v>1.3323432886984965E-3</v>
      </c>
      <c r="N861" s="5" t="s">
        <v>4</v>
      </c>
      <c r="O861" s="97">
        <f>_xll.meDateFromTenor(O860,"1D","FOLLOWING","TGT")</f>
        <v>43727</v>
      </c>
      <c r="P861" s="95">
        <f ca="1"/>
        <v>3.3571143870522596E-3</v>
      </c>
      <c r="Q861" s="5" t="s">
        <v>4</v>
      </c>
      <c r="R861" s="83" t="s">
        <v>4</v>
      </c>
    </row>
    <row r="862" spans="1:18" x14ac:dyDescent="0.25">
      <c r="A862" s="88">
        <v>848</v>
      </c>
      <c r="B862" s="82"/>
      <c r="C862" s="97">
        <f>_xll.meDateFromTenor(C861,"1D","FOLLOWING","TGT")</f>
        <v>43728</v>
      </c>
      <c r="D862" s="95">
        <f ca="1"/>
        <v>-2.4655892263674151E-3</v>
      </c>
      <c r="E862" s="92"/>
      <c r="F862" s="97">
        <f>_xll.meDateFromTenor(F861,"1D","FOLLOWING","TGT")</f>
        <v>43728</v>
      </c>
      <c r="G862" s="95">
        <f ca="1"/>
        <v>-1.729040917617373E-3</v>
      </c>
      <c r="H862" s="92" t="s">
        <v>4</v>
      </c>
      <c r="I862" s="97">
        <f>_xll.meDateFromTenor(I861,"1D","FOLLOWING","TGT")</f>
        <v>43728</v>
      </c>
      <c r="J862" s="95">
        <f ca="1"/>
        <v>-4.1277725633054394E-4</v>
      </c>
      <c r="K862" s="5" t="s">
        <v>4</v>
      </c>
      <c r="L862" s="97">
        <f>_xll.meDateFromTenor(L861,"1D","FOLLOWING","TGT")</f>
        <v>43728</v>
      </c>
      <c r="M862" s="95">
        <f ca="1"/>
        <v>1.3380003096606339E-3</v>
      </c>
      <c r="N862" s="5" t="s">
        <v>4</v>
      </c>
      <c r="O862" s="97">
        <f>_xll.meDateFromTenor(O861,"1D","FOLLOWING","TGT")</f>
        <v>43728</v>
      </c>
      <c r="P862" s="95">
        <f ca="1"/>
        <v>3.3625585021782411E-3</v>
      </c>
      <c r="Q862" s="5" t="s">
        <v>4</v>
      </c>
      <c r="R862" s="83" t="s">
        <v>4</v>
      </c>
    </row>
    <row r="863" spans="1:18" x14ac:dyDescent="0.25">
      <c r="A863" s="88">
        <v>849</v>
      </c>
      <c r="B863" s="82"/>
      <c r="C863" s="97">
        <f>_xll.meDateFromTenor(C862,"1D","FOLLOWING","TGT")</f>
        <v>43731</v>
      </c>
      <c r="D863" s="95">
        <f ca="1"/>
        <v>-2.4512304310640998E-3</v>
      </c>
      <c r="E863" s="92"/>
      <c r="F863" s="97">
        <f>_xll.meDateFromTenor(F862,"1D","FOLLOWING","TGT")</f>
        <v>43731</v>
      </c>
      <c r="G863" s="95">
        <f ca="1"/>
        <v>-1.7133384964551199E-3</v>
      </c>
      <c r="H863" s="92" t="s">
        <v>4</v>
      </c>
      <c r="I863" s="97">
        <f>_xll.meDateFromTenor(I862,"1D","FOLLOWING","TGT")</f>
        <v>43731</v>
      </c>
      <c r="J863" s="95">
        <f ca="1"/>
        <v>-3.973319350084705E-4</v>
      </c>
      <c r="K863" s="5" t="s">
        <v>4</v>
      </c>
      <c r="L863" s="97">
        <f>_xll.meDateFromTenor(L862,"1D","FOLLOWING","TGT")</f>
        <v>43731</v>
      </c>
      <c r="M863" s="95">
        <f ca="1"/>
        <v>1.3549865484798512E-3</v>
      </c>
      <c r="N863" s="5" t="s">
        <v>4</v>
      </c>
      <c r="O863" s="97">
        <f>_xll.meDateFromTenor(O862,"1D","FOLLOWING","TGT")</f>
        <v>43731</v>
      </c>
      <c r="P863" s="95">
        <f ca="1"/>
        <v>3.3789022271001022E-3</v>
      </c>
      <c r="Q863" s="5" t="s">
        <v>4</v>
      </c>
      <c r="R863" s="83" t="s">
        <v>4</v>
      </c>
    </row>
    <row r="864" spans="1:18" x14ac:dyDescent="0.25">
      <c r="A864" s="88">
        <v>850</v>
      </c>
      <c r="B864" s="82"/>
      <c r="C864" s="97">
        <f>_xll.meDateFromTenor(C863,"1D","FOLLOWING","TGT")</f>
        <v>43732</v>
      </c>
      <c r="D864" s="95">
        <f ca="1"/>
        <v>-2.4464421532284231E-3</v>
      </c>
      <c r="E864" s="92"/>
      <c r="F864" s="97">
        <f>_xll.meDateFromTenor(F863,"1D","FOLLOWING","TGT")</f>
        <v>43732</v>
      </c>
      <c r="G864" s="95">
        <f ca="1"/>
        <v>-1.7081382137901402E-3</v>
      </c>
      <c r="H864" s="92" t="s">
        <v>4</v>
      </c>
      <c r="I864" s="97">
        <f>_xll.meDateFromTenor(I863,"1D","FOLLOWING","TGT")</f>
        <v>43732</v>
      </c>
      <c r="J864" s="95">
        <f ca="1"/>
        <v>-3.9217688079384465E-4</v>
      </c>
      <c r="K864" s="5" t="s">
        <v>4</v>
      </c>
      <c r="L864" s="97">
        <f>_xll.meDateFromTenor(L863,"1D","FOLLOWING","TGT")</f>
        <v>43732</v>
      </c>
      <c r="M864" s="95">
        <f ca="1"/>
        <v>1.3606536854309436E-3</v>
      </c>
      <c r="N864" s="5" t="s">
        <v>4</v>
      </c>
      <c r="O864" s="97">
        <f>_xll.meDateFromTenor(O863,"1D","FOLLOWING","TGT")</f>
        <v>43732</v>
      </c>
      <c r="P864" s="95">
        <f ca="1"/>
        <v>3.384353972028313E-3</v>
      </c>
      <c r="Q864" s="5" t="s">
        <v>4</v>
      </c>
      <c r="R864" s="83" t="s">
        <v>4</v>
      </c>
    </row>
    <row r="865" spans="1:18" x14ac:dyDescent="0.25">
      <c r="A865" s="88">
        <v>851</v>
      </c>
      <c r="B865" s="82"/>
      <c r="C865" s="97">
        <f>_xll.meDateFromTenor(C864,"1D","FOLLOWING","TGT")</f>
        <v>43733</v>
      </c>
      <c r="D865" s="95">
        <f ca="1"/>
        <v>-2.4416528685829997E-3</v>
      </c>
      <c r="E865" s="92"/>
      <c r="F865" s="97">
        <f>_xll.meDateFromTenor(F864,"1D","FOLLOWING","TGT")</f>
        <v>43733</v>
      </c>
      <c r="G865" s="95">
        <f ca="1"/>
        <v>-1.7029594223234893E-3</v>
      </c>
      <c r="H865" s="92" t="s">
        <v>4</v>
      </c>
      <c r="I865" s="97">
        <f>_xll.meDateFromTenor(I864,"1D","FOLLOWING","TGT")</f>
        <v>43733</v>
      </c>
      <c r="J865" s="95">
        <f ca="1"/>
        <v>-3.8701850702033776E-4</v>
      </c>
      <c r="K865" s="5" t="s">
        <v>4</v>
      </c>
      <c r="L865" s="97">
        <f>_xll.meDateFromTenor(L864,"1D","FOLLOWING","TGT")</f>
        <v>43733</v>
      </c>
      <c r="M865" s="95">
        <f ca="1"/>
        <v>1.3663233504045906E-3</v>
      </c>
      <c r="N865" s="5" t="s">
        <v>4</v>
      </c>
      <c r="O865" s="97">
        <f>_xll.meDateFromTenor(O864,"1D","FOLLOWING","TGT")</f>
        <v>43733</v>
      </c>
      <c r="P865" s="95">
        <f ca="1"/>
        <v>3.3898076569867956E-3</v>
      </c>
      <c r="Q865" s="5" t="s">
        <v>4</v>
      </c>
      <c r="R865" s="83" t="s">
        <v>4</v>
      </c>
    </row>
    <row r="866" spans="1:18" x14ac:dyDescent="0.25">
      <c r="A866" s="88">
        <v>852</v>
      </c>
      <c r="B866" s="82"/>
      <c r="C866" s="97">
        <f>_xll.meDateFromTenor(C865,"1D","FOLLOWING","TGT")</f>
        <v>43734</v>
      </c>
      <c r="D866" s="95">
        <f ca="1"/>
        <v>-2.4368625769543018E-3</v>
      </c>
      <c r="E866" s="92"/>
      <c r="F866" s="97">
        <f>_xll.meDateFromTenor(F865,"1D","FOLLOWING","TGT")</f>
        <v>43734</v>
      </c>
      <c r="G866" s="95">
        <f ca="1"/>
        <v>-1.697804859457436E-3</v>
      </c>
      <c r="H866" s="92" t="s">
        <v>4</v>
      </c>
      <c r="I866" s="97">
        <f>_xll.meDateFromTenor(I865,"1D","FOLLOWING","TGT")</f>
        <v>43734</v>
      </c>
      <c r="J866" s="95">
        <f ca="1"/>
        <v>-3.8185680608480413E-4</v>
      </c>
      <c r="K866" s="5" t="s">
        <v>4</v>
      </c>
      <c r="L866" s="97">
        <f>_xll.meDateFromTenor(L865,"1D","FOLLOWING","TGT")</f>
        <v>43734</v>
      </c>
      <c r="M866" s="95">
        <f ca="1"/>
        <v>1.3719955430109166E-3</v>
      </c>
      <c r="N866" s="5" t="s">
        <v>4</v>
      </c>
      <c r="O866" s="97">
        <f>_xll.meDateFromTenor(O865,"1D","FOLLOWING","TGT")</f>
        <v>43734</v>
      </c>
      <c r="P866" s="95">
        <f ca="1"/>
        <v>3.3952632950074346E-3</v>
      </c>
      <c r="Q866" s="5" t="s">
        <v>4</v>
      </c>
      <c r="R866" s="83" t="s">
        <v>4</v>
      </c>
    </row>
    <row r="867" spans="1:18" x14ac:dyDescent="0.25">
      <c r="A867" s="88">
        <v>853</v>
      </c>
      <c r="B867" s="82"/>
      <c r="C867" s="97">
        <f>_xll.meDateFromTenor(C866,"1D","FOLLOWING","TGT")</f>
        <v>43735</v>
      </c>
      <c r="D867" s="95">
        <f ca="1"/>
        <v>-2.4320712784875465E-3</v>
      </c>
      <c r="E867" s="92"/>
      <c r="F867" s="97">
        <f>_xll.meDateFromTenor(F866,"1D","FOLLOWING","TGT")</f>
        <v>43735</v>
      </c>
      <c r="G867" s="95">
        <f ca="1"/>
        <v>-1.6926772625942455E-3</v>
      </c>
      <c r="H867" s="92" t="s">
        <v>4</v>
      </c>
      <c r="I867" s="97">
        <f>_xll.meDateFromTenor(I866,"1D","FOLLOWING","TGT")</f>
        <v>43735</v>
      </c>
      <c r="J867" s="95">
        <f ca="1"/>
        <v>-3.7669177038409453E-4</v>
      </c>
      <c r="K867" s="5" t="s">
        <v>4</v>
      </c>
      <c r="L867" s="97">
        <f>_xll.meDateFromTenor(L866,"1D","FOLLOWING","TGT")</f>
        <v>43735</v>
      </c>
      <c r="M867" s="95">
        <f ca="1"/>
        <v>1.3776702628600492E-3</v>
      </c>
      <c r="N867" s="5" t="s">
        <v>4</v>
      </c>
      <c r="O867" s="97">
        <f>_xll.meDateFromTenor(O866,"1D","FOLLOWING","TGT")</f>
        <v>43735</v>
      </c>
      <c r="P867" s="95">
        <f ca="1"/>
        <v>3.4007208991221169E-3</v>
      </c>
      <c r="Q867" s="5" t="s">
        <v>4</v>
      </c>
      <c r="R867" s="83" t="s">
        <v>4</v>
      </c>
    </row>
    <row r="868" spans="1:18" x14ac:dyDescent="0.25">
      <c r="A868" s="88">
        <v>854</v>
      </c>
      <c r="B868" s="82"/>
      <c r="C868" s="97">
        <f>_xll.meDateFromTenor(C867,"1D","FOLLOWING","TGT")</f>
        <v>43738</v>
      </c>
      <c r="D868" s="95">
        <f ca="1"/>
        <v>-2.4176913386860788E-3</v>
      </c>
      <c r="E868" s="92"/>
      <c r="F868" s="97">
        <f>_xll.meDateFromTenor(F867,"1D","FOLLOWING","TGT")</f>
        <v>43738</v>
      </c>
      <c r="G868" s="95">
        <f ca="1"/>
        <v>-1.6774836420445237E-3</v>
      </c>
      <c r="H868" s="92" t="s">
        <v>4</v>
      </c>
      <c r="I868" s="97">
        <f>_xll.meDateFromTenor(I867,"1D","FOLLOWING","TGT")</f>
        <v>43738</v>
      </c>
      <c r="J868" s="95">
        <f ca="1"/>
        <v>-3.6117657865944046E-4</v>
      </c>
      <c r="K868" s="5" t="s">
        <v>4</v>
      </c>
      <c r="L868" s="97">
        <f>_xll.meDateFromTenor(L867,"1D","FOLLOWING","TGT")</f>
        <v>43738</v>
      </c>
      <c r="M868" s="95">
        <f ca="1"/>
        <v>1.3947095819655398E-3</v>
      </c>
      <c r="N868" s="5" t="s">
        <v>4</v>
      </c>
      <c r="O868" s="97">
        <f>_xll.meDateFromTenor(O867,"1D","FOLLOWING","TGT")</f>
        <v>43738</v>
      </c>
      <c r="P868" s="95">
        <f ca="1"/>
        <v>3.4171056383492742E-3</v>
      </c>
      <c r="Q868" s="5" t="s">
        <v>4</v>
      </c>
      <c r="R868" s="83" t="s">
        <v>4</v>
      </c>
    </row>
    <row r="869" spans="1:18" x14ac:dyDescent="0.25">
      <c r="A869" s="88">
        <v>855</v>
      </c>
      <c r="B869" s="82"/>
      <c r="C869" s="97">
        <f>_xll.meDateFromTenor(C868,"1D","FOLLOWING","TGT")</f>
        <v>43739</v>
      </c>
      <c r="D869" s="95">
        <f ca="1"/>
        <v>-2.4128960100129326E-3</v>
      </c>
      <c r="E869" s="92"/>
      <c r="F869" s="97">
        <f>_xll.meDateFromTenor(F868,"1D","FOLLOWING","TGT")</f>
        <v>43739</v>
      </c>
      <c r="G869" s="95">
        <f ca="1"/>
        <v>-1.6724912832154562E-3</v>
      </c>
      <c r="H869" s="92" t="s">
        <v>4</v>
      </c>
      <c r="I869" s="97">
        <f>_xll.meDateFromTenor(I868,"1D","FOLLOWING","TGT")</f>
        <v>43739</v>
      </c>
      <c r="J869" s="95">
        <f ca="1"/>
        <v>-3.5599812786655572E-4</v>
      </c>
      <c r="K869" s="5" t="s">
        <v>4</v>
      </c>
      <c r="L869" s="97">
        <f>_xll.meDateFromTenor(L868,"1D","FOLLOWING","TGT")</f>
        <v>43739</v>
      </c>
      <c r="M869" s="95">
        <f ca="1"/>
        <v>1.4003944068871543E-3</v>
      </c>
      <c r="N869" s="5" t="s">
        <v>4</v>
      </c>
      <c r="O869" s="97">
        <f>_xll.meDateFromTenor(O868,"1D","FOLLOWING","TGT")</f>
        <v>43739</v>
      </c>
      <c r="P869" s="95">
        <f ca="1"/>
        <v>3.4225712371589814E-3</v>
      </c>
      <c r="Q869" s="5" t="s">
        <v>4</v>
      </c>
      <c r="R869" s="83" t="s">
        <v>4</v>
      </c>
    </row>
    <row r="870" spans="1:18" x14ac:dyDescent="0.25">
      <c r="A870" s="88">
        <v>856</v>
      </c>
      <c r="B870" s="82"/>
      <c r="C870" s="97">
        <f>_xll.meDateFromTenor(C869,"1D","FOLLOWING","TGT")</f>
        <v>43740</v>
      </c>
      <c r="D870" s="95">
        <f ca="1"/>
        <v>-2.4080996734334725E-3</v>
      </c>
      <c r="E870" s="92"/>
      <c r="F870" s="97">
        <f>_xll.meDateFromTenor(F869,"1D","FOLLOWING","TGT")</f>
        <v>43740</v>
      </c>
      <c r="G870" s="95">
        <f ca="1"/>
        <v>-1.6675395774005863E-3</v>
      </c>
      <c r="H870" s="92" t="s">
        <v>4</v>
      </c>
      <c r="I870" s="97">
        <f>_xll.meDateFromTenor(I869,"1D","FOLLOWING","TGT")</f>
        <v>43740</v>
      </c>
      <c r="J870" s="95">
        <f ca="1"/>
        <v>-3.5081630429275858E-4</v>
      </c>
      <c r="K870" s="5" t="s">
        <v>4</v>
      </c>
      <c r="L870" s="97">
        <f>_xll.meDateFromTenor(L869,"1D","FOLLOWING","TGT")</f>
        <v>43740</v>
      </c>
      <c r="M870" s="95">
        <f ca="1"/>
        <v>1.4060817571022038E-3</v>
      </c>
      <c r="N870" s="5" t="s">
        <v>4</v>
      </c>
      <c r="O870" s="97">
        <f>_xll.meDateFromTenor(O869,"1D","FOLLOWING","TGT")</f>
        <v>43740</v>
      </c>
      <c r="P870" s="95">
        <f ca="1"/>
        <v>3.4280388672221587E-3</v>
      </c>
      <c r="Q870" s="5" t="s">
        <v>4</v>
      </c>
      <c r="R870" s="83" t="s">
        <v>4</v>
      </c>
    </row>
    <row r="871" spans="1:18" x14ac:dyDescent="0.25">
      <c r="A871" s="88">
        <v>857</v>
      </c>
      <c r="B871" s="82"/>
      <c r="C871" s="97">
        <f>_xll.meDateFromTenor(C870,"1D","FOLLOWING","TGT")</f>
        <v>43741</v>
      </c>
      <c r="D871" s="95">
        <f ca="1"/>
        <v>-2.4033023286943456E-3</v>
      </c>
      <c r="E871" s="92"/>
      <c r="F871" s="97">
        <f>_xll.meDateFromTenor(F870,"1D","FOLLOWING","TGT")</f>
        <v>43741</v>
      </c>
      <c r="G871" s="95">
        <f ca="1"/>
        <v>-1.6626302973864208E-3</v>
      </c>
      <c r="H871" s="92" t="s">
        <v>4</v>
      </c>
      <c r="I871" s="97">
        <f>_xll.meDateFromTenor(I870,"1D","FOLLOWING","TGT")</f>
        <v>43741</v>
      </c>
      <c r="J871" s="95">
        <f ca="1"/>
        <v>-3.4563110033490239E-4</v>
      </c>
      <c r="K871" s="5" t="s">
        <v>4</v>
      </c>
      <c r="L871" s="97">
        <f>_xll.meDateFromTenor(L870,"1D","FOLLOWING","TGT")</f>
        <v>43741</v>
      </c>
      <c r="M871" s="95">
        <f ca="1"/>
        <v>1.4117716322208141E-3</v>
      </c>
      <c r="N871" s="5" t="s">
        <v>4</v>
      </c>
      <c r="O871" s="97">
        <f>_xll.meDateFromTenor(O870,"1D","FOLLOWING","TGT")</f>
        <v>43741</v>
      </c>
      <c r="P871" s="95">
        <f ca="1"/>
        <v>3.4335085415706916E-3</v>
      </c>
      <c r="Q871" s="5" t="s">
        <v>4</v>
      </c>
      <c r="R871" s="83" t="s">
        <v>4</v>
      </c>
    </row>
    <row r="872" spans="1:18" x14ac:dyDescent="0.25">
      <c r="A872" s="88">
        <v>858</v>
      </c>
      <c r="B872" s="82"/>
      <c r="C872" s="97">
        <f>_xll.meDateFromTenor(C871,"1D","FOLLOWING","TGT")</f>
        <v>43742</v>
      </c>
      <c r="D872" s="95">
        <f ca="1"/>
        <v>-2.3985039757811188E-3</v>
      </c>
      <c r="E872" s="92"/>
      <c r="F872" s="97">
        <f>_xll.meDateFromTenor(F871,"1D","FOLLOWING","TGT")</f>
        <v>43742</v>
      </c>
      <c r="G872" s="95">
        <f ca="1"/>
        <v>-1.6577613574964179E-3</v>
      </c>
      <c r="H872" s="92" t="s">
        <v>4</v>
      </c>
      <c r="I872" s="97">
        <f>_xll.meDateFromTenor(I871,"1D","FOLLOWING","TGT")</f>
        <v>43742</v>
      </c>
      <c r="J872" s="95">
        <f ca="1"/>
        <v>-3.4044250838983798E-4</v>
      </c>
      <c r="K872" s="5" t="s">
        <v>4</v>
      </c>
      <c r="L872" s="97">
        <f>_xll.meDateFromTenor(L871,"1D","FOLLOWING","TGT")</f>
        <v>43742</v>
      </c>
      <c r="M872" s="95">
        <f ca="1"/>
        <v>1.4174640318531122E-3</v>
      </c>
      <c r="N872" s="5" t="s">
        <v>4</v>
      </c>
      <c r="O872" s="97">
        <f>_xll.meDateFromTenor(O871,"1D","FOLLOWING","TGT")</f>
        <v>43742</v>
      </c>
      <c r="P872" s="95">
        <f ca="1"/>
        <v>3.4389802732364655E-3</v>
      </c>
      <c r="Q872" s="5" t="s">
        <v>4</v>
      </c>
      <c r="R872" s="83" t="s">
        <v>4</v>
      </c>
    </row>
    <row r="873" spans="1:18" x14ac:dyDescent="0.25">
      <c r="A873" s="88">
        <v>859</v>
      </c>
      <c r="B873" s="82"/>
      <c r="C873" s="97">
        <f>_xll.meDateFromTenor(C872,"1D","FOLLOWING","TGT")</f>
        <v>43745</v>
      </c>
      <c r="D873" s="95">
        <f ca="1"/>
        <v>-2.3841028650236629E-3</v>
      </c>
      <c r="E873" s="92"/>
      <c r="F873" s="97">
        <f>_xll.meDateFromTenor(F872,"1D","FOLLOWING","TGT")</f>
        <v>43745</v>
      </c>
      <c r="G873" s="95">
        <f ca="1"/>
        <v>-1.6433660756483847E-3</v>
      </c>
      <c r="H873" s="92" t="s">
        <v>4</v>
      </c>
      <c r="I873" s="97">
        <f>_xll.meDateFromTenor(I872,"1D","FOLLOWING","TGT")</f>
        <v>43745</v>
      </c>
      <c r="J873" s="95">
        <f ca="1"/>
        <v>-3.2485632859992683E-4</v>
      </c>
      <c r="K873" s="5" t="s">
        <v>4</v>
      </c>
      <c r="L873" s="97">
        <f>_xll.meDateFromTenor(L872,"1D","FOLLOWING","TGT")</f>
        <v>43745</v>
      </c>
      <c r="M873" s="95">
        <f ca="1"/>
        <v>1.4345563739333888E-3</v>
      </c>
      <c r="N873" s="5" t="s">
        <v>4</v>
      </c>
      <c r="O873" s="97">
        <f>_xll.meDateFromTenor(O872,"1D","FOLLOWING","TGT")</f>
        <v>43745</v>
      </c>
      <c r="P873" s="95">
        <f ca="1"/>
        <v>3.4554079424560886E-3</v>
      </c>
      <c r="Q873" s="5" t="s">
        <v>4</v>
      </c>
      <c r="R873" s="83" t="s">
        <v>4</v>
      </c>
    </row>
    <row r="874" spans="1:18" x14ac:dyDescent="0.25">
      <c r="A874" s="88">
        <v>860</v>
      </c>
      <c r="B874" s="82"/>
      <c r="C874" s="97">
        <f>_xll.meDateFromTenor(C873,"1D","FOLLOWING","TGT")</f>
        <v>43746</v>
      </c>
      <c r="D874" s="95">
        <f ca="1"/>
        <v>-2.3793004768392079E-3</v>
      </c>
      <c r="E874" s="92"/>
      <c r="F874" s="97">
        <f>_xll.meDateFromTenor(F873,"1D","FOLLOWING","TGT")</f>
        <v>43746</v>
      </c>
      <c r="G874" s="95">
        <f ca="1"/>
        <v>-1.6386279933320279E-3</v>
      </c>
      <c r="H874" s="92" t="s">
        <v>4</v>
      </c>
      <c r="I874" s="97">
        <f>_xll.meDateFromTenor(I873,"1D","FOLLOWING","TGT")</f>
        <v>43746</v>
      </c>
      <c r="J874" s="95">
        <f ca="1"/>
        <v>-3.1965410867455823E-4</v>
      </c>
      <c r="K874" s="5" t="s">
        <v>4</v>
      </c>
      <c r="L874" s="97">
        <f>_xll.meDateFromTenor(L873,"1D","FOLLOWING","TGT")</f>
        <v>43746</v>
      </c>
      <c r="M874" s="95">
        <f ca="1"/>
        <v>1.4402588677216955E-3</v>
      </c>
      <c r="N874" s="5" t="s">
        <v>4</v>
      </c>
      <c r="O874" s="97">
        <f>_xll.meDateFromTenor(O873,"1D","FOLLOWING","TGT")</f>
        <v>43746</v>
      </c>
      <c r="P874" s="95">
        <f ca="1"/>
        <v>3.4608880337096827E-3</v>
      </c>
      <c r="Q874" s="5" t="s">
        <v>4</v>
      </c>
      <c r="R874" s="83" t="s">
        <v>4</v>
      </c>
    </row>
    <row r="875" spans="1:18" x14ac:dyDescent="0.25">
      <c r="A875" s="88">
        <v>861</v>
      </c>
      <c r="B875" s="82"/>
      <c r="C875" s="97">
        <f>_xll.meDateFromTenor(C874,"1D","FOLLOWING","TGT")</f>
        <v>43747</v>
      </c>
      <c r="D875" s="95">
        <f ca="1"/>
        <v>-2.3744970797314746E-3</v>
      </c>
      <c r="E875" s="92"/>
      <c r="F875" s="97">
        <f>_xll.meDateFromTenor(F874,"1D","FOLLOWING","TGT")</f>
        <v>43747</v>
      </c>
      <c r="G875" s="95">
        <f ca="1"/>
        <v>-1.6339149996783301E-3</v>
      </c>
      <c r="H875" s="92" t="s">
        <v>4</v>
      </c>
      <c r="I875" s="97">
        <f>_xll.meDateFromTenor(I874,"1D","FOLLOWING","TGT")</f>
        <v>43747</v>
      </c>
      <c r="J875" s="95">
        <f ca="1"/>
        <v>-3.1444846274624502E-4</v>
      </c>
      <c r="K875" s="5" t="s">
        <v>4</v>
      </c>
      <c r="L875" s="97">
        <f>_xll.meDateFromTenor(L874,"1D","FOLLOWING","TGT")</f>
        <v>43747</v>
      </c>
      <c r="M875" s="95">
        <f ca="1"/>
        <v>1.4459638840743187E-3</v>
      </c>
      <c r="N875" s="5" t="s">
        <v>4</v>
      </c>
      <c r="O875" s="97">
        <f>_xll.meDateFromTenor(O874,"1D","FOLLOWING","TGT")</f>
        <v>43747</v>
      </c>
      <c r="P875" s="95">
        <f ca="1"/>
        <v>3.4663702474399447E-3</v>
      </c>
      <c r="Q875" s="5" t="s">
        <v>4</v>
      </c>
      <c r="R875" s="83" t="s">
        <v>4</v>
      </c>
    </row>
    <row r="876" spans="1:18" x14ac:dyDescent="0.25">
      <c r="A876" s="88">
        <v>862</v>
      </c>
      <c r="B876" s="82"/>
      <c r="C876" s="97">
        <f>_xll.meDateFromTenor(C875,"1D","FOLLOWING","TGT")</f>
        <v>43748</v>
      </c>
      <c r="D876" s="95">
        <f ca="1"/>
        <v>-2.369692672888557E-3</v>
      </c>
      <c r="E876" s="92"/>
      <c r="F876" s="97">
        <f>_xll.meDateFromTenor(F875,"1D","FOLLOWING","TGT")</f>
        <v>43748</v>
      </c>
      <c r="G876" s="95">
        <f ca="1"/>
        <v>-1.6292240443949904E-3</v>
      </c>
      <c r="H876" s="92" t="s">
        <v>4</v>
      </c>
      <c r="I876" s="97">
        <f>_xll.meDateFromTenor(I875,"1D","FOLLOWING","TGT")</f>
        <v>43748</v>
      </c>
      <c r="J876" s="95">
        <f ca="1"/>
        <v>-3.0923938321183965E-4</v>
      </c>
      <c r="K876" s="5" t="s">
        <v>4</v>
      </c>
      <c r="L876" s="97">
        <f>_xll.meDateFromTenor(L875,"1D","FOLLOWING","TGT")</f>
        <v>43748</v>
      </c>
      <c r="M876" s="95">
        <f ca="1"/>
        <v>1.4516714226013854E-3</v>
      </c>
      <c r="N876" s="5" t="s">
        <v>4</v>
      </c>
      <c r="O876" s="97">
        <f>_xll.meDateFromTenor(O875,"1D","FOLLOWING","TGT")</f>
        <v>43748</v>
      </c>
      <c r="P876" s="95">
        <f ca="1"/>
        <v>3.4718545966787619E-3</v>
      </c>
      <c r="Q876" s="5" t="s">
        <v>4</v>
      </c>
      <c r="R876" s="83" t="s">
        <v>4</v>
      </c>
    </row>
    <row r="877" spans="1:18" x14ac:dyDescent="0.25">
      <c r="A877" s="88">
        <v>863</v>
      </c>
      <c r="B877" s="82"/>
      <c r="C877" s="97">
        <f>_xll.meDateFromTenor(C876,"1D","FOLLOWING","TGT")</f>
        <v>43749</v>
      </c>
      <c r="D877" s="95">
        <f ca="1"/>
        <v>-2.3648872566948143E-3</v>
      </c>
      <c r="E877" s="92"/>
      <c r="F877" s="97">
        <f>_xll.meDateFromTenor(F876,"1D","FOLLOWING","TGT")</f>
        <v>43749</v>
      </c>
      <c r="G877" s="95">
        <f ca="1"/>
        <v>-1.6245520771897089E-3</v>
      </c>
      <c r="H877" s="92" t="s">
        <v>4</v>
      </c>
      <c r="I877" s="97">
        <f>_xll.meDateFromTenor(I876,"1D","FOLLOWING","TGT")</f>
        <v>43749</v>
      </c>
      <c r="J877" s="95">
        <f ca="1"/>
        <v>-3.0402686246819549E-4</v>
      </c>
      <c r="K877" s="5" t="s">
        <v>4</v>
      </c>
      <c r="L877" s="97">
        <f>_xll.meDateFromTenor(L876,"1D","FOLLOWING","TGT")</f>
        <v>43749</v>
      </c>
      <c r="M877" s="95">
        <f ca="1"/>
        <v>1.4573814829130192E-3</v>
      </c>
      <c r="N877" s="5" t="s">
        <v>4</v>
      </c>
      <c r="O877" s="97">
        <f>_xll.meDateFromTenor(O876,"1D","FOLLOWING","TGT")</f>
        <v>43749</v>
      </c>
      <c r="P877" s="95">
        <f ca="1"/>
        <v>3.4773410944580175E-3</v>
      </c>
      <c r="Q877" s="5" t="s">
        <v>4</v>
      </c>
      <c r="R877" s="83" t="s">
        <v>4</v>
      </c>
    </row>
    <row r="878" spans="1:18" x14ac:dyDescent="0.25">
      <c r="A878" s="88">
        <v>864</v>
      </c>
      <c r="B878" s="82"/>
      <c r="C878" s="97">
        <f>_xll.meDateFromTenor(C877,"1D","FOLLOWING","TGT")</f>
        <v>43752</v>
      </c>
      <c r="D878" s="95">
        <f ca="1"/>
        <v>-2.3504649487561258E-3</v>
      </c>
      <c r="E878" s="92"/>
      <c r="F878" s="97">
        <f>_xll.meDateFromTenor(F877,"1D","FOLLOWING","TGT")</f>
        <v>43752</v>
      </c>
      <c r="G878" s="95">
        <f ca="1"/>
        <v>-1.6106196011191965E-3</v>
      </c>
      <c r="H878" s="92" t="s">
        <v>4</v>
      </c>
      <c r="I878" s="97">
        <f>_xll.meDateFromTenor(I877,"1D","FOLLOWING","TGT")</f>
        <v>43752</v>
      </c>
      <c r="J878" s="95">
        <f ca="1"/>
        <v>-2.8836857695034888E-4</v>
      </c>
      <c r="K878" s="5" t="s">
        <v>4</v>
      </c>
      <c r="L878" s="97">
        <f>_xll.meDateFromTenor(L877,"1D","FOLLOWING","TGT")</f>
        <v>43752</v>
      </c>
      <c r="M878" s="95">
        <f ca="1"/>
        <v>1.4745267906565961E-3</v>
      </c>
      <c r="N878" s="5" t="s">
        <v>4</v>
      </c>
      <c r="O878" s="97">
        <f>_xll.meDateFromTenor(O877,"1D","FOLLOWING","TGT")</f>
        <v>43752</v>
      </c>
      <c r="P878" s="95">
        <f ca="1"/>
        <v>3.4938136093572792E-3</v>
      </c>
      <c r="Q878" s="5" t="s">
        <v>4</v>
      </c>
      <c r="R878" s="83" t="s">
        <v>4</v>
      </c>
    </row>
    <row r="879" spans="1:18" x14ac:dyDescent="0.25">
      <c r="A879" s="88">
        <v>865</v>
      </c>
      <c r="B879" s="82"/>
      <c r="C879" s="97">
        <f>_xll.meDateFromTenor(C878,"1D","FOLLOWING","TGT")</f>
        <v>43753</v>
      </c>
      <c r="D879" s="95">
        <f ca="1"/>
        <v>-2.3456554923845241E-3</v>
      </c>
      <c r="E879" s="92"/>
      <c r="F879" s="97">
        <f>_xll.meDateFromTenor(F878,"1D","FOLLOWING","TGT")</f>
        <v>43753</v>
      </c>
      <c r="G879" s="95">
        <f ca="1"/>
        <v>-1.6059930833031335E-3</v>
      </c>
      <c r="H879" s="92" t="s">
        <v>4</v>
      </c>
      <c r="I879" s="97">
        <f>_xll.meDateFromTenor(I878,"1D","FOLLOWING","TGT")</f>
        <v>43753</v>
      </c>
      <c r="J879" s="95">
        <f ca="1"/>
        <v>-2.8314221533827077E-4</v>
      </c>
      <c r="K879" s="5" t="s">
        <v>4</v>
      </c>
      <c r="L879" s="97">
        <f>_xll.meDateFromTenor(L878,"1D","FOLLOWING","TGT")</f>
        <v>43753</v>
      </c>
      <c r="M879" s="95">
        <f ca="1"/>
        <v>1.480246934207766E-3</v>
      </c>
      <c r="N879" s="5" t="s">
        <v>4</v>
      </c>
      <c r="O879" s="97">
        <f>_xll.meDateFromTenor(O878,"1D","FOLLOWING","TGT")</f>
        <v>43753</v>
      </c>
      <c r="P879" s="95">
        <f ca="1"/>
        <v>3.4993088316171497E-3</v>
      </c>
      <c r="Q879" s="5" t="s">
        <v>4</v>
      </c>
      <c r="R879" s="83" t="s">
        <v>4</v>
      </c>
    </row>
    <row r="880" spans="1:18" x14ac:dyDescent="0.25">
      <c r="A880" s="88">
        <v>866</v>
      </c>
      <c r="B880" s="82"/>
      <c r="C880" s="97">
        <f>_xll.meDateFromTenor(C879,"1D","FOLLOWING","TGT")</f>
        <v>43754</v>
      </c>
      <c r="D880" s="95">
        <f ca="1"/>
        <v>-2.3408450255538726E-3</v>
      </c>
      <c r="E880" s="92"/>
      <c r="F880" s="97">
        <f>_xll.meDateFromTenor(F879,"1D","FOLLOWING","TGT")</f>
        <v>43754</v>
      </c>
      <c r="G880" s="95">
        <f ca="1"/>
        <v>-1.6013703021036231E-3</v>
      </c>
      <c r="H880" s="92" t="s">
        <v>4</v>
      </c>
      <c r="I880" s="97">
        <f>_xll.meDateFromTenor(I879,"1D","FOLLOWING","TGT")</f>
        <v>43754</v>
      </c>
      <c r="J880" s="95">
        <f ca="1"/>
        <v>-2.7791237450121563E-4</v>
      </c>
      <c r="K880" s="5" t="s">
        <v>4</v>
      </c>
      <c r="L880" s="97">
        <f>_xll.meDateFromTenor(L879,"1D","FOLLOWING","TGT")</f>
        <v>43754</v>
      </c>
      <c r="M880" s="95">
        <f ca="1"/>
        <v>1.4859695975941343E-3</v>
      </c>
      <c r="N880" s="5" t="s">
        <v>4</v>
      </c>
      <c r="O880" s="97">
        <f>_xll.meDateFromTenor(O879,"1D","FOLLOWING","TGT")</f>
        <v>43754</v>
      </c>
      <c r="P880" s="95">
        <f ca="1"/>
        <v>3.5048062675768878E-3</v>
      </c>
      <c r="Q880" s="5" t="s">
        <v>4</v>
      </c>
      <c r="R880" s="83" t="s">
        <v>4</v>
      </c>
    </row>
    <row r="881" spans="1:18" x14ac:dyDescent="0.25">
      <c r="A881" s="88">
        <v>867</v>
      </c>
      <c r="B881" s="82"/>
      <c r="C881" s="97">
        <f>_xll.meDateFromTenor(C880,"1D","FOLLOWING","TGT")</f>
        <v>43755</v>
      </c>
      <c r="D881" s="95">
        <f ca="1"/>
        <v>-2.3360335482497385E-3</v>
      </c>
      <c r="E881" s="92"/>
      <c r="F881" s="97">
        <f>_xll.meDateFromTenor(F880,"1D","FOLLOWING","TGT")</f>
        <v>43755</v>
      </c>
      <c r="G881" s="95">
        <f ca="1"/>
        <v>-1.5967482072283643E-3</v>
      </c>
      <c r="H881" s="92" t="s">
        <v>4</v>
      </c>
      <c r="I881" s="97">
        <f>_xll.meDateFromTenor(I880,"1D","FOLLOWING","TGT")</f>
        <v>43755</v>
      </c>
      <c r="J881" s="95">
        <f ca="1"/>
        <v>-2.7267904683603604E-4</v>
      </c>
      <c r="K881" s="5" t="s">
        <v>4</v>
      </c>
      <c r="L881" s="97">
        <f>_xll.meDateFromTenor(L880,"1D","FOLLOWING","TGT")</f>
        <v>43755</v>
      </c>
      <c r="M881" s="95">
        <f ca="1"/>
        <v>1.4916947804258271E-3</v>
      </c>
      <c r="N881" s="5" t="s">
        <v>4</v>
      </c>
      <c r="O881" s="97">
        <f>_xll.meDateFromTenor(O880,"1D","FOLLOWING","TGT")</f>
        <v>43755</v>
      </c>
      <c r="P881" s="95">
        <f ca="1"/>
        <v>3.510305930268378E-3</v>
      </c>
      <c r="Q881" s="5" t="s">
        <v>4</v>
      </c>
      <c r="R881" s="83" t="s">
        <v>4</v>
      </c>
    </row>
    <row r="882" spans="1:18" x14ac:dyDescent="0.25">
      <c r="A882" s="88">
        <v>868</v>
      </c>
      <c r="B882" s="82"/>
      <c r="C882" s="97">
        <f>_xll.meDateFromTenor(C881,"1D","FOLLOWING","TGT")</f>
        <v>43756</v>
      </c>
      <c r="D882" s="95">
        <f ca="1"/>
        <v>-2.3312210598994687E-3</v>
      </c>
      <c r="E882" s="92"/>
      <c r="F882" s="97">
        <f>_xll.meDateFromTenor(F881,"1D","FOLLOWING","TGT")</f>
        <v>43756</v>
      </c>
      <c r="G882" s="95">
        <f ca="1"/>
        <v>-1.5921237483850564E-3</v>
      </c>
      <c r="H882" s="92" t="s">
        <v>4</v>
      </c>
      <c r="I882" s="97">
        <f>_xll.meDateFromTenor(I881,"1D","FOLLOWING","TGT")</f>
        <v>43756</v>
      </c>
      <c r="J882" s="95">
        <f ca="1"/>
        <v>-2.6744222473958469E-4</v>
      </c>
      <c r="K882" s="5" t="s">
        <v>4</v>
      </c>
      <c r="L882" s="97">
        <f>_xll.meDateFromTenor(L881,"1D","FOLLOWING","TGT")</f>
        <v>43756</v>
      </c>
      <c r="M882" s="95">
        <f ca="1"/>
        <v>1.4974224823129699E-3</v>
      </c>
      <c r="N882" s="5" t="s">
        <v>4</v>
      </c>
      <c r="O882" s="97">
        <f>_xll.meDateFromTenor(O881,"1D","FOLLOWING","TGT")</f>
        <v>43756</v>
      </c>
      <c r="P882" s="95">
        <f ca="1"/>
        <v>3.5158078327235075E-3</v>
      </c>
      <c r="Q882" s="5" t="s">
        <v>4</v>
      </c>
      <c r="R882" s="83" t="s">
        <v>4</v>
      </c>
    </row>
    <row r="883" spans="1:18" x14ac:dyDescent="0.25">
      <c r="A883" s="88">
        <v>869</v>
      </c>
      <c r="B883" s="82"/>
      <c r="C883" s="97">
        <f>_xll.meDateFromTenor(C882,"1D","FOLLOWING","TGT")</f>
        <v>43759</v>
      </c>
      <c r="D883" s="95">
        <f ca="1"/>
        <v>-2.3167775280693581E-3</v>
      </c>
      <c r="E883" s="92"/>
      <c r="F883" s="97">
        <f>_xll.meDateFromTenor(F882,"1D","FOLLOWING","TGT")</f>
        <v>43759</v>
      </c>
      <c r="G883" s="95">
        <f ca="1"/>
        <v>-1.5782056851238275E-3</v>
      </c>
      <c r="H883" s="92" t="s">
        <v>4</v>
      </c>
      <c r="I883" s="97">
        <f>_xll.meDateFromTenor(I882,"1D","FOLLOWING","TGT")</f>
        <v>43759</v>
      </c>
      <c r="J883" s="95">
        <f ca="1"/>
        <v>-2.5171071583112527E-4</v>
      </c>
      <c r="K883" s="5" t="s">
        <v>4</v>
      </c>
      <c r="L883" s="97">
        <f>_xll.meDateFromTenor(L882,"1D","FOLLOWING","TGT")</f>
        <v>43759</v>
      </c>
      <c r="M883" s="95">
        <f ca="1"/>
        <v>1.5146206984083604E-3</v>
      </c>
      <c r="N883" s="5" t="s">
        <v>4</v>
      </c>
      <c r="O883" s="97">
        <f>_xll.meDateFromTenor(O882,"1D","FOLLOWING","TGT")</f>
        <v>43759</v>
      </c>
      <c r="P883" s="95">
        <f ca="1"/>
        <v>3.5323271089895791E-3</v>
      </c>
      <c r="Q883" s="5" t="s">
        <v>4</v>
      </c>
      <c r="R883" s="83" t="s">
        <v>4</v>
      </c>
    </row>
    <row r="884" spans="1:18" x14ac:dyDescent="0.25">
      <c r="A884" s="88">
        <v>870</v>
      </c>
      <c r="B884" s="82"/>
      <c r="C884" s="97">
        <f>_xll.meDateFromTenor(C883,"1D","FOLLOWING","TGT")</f>
        <v>43760</v>
      </c>
      <c r="D884" s="95">
        <f ca="1"/>
        <v>-2.3119609948327735E-3</v>
      </c>
      <c r="E884" s="92"/>
      <c r="F884" s="97">
        <f>_xll.meDateFromTenor(F883,"1D","FOLLOWING","TGT")</f>
        <v>43760</v>
      </c>
      <c r="G884" s="95">
        <f ca="1"/>
        <v>-1.5735412674853127E-3</v>
      </c>
      <c r="H884" s="92" t="s">
        <v>4</v>
      </c>
      <c r="I884" s="97">
        <f>_xll.meDateFromTenor(I883,"1D","FOLLOWING","TGT")</f>
        <v>43760</v>
      </c>
      <c r="J884" s="95">
        <f ca="1"/>
        <v>-2.4645983997811168E-4</v>
      </c>
      <c r="K884" s="5" t="s">
        <v>4</v>
      </c>
      <c r="L884" s="97">
        <f>_xll.meDateFromTenor(L883,"1D","FOLLOWING","TGT")</f>
        <v>43760</v>
      </c>
      <c r="M884" s="95">
        <f ca="1"/>
        <v>1.5203584726185648E-3</v>
      </c>
      <c r="N884" s="5" t="s">
        <v>4</v>
      </c>
      <c r="O884" s="97">
        <f>_xll.meDateFromTenor(O883,"1D","FOLLOWING","TGT")</f>
        <v>43760</v>
      </c>
      <c r="P884" s="95">
        <f ca="1"/>
        <v>3.5378381008181171E-3</v>
      </c>
      <c r="Q884" s="5" t="s">
        <v>4</v>
      </c>
      <c r="R884" s="83" t="s">
        <v>4</v>
      </c>
    </row>
    <row r="885" spans="1:18" x14ac:dyDescent="0.25">
      <c r="A885" s="88">
        <v>871</v>
      </c>
      <c r="B885" s="82"/>
      <c r="C885" s="97">
        <f>_xll.meDateFromTenor(C884,"1D","FOLLOWING","TGT")</f>
        <v>43761</v>
      </c>
      <c r="D885" s="95">
        <f ca="1"/>
        <v>-2.3071434496406695E-3</v>
      </c>
      <c r="E885" s="92"/>
      <c r="F885" s="97">
        <f>_xll.meDateFromTenor(F884,"1D","FOLLOWING","TGT")</f>
        <v>43761</v>
      </c>
      <c r="G885" s="95">
        <f ca="1"/>
        <v>-1.5688592344172444E-3</v>
      </c>
      <c r="H885" s="92" t="s">
        <v>4</v>
      </c>
      <c r="I885" s="97">
        <f>_xll.meDateFromTenor(I884,"1D","FOLLOWING","TGT")</f>
        <v>43761</v>
      </c>
      <c r="J885" s="95">
        <f ca="1"/>
        <v>-2.4120543167808976E-4</v>
      </c>
      <c r="K885" s="5" t="s">
        <v>4</v>
      </c>
      <c r="L885" s="97">
        <f>_xll.meDateFromTenor(L884,"1D","FOLLOWING","TGT")</f>
        <v>43761</v>
      </c>
      <c r="M885" s="95">
        <f ca="1"/>
        <v>1.5260987639348479E-3</v>
      </c>
      <c r="N885" s="5" t="s">
        <v>4</v>
      </c>
      <c r="O885" s="97">
        <f>_xll.meDateFromTenor(O884,"1D","FOLLOWING","TGT")</f>
        <v>43761</v>
      </c>
      <c r="P885" s="95">
        <f ca="1"/>
        <v>3.5433513975697195E-3</v>
      </c>
      <c r="Q885" s="5" t="s">
        <v>4</v>
      </c>
      <c r="R885" s="83" t="s">
        <v>4</v>
      </c>
    </row>
    <row r="886" spans="1:18" x14ac:dyDescent="0.25">
      <c r="A886" s="88">
        <v>872</v>
      </c>
      <c r="B886" s="82"/>
      <c r="C886" s="97">
        <f>_xll.meDateFromTenor(C885,"1D","FOLLOWING","TGT")</f>
        <v>43762</v>
      </c>
      <c r="D886" s="95">
        <f ca="1"/>
        <v>-2.3023248924789463E-3</v>
      </c>
      <c r="E886" s="92"/>
      <c r="F886" s="97">
        <f>_xll.meDateFromTenor(F885,"1D","FOLLOWING","TGT")</f>
        <v>43762</v>
      </c>
      <c r="G886" s="95">
        <f ca="1"/>
        <v>-1.5641565356273206E-3</v>
      </c>
      <c r="H886" s="92" t="s">
        <v>4</v>
      </c>
      <c r="I886" s="97">
        <f>_xll.meDateFromTenor(I885,"1D","FOLLOWING","TGT")</f>
        <v>43762</v>
      </c>
      <c r="J886" s="95">
        <f ca="1"/>
        <v>-2.3594748332791022E-4</v>
      </c>
      <c r="K886" s="5" t="s">
        <v>4</v>
      </c>
      <c r="L886" s="97">
        <f>_xll.meDateFromTenor(L885,"1D","FOLLOWING","TGT")</f>
        <v>43762</v>
      </c>
      <c r="M886" s="95">
        <f ca="1"/>
        <v>1.5318415719673382E-3</v>
      </c>
      <c r="N886" s="5" t="s">
        <v>4</v>
      </c>
      <c r="O886" s="97">
        <f>_xll.meDateFromTenor(O885,"1D","FOLLOWING","TGT")</f>
        <v>43762</v>
      </c>
      <c r="P886" s="95">
        <f ca="1"/>
        <v>3.5488670122762749E-3</v>
      </c>
      <c r="Q886" s="5" t="s">
        <v>4</v>
      </c>
      <c r="R886" s="83" t="s">
        <v>4</v>
      </c>
    </row>
    <row r="887" spans="1:18" x14ac:dyDescent="0.25">
      <c r="A887" s="88">
        <v>873</v>
      </c>
      <c r="B887" s="82"/>
      <c r="C887" s="97">
        <f>_xll.meDateFromTenor(C886,"1D","FOLLOWING","TGT")</f>
        <v>43763</v>
      </c>
      <c r="D887" s="95">
        <f ca="1"/>
        <v>-2.297505323213378E-3</v>
      </c>
      <c r="E887" s="92"/>
      <c r="F887" s="97">
        <f>_xll.meDateFromTenor(F886,"1D","FOLLOWING","TGT")</f>
        <v>43763</v>
      </c>
      <c r="G887" s="95">
        <f ca="1"/>
        <v>-1.5594301208232406E-3</v>
      </c>
      <c r="H887" s="92" t="s">
        <v>4</v>
      </c>
      <c r="I887" s="97">
        <f>_xll.meDateFromTenor(I886,"1D","FOLLOWING","TGT")</f>
        <v>43763</v>
      </c>
      <c r="J887" s="95">
        <f ca="1"/>
        <v>-2.3068598732442659E-4</v>
      </c>
      <c r="K887" s="5" t="s">
        <v>4</v>
      </c>
      <c r="L887" s="97">
        <f>_xll.meDateFromTenor(L886,"1D","FOLLOWING","TGT")</f>
        <v>43763</v>
      </c>
      <c r="M887" s="95">
        <f ca="1"/>
        <v>1.5375868963261603E-3</v>
      </c>
      <c r="N887" s="5" t="s">
        <v>4</v>
      </c>
      <c r="O887" s="97">
        <f>_xll.meDateFromTenor(O886,"1D","FOLLOWING","TGT")</f>
        <v>43763</v>
      </c>
      <c r="P887" s="95">
        <f ca="1"/>
        <v>3.5543849579696665E-3</v>
      </c>
      <c r="Q887" s="5" t="s">
        <v>4</v>
      </c>
      <c r="R887" s="83" t="s">
        <v>4</v>
      </c>
    </row>
    <row r="888" spans="1:18" x14ac:dyDescent="0.25">
      <c r="A888" s="88">
        <v>874</v>
      </c>
      <c r="B888" s="82"/>
      <c r="C888" s="97">
        <f>_xll.meDateFromTenor(C887,"1D","FOLLOWING","TGT")</f>
        <v>43766</v>
      </c>
      <c r="D888" s="95">
        <f ca="1"/>
        <v>-2.2830405412141985E-3</v>
      </c>
      <c r="E888" s="92"/>
      <c r="F888" s="97">
        <f>_xll.meDateFromTenor(F887,"1D","FOLLOWING","TGT")</f>
        <v>43766</v>
      </c>
      <c r="G888" s="95">
        <f ca="1"/>
        <v>-1.5450780774030567E-3</v>
      </c>
      <c r="H888" s="92" t="s">
        <v>4</v>
      </c>
      <c r="I888" s="97">
        <f>_xll.meDateFromTenor(I887,"1D","FOLLOWING","TGT")</f>
        <v>43766</v>
      </c>
      <c r="J888" s="95">
        <f ca="1"/>
        <v>-2.1488013736267622E-4</v>
      </c>
      <c r="K888" s="5" t="s">
        <v>4</v>
      </c>
      <c r="L888" s="97">
        <f>_xll.meDateFromTenor(L887,"1D","FOLLOWING","TGT")</f>
        <v>43766</v>
      </c>
      <c r="M888" s="95">
        <f ca="1"/>
        <v>1.5548379634618785E-3</v>
      </c>
      <c r="N888" s="5" t="s">
        <v>4</v>
      </c>
      <c r="O888" s="97">
        <f>_xll.meDateFromTenor(O887,"1D","FOLLOWING","TGT")</f>
        <v>43766</v>
      </c>
      <c r="P888" s="95">
        <f ca="1"/>
        <v>3.57095291128972E-3</v>
      </c>
      <c r="Q888" s="5" t="s">
        <v>4</v>
      </c>
      <c r="R888" s="83" t="s">
        <v>4</v>
      </c>
    </row>
    <row r="889" spans="1:18" x14ac:dyDescent="0.25">
      <c r="A889" s="88">
        <v>875</v>
      </c>
      <c r="B889" s="82"/>
      <c r="C889" s="97">
        <f>_xll.meDateFromTenor(C888,"1D","FOLLOWING","TGT")</f>
        <v>43767</v>
      </c>
      <c r="D889" s="95">
        <f ca="1"/>
        <v>-2.2782169217943071E-3</v>
      </c>
      <c r="E889" s="92"/>
      <c r="F889" s="97">
        <f>_xll.meDateFromTenor(F888,"1D","FOLLOWING","TGT")</f>
        <v>43767</v>
      </c>
      <c r="G889" s="95">
        <f ca="1"/>
        <v>-1.5402262956193443E-3</v>
      </c>
      <c r="H889" s="92" t="s">
        <v>4</v>
      </c>
      <c r="I889" s="97">
        <f>_xll.meDateFromTenor(I888,"1D","FOLLOWING","TGT")</f>
        <v>43767</v>
      </c>
      <c r="J889" s="95">
        <f ca="1"/>
        <v>-2.0960437471450222E-4</v>
      </c>
      <c r="K889" s="5" t="s">
        <v>4</v>
      </c>
      <c r="L889" s="97">
        <f>_xll.meDateFromTenor(L888,"1D","FOLLOWING","TGT")</f>
        <v>43767</v>
      </c>
      <c r="M889" s="95">
        <f ca="1"/>
        <v>1.5605933492272872E-3</v>
      </c>
      <c r="N889" s="5" t="s">
        <v>4</v>
      </c>
      <c r="O889" s="97">
        <f>_xll.meDateFromTenor(O888,"1D","FOLLOWING","TGT")</f>
        <v>43767</v>
      </c>
      <c r="P889" s="95">
        <f ca="1"/>
        <v>3.5764803112493145E-3</v>
      </c>
      <c r="Q889" s="5" t="s">
        <v>4</v>
      </c>
      <c r="R889" s="83" t="s">
        <v>4</v>
      </c>
    </row>
    <row r="890" spans="1:18" x14ac:dyDescent="0.25">
      <c r="A890" s="88">
        <v>876</v>
      </c>
      <c r="B890" s="82"/>
      <c r="C890" s="97">
        <f>_xll.meDateFromTenor(C889,"1D","FOLLOWING","TGT")</f>
        <v>43768</v>
      </c>
      <c r="D890" s="95">
        <f ca="1"/>
        <v>-2.2733922893212188E-3</v>
      </c>
      <c r="E890" s="92"/>
      <c r="F890" s="97">
        <f>_xll.meDateFromTenor(F889,"1D","FOLLOWING","TGT")</f>
        <v>43768</v>
      </c>
      <c r="G890" s="95">
        <f ca="1"/>
        <v>-1.5353355463599708E-3</v>
      </c>
      <c r="H890" s="92" t="s">
        <v>4</v>
      </c>
      <c r="I890" s="97">
        <f>_xll.meDateFromTenor(I889,"1D","FOLLOWING","TGT")</f>
        <v>43768</v>
      </c>
      <c r="J890" s="95">
        <f ca="1"/>
        <v>-2.0432502639728591E-4</v>
      </c>
      <c r="K890" s="5" t="s">
        <v>4</v>
      </c>
      <c r="L890" s="97">
        <f>_xll.meDateFromTenor(L889,"1D","FOLLOWING","TGT")</f>
        <v>43768</v>
      </c>
      <c r="M890" s="95">
        <f ca="1"/>
        <v>1.5663512493696583E-3</v>
      </c>
      <c r="N890" s="5" t="s">
        <v>4</v>
      </c>
      <c r="O890" s="97">
        <f>_xll.meDateFromTenor(O889,"1D","FOLLOWING","TGT")</f>
        <v>43768</v>
      </c>
      <c r="P890" s="95">
        <f ca="1"/>
        <v>3.5820101073551739E-3</v>
      </c>
      <c r="Q890" s="5" t="s">
        <v>4</v>
      </c>
      <c r="R890" s="83" t="s">
        <v>4</v>
      </c>
    </row>
    <row r="891" spans="1:18" x14ac:dyDescent="0.25">
      <c r="A891" s="88">
        <v>877</v>
      </c>
      <c r="B891" s="82"/>
      <c r="C891" s="97">
        <f>_xll.meDateFromTenor(C890,"1D","FOLLOWING","TGT")</f>
        <v>43769</v>
      </c>
      <c r="D891" s="95">
        <f ca="1"/>
        <v>-2.2685666436209617E-3</v>
      </c>
      <c r="E891" s="92"/>
      <c r="F891" s="97">
        <f>_xll.meDateFromTenor(F890,"1D","FOLLOWING","TGT")</f>
        <v>43769</v>
      </c>
      <c r="G891" s="95">
        <f ca="1"/>
        <v>-1.5304027793326366E-3</v>
      </c>
      <c r="H891" s="92" t="s">
        <v>4</v>
      </c>
      <c r="I891" s="97">
        <f>_xll.meDateFromTenor(I890,"1D","FOLLOWING","TGT")</f>
        <v>43769</v>
      </c>
      <c r="J891" s="95">
        <f ca="1"/>
        <v>-1.9904208480788153E-4</v>
      </c>
      <c r="K891" s="5" t="s">
        <v>4</v>
      </c>
      <c r="L891" s="97">
        <f>_xll.meDateFromTenor(L890,"1D","FOLLOWING","TGT")</f>
        <v>43769</v>
      </c>
      <c r="M891" s="95">
        <f ca="1"/>
        <v>1.5721116634991163E-3</v>
      </c>
      <c r="N891" s="5" t="s">
        <v>4</v>
      </c>
      <c r="O891" s="97">
        <f>_xll.meDateFromTenor(O890,"1D","FOLLOWING","TGT")</f>
        <v>43769</v>
      </c>
      <c r="P891" s="95">
        <f ca="1"/>
        <v>3.5875423126391828E-3</v>
      </c>
      <c r="Q891" s="5" t="s">
        <v>4</v>
      </c>
      <c r="R891" s="83" t="s">
        <v>4</v>
      </c>
    </row>
    <row r="892" spans="1:18" x14ac:dyDescent="0.25">
      <c r="A892" s="88">
        <v>878</v>
      </c>
      <c r="B892" s="82"/>
      <c r="C892" s="97">
        <f>_xll.meDateFromTenor(C891,"1D","FOLLOWING","TGT")</f>
        <v>43770</v>
      </c>
      <c r="D892" s="95">
        <f ca="1"/>
        <v>-2.2637399846394679E-3</v>
      </c>
      <c r="E892" s="92"/>
      <c r="F892" s="97">
        <f>_xll.meDateFromTenor(F891,"1D","FOLLOWING","TGT")</f>
        <v>43770</v>
      </c>
      <c r="G892" s="95">
        <f ca="1"/>
        <v>-1.5254249442450392E-3</v>
      </c>
      <c r="H892" s="92" t="s">
        <v>4</v>
      </c>
      <c r="I892" s="97">
        <f>_xll.meDateFromTenor(I891,"1D","FOLLOWING","TGT")</f>
        <v>43770</v>
      </c>
      <c r="J892" s="95">
        <f ca="1"/>
        <v>-1.9375554234313987E-4</v>
      </c>
      <c r="K892" s="5" t="s">
        <v>4</v>
      </c>
      <c r="L892" s="97">
        <f>_xll.meDateFromTenor(L891,"1D","FOLLOWING","TGT")</f>
        <v>43770</v>
      </c>
      <c r="M892" s="95">
        <f ca="1"/>
        <v>1.5778745912257888E-3</v>
      </c>
      <c r="N892" s="5" t="s">
        <v>4</v>
      </c>
      <c r="O892" s="97">
        <f>_xll.meDateFromTenor(O891,"1D","FOLLOWING","TGT")</f>
        <v>43770</v>
      </c>
      <c r="P892" s="95">
        <f ca="1"/>
        <v>3.5930769401332288E-3</v>
      </c>
      <c r="Q892" s="5" t="s">
        <v>4</v>
      </c>
      <c r="R892" s="83" t="s">
        <v>4</v>
      </c>
    </row>
    <row r="893" spans="1:18" x14ac:dyDescent="0.25">
      <c r="A893" s="88">
        <v>879</v>
      </c>
      <c r="B893" s="82"/>
      <c r="C893" s="97">
        <f>_xll.meDateFromTenor(C892,"1D","FOLLOWING","TGT")</f>
        <v>43773</v>
      </c>
      <c r="D893" s="95">
        <f ca="1"/>
        <v>-2.2492539252696453E-3</v>
      </c>
      <c r="E893" s="92"/>
      <c r="F893" s="97">
        <f>_xll.meDateFromTenor(F892,"1D","FOLLOWING","TGT")</f>
        <v>43773</v>
      </c>
      <c r="G893" s="95">
        <f ca="1"/>
        <v>-1.5101905276976623E-3</v>
      </c>
      <c r="H893" s="92" t="s">
        <v>4</v>
      </c>
      <c r="I893" s="97">
        <f>_xll.meDateFromTenor(I892,"1D","FOLLOWING","TGT")</f>
        <v>43773</v>
      </c>
      <c r="J893" s="95">
        <f ca="1"/>
        <v>-1.7787423366542188E-4</v>
      </c>
      <c r="K893" s="5" t="s">
        <v>4</v>
      </c>
      <c r="L893" s="97">
        <f>_xll.meDateFromTenor(L892,"1D","FOLLOWING","TGT")</f>
        <v>43773</v>
      </c>
      <c r="M893" s="95">
        <f ca="1"/>
        <v>1.5951784520903472E-3</v>
      </c>
      <c r="N893" s="5" t="s">
        <v>4</v>
      </c>
      <c r="O893" s="97">
        <f>_xll.meDateFromTenor(O892,"1D","FOLLOWING","TGT")</f>
        <v>43773</v>
      </c>
      <c r="P893" s="95">
        <f ca="1"/>
        <v>3.6096954861944341E-3</v>
      </c>
      <c r="Q893" s="5" t="s">
        <v>4</v>
      </c>
      <c r="R893" s="83" t="s">
        <v>4</v>
      </c>
    </row>
    <row r="894" spans="1:18" x14ac:dyDescent="0.25">
      <c r="A894" s="88">
        <v>880</v>
      </c>
      <c r="B894" s="82"/>
      <c r="C894" s="97">
        <f>_xll.meDateFromTenor(C893,"1D","FOLLOWING","TGT")</f>
        <v>43774</v>
      </c>
      <c r="D894" s="95">
        <f ca="1"/>
        <v>-2.244423211063884E-3</v>
      </c>
      <c r="E894" s="92"/>
      <c r="F894" s="97">
        <f>_xll.meDateFromTenor(F893,"1D","FOLLOWING","TGT")</f>
        <v>43774</v>
      </c>
      <c r="G894" s="95">
        <f ca="1"/>
        <v>-1.5050027653428753E-3</v>
      </c>
      <c r="H894" s="92" t="s">
        <v>4</v>
      </c>
      <c r="I894" s="97">
        <f>_xll.meDateFromTenor(I893,"1D","FOLLOWING","TGT")</f>
        <v>43774</v>
      </c>
      <c r="J894" s="95">
        <f ca="1"/>
        <v>-1.7257321166785997E-4</v>
      </c>
      <c r="K894" s="5" t="s">
        <v>4</v>
      </c>
      <c r="L894" s="97">
        <f>_xll.meDateFromTenor(L893,"1D","FOLLOWING","TGT")</f>
        <v>43774</v>
      </c>
      <c r="M894" s="95">
        <f ca="1"/>
        <v>1.6009514303071332E-3</v>
      </c>
      <c r="N894" s="5" t="s">
        <v>4</v>
      </c>
      <c r="O894" s="97">
        <f>_xll.meDateFromTenor(O893,"1D","FOLLOWING","TGT")</f>
        <v>43774</v>
      </c>
      <c r="P894" s="95">
        <f ca="1"/>
        <v>3.6152399328474773E-3</v>
      </c>
      <c r="Q894" s="5" t="s">
        <v>4</v>
      </c>
      <c r="R894" s="83" t="s">
        <v>4</v>
      </c>
    </row>
    <row r="895" spans="1:18" x14ac:dyDescent="0.25">
      <c r="A895" s="88">
        <v>881</v>
      </c>
      <c r="B895" s="82"/>
      <c r="C895" s="97">
        <f>_xll.meDateFromTenor(C894,"1D","FOLLOWING","TGT")</f>
        <v>43775</v>
      </c>
      <c r="D895" s="95">
        <f ca="1"/>
        <v>-2.2395914823480911E-3</v>
      </c>
      <c r="E895" s="92"/>
      <c r="F895" s="97">
        <f>_xll.meDateFromTenor(F894,"1D","FOLLOWING","TGT")</f>
        <v>43775</v>
      </c>
      <c r="G895" s="95">
        <f ca="1"/>
        <v>-1.4997597708475414E-3</v>
      </c>
      <c r="H895" s="92" t="s">
        <v>4</v>
      </c>
      <c r="I895" s="97">
        <f>_xll.meDateFromTenor(I894,"1D","FOLLOWING","TGT")</f>
        <v>43775</v>
      </c>
      <c r="J895" s="95">
        <f ca="1"/>
        <v>-1.6726855077922435E-4</v>
      </c>
      <c r="K895" s="5" t="s">
        <v>4</v>
      </c>
      <c r="L895" s="97">
        <f>_xll.meDateFromTenor(L894,"1D","FOLLOWING","TGT")</f>
        <v>43775</v>
      </c>
      <c r="M895" s="95">
        <f ca="1"/>
        <v>1.6067269201717627E-3</v>
      </c>
      <c r="N895" s="5" t="s">
        <v>4</v>
      </c>
      <c r="O895" s="97">
        <f>_xll.meDateFromTenor(O894,"1D","FOLLOWING","TGT")</f>
        <v>43775</v>
      </c>
      <c r="P895" s="95">
        <f ca="1"/>
        <v>3.6207868668699833E-3</v>
      </c>
      <c r="Q895" s="5" t="s">
        <v>4</v>
      </c>
      <c r="R895" s="83" t="s">
        <v>4</v>
      </c>
    </row>
    <row r="896" spans="1:18" x14ac:dyDescent="0.25">
      <c r="A896" s="88">
        <v>882</v>
      </c>
      <c r="B896" s="82"/>
      <c r="C896" s="97">
        <f>_xll.meDateFromTenor(C895,"1D","FOLLOWING","TGT")</f>
        <v>43776</v>
      </c>
      <c r="D896" s="95">
        <f ca="1"/>
        <v>-2.2347587391075008E-3</v>
      </c>
      <c r="E896" s="92"/>
      <c r="F896" s="97">
        <f>_xll.meDateFromTenor(F895,"1D","FOLLOWING","TGT")</f>
        <v>43776</v>
      </c>
      <c r="G896" s="95">
        <f ca="1"/>
        <v>-1.4944635813005809E-3</v>
      </c>
      <c r="H896" s="92" t="s">
        <v>4</v>
      </c>
      <c r="I896" s="97">
        <f>_xll.meDateFromTenor(I895,"1D","FOLLOWING","TGT")</f>
        <v>43776</v>
      </c>
      <c r="J896" s="95">
        <f ca="1"/>
        <v>-1.6196024339636836E-4</v>
      </c>
      <c r="K896" s="5" t="s">
        <v>4</v>
      </c>
      <c r="L896" s="97">
        <f>_xll.meDateFromTenor(L895,"1D","FOLLOWING","TGT")</f>
        <v>43776</v>
      </c>
      <c r="M896" s="95">
        <f ca="1"/>
        <v>1.6125049212943605E-3</v>
      </c>
      <c r="N896" s="5" t="s">
        <v>4</v>
      </c>
      <c r="O896" s="97">
        <f>_xll.meDateFromTenor(O895,"1D","FOLLOWING","TGT")</f>
        <v>43776</v>
      </c>
      <c r="P896" s="95">
        <f ca="1"/>
        <v>3.6263363012938379E-3</v>
      </c>
      <c r="Q896" s="5" t="s">
        <v>4</v>
      </c>
      <c r="R896" s="83" t="s">
        <v>4</v>
      </c>
    </row>
    <row r="897" spans="1:18" x14ac:dyDescent="0.25">
      <c r="A897" s="88">
        <v>883</v>
      </c>
      <c r="B897" s="82"/>
      <c r="C897" s="97">
        <f>_xll.meDateFromTenor(C896,"1D","FOLLOWING","TGT")</f>
        <v>43777</v>
      </c>
      <c r="D897" s="95">
        <f ca="1"/>
        <v>-2.2299249812880451E-3</v>
      </c>
      <c r="E897" s="92"/>
      <c r="F897" s="97">
        <f>_xll.meDateFromTenor(F896,"1D","FOLLOWING","TGT")</f>
        <v>43777</v>
      </c>
      <c r="G897" s="95">
        <f ca="1"/>
        <v>-1.4891162337909113E-3</v>
      </c>
      <c r="H897" s="92" t="s">
        <v>4</v>
      </c>
      <c r="I897" s="97">
        <f>_xll.meDateFromTenor(I896,"1D","FOLLOWING","TGT")</f>
        <v>43777</v>
      </c>
      <c r="J897" s="95">
        <f ca="1"/>
        <v>-1.5664828191614292E-4</v>
      </c>
      <c r="K897" s="5" t="s">
        <v>4</v>
      </c>
      <c r="L897" s="97">
        <f>_xll.meDateFromTenor(L896,"1D","FOLLOWING","TGT")</f>
        <v>43777</v>
      </c>
      <c r="M897" s="95">
        <f ca="1"/>
        <v>1.6182854332850542E-3</v>
      </c>
      <c r="N897" s="5" t="s">
        <v>4</v>
      </c>
      <c r="O897" s="97">
        <f>_xll.meDateFromTenor(O896,"1D","FOLLOWING","TGT")</f>
        <v>43777</v>
      </c>
      <c r="P897" s="95">
        <f ca="1"/>
        <v>3.6318882491509267E-3</v>
      </c>
      <c r="Q897" s="5" t="s">
        <v>4</v>
      </c>
      <c r="R897" s="83" t="s">
        <v>4</v>
      </c>
    </row>
    <row r="898" spans="1:18" x14ac:dyDescent="0.25">
      <c r="A898" s="88">
        <v>884</v>
      </c>
      <c r="B898" s="82"/>
      <c r="C898" s="97">
        <f>_xll.meDateFromTenor(C897,"1D","FOLLOWING","TGT")</f>
        <v>43780</v>
      </c>
      <c r="D898" s="95">
        <f ca="1"/>
        <v>-2.2154176179777219E-3</v>
      </c>
      <c r="E898" s="92"/>
      <c r="F898" s="97">
        <f>_xll.meDateFromTenor(F897,"1D","FOLLOWING","TGT")</f>
        <v>43780</v>
      </c>
      <c r="G898" s="95">
        <f ca="1"/>
        <v>-1.4727876143748448E-3</v>
      </c>
      <c r="H898" s="92" t="s">
        <v>4</v>
      </c>
      <c r="I898" s="97">
        <f>_xll.meDateFromTenor(I897,"1D","FOLLOWING","TGT")</f>
        <v>43780</v>
      </c>
      <c r="J898" s="95">
        <f ca="1"/>
        <v>-1.4069039685978075E-4</v>
      </c>
      <c r="K898" s="5" t="s">
        <v>4</v>
      </c>
      <c r="L898" s="97">
        <f>_xll.meDateFromTenor(L897,"1D","FOLLOWING","TGT")</f>
        <v>43780</v>
      </c>
      <c r="M898" s="95">
        <f ca="1"/>
        <v>1.6356420305669648E-3</v>
      </c>
      <c r="N898" s="5" t="s">
        <v>4</v>
      </c>
      <c r="O898" s="97">
        <f>_xll.meDateFromTenor(O897,"1D","FOLLOWING","TGT")</f>
        <v>43780</v>
      </c>
      <c r="P898" s="95">
        <f ca="1"/>
        <v>3.6485593036404548E-3</v>
      </c>
      <c r="Q898" s="5" t="s">
        <v>4</v>
      </c>
      <c r="R898" s="83" t="s">
        <v>4</v>
      </c>
    </row>
    <row r="899" spans="1:18" x14ac:dyDescent="0.25">
      <c r="A899" s="88">
        <v>885</v>
      </c>
      <c r="B899" s="82"/>
      <c r="C899" s="97">
        <f>_xll.meDateFromTenor(C898,"1D","FOLLOWING","TGT")</f>
        <v>43781</v>
      </c>
      <c r="D899" s="95">
        <f ca="1"/>
        <v>-2.2105797995839449E-3</v>
      </c>
      <c r="E899" s="92"/>
      <c r="F899" s="97">
        <f>_xll.meDateFromTenor(F898,"1D","FOLLOWING","TGT")</f>
        <v>43781</v>
      </c>
      <c r="G899" s="95">
        <f ca="1"/>
        <v>-1.4672560059035343E-3</v>
      </c>
      <c r="H899" s="92" t="s">
        <v>4</v>
      </c>
      <c r="I899" s="97">
        <f>_xll.meDateFromTenor(I898,"1D","FOLLOWING","TGT")</f>
        <v>43781</v>
      </c>
      <c r="J899" s="95">
        <f ca="1"/>
        <v>-1.3536374295860604E-4</v>
      </c>
      <c r="K899" s="5" t="s">
        <v>4</v>
      </c>
      <c r="L899" s="97">
        <f>_xll.meDateFromTenor(L898,"1D","FOLLOWING","TGT")</f>
        <v>43781</v>
      </c>
      <c r="M899" s="95">
        <f ca="1"/>
        <v>1.6414325821312989E-3</v>
      </c>
      <c r="N899" s="5" t="s">
        <v>4</v>
      </c>
      <c r="O899" s="97">
        <f>_xll.meDateFromTenor(O898,"1D","FOLLOWING","TGT")</f>
        <v>43781</v>
      </c>
      <c r="P899" s="95">
        <f ca="1"/>
        <v>3.6541214355493368E-3</v>
      </c>
      <c r="Q899" s="5" t="s">
        <v>4</v>
      </c>
      <c r="R899" s="83" t="s">
        <v>4</v>
      </c>
    </row>
    <row r="900" spans="1:18" x14ac:dyDescent="0.25">
      <c r="A900" s="88">
        <v>886</v>
      </c>
      <c r="B900" s="82"/>
      <c r="C900" s="97">
        <f>_xll.meDateFromTenor(C899,"1D","FOLLOWING","TGT")</f>
        <v>43782</v>
      </c>
      <c r="D900" s="95">
        <f ca="1"/>
        <v>-2.2057409656612847E-3</v>
      </c>
      <c r="E900" s="92"/>
      <c r="F900" s="97">
        <f>_xll.meDateFromTenor(F899,"1D","FOLLOWING","TGT")</f>
        <v>43782</v>
      </c>
      <c r="G900" s="95">
        <f ca="1"/>
        <v>-1.4616834249141114E-3</v>
      </c>
      <c r="H900" s="92" t="s">
        <v>4</v>
      </c>
      <c r="I900" s="97">
        <f>_xll.meDateFromTenor(I899,"1D","FOLLOWING","TGT")</f>
        <v>43782</v>
      </c>
      <c r="J900" s="95">
        <f ca="1"/>
        <v>-1.300333969443253E-4</v>
      </c>
      <c r="K900" s="5" t="s">
        <v>4</v>
      </c>
      <c r="L900" s="97">
        <f>_xll.meDateFromTenor(L899,"1D","FOLLOWING","TGT")</f>
        <v>43782</v>
      </c>
      <c r="M900" s="95">
        <f ca="1"/>
        <v>1.6472256426143576E-3</v>
      </c>
      <c r="N900" s="5" t="s">
        <v>4</v>
      </c>
      <c r="O900" s="97">
        <f>_xll.meDateFromTenor(O899,"1D","FOLLOWING","TGT")</f>
        <v>43782</v>
      </c>
      <c r="P900" s="95">
        <f ca="1"/>
        <v>3.6596861460508798E-3</v>
      </c>
      <c r="Q900" s="5" t="s">
        <v>4</v>
      </c>
      <c r="R900" s="83" t="s">
        <v>4</v>
      </c>
    </row>
    <row r="901" spans="1:18" x14ac:dyDescent="0.25">
      <c r="A901" s="88">
        <v>887</v>
      </c>
      <c r="B901" s="82"/>
      <c r="C901" s="97">
        <f>_xll.meDateFromTenor(C900,"1D","FOLLOWING","TGT")</f>
        <v>43783</v>
      </c>
      <c r="D901" s="95">
        <f ca="1"/>
        <v>-2.2009011160757375E-3</v>
      </c>
      <c r="E901" s="92"/>
      <c r="F901" s="97">
        <f>_xll.meDateFromTenor(F900,"1D","FOLLOWING","TGT")</f>
        <v>43783</v>
      </c>
      <c r="G901" s="95">
        <f ca="1"/>
        <v>-1.456071908495496E-3</v>
      </c>
      <c r="H901" s="92" t="s">
        <v>4</v>
      </c>
      <c r="I901" s="97">
        <f>_xll.meDateFromTenor(I900,"1D","FOLLOWING","TGT")</f>
        <v>43783</v>
      </c>
      <c r="J901" s="95">
        <f ca="1"/>
        <v>-1.246993512137911E-4</v>
      </c>
      <c r="K901" s="5" t="s">
        <v>4</v>
      </c>
      <c r="L901" s="97">
        <f>_xll.meDateFromTenor(L900,"1D","FOLLOWING","TGT")</f>
        <v>43783</v>
      </c>
      <c r="M901" s="95">
        <f ca="1"/>
        <v>1.653021211626267E-3</v>
      </c>
      <c r="N901" s="5" t="s">
        <v>4</v>
      </c>
      <c r="O901" s="97">
        <f>_xll.meDateFromTenor(O900,"1D","FOLLOWING","TGT")</f>
        <v>43783</v>
      </c>
      <c r="P901" s="95">
        <f ca="1"/>
        <v>3.6652534481769706E-3</v>
      </c>
      <c r="Q901" s="5" t="s">
        <v>4</v>
      </c>
      <c r="R901" s="83" t="s">
        <v>4</v>
      </c>
    </row>
    <row r="902" spans="1:18" x14ac:dyDescent="0.25">
      <c r="A902" s="88">
        <v>888</v>
      </c>
      <c r="B902" s="82"/>
      <c r="C902" s="97">
        <f>_xll.meDateFromTenor(C901,"1D","FOLLOWING","TGT")</f>
        <v>43784</v>
      </c>
      <c r="D902" s="95">
        <f ca="1"/>
        <v>-2.19606025037411E-3</v>
      </c>
      <c r="E902" s="92"/>
      <c r="F902" s="97">
        <f>_xll.meDateFromTenor(F901,"1D","FOLLOWING","TGT")</f>
        <v>43784</v>
      </c>
      <c r="G902" s="95">
        <f ca="1"/>
        <v>-1.4504234937366075E-3</v>
      </c>
      <c r="H902" s="92" t="s">
        <v>4</v>
      </c>
      <c r="I902" s="97">
        <f>_xll.meDateFromTenor(I901,"1D","FOLLOWING","TGT")</f>
        <v>43784</v>
      </c>
      <c r="J902" s="95">
        <f ca="1"/>
        <v>-1.1936159816385601E-4</v>
      </c>
      <c r="K902" s="5" t="s">
        <v>4</v>
      </c>
      <c r="L902" s="97">
        <f>_xll.meDateFromTenor(L901,"1D","FOLLOWING","TGT")</f>
        <v>43784</v>
      </c>
      <c r="M902" s="95">
        <f ca="1"/>
        <v>1.6588192887771532E-3</v>
      </c>
      <c r="N902" s="5" t="s">
        <v>4</v>
      </c>
      <c r="O902" s="97">
        <f>_xll.meDateFromTenor(O901,"1D","FOLLOWING","TGT")</f>
        <v>43784</v>
      </c>
      <c r="P902" s="95">
        <f ca="1"/>
        <v>3.6708233549594947E-3</v>
      </c>
      <c r="Q902" s="5" t="s">
        <v>4</v>
      </c>
      <c r="R902" s="83" t="s">
        <v>4</v>
      </c>
    </row>
    <row r="903" spans="1:18" x14ac:dyDescent="0.25">
      <c r="A903" s="88">
        <v>889</v>
      </c>
      <c r="B903" s="82"/>
      <c r="C903" s="97">
        <f>_xll.meDateFromTenor(C902,"1D","FOLLOWING","TGT")</f>
        <v>43787</v>
      </c>
      <c r="D903" s="95">
        <f ca="1"/>
        <v>-2.1815315558687542E-3</v>
      </c>
      <c r="E903" s="92"/>
      <c r="F903" s="97">
        <f>_xll.meDateFromTenor(F902,"1D","FOLLOWING","TGT")</f>
        <v>43787</v>
      </c>
      <c r="G903" s="95">
        <f ca="1"/>
        <v>-1.433277230307495E-3</v>
      </c>
      <c r="H903" s="92" t="s">
        <v>4</v>
      </c>
      <c r="I903" s="97">
        <f>_xll.meDateFromTenor(I902,"1D","FOLLOWING","TGT")</f>
        <v>43787</v>
      </c>
      <c r="J903" s="95">
        <f ca="1"/>
        <v>-1.0332601906617231E-4</v>
      </c>
      <c r="K903" s="5" t="s">
        <v>4</v>
      </c>
      <c r="L903" s="97">
        <f>_xll.meDateFromTenor(L902,"1D","FOLLOWING","TGT")</f>
        <v>43787</v>
      </c>
      <c r="M903" s="95">
        <f ca="1"/>
        <v>1.6762285651649299E-3</v>
      </c>
      <c r="N903" s="5" t="s">
        <v>4</v>
      </c>
      <c r="O903" s="97">
        <f>_xll.meDateFromTenor(O902,"1D","FOLLOWING","TGT")</f>
        <v>43787</v>
      </c>
      <c r="P903" s="95">
        <f ca="1"/>
        <v>3.6875488335645157E-3</v>
      </c>
      <c r="Q903" s="5" t="s">
        <v>4</v>
      </c>
      <c r="R903" s="83" t="s">
        <v>4</v>
      </c>
    </row>
    <row r="904" spans="1:18" x14ac:dyDescent="0.25">
      <c r="A904" s="88">
        <v>890</v>
      </c>
      <c r="B904" s="82"/>
      <c r="C904" s="97">
        <f>_xll.meDateFromTenor(C903,"1D","FOLLOWING","TGT")</f>
        <v>43788</v>
      </c>
      <c r="D904" s="95">
        <f ca="1"/>
        <v>-2.1766866245204186E-3</v>
      </c>
      <c r="E904" s="92"/>
      <c r="F904" s="97">
        <f>_xll.meDateFromTenor(F903,"1D","FOLLOWING","TGT")</f>
        <v>43788</v>
      </c>
      <c r="G904" s="95">
        <f ca="1"/>
        <v>-1.4275015930767054E-3</v>
      </c>
      <c r="H904" s="92" t="s">
        <v>4</v>
      </c>
      <c r="I904" s="97">
        <f>_xll.meDateFromTenor(I903,"1D","FOLLOWING","TGT")</f>
        <v>43788</v>
      </c>
      <c r="J904" s="95">
        <f ca="1"/>
        <v>-9.7973360707158904E-5</v>
      </c>
      <c r="K904" s="5" t="s">
        <v>4</v>
      </c>
      <c r="L904" s="97">
        <f>_xll.meDateFromTenor(L903,"1D","FOLLOWING","TGT")</f>
        <v>43788</v>
      </c>
      <c r="M904" s="95">
        <f ca="1"/>
        <v>1.6820366709729827E-3</v>
      </c>
      <c r="N904" s="5" t="s">
        <v>4</v>
      </c>
      <c r="O904" s="97">
        <f>_xll.meDateFromTenor(O903,"1D","FOLLOWING","TGT")</f>
        <v>43788</v>
      </c>
      <c r="P904" s="95">
        <f ca="1"/>
        <v>3.6931292892916261E-3</v>
      </c>
      <c r="Q904" s="5" t="s">
        <v>4</v>
      </c>
      <c r="R904" s="83" t="s">
        <v>4</v>
      </c>
    </row>
    <row r="905" spans="1:18" x14ac:dyDescent="0.25">
      <c r="A905" s="88">
        <v>891</v>
      </c>
      <c r="B905" s="82"/>
      <c r="C905" s="97">
        <f>_xll.meDateFromTenor(C904,"1D","FOLLOWING","TGT")</f>
        <v>43789</v>
      </c>
      <c r="D905" s="95">
        <f ca="1"/>
        <v>-2.171840676225556E-3</v>
      </c>
      <c r="E905" s="92"/>
      <c r="F905" s="97">
        <f>_xll.meDateFromTenor(F904,"1D","FOLLOWING","TGT")</f>
        <v>43789</v>
      </c>
      <c r="G905" s="95">
        <f ca="1"/>
        <v>-1.4216992429502387E-3</v>
      </c>
      <c r="H905" s="92" t="s">
        <v>4</v>
      </c>
      <c r="I905" s="97">
        <f>_xll.meDateFromTenor(I904,"1D","FOLLOWING","TGT")</f>
        <v>43789</v>
      </c>
      <c r="J905" s="95">
        <f ca="1"/>
        <v>-9.2616957013007262E-5</v>
      </c>
      <c r="K905" s="5" t="s">
        <v>4</v>
      </c>
      <c r="L905" s="97">
        <f>_xll.meDateFromTenor(L904,"1D","FOLLOWING","TGT")</f>
        <v>43789</v>
      </c>
      <c r="M905" s="95">
        <f ca="1"/>
        <v>1.6878472829706416E-3</v>
      </c>
      <c r="N905" s="5" t="s">
        <v>4</v>
      </c>
      <c r="O905" s="97">
        <f>_xll.meDateFromTenor(O904,"1D","FOLLOWING","TGT")</f>
        <v>43789</v>
      </c>
      <c r="P905" s="95">
        <f ca="1"/>
        <v>3.6987124148345962E-3</v>
      </c>
      <c r="Q905" s="5" t="s">
        <v>4</v>
      </c>
      <c r="R905" s="83" t="s">
        <v>4</v>
      </c>
    </row>
    <row r="906" spans="1:18" x14ac:dyDescent="0.25">
      <c r="A906" s="88">
        <v>892</v>
      </c>
      <c r="B906" s="82"/>
      <c r="C906" s="97">
        <f>_xll.meDateFromTenor(C905,"1D","FOLLOWING","TGT")</f>
        <v>43790</v>
      </c>
      <c r="D906" s="95">
        <f ca="1"/>
        <v>-2.1669937111291615E-3</v>
      </c>
      <c r="E906" s="92"/>
      <c r="F906" s="97">
        <f>_xll.meDateFromTenor(F905,"1D","FOLLOWING","TGT")</f>
        <v>43790</v>
      </c>
      <c r="G906" s="95">
        <f ca="1"/>
        <v>-1.4158722170170143E-3</v>
      </c>
      <c r="H906" s="92" t="s">
        <v>4</v>
      </c>
      <c r="I906" s="97">
        <f>_xll.meDateFromTenor(I905,"1D","FOLLOWING","TGT")</f>
        <v>43790</v>
      </c>
      <c r="J906" s="95">
        <f ca="1"/>
        <v>-8.7256800380569905E-5</v>
      </c>
      <c r="K906" s="5" t="s">
        <v>4</v>
      </c>
      <c r="L906" s="97">
        <f>_xll.meDateFromTenor(L905,"1D","FOLLOWING","TGT")</f>
        <v>43790</v>
      </c>
      <c r="M906" s="95">
        <f ca="1"/>
        <v>1.6936604007680332E-3</v>
      </c>
      <c r="N906" s="5" t="s">
        <v>4</v>
      </c>
      <c r="O906" s="97">
        <f>_xll.meDateFromTenor(O905,"1D","FOLLOWING","TGT")</f>
        <v>43790</v>
      </c>
      <c r="P906" s="95">
        <f ca="1"/>
        <v>3.7042982232253136E-3</v>
      </c>
      <c r="Q906" s="5" t="s">
        <v>4</v>
      </c>
      <c r="R906" s="83" t="s">
        <v>4</v>
      </c>
    </row>
    <row r="907" spans="1:18" x14ac:dyDescent="0.25">
      <c r="A907" s="88">
        <v>893</v>
      </c>
      <c r="B907" s="82"/>
      <c r="C907" s="97">
        <f>_xll.meDateFromTenor(C906,"1D","FOLLOWING","TGT")</f>
        <v>43791</v>
      </c>
      <c r="D907" s="95">
        <f ca="1"/>
        <v>-2.1621457285786461E-3</v>
      </c>
      <c r="E907" s="92"/>
      <c r="F907" s="97">
        <f>_xll.meDateFromTenor(F906,"1D","FOLLOWING","TGT")</f>
        <v>43791</v>
      </c>
      <c r="G907" s="95">
        <f ca="1"/>
        <v>-1.4100225523659513E-3</v>
      </c>
      <c r="H907" s="92" t="s">
        <v>4</v>
      </c>
      <c r="I907" s="97">
        <f>_xll.meDateFromTenor(I906,"1D","FOLLOWING","TGT")</f>
        <v>43791</v>
      </c>
      <c r="J907" s="95">
        <f ca="1"/>
        <v>-8.189288320669938E-5</v>
      </c>
      <c r="K907" s="5" t="s">
        <v>4</v>
      </c>
      <c r="L907" s="97">
        <f>_xll.meDateFromTenor(L906,"1D","FOLLOWING","TGT")</f>
        <v>43791</v>
      </c>
      <c r="M907" s="95">
        <f ca="1"/>
        <v>1.699476023975283E-3</v>
      </c>
      <c r="N907" s="5" t="s">
        <v>4</v>
      </c>
      <c r="O907" s="97">
        <f>_xll.meDateFromTenor(O906,"1D","FOLLOWING","TGT")</f>
        <v>43791</v>
      </c>
      <c r="P907" s="95">
        <f ca="1"/>
        <v>3.7098867274956617E-3</v>
      </c>
      <c r="Q907" s="5" t="s">
        <v>4</v>
      </c>
      <c r="R907" s="83" t="s">
        <v>4</v>
      </c>
    </row>
    <row r="908" spans="1:18" x14ac:dyDescent="0.25">
      <c r="A908" s="88">
        <v>894</v>
      </c>
      <c r="B908" s="82"/>
      <c r="C908" s="97">
        <f>_xll.meDateFromTenor(C907,"1D","FOLLOWING","TGT")</f>
        <v>43794</v>
      </c>
      <c r="D908" s="95">
        <f ca="1"/>
        <v>-2.1475956756971115E-3</v>
      </c>
      <c r="E908" s="92"/>
      <c r="F908" s="97">
        <f>_xll.meDateFromTenor(F907,"1D","FOLLOWING","TGT")</f>
        <v>43794</v>
      </c>
      <c r="G908" s="95">
        <f ca="1"/>
        <v>-1.3923580969949256E-3</v>
      </c>
      <c r="H908" s="92" t="s">
        <v>4</v>
      </c>
      <c r="I908" s="97">
        <f>_xll.meDateFromTenor(I907,"1D","FOLLOWING","TGT")</f>
        <v>43794</v>
      </c>
      <c r="J908" s="95">
        <f ca="1"/>
        <v>-6.5778492405014975E-5</v>
      </c>
      <c r="K908" s="5" t="s">
        <v>4</v>
      </c>
      <c r="L908" s="97">
        <f>_xll.meDateFromTenor(L907,"1D","FOLLOWING","TGT")</f>
        <v>43794</v>
      </c>
      <c r="M908" s="95">
        <f ca="1"/>
        <v>1.7169379221574407E-3</v>
      </c>
      <c r="N908" s="5" t="s">
        <v>4</v>
      </c>
      <c r="O908" s="97">
        <f>_xll.meDateFromTenor(O907,"1D","FOLLOWING","TGT")</f>
        <v>43794</v>
      </c>
      <c r="P908" s="95">
        <f ca="1"/>
        <v>3.7266685459033501E-3</v>
      </c>
      <c r="Q908" s="5" t="s">
        <v>4</v>
      </c>
      <c r="R908" s="83" t="s">
        <v>4</v>
      </c>
    </row>
    <row r="909" spans="1:18" x14ac:dyDescent="0.25">
      <c r="A909" s="88">
        <v>895</v>
      </c>
      <c r="B909" s="82"/>
      <c r="C909" s="97">
        <f>_xll.meDateFromTenor(C908,"1D","FOLLOWING","TGT")</f>
        <v>43795</v>
      </c>
      <c r="D909" s="95">
        <f ca="1"/>
        <v>-2.1427436221470586E-3</v>
      </c>
      <c r="E909" s="92"/>
      <c r="F909" s="97">
        <f>_xll.meDateFromTenor(F908,"1D","FOLLOWING","TGT")</f>
        <v>43795</v>
      </c>
      <c r="G909" s="95">
        <f ca="1"/>
        <v>-1.3864382483617015E-3</v>
      </c>
      <c r="H909" s="92" t="s">
        <v>4</v>
      </c>
      <c r="I909" s="97">
        <f>_xll.meDateFromTenor(I908,"1D","FOLLOWING","TGT")</f>
        <v>43795</v>
      </c>
      <c r="J909" s="95">
        <f ca="1"/>
        <v>-6.0399457033937113E-5</v>
      </c>
      <c r="K909" s="5" t="s">
        <v>4</v>
      </c>
      <c r="L909" s="97">
        <f>_xll.meDateFromTenor(L908,"1D","FOLLOWING","TGT")</f>
        <v>43795</v>
      </c>
      <c r="M909" s="95">
        <f ca="1"/>
        <v>1.7227635631053833E-3</v>
      </c>
      <c r="N909" s="5" t="s">
        <v>4</v>
      </c>
      <c r="O909" s="97">
        <f>_xll.meDateFromTenor(O908,"1D","FOLLOWING","TGT")</f>
        <v>43795</v>
      </c>
      <c r="P909" s="95">
        <f ca="1"/>
        <v>3.7322679640110789E-3</v>
      </c>
      <c r="Q909" s="5" t="s">
        <v>4</v>
      </c>
      <c r="R909" s="83" t="s">
        <v>4</v>
      </c>
    </row>
    <row r="910" spans="1:18" x14ac:dyDescent="0.25">
      <c r="A910" s="88">
        <v>896</v>
      </c>
      <c r="B910" s="82"/>
      <c r="C910" s="97">
        <f>_xll.meDateFromTenor(C909,"1D","FOLLOWING","TGT")</f>
        <v>43796</v>
      </c>
      <c r="D910" s="95">
        <f ca="1"/>
        <v>-2.137890550750976E-3</v>
      </c>
      <c r="E910" s="92"/>
      <c r="F910" s="97">
        <f>_xll.meDateFromTenor(F909,"1D","FOLLOWING","TGT")</f>
        <v>43796</v>
      </c>
      <c r="G910" s="95">
        <f ca="1"/>
        <v>-1.3805059464552364E-3</v>
      </c>
      <c r="H910" s="92" t="s">
        <v>4</v>
      </c>
      <c r="I910" s="97">
        <f>_xll.meDateFromTenor(I909,"1D","FOLLOWING","TGT")</f>
        <v>43796</v>
      </c>
      <c r="J910" s="95">
        <f ca="1"/>
        <v>-5.5016623105689614E-5</v>
      </c>
      <c r="K910" s="5" t="s">
        <v>4</v>
      </c>
      <c r="L910" s="97">
        <f>_xll.meDateFromTenor(L909,"1D","FOLLOWING","TGT")</f>
        <v>43796</v>
      </c>
      <c r="M910" s="95">
        <f ca="1"/>
        <v>1.7285917075138128E-3</v>
      </c>
      <c r="N910" s="5" t="s">
        <v>4</v>
      </c>
      <c r="O910" s="97">
        <f>_xll.meDateFromTenor(O909,"1D","FOLLOWING","TGT")</f>
        <v>43796</v>
      </c>
      <c r="P910" s="95">
        <f ca="1"/>
        <v>3.737870143157867E-3</v>
      </c>
      <c r="Q910" s="5" t="s">
        <v>4</v>
      </c>
      <c r="R910" s="83" t="s">
        <v>4</v>
      </c>
    </row>
    <row r="911" spans="1:18" x14ac:dyDescent="0.25">
      <c r="A911" s="88">
        <v>897</v>
      </c>
      <c r="B911" s="82"/>
      <c r="C911" s="97">
        <f>_xll.meDateFromTenor(C910,"1D","FOLLOWING","TGT")</f>
        <v>43797</v>
      </c>
      <c r="D911" s="95">
        <f ca="1"/>
        <v>-2.1330364606965135E-3</v>
      </c>
      <c r="E911" s="92"/>
      <c r="F911" s="97">
        <f>_xll.meDateFromTenor(F910,"1D","FOLLOWING","TGT")</f>
        <v>43797</v>
      </c>
      <c r="G911" s="95">
        <f ca="1"/>
        <v>-1.3745632283644474E-3</v>
      </c>
      <c r="H911" s="92" t="s">
        <v>4</v>
      </c>
      <c r="I911" s="97">
        <f>_xll.meDateFromTenor(I910,"1D","FOLLOWING","TGT")</f>
        <v>43797</v>
      </c>
      <c r="J911" s="95">
        <f ca="1"/>
        <v>-4.9629983017123284E-5</v>
      </c>
      <c r="K911" s="5" t="s">
        <v>4</v>
      </c>
      <c r="L911" s="97">
        <f>_xll.meDateFromTenor(L910,"1D","FOLLOWING","TGT")</f>
        <v>43797</v>
      </c>
      <c r="M911" s="95">
        <f ca="1"/>
        <v>1.7344223549928574E-3</v>
      </c>
      <c r="N911" s="5" t="s">
        <v>4</v>
      </c>
      <c r="O911" s="97">
        <f>_xll.meDateFromTenor(O910,"1D","FOLLOWING","TGT")</f>
        <v>43797</v>
      </c>
      <c r="P911" s="95">
        <f ca="1"/>
        <v>3.7434750963755998E-3</v>
      </c>
      <c r="Q911" s="5" t="s">
        <v>4</v>
      </c>
      <c r="R911" s="83" t="s">
        <v>4</v>
      </c>
    </row>
    <row r="912" spans="1:18" x14ac:dyDescent="0.25">
      <c r="A912" s="88">
        <v>898</v>
      </c>
      <c r="B912" s="82"/>
      <c r="C912" s="97">
        <f>_xll.meDateFromTenor(C911,"1D","FOLLOWING","TGT")</f>
        <v>43798</v>
      </c>
      <c r="D912" s="95">
        <f ca="1"/>
        <v>-2.1281813522084914E-3</v>
      </c>
      <c r="E912" s="92"/>
      <c r="F912" s="97">
        <f>_xll.meDateFromTenor(F911,"1D","FOLLOWING","TGT")</f>
        <v>43798</v>
      </c>
      <c r="G912" s="95">
        <f ca="1"/>
        <v>-1.3686121311782551E-3</v>
      </c>
      <c r="H912" s="92" t="s">
        <v>4</v>
      </c>
      <c r="I912" s="97">
        <f>_xll.meDateFromTenor(I911,"1D","FOLLOWING","TGT")</f>
        <v>43798</v>
      </c>
      <c r="J912" s="95">
        <f ca="1"/>
        <v>-4.4239529165091521E-5</v>
      </c>
      <c r="K912" s="5" t="s">
        <v>4</v>
      </c>
      <c r="L912" s="97">
        <f>_xll.meDateFromTenor(L911,"1D","FOLLOWING","TGT")</f>
        <v>43798</v>
      </c>
      <c r="M912" s="95">
        <f ca="1"/>
        <v>1.7402555051526417E-3</v>
      </c>
      <c r="N912" s="5" t="s">
        <v>4</v>
      </c>
      <c r="O912" s="97">
        <f>_xll.meDateFromTenor(O911,"1D","FOLLOWING","TGT")</f>
        <v>43798</v>
      </c>
      <c r="P912" s="95">
        <f ca="1"/>
        <v>3.7490828366961628E-3</v>
      </c>
      <c r="Q912" s="5" t="s">
        <v>4</v>
      </c>
      <c r="R912" s="83" t="s">
        <v>4</v>
      </c>
    </row>
    <row r="913" spans="1:18" x14ac:dyDescent="0.25">
      <c r="A913" s="88">
        <v>899</v>
      </c>
      <c r="B913" s="82"/>
      <c r="C913" s="97">
        <f>_xll.meDateFromTenor(C912,"1D","FOLLOWING","TGT")</f>
        <v>43801</v>
      </c>
      <c r="D913" s="95">
        <f ca="1"/>
        <v>-2.1136150990938019E-3</v>
      </c>
      <c r="E913" s="92"/>
      <c r="F913" s="97">
        <f>_xll.meDateFromTenor(F912,"1D","FOLLOWING","TGT")</f>
        <v>43801</v>
      </c>
      <c r="G913" s="95">
        <f ca="1"/>
        <v>-1.3507289359364499E-3</v>
      </c>
      <c r="H913" s="92" t="s">
        <v>4</v>
      </c>
      <c r="I913" s="97">
        <f>_xll.meDateFromTenor(I912,"1D","FOLLOWING","TGT")</f>
        <v>43801</v>
      </c>
      <c r="J913" s="95">
        <f ca="1"/>
        <v>-2.8045208996729015E-5</v>
      </c>
      <c r="K913" s="5" t="s">
        <v>4</v>
      </c>
      <c r="L913" s="97">
        <f>_xll.meDateFromTenor(L912,"1D","FOLLOWING","TGT")</f>
        <v>43801</v>
      </c>
      <c r="M913" s="95">
        <f ca="1"/>
        <v>1.757769967817694E-3</v>
      </c>
      <c r="N913" s="5" t="s">
        <v>4</v>
      </c>
      <c r="O913" s="97">
        <f>_xll.meDateFromTenor(O912,"1D","FOLLOWING","TGT")</f>
        <v>43801</v>
      </c>
      <c r="P913" s="95">
        <f ca="1"/>
        <v>3.7659229105936895E-3</v>
      </c>
      <c r="Q913" s="5" t="s">
        <v>4</v>
      </c>
      <c r="R913" s="83" t="s">
        <v>4</v>
      </c>
    </row>
    <row r="914" spans="1:18" x14ac:dyDescent="0.25">
      <c r="A914" s="88">
        <v>900</v>
      </c>
      <c r="B914" s="82"/>
      <c r="C914" s="97">
        <f>_xll.meDateFromTenor(C913,"1D","FOLLOWING","TGT")</f>
        <v>43802</v>
      </c>
      <c r="D914" s="95">
        <f ca="1"/>
        <v>-2.1087870275304788E-3</v>
      </c>
      <c r="E914" s="92"/>
      <c r="F914" s="97">
        <f>_xll.meDateFromTenor(F913,"1D","FOLLOWING","TGT")</f>
        <v>43802</v>
      </c>
      <c r="G914" s="95">
        <f ca="1"/>
        <v>-1.3447645160913576E-3</v>
      </c>
      <c r="H914" s="92" t="s">
        <v>4</v>
      </c>
      <c r="I914" s="97">
        <f>_xll.meDateFromTenor(I913,"1D","FOLLOWING","TGT")</f>
        <v>43802</v>
      </c>
      <c r="J914" s="95">
        <f ca="1"/>
        <v>-2.2639426945832713E-5</v>
      </c>
      <c r="K914" s="5" t="s">
        <v>4</v>
      </c>
      <c r="L914" s="97">
        <f>_xll.meDateFromTenor(L913,"1D","FOLLOWING","TGT")</f>
        <v>43802</v>
      </c>
      <c r="M914" s="95">
        <f ca="1"/>
        <v>1.7636131253325603E-3</v>
      </c>
      <c r="N914" s="5" t="s">
        <v>4</v>
      </c>
      <c r="O914" s="97">
        <f>_xll.meDateFromTenor(O913,"1D","FOLLOWING","TGT")</f>
        <v>43802</v>
      </c>
      <c r="P914" s="95">
        <f ca="1"/>
        <v>3.7715419296444285E-3</v>
      </c>
      <c r="Q914" s="5" t="s">
        <v>4</v>
      </c>
      <c r="R914" s="83" t="s">
        <v>4</v>
      </c>
    </row>
    <row r="915" spans="1:18" x14ac:dyDescent="0.25">
      <c r="A915" s="88">
        <v>901</v>
      </c>
      <c r="B915" s="82"/>
      <c r="C915" s="97">
        <f>_xll.meDateFromTenor(C914,"1D","FOLLOWING","TGT")</f>
        <v>43803</v>
      </c>
      <c r="D915" s="95">
        <f ca="1"/>
        <v>-2.1039890493288471E-3</v>
      </c>
      <c r="E915" s="92"/>
      <c r="F915" s="97">
        <f>_xll.meDateFromTenor(F914,"1D","FOLLOWING","TGT")</f>
        <v>43803</v>
      </c>
      <c r="G915" s="95">
        <f ca="1"/>
        <v>-1.3388008395965874E-3</v>
      </c>
      <c r="H915" s="92" t="s">
        <v>4</v>
      </c>
      <c r="I915" s="97">
        <f>_xll.meDateFromTenor(I914,"1D","FOLLOWING","TGT")</f>
        <v>43803</v>
      </c>
      <c r="J915" s="95">
        <f ca="1"/>
        <v>-1.722981043456552E-5</v>
      </c>
      <c r="K915" s="5" t="s">
        <v>4</v>
      </c>
      <c r="L915" s="97">
        <f>_xll.meDateFromTenor(L914,"1D","FOLLOWING","TGT")</f>
        <v>43803</v>
      </c>
      <c r="M915" s="95">
        <f ca="1"/>
        <v>1.7694587867639719E-3</v>
      </c>
      <c r="N915" s="5" t="s">
        <v>4</v>
      </c>
      <c r="O915" s="97">
        <f>_xll.meDateFromTenor(O914,"1D","FOLLOWING","TGT")</f>
        <v>43803</v>
      </c>
      <c r="P915" s="95">
        <f ca="1"/>
        <v>3.7771638009574241E-3</v>
      </c>
      <c r="Q915" s="5" t="s">
        <v>4</v>
      </c>
      <c r="R915" s="83" t="s">
        <v>4</v>
      </c>
    </row>
    <row r="916" spans="1:18" x14ac:dyDescent="0.25">
      <c r="A916" s="88">
        <v>902</v>
      </c>
      <c r="B916" s="82"/>
      <c r="C916" s="97">
        <f>_xll.meDateFromTenor(C915,"1D","FOLLOWING","TGT")</f>
        <v>43804</v>
      </c>
      <c r="D916" s="95">
        <f ca="1"/>
        <v>-2.0992211641254199E-3</v>
      </c>
      <c r="E916" s="92"/>
      <c r="F916" s="97">
        <f>_xll.meDateFromTenor(F915,"1D","FOLLOWING","TGT")</f>
        <v>43804</v>
      </c>
      <c r="G916" s="95">
        <f ca="1"/>
        <v>-1.3328388805421839E-3</v>
      </c>
      <c r="H916" s="92" t="s">
        <v>4</v>
      </c>
      <c r="I916" s="97">
        <f>_xll.meDateFromTenor(I915,"1D","FOLLOWING","TGT")</f>
        <v>43804</v>
      </c>
      <c r="J916" s="95">
        <f ca="1"/>
        <v>-1.1816369178609216E-5</v>
      </c>
      <c r="K916" s="5" t="s">
        <v>4</v>
      </c>
      <c r="L916" s="97">
        <f>_xll.meDateFromTenor(L915,"1D","FOLLOWING","TGT")</f>
        <v>43804</v>
      </c>
      <c r="M916" s="95">
        <f ca="1"/>
        <v>1.7753069549072331E-3</v>
      </c>
      <c r="N916" s="5" t="s">
        <v>4</v>
      </c>
      <c r="O916" s="97">
        <f>_xll.meDateFromTenor(O915,"1D","FOLLOWING","TGT")</f>
        <v>43804</v>
      </c>
      <c r="P916" s="95">
        <f ca="1"/>
        <v>3.7827885375645645E-3</v>
      </c>
      <c r="Q916" s="5" t="s">
        <v>4</v>
      </c>
      <c r="R916" s="83" t="s">
        <v>4</v>
      </c>
    </row>
    <row r="917" spans="1:18" x14ac:dyDescent="0.25">
      <c r="A917" s="88">
        <v>903</v>
      </c>
      <c r="B917" s="82"/>
      <c r="C917" s="97">
        <f>_xll.meDateFromTenor(C916,"1D","FOLLOWING","TGT")</f>
        <v>43805</v>
      </c>
      <c r="D917" s="95">
        <f ca="1"/>
        <v>-2.094483371152922E-3</v>
      </c>
      <c r="E917" s="92"/>
      <c r="F917" s="97">
        <f>_xll.meDateFromTenor(F916,"1D","FOLLOWING","TGT")</f>
        <v>43805</v>
      </c>
      <c r="G917" s="95">
        <f ca="1"/>
        <v>-1.3268796130181967E-3</v>
      </c>
      <c r="H917" s="92" t="s">
        <v>4</v>
      </c>
      <c r="I917" s="97">
        <f>_xll.meDateFromTenor(I916,"1D","FOLLOWING","TGT")</f>
        <v>43805</v>
      </c>
      <c r="J917" s="95">
        <f ca="1"/>
        <v>-6.3991128936490656E-6</v>
      </c>
      <c r="K917" s="5" t="s">
        <v>4</v>
      </c>
      <c r="L917" s="97">
        <f>_xll.meDateFromTenor(L916,"1D","FOLLOWING","TGT")</f>
        <v>43805</v>
      </c>
      <c r="M917" s="95">
        <f ca="1"/>
        <v>1.7811576325576452E-3</v>
      </c>
      <c r="N917" s="5" t="s">
        <v>4</v>
      </c>
      <c r="O917" s="97">
        <f>_xll.meDateFromTenor(O916,"1D","FOLLOWING","TGT")</f>
        <v>43805</v>
      </c>
      <c r="P917" s="95">
        <f ca="1"/>
        <v>3.7884161524977321E-3</v>
      </c>
      <c r="Q917" s="5" t="s">
        <v>4</v>
      </c>
      <c r="R917" s="83" t="s">
        <v>4</v>
      </c>
    </row>
    <row r="918" spans="1:18" x14ac:dyDescent="0.25">
      <c r="A918" s="88">
        <v>904</v>
      </c>
      <c r="B918" s="82"/>
      <c r="C918" s="97">
        <f>_xll.meDateFromTenor(C917,"1D","FOLLOWING","TGT")</f>
        <v>43808</v>
      </c>
      <c r="D918" s="95">
        <f ca="1"/>
        <v>-2.0804505425472408E-3</v>
      </c>
      <c r="E918" s="92"/>
      <c r="F918" s="97">
        <f>_xll.meDateFromTenor(F917,"1D","FOLLOWING","TGT")</f>
        <v>43808</v>
      </c>
      <c r="G918" s="95">
        <f ca="1"/>
        <v>-1.309027700529196E-3</v>
      </c>
      <c r="H918" s="92" t="s">
        <v>4</v>
      </c>
      <c r="I918" s="97">
        <f>_xll.meDateFromTenor(I917,"1D","FOLLOWING","TGT")</f>
        <v>43808</v>
      </c>
      <c r="J918" s="95">
        <f ca="1"/>
        <v>9.8754489784270816E-6</v>
      </c>
      <c r="K918" s="5" t="s">
        <v>4</v>
      </c>
      <c r="L918" s="97">
        <f>_xll.meDateFromTenor(L917,"1D","FOLLOWING","TGT")</f>
        <v>43808</v>
      </c>
      <c r="M918" s="95">
        <f ca="1"/>
        <v>1.7987247505048176E-3</v>
      </c>
      <c r="N918" s="5" t="s">
        <v>4</v>
      </c>
      <c r="O918" s="97">
        <f>_xll.meDateFromTenor(O917,"1D","FOLLOWING","TGT")</f>
        <v>43808</v>
      </c>
      <c r="P918" s="95">
        <f ca="1"/>
        <v>3.8053163975722663E-3</v>
      </c>
      <c r="Q918" s="5" t="s">
        <v>4</v>
      </c>
      <c r="R918" s="83" t="s">
        <v>4</v>
      </c>
    </row>
    <row r="919" spans="1:18" x14ac:dyDescent="0.25">
      <c r="A919" s="88">
        <v>905</v>
      </c>
      <c r="B919" s="82"/>
      <c r="C919" s="97">
        <f>_xll.meDateFromTenor(C918,"1D","FOLLOWING","TGT")</f>
        <v>43809</v>
      </c>
      <c r="D919" s="95">
        <f ca="1"/>
        <v>-2.0758331147719966E-3</v>
      </c>
      <c r="E919" s="92"/>
      <c r="F919" s="97">
        <f>_xll.meDateFromTenor(F918,"1D","FOLLOWING","TGT")</f>
        <v>43809</v>
      </c>
      <c r="G919" s="95">
        <f ca="1"/>
        <v>-1.3030889400273413E-3</v>
      </c>
      <c r="H919" s="92" t="s">
        <v>4</v>
      </c>
      <c r="I919" s="97">
        <f>_xll.meDateFromTenor(I918,"1D","FOLLOWING","TGT")</f>
        <v>43809</v>
      </c>
      <c r="J919" s="95">
        <f ca="1"/>
        <v>1.5307868222571739E-5</v>
      </c>
      <c r="K919" s="5" t="s">
        <v>4</v>
      </c>
      <c r="L919" s="97">
        <f>_xll.meDateFromTenor(L918,"1D","FOLLOWING","TGT")</f>
        <v>43809</v>
      </c>
      <c r="M919" s="95">
        <f ca="1"/>
        <v>1.8045854941368617E-3</v>
      </c>
      <c r="N919" s="5" t="s">
        <v>4</v>
      </c>
      <c r="O919" s="97">
        <f>_xll.meDateFromTenor(O918,"1D","FOLLOWING","TGT")</f>
        <v>43809</v>
      </c>
      <c r="P919" s="95">
        <f ca="1"/>
        <v>3.8109556561284046E-3</v>
      </c>
      <c r="Q919" s="5" t="s">
        <v>4</v>
      </c>
      <c r="R919" s="83" t="s">
        <v>4</v>
      </c>
    </row>
    <row r="920" spans="1:18" x14ac:dyDescent="0.25">
      <c r="A920" s="88">
        <v>906</v>
      </c>
      <c r="B920" s="82"/>
      <c r="C920" s="97">
        <f>_xll.meDateFromTenor(C919,"1D","FOLLOWING","TGT")</f>
        <v>43810</v>
      </c>
      <c r="D920" s="95">
        <f ca="1"/>
        <v>-2.0712457771910886E-3</v>
      </c>
      <c r="E920" s="92"/>
      <c r="F920" s="97">
        <f>_xll.meDateFromTenor(F919,"1D","FOLLOWING","TGT")</f>
        <v>43810</v>
      </c>
      <c r="G920" s="95">
        <f ca="1"/>
        <v>-1.2971577415061373E-3</v>
      </c>
      <c r="H920" s="92" t="s">
        <v>4</v>
      </c>
      <c r="I920" s="97">
        <f>_xll.meDateFromTenor(I919,"1D","FOLLOWING","TGT")</f>
        <v>43810</v>
      </c>
      <c r="J920" s="95">
        <f ca="1"/>
        <v>2.074405391730349E-5</v>
      </c>
      <c r="K920" s="5" t="s">
        <v>4</v>
      </c>
      <c r="L920" s="97">
        <f>_xll.meDateFromTenor(L919,"1D","FOLLOWING","TGT")</f>
        <v>43810</v>
      </c>
      <c r="M920" s="95">
        <f ca="1"/>
        <v>1.8104487612525702E-3</v>
      </c>
      <c r="N920" s="5" t="s">
        <v>4</v>
      </c>
      <c r="O920" s="97">
        <f>_xll.meDateFromTenor(O919,"1D","FOLLOWING","TGT")</f>
        <v>43810</v>
      </c>
      <c r="P920" s="95">
        <f ca="1"/>
        <v>3.81659785817E-3</v>
      </c>
      <c r="Q920" s="5" t="s">
        <v>4</v>
      </c>
      <c r="R920" s="83" t="s">
        <v>4</v>
      </c>
    </row>
    <row r="921" spans="1:18" x14ac:dyDescent="0.25">
      <c r="A921" s="88">
        <v>907</v>
      </c>
      <c r="B921" s="82"/>
      <c r="C921" s="97">
        <f>_xll.meDateFromTenor(C920,"1D","FOLLOWING","TGT")</f>
        <v>43811</v>
      </c>
      <c r="D921" s="95">
        <f ca="1"/>
        <v>-2.0666885292210946E-3</v>
      </c>
      <c r="E921" s="92"/>
      <c r="F921" s="97">
        <f>_xll.meDateFromTenor(F920,"1D","FOLLOWING","TGT")</f>
        <v>43811</v>
      </c>
      <c r="G921" s="95">
        <f ca="1"/>
        <v>-1.2912350790556324E-3</v>
      </c>
      <c r="H921" s="92" t="s">
        <v>4</v>
      </c>
      <c r="I921" s="97">
        <f>_xll.meDateFromTenor(I920,"1D","FOLLOWING","TGT")</f>
        <v>43811</v>
      </c>
      <c r="J921" s="95">
        <f ca="1"/>
        <v>2.6183996346938811E-5</v>
      </c>
      <c r="K921" s="5" t="s">
        <v>4</v>
      </c>
      <c r="L921" s="97">
        <f>_xll.meDateFromTenor(L920,"1D","FOLLOWING","TGT")</f>
        <v>43811</v>
      </c>
      <c r="M921" s="95">
        <f ca="1"/>
        <v>1.8163145546472455E-3</v>
      </c>
      <c r="N921" s="5" t="s">
        <v>4</v>
      </c>
      <c r="O921" s="97">
        <f>_xll.meDateFromTenor(O920,"1D","FOLLOWING","TGT")</f>
        <v>43811</v>
      </c>
      <c r="P921" s="95">
        <f ca="1"/>
        <v>3.822243016728938E-3</v>
      </c>
      <c r="Q921" s="5" t="s">
        <v>4</v>
      </c>
      <c r="R921" s="83" t="s">
        <v>4</v>
      </c>
    </row>
    <row r="922" spans="1:18" x14ac:dyDescent="0.25">
      <c r="A922" s="88">
        <v>908</v>
      </c>
      <c r="B922" s="82"/>
      <c r="C922" s="97">
        <f>_xll.meDateFromTenor(C921,"1D","FOLLOWING","TGT")</f>
        <v>43812</v>
      </c>
      <c r="D922" s="95">
        <f ca="1"/>
        <v>-2.062161370515625E-3</v>
      </c>
      <c r="E922" s="92"/>
      <c r="F922" s="97">
        <f>_xll.meDateFromTenor(F921,"1D","FOLLOWING","TGT")</f>
        <v>43812</v>
      </c>
      <c r="G922" s="95">
        <f ca="1"/>
        <v>-1.2853219267658735E-3</v>
      </c>
      <c r="H922" s="92" t="s">
        <v>4</v>
      </c>
      <c r="I922" s="97">
        <f>_xll.meDateFromTenor(I921,"1D","FOLLOWING","TGT")</f>
        <v>43812</v>
      </c>
      <c r="J922" s="95">
        <f ca="1"/>
        <v>3.1627685795793296E-5</v>
      </c>
      <c r="K922" s="5" t="s">
        <v>4</v>
      </c>
      <c r="L922" s="97">
        <f>_xll.meDateFromTenor(L921,"1D","FOLLOWING","TGT")</f>
        <v>43812</v>
      </c>
      <c r="M922" s="95">
        <f ca="1"/>
        <v>1.8221828771161892E-3</v>
      </c>
      <c r="N922" s="5" t="s">
        <v>4</v>
      </c>
      <c r="O922" s="97">
        <f>_xll.meDateFromTenor(O921,"1D","FOLLOWING","TGT")</f>
        <v>43812</v>
      </c>
      <c r="P922" s="95">
        <f ca="1"/>
        <v>3.8278911448371014E-3</v>
      </c>
      <c r="Q922" s="5" t="s">
        <v>4</v>
      </c>
      <c r="R922" s="83" t="s">
        <v>4</v>
      </c>
    </row>
    <row r="923" spans="1:18" x14ac:dyDescent="0.25">
      <c r="A923" s="88">
        <v>909</v>
      </c>
      <c r="B923" s="82"/>
      <c r="C923" s="97">
        <f>_xll.meDateFromTenor(C922,"1D","FOLLOWING","TGT")</f>
        <v>43815</v>
      </c>
      <c r="D923" s="95">
        <f ca="1"/>
        <v>-2.0487604252831249E-3</v>
      </c>
      <c r="E923" s="92"/>
      <c r="F923" s="97">
        <f>_xll.meDateFromTenor(F922,"1D","FOLLOWING","TGT")</f>
        <v>43815</v>
      </c>
      <c r="G923" s="95">
        <f ca="1"/>
        <v>-1.2676492717615426E-3</v>
      </c>
      <c r="H923" s="92" t="s">
        <v>4</v>
      </c>
      <c r="I923" s="97">
        <f>_xll.meDateFromTenor(I922,"1D","FOLLOWING","TGT")</f>
        <v>43815</v>
      </c>
      <c r="J923" s="95">
        <f ca="1"/>
        <v>4.7981139100843542E-5</v>
      </c>
      <c r="K923" s="5" t="s">
        <v>4</v>
      </c>
      <c r="L923" s="97">
        <f>_xll.meDateFromTenor(L922,"1D","FOLLOWING","TGT")</f>
        <v>43815</v>
      </c>
      <c r="M923" s="95">
        <f ca="1"/>
        <v>1.8398030469216648E-3</v>
      </c>
      <c r="N923" s="5" t="s">
        <v>4</v>
      </c>
      <c r="O923" s="97">
        <f>_xll.meDateFromTenor(O922,"1D","FOLLOWING","TGT")</f>
        <v>43815</v>
      </c>
      <c r="P923" s="95">
        <f ca="1"/>
        <v>3.8448534767758138E-3</v>
      </c>
      <c r="Q923" s="5" t="s">
        <v>4</v>
      </c>
      <c r="R923" s="83" t="s">
        <v>4</v>
      </c>
    </row>
    <row r="924" spans="1:18" x14ac:dyDescent="0.25">
      <c r="A924" s="88">
        <v>910</v>
      </c>
      <c r="B924" s="82"/>
      <c r="C924" s="97">
        <f>_xll.meDateFromTenor(C923,"1D","FOLLOWING","TGT")</f>
        <v>43816</v>
      </c>
      <c r="D924" s="95">
        <f ca="1"/>
        <v>-2.0443536189188594E-3</v>
      </c>
      <c r="E924" s="92"/>
      <c r="F924" s="97">
        <f>_xll.meDateFromTenor(F923,"1D","FOLLOWING","TGT")</f>
        <v>43816</v>
      </c>
      <c r="G924" s="95">
        <f ca="1"/>
        <v>-1.2617839010152382E-3</v>
      </c>
      <c r="H924" s="92" t="s">
        <v>4</v>
      </c>
      <c r="I924" s="97">
        <f>_xll.meDateFromTenor(I923,"1D","FOLLOWING","TGT")</f>
        <v>43816</v>
      </c>
      <c r="J924" s="95">
        <f ca="1"/>
        <v>5.3439719469743874E-5</v>
      </c>
      <c r="K924" s="5" t="s">
        <v>4</v>
      </c>
      <c r="L924" s="97">
        <f>_xll.meDateFromTenor(L923,"1D","FOLLOWING","TGT")</f>
        <v>43816</v>
      </c>
      <c r="M924" s="95">
        <f ca="1"/>
        <v>1.8456815136407129E-3</v>
      </c>
      <c r="N924" s="5" t="s">
        <v>4</v>
      </c>
      <c r="O924" s="97">
        <f>_xll.meDateFromTenor(O923,"1D","FOLLOWING","TGT")</f>
        <v>43816</v>
      </c>
      <c r="P924" s="95">
        <f ca="1"/>
        <v>3.8505136133997436E-3</v>
      </c>
      <c r="Q924" s="5" t="s">
        <v>4</v>
      </c>
      <c r="R924" s="83" t="s">
        <v>4</v>
      </c>
    </row>
    <row r="925" spans="1:18" x14ac:dyDescent="0.25">
      <c r="A925" s="88">
        <v>911</v>
      </c>
      <c r="B925" s="82"/>
      <c r="C925" s="97">
        <f>_xll.meDateFromTenor(C924,"1D","FOLLOWING","TGT")</f>
        <v>43817</v>
      </c>
      <c r="D925" s="95">
        <f ca="1"/>
        <v>-2.0399768994471268E-3</v>
      </c>
      <c r="E925" s="92"/>
      <c r="F925" s="97">
        <f>_xll.meDateFromTenor(F924,"1D","FOLLOWING","TGT")</f>
        <v>43817</v>
      </c>
      <c r="G925" s="95">
        <f ca="1"/>
        <v>-1.2559329108799151E-3</v>
      </c>
      <c r="H925" s="92" t="s">
        <v>4</v>
      </c>
      <c r="I925" s="97">
        <f>_xll.meDateFromTenor(I924,"1D","FOLLOWING","TGT")</f>
        <v>43817</v>
      </c>
      <c r="J925" s="95">
        <f ca="1"/>
        <v>5.8901998279446612E-5</v>
      </c>
      <c r="K925" s="5" t="s">
        <v>4</v>
      </c>
      <c r="L925" s="97">
        <f>_xll.meDateFromTenor(L924,"1D","FOLLOWING","TGT")</f>
        <v>43817</v>
      </c>
      <c r="M925" s="95">
        <f ca="1"/>
        <v>1.8515625234105432E-3</v>
      </c>
      <c r="N925" s="5" t="s">
        <v>4</v>
      </c>
      <c r="O925" s="97">
        <f>_xll.meDateFromTenor(O924,"1D","FOLLOWING","TGT")</f>
        <v>43817</v>
      </c>
      <c r="P925" s="95">
        <f ca="1"/>
        <v>3.8561767847323271E-3</v>
      </c>
      <c r="Q925" s="5" t="s">
        <v>4</v>
      </c>
      <c r="R925" s="83" t="s">
        <v>4</v>
      </c>
    </row>
    <row r="926" spans="1:18" x14ac:dyDescent="0.25">
      <c r="A926" s="88">
        <v>912</v>
      </c>
      <c r="B926" s="82"/>
      <c r="C926" s="97">
        <f>_xll.meDateFromTenor(C925,"1D","FOLLOWING","TGT")</f>
        <v>43818</v>
      </c>
      <c r="D926" s="95">
        <f ca="1"/>
        <v>-2.0356302667442483E-3</v>
      </c>
      <c r="E926" s="92"/>
      <c r="F926" s="97">
        <f>_xll.meDateFromTenor(F925,"1D","FOLLOWING","TGT")</f>
        <v>43818</v>
      </c>
      <c r="G926" s="95">
        <f ca="1"/>
        <v>-1.2500972754456213E-3</v>
      </c>
      <c r="H926" s="92" t="s">
        <v>4</v>
      </c>
      <c r="I926" s="97">
        <f>_xll.meDateFromTenor(I925,"1D","FOLLOWING","TGT")</f>
        <v>43818</v>
      </c>
      <c r="J926" s="95">
        <f ca="1"/>
        <v>6.4367965814268231E-5</v>
      </c>
      <c r="K926" s="5" t="s">
        <v>4</v>
      </c>
      <c r="L926" s="97">
        <f>_xll.meDateFromTenor(L925,"1D","FOLLOWING","TGT")</f>
        <v>43818</v>
      </c>
      <c r="M926" s="95">
        <f ca="1"/>
        <v>1.8574460790264583E-3</v>
      </c>
      <c r="N926" s="5" t="s">
        <v>4</v>
      </c>
      <c r="O926" s="97">
        <f>_xll.meDateFromTenor(O925,"1D","FOLLOWING","TGT")</f>
        <v>43818</v>
      </c>
      <c r="P926" s="95">
        <f ca="1"/>
        <v>3.8618430038054523E-3</v>
      </c>
      <c r="Q926" s="5" t="s">
        <v>4</v>
      </c>
      <c r="R926" s="83" t="s">
        <v>4</v>
      </c>
    </row>
    <row r="927" spans="1:18" x14ac:dyDescent="0.25">
      <c r="A927" s="88">
        <v>913</v>
      </c>
      <c r="B927" s="82"/>
      <c r="C927" s="97">
        <f>_xll.meDateFromTenor(C926,"1D","FOLLOWING","TGT")</f>
        <v>43819</v>
      </c>
      <c r="D927" s="95">
        <f ca="1"/>
        <v>-2.0313137200058673E-3</v>
      </c>
      <c r="E927" s="92"/>
      <c r="F927" s="97">
        <f>_xll.meDateFromTenor(F926,"1D","FOLLOWING","TGT")</f>
        <v>43819</v>
      </c>
      <c r="G927" s="95">
        <f ca="1"/>
        <v>-1.2442779688024035E-3</v>
      </c>
      <c r="H927" s="92" t="s">
        <v>4</v>
      </c>
      <c r="I927" s="97">
        <f>_xll.meDateFromTenor(I926,"1D","FOLLOWING","TGT")</f>
        <v>43819</v>
      </c>
      <c r="J927" s="95">
        <f ca="1"/>
        <v>6.9837612358525245E-5</v>
      </c>
      <c r="K927" s="5" t="s">
        <v>4</v>
      </c>
      <c r="L927" s="97">
        <f>_xll.meDateFromTenor(L926,"1D","FOLLOWING","TGT")</f>
        <v>43819</v>
      </c>
      <c r="M927" s="95">
        <f ca="1"/>
        <v>1.8633321832837613E-3</v>
      </c>
      <c r="N927" s="5" t="s">
        <v>4</v>
      </c>
      <c r="O927" s="97">
        <f>_xll.meDateFromTenor(O926,"1D","FOLLOWING","TGT")</f>
        <v>43819</v>
      </c>
      <c r="P927" s="95">
        <f ca="1"/>
        <v>3.8675122836510038E-3</v>
      </c>
      <c r="Q927" s="5" t="s">
        <v>4</v>
      </c>
      <c r="R927" s="83" t="s">
        <v>4</v>
      </c>
    </row>
    <row r="928" spans="1:18" x14ac:dyDescent="0.25">
      <c r="A928" s="88">
        <v>914</v>
      </c>
      <c r="B928" s="82"/>
      <c r="C928" s="97">
        <f>_xll.meDateFromTenor(C927,"1D","FOLLOWING","TGT")</f>
        <v>43822</v>
      </c>
      <c r="D928" s="95">
        <f ca="1"/>
        <v>-2.0185445916807154E-3</v>
      </c>
      <c r="E928" s="92"/>
      <c r="F928" s="97">
        <f>_xll.meDateFromTenor(F927,"1D","FOLLOWING","TGT")</f>
        <v>43822</v>
      </c>
      <c r="G928" s="95">
        <f ca="1"/>
        <v>-1.2269277625196805E-3</v>
      </c>
      <c r="H928" s="92" t="s">
        <v>4</v>
      </c>
      <c r="I928" s="97">
        <f>_xll.meDateFromTenor(I927,"1D","FOLLOWING","TGT")</f>
        <v>43822</v>
      </c>
      <c r="J928" s="95">
        <f ca="1"/>
        <v>8.6268528891072398E-5</v>
      </c>
      <c r="K928" s="5" t="s">
        <v>4</v>
      </c>
      <c r="L928" s="97">
        <f>_xll.meDateFromTenor(L927,"1D","FOLLOWING","TGT")</f>
        <v>43822</v>
      </c>
      <c r="M928" s="95">
        <f ca="1"/>
        <v>1.8810058158570191E-3</v>
      </c>
      <c r="N928" s="5" t="s">
        <v>4</v>
      </c>
      <c r="O928" s="97">
        <f>_xll.meDateFromTenor(O927,"1D","FOLLOWING","TGT")</f>
        <v>43822</v>
      </c>
      <c r="P928" s="95">
        <f ca="1"/>
        <v>3.884538618141066E-3</v>
      </c>
      <c r="Q928" s="5" t="s">
        <v>4</v>
      </c>
      <c r="R928" s="83" t="s">
        <v>4</v>
      </c>
    </row>
    <row r="929" spans="1:18" x14ac:dyDescent="0.25">
      <c r="A929" s="88">
        <v>915</v>
      </c>
      <c r="B929" s="82"/>
      <c r="C929" s="97">
        <f>_xll.meDateFromTenor(C928,"1D","FOLLOWING","TGT")</f>
        <v>43823</v>
      </c>
      <c r="D929" s="95">
        <f ca="1"/>
        <v>-2.0143483850891819E-3</v>
      </c>
      <c r="E929" s="92"/>
      <c r="F929" s="97">
        <f>_xll.meDateFromTenor(F928,"1D","FOLLOWING","TGT")</f>
        <v>43823</v>
      </c>
      <c r="G929" s="95">
        <f ca="1"/>
        <v>-1.2211835119412403E-3</v>
      </c>
      <c r="H929" s="92" t="s">
        <v>4</v>
      </c>
      <c r="I929" s="97">
        <f>_xll.meDateFromTenor(I928,"1D","FOLLOWING","TGT")</f>
        <v>43823</v>
      </c>
      <c r="J929" s="95">
        <f ca="1"/>
        <v>9.1752794316234774E-5</v>
      </c>
      <c r="K929" s="5" t="s">
        <v>4</v>
      </c>
      <c r="L929" s="97">
        <f>_xll.meDateFromTenor(L928,"1D","FOLLOWING","TGT")</f>
        <v>43823</v>
      </c>
      <c r="M929" s="95">
        <f ca="1"/>
        <v>1.8869021426328966E-3</v>
      </c>
      <c r="N929" s="5" t="s">
        <v>4</v>
      </c>
      <c r="O929" s="97">
        <f>_xll.meDateFromTenor(O928,"1D","FOLLOWING","TGT")</f>
        <v>43823</v>
      </c>
      <c r="P929" s="95">
        <f ca="1"/>
        <v>3.8902202713951757E-3</v>
      </c>
      <c r="Q929" s="5" t="s">
        <v>4</v>
      </c>
      <c r="R929" s="83" t="s">
        <v>4</v>
      </c>
    </row>
    <row r="930" spans="1:18" x14ac:dyDescent="0.25">
      <c r="A930" s="88">
        <v>916</v>
      </c>
      <c r="B930" s="82"/>
      <c r="C930" s="97">
        <f>_xll.meDateFromTenor(C929,"1D","FOLLOWING","TGT")</f>
        <v>43826</v>
      </c>
      <c r="D930" s="95">
        <f ca="1"/>
        <v>-2.0019402660818031E-3</v>
      </c>
      <c r="E930" s="92"/>
      <c r="F930" s="97">
        <f>_xll.meDateFromTenor(F929,"1D","FOLLOWING","TGT")</f>
        <v>43826</v>
      </c>
      <c r="G930" s="95">
        <f ca="1"/>
        <v>-1.2040818520139798E-3</v>
      </c>
      <c r="H930" s="92" t="s">
        <v>4</v>
      </c>
      <c r="I930" s="97">
        <f>_xll.meDateFromTenor(I929,"1D","FOLLOWING","TGT")</f>
        <v>43826</v>
      </c>
      <c r="J930" s="95">
        <f ca="1"/>
        <v>1.0822733431509701E-4</v>
      </c>
      <c r="K930" s="5" t="s">
        <v>4</v>
      </c>
      <c r="L930" s="97">
        <f>_xll.meDateFromTenor(L929,"1D","FOLLOWING","TGT")</f>
        <v>43826</v>
      </c>
      <c r="M930" s="95">
        <f ca="1"/>
        <v>1.9046065098491437E-3</v>
      </c>
      <c r="N930" s="5" t="s">
        <v>4</v>
      </c>
      <c r="O930" s="97">
        <f>_xll.meDateFromTenor(O929,"1D","FOLLOWING","TGT")</f>
        <v>43826</v>
      </c>
      <c r="P930" s="95">
        <f ca="1"/>
        <v>3.9072840388761701E-3</v>
      </c>
      <c r="Q930" s="5" t="s">
        <v>4</v>
      </c>
      <c r="R930" s="83" t="s">
        <v>4</v>
      </c>
    </row>
    <row r="931" spans="1:18" x14ac:dyDescent="0.25">
      <c r="A931" s="88">
        <v>917</v>
      </c>
      <c r="B931" s="82"/>
      <c r="C931" s="97">
        <f>_xll.meDateFromTenor(C930,"1D","FOLLOWING","TGT")</f>
        <v>43829</v>
      </c>
      <c r="D931" s="95">
        <f ca="1"/>
        <v>-1.9898028898980291E-3</v>
      </c>
      <c r="E931" s="92"/>
      <c r="F931" s="97">
        <f>_xll.meDateFromTenor(F930,"1D","FOLLOWING","TGT")</f>
        <v>43829</v>
      </c>
      <c r="G931" s="95">
        <f ca="1"/>
        <v>-1.1871972856898035E-3</v>
      </c>
      <c r="H931" s="92" t="s">
        <v>4</v>
      </c>
      <c r="I931" s="97">
        <f>_xll.meDateFromTenor(I930,"1D","FOLLOWING","TGT")</f>
        <v>43829</v>
      </c>
      <c r="J931" s="95">
        <f ca="1"/>
        <v>1.2473428586966389E-4</v>
      </c>
      <c r="K931" s="5" t="s">
        <v>4</v>
      </c>
      <c r="L931" s="97">
        <f>_xll.meDateFromTenor(L930,"1D","FOLLOWING","TGT")</f>
        <v>43829</v>
      </c>
      <c r="M931" s="95">
        <f ca="1"/>
        <v>1.9223340160996634E-3</v>
      </c>
      <c r="N931" s="5" t="s">
        <v>4</v>
      </c>
      <c r="O931" s="97">
        <f>_xll.meDateFromTenor(O930,"1D","FOLLOWING","TGT")</f>
        <v>43829</v>
      </c>
      <c r="P931" s="95">
        <f ca="1"/>
        <v>3.9243762916047554E-3</v>
      </c>
      <c r="Q931" s="5" t="s">
        <v>4</v>
      </c>
      <c r="R931" s="83" t="s">
        <v>4</v>
      </c>
    </row>
    <row r="932" spans="1:18" x14ac:dyDescent="0.25">
      <c r="A932" s="88">
        <v>918</v>
      </c>
      <c r="B932" s="82"/>
      <c r="C932" s="97">
        <f>_xll.meDateFromTenor(C931,"1D","FOLLOWING","TGT")</f>
        <v>43830</v>
      </c>
      <c r="D932" s="95">
        <f ca="1"/>
        <v>-1.9804023094630585E-3</v>
      </c>
      <c r="E932" s="92"/>
      <c r="F932" s="97">
        <f>_xll.meDateFromTenor(F931,"1D","FOLLOWING","TGT")</f>
        <v>43830</v>
      </c>
      <c r="G932" s="95">
        <f ca="1"/>
        <v>-1.1816218856915406E-3</v>
      </c>
      <c r="H932" s="92" t="s">
        <v>4</v>
      </c>
      <c r="I932" s="97">
        <f>_xll.meDateFromTenor(I931,"1D","FOLLOWING","TGT")</f>
        <v>43830</v>
      </c>
      <c r="J932" s="95">
        <f ca="1"/>
        <v>1.302437602825965E-4</v>
      </c>
      <c r="K932" s="5" t="s">
        <v>4</v>
      </c>
      <c r="L932" s="97">
        <f>_xll.meDateFromTenor(L931,"1D","FOLLOWING","TGT")</f>
        <v>43830</v>
      </c>
      <c r="M932" s="95">
        <f ca="1"/>
        <v>1.9282483399021971E-3</v>
      </c>
      <c r="N932" s="5" t="s">
        <v>4</v>
      </c>
      <c r="O932" s="97">
        <f>_xll.meDateFromTenor(O931,"1D","FOLLOWING","TGT")</f>
        <v>43830</v>
      </c>
      <c r="P932" s="95">
        <f ca="1"/>
        <v>3.9300801000514357E-3</v>
      </c>
      <c r="Q932" s="5" t="s">
        <v>4</v>
      </c>
      <c r="R932" s="83" t="s">
        <v>4</v>
      </c>
    </row>
    <row r="933" spans="1:18" x14ac:dyDescent="0.25">
      <c r="A933" s="88">
        <v>919</v>
      </c>
      <c r="B933" s="82"/>
      <c r="C933" s="97">
        <f>_xll.meDateFromTenor(C932,"1D","FOLLOWING","TGT")</f>
        <v>43832</v>
      </c>
      <c r="D933" s="95">
        <f ca="1"/>
        <v>-1.972564012534983E-3</v>
      </c>
      <c r="E933" s="92"/>
      <c r="F933" s="97">
        <f>_xll.meDateFromTenor(F932,"1D","FOLLOWING","TGT")</f>
        <v>43832</v>
      </c>
      <c r="G933" s="95">
        <f ca="1"/>
        <v>-1.1705861879975678E-3</v>
      </c>
      <c r="H933" s="92" t="s">
        <v>4</v>
      </c>
      <c r="I933" s="97">
        <f>_xll.meDateFromTenor(I932,"1D","FOLLOWING","TGT")</f>
        <v>43832</v>
      </c>
      <c r="J933" s="95">
        <f ca="1"/>
        <v>1.412432317221966E-4</v>
      </c>
      <c r="K933" s="5" t="s">
        <v>4</v>
      </c>
      <c r="L933" s="97">
        <f>_xll.meDateFromTenor(L932,"1D","FOLLOWING","TGT")</f>
        <v>43832</v>
      </c>
      <c r="M933" s="95">
        <f ca="1"/>
        <v>1.9400523828832002E-3</v>
      </c>
      <c r="N933" s="5" t="s">
        <v>4</v>
      </c>
      <c r="O933" s="97">
        <f>_xll.meDateFromTenor(O932,"1D","FOLLOWING","TGT")</f>
        <v>43832</v>
      </c>
      <c r="P933" s="95">
        <f ca="1"/>
        <v>3.9414661690573317E-3</v>
      </c>
      <c r="Q933" s="5" t="s">
        <v>4</v>
      </c>
      <c r="R933" s="83" t="s">
        <v>4</v>
      </c>
    </row>
    <row r="934" spans="1:18" x14ac:dyDescent="0.25">
      <c r="A934" s="88">
        <v>920</v>
      </c>
      <c r="B934" s="82"/>
      <c r="C934" s="97">
        <f>_xll.meDateFromTenor(C933,"1D","FOLLOWING","TGT")</f>
        <v>43833</v>
      </c>
      <c r="D934" s="95">
        <f ca="1"/>
        <v>-1.9686896157884437E-3</v>
      </c>
      <c r="E934" s="92"/>
      <c r="F934" s="97">
        <f>_xll.meDateFromTenor(F933,"1D","FOLLOWING","TGT")</f>
        <v>43833</v>
      </c>
      <c r="G934" s="95">
        <f ca="1"/>
        <v>-1.1651119426999293E-3</v>
      </c>
      <c r="H934" s="92" t="s">
        <v>4</v>
      </c>
      <c r="I934" s="97">
        <f>_xll.meDateFromTenor(I933,"1D","FOLLOWING","TGT")</f>
        <v>43833</v>
      </c>
      <c r="J934" s="95">
        <f ca="1"/>
        <v>1.467482578229032E-4</v>
      </c>
      <c r="K934" s="5" t="s">
        <v>4</v>
      </c>
      <c r="L934" s="97">
        <f>_xll.meDateFromTenor(L933,"1D","FOLLOWING","TGT")</f>
        <v>43833</v>
      </c>
      <c r="M934" s="95">
        <f ca="1"/>
        <v>1.9459582634458255E-3</v>
      </c>
      <c r="N934" s="5" t="s">
        <v>4</v>
      </c>
      <c r="O934" s="97">
        <f>_xll.meDateFromTenor(O933,"1D","FOLLOWING","TGT")</f>
        <v>43833</v>
      </c>
      <c r="P934" s="95">
        <f ca="1"/>
        <v>3.9471640352721563E-3</v>
      </c>
      <c r="Q934" s="5" t="s">
        <v>4</v>
      </c>
      <c r="R934" s="83" t="s">
        <v>4</v>
      </c>
    </row>
    <row r="935" spans="1:18" x14ac:dyDescent="0.25">
      <c r="A935" s="88">
        <v>921</v>
      </c>
      <c r="B935" s="82"/>
      <c r="C935" s="97">
        <f>_xll.meDateFromTenor(C934,"1D","FOLLOWING","TGT")</f>
        <v>43836</v>
      </c>
      <c r="D935" s="95">
        <f ca="1"/>
        <v>-1.9572454262383188E-3</v>
      </c>
      <c r="E935" s="92"/>
      <c r="F935" s="97">
        <f>_xll.meDateFromTenor(F934,"1D","FOLLOWING","TGT")</f>
        <v>43836</v>
      </c>
      <c r="G935" s="95">
        <f ca="1"/>
        <v>-1.1488410973233864E-3</v>
      </c>
      <c r="H935" s="92" t="s">
        <v>4</v>
      </c>
      <c r="I935" s="97">
        <f>_xll.meDateFromTenor(I934,"1D","FOLLOWING","TGT")</f>
        <v>43836</v>
      </c>
      <c r="J935" s="95">
        <f ca="1"/>
        <v>1.632843820134776E-4</v>
      </c>
      <c r="K935" s="5" t="s">
        <v>4</v>
      </c>
      <c r="L935" s="97">
        <f>_xll.meDateFromTenor(L934,"1D","FOLLOWING","TGT")</f>
        <v>43836</v>
      </c>
      <c r="M935" s="95">
        <f ca="1"/>
        <v>1.9636913746916272E-3</v>
      </c>
      <c r="N935" s="5" t="s">
        <v>4</v>
      </c>
      <c r="O935" s="97">
        <f>_xll.meDateFromTenor(O934,"1D","FOLLOWING","TGT")</f>
        <v>43836</v>
      </c>
      <c r="P935" s="95">
        <f ca="1"/>
        <v>3.9642771158684333E-3</v>
      </c>
      <c r="Q935" s="5" t="s">
        <v>4</v>
      </c>
      <c r="R935" s="83" t="s">
        <v>4</v>
      </c>
    </row>
    <row r="936" spans="1:18" x14ac:dyDescent="0.25">
      <c r="A936" s="88">
        <v>922</v>
      </c>
      <c r="B936" s="82"/>
      <c r="C936" s="97">
        <f>_xll.meDateFromTenor(C935,"1D","FOLLOWING","TGT")</f>
        <v>43837</v>
      </c>
      <c r="D936" s="95">
        <f ca="1"/>
        <v>-1.9534903621087896E-3</v>
      </c>
      <c r="E936" s="92"/>
      <c r="F936" s="97">
        <f>_xll.meDateFromTenor(F935,"1D","FOLLOWING","TGT")</f>
        <v>43837</v>
      </c>
      <c r="G936" s="95">
        <f ca="1"/>
        <v>-1.1434591480767777E-3</v>
      </c>
      <c r="H936" s="92" t="s">
        <v>4</v>
      </c>
      <c r="I936" s="97">
        <f>_xll.meDateFromTenor(I935,"1D","FOLLOWING","TGT")</f>
        <v>43837</v>
      </c>
      <c r="J936" s="95">
        <f ca="1"/>
        <v>1.6880340658560584E-4</v>
      </c>
      <c r="K936" s="5" t="s">
        <v>4</v>
      </c>
      <c r="L936" s="97">
        <f>_xll.meDateFromTenor(L935,"1D","FOLLOWING","TGT")</f>
        <v>43837</v>
      </c>
      <c r="M936" s="95">
        <f ca="1"/>
        <v>1.9696075775343779E-3</v>
      </c>
      <c r="N936" s="5" t="s">
        <v>4</v>
      </c>
      <c r="O936" s="97">
        <f>_xll.meDateFromTenor(O935,"1D","FOLLOWING","TGT")</f>
        <v>43837</v>
      </c>
      <c r="P936" s="95">
        <f ca="1"/>
        <v>3.969988013135653E-3</v>
      </c>
      <c r="Q936" s="5" t="s">
        <v>4</v>
      </c>
      <c r="R936" s="83" t="s">
        <v>4</v>
      </c>
    </row>
    <row r="937" spans="1:18" x14ac:dyDescent="0.25">
      <c r="A937" s="88">
        <v>923</v>
      </c>
      <c r="B937" s="82"/>
      <c r="C937" s="97">
        <f>_xll.meDateFromTenor(C936,"1D","FOLLOWING","TGT")</f>
        <v>43838</v>
      </c>
      <c r="D937" s="95">
        <f ca="1"/>
        <v>-1.949765130065173E-3</v>
      </c>
      <c r="E937" s="92"/>
      <c r="F937" s="97">
        <f>_xll.meDateFromTenor(F936,"1D","FOLLOWING","TGT")</f>
        <v>43838</v>
      </c>
      <c r="G937" s="95">
        <f ca="1"/>
        <v>-1.1380935496230107E-3</v>
      </c>
      <c r="H937" s="92" t="s">
        <v>4</v>
      </c>
      <c r="I937" s="97">
        <f>_xll.meDateFromTenor(I936,"1D","FOLLOWING","TGT")</f>
        <v>43838</v>
      </c>
      <c r="J937" s="95">
        <f ca="1"/>
        <v>1.7432590668493012E-4</v>
      </c>
      <c r="K937" s="5" t="s">
        <v>4</v>
      </c>
      <c r="L937" s="97">
        <f>_xll.meDateFromTenor(L936,"1D","FOLLOWING","TGT")</f>
        <v>43838</v>
      </c>
      <c r="M937" s="95">
        <f ca="1"/>
        <v>1.9755263678782938E-3</v>
      </c>
      <c r="N937" s="5" t="s">
        <v>4</v>
      </c>
      <c r="O937" s="97">
        <f>_xll.meDateFromTenor(O936,"1D","FOLLOWING","TGT")</f>
        <v>43838</v>
      </c>
      <c r="P937" s="95">
        <f ca="1"/>
        <v>3.9757022004793686E-3</v>
      </c>
      <c r="Q937" s="5" t="s">
        <v>4</v>
      </c>
      <c r="R937" s="83" t="s">
        <v>4</v>
      </c>
    </row>
    <row r="938" spans="1:18" x14ac:dyDescent="0.25">
      <c r="A938" s="88">
        <v>924</v>
      </c>
      <c r="B938" s="82"/>
      <c r="C938" s="97">
        <f>_xll.meDateFromTenor(C937,"1D","FOLLOWING","TGT")</f>
        <v>43839</v>
      </c>
      <c r="D938" s="95">
        <f ca="1"/>
        <v>-1.9460697296029839E-3</v>
      </c>
      <c r="E938" s="92"/>
      <c r="F938" s="97">
        <f>_xll.meDateFromTenor(F937,"1D","FOLLOWING","TGT")</f>
        <v>43839</v>
      </c>
      <c r="G938" s="95">
        <f ca="1"/>
        <v>-1.1327416126741202E-3</v>
      </c>
      <c r="H938" s="92" t="s">
        <v>4</v>
      </c>
      <c r="I938" s="97">
        <f>_xll.meDateFromTenor(I937,"1D","FOLLOWING","TGT")</f>
        <v>43839</v>
      </c>
      <c r="J938" s="95">
        <f ca="1"/>
        <v>1.7985187267518547E-4</v>
      </c>
      <c r="K938" s="5" t="s">
        <v>4</v>
      </c>
      <c r="L938" s="97">
        <f>_xll.meDateFromTenor(L937,"1D","FOLLOWING","TGT")</f>
        <v>43839</v>
      </c>
      <c r="M938" s="95">
        <f ca="1"/>
        <v>1.9814477484958251E-3</v>
      </c>
      <c r="N938" s="5" t="s">
        <v>4</v>
      </c>
      <c r="O938" s="97">
        <f>_xll.meDateFromTenor(O937,"1D","FOLLOWING","TGT")</f>
        <v>43839</v>
      </c>
      <c r="P938" s="95">
        <f ca="1"/>
        <v>3.981419690824938E-3</v>
      </c>
      <c r="Q938" s="5" t="s">
        <v>4</v>
      </c>
      <c r="R938" s="83" t="s">
        <v>4</v>
      </c>
    </row>
    <row r="939" spans="1:18" x14ac:dyDescent="0.25">
      <c r="A939" s="88">
        <v>925</v>
      </c>
      <c r="B939" s="82"/>
      <c r="C939" s="97">
        <f>_xll.meDateFromTenor(C938,"1D","FOLLOWING","TGT")</f>
        <v>43840</v>
      </c>
      <c r="D939" s="95">
        <f ca="1"/>
        <v>-1.9424041604146902E-3</v>
      </c>
      <c r="E939" s="92"/>
      <c r="F939" s="97">
        <f>_xll.meDateFromTenor(F938,"1D","FOLLOWING","TGT")</f>
        <v>43840</v>
      </c>
      <c r="G939" s="95">
        <f ca="1"/>
        <v>-1.1274006479421418E-3</v>
      </c>
      <c r="H939" s="92" t="s">
        <v>4</v>
      </c>
      <c r="I939" s="97">
        <f>_xll.meDateFromTenor(I938,"1D","FOLLOWING","TGT")</f>
        <v>43840</v>
      </c>
      <c r="J939" s="95">
        <f ca="1"/>
        <v>1.8538129492010684E-4</v>
      </c>
      <c r="K939" s="5" t="s">
        <v>4</v>
      </c>
      <c r="L939" s="97">
        <f>_xll.meDateFromTenor(L938,"1D","FOLLOWING","TGT")</f>
        <v>43840</v>
      </c>
      <c r="M939" s="95">
        <f ca="1"/>
        <v>1.9873717221594259E-3</v>
      </c>
      <c r="N939" s="5" t="s">
        <v>4</v>
      </c>
      <c r="O939" s="97">
        <f>_xll.meDateFromTenor(O938,"1D","FOLLOWING","TGT")</f>
        <v>43840</v>
      </c>
      <c r="P939" s="95">
        <f ca="1"/>
        <v>3.987140497097719E-3</v>
      </c>
      <c r="Q939" s="5" t="s">
        <v>4</v>
      </c>
      <c r="R939" s="83" t="s">
        <v>4</v>
      </c>
    </row>
    <row r="940" spans="1:18" x14ac:dyDescent="0.25">
      <c r="A940" s="88">
        <v>926</v>
      </c>
      <c r="B940" s="82"/>
      <c r="C940" s="97">
        <f>_xll.meDateFromTenor(C939,"1D","FOLLOWING","TGT")</f>
        <v>43843</v>
      </c>
      <c r="D940" s="95">
        <f ca="1"/>
        <v>-1.9315864359389368E-3</v>
      </c>
      <c r="E940" s="92"/>
      <c r="F940" s="97">
        <f>_xll.meDateFromTenor(F939,"1D","FOLLOWING","TGT")</f>
        <v>43843</v>
      </c>
      <c r="G940" s="95">
        <f ca="1"/>
        <v>-1.1114166941680096E-3</v>
      </c>
      <c r="H940" s="92" t="s">
        <v>4</v>
      </c>
      <c r="I940" s="97">
        <f>_xll.meDateFromTenor(I939,"1D","FOLLOWING","TGT")</f>
        <v>43843</v>
      </c>
      <c r="J940" s="95">
        <f ca="1"/>
        <v>2.0199020282023327E-4</v>
      </c>
      <c r="K940" s="5" t="s">
        <v>4</v>
      </c>
      <c r="L940" s="97">
        <f>_xll.meDateFromTenor(L939,"1D","FOLLOWING","TGT")</f>
        <v>43843</v>
      </c>
      <c r="M940" s="95">
        <f ca="1"/>
        <v>2.005159229151174E-3</v>
      </c>
      <c r="N940" s="5" t="s">
        <v>4</v>
      </c>
      <c r="O940" s="97">
        <f>_xll.meDateFromTenor(O939,"1D","FOLLOWING","TGT")</f>
        <v>43843</v>
      </c>
      <c r="P940" s="95">
        <f ca="1"/>
        <v>4.004322940732918E-3</v>
      </c>
      <c r="Q940" s="5" t="s">
        <v>4</v>
      </c>
      <c r="R940" s="83" t="s">
        <v>4</v>
      </c>
    </row>
    <row r="941" spans="1:18" x14ac:dyDescent="0.25">
      <c r="A941" s="88">
        <v>927</v>
      </c>
      <c r="B941" s="82"/>
      <c r="C941" s="97">
        <f>_xll.meDateFromTenor(C940,"1D","FOLLOWING","TGT")</f>
        <v>43844</v>
      </c>
      <c r="D941" s="95">
        <f ca="1"/>
        <v>-1.9280401875183539E-3</v>
      </c>
      <c r="E941" s="92"/>
      <c r="F941" s="97">
        <f>_xll.meDateFromTenor(F940,"1D","FOLLOWING","TGT")</f>
        <v>43844</v>
      </c>
      <c r="G941" s="95">
        <f ca="1"/>
        <v>-1.1060927254240146E-3</v>
      </c>
      <c r="H941" s="92" t="s">
        <v>4</v>
      </c>
      <c r="I941" s="97">
        <f>_xll.meDateFromTenor(I940,"1D","FOLLOWING","TGT")</f>
        <v>43844</v>
      </c>
      <c r="J941" s="95">
        <f ca="1"/>
        <v>2.0753335372118148E-4</v>
      </c>
      <c r="K941" s="5" t="s">
        <v>4</v>
      </c>
      <c r="L941" s="97">
        <f>_xll.meDateFromTenor(L940,"1D","FOLLOWING","TGT")</f>
        <v>43844</v>
      </c>
      <c r="M941" s="95">
        <f ca="1"/>
        <v>2.0110936027235805E-3</v>
      </c>
      <c r="N941" s="5" t="s">
        <v>4</v>
      </c>
      <c r="O941" s="97">
        <f>_xll.meDateFromTenor(O940,"1D","FOLLOWING","TGT")</f>
        <v>43844</v>
      </c>
      <c r="P941" s="95">
        <f ca="1"/>
        <v>4.0100571399681309E-3</v>
      </c>
      <c r="Q941" s="5" t="s">
        <v>4</v>
      </c>
      <c r="R941" s="83" t="s">
        <v>4</v>
      </c>
    </row>
    <row r="942" spans="1:18" x14ac:dyDescent="0.25">
      <c r="A942" s="88">
        <v>928</v>
      </c>
      <c r="B942" s="82"/>
      <c r="C942" s="97">
        <f>_xll.meDateFromTenor(C941,"1D","FOLLOWING","TGT")</f>
        <v>43845</v>
      </c>
      <c r="D942" s="95">
        <f ca="1"/>
        <v>-1.9245237680349803E-3</v>
      </c>
      <c r="E942" s="92"/>
      <c r="F942" s="97">
        <f>_xll.meDateFromTenor(F941,"1D","FOLLOWING","TGT")</f>
        <v>43845</v>
      </c>
      <c r="G942" s="95">
        <f ca="1"/>
        <v>-1.1007662824571022E-3</v>
      </c>
      <c r="H942" s="92" t="s">
        <v>4</v>
      </c>
      <c r="I942" s="97">
        <f>_xll.meDateFromTenor(I941,"1D","FOLLOWING","TGT")</f>
        <v>43845</v>
      </c>
      <c r="J942" s="95">
        <f ca="1"/>
        <v>2.1307991269547486E-4</v>
      </c>
      <c r="K942" s="5" t="s">
        <v>4</v>
      </c>
      <c r="L942" s="97">
        <f>_xll.meDateFromTenor(L941,"1D","FOLLOWING","TGT")</f>
        <v>43845</v>
      </c>
      <c r="M942" s="95">
        <f ca="1"/>
        <v>2.0170305832043199E-3</v>
      </c>
      <c r="N942" s="5" t="s">
        <v>4</v>
      </c>
      <c r="O942" s="97">
        <f>_xll.meDateFromTenor(O941,"1D","FOLLOWING","TGT")</f>
        <v>43845</v>
      </c>
      <c r="P942" s="95">
        <f ca="1"/>
        <v>4.0157947197573462E-3</v>
      </c>
      <c r="Q942" s="5" t="s">
        <v>4</v>
      </c>
      <c r="R942" s="83" t="s">
        <v>4</v>
      </c>
    </row>
    <row r="943" spans="1:18" x14ac:dyDescent="0.25">
      <c r="A943" s="88">
        <v>929</v>
      </c>
      <c r="B943" s="82"/>
      <c r="C943" s="97">
        <f>_xll.meDateFromTenor(C942,"1D","FOLLOWING","TGT")</f>
        <v>43846</v>
      </c>
      <c r="D943" s="95">
        <f ca="1"/>
        <v>-1.9210371772846457E-3</v>
      </c>
      <c r="E943" s="92"/>
      <c r="F943" s="97">
        <f>_xll.meDateFromTenor(F942,"1D","FOLLOWING","TGT")</f>
        <v>43846</v>
      </c>
      <c r="G943" s="95">
        <f ca="1"/>
        <v>-1.0954346759793044E-3</v>
      </c>
      <c r="H943" s="92" t="s">
        <v>4</v>
      </c>
      <c r="I943" s="97">
        <f>_xll.meDateFromTenor(I942,"1D","FOLLOWING","TGT")</f>
        <v>43846</v>
      </c>
      <c r="J943" s="95">
        <f ca="1"/>
        <v>2.1862987010685096E-4</v>
      </c>
      <c r="K943" s="5" t="s">
        <v>4</v>
      </c>
      <c r="L943" s="97">
        <f>_xll.meDateFromTenor(L942,"1D","FOLLOWING","TGT")</f>
        <v>43846</v>
      </c>
      <c r="M943" s="95">
        <f ca="1"/>
        <v>2.0229701733658458E-3</v>
      </c>
      <c r="N943" s="5" t="s">
        <v>4</v>
      </c>
      <c r="O943" s="97">
        <f>_xll.meDateFromTenor(O942,"1D","FOLLOWING","TGT")</f>
        <v>43846</v>
      </c>
      <c r="P943" s="95">
        <f ca="1"/>
        <v>4.0215356930259245E-3</v>
      </c>
      <c r="Q943" s="5" t="s">
        <v>4</v>
      </c>
      <c r="R943" s="83" t="s">
        <v>4</v>
      </c>
    </row>
    <row r="944" spans="1:18" x14ac:dyDescent="0.25">
      <c r="A944" s="88">
        <v>930</v>
      </c>
      <c r="B944" s="82"/>
      <c r="C944" s="97">
        <f>_xll.meDateFromTenor(C943,"1D","FOLLOWING","TGT")</f>
        <v>43847</v>
      </c>
      <c r="D944" s="95">
        <f ca="1"/>
        <v>-1.9175804149010878E-3</v>
      </c>
      <c r="E944" s="92"/>
      <c r="F944" s="97">
        <f>_xll.meDateFromTenor(F943,"1D","FOLLOWING","TGT")</f>
        <v>43847</v>
      </c>
      <c r="G944" s="95">
        <f ca="1"/>
        <v>-1.0900952167026568E-3</v>
      </c>
      <c r="H944" s="92" t="s">
        <v>4</v>
      </c>
      <c r="I944" s="97">
        <f>_xll.meDateFromTenor(I943,"1D","FOLLOWING","TGT")</f>
        <v>43847</v>
      </c>
      <c r="J944" s="95">
        <f ca="1"/>
        <v>2.2418321631904488E-4</v>
      </c>
      <c r="K944" s="5" t="s">
        <v>4</v>
      </c>
      <c r="L944" s="97">
        <f>_xll.meDateFromTenor(L943,"1D","FOLLOWING","TGT")</f>
        <v>43847</v>
      </c>
      <c r="M944" s="95">
        <f ca="1"/>
        <v>2.0289123759806103E-3</v>
      </c>
      <c r="N944" s="5" t="s">
        <v>4</v>
      </c>
      <c r="O944" s="97">
        <f>_xll.meDateFromTenor(O943,"1D","FOLLOWING","TGT")</f>
        <v>43847</v>
      </c>
      <c r="P944" s="95">
        <f ca="1"/>
        <v>4.0272800726992236E-3</v>
      </c>
      <c r="Q944" s="5" t="s">
        <v>4</v>
      </c>
      <c r="R944" s="83" t="s">
        <v>4</v>
      </c>
    </row>
    <row r="945" spans="1:18" x14ac:dyDescent="0.25">
      <c r="A945" s="88">
        <v>931</v>
      </c>
      <c r="B945" s="82"/>
      <c r="C945" s="97">
        <f>_xll.meDateFromTenor(C944,"1D","FOLLOWING","TGT")</f>
        <v>43850</v>
      </c>
      <c r="D945" s="95">
        <f ca="1"/>
        <v>-1.9073890926117887E-3</v>
      </c>
      <c r="E945" s="92"/>
      <c r="F945" s="97">
        <f>_xll.meDateFromTenor(F944,"1D","FOLLOWING","TGT")</f>
        <v>43850</v>
      </c>
      <c r="G945" s="95">
        <f ca="1"/>
        <v>-1.0740028291999538E-3</v>
      </c>
      <c r="H945" s="92" t="s">
        <v>4</v>
      </c>
      <c r="I945" s="97">
        <f>_xll.meDateFromTenor(I944,"1D","FOLLOWING","TGT")</f>
        <v>43850</v>
      </c>
      <c r="J945" s="95">
        <f ca="1"/>
        <v>2.408634913978906E-4</v>
      </c>
      <c r="K945" s="5" t="s">
        <v>4</v>
      </c>
      <c r="L945" s="97">
        <f>_xll.meDateFromTenor(L944,"1D","FOLLOWING","TGT")</f>
        <v>43850</v>
      </c>
      <c r="M945" s="95">
        <f ca="1"/>
        <v>2.046754686268866E-3</v>
      </c>
      <c r="N945" s="5" t="s">
        <v>4</v>
      </c>
      <c r="O945" s="97">
        <f>_xll.meDateFromTenor(O944,"1D","FOLLOWING","TGT")</f>
        <v>43850</v>
      </c>
      <c r="P945" s="95">
        <f ca="1"/>
        <v>4.0445337794010267E-3</v>
      </c>
      <c r="Q945" s="5" t="s">
        <v>4</v>
      </c>
      <c r="R945" s="83" t="s">
        <v>4</v>
      </c>
    </row>
    <row r="946" spans="1:18" x14ac:dyDescent="0.25">
      <c r="A946" s="88">
        <v>932</v>
      </c>
      <c r="B946" s="82"/>
      <c r="C946" s="97">
        <f>_xll.meDateFromTenor(C945,"1D","FOLLOWING","TGT")</f>
        <v>43851</v>
      </c>
      <c r="D946" s="95">
        <f ca="1"/>
        <v>-1.9040516387814899E-3</v>
      </c>
      <c r="E946" s="92"/>
      <c r="F946" s="97">
        <f>_xll.meDateFromTenor(F945,"1D","FOLLOWING","TGT")</f>
        <v>43851</v>
      </c>
      <c r="G946" s="95">
        <f ca="1"/>
        <v>-1.0686050658482462E-3</v>
      </c>
      <c r="H946" s="92" t="s">
        <v>4</v>
      </c>
      <c r="I946" s="97">
        <f>_xll.meDateFromTenor(I945,"1D","FOLLOWING","TGT")</f>
        <v>43851</v>
      </c>
      <c r="J946" s="95">
        <f ca="1"/>
        <v>2.4643029645071392E-4</v>
      </c>
      <c r="K946" s="5" t="s">
        <v>4</v>
      </c>
      <c r="L946" s="97">
        <f>_xll.meDateFromTenor(L945,"1D","FOLLOWING","TGT")</f>
        <v>43851</v>
      </c>
      <c r="M946" s="95">
        <f ca="1"/>
        <v>2.0527073664211148E-3</v>
      </c>
      <c r="N946" s="5" t="s">
        <v>4</v>
      </c>
      <c r="O946" s="97">
        <f>_xll.meDateFromTenor(O945,"1D","FOLLOWING","TGT")</f>
        <v>43851</v>
      </c>
      <c r="P946" s="95">
        <f ca="1"/>
        <v>4.0502919139467899E-3</v>
      </c>
      <c r="Q946" s="5" t="s">
        <v>4</v>
      </c>
      <c r="R946" s="83" t="s">
        <v>4</v>
      </c>
    </row>
    <row r="947" spans="1:18" x14ac:dyDescent="0.25">
      <c r="A947" s="88">
        <v>933</v>
      </c>
      <c r="B947" s="82"/>
      <c r="C947" s="97">
        <f>_xll.meDateFromTenor(C946,"1D","FOLLOWING","TGT")</f>
        <v>43852</v>
      </c>
      <c r="D947" s="95">
        <f ca="1"/>
        <v>-1.9007440111667995E-3</v>
      </c>
      <c r="E947" s="92"/>
      <c r="F947" s="97">
        <f>_xll.meDateFromTenor(F946,"1D","FOLLOWING","TGT")</f>
        <v>43852</v>
      </c>
      <c r="G947" s="95">
        <f ca="1"/>
        <v>-1.0631860032578591E-3</v>
      </c>
      <c r="H947" s="92" t="s">
        <v>4</v>
      </c>
      <c r="I947" s="97">
        <f>_xll.meDateFromTenor(I946,"1D","FOLLOWING","TGT")</f>
        <v>43852</v>
      </c>
      <c r="J947" s="95">
        <f ca="1"/>
        <v>2.5200044212303404E-4</v>
      </c>
      <c r="K947" s="5" t="s">
        <v>4</v>
      </c>
      <c r="L947" s="97">
        <f>_xll.meDateFromTenor(L946,"1D","FOLLOWING","TGT")</f>
        <v>43852</v>
      </c>
      <c r="M947" s="95">
        <f ca="1"/>
        <v>2.0586626728888663E-3</v>
      </c>
      <c r="N947" s="5" t="s">
        <v>4</v>
      </c>
      <c r="O947" s="97">
        <f>_xll.meDateFromTenor(O946,"1D","FOLLOWING","TGT")</f>
        <v>43852</v>
      </c>
      <c r="P947" s="95">
        <f ca="1"/>
        <v>4.0560535195240674E-3</v>
      </c>
      <c r="Q947" s="5" t="s">
        <v>4</v>
      </c>
      <c r="R947" s="83" t="s">
        <v>4</v>
      </c>
    </row>
    <row r="948" spans="1:18" x14ac:dyDescent="0.25">
      <c r="A948" s="88">
        <v>934</v>
      </c>
      <c r="B948" s="82"/>
      <c r="C948" s="97">
        <f>_xll.meDateFromTenor(C947,"1D","FOLLOWING","TGT")</f>
        <v>43853</v>
      </c>
      <c r="D948" s="95">
        <f ca="1"/>
        <v>-1.8974662092657857E-3</v>
      </c>
      <c r="E948" s="92"/>
      <c r="F948" s="97">
        <f>_xll.meDateFromTenor(F947,"1D","FOLLOWING","TGT")</f>
        <v>43853</v>
      </c>
      <c r="G948" s="95">
        <f ca="1"/>
        <v>-1.0577429521408275E-3</v>
      </c>
      <c r="H948" s="92" t="s">
        <v>4</v>
      </c>
      <c r="I948" s="97">
        <f>_xll.meDateFromTenor(I947,"1D","FOLLOWING","TGT")</f>
        <v>43853</v>
      </c>
      <c r="J948" s="95">
        <f ca="1"/>
        <v>2.5757391877858618E-4</v>
      </c>
      <c r="K948" s="5" t="s">
        <v>4</v>
      </c>
      <c r="L948" s="97">
        <f>_xll.meDateFromTenor(L947,"1D","FOLLOWING","TGT")</f>
        <v>43853</v>
      </c>
      <c r="M948" s="95">
        <f ca="1"/>
        <v>2.064620608444573E-3</v>
      </c>
      <c r="N948" s="5" t="s">
        <v>4</v>
      </c>
      <c r="O948" s="97">
        <f>_xll.meDateFromTenor(O947,"1D","FOLLOWING","TGT")</f>
        <v>43853</v>
      </c>
      <c r="P948" s="95">
        <f ca="1"/>
        <v>4.0618186090582145E-3</v>
      </c>
      <c r="Q948" s="5" t="s">
        <v>4</v>
      </c>
      <c r="R948" s="83" t="s">
        <v>4</v>
      </c>
    </row>
    <row r="949" spans="1:18" x14ac:dyDescent="0.25">
      <c r="A949" s="88">
        <v>935</v>
      </c>
      <c r="B949" s="82"/>
      <c r="C949" s="97">
        <f>_xll.meDateFromTenor(C948,"1D","FOLLOWING","TGT")</f>
        <v>43854</v>
      </c>
      <c r="D949" s="95">
        <f ca="1"/>
        <v>-1.8942182326134871E-3</v>
      </c>
      <c r="E949" s="92"/>
      <c r="F949" s="97">
        <f>_xll.meDateFromTenor(F948,"1D","FOLLOWING","TGT")</f>
        <v>43854</v>
      </c>
      <c r="G949" s="95">
        <f ca="1"/>
        <v>-1.0522732232091838E-3</v>
      </c>
      <c r="H949" s="92" t="s">
        <v>4</v>
      </c>
      <c r="I949" s="97">
        <f>_xll.meDateFromTenor(I948,"1D","FOLLOWING","TGT")</f>
        <v>43854</v>
      </c>
      <c r="J949" s="95">
        <f ca="1"/>
        <v>2.631507167811078E-4</v>
      </c>
      <c r="K949" s="5" t="s">
        <v>4</v>
      </c>
      <c r="L949" s="97">
        <f>_xll.meDateFromTenor(L948,"1D","FOLLOWING","TGT")</f>
        <v>43854</v>
      </c>
      <c r="M949" s="95">
        <f ca="1"/>
        <v>2.070581175860689E-3</v>
      </c>
      <c r="N949" s="5" t="s">
        <v>4</v>
      </c>
      <c r="O949" s="97">
        <f>_xll.meDateFromTenor(O948,"1D","FOLLOWING","TGT")</f>
        <v>43854</v>
      </c>
      <c r="P949" s="95">
        <f ca="1"/>
        <v>4.0675871954745898E-3</v>
      </c>
      <c r="Q949" s="5" t="s">
        <v>4</v>
      </c>
      <c r="R949" s="83" t="s">
        <v>4</v>
      </c>
    </row>
    <row r="950" spans="1:18" x14ac:dyDescent="0.25">
      <c r="A950" s="88">
        <v>936</v>
      </c>
      <c r="B950" s="82"/>
      <c r="C950" s="97">
        <f>_xll.meDateFromTenor(C949,"1D","FOLLOWING","TGT")</f>
        <v>43857</v>
      </c>
      <c r="D950" s="95">
        <f ca="1"/>
        <v>-1.8846532497794888E-3</v>
      </c>
      <c r="E950" s="92"/>
      <c r="F950" s="97">
        <f>_xll.meDateFromTenor(F949,"1D","FOLLOWING","TGT")</f>
        <v>43857</v>
      </c>
      <c r="G950" s="95">
        <f ca="1"/>
        <v>-1.0356770766469269E-3</v>
      </c>
      <c r="H950" s="92" t="s">
        <v>4</v>
      </c>
      <c r="I950" s="97">
        <f>_xll.meDateFromTenor(I949,"1D","FOLLOWING","TGT")</f>
        <v>43857</v>
      </c>
      <c r="J950" s="95">
        <f ca="1"/>
        <v>2.799009425078416E-4</v>
      </c>
      <c r="K950" s="5" t="s">
        <v>4</v>
      </c>
      <c r="L950" s="97">
        <f>_xll.meDateFromTenor(L949,"1D","FOLLOWING","TGT")</f>
        <v>43857</v>
      </c>
      <c r="M950" s="95">
        <f ca="1"/>
        <v>2.0884786969960147E-3</v>
      </c>
      <c r="N950" s="5" t="s">
        <v>4</v>
      </c>
      <c r="O950" s="97">
        <f>_xll.meDateFromTenor(O949,"1D","FOLLOWING","TGT")</f>
        <v>43857</v>
      </c>
      <c r="P950" s="95">
        <f ca="1"/>
        <v>4.084914065270678E-3</v>
      </c>
      <c r="Q950" s="5" t="s">
        <v>4</v>
      </c>
      <c r="R950" s="83" t="s">
        <v>4</v>
      </c>
    </row>
    <row r="951" spans="1:18" x14ac:dyDescent="0.25">
      <c r="A951" s="88">
        <v>937</v>
      </c>
      <c r="B951" s="82"/>
      <c r="C951" s="97">
        <f>_xll.meDateFromTenor(C950,"1D","FOLLOWING","TGT")</f>
        <v>43858</v>
      </c>
      <c r="D951" s="95">
        <f ca="1"/>
        <v>-1.8815245700583016E-3</v>
      </c>
      <c r="E951" s="92"/>
      <c r="F951" s="97">
        <f>_xll.meDateFromTenor(F950,"1D","FOLLOWING","TGT")</f>
        <v>43858</v>
      </c>
      <c r="G951" s="95">
        <f ca="1"/>
        <v>-1.0300737435771795E-3</v>
      </c>
      <c r="H951" s="92" t="s">
        <v>4</v>
      </c>
      <c r="I951" s="97">
        <f>_xll.meDateFromTenor(I950,"1D","FOLLOWING","TGT")</f>
        <v>43858</v>
      </c>
      <c r="J951" s="95">
        <f ca="1"/>
        <v>2.8549092953559607E-4</v>
      </c>
      <c r="K951" s="5" t="s">
        <v>4</v>
      </c>
      <c r="L951" s="97">
        <f>_xll.meDateFromTenor(L950,"1D","FOLLOWING","TGT")</f>
        <v>43858</v>
      </c>
      <c r="M951" s="95">
        <f ca="1"/>
        <v>2.0944498195782932E-3</v>
      </c>
      <c r="N951" s="5" t="s">
        <v>4</v>
      </c>
      <c r="O951" s="97">
        <f>_xll.meDateFromTenor(O950,"1D","FOLLOWING","TGT")</f>
        <v>43858</v>
      </c>
      <c r="P951" s="95">
        <f ca="1"/>
        <v>4.0906967684695549E-3</v>
      </c>
      <c r="Q951" s="5" t="s">
        <v>4</v>
      </c>
      <c r="R951" s="83" t="s">
        <v>4</v>
      </c>
    </row>
    <row r="952" spans="1:18" x14ac:dyDescent="0.25">
      <c r="A952" s="88">
        <v>938</v>
      </c>
      <c r="B952" s="82"/>
      <c r="C952" s="97">
        <f>_xll.meDateFromTenor(C951,"1D","FOLLOWING","TGT")</f>
        <v>43859</v>
      </c>
      <c r="D952" s="95">
        <f ca="1"/>
        <v>-1.8784257133410698E-3</v>
      </c>
      <c r="E952" s="92"/>
      <c r="F952" s="97">
        <f>_xll.meDateFromTenor(F951,"1D","FOLLOWING","TGT")</f>
        <v>43859</v>
      </c>
      <c r="G952" s="95">
        <f ca="1"/>
        <v>-1.0244302862529922E-3</v>
      </c>
      <c r="H952" s="92" t="s">
        <v>4</v>
      </c>
      <c r="I952" s="97">
        <f>_xll.meDateFromTenor(I951,"1D","FOLLOWING","TGT")</f>
        <v>43859</v>
      </c>
      <c r="J952" s="95">
        <f ca="1"/>
        <v>2.9108418972899737E-4</v>
      </c>
      <c r="K952" s="5" t="s">
        <v>4</v>
      </c>
      <c r="L952" s="97">
        <f>_xll.meDateFromTenor(L951,"1D","FOLLOWING","TGT")</f>
        <v>43859</v>
      </c>
      <c r="M952" s="95">
        <f ca="1"/>
        <v>2.1004235878832427E-3</v>
      </c>
      <c r="N952" s="5" t="s">
        <v>4</v>
      </c>
      <c r="O952" s="97">
        <f>_xll.meDateFromTenor(O951,"1D","FOLLOWING","TGT")</f>
        <v>43859</v>
      </c>
      <c r="P952" s="95">
        <f ca="1"/>
        <v>4.0964830331774518E-3</v>
      </c>
      <c r="Q952" s="5" t="s">
        <v>4</v>
      </c>
      <c r="R952" s="83" t="s">
        <v>4</v>
      </c>
    </row>
    <row r="953" spans="1:18" x14ac:dyDescent="0.25">
      <c r="A953" s="88">
        <v>939</v>
      </c>
      <c r="B953" s="82"/>
      <c r="C953" s="97">
        <f>_xll.meDateFromTenor(C952,"1D","FOLLOWING","TGT")</f>
        <v>43860</v>
      </c>
      <c r="D953" s="95">
        <f ca="1"/>
        <v>-1.8753566791869236E-3</v>
      </c>
      <c r="E953" s="92"/>
      <c r="F953" s="97">
        <f>_xll.meDateFromTenor(F952,"1D","FOLLOWING","TGT")</f>
        <v>43860</v>
      </c>
      <c r="G953" s="95">
        <f ca="1"/>
        <v>-1.0187440153863975E-3</v>
      </c>
      <c r="H953" s="92" t="s">
        <v>4</v>
      </c>
      <c r="I953" s="97">
        <f>_xll.meDateFromTenor(I952,"1D","FOLLOWING","TGT")</f>
        <v>43860</v>
      </c>
      <c r="J953" s="95">
        <f ca="1"/>
        <v>2.9668071345178312E-4</v>
      </c>
      <c r="K953" s="5" t="s">
        <v>4</v>
      </c>
      <c r="L953" s="97">
        <f>_xll.meDateFromTenor(L952,"1D","FOLLOWING","TGT")</f>
        <v>43860</v>
      </c>
      <c r="M953" s="95">
        <f ca="1"/>
        <v>2.1064000046833189E-3</v>
      </c>
      <c r="N953" s="5" t="s">
        <v>4</v>
      </c>
      <c r="O953" s="97">
        <f>_xll.meDateFromTenor(O952,"1D","FOLLOWING","TGT")</f>
        <v>43860</v>
      </c>
      <c r="P953" s="95">
        <f ca="1"/>
        <v>4.1022728723197274E-3</v>
      </c>
      <c r="Q953" s="5" t="s">
        <v>4</v>
      </c>
      <c r="R953" s="83" t="s">
        <v>4</v>
      </c>
    </row>
    <row r="954" spans="1:18" x14ac:dyDescent="0.25">
      <c r="A954" s="88">
        <v>940</v>
      </c>
      <c r="B954" s="82"/>
      <c r="C954" s="97">
        <f>_xll.meDateFromTenor(C953,"1D","FOLLOWING","TGT")</f>
        <v>43861</v>
      </c>
      <c r="D954" s="95">
        <f ca="1"/>
        <v>-1.8723174675510101E-3</v>
      </c>
      <c r="E954" s="92"/>
      <c r="F954" s="97">
        <f>_xll.meDateFromTenor(F953,"1D","FOLLOWING","TGT")</f>
        <v>43861</v>
      </c>
      <c r="G954" s="95">
        <f ca="1"/>
        <v>-1.0130122416894304E-3</v>
      </c>
      <c r="H954" s="92" t="s">
        <v>4</v>
      </c>
      <c r="I954" s="97">
        <f>_xll.meDateFromTenor(I953,"1D","FOLLOWING","TGT")</f>
        <v>43861</v>
      </c>
      <c r="J954" s="95">
        <f ca="1"/>
        <v>3.022804910676884E-4</v>
      </c>
      <c r="K954" s="5" t="s">
        <v>4</v>
      </c>
      <c r="L954" s="97">
        <f>_xll.meDateFromTenor(L953,"1D","FOLLOWING","TGT")</f>
        <v>43861</v>
      </c>
      <c r="M954" s="95">
        <f ca="1"/>
        <v>2.1123790727509729E-3</v>
      </c>
      <c r="N954" s="5" t="s">
        <v>4</v>
      </c>
      <c r="O954" s="97">
        <f>_xll.meDateFromTenor(O953,"1D","FOLLOWING","TGT")</f>
        <v>43861</v>
      </c>
      <c r="P954" s="95">
        <f ca="1"/>
        <v>4.1080662988217422E-3</v>
      </c>
      <c r="Q954" s="5" t="s">
        <v>4</v>
      </c>
      <c r="R954" s="83" t="s">
        <v>4</v>
      </c>
    </row>
    <row r="955" spans="1:18" x14ac:dyDescent="0.25">
      <c r="A955" s="88">
        <v>941</v>
      </c>
      <c r="B955" s="82"/>
      <c r="C955" s="97">
        <f>_xll.meDateFromTenor(C954,"1D","FOLLOWING","TGT")</f>
        <v>43864</v>
      </c>
      <c r="D955" s="95">
        <f ca="1"/>
        <v>-1.863378761879142E-3</v>
      </c>
      <c r="E955" s="92"/>
      <c r="F955" s="97">
        <f>_xll.meDateFromTenor(F954,"1D","FOLLOWING","TGT")</f>
        <v>43864</v>
      </c>
      <c r="G955" s="95">
        <f ca="1"/>
        <v>-9.9551701073663751E-4</v>
      </c>
      <c r="H955" s="92" t="s">
        <v>4</v>
      </c>
      <c r="I955" s="97">
        <f>_xll.meDateFromTenor(I954,"1D","FOLLOWING","TGT")</f>
        <v>43864</v>
      </c>
      <c r="J955" s="95">
        <f ca="1"/>
        <v>3.1909925091147865E-4</v>
      </c>
      <c r="K955" s="5" t="s">
        <v>4</v>
      </c>
      <c r="L955" s="97">
        <f>_xll.meDateFromTenor(L954,"1D","FOLLOWING","TGT")</f>
        <v>43864</v>
      </c>
      <c r="M955" s="95">
        <f ca="1"/>
        <v>2.1303322122839317E-3</v>
      </c>
      <c r="N955" s="5" t="s">
        <v>4</v>
      </c>
      <c r="O955" s="97">
        <f>_xll.meDateFromTenor(O954,"1D","FOLLOWING","TGT")</f>
        <v>43864</v>
      </c>
      <c r="P955" s="95">
        <f ca="1"/>
        <v>4.1254682317397959E-3</v>
      </c>
      <c r="Q955" s="5" t="s">
        <v>4</v>
      </c>
      <c r="R955" s="83" t="s">
        <v>4</v>
      </c>
    </row>
    <row r="956" spans="1:18" x14ac:dyDescent="0.25">
      <c r="A956" s="88">
        <v>942</v>
      </c>
      <c r="B956" s="82"/>
      <c r="C956" s="97">
        <f>_xll.meDateFromTenor(C955,"1D","FOLLOWING","TGT")</f>
        <v>43865</v>
      </c>
      <c r="D956" s="95">
        <f ca="1"/>
        <v>-1.8604588349481199E-3</v>
      </c>
      <c r="E956" s="92"/>
      <c r="F956" s="97">
        <f>_xll.meDateFromTenor(F955,"1D","FOLLOWING","TGT")</f>
        <v>43865</v>
      </c>
      <c r="G956" s="95">
        <f ca="1"/>
        <v>-9.8957717013366101E-4</v>
      </c>
      <c r="H956" s="92" t="s">
        <v>4</v>
      </c>
      <c r="I956" s="97">
        <f>_xll.meDateFromTenor(I955,"1D","FOLLOWING","TGT")</f>
        <v>43865</v>
      </c>
      <c r="J956" s="95">
        <f ca="1"/>
        <v>3.2471194773722013E-4</v>
      </c>
      <c r="K956" s="5" t="s">
        <v>4</v>
      </c>
      <c r="L956" s="97">
        <f>_xll.meDateFromTenor(L955,"1D","FOLLOWING","TGT")</f>
        <v>43865</v>
      </c>
      <c r="M956" s="95">
        <f ca="1"/>
        <v>2.136321913146427E-3</v>
      </c>
      <c r="N956" s="5" t="s">
        <v>4</v>
      </c>
      <c r="O956" s="97">
        <f>_xll.meDateFromTenor(O955,"1D","FOLLOWING","TGT")</f>
        <v>43865</v>
      </c>
      <c r="P956" s="95">
        <f ca="1"/>
        <v>4.1312761369343446E-3</v>
      </c>
      <c r="Q956" s="5" t="s">
        <v>4</v>
      </c>
      <c r="R956" s="83" t="s">
        <v>4</v>
      </c>
    </row>
    <row r="957" spans="1:18" x14ac:dyDescent="0.25">
      <c r="A957" s="88">
        <v>943</v>
      </c>
      <c r="B957" s="82"/>
      <c r="C957" s="97">
        <f>_xll.meDateFromTenor(C956,"1D","FOLLOWING","TGT")</f>
        <v>43866</v>
      </c>
      <c r="D957" s="95">
        <f ca="1"/>
        <v>-1.8575687283963749E-3</v>
      </c>
      <c r="E957" s="92"/>
      <c r="F957" s="97">
        <f>_xll.meDateFromTenor(F956,"1D","FOLLOWING","TGT")</f>
        <v>43866</v>
      </c>
      <c r="G957" s="95">
        <f ca="1"/>
        <v>-9.8358340403131546E-4</v>
      </c>
      <c r="H957" s="92" t="s">
        <v>4</v>
      </c>
      <c r="I957" s="97">
        <f>_xll.meDateFromTenor(I956,"1D","FOLLOWING","TGT")</f>
        <v>43866</v>
      </c>
      <c r="J957" s="95">
        <f ca="1"/>
        <v>3.3032785027476037E-4</v>
      </c>
      <c r="K957" s="5" t="s">
        <v>4</v>
      </c>
      <c r="L957" s="97">
        <f>_xll.meDateFromTenor(L956,"1D","FOLLOWING","TGT")</f>
        <v>43866</v>
      </c>
      <c r="M957" s="95">
        <f ca="1"/>
        <v>2.142314279138764E-3</v>
      </c>
      <c r="N957" s="5" t="s">
        <v>4</v>
      </c>
      <c r="O957" s="97">
        <f>_xll.meDateFromTenor(O956,"1D","FOLLOWING","TGT")</f>
        <v>43866</v>
      </c>
      <c r="P957" s="95">
        <f ca="1"/>
        <v>4.1370876941154225E-3</v>
      </c>
      <c r="Q957" s="5" t="s">
        <v>4</v>
      </c>
      <c r="R957" s="83" t="s">
        <v>4</v>
      </c>
    </row>
    <row r="958" spans="1:18" x14ac:dyDescent="0.25">
      <c r="A958" s="88">
        <v>944</v>
      </c>
      <c r="B958" s="82"/>
      <c r="C958" s="97">
        <f>_xll.meDateFromTenor(C957,"1D","FOLLOWING","TGT")</f>
        <v>43867</v>
      </c>
      <c r="D958" s="95">
        <f ca="1"/>
        <v>-1.8547084414849424E-3</v>
      </c>
      <c r="E958" s="92"/>
      <c r="F958" s="97">
        <f>_xll.meDateFromTenor(F957,"1D","FOLLOWING","TGT")</f>
        <v>43867</v>
      </c>
      <c r="G958" s="95">
        <f ca="1"/>
        <v>-9.775380469124685E-4</v>
      </c>
      <c r="H958" s="92" t="s">
        <v>4</v>
      </c>
      <c r="I958" s="97">
        <f>_xll.meDateFromTenor(I957,"1D","FOLLOWING","TGT")</f>
        <v>43867</v>
      </c>
      <c r="J958" s="95">
        <f ca="1"/>
        <v>3.3594694888783419E-4</v>
      </c>
      <c r="K958" s="5" t="s">
        <v>4</v>
      </c>
      <c r="L958" s="97">
        <f>_xll.meDateFromTenor(L957,"1D","FOLLOWING","TGT")</f>
        <v>43867</v>
      </c>
      <c r="M958" s="95">
        <f ca="1"/>
        <v>2.1483093130333954E-3</v>
      </c>
      <c r="N958" s="5" t="s">
        <v>4</v>
      </c>
      <c r="O958" s="97">
        <f>_xll.meDateFromTenor(O957,"1D","FOLLOWING","TGT")</f>
        <v>43867</v>
      </c>
      <c r="P958" s="95">
        <f ca="1"/>
        <v>4.1429029162083891E-3</v>
      </c>
      <c r="Q958" s="5" t="s">
        <v>4</v>
      </c>
      <c r="R958" s="83" t="s">
        <v>4</v>
      </c>
    </row>
    <row r="959" spans="1:18" x14ac:dyDescent="0.25">
      <c r="A959" s="88">
        <v>945</v>
      </c>
      <c r="B959" s="82"/>
      <c r="C959" s="97">
        <f>_xll.meDateFromTenor(C958,"1D","FOLLOWING","TGT")</f>
        <v>43868</v>
      </c>
      <c r="D959" s="95">
        <f ca="1"/>
        <v>-1.8518779737116686E-3</v>
      </c>
      <c r="E959" s="92"/>
      <c r="F959" s="97">
        <f>_xll.meDateFromTenor(F958,"1D","FOLLOWING","TGT")</f>
        <v>43868</v>
      </c>
      <c r="G959" s="95">
        <f ca="1"/>
        <v>-9.7144343325998475E-4</v>
      </c>
      <c r="H959" s="92" t="s">
        <v>4</v>
      </c>
      <c r="I959" s="97">
        <f>_xll.meDateFromTenor(I958,"1D","FOLLOWING","TGT")</f>
        <v>43868</v>
      </c>
      <c r="J959" s="95">
        <f ca="1"/>
        <v>3.4156923394017919E-4</v>
      </c>
      <c r="K959" s="5" t="s">
        <v>4</v>
      </c>
      <c r="L959" s="97">
        <f>_xll.meDateFromTenor(L958,"1D","FOLLOWING","TGT")</f>
        <v>43868</v>
      </c>
      <c r="M959" s="95">
        <f ca="1"/>
        <v>2.154307017602775E-3</v>
      </c>
      <c r="N959" s="5" t="s">
        <v>4</v>
      </c>
      <c r="O959" s="97">
        <f>_xll.meDateFromTenor(O958,"1D","FOLLOWING","TGT")</f>
        <v>43868</v>
      </c>
      <c r="P959" s="95">
        <f ca="1"/>
        <v>4.1487218161386022E-3</v>
      </c>
      <c r="Q959" s="5" t="s">
        <v>4</v>
      </c>
      <c r="R959" s="83" t="s">
        <v>4</v>
      </c>
    </row>
    <row r="960" spans="1:18" x14ac:dyDescent="0.25">
      <c r="A960" s="88">
        <v>946</v>
      </c>
      <c r="B960" s="82"/>
      <c r="C960" s="97">
        <f>_xll.meDateFromTenor(C959,"1D","FOLLOWING","TGT")</f>
        <v>43871</v>
      </c>
      <c r="D960" s="95">
        <f ca="1"/>
        <v>-1.843565482510745E-3</v>
      </c>
      <c r="E960" s="92"/>
      <c r="F960" s="97">
        <f>_xll.meDateFromTenor(F959,"1D","FOLLOWING","TGT")</f>
        <v>43871</v>
      </c>
      <c r="G960" s="95">
        <f ca="1"/>
        <v>-9.5288739792938413E-4</v>
      </c>
      <c r="H960" s="92" t="s">
        <v>4</v>
      </c>
      <c r="I960" s="97">
        <f>_xll.meDateFromTenor(I959,"1D","FOLLOWING","TGT")</f>
        <v>43871</v>
      </c>
      <c r="J960" s="95">
        <f ca="1"/>
        <v>3.5845511137019457E-4</v>
      </c>
      <c r="K960" s="5" t="s">
        <v>4</v>
      </c>
      <c r="L960" s="97">
        <f>_xll.meDateFromTenor(L959,"1D","FOLLOWING","TGT")</f>
        <v>43871</v>
      </c>
      <c r="M960" s="95">
        <f ca="1"/>
        <v>2.1723161830839301E-3</v>
      </c>
      <c r="N960" s="5" t="s">
        <v>4</v>
      </c>
      <c r="O960" s="97">
        <f>_xll.meDateFromTenor(O959,"1D","FOLLOWING","TGT")</f>
        <v>43871</v>
      </c>
      <c r="P960" s="95">
        <f ca="1"/>
        <v>4.1662007122063027E-3</v>
      </c>
      <c r="Q960" s="5" t="s">
        <v>4</v>
      </c>
      <c r="R960" s="83" t="s">
        <v>4</v>
      </c>
    </row>
    <row r="961" spans="1:18" x14ac:dyDescent="0.25">
      <c r="A961" s="88">
        <v>947</v>
      </c>
      <c r="B961" s="82"/>
      <c r="C961" s="97">
        <f>_xll.meDateFromTenor(C960,"1D","FOLLOWING","TGT")</f>
        <v>43872</v>
      </c>
      <c r="D961" s="95">
        <f ca="1"/>
        <v>-1.8408542877292877E-3</v>
      </c>
      <c r="E961" s="92"/>
      <c r="F961" s="97">
        <f>_xll.meDateFromTenor(F960,"1D","FOLLOWING","TGT")</f>
        <v>43872</v>
      </c>
      <c r="G961" s="95">
        <f ca="1"/>
        <v>-9.4661910297102417E-4</v>
      </c>
      <c r="H961" s="92" t="s">
        <v>4</v>
      </c>
      <c r="I961" s="97">
        <f>_xll.meDateFromTenor(I960,"1D","FOLLOWING","TGT")</f>
        <v>43872</v>
      </c>
      <c r="J961" s="95">
        <f ca="1"/>
        <v>3.6409004581697838E-4</v>
      </c>
      <c r="K961" s="5" t="s">
        <v>4</v>
      </c>
      <c r="L961" s="97">
        <f>_xll.meDateFromTenor(L960,"1D","FOLLOWING","TGT")</f>
        <v>43872</v>
      </c>
      <c r="M961" s="95">
        <f ca="1"/>
        <v>2.1783245980768278E-3</v>
      </c>
      <c r="N961" s="5" t="s">
        <v>4</v>
      </c>
      <c r="O961" s="97">
        <f>_xll.meDateFromTenor(O960,"1D","FOLLOWING","TGT")</f>
        <v>43872</v>
      </c>
      <c r="P961" s="95">
        <f ca="1"/>
        <v>4.1720344527390839E-3</v>
      </c>
      <c r="Q961" s="5" t="s">
        <v>4</v>
      </c>
      <c r="R961" s="83" t="s">
        <v>4</v>
      </c>
    </row>
    <row r="962" spans="1:18" x14ac:dyDescent="0.25">
      <c r="A962" s="88">
        <v>948</v>
      </c>
      <c r="B962" s="82"/>
      <c r="C962" s="97">
        <f>_xll.meDateFromTenor(C961,"1D","FOLLOWING","TGT")</f>
        <v>43873</v>
      </c>
      <c r="D962" s="95">
        <f ca="1"/>
        <v>-1.8381729102123767E-3</v>
      </c>
      <c r="E962" s="92"/>
      <c r="F962" s="97">
        <f>_xll.meDateFromTenor(F961,"1D","FOLLOWING","TGT")</f>
        <v>43873</v>
      </c>
      <c r="G962" s="95">
        <f ca="1"/>
        <v>-9.4031322389336058E-4</v>
      </c>
      <c r="H962" s="92" t="s">
        <v>4</v>
      </c>
      <c r="I962" s="97">
        <f>_xll.meDateFromTenor(I961,"1D","FOLLOWING","TGT")</f>
        <v>43873</v>
      </c>
      <c r="J962" s="95">
        <f ca="1"/>
        <v>3.6972811852171257E-4</v>
      </c>
      <c r="K962" s="5" t="s">
        <v>4</v>
      </c>
      <c r="L962" s="97">
        <f>_xll.meDateFromTenor(L961,"1D","FOLLOWING","TGT")</f>
        <v>43873</v>
      </c>
      <c r="M962" s="95">
        <f ca="1"/>
        <v>2.1843356976067392E-3</v>
      </c>
      <c r="N962" s="5" t="s">
        <v>4</v>
      </c>
      <c r="O962" s="97">
        <f>_xll.meDateFromTenor(O961,"1D","FOLLOWING","TGT")</f>
        <v>43873</v>
      </c>
      <c r="P962" s="95">
        <f ca="1"/>
        <v>4.1778719357359042E-3</v>
      </c>
      <c r="Q962" s="5" t="s">
        <v>4</v>
      </c>
      <c r="R962" s="83" t="s">
        <v>4</v>
      </c>
    </row>
    <row r="963" spans="1:18" x14ac:dyDescent="0.25">
      <c r="A963" s="88">
        <v>949</v>
      </c>
      <c r="B963" s="82"/>
      <c r="C963" s="97">
        <f>_xll.meDateFromTenor(C962,"1D","FOLLOWING","TGT")</f>
        <v>43874</v>
      </c>
      <c r="D963" s="95">
        <f ca="1"/>
        <v>-1.835521349481728E-3</v>
      </c>
      <c r="E963" s="92"/>
      <c r="F963" s="97">
        <f>_xll.meDateFromTenor(F962,"1D","FOLLOWING","TGT")</f>
        <v>43874</v>
      </c>
      <c r="G963" s="95">
        <f ca="1"/>
        <v>-9.3397209517926088E-4</v>
      </c>
      <c r="H963" s="92" t="s">
        <v>4</v>
      </c>
      <c r="I963" s="97">
        <f>_xll.meDateFromTenor(I962,"1D","FOLLOWING","TGT")</f>
        <v>43874</v>
      </c>
      <c r="J963" s="95">
        <f ca="1"/>
        <v>3.7536931984813221E-4</v>
      </c>
      <c r="K963" s="5" t="s">
        <v>4</v>
      </c>
      <c r="L963" s="97">
        <f>_xll.meDateFromTenor(L962,"1D","FOLLOWING","TGT")</f>
        <v>43874</v>
      </c>
      <c r="M963" s="95">
        <f ca="1"/>
        <v>2.1903494844461142E-3</v>
      </c>
      <c r="N963" s="5" t="s">
        <v>4</v>
      </c>
      <c r="O963" s="97">
        <f>_xll.meDateFromTenor(O962,"1D","FOLLOWING","TGT")</f>
        <v>43874</v>
      </c>
      <c r="P963" s="95">
        <f ca="1"/>
        <v>4.1837131741221207E-3</v>
      </c>
      <c r="Q963" s="5" t="s">
        <v>4</v>
      </c>
      <c r="R963" s="83" t="s">
        <v>4</v>
      </c>
    </row>
    <row r="964" spans="1:18" x14ac:dyDescent="0.25">
      <c r="A964" s="88">
        <v>950</v>
      </c>
      <c r="B964" s="82"/>
      <c r="C964" s="97">
        <f>_xll.meDateFromTenor(C963,"1D","FOLLOWING","TGT")</f>
        <v>43875</v>
      </c>
      <c r="D964" s="95">
        <f ca="1"/>
        <v>-1.8328996049365998E-3</v>
      </c>
      <c r="E964" s="92"/>
      <c r="F964" s="97">
        <f>_xll.meDateFromTenor(F963,"1D","FOLLOWING","TGT")</f>
        <v>43875</v>
      </c>
      <c r="G964" s="95">
        <f ca="1"/>
        <v>-9.2759805131159296E-4</v>
      </c>
      <c r="H964" s="92" t="s">
        <v>4</v>
      </c>
      <c r="I964" s="97">
        <f>_xll.meDateFromTenor(I963,"1D","FOLLOWING","TGT")</f>
        <v>43875</v>
      </c>
      <c r="J964" s="95">
        <f ca="1"/>
        <v>3.8101364015997205E-4</v>
      </c>
      <c r="K964" s="5" t="s">
        <v>4</v>
      </c>
      <c r="L964" s="97">
        <f>_xll.meDateFromTenor(L963,"1D","FOLLOWING","TGT")</f>
        <v>43875</v>
      </c>
      <c r="M964" s="95">
        <f ca="1"/>
        <v>2.1963659613674067E-3</v>
      </c>
      <c r="N964" s="5" t="s">
        <v>4</v>
      </c>
      <c r="O964" s="97">
        <f>_xll.meDateFromTenor(O963,"1D","FOLLOWING","TGT")</f>
        <v>43875</v>
      </c>
      <c r="P964" s="95">
        <f ca="1"/>
        <v>4.1895581808230912E-3</v>
      </c>
      <c r="Q964" s="5" t="s">
        <v>4</v>
      </c>
      <c r="R964" s="83" t="s">
        <v>4</v>
      </c>
    </row>
    <row r="965" spans="1:18" x14ac:dyDescent="0.25">
      <c r="A965" s="88">
        <v>951</v>
      </c>
      <c r="B965" s="82"/>
      <c r="C965" s="97">
        <f>_xll.meDateFromTenor(C964,"1D","FOLLOWING","TGT")</f>
        <v>43878</v>
      </c>
      <c r="D965" s="95">
        <f ca="1"/>
        <v>-1.8252132649987374E-3</v>
      </c>
      <c r="E965" s="92"/>
      <c r="F965" s="97">
        <f>_xll.meDateFromTenor(F964,"1D","FOLLOWING","TGT")</f>
        <v>43878</v>
      </c>
      <c r="G965" s="95">
        <f ca="1"/>
        <v>-9.0830177361583624E-4</v>
      </c>
      <c r="H965" s="92" t="s">
        <v>4</v>
      </c>
      <c r="I965" s="97">
        <f>_xll.meDateFromTenor(I964,"1D","FOLLOWING","TGT")</f>
        <v>43878</v>
      </c>
      <c r="J965" s="95">
        <f ca="1"/>
        <v>3.9796521864537987E-4</v>
      </c>
      <c r="K965" s="5" t="s">
        <v>4</v>
      </c>
      <c r="L965" s="97">
        <f>_xll.meDateFromTenor(L964,"1D","FOLLOWING","TGT")</f>
        <v>43878</v>
      </c>
      <c r="M965" s="95">
        <f ca="1"/>
        <v>2.2144315603473178E-3</v>
      </c>
      <c r="N965" s="5" t="s">
        <v>4</v>
      </c>
      <c r="O965" s="97">
        <f>_xll.meDateFromTenor(O964,"1D","FOLLOWING","TGT")</f>
        <v>43878</v>
      </c>
      <c r="P965" s="95">
        <f ca="1"/>
        <v>4.2071159400681188E-3</v>
      </c>
      <c r="Q965" s="5" t="s">
        <v>4</v>
      </c>
      <c r="R965" s="83" t="s">
        <v>4</v>
      </c>
    </row>
    <row r="966" spans="1:18" x14ac:dyDescent="0.25">
      <c r="A966" s="88">
        <v>952</v>
      </c>
      <c r="B966" s="82"/>
      <c r="C966" s="97">
        <f>_xll.meDateFromTenor(C965,"1D","FOLLOWING","TGT")</f>
        <v>43879</v>
      </c>
      <c r="D966" s="95">
        <f ca="1"/>
        <v>-1.8227107814079435E-3</v>
      </c>
      <c r="E966" s="92"/>
      <c r="F966" s="97">
        <f>_xll.meDateFromTenor(F965,"1D","FOLLOWING","TGT")</f>
        <v>43879</v>
      </c>
      <c r="G966" s="95">
        <f ca="1"/>
        <v>-9.0181941396255628E-4</v>
      </c>
      <c r="H966" s="92" t="s">
        <v>4</v>
      </c>
      <c r="I966" s="97">
        <f>_xll.meDateFromTenor(I965,"1D","FOLLOWING","TGT")</f>
        <v>43879</v>
      </c>
      <c r="J966" s="95">
        <f ca="1"/>
        <v>4.0362191853626376E-4</v>
      </c>
      <c r="K966" s="5" t="s">
        <v>4</v>
      </c>
      <c r="L966" s="97">
        <f>_xll.meDateFromTenor(L965,"1D","FOLLOWING","TGT")</f>
        <v>43879</v>
      </c>
      <c r="M966" s="95">
        <f ca="1"/>
        <v>2.2204588253208085E-3</v>
      </c>
      <c r="N966" s="5" t="s">
        <v>4</v>
      </c>
      <c r="O966" s="97">
        <f>_xll.meDateFromTenor(O965,"1D","FOLLOWING","TGT")</f>
        <v>43879</v>
      </c>
      <c r="P966" s="95">
        <f ca="1"/>
        <v>4.2129761492816949E-3</v>
      </c>
      <c r="Q966" s="5" t="s">
        <v>4</v>
      </c>
      <c r="R966" s="83" t="s">
        <v>4</v>
      </c>
    </row>
    <row r="967" spans="1:18" x14ac:dyDescent="0.25">
      <c r="A967" s="88">
        <v>953</v>
      </c>
      <c r="B967" s="82"/>
      <c r="C967" s="97">
        <f>_xll.meDateFromTenor(C966,"1D","FOLLOWING","TGT")</f>
        <v>43880</v>
      </c>
      <c r="D967" s="95">
        <f ca="1"/>
        <v>-1.820238111955863E-3</v>
      </c>
      <c r="E967" s="92"/>
      <c r="F967" s="97">
        <f>_xll.meDateFromTenor(F966,"1D","FOLLOWING","TGT")</f>
        <v>43880</v>
      </c>
      <c r="G967" s="95">
        <f ca="1"/>
        <v>-8.9531581157004125E-4</v>
      </c>
      <c r="H967" s="92" t="s">
        <v>4</v>
      </c>
      <c r="I967" s="97">
        <f>_xll.meDateFromTenor(I966,"1D","FOLLOWING","TGT")</f>
        <v>43880</v>
      </c>
      <c r="J967" s="95">
        <f ca="1"/>
        <v>4.0928168923124711E-4</v>
      </c>
      <c r="K967" s="5" t="s">
        <v>4</v>
      </c>
      <c r="L967" s="97">
        <f>_xll.meDateFromTenor(L966,"1D","FOLLOWING","TGT")</f>
        <v>43880</v>
      </c>
      <c r="M967" s="95">
        <f ca="1"/>
        <v>2.2264887942384801E-3</v>
      </c>
      <c r="N967" s="5" t="s">
        <v>4</v>
      </c>
      <c r="O967" s="97">
        <f>_xll.meDateFromTenor(O966,"1D","FOLLOWING","TGT")</f>
        <v>43880</v>
      </c>
      <c r="P967" s="95">
        <f ca="1"/>
        <v>4.2188401914368158E-3</v>
      </c>
      <c r="Q967" s="5" t="s">
        <v>4</v>
      </c>
      <c r="R967" s="83" t="s">
        <v>4</v>
      </c>
    </row>
    <row r="968" spans="1:18" x14ac:dyDescent="0.25">
      <c r="A968" s="88">
        <v>954</v>
      </c>
      <c r="B968" s="82"/>
      <c r="C968" s="97">
        <f>_xll.meDateFromTenor(C967,"1D","FOLLOWING","TGT")</f>
        <v>43881</v>
      </c>
      <c r="D968" s="95">
        <f ca="1"/>
        <v>-1.8177952561854172E-3</v>
      </c>
      <c r="E968" s="92"/>
      <c r="F968" s="97">
        <f>_xll.meDateFromTenor(F967,"1D","FOLLOWING","TGT")</f>
        <v>43881</v>
      </c>
      <c r="G968" s="95">
        <f ca="1"/>
        <v>-8.8879330092115564E-4</v>
      </c>
      <c r="H968" s="92" t="s">
        <v>4</v>
      </c>
      <c r="I968" s="97">
        <f>_xll.meDateFromTenor(I967,"1D","FOLLOWING","TGT")</f>
        <v>43881</v>
      </c>
      <c r="J968" s="95">
        <f ca="1"/>
        <v>4.1494452109406763E-4</v>
      </c>
      <c r="K968" s="5" t="s">
        <v>4</v>
      </c>
      <c r="L968" s="97">
        <f>_xll.meDateFromTenor(L967,"1D","FOLLOWING","TGT")</f>
        <v>43881</v>
      </c>
      <c r="M968" s="95">
        <f ca="1"/>
        <v>2.232521469872786E-3</v>
      </c>
      <c r="N968" s="5" t="s">
        <v>4</v>
      </c>
      <c r="O968" s="97">
        <f>_xll.meDateFromTenor(O967,"1D","FOLLOWING","TGT")</f>
        <v>43881</v>
      </c>
      <c r="P968" s="95">
        <f ca="1"/>
        <v>4.224708079458842E-3</v>
      </c>
      <c r="Q968" s="5" t="s">
        <v>4</v>
      </c>
      <c r="R968" s="83" t="s">
        <v>4</v>
      </c>
    </row>
    <row r="969" spans="1:18" x14ac:dyDescent="0.25">
      <c r="A969" s="88">
        <v>955</v>
      </c>
      <c r="B969" s="82"/>
      <c r="C969" s="97">
        <f>_xll.meDateFromTenor(C968,"1D","FOLLOWING","TGT")</f>
        <v>43882</v>
      </c>
      <c r="D969" s="95">
        <f ca="1"/>
        <v>-1.8153822137960685E-3</v>
      </c>
      <c r="E969" s="92"/>
      <c r="F969" s="97">
        <f>_xll.meDateFromTenor(F968,"1D","FOLLOWING","TGT")</f>
        <v>43882</v>
      </c>
      <c r="G969" s="95">
        <f ca="1"/>
        <v>-8.8225421649876733E-4</v>
      </c>
      <c r="H969" s="92" t="s">
        <v>4</v>
      </c>
      <c r="I969" s="97">
        <f>_xll.meDateFromTenor(I968,"1D","FOLLOWING","TGT")</f>
        <v>43882</v>
      </c>
      <c r="J969" s="95">
        <f ca="1"/>
        <v>4.2061040448846017E-4</v>
      </c>
      <c r="K969" s="5" t="s">
        <v>4</v>
      </c>
      <c r="L969" s="97">
        <f>_xll.meDateFromTenor(L968,"1D","FOLLOWING","TGT")</f>
        <v>43882</v>
      </c>
      <c r="M969" s="95">
        <f ca="1"/>
        <v>2.2385568549961798E-3</v>
      </c>
      <c r="N969" s="5" t="s">
        <v>4</v>
      </c>
      <c r="O969" s="97">
        <f>_xll.meDateFromTenor(O968,"1D","FOLLOWING","TGT")</f>
        <v>43882</v>
      </c>
      <c r="P969" s="95">
        <f ca="1"/>
        <v>4.2305798262731332E-3</v>
      </c>
      <c r="Q969" s="5" t="s">
        <v>4</v>
      </c>
      <c r="R969" s="83" t="s">
        <v>4</v>
      </c>
    </row>
    <row r="970" spans="1:18" x14ac:dyDescent="0.25">
      <c r="A970" s="88">
        <v>956</v>
      </c>
      <c r="B970" s="82"/>
      <c r="C970" s="97">
        <f>_xll.meDateFromTenor(C969,"1D","FOLLOWING","TGT")</f>
        <v>43885</v>
      </c>
      <c r="D970" s="95">
        <f ca="1"/>
        <v>-1.8083219617572865E-3</v>
      </c>
      <c r="E970" s="92"/>
      <c r="F970" s="97">
        <f>_xll.meDateFromTenor(F969,"1D","FOLLOWING","TGT")</f>
        <v>43885</v>
      </c>
      <c r="G970" s="95">
        <f ca="1"/>
        <v>-8.6256086541925249E-4</v>
      </c>
      <c r="H970" s="92" t="s">
        <v>4</v>
      </c>
      <c r="I970" s="97">
        <f>_xll.meDateFromTenor(I969,"1D","FOLLOWING","TGT")</f>
        <v>43885</v>
      </c>
      <c r="J970" s="95">
        <f ca="1"/>
        <v>4.3762626749842753E-4</v>
      </c>
      <c r="K970" s="5" t="s">
        <v>4</v>
      </c>
      <c r="L970" s="97">
        <f>_xll.meDateFromTenor(L969,"1D","FOLLOWING","TGT")</f>
        <v>43885</v>
      </c>
      <c r="M970" s="95">
        <f ca="1"/>
        <v>2.2566792950254092E-3</v>
      </c>
      <c r="N970" s="5" t="s">
        <v>4</v>
      </c>
      <c r="O970" s="97">
        <f>_xll.meDateFromTenor(O969,"1D","FOLLOWING","TGT")</f>
        <v>43885</v>
      </c>
      <c r="P970" s="95">
        <f ca="1"/>
        <v>4.2482183487231682E-3</v>
      </c>
      <c r="Q970" s="5" t="s">
        <v>4</v>
      </c>
      <c r="R970" s="83" t="s">
        <v>4</v>
      </c>
    </row>
    <row r="971" spans="1:18" x14ac:dyDescent="0.25">
      <c r="A971" s="88">
        <v>957</v>
      </c>
      <c r="B971" s="82"/>
      <c r="C971" s="97">
        <f>_xll.meDateFromTenor(C970,"1D","FOLLOWING","TGT")</f>
        <v>43886</v>
      </c>
      <c r="D971" s="95">
        <f ca="1"/>
        <v>-1.806028168040652E-3</v>
      </c>
      <c r="E971" s="92"/>
      <c r="F971" s="97">
        <f>_xll.meDateFromTenor(F970,"1D","FOLLOWING","TGT")</f>
        <v>43886</v>
      </c>
      <c r="G971" s="95">
        <f ca="1"/>
        <v>-8.5597883073151903E-4</v>
      </c>
      <c r="H971" s="92" t="s">
        <v>4</v>
      </c>
      <c r="I971" s="97">
        <f>_xll.meDateFromTenor(I970,"1D","FOLLOWING","TGT")</f>
        <v>43886</v>
      </c>
      <c r="J971" s="95">
        <f ca="1"/>
        <v>4.4330426065646662E-4</v>
      </c>
      <c r="K971" s="5" t="s">
        <v>4</v>
      </c>
      <c r="L971" s="97">
        <f>_xll.meDateFromTenor(L970,"1D","FOLLOWING","TGT")</f>
        <v>43886</v>
      </c>
      <c r="M971" s="95">
        <f ca="1"/>
        <v>2.2627255458296789E-3</v>
      </c>
      <c r="N971" s="5" t="s">
        <v>4</v>
      </c>
      <c r="O971" s="97">
        <f>_xll.meDateFromTenor(O970,"1D","FOLLOWING","TGT")</f>
        <v>43886</v>
      </c>
      <c r="P971" s="95">
        <f ca="1"/>
        <v>4.2541056599600963E-3</v>
      </c>
      <c r="Q971" s="5" t="s">
        <v>4</v>
      </c>
      <c r="R971" s="83" t="s">
        <v>4</v>
      </c>
    </row>
    <row r="972" spans="1:18" x14ac:dyDescent="0.25">
      <c r="A972" s="88">
        <v>958</v>
      </c>
      <c r="B972" s="82"/>
      <c r="C972" s="97">
        <f>_xll.meDateFromTenor(C971,"1D","FOLLOWING","TGT")</f>
        <v>43887</v>
      </c>
      <c r="D972" s="95">
        <f ca="1"/>
        <v>-1.8037641855251918E-3</v>
      </c>
      <c r="E972" s="92"/>
      <c r="F972" s="97">
        <f>_xll.meDateFromTenor(F971,"1D","FOLLOWING","TGT")</f>
        <v>43887</v>
      </c>
      <c r="G972" s="95">
        <f ca="1"/>
        <v>-8.4939189468461623E-4</v>
      </c>
      <c r="H972" s="92" t="s">
        <v>4</v>
      </c>
      <c r="I972" s="97">
        <f>_xll.meDateFromTenor(I971,"1D","FOLLOWING","TGT")</f>
        <v>43887</v>
      </c>
      <c r="J972" s="95">
        <f ca="1"/>
        <v>4.4898525716475699E-4</v>
      </c>
      <c r="K972" s="5" t="s">
        <v>4</v>
      </c>
      <c r="L972" s="97">
        <f>_xll.meDateFromTenor(L971,"1D","FOLLOWING","TGT")</f>
        <v>43887</v>
      </c>
      <c r="M972" s="95">
        <f ca="1"/>
        <v>2.2687745199852995E-3</v>
      </c>
      <c r="N972" s="5" t="s">
        <v>4</v>
      </c>
      <c r="O972" s="97">
        <f>_xll.meDateFromTenor(O971,"1D","FOLLOWING","TGT")</f>
        <v>43887</v>
      </c>
      <c r="P972" s="95">
        <f ca="1"/>
        <v>4.2599968946160803E-3</v>
      </c>
      <c r="Q972" s="5" t="s">
        <v>4</v>
      </c>
      <c r="R972" s="83" t="s">
        <v>4</v>
      </c>
    </row>
    <row r="973" spans="1:18" x14ac:dyDescent="0.25">
      <c r="A973" s="88">
        <v>959</v>
      </c>
      <c r="B973" s="82"/>
      <c r="C973" s="97">
        <f>_xll.meDateFromTenor(C972,"1D","FOLLOWING","TGT")</f>
        <v>43888</v>
      </c>
      <c r="D973" s="95">
        <f ca="1"/>
        <v>-1.8015300135754142E-3</v>
      </c>
      <c r="E973" s="92"/>
      <c r="F973" s="97">
        <f>_xll.meDateFromTenor(F972,"1D","FOLLOWING","TGT")</f>
        <v>43888</v>
      </c>
      <c r="G973" s="95">
        <f ca="1"/>
        <v>-8.4280239176141131E-4</v>
      </c>
      <c r="H973" s="92" t="s">
        <v>4</v>
      </c>
      <c r="I973" s="97">
        <f>_xll.meDateFromTenor(I972,"1D","FOLLOWING","TGT")</f>
        <v>43888</v>
      </c>
      <c r="J973" s="95">
        <f ca="1"/>
        <v>4.5466924738703349E-4</v>
      </c>
      <c r="K973" s="5" t="s">
        <v>4</v>
      </c>
      <c r="L973" s="97">
        <f>_xll.meDateFromTenor(L972,"1D","FOLLOWING","TGT")</f>
        <v>43888</v>
      </c>
      <c r="M973" s="95">
        <f ca="1"/>
        <v>2.2748262202647233E-3</v>
      </c>
      <c r="N973" s="5" t="s">
        <v>4</v>
      </c>
      <c r="O973" s="97">
        <f>_xll.meDateFromTenor(O972,"1D","FOLLOWING","TGT")</f>
        <v>43888</v>
      </c>
      <c r="P973" s="95">
        <f ca="1"/>
        <v>4.265892065616477E-3</v>
      </c>
      <c r="Q973" s="5" t="s">
        <v>4</v>
      </c>
      <c r="R973" s="83" t="s">
        <v>4</v>
      </c>
    </row>
    <row r="974" spans="1:18" x14ac:dyDescent="0.25">
      <c r="A974" s="88">
        <v>960</v>
      </c>
      <c r="B974" s="82"/>
      <c r="C974" s="97">
        <f>_xll.meDateFromTenor(C973,"1D","FOLLOWING","TGT")</f>
        <v>43889</v>
      </c>
      <c r="D974" s="95">
        <f ca="1"/>
        <v>-1.7993256517923051E-3</v>
      </c>
      <c r="E974" s="92"/>
      <c r="F974" s="97">
        <f>_xll.meDateFromTenor(F973,"1D","FOLLOWING","TGT")</f>
        <v>43889</v>
      </c>
      <c r="G974" s="95">
        <f ca="1"/>
        <v>-8.3621265644476901E-4</v>
      </c>
      <c r="H974" s="92" t="s">
        <v>4</v>
      </c>
      <c r="I974" s="97">
        <f>_xll.meDateFromTenor(I973,"1D","FOLLOWING","TGT")</f>
        <v>43889</v>
      </c>
      <c r="J974" s="95">
        <f ca="1"/>
        <v>4.6035622168703384E-4</v>
      </c>
      <c r="K974" s="5" t="s">
        <v>4</v>
      </c>
      <c r="L974" s="97">
        <f>_xll.meDateFromTenor(L973,"1D","FOLLOWING","TGT")</f>
        <v>43889</v>
      </c>
      <c r="M974" s="95">
        <f ca="1"/>
        <v>2.2808806494404046E-3</v>
      </c>
      <c r="N974" s="5" t="s">
        <v>4</v>
      </c>
      <c r="O974" s="97">
        <f>_xll.meDateFromTenor(O973,"1D","FOLLOWING","TGT")</f>
        <v>43889</v>
      </c>
      <c r="P974" s="95">
        <f ca="1"/>
        <v>4.2717911858866468E-3</v>
      </c>
      <c r="Q974" s="5" t="s">
        <v>4</v>
      </c>
      <c r="R974" s="83" t="s">
        <v>4</v>
      </c>
    </row>
    <row r="975" spans="1:18" x14ac:dyDescent="0.25">
      <c r="A975" s="88">
        <v>961</v>
      </c>
      <c r="B975" s="82"/>
      <c r="C975" s="97">
        <f>_xll.meDateFromTenor(C974,"1D","FOLLOWING","TGT")</f>
        <v>43892</v>
      </c>
      <c r="D975" s="95">
        <f ca="1"/>
        <v>-1.7928746530524453E-3</v>
      </c>
      <c r="E975" s="92"/>
      <c r="F975" s="97">
        <f>_xll.meDateFromTenor(F974,"1D","FOLLOWING","TGT")</f>
        <v>43892</v>
      </c>
      <c r="G975" s="95">
        <f ca="1"/>
        <v>-8.1646540096289195E-4</v>
      </c>
      <c r="H975" s="92" t="s">
        <v>4</v>
      </c>
      <c r="I975" s="97">
        <f>_xll.meDateFromTenor(I974,"1D","FOLLOWING","TGT")</f>
        <v>43892</v>
      </c>
      <c r="J975" s="95">
        <f ca="1"/>
        <v>4.7743495269072974E-4</v>
      </c>
      <c r="K975" s="5" t="s">
        <v>4</v>
      </c>
      <c r="L975" s="97">
        <f>_xll.meDateFromTenor(L974,"1D","FOLLOWING","TGT")</f>
        <v>43892</v>
      </c>
      <c r="M975" s="95">
        <f ca="1"/>
        <v>2.2990603380695154E-3</v>
      </c>
      <c r="N975" s="5" t="s">
        <v>4</v>
      </c>
      <c r="O975" s="97">
        <f>_xll.meDateFromTenor(O974,"1D","FOLLOWING","TGT")</f>
        <v>43892</v>
      </c>
      <c r="P975" s="95">
        <f ca="1"/>
        <v>4.2895123715693713E-3</v>
      </c>
      <c r="Q975" s="5" t="s">
        <v>4</v>
      </c>
      <c r="R975" s="83" t="s">
        <v>4</v>
      </c>
    </row>
    <row r="976" spans="1:18" x14ac:dyDescent="0.25">
      <c r="A976" s="88">
        <v>962</v>
      </c>
      <c r="B976" s="82"/>
      <c r="C976" s="97">
        <f>_xll.meDateFromTenor(C975,"1D","FOLLOWING","TGT")</f>
        <v>43893</v>
      </c>
      <c r="D976" s="95">
        <f ca="1"/>
        <v>-1.7906889038675766E-3</v>
      </c>
      <c r="E976" s="92"/>
      <c r="F976" s="97">
        <f>_xll.meDateFromTenor(F975,"1D","FOLLOWING","TGT")</f>
        <v>43893</v>
      </c>
      <c r="G976" s="95">
        <f ca="1"/>
        <v>-8.0989771935714499E-4</v>
      </c>
      <c r="H976" s="92" t="s">
        <v>4</v>
      </c>
      <c r="I976" s="97">
        <f>_xll.meDateFromTenor(I975,"1D","FOLLOWING","TGT")</f>
        <v>43893</v>
      </c>
      <c r="J976" s="95">
        <f ca="1"/>
        <v>4.8313377135475092E-4</v>
      </c>
      <c r="K976" s="5" t="s">
        <v>4</v>
      </c>
      <c r="L976" s="97">
        <f>_xll.meDateFromTenor(L975,"1D","FOLLOWING","TGT")</f>
        <v>43893</v>
      </c>
      <c r="M976" s="95">
        <f ca="1"/>
        <v>2.3051257105547508E-3</v>
      </c>
      <c r="N976" s="5" t="s">
        <v>4</v>
      </c>
      <c r="O976" s="97">
        <f>_xll.meDateFromTenor(O975,"1D","FOLLOWING","TGT")</f>
        <v>43893</v>
      </c>
      <c r="P976" s="95">
        <f ca="1"/>
        <v>4.295427418172214E-3</v>
      </c>
      <c r="Q976" s="5" t="s">
        <v>4</v>
      </c>
      <c r="R976" s="83" t="s">
        <v>4</v>
      </c>
    </row>
    <row r="977" spans="1:18" x14ac:dyDescent="0.25">
      <c r="A977" s="88">
        <v>963</v>
      </c>
      <c r="B977" s="82"/>
      <c r="C977" s="97">
        <f>_xll.meDateFromTenor(C976,"1D","FOLLOWING","TGT")</f>
        <v>43894</v>
      </c>
      <c r="D977" s="95">
        <f ca="1"/>
        <v>-1.7884323402883595E-3</v>
      </c>
      <c r="E977" s="92"/>
      <c r="F977" s="97">
        <f>_xll.meDateFromTenor(F976,"1D","FOLLOWING","TGT")</f>
        <v>43894</v>
      </c>
      <c r="G977" s="95">
        <f ca="1"/>
        <v>-8.0333930850814159E-4</v>
      </c>
      <c r="H977" s="92" t="s">
        <v>4</v>
      </c>
      <c r="I977" s="97">
        <f>_xll.meDateFromTenor(I976,"1D","FOLLOWING","TGT")</f>
        <v>43894</v>
      </c>
      <c r="J977" s="95">
        <f ca="1"/>
        <v>4.8883555240979832E-4</v>
      </c>
      <c r="K977" s="5" t="s">
        <v>4</v>
      </c>
      <c r="L977" s="97">
        <f>_xll.meDateFromTenor(L976,"1D","FOLLOWING","TGT")</f>
        <v>43894</v>
      </c>
      <c r="M977" s="95">
        <f ca="1"/>
        <v>2.3111938257985068E-3</v>
      </c>
      <c r="N977" s="5" t="s">
        <v>4</v>
      </c>
      <c r="O977" s="97">
        <f>_xll.meDateFromTenor(O976,"1D","FOLLOWING","TGT")</f>
        <v>43894</v>
      </c>
      <c r="P977" s="95">
        <f ca="1"/>
        <v>4.301346478671619E-3</v>
      </c>
      <c r="Q977" s="5" t="s">
        <v>4</v>
      </c>
      <c r="R977" s="83" t="s">
        <v>4</v>
      </c>
    </row>
    <row r="978" spans="1:18" x14ac:dyDescent="0.25">
      <c r="A978" s="88">
        <v>964</v>
      </c>
      <c r="B978" s="82"/>
      <c r="C978" s="97">
        <f>_xll.meDateFromTenor(C977,"1D","FOLLOWING","TGT")</f>
        <v>43895</v>
      </c>
      <c r="D978" s="95">
        <f ca="1"/>
        <v>-1.786104962792745E-3</v>
      </c>
      <c r="E978" s="92"/>
      <c r="F978" s="97">
        <f>_xll.meDateFromTenor(F977,"1D","FOLLOWING","TGT")</f>
        <v>43895</v>
      </c>
      <c r="G978" s="95">
        <f ca="1"/>
        <v>-7.9679033363459089E-4</v>
      </c>
      <c r="H978" s="92" t="s">
        <v>4</v>
      </c>
      <c r="I978" s="97">
        <f>_xll.meDateFromTenor(I977,"1D","FOLLOWING","TGT")</f>
        <v>43895</v>
      </c>
      <c r="J978" s="95">
        <f ca="1"/>
        <v>4.9454031271423441E-4</v>
      </c>
      <c r="K978" s="5" t="s">
        <v>4</v>
      </c>
      <c r="L978" s="97">
        <f>_xll.meDateFromTenor(L977,"1D","FOLLOWING","TGT")</f>
        <v>43895</v>
      </c>
      <c r="M978" s="95">
        <f ca="1"/>
        <v>2.3172646865732369E-3</v>
      </c>
      <c r="N978" s="5" t="s">
        <v>4</v>
      </c>
      <c r="O978" s="97">
        <f>_xll.meDateFromTenor(O977,"1D","FOLLOWING","TGT")</f>
        <v>43895</v>
      </c>
      <c r="P978" s="95">
        <f ca="1"/>
        <v>4.3072695659929477E-3</v>
      </c>
      <c r="Q978" s="5" t="s">
        <v>4</v>
      </c>
      <c r="R978" s="83" t="s">
        <v>4</v>
      </c>
    </row>
    <row r="979" spans="1:18" x14ac:dyDescent="0.25">
      <c r="A979" s="88">
        <v>965</v>
      </c>
      <c r="B979" s="82"/>
      <c r="C979" s="97">
        <f>_xll.meDateFromTenor(C978,"1D","FOLLOWING","TGT")</f>
        <v>43896</v>
      </c>
      <c r="D979" s="95">
        <f ca="1"/>
        <v>-1.7837067724827405E-3</v>
      </c>
      <c r="E979" s="92"/>
      <c r="F979" s="97">
        <f>_xll.meDateFromTenor(F978,"1D","FOLLOWING","TGT")</f>
        <v>43896</v>
      </c>
      <c r="G979" s="95">
        <f ca="1"/>
        <v>-7.902509599552063E-4</v>
      </c>
      <c r="H979" s="92" t="s">
        <v>4</v>
      </c>
      <c r="I979" s="97">
        <f>_xll.meDateFromTenor(I978,"1D","FOLLOWING","TGT")</f>
        <v>43896</v>
      </c>
      <c r="J979" s="95">
        <f ca="1"/>
        <v>5.0024806912641944E-4</v>
      </c>
      <c r="K979" s="5" t="s">
        <v>4</v>
      </c>
      <c r="L979" s="97">
        <f>_xll.meDateFromTenor(L978,"1D","FOLLOWING","TGT")</f>
        <v>43896</v>
      </c>
      <c r="M979" s="95">
        <f ca="1"/>
        <v>2.323338295651393E-3</v>
      </c>
      <c r="N979" s="5" t="s">
        <v>4</v>
      </c>
      <c r="O979" s="97">
        <f>_xll.meDateFromTenor(O978,"1D","FOLLOWING","TGT")</f>
        <v>43896</v>
      </c>
      <c r="P979" s="95">
        <f ca="1"/>
        <v>4.3131966930615561E-3</v>
      </c>
      <c r="Q979" s="5" t="s">
        <v>4</v>
      </c>
      <c r="R979" s="83" t="s">
        <v>4</v>
      </c>
    </row>
    <row r="980" spans="1:18" x14ac:dyDescent="0.25">
      <c r="A980" s="88">
        <v>966</v>
      </c>
      <c r="B980" s="82"/>
      <c r="C980" s="97">
        <f>_xll.meDateFromTenor(C979,"1D","FOLLOWING","TGT")</f>
        <v>43899</v>
      </c>
      <c r="D980" s="95">
        <f ca="1"/>
        <v>-1.7760873327087312E-3</v>
      </c>
      <c r="E980" s="92"/>
      <c r="F980" s="97">
        <f>_xll.meDateFromTenor(F979,"1D","FOLLOWING","TGT")</f>
        <v>43899</v>
      </c>
      <c r="G980" s="95">
        <f ca="1"/>
        <v>-7.7069209826916875E-4</v>
      </c>
      <c r="H980" s="92" t="s">
        <v>4</v>
      </c>
      <c r="I980" s="97">
        <f>_xll.meDateFromTenor(I979,"1D","FOLLOWING","TGT")</f>
        <v>43899</v>
      </c>
      <c r="J980" s="95">
        <f ca="1"/>
        <v>5.1738948359307405E-4</v>
      </c>
      <c r="K980" s="5" t="s">
        <v>4</v>
      </c>
      <c r="L980" s="97">
        <f>_xll.meDateFromTenor(L979,"1D","FOLLOWING","TGT")</f>
        <v>43899</v>
      </c>
      <c r="M980" s="95">
        <f ca="1"/>
        <v>2.3415756404309472E-3</v>
      </c>
      <c r="N980" s="5" t="s">
        <v>4</v>
      </c>
      <c r="O980" s="97">
        <f>_xll.meDateFromTenor(O979,"1D","FOLLOWING","TGT")</f>
        <v>43899</v>
      </c>
      <c r="P980" s="95">
        <f ca="1"/>
        <v>4.3310024420046512E-3</v>
      </c>
      <c r="Q980" s="5" t="s">
        <v>4</v>
      </c>
      <c r="R980" s="83" t="s">
        <v>4</v>
      </c>
    </row>
    <row r="981" spans="1:18" x14ac:dyDescent="0.25">
      <c r="A981" s="88">
        <v>967</v>
      </c>
      <c r="B981" s="82"/>
      <c r="C981" s="97">
        <f>_xll.meDateFromTenor(C980,"1D","FOLLOWING","TGT")</f>
        <v>43900</v>
      </c>
      <c r="D981" s="95">
        <f ca="1"/>
        <v>-1.773405899187952E-3</v>
      </c>
      <c r="E981" s="92"/>
      <c r="F981" s="97">
        <f>_xll.meDateFromTenor(F980,"1D","FOLLOWING","TGT")</f>
        <v>43900</v>
      </c>
      <c r="G981" s="95">
        <f ca="1"/>
        <v>-7.6419278155356743E-4</v>
      </c>
      <c r="H981" s="92" t="s">
        <v>4</v>
      </c>
      <c r="I981" s="97">
        <f>_xll.meDateFromTenor(I980,"1D","FOLLOWING","TGT")</f>
        <v>43900</v>
      </c>
      <c r="J981" s="95">
        <f ca="1"/>
        <v>5.2310939301986232E-4</v>
      </c>
      <c r="K981" s="5" t="s">
        <v>4</v>
      </c>
      <c r="L981" s="97">
        <f>_xll.meDateFromTenor(L980,"1D","FOLLOWING","TGT")</f>
        <v>43900</v>
      </c>
      <c r="M981" s="95">
        <f ca="1"/>
        <v>2.3476602704473369E-3</v>
      </c>
      <c r="N981" s="5" t="s">
        <v>4</v>
      </c>
      <c r="O981" s="97">
        <f>_xll.meDateFromTenor(O980,"1D","FOLLOWING","TGT")</f>
        <v>43900</v>
      </c>
      <c r="P981" s="95">
        <f ca="1"/>
        <v>4.3369458573159683E-3</v>
      </c>
      <c r="Q981" s="5" t="s">
        <v>4</v>
      </c>
      <c r="R981" s="83" t="s">
        <v>4</v>
      </c>
    </row>
    <row r="982" spans="1:18" x14ac:dyDescent="0.25">
      <c r="A982" s="88">
        <v>968</v>
      </c>
      <c r="B982" s="82"/>
      <c r="C982" s="97">
        <f>_xll.meDateFromTenor(C981,"1D","FOLLOWING","TGT")</f>
        <v>43901</v>
      </c>
      <c r="D982" s="95">
        <f ca="1"/>
        <v>-1.7706536567809739E-3</v>
      </c>
      <c r="E982" s="92"/>
      <c r="F982" s="97">
        <f>_xll.meDateFromTenor(F981,"1D","FOLLOWING","TGT")</f>
        <v>43901</v>
      </c>
      <c r="G982" s="95">
        <f ca="1"/>
        <v>-7.5770389212569166E-4</v>
      </c>
      <c r="H982" s="92" t="s">
        <v>4</v>
      </c>
      <c r="I982" s="97">
        <f>_xll.meDateFromTenor(I981,"1D","FOLLOWING","TGT")</f>
        <v>43901</v>
      </c>
      <c r="J982" s="95">
        <f ca="1"/>
        <v>5.2883238284620365E-4</v>
      </c>
      <c r="K982" s="5" t="s">
        <v>4</v>
      </c>
      <c r="L982" s="97">
        <f>_xll.meDateFromTenor(L981,"1D","FOLLOWING","TGT")</f>
        <v>43901</v>
      </c>
      <c r="M982" s="95">
        <f ca="1"/>
        <v>2.3537476626294168E-3</v>
      </c>
      <c r="N982" s="5" t="s">
        <v>4</v>
      </c>
      <c r="O982" s="97">
        <f>_xll.meDateFromTenor(O981,"1D","FOLLOWING","TGT")</f>
        <v>43901</v>
      </c>
      <c r="P982" s="95">
        <f ca="1"/>
        <v>4.3428933770013559E-3</v>
      </c>
      <c r="Q982" s="5" t="s">
        <v>4</v>
      </c>
      <c r="R982" s="83" t="s">
        <v>4</v>
      </c>
    </row>
    <row r="983" spans="1:18" x14ac:dyDescent="0.25">
      <c r="A983" s="88">
        <v>969</v>
      </c>
      <c r="B983" s="82"/>
      <c r="C983" s="97">
        <f>_xll.meDateFromTenor(C982,"1D","FOLLOWING","TGT")</f>
        <v>43902</v>
      </c>
      <c r="D983" s="95">
        <f ca="1"/>
        <v>-1.7678306064997651E-3</v>
      </c>
      <c r="E983" s="92"/>
      <c r="F983" s="97">
        <f>_xll.meDateFromTenor(F982,"1D","FOLLOWING","TGT")</f>
        <v>43902</v>
      </c>
      <c r="G983" s="95">
        <f ca="1"/>
        <v>-7.5122559520425449E-4</v>
      </c>
      <c r="H983" s="92" t="s">
        <v>4</v>
      </c>
      <c r="I983" s="97">
        <f>_xll.meDateFromTenor(I982,"1D","FOLLOWING","TGT")</f>
        <v>43902</v>
      </c>
      <c r="J983" s="95">
        <f ca="1"/>
        <v>5.3455846993045748E-4</v>
      </c>
      <c r="K983" s="5" t="s">
        <v>4</v>
      </c>
      <c r="L983" s="97">
        <f>_xll.meDateFromTenor(L982,"1D","FOLLOWING","TGT")</f>
        <v>43902</v>
      </c>
      <c r="M983" s="95">
        <f ca="1"/>
        <v>2.3598378197496389E-3</v>
      </c>
      <c r="N983" s="5" t="s">
        <v>4</v>
      </c>
      <c r="O983" s="97">
        <f>_xll.meDateFromTenor(O982,"1D","FOLLOWING","TGT")</f>
        <v>43902</v>
      </c>
      <c r="P983" s="95">
        <f ca="1"/>
        <v>4.3488450139861747E-3</v>
      </c>
      <c r="Q983" s="5" t="s">
        <v>4</v>
      </c>
      <c r="R983" s="83" t="s">
        <v>4</v>
      </c>
    </row>
    <row r="984" spans="1:18" x14ac:dyDescent="0.25">
      <c r="A984" s="88">
        <v>970</v>
      </c>
      <c r="B984" s="82"/>
      <c r="C984" s="97">
        <f>_xll.meDateFromTenor(C983,"1D","FOLLOWING","TGT")</f>
        <v>43903</v>
      </c>
      <c r="D984" s="95">
        <f ca="1"/>
        <v>-1.7649367486228806E-3</v>
      </c>
      <c r="E984" s="92"/>
      <c r="F984" s="97">
        <f>_xll.meDateFromTenor(F983,"1D","FOLLOWING","TGT")</f>
        <v>43903</v>
      </c>
      <c r="G984" s="95">
        <f ca="1"/>
        <v>-7.4475805600796561E-4</v>
      </c>
      <c r="H984" s="92" t="s">
        <v>4</v>
      </c>
      <c r="I984" s="97">
        <f>_xll.meDateFromTenor(I983,"1D","FOLLOWING","TGT")</f>
        <v>43903</v>
      </c>
      <c r="J984" s="95">
        <f ca="1"/>
        <v>5.4028767113098702E-4</v>
      </c>
      <c r="K984" s="5" t="s">
        <v>4</v>
      </c>
      <c r="L984" s="97">
        <f>_xll.meDateFromTenor(L983,"1D","FOLLOWING","TGT")</f>
        <v>43903</v>
      </c>
      <c r="M984" s="95">
        <f ca="1"/>
        <v>2.3659307445804581E-3</v>
      </c>
      <c r="N984" s="5" t="s">
        <v>4</v>
      </c>
      <c r="O984" s="97">
        <f>_xll.meDateFromTenor(O983,"1D","FOLLOWING","TGT")</f>
        <v>43903</v>
      </c>
      <c r="P984" s="95">
        <f ca="1"/>
        <v>4.354800781195785E-3</v>
      </c>
      <c r="Q984" s="5" t="s">
        <v>4</v>
      </c>
      <c r="R984" s="83" t="s">
        <v>4</v>
      </c>
    </row>
    <row r="985" spans="1:18" x14ac:dyDescent="0.25">
      <c r="A985" s="88">
        <v>971</v>
      </c>
      <c r="B985" s="82"/>
      <c r="C985" s="97">
        <f>_xll.meDateFromTenor(C984,"1D","FOLLOWING","TGT")</f>
        <v>43906</v>
      </c>
      <c r="D985" s="95">
        <f ca="1"/>
        <v>-1.7558303378856221E-3</v>
      </c>
      <c r="E985" s="92"/>
      <c r="F985" s="97">
        <f>_xll.meDateFromTenor(F984,"1D","FOLLOWING","TGT")</f>
        <v>43906</v>
      </c>
      <c r="G985" s="95">
        <f ca="1"/>
        <v>-7.2542163695711473E-4</v>
      </c>
      <c r="H985" s="92" t="s">
        <v>4</v>
      </c>
      <c r="I985" s="97">
        <f>_xll.meDateFromTenor(I984,"1D","FOLLOWING","TGT")</f>
        <v>43906</v>
      </c>
      <c r="J985" s="95">
        <f ca="1"/>
        <v>5.5749412801383116E-4</v>
      </c>
      <c r="K985" s="5" t="s">
        <v>4</v>
      </c>
      <c r="L985" s="97">
        <f>_xll.meDateFromTenor(L984,"1D","FOLLOWING","TGT")</f>
        <v>43906</v>
      </c>
      <c r="M985" s="95">
        <f ca="1"/>
        <v>2.384226153061018E-3</v>
      </c>
      <c r="N985" s="5" t="s">
        <v>4</v>
      </c>
      <c r="O985" s="97">
        <f>_xll.meDateFromTenor(O984,"1D","FOLLOWING","TGT")</f>
        <v>43906</v>
      </c>
      <c r="P985" s="95">
        <f ca="1"/>
        <v>4.3726929934269319E-3</v>
      </c>
      <c r="Q985" s="5" t="s">
        <v>4</v>
      </c>
      <c r="R985" s="83" t="s">
        <v>4</v>
      </c>
    </row>
    <row r="986" spans="1:18" x14ac:dyDescent="0.25">
      <c r="A986" s="88">
        <v>972</v>
      </c>
      <c r="B986" s="82"/>
      <c r="C986" s="97">
        <f>_xll.meDateFromTenor(C985,"1D","FOLLOWING","TGT")</f>
        <v>43907</v>
      </c>
      <c r="D986" s="95">
        <f ca="1"/>
        <v>-1.7526532574596576E-3</v>
      </c>
      <c r="E986" s="92"/>
      <c r="F986" s="97">
        <f>_xll.meDateFromTenor(F985,"1D","FOLLOWING","TGT")</f>
        <v>43907</v>
      </c>
      <c r="G986" s="95">
        <f ca="1"/>
        <v>-7.1899878084854391E-4</v>
      </c>
      <c r="H986" s="92" t="s">
        <v>4</v>
      </c>
      <c r="I986" s="97">
        <f>_xll.meDateFromTenor(I985,"1D","FOLLOWING","TGT")</f>
        <v>43907</v>
      </c>
      <c r="J986" s="95">
        <f ca="1"/>
        <v>5.6323595426306628E-4</v>
      </c>
      <c r="K986" s="5" t="s">
        <v>4</v>
      </c>
      <c r="L986" s="97">
        <f>_xll.meDateFromTenor(L985,"1D","FOLLOWING","TGT")</f>
        <v>43907</v>
      </c>
      <c r="M986" s="95">
        <f ca="1"/>
        <v>2.3903301764587482E-3</v>
      </c>
      <c r="N986" s="5" t="s">
        <v>4</v>
      </c>
      <c r="O986" s="97">
        <f>_xll.meDateFromTenor(O985,"1D","FOLLOWING","TGT")</f>
        <v>43907</v>
      </c>
      <c r="P986" s="95">
        <f ca="1"/>
        <v>4.3786654107892797E-3</v>
      </c>
      <c r="Q986" s="5" t="s">
        <v>4</v>
      </c>
      <c r="R986" s="83" t="s">
        <v>4</v>
      </c>
    </row>
    <row r="987" spans="1:18" x14ac:dyDescent="0.25">
      <c r="A987" s="88">
        <v>973</v>
      </c>
      <c r="B987" s="82"/>
      <c r="C987" s="97">
        <f>_xll.meDateFromTenor(C986,"1D","FOLLOWING","TGT")</f>
        <v>43908</v>
      </c>
      <c r="D987" s="95">
        <f ca="1"/>
        <v>-1.749405373040358E-3</v>
      </c>
      <c r="E987" s="92"/>
      <c r="F987" s="97">
        <f>_xll.meDateFromTenor(F986,"1D","FOLLOWING","TGT")</f>
        <v>43908</v>
      </c>
      <c r="G987" s="95">
        <f ca="1"/>
        <v>-7.1258750855868083E-4</v>
      </c>
      <c r="H987" s="92" t="s">
        <v>4</v>
      </c>
      <c r="I987" s="97">
        <f>_xll.meDateFromTenor(I986,"1D","FOLLOWING","TGT")</f>
        <v>43908</v>
      </c>
      <c r="J987" s="95">
        <f ca="1"/>
        <v>5.6898097892038103E-4</v>
      </c>
      <c r="K987" s="5" t="s">
        <v>4</v>
      </c>
      <c r="L987" s="97">
        <f>_xll.meDateFromTenor(L986,"1D","FOLLOWING","TGT")</f>
        <v>43908</v>
      </c>
      <c r="M987" s="95">
        <f ca="1"/>
        <v>2.3964369814293385E-3</v>
      </c>
      <c r="N987" s="5" t="s">
        <v>4</v>
      </c>
      <c r="O987" s="97">
        <f>_xll.meDateFromTenor(O986,"1D","FOLLOWING","TGT")</f>
        <v>43908</v>
      </c>
      <c r="P987" s="95">
        <f ca="1"/>
        <v>4.3846420230032115E-3</v>
      </c>
      <c r="Q987" s="5" t="s">
        <v>4</v>
      </c>
      <c r="R987" s="83" t="s">
        <v>4</v>
      </c>
    </row>
    <row r="988" spans="1:18" x14ac:dyDescent="0.25">
      <c r="A988" s="88">
        <v>974</v>
      </c>
      <c r="B988" s="82"/>
      <c r="C988" s="97">
        <f>_xll.meDateFromTenor(C987,"1D","FOLLOWING","TGT")</f>
        <v>43909</v>
      </c>
      <c r="D988" s="95">
        <f ca="1"/>
        <v>-1.7460866851752854E-3</v>
      </c>
      <c r="E988" s="92"/>
      <c r="F988" s="97">
        <f>_xll.meDateFromTenor(F987,"1D","FOLLOWING","TGT")</f>
        <v>43909</v>
      </c>
      <c r="G988" s="95">
        <f ca="1"/>
        <v>-7.0618798530623888E-4</v>
      </c>
      <c r="H988" s="92" t="s">
        <v>4</v>
      </c>
      <c r="I988" s="97">
        <f>_xll.meDateFromTenor(I987,"1D","FOLLOWING","TGT")</f>
        <v>43909</v>
      </c>
      <c r="J988" s="95">
        <f ca="1"/>
        <v>5.7472921884413536E-4</v>
      </c>
      <c r="K988" s="5" t="s">
        <v>4</v>
      </c>
      <c r="L988" s="97">
        <f>_xll.meDateFromTenor(L987,"1D","FOLLOWING","TGT")</f>
        <v>43909</v>
      </c>
      <c r="M988" s="95">
        <f ca="1"/>
        <v>2.4025465707452421E-3</v>
      </c>
      <c r="N988" s="5" t="s">
        <v>4</v>
      </c>
      <c r="O988" s="97">
        <f>_xll.meDateFromTenor(O987,"1D","FOLLOWING","TGT")</f>
        <v>43909</v>
      </c>
      <c r="P988" s="95">
        <f ca="1"/>
        <v>4.3906228429940828E-3</v>
      </c>
      <c r="Q988" s="5" t="s">
        <v>4</v>
      </c>
      <c r="R988" s="83" t="s">
        <v>4</v>
      </c>
    </row>
    <row r="989" spans="1:18" x14ac:dyDescent="0.25">
      <c r="A989" s="88">
        <v>975</v>
      </c>
      <c r="B989" s="82"/>
      <c r="C989" s="97">
        <f>_xll.meDateFromTenor(C988,"1D","FOLLOWING","TGT")</f>
        <v>43910</v>
      </c>
      <c r="D989" s="95">
        <f ca="1"/>
        <v>-1.7426971943574898E-3</v>
      </c>
      <c r="E989" s="92"/>
      <c r="F989" s="97">
        <f>_xll.meDateFromTenor(F988,"1D","FOLLOWING","TGT")</f>
        <v>43910</v>
      </c>
      <c r="G989" s="95">
        <f ca="1"/>
        <v>-6.9980037630993069E-4</v>
      </c>
      <c r="H989" s="92" t="s">
        <v>4</v>
      </c>
      <c r="I989" s="97">
        <f>_xll.meDateFromTenor(I988,"1D","FOLLOWING","TGT")</f>
        <v>43910</v>
      </c>
      <c r="J989" s="95">
        <f ca="1"/>
        <v>5.8048069089268917E-4</v>
      </c>
      <c r="K989" s="5" t="s">
        <v>4</v>
      </c>
      <c r="L989" s="97">
        <f>_xll.meDateFromTenor(L988,"1D","FOLLOWING","TGT")</f>
        <v>43910</v>
      </c>
      <c r="M989" s="95">
        <f ca="1"/>
        <v>2.4086589471789097E-3</v>
      </c>
      <c r="N989" s="5" t="s">
        <v>4</v>
      </c>
      <c r="O989" s="97">
        <f>_xll.meDateFromTenor(O988,"1D","FOLLOWING","TGT")</f>
        <v>43910</v>
      </c>
      <c r="P989" s="95">
        <f ca="1"/>
        <v>4.3966078836872504E-3</v>
      </c>
      <c r="Q989" s="5" t="s">
        <v>4</v>
      </c>
      <c r="R989" s="83" t="s">
        <v>4</v>
      </c>
    </row>
    <row r="990" spans="1:18" x14ac:dyDescent="0.25">
      <c r="A990" s="88">
        <v>976</v>
      </c>
      <c r="B990" s="82"/>
      <c r="C990" s="97">
        <f>_xll.meDateFromTenor(C989,"1D","FOLLOWING","TGT")</f>
        <v>43913</v>
      </c>
      <c r="D990" s="95">
        <f ca="1"/>
        <v>-1.7321039103264102E-3</v>
      </c>
      <c r="E990" s="92"/>
      <c r="F990" s="97">
        <f>_xll.meDateFromTenor(F989,"1D","FOLLOWING","TGT")</f>
        <v>43913</v>
      </c>
      <c r="G990" s="95">
        <f ca="1"/>
        <v>-6.8071068704491939E-4</v>
      </c>
      <c r="H990" s="92" t="s">
        <v>4</v>
      </c>
      <c r="I990" s="97">
        <f>_xll.meDateFromTenor(I989,"1D","FOLLOWING","TGT")</f>
        <v>43913</v>
      </c>
      <c r="J990" s="95">
        <f ca="1"/>
        <v>5.9775466837076383E-4</v>
      </c>
      <c r="K990" s="5" t="s">
        <v>4</v>
      </c>
      <c r="L990" s="97">
        <f>_xll.meDateFromTenor(L989,"1D","FOLLOWING","TGT")</f>
        <v>43913</v>
      </c>
      <c r="M990" s="95">
        <f ca="1"/>
        <v>2.4270128269110371E-3</v>
      </c>
      <c r="N990" s="5" t="s">
        <v>4</v>
      </c>
      <c r="O990" s="97">
        <f>_xll.meDateFromTenor(O989,"1D","FOLLOWING","TGT")</f>
        <v>43913</v>
      </c>
      <c r="P990" s="95">
        <f ca="1"/>
        <v>4.4145884592341296E-3</v>
      </c>
      <c r="Q990" s="5" t="s">
        <v>4</v>
      </c>
      <c r="R990" s="83" t="s">
        <v>4</v>
      </c>
    </row>
    <row r="991" spans="1:18" x14ac:dyDescent="0.25">
      <c r="A991" s="88">
        <v>977</v>
      </c>
      <c r="B991" s="82"/>
      <c r="C991" s="97">
        <f>_xll.meDateFromTenor(C990,"1D","FOLLOWING","TGT")</f>
        <v>43914</v>
      </c>
      <c r="D991" s="95">
        <f ca="1"/>
        <v>-1.7284312135222857E-3</v>
      </c>
      <c r="E991" s="92"/>
      <c r="F991" s="97">
        <f>_xll.meDateFromTenor(F990,"1D","FOLLOWING","TGT")</f>
        <v>43914</v>
      </c>
      <c r="G991" s="95">
        <f ca="1"/>
        <v>-6.7437238726026066E-4</v>
      </c>
      <c r="H991" s="92" t="s">
        <v>4</v>
      </c>
      <c r="I991" s="97">
        <f>_xll.meDateFromTenor(I990,"1D","FOLLOWING","TGT")</f>
        <v>43914</v>
      </c>
      <c r="J991" s="95">
        <f ca="1"/>
        <v>6.0351923750212859E-4</v>
      </c>
      <c r="K991" s="5" t="s">
        <v>4</v>
      </c>
      <c r="L991" s="97">
        <f>_xll.meDateFromTenor(L990,"1D","FOLLOWING","TGT")</f>
        <v>43914</v>
      </c>
      <c r="M991" s="95">
        <f ca="1"/>
        <v>2.4331363795402966E-3</v>
      </c>
      <c r="N991" s="5" t="s">
        <v>4</v>
      </c>
      <c r="O991" s="97">
        <f>_xll.meDateFromTenor(O990,"1D","FOLLOWING","TGT")</f>
        <v>43914</v>
      </c>
      <c r="P991" s="95">
        <f ca="1"/>
        <v>4.4205905119900756E-3</v>
      </c>
      <c r="Q991" s="5" t="s">
        <v>4</v>
      </c>
      <c r="R991" s="83" t="s">
        <v>4</v>
      </c>
    </row>
    <row r="992" spans="1:18" x14ac:dyDescent="0.25">
      <c r="A992" s="88">
        <v>978</v>
      </c>
      <c r="B992" s="82"/>
      <c r="C992" s="97">
        <f>_xll.meDateFromTenor(C991,"1D","FOLLOWING","TGT")</f>
        <v>43915</v>
      </c>
      <c r="D992" s="95">
        <f ca="1"/>
        <v>-1.724687716124107E-3</v>
      </c>
      <c r="E992" s="92"/>
      <c r="F992" s="97">
        <f>_xll.meDateFromTenor(F991,"1D","FOLLOWING","TGT")</f>
        <v>43915</v>
      </c>
      <c r="G992" s="95">
        <f ca="1"/>
        <v>-6.6804682782529545E-4</v>
      </c>
      <c r="H992" s="92" t="s">
        <v>4</v>
      </c>
      <c r="I992" s="97">
        <f>_xll.meDateFromTenor(I991,"1D","FOLLOWING","TGT")</f>
        <v>43915</v>
      </c>
      <c r="J992" s="95">
        <f ca="1"/>
        <v>6.0928712305009672E-4</v>
      </c>
      <c r="K992" s="5" t="s">
        <v>4</v>
      </c>
      <c r="L992" s="97">
        <f>_xll.meDateFromTenor(L991,"1D","FOLLOWING","TGT")</f>
        <v>43915</v>
      </c>
      <c r="M992" s="95">
        <f ca="1"/>
        <v>2.4392627331495842E-3</v>
      </c>
      <c r="N992" s="5" t="s">
        <v>4</v>
      </c>
      <c r="O992" s="97">
        <f>_xll.meDateFromTenor(O991,"1D","FOLLOWING","TGT")</f>
        <v>43915</v>
      </c>
      <c r="P992" s="95">
        <f ca="1"/>
        <v>4.4265968500751089E-3</v>
      </c>
      <c r="Q992" s="5" t="s">
        <v>4</v>
      </c>
      <c r="R992" s="83" t="s">
        <v>4</v>
      </c>
    </row>
    <row r="993" spans="1:18" x14ac:dyDescent="0.25">
      <c r="A993" s="88">
        <v>979</v>
      </c>
      <c r="B993" s="82"/>
      <c r="C993" s="97">
        <f>_xll.meDateFromTenor(C992,"1D","FOLLOWING","TGT")</f>
        <v>43916</v>
      </c>
      <c r="D993" s="95">
        <f ca="1"/>
        <v>-1.7208734192528663E-3</v>
      </c>
      <c r="E993" s="92"/>
      <c r="F993" s="97">
        <f>_xll.meDateFromTenor(F992,"1D","FOLLOWING","TGT")</f>
        <v>43916</v>
      </c>
      <c r="G993" s="95">
        <f ca="1"/>
        <v>-6.6173417395873368E-4</v>
      </c>
      <c r="H993" s="92" t="s">
        <v>4</v>
      </c>
      <c r="I993" s="97">
        <f>_xll.meDateFromTenor(I992,"1D","FOLLOWING","TGT")</f>
        <v>43916</v>
      </c>
      <c r="J993" s="95">
        <f ca="1"/>
        <v>6.1505834187303111E-4</v>
      </c>
      <c r="K993" s="5" t="s">
        <v>4</v>
      </c>
      <c r="L993" s="97">
        <f>_xll.meDateFromTenor(L992,"1D","FOLLOWING","TGT")</f>
        <v>43916</v>
      </c>
      <c r="M993" s="95">
        <f ca="1"/>
        <v>2.4453918905113555E-3</v>
      </c>
      <c r="N993" s="5" t="s">
        <v>4</v>
      </c>
      <c r="O993" s="97">
        <f>_xll.meDateFromTenor(O992,"1D","FOLLOWING","TGT")</f>
        <v>43916</v>
      </c>
      <c r="P993" s="95">
        <f ca="1"/>
        <v>4.4326074864145908E-3</v>
      </c>
      <c r="Q993" s="5" t="s">
        <v>4</v>
      </c>
      <c r="R993" s="83" t="s">
        <v>4</v>
      </c>
    </row>
    <row r="994" spans="1:18" x14ac:dyDescent="0.25">
      <c r="A994" s="88">
        <v>980</v>
      </c>
      <c r="B994" s="82"/>
      <c r="C994" s="97">
        <f>_xll.meDateFromTenor(C993,"1D","FOLLOWING","TGT")</f>
        <v>43917</v>
      </c>
      <c r="D994" s="95">
        <f ca="1"/>
        <v>-1.7169883226978433E-3</v>
      </c>
      <c r="E994" s="92"/>
      <c r="F994" s="97">
        <f>_xll.meDateFromTenor(F993,"1D","FOLLOWING","TGT")</f>
        <v>43917</v>
      </c>
      <c r="G994" s="95">
        <f ca="1"/>
        <v>-6.5543459087928798E-4</v>
      </c>
      <c r="H994" s="92" t="s">
        <v>4</v>
      </c>
      <c r="I994" s="97">
        <f>_xll.meDateFromTenor(I993,"1D","FOLLOWING","TGT")</f>
        <v>43917</v>
      </c>
      <c r="J994" s="95">
        <f ca="1"/>
        <v>6.2083291082929174E-4</v>
      </c>
      <c r="K994" s="5" t="s">
        <v>4</v>
      </c>
      <c r="L994" s="97">
        <f>_xll.meDateFromTenor(L993,"1D","FOLLOWING","TGT")</f>
        <v>43917</v>
      </c>
      <c r="M994" s="95">
        <f ca="1"/>
        <v>2.4515238543980616E-3</v>
      </c>
      <c r="N994" s="5" t="s">
        <v>4</v>
      </c>
      <c r="O994" s="97">
        <f>_xll.meDateFromTenor(O993,"1D","FOLLOWING","TGT")</f>
        <v>43917</v>
      </c>
      <c r="P994" s="95">
        <f ca="1"/>
        <v>4.4386224339338816E-3</v>
      </c>
      <c r="Q994" s="5" t="s">
        <v>4</v>
      </c>
      <c r="R994" s="83" t="s">
        <v>4</v>
      </c>
    </row>
    <row r="995" spans="1:18" x14ac:dyDescent="0.25">
      <c r="A995" s="88">
        <v>981</v>
      </c>
      <c r="B995" s="82"/>
      <c r="C995" s="97">
        <f>_xll.meDateFromTenor(C994,"1D","FOLLOWING","TGT")</f>
        <v>43920</v>
      </c>
      <c r="D995" s="95">
        <f ca="1"/>
        <v>-1.7049082405777849E-3</v>
      </c>
      <c r="E995" s="92"/>
      <c r="F995" s="97">
        <f>_xll.meDateFromTenor(F994,"1D","FOLLOWING","TGT")</f>
        <v>43920</v>
      </c>
      <c r="G995" s="95">
        <f ca="1"/>
        <v>-6.3661591855076875E-4</v>
      </c>
      <c r="H995" s="92" t="s">
        <v>4</v>
      </c>
      <c r="I995" s="97">
        <f>_xll.meDateFromTenor(I994,"1D","FOLLOWING","TGT")</f>
        <v>43920</v>
      </c>
      <c r="J995" s="95">
        <f ca="1"/>
        <v>6.3817688708163846E-4</v>
      </c>
      <c r="K995" s="5" t="s">
        <v>4</v>
      </c>
      <c r="L995" s="97">
        <f>_xll.meDateFromTenor(L994,"1D","FOLLOWING","TGT")</f>
        <v>43920</v>
      </c>
      <c r="M995" s="95">
        <f ca="1"/>
        <v>2.469936612932318E-3</v>
      </c>
      <c r="N995" s="5" t="s">
        <v>4</v>
      </c>
      <c r="O995" s="97">
        <f>_xll.meDateFromTenor(O994,"1D","FOLLOWING","TGT")</f>
        <v>43920</v>
      </c>
      <c r="P995" s="95">
        <f ca="1"/>
        <v>4.4566932728241724E-3</v>
      </c>
      <c r="Q995" s="5" t="s">
        <v>4</v>
      </c>
      <c r="R995" s="83" t="s">
        <v>4</v>
      </c>
    </row>
    <row r="996" spans="1:18" x14ac:dyDescent="0.25">
      <c r="A996" s="88">
        <v>982</v>
      </c>
      <c r="B996" s="82"/>
      <c r="C996" s="97">
        <f>_xll.meDateFromTenor(C995,"1D","FOLLOWING","TGT")</f>
        <v>43921</v>
      </c>
      <c r="D996" s="95">
        <f ca="1"/>
        <v>-1.7007399501423048E-3</v>
      </c>
      <c r="E996" s="92"/>
      <c r="F996" s="97">
        <f>_xll.meDateFromTenor(F995,"1D","FOLLOWING","TGT")</f>
        <v>43921</v>
      </c>
      <c r="G996" s="95">
        <f ca="1"/>
        <v>-6.3037027080690728E-4</v>
      </c>
      <c r="H996" s="92" t="s">
        <v>4</v>
      </c>
      <c r="I996" s="97">
        <f>_xll.meDateFromTenor(I995,"1D","FOLLOWING","TGT")</f>
        <v>43921</v>
      </c>
      <c r="J996" s="95">
        <f ca="1"/>
        <v>6.4396502515481218E-4</v>
      </c>
      <c r="K996" s="5" t="s">
        <v>4</v>
      </c>
      <c r="L996" s="97">
        <f>_xll.meDateFromTenor(L995,"1D","FOLLOWING","TGT")</f>
        <v>43921</v>
      </c>
      <c r="M996" s="95">
        <f ca="1"/>
        <v>2.4760798306432924E-3</v>
      </c>
      <c r="N996" s="5" t="s">
        <v>4</v>
      </c>
      <c r="O996" s="97">
        <f>_xll.meDateFromTenor(O995,"1D","FOLLOWING","TGT")</f>
        <v>43921</v>
      </c>
      <c r="P996" s="95">
        <f ca="1"/>
        <v>4.4627255943162714E-3</v>
      </c>
      <c r="Q996" s="5" t="s">
        <v>4</v>
      </c>
      <c r="R996" s="83" t="s">
        <v>4</v>
      </c>
    </row>
    <row r="997" spans="1:18" x14ac:dyDescent="0.25">
      <c r="A997" s="88">
        <v>983</v>
      </c>
      <c r="B997" s="82"/>
      <c r="C997" s="97">
        <f>_xll.meDateFromTenor(C996,"1D","FOLLOWING","TGT")</f>
        <v>43922</v>
      </c>
      <c r="D997" s="95">
        <f ca="1"/>
        <v>-1.6965008620960509E-3</v>
      </c>
      <c r="E997" s="92"/>
      <c r="F997" s="97">
        <f>_xll.meDateFromTenor(F996,"1D","FOLLOWING","TGT")</f>
        <v>43922</v>
      </c>
      <c r="G997" s="95">
        <f ca="1"/>
        <v>-6.2413851994372175E-4</v>
      </c>
      <c r="H997" s="92" t="s">
        <v>4</v>
      </c>
      <c r="I997" s="97">
        <f>_xll.meDateFromTenor(I996,"1D","FOLLOWING","TGT")</f>
        <v>43922</v>
      </c>
      <c r="J997" s="95">
        <f ca="1"/>
        <v>6.4975659765311626E-4</v>
      </c>
      <c r="K997" s="5" t="s">
        <v>4</v>
      </c>
      <c r="L997" s="97">
        <f>_xll.meDateFromTenor(L996,"1D","FOLLOWING","TGT")</f>
        <v>43922</v>
      </c>
      <c r="M997" s="95">
        <f ca="1"/>
        <v>2.4822258687414666E-3</v>
      </c>
      <c r="N997" s="5" t="s">
        <v>4</v>
      </c>
      <c r="O997" s="97">
        <f>_xll.meDateFromTenor(O996,"1D","FOLLOWING","TGT")</f>
        <v>43922</v>
      </c>
      <c r="P997" s="95">
        <f ca="1"/>
        <v>4.4687622916149694E-3</v>
      </c>
      <c r="Q997" s="5" t="s">
        <v>4</v>
      </c>
      <c r="R997" s="83" t="s">
        <v>4</v>
      </c>
    </row>
    <row r="998" spans="1:18" x14ac:dyDescent="0.25">
      <c r="A998" s="88">
        <v>984</v>
      </c>
      <c r="B998" s="82"/>
      <c r="C998" s="97">
        <f>_xll.meDateFromTenor(C997,"1D","FOLLOWING","TGT")</f>
        <v>43923</v>
      </c>
      <c r="D998" s="95">
        <f ca="1"/>
        <v>-1.6921909765772458E-3</v>
      </c>
      <c r="E998" s="92"/>
      <c r="F998" s="97">
        <f>_xll.meDateFromTenor(F997,"1D","FOLLOWING","TGT")</f>
        <v>43923</v>
      </c>
      <c r="G998" s="95">
        <f ca="1"/>
        <v>-6.1792083117992501E-4</v>
      </c>
      <c r="H998" s="92" t="s">
        <v>4</v>
      </c>
      <c r="I998" s="97">
        <f>_xll.meDateFromTenor(I997,"1D","FOLLOWING","TGT")</f>
        <v>43923</v>
      </c>
      <c r="J998" s="95">
        <f ca="1"/>
        <v>6.5555162143491068E-4</v>
      </c>
      <c r="K998" s="5" t="s">
        <v>4</v>
      </c>
      <c r="L998" s="97">
        <f>_xll.meDateFromTenor(L997,"1D","FOLLOWING","TGT")</f>
        <v>43923</v>
      </c>
      <c r="M998" s="95">
        <f ca="1"/>
        <v>2.4883747299992917E-3</v>
      </c>
      <c r="N998" s="5" t="s">
        <v>4</v>
      </c>
      <c r="O998" s="97">
        <f>_xll.meDateFromTenor(O997,"1D","FOLLOWING","TGT")</f>
        <v>43923</v>
      </c>
      <c r="P998" s="95">
        <f ca="1"/>
        <v>4.4748033776456234E-3</v>
      </c>
      <c r="Q998" s="5" t="s">
        <v>4</v>
      </c>
      <c r="R998" s="83" t="s">
        <v>4</v>
      </c>
    </row>
    <row r="999" spans="1:18" x14ac:dyDescent="0.25">
      <c r="A999" s="88">
        <v>985</v>
      </c>
      <c r="B999" s="82"/>
      <c r="C999" s="97">
        <f>_xll.meDateFromTenor(C998,"1D","FOLLOWING","TGT")</f>
        <v>43924</v>
      </c>
      <c r="D999" s="95">
        <f ca="1"/>
        <v>-1.6878102940282025E-3</v>
      </c>
      <c r="E999" s="92"/>
      <c r="F999" s="97">
        <f>_xll.meDateFromTenor(F998,"1D","FOLLOWING","TGT")</f>
        <v>43924</v>
      </c>
      <c r="G999" s="95">
        <f ca="1"/>
        <v>-6.1171709842428284E-4</v>
      </c>
      <c r="H999" s="92" t="s">
        <v>4</v>
      </c>
      <c r="I999" s="97">
        <f>_xll.meDateFromTenor(I998,"1D","FOLLOWING","TGT")</f>
        <v>43924</v>
      </c>
      <c r="J999" s="95">
        <f ca="1"/>
        <v>6.6135011335855811E-4</v>
      </c>
      <c r="K999" s="5" t="s">
        <v>4</v>
      </c>
      <c r="L999" s="97">
        <f>_xll.meDateFromTenor(L998,"1D","FOLLOWING","TGT")</f>
        <v>43924</v>
      </c>
      <c r="M999" s="95">
        <f ca="1"/>
        <v>2.4945264171892228E-3</v>
      </c>
      <c r="N999" s="5" t="s">
        <v>4</v>
      </c>
      <c r="O999" s="97">
        <f>_xll.meDateFromTenor(O998,"1D","FOLLOWING","TGT")</f>
        <v>43924</v>
      </c>
      <c r="P999" s="95">
        <f ca="1"/>
        <v>4.4808488653335938E-3</v>
      </c>
      <c r="Q999" s="5" t="s">
        <v>4</v>
      </c>
      <c r="R999" s="83" t="s">
        <v>4</v>
      </c>
    </row>
    <row r="1000" spans="1:18" x14ac:dyDescent="0.25">
      <c r="A1000" s="88">
        <v>986</v>
      </c>
      <c r="B1000" s="82"/>
      <c r="C1000" s="97">
        <f>_xll.meDateFromTenor(C999,"1D","FOLLOWING","TGT")</f>
        <v>43927</v>
      </c>
      <c r="D1000" s="95">
        <f ca="1"/>
        <v>-1.6742434659650085E-3</v>
      </c>
      <c r="E1000" s="92"/>
      <c r="F1000" s="97">
        <f>_xll.meDateFromTenor(F999,"1D","FOLLOWING","TGT")</f>
        <v>43927</v>
      </c>
      <c r="G1000" s="95">
        <f ca="1"/>
        <v>-5.9317663765642685E-4</v>
      </c>
      <c r="H1000" s="92" t="s">
        <v>4</v>
      </c>
      <c r="I1000" s="97">
        <f>_xll.meDateFromTenor(I999,"1D","FOLLOWING","TGT")</f>
        <v>43927</v>
      </c>
      <c r="J1000" s="95">
        <f ca="1"/>
        <v>6.7876656656421961E-4</v>
      </c>
      <c r="K1000" s="5" t="s">
        <v>4</v>
      </c>
      <c r="L1000" s="97">
        <f>_xll.meDateFromTenor(L999,"1D","FOLLOWING","TGT")</f>
        <v>43927</v>
      </c>
      <c r="M1000" s="95">
        <f ca="1"/>
        <v>2.5129984620761705E-3</v>
      </c>
      <c r="N1000" s="5" t="s">
        <v>4</v>
      </c>
      <c r="O1000" s="97">
        <f>_xll.meDateFromTenor(O999,"1D","FOLLOWING","TGT")</f>
        <v>43927</v>
      </c>
      <c r="P1000" s="95">
        <f ca="1"/>
        <v>4.4990118675949783E-3</v>
      </c>
      <c r="Q1000" s="5" t="s">
        <v>4</v>
      </c>
      <c r="R1000" s="83" t="s">
        <v>4</v>
      </c>
    </row>
    <row r="1001" spans="1:18" x14ac:dyDescent="0.25">
      <c r="A1001" s="88">
        <v>987</v>
      </c>
      <c r="B1001" s="82"/>
      <c r="C1001" s="97">
        <f>_xll.meDateFromTenor(C1000,"1D","FOLLOWING","TGT")</f>
        <v>43928</v>
      </c>
      <c r="D1001" s="95">
        <f ca="1"/>
        <v>-1.6695795971847227E-3</v>
      </c>
      <c r="E1001" s="92"/>
      <c r="F1001" s="97">
        <f>_xll.meDateFromTenor(F1000,"1D","FOLLOWING","TGT")</f>
        <v>43928</v>
      </c>
      <c r="G1001" s="95">
        <f ca="1"/>
        <v>-5.8701518776365529E-4</v>
      </c>
      <c r="H1001" s="92" t="s">
        <v>4</v>
      </c>
      <c r="I1001" s="97">
        <f>_xll.meDateFromTenor(I1000,"1D","FOLLOWING","TGT")</f>
        <v>43928</v>
      </c>
      <c r="J1001" s="95">
        <f ca="1"/>
        <v>6.8457909963888345E-4</v>
      </c>
      <c r="K1001" s="5" t="s">
        <v>4</v>
      </c>
      <c r="L1001" s="97">
        <f>_xll.meDateFromTenor(L1000,"1D","FOLLOWING","TGT")</f>
        <v>43928</v>
      </c>
      <c r="M1001" s="95">
        <f ca="1"/>
        <v>2.5191614807190486E-3</v>
      </c>
      <c r="N1001" s="5" t="s">
        <v>4</v>
      </c>
      <c r="O1001" s="97">
        <f>_xll.meDateFromTenor(O1000,"1D","FOLLOWING","TGT")</f>
        <v>43928</v>
      </c>
      <c r="P1001" s="95">
        <f ca="1"/>
        <v>4.5050750911657944E-3</v>
      </c>
      <c r="Q1001" s="5" t="s">
        <v>4</v>
      </c>
      <c r="R1001" s="83" t="s">
        <v>4</v>
      </c>
    </row>
    <row r="1002" spans="1:18" x14ac:dyDescent="0.25">
      <c r="A1002" s="88">
        <v>988</v>
      </c>
      <c r="B1002" s="82"/>
      <c r="C1002" s="97">
        <f>_xll.meDateFromTenor(C1001,"1D","FOLLOWING","TGT")</f>
        <v>43929</v>
      </c>
      <c r="D1002" s="95">
        <f ca="1"/>
        <v>-1.6648449321641223E-3</v>
      </c>
      <c r="E1002" s="92"/>
      <c r="F1002" s="97">
        <f>_xll.meDateFromTenor(F1001,"1D","FOLLOWING","TGT")</f>
        <v>43929</v>
      </c>
      <c r="G1002" s="95">
        <f ca="1"/>
        <v>-5.808606519842204E-4</v>
      </c>
      <c r="H1002" s="92" t="s">
        <v>4</v>
      </c>
      <c r="I1002" s="97">
        <f>_xll.meDateFromTenor(I1001,"1D","FOLLOWING","TGT")</f>
        <v>43929</v>
      </c>
      <c r="J1002" s="95">
        <f ca="1"/>
        <v>6.9039518514720248E-4</v>
      </c>
      <c r="K1002" s="5" t="s">
        <v>4</v>
      </c>
      <c r="L1002" s="97">
        <f>_xll.meDateFromTenor(L1001,"1D","FOLLOWING","TGT")</f>
        <v>43929</v>
      </c>
      <c r="M1002" s="95">
        <f ca="1"/>
        <v>2.5253273391562946E-3</v>
      </c>
      <c r="N1002" s="5" t="s">
        <v>4</v>
      </c>
      <c r="O1002" s="97">
        <f>_xll.meDateFromTenor(O1001,"1D","FOLLOWING","TGT")</f>
        <v>43929</v>
      </c>
      <c r="P1002" s="95">
        <f ca="1"/>
        <v>4.5111427810207152E-3</v>
      </c>
      <c r="Q1002" s="5" t="s">
        <v>4</v>
      </c>
      <c r="R1002" s="83" t="s">
        <v>4</v>
      </c>
    </row>
    <row r="1003" spans="1:18" x14ac:dyDescent="0.25">
      <c r="A1003" s="88">
        <v>989</v>
      </c>
      <c r="B1003" s="82"/>
      <c r="C1003" s="97">
        <f>_xll.meDateFromTenor(C1002,"1D","FOLLOWING","TGT")</f>
        <v>43930</v>
      </c>
      <c r="D1003" s="95">
        <f ca="1"/>
        <v>-1.6600394710960531E-3</v>
      </c>
      <c r="E1003" s="92"/>
      <c r="F1003" s="97">
        <f>_xll.meDateFromTenor(F1002,"1D","FOLLOWING","TGT")</f>
        <v>43930</v>
      </c>
      <c r="G1003" s="95">
        <f ca="1"/>
        <v>-5.7471156767716709E-4</v>
      </c>
      <c r="H1003" s="92" t="s">
        <v>4</v>
      </c>
      <c r="I1003" s="97">
        <f>_xll.meDateFromTenor(I1002,"1D","FOLLOWING","TGT")</f>
        <v>43930</v>
      </c>
      <c r="J1003" s="95">
        <f ca="1"/>
        <v>6.9621483994753938E-4</v>
      </c>
      <c r="K1003" s="5" t="s">
        <v>4</v>
      </c>
      <c r="L1003" s="97">
        <f>_xll.meDateFromTenor(L1002,"1D","FOLLOWING","TGT")</f>
        <v>43930</v>
      </c>
      <c r="M1003" s="95">
        <f ca="1"/>
        <v>2.5314960401603636E-3</v>
      </c>
      <c r="N1003" s="5" t="s">
        <v>4</v>
      </c>
      <c r="O1003" s="97">
        <f>_xll.meDateFromTenor(O1002,"1D","FOLLOWING","TGT")</f>
        <v>43930</v>
      </c>
      <c r="P1003" s="95">
        <f ca="1"/>
        <v>4.5172149500851012E-3</v>
      </c>
      <c r="Q1003" s="5" t="s">
        <v>4</v>
      </c>
      <c r="R1003" s="83" t="s">
        <v>4</v>
      </c>
    </row>
    <row r="1004" spans="1:18" x14ac:dyDescent="0.25">
      <c r="A1004" s="88">
        <v>990</v>
      </c>
      <c r="B1004" s="82"/>
      <c r="C1004" s="97">
        <f>_xll.meDateFromTenor(C1003,"1D","FOLLOWING","TGT")</f>
        <v>43935</v>
      </c>
      <c r="D1004" s="95">
        <f ca="1"/>
        <v>-1.6349502278288908E-3</v>
      </c>
      <c r="E1004" s="92"/>
      <c r="F1004" s="97">
        <f>_xll.meDateFromTenor(F1003,"1D","FOLLOWING","TGT")</f>
        <v>43935</v>
      </c>
      <c r="G1004" s="95">
        <f ca="1"/>
        <v>-5.4399672579429645E-4</v>
      </c>
      <c r="H1004" s="92" t="s">
        <v>4</v>
      </c>
      <c r="I1004" s="97">
        <f>_xll.meDateFromTenor(I1003,"1D","FOLLOWING","TGT")</f>
        <v>43935</v>
      </c>
      <c r="J1004" s="95">
        <f ca="1"/>
        <v>7.2536724337210706E-4</v>
      </c>
      <c r="K1004" s="5" t="s">
        <v>4</v>
      </c>
      <c r="L1004" s="97">
        <f>_xll.meDateFromTenor(L1003,"1D","FOLLOWING","TGT")</f>
        <v>43935</v>
      </c>
      <c r="M1004" s="95">
        <f ca="1"/>
        <v>2.5623822807188759E-3</v>
      </c>
      <c r="N1004" s="5" t="s">
        <v>4</v>
      </c>
      <c r="O1004" s="97">
        <f>_xll.meDateFromTenor(O1003,"1D","FOLLOWING","TGT")</f>
        <v>43935</v>
      </c>
      <c r="P1004" s="95">
        <f ca="1"/>
        <v>4.5476434359365617E-3</v>
      </c>
      <c r="Q1004" s="5" t="s">
        <v>4</v>
      </c>
      <c r="R1004" s="83" t="s">
        <v>4</v>
      </c>
    </row>
    <row r="1005" spans="1:18" x14ac:dyDescent="0.25">
      <c r="A1005" s="88">
        <v>991</v>
      </c>
      <c r="B1005" s="82"/>
      <c r="C1005" s="97">
        <f>_xll.meDateFromTenor(C1004,"1D","FOLLOWING","TGT")</f>
        <v>43936</v>
      </c>
      <c r="D1005" s="95">
        <f ca="1"/>
        <v>-1.6297199918093863E-3</v>
      </c>
      <c r="E1005" s="92"/>
      <c r="F1005" s="97">
        <f>_xll.meDateFromTenor(F1004,"1D","FOLLOWING","TGT")</f>
        <v>43936</v>
      </c>
      <c r="G1005" s="95">
        <f ca="1"/>
        <v>-5.3784963486153126E-4</v>
      </c>
      <c r="H1005" s="92" t="s">
        <v>4</v>
      </c>
      <c r="I1005" s="97">
        <f>_xll.meDateFromTenor(I1004,"1D","FOLLOWING","TGT")</f>
        <v>43936</v>
      </c>
      <c r="J1005" s="95">
        <f ca="1"/>
        <v>7.3120866795012339E-4</v>
      </c>
      <c r="K1005" s="5" t="s">
        <v>4</v>
      </c>
      <c r="L1005" s="97">
        <f>_xll.meDateFromTenor(L1004,"1D","FOLLOWING","TGT")</f>
        <v>43936</v>
      </c>
      <c r="M1005" s="95">
        <f ca="1"/>
        <v>2.5685680953453829E-3</v>
      </c>
      <c r="N1005" s="5" t="s">
        <v>4</v>
      </c>
      <c r="O1005" s="97">
        <f>_xll.meDateFromTenor(O1004,"1D","FOLLOWING","TGT")</f>
        <v>43936</v>
      </c>
      <c r="P1005" s="95">
        <f ca="1"/>
        <v>4.5537427516902677E-3</v>
      </c>
      <c r="Q1005" s="5" t="s">
        <v>4</v>
      </c>
      <c r="R1005" s="83" t="s">
        <v>4</v>
      </c>
    </row>
    <row r="1006" spans="1:18" x14ac:dyDescent="0.25">
      <c r="A1006" s="88">
        <v>992</v>
      </c>
      <c r="B1006" s="82"/>
      <c r="C1006" s="97">
        <f>_xll.meDateFromTenor(C1005,"1D","FOLLOWING","TGT")</f>
        <v>43937</v>
      </c>
      <c r="D1006" s="95">
        <f ca="1"/>
        <v>-1.6244189596744674E-3</v>
      </c>
      <c r="E1006" s="92"/>
      <c r="F1006" s="97">
        <f>_xll.meDateFromTenor(F1005,"1D","FOLLOWING","TGT")</f>
        <v>43937</v>
      </c>
      <c r="G1006" s="95">
        <f ca="1"/>
        <v>-5.3169775691448034E-4</v>
      </c>
      <c r="H1006" s="92" t="s">
        <v>4</v>
      </c>
      <c r="I1006" s="97">
        <f>_xll.meDateFromTenor(I1005,"1D","FOLLOWING","TGT")</f>
        <v>43937</v>
      </c>
      <c r="J1006" s="95">
        <f ca="1"/>
        <v>7.3705377982868176E-4</v>
      </c>
      <c r="K1006" s="5" t="s">
        <v>4</v>
      </c>
      <c r="L1006" s="97">
        <f>_xll.meDateFromTenor(L1005,"1D","FOLLOWING","TGT")</f>
        <v>43937</v>
      </c>
      <c r="M1006" s="95">
        <f ca="1"/>
        <v>2.5747567719458801E-3</v>
      </c>
      <c r="N1006" s="5" t="s">
        <v>4</v>
      </c>
      <c r="O1006" s="97">
        <f>_xll.meDateFromTenor(O1005,"1D","FOLLOWING","TGT")</f>
        <v>43937</v>
      </c>
      <c r="P1006" s="95">
        <f ca="1"/>
        <v>4.5598466371309463E-3</v>
      </c>
      <c r="Q1006" s="5" t="s">
        <v>4</v>
      </c>
      <c r="R1006" s="83" t="s">
        <v>4</v>
      </c>
    </row>
    <row r="1007" spans="1:18" x14ac:dyDescent="0.25">
      <c r="A1007" s="88">
        <v>993</v>
      </c>
      <c r="B1007" s="82"/>
      <c r="C1007" s="97">
        <f>_xll.meDateFromTenor(C1006,"1D","FOLLOWING","TGT")</f>
        <v>43938</v>
      </c>
      <c r="D1007" s="95">
        <f ca="1"/>
        <v>-1.6190471315764565E-3</v>
      </c>
      <c r="E1007" s="92"/>
      <c r="F1007" s="97">
        <f>_xll.meDateFromTenor(F1006,"1D","FOLLOWING","TGT")</f>
        <v>43938</v>
      </c>
      <c r="G1007" s="95">
        <f ca="1"/>
        <v>-5.2553962931218862E-4</v>
      </c>
      <c r="H1007" s="92" t="s">
        <v>4</v>
      </c>
      <c r="I1007" s="97">
        <f>_xll.meDateFromTenor(I1006,"1D","FOLLOWING","TGT")</f>
        <v>43938</v>
      </c>
      <c r="J1007" s="95">
        <f ca="1"/>
        <v>7.4290259586614455E-4</v>
      </c>
      <c r="K1007" s="5" t="s">
        <v>4</v>
      </c>
      <c r="L1007" s="97">
        <f>_xll.meDateFromTenor(L1006,"1D","FOLLOWING","TGT")</f>
        <v>43938</v>
      </c>
      <c r="M1007" s="95">
        <f ca="1"/>
        <v>2.5809483132928222E-3</v>
      </c>
      <c r="N1007" s="5" t="s">
        <v>4</v>
      </c>
      <c r="O1007" s="97">
        <f>_xll.meDateFromTenor(O1006,"1D","FOLLOWING","TGT")</f>
        <v>43938</v>
      </c>
      <c r="P1007" s="95">
        <f ca="1"/>
        <v>4.5659551051839588E-3</v>
      </c>
      <c r="Q1007" s="5" t="s">
        <v>4</v>
      </c>
      <c r="R1007" s="83" t="s">
        <v>4</v>
      </c>
    </row>
    <row r="1008" spans="1:18" x14ac:dyDescent="0.25">
      <c r="A1008" s="88">
        <v>994</v>
      </c>
      <c r="B1008" s="82"/>
      <c r="C1008" s="97">
        <f>_xll.meDateFromTenor(C1007,"1D","FOLLOWING","TGT")</f>
        <v>43941</v>
      </c>
      <c r="D1008" s="95">
        <f ca="1"/>
        <v>-1.6025068706133627E-3</v>
      </c>
      <c r="E1008" s="92"/>
      <c r="F1008" s="97">
        <f>_xll.meDateFromTenor(F1007,"1D","FOLLOWING","TGT")</f>
        <v>43941</v>
      </c>
      <c r="G1008" s="95">
        <f ca="1"/>
        <v>-5.0701312216434803E-4</v>
      </c>
      <c r="H1008" s="92" t="s">
        <v>4</v>
      </c>
      <c r="I1008" s="97">
        <f>_xll.meDateFromTenor(I1007,"1D","FOLLOWING","TGT")</f>
        <v>43941</v>
      </c>
      <c r="J1008" s="95">
        <f ca="1"/>
        <v>7.6047143751556336E-4</v>
      </c>
      <c r="K1008" s="5" t="s">
        <v>4</v>
      </c>
      <c r="L1008" s="97">
        <f>_xll.meDateFromTenor(L1007,"1D","FOLLOWING","TGT")</f>
        <v>43941</v>
      </c>
      <c r="M1008" s="95">
        <f ca="1"/>
        <v>2.5995401535368412E-3</v>
      </c>
      <c r="N1008" s="5" t="s">
        <v>4</v>
      </c>
      <c r="O1008" s="97">
        <f>_xll.meDateFromTenor(O1007,"1D","FOLLOWING","TGT")</f>
        <v>43941</v>
      </c>
      <c r="P1008" s="95">
        <f ca="1"/>
        <v>4.5843081342705743E-3</v>
      </c>
      <c r="Q1008" s="5" t="s">
        <v>4</v>
      </c>
      <c r="R1008" s="83" t="s">
        <v>4</v>
      </c>
    </row>
    <row r="1009" spans="1:18" x14ac:dyDescent="0.25">
      <c r="A1009" s="88">
        <v>995</v>
      </c>
      <c r="B1009" s="82"/>
      <c r="C1009" s="97">
        <f>_xll.meDateFromTenor(C1008,"1D","FOLLOWING","TGT")</f>
        <v>43942</v>
      </c>
      <c r="D1009" s="95">
        <f ca="1"/>
        <v>-1.5968518573369339E-3</v>
      </c>
      <c r="E1009" s="92"/>
      <c r="F1009" s="97">
        <f>_xll.meDateFromTenor(F1008,"1D","FOLLOWING","TGT")</f>
        <v>43942</v>
      </c>
      <c r="G1009" s="95">
        <f ca="1"/>
        <v>-5.0081536953157087E-4</v>
      </c>
      <c r="H1009" s="92" t="s">
        <v>4</v>
      </c>
      <c r="I1009" s="97">
        <f>_xll.meDateFromTenor(I1008,"1D","FOLLOWING","TGT")</f>
        <v>43942</v>
      </c>
      <c r="J1009" s="95">
        <f ca="1"/>
        <v>7.6633523877224822E-4</v>
      </c>
      <c r="K1009" s="5" t="s">
        <v>4</v>
      </c>
      <c r="L1009" s="97">
        <f>_xll.meDateFromTenor(L1008,"1D","FOLLOWING","TGT")</f>
        <v>43942</v>
      </c>
      <c r="M1009" s="95">
        <f ca="1"/>
        <v>2.6057431815940868E-3</v>
      </c>
      <c r="N1009" s="5" t="s">
        <v>4</v>
      </c>
      <c r="O1009" s="97">
        <f>_xll.meDateFromTenor(O1008,"1D","FOLLOWING","TGT")</f>
        <v>43942</v>
      </c>
      <c r="P1009" s="95">
        <f ca="1"/>
        <v>4.5904350620264989E-3</v>
      </c>
      <c r="Q1009" s="5" t="s">
        <v>4</v>
      </c>
      <c r="R1009" s="83" t="s">
        <v>4</v>
      </c>
    </row>
    <row r="1010" spans="1:18" x14ac:dyDescent="0.25">
      <c r="A1010" s="88">
        <v>996</v>
      </c>
      <c r="B1010" s="82"/>
      <c r="C1010" s="97">
        <f>_xll.meDateFromTenor(C1009,"1D","FOLLOWING","TGT")</f>
        <v>43943</v>
      </c>
      <c r="D1010" s="95">
        <f ca="1"/>
        <v>-1.5911260472791788E-3</v>
      </c>
      <c r="E1010" s="92"/>
      <c r="F1010" s="97">
        <f>_xll.meDateFromTenor(F1009,"1D","FOLLOWING","TGT")</f>
        <v>43943</v>
      </c>
      <c r="G1010" s="95">
        <f ca="1"/>
        <v>-4.946040540387889E-4</v>
      </c>
      <c r="H1010" s="92" t="s">
        <v>4</v>
      </c>
      <c r="I1010" s="97">
        <f>_xll.meDateFromTenor(I1009,"1D","FOLLOWING","TGT")</f>
        <v>43943</v>
      </c>
      <c r="J1010" s="95">
        <f ca="1"/>
        <v>7.7220282847964181E-4</v>
      </c>
      <c r="K1010" s="5" t="s">
        <v>4</v>
      </c>
      <c r="L1010" s="97">
        <f>_xll.meDateFromTenor(L1009,"1D","FOLLOWING","TGT")</f>
        <v>43943</v>
      </c>
      <c r="M1010" s="95">
        <f ca="1"/>
        <v>2.6119490882600409E-3</v>
      </c>
      <c r="N1010" s="5" t="s">
        <v>4</v>
      </c>
      <c r="O1010" s="97">
        <f>_xll.meDateFromTenor(O1009,"1D","FOLLOWING","TGT")</f>
        <v>43943</v>
      </c>
      <c r="P1010" s="95">
        <f ca="1"/>
        <v>4.5965666370215491E-3</v>
      </c>
      <c r="Q1010" s="5" t="s">
        <v>4</v>
      </c>
      <c r="R1010" s="83" t="s">
        <v>4</v>
      </c>
    </row>
    <row r="1011" spans="1:18" x14ac:dyDescent="0.25">
      <c r="A1011" s="88">
        <v>997</v>
      </c>
      <c r="B1011" s="82"/>
      <c r="C1011" s="97">
        <f>_xll.meDateFromTenor(C1010,"1D","FOLLOWING","TGT")</f>
        <v>43944</v>
      </c>
      <c r="D1011" s="95">
        <f ca="1"/>
        <v>-1.585329440343064E-3</v>
      </c>
      <c r="E1011" s="92"/>
      <c r="F1011" s="97">
        <f>_xll.meDateFromTenor(F1010,"1D","FOLLOWING","TGT")</f>
        <v>43944</v>
      </c>
      <c r="G1011" s="95">
        <f ca="1"/>
        <v>-4.8837771304505065E-4</v>
      </c>
      <c r="H1011" s="92" t="s">
        <v>4</v>
      </c>
      <c r="I1011" s="97">
        <f>_xll.meDateFromTenor(I1010,"1D","FOLLOWING","TGT")</f>
        <v>43944</v>
      </c>
      <c r="J1011" s="95">
        <f ca="1"/>
        <v>7.780742234961038E-4</v>
      </c>
      <c r="K1011" s="5" t="s">
        <v>4</v>
      </c>
      <c r="L1011" s="97">
        <f>_xll.meDateFromTenor(L1010,"1D","FOLLOWING","TGT")</f>
        <v>43944</v>
      </c>
      <c r="M1011" s="95">
        <f ca="1"/>
        <v>2.6181578763071565E-3</v>
      </c>
      <c r="N1011" s="5" t="s">
        <v>4</v>
      </c>
      <c r="O1011" s="97">
        <f>_xll.meDateFromTenor(O1010,"1D","FOLLOWING","TGT")</f>
        <v>43944</v>
      </c>
      <c r="P1011" s="95">
        <f ca="1"/>
        <v>4.6027028721810827E-3</v>
      </c>
      <c r="Q1011" s="5" t="s">
        <v>4</v>
      </c>
      <c r="R1011" s="83" t="s">
        <v>4</v>
      </c>
    </row>
    <row r="1012" spans="1:18" x14ac:dyDescent="0.25">
      <c r="A1012" s="88">
        <v>998</v>
      </c>
      <c r="B1012" s="82"/>
      <c r="C1012" s="97">
        <f>_xll.meDateFromTenor(C1011,"1D","FOLLOWING","TGT")</f>
        <v>43945</v>
      </c>
      <c r="D1012" s="95">
        <f ca="1"/>
        <v>-1.5794620360176648E-3</v>
      </c>
      <c r="E1012" s="92"/>
      <c r="F1012" s="97">
        <f>_xll.meDateFromTenor(F1011,"1D","FOLLOWING","TGT")</f>
        <v>43945</v>
      </c>
      <c r="G1012" s="95">
        <f ca="1"/>
        <v>-4.8213488390940401E-4</v>
      </c>
      <c r="H1012" s="92" t="s">
        <v>4</v>
      </c>
      <c r="I1012" s="97">
        <f>_xll.meDateFromTenor(I1011,"1D","FOLLOWING","TGT")</f>
        <v>43945</v>
      </c>
      <c r="J1012" s="95">
        <f ca="1"/>
        <v>7.839494406799947E-4</v>
      </c>
      <c r="K1012" s="5" t="s">
        <v>4</v>
      </c>
      <c r="L1012" s="97">
        <f>_xll.meDateFromTenor(L1011,"1D","FOLLOWING","TGT")</f>
        <v>43945</v>
      </c>
      <c r="M1012" s="95">
        <f ca="1"/>
        <v>2.6243695485078846E-3</v>
      </c>
      <c r="N1012" s="5" t="s">
        <v>4</v>
      </c>
      <c r="O1012" s="97">
        <f>_xll.meDateFromTenor(O1011,"1D","FOLLOWING","TGT")</f>
        <v>43945</v>
      </c>
      <c r="P1012" s="95">
        <f ca="1"/>
        <v>4.608843780430456E-3</v>
      </c>
      <c r="Q1012" s="5" t="s">
        <v>4</v>
      </c>
      <c r="R1012" s="83" t="s">
        <v>4</v>
      </c>
    </row>
    <row r="1013" spans="1:18" x14ac:dyDescent="0.25">
      <c r="A1013" s="88">
        <v>999</v>
      </c>
      <c r="B1013" s="82"/>
      <c r="C1013" s="97">
        <f>_xll.meDateFromTenor(C1012,"1D","FOLLOWING","TGT")</f>
        <v>43948</v>
      </c>
      <c r="D1013" s="95">
        <f ca="1"/>
        <v>-1.5614350365230623E-3</v>
      </c>
      <c r="E1013" s="92"/>
      <c r="F1013" s="97">
        <f>_xll.meDateFromTenor(F1012,"1D","FOLLOWING","TGT")</f>
        <v>43948</v>
      </c>
      <c r="G1013" s="95">
        <f ca="1"/>
        <v>-4.6329284124147727E-4</v>
      </c>
      <c r="H1013" s="92" t="s">
        <v>4</v>
      </c>
      <c r="I1013" s="97">
        <f>_xll.meDateFromTenor(I1012,"1D","FOLLOWING","TGT")</f>
        <v>43948</v>
      </c>
      <c r="J1013" s="95">
        <f ca="1"/>
        <v>8.0159819381985474E-4</v>
      </c>
      <c r="K1013" s="5" t="s">
        <v>4</v>
      </c>
      <c r="L1013" s="97">
        <f>_xll.meDateFromTenor(L1012,"1D","FOLLOWING","TGT")</f>
        <v>43948</v>
      </c>
      <c r="M1013" s="95">
        <f ca="1"/>
        <v>2.6430218977562814E-3</v>
      </c>
      <c r="N1013" s="5" t="s">
        <v>4</v>
      </c>
      <c r="O1013" s="97">
        <f>_xll.meDateFromTenor(O1012,"1D","FOLLOWING","TGT")</f>
        <v>43948</v>
      </c>
      <c r="P1013" s="95">
        <f ca="1"/>
        <v>4.6272946729712071E-3</v>
      </c>
      <c r="Q1013" s="5" t="s">
        <v>4</v>
      </c>
      <c r="R1013" s="83" t="s">
        <v>4</v>
      </c>
    </row>
    <row r="1014" spans="1:18" x14ac:dyDescent="0.25">
      <c r="A1014" s="88">
        <v>1000</v>
      </c>
      <c r="B1014" s="82"/>
      <c r="C1014" s="97">
        <f>_xll.meDateFromTenor(C1013,"1D","FOLLOWING","TGT")</f>
        <v>43949</v>
      </c>
      <c r="D1014" s="95">
        <f ca="1"/>
        <v>-1.5552844400635868E-3</v>
      </c>
      <c r="E1014" s="92"/>
      <c r="F1014" s="97">
        <f>_xll.meDateFromTenor(F1013,"1D","FOLLOWING","TGT")</f>
        <v>43949</v>
      </c>
      <c r="G1014" s="95">
        <f ca="1"/>
        <v>-4.5696943312866449E-4</v>
      </c>
      <c r="H1014" s="92" t="s">
        <v>4</v>
      </c>
      <c r="I1014" s="97">
        <f>_xll.meDateFromTenor(I1013,"1D","FOLLOWING","TGT")</f>
        <v>43949</v>
      </c>
      <c r="J1014" s="95">
        <f ca="1"/>
        <v>8.0748886825707266E-4</v>
      </c>
      <c r="K1014" s="5" t="s">
        <v>4</v>
      </c>
      <c r="L1014" s="97">
        <f>_xll.meDateFromTenor(L1013,"1D","FOLLOWING","TGT")</f>
        <v>43949</v>
      </c>
      <c r="M1014" s="95">
        <f ca="1"/>
        <v>2.6492451342959929E-3</v>
      </c>
      <c r="N1014" s="5" t="s">
        <v>4</v>
      </c>
      <c r="O1014" s="97">
        <f>_xll.meDateFromTenor(O1013,"1D","FOLLOWING","TGT")</f>
        <v>43949</v>
      </c>
      <c r="P1014" s="95">
        <f ca="1"/>
        <v>4.6334544028335291E-3</v>
      </c>
      <c r="Q1014" s="5" t="s">
        <v>4</v>
      </c>
      <c r="R1014" s="83" t="s">
        <v>4</v>
      </c>
    </row>
    <row r="1015" spans="1:18" x14ac:dyDescent="0.25">
      <c r="A1015" s="88">
        <v>1001</v>
      </c>
      <c r="B1015" s="82"/>
      <c r="C1015" s="97">
        <f>_xll.meDateFromTenor(C1014,"1D","FOLLOWING","TGT")</f>
        <v>43950</v>
      </c>
      <c r="D1015" s="95">
        <f ca="1"/>
        <v>-1.5490630445121889E-3</v>
      </c>
      <c r="E1015" s="92"/>
      <c r="F1015" s="97">
        <f>_xll.meDateFromTenor(F1014,"1D","FOLLOWING","TGT")</f>
        <v>43950</v>
      </c>
      <c r="G1015" s="95">
        <f ca="1"/>
        <v>-4.5062222366917939E-4</v>
      </c>
      <c r="H1015" s="92" t="s">
        <v>4</v>
      </c>
      <c r="I1015" s="97">
        <f>_xll.meDateFromTenor(I1014,"1D","FOLLOWING","TGT")</f>
        <v>43950</v>
      </c>
      <c r="J1015" s="95">
        <f ca="1"/>
        <v>8.1338344915352328E-4</v>
      </c>
      <c r="K1015" s="5" t="s">
        <v>4</v>
      </c>
      <c r="L1015" s="97">
        <f>_xll.meDateFromTenor(L1014,"1D","FOLLOWING","TGT")</f>
        <v>43950</v>
      </c>
      <c r="M1015" s="95">
        <f ca="1"/>
        <v>2.6554712688515811E-3</v>
      </c>
      <c r="N1015" s="5" t="s">
        <v>4</v>
      </c>
      <c r="O1015" s="97">
        <f>_xll.meDateFromTenor(O1014,"1D","FOLLOWING","TGT")</f>
        <v>43950</v>
      </c>
      <c r="P1015" s="95">
        <f ca="1"/>
        <v>4.6396188704124824E-3</v>
      </c>
      <c r="Q1015" s="5" t="s">
        <v>4</v>
      </c>
      <c r="R1015" s="83" t="s">
        <v>4</v>
      </c>
    </row>
    <row r="1016" spans="1:18" x14ac:dyDescent="0.25">
      <c r="A1016" s="88">
        <v>1002</v>
      </c>
      <c r="B1016" s="82"/>
      <c r="C1016" s="97">
        <f>_xll.meDateFromTenor(C1015,"1D","FOLLOWING","TGT")</f>
        <v>43951</v>
      </c>
      <c r="D1016" s="95">
        <f ca="1"/>
        <v>-1.542770849587316E-3</v>
      </c>
      <c r="E1016" s="92"/>
      <c r="F1016" s="97">
        <f>_xll.meDateFromTenor(F1015,"1D","FOLLOWING","TGT")</f>
        <v>43951</v>
      </c>
      <c r="G1016" s="95">
        <f ca="1"/>
        <v>-4.4424975022206705E-4</v>
      </c>
      <c r="H1016" s="92" t="s">
        <v>4</v>
      </c>
      <c r="I1016" s="97">
        <f>_xll.meDateFromTenor(I1015,"1D","FOLLOWING","TGT")</f>
        <v>43951</v>
      </c>
      <c r="J1016" s="95">
        <f ca="1"/>
        <v>8.1928195336756929E-4</v>
      </c>
      <c r="K1016" s="5" t="s">
        <v>4</v>
      </c>
      <c r="L1016" s="97">
        <f>_xll.meDateFromTenor(L1015,"1D","FOLLOWING","TGT")</f>
        <v>43951</v>
      </c>
      <c r="M1016" s="95">
        <f ca="1"/>
        <v>2.6617003041955012E-3</v>
      </c>
      <c r="N1016" s="5" t="s">
        <v>4</v>
      </c>
      <c r="O1016" s="97">
        <f>_xll.meDateFromTenor(O1015,"1D","FOLLOWING","TGT")</f>
        <v>43951</v>
      </c>
      <c r="P1016" s="95">
        <f ca="1"/>
        <v>4.6457880886334292E-3</v>
      </c>
      <c r="Q1016" s="5" t="s">
        <v>4</v>
      </c>
      <c r="R1016" s="83" t="s">
        <v>4</v>
      </c>
    </row>
    <row r="1017" spans="1:18" x14ac:dyDescent="0.25">
      <c r="A1017" s="88">
        <v>1003</v>
      </c>
      <c r="B1017" s="82"/>
      <c r="C1017" s="97">
        <f>_xll.meDateFromTenor(C1016,"1D","FOLLOWING","TGT")</f>
        <v>43955</v>
      </c>
      <c r="D1017" s="95">
        <f ca="1"/>
        <v>-1.5168940665194475E-3</v>
      </c>
      <c r="E1017" s="92"/>
      <c r="F1017" s="97">
        <f>_xll.meDateFromTenor(F1016,"1D","FOLLOWING","TGT")</f>
        <v>43955</v>
      </c>
      <c r="G1017" s="95">
        <f ca="1"/>
        <v>-4.1847796373830151E-4</v>
      </c>
      <c r="H1017" s="92" t="s">
        <v>4</v>
      </c>
      <c r="I1017" s="97">
        <f>_xll.meDateFromTenor(I1016,"1D","FOLLOWING","TGT")</f>
        <v>43955</v>
      </c>
      <c r="J1017" s="95">
        <f ca="1"/>
        <v>8.4291554056691324E-4</v>
      </c>
      <c r="K1017" s="5" t="s">
        <v>4</v>
      </c>
      <c r="L1017" s="97">
        <f>_xll.meDateFromTenor(L1016,"1D","FOLLOWING","TGT")</f>
        <v>43955</v>
      </c>
      <c r="M1017" s="95">
        <f ca="1"/>
        <v>2.6866455089035401E-3</v>
      </c>
      <c r="N1017" s="5" t="s">
        <v>4</v>
      </c>
      <c r="O1017" s="97">
        <f>_xll.meDateFromTenor(O1016,"1D","FOLLOWING","TGT")</f>
        <v>43955</v>
      </c>
      <c r="P1017" s="95">
        <f ca="1"/>
        <v>4.6705127264442927E-3</v>
      </c>
      <c r="Q1017" s="5" t="s">
        <v>4</v>
      </c>
      <c r="R1017" s="83" t="s">
        <v>4</v>
      </c>
    </row>
    <row r="1018" spans="1:18" x14ac:dyDescent="0.25">
      <c r="A1018" s="88">
        <v>1004</v>
      </c>
      <c r="B1018" s="82"/>
      <c r="C1018" s="97">
        <f>_xll.meDateFromTenor(C1017,"1D","FOLLOWING","TGT")</f>
        <v>43956</v>
      </c>
      <c r="D1018" s="95">
        <f ca="1"/>
        <v>-1.510247867261616E-3</v>
      </c>
      <c r="E1018" s="92"/>
      <c r="F1018" s="97">
        <f>_xll.meDateFromTenor(F1017,"1D","FOLLOWING","TGT")</f>
        <v>43956</v>
      </c>
      <c r="G1018" s="95">
        <f ca="1"/>
        <v>-4.1195761445465644E-4</v>
      </c>
      <c r="H1018" s="92" t="s">
        <v>4</v>
      </c>
      <c r="I1018" s="97">
        <f>_xll.meDateFromTenor(I1017,"1D","FOLLOWING","TGT")</f>
        <v>43956</v>
      </c>
      <c r="J1018" s="95">
        <f ca="1"/>
        <v>8.4883391424434376E-4</v>
      </c>
      <c r="K1018" s="5" t="s">
        <v>4</v>
      </c>
      <c r="L1018" s="97">
        <f>_xll.meDateFromTenor(L1017,"1D","FOLLOWING","TGT")</f>
        <v>43956</v>
      </c>
      <c r="M1018" s="95">
        <f ca="1"/>
        <v>2.6928890897759046E-3</v>
      </c>
      <c r="N1018" s="5" t="s">
        <v>4</v>
      </c>
      <c r="O1018" s="97">
        <f>_xll.meDateFromTenor(O1017,"1D","FOLLOWING","TGT")</f>
        <v>43956</v>
      </c>
      <c r="P1018" s="95">
        <f ca="1"/>
        <v>4.6767058917555719E-3</v>
      </c>
      <c r="Q1018" s="5" t="s">
        <v>4</v>
      </c>
      <c r="R1018" s="83" t="s">
        <v>4</v>
      </c>
    </row>
    <row r="1019" spans="1:18" x14ac:dyDescent="0.25">
      <c r="A1019" s="88">
        <v>1005</v>
      </c>
      <c r="B1019" s="82"/>
      <c r="C1019" s="97">
        <f>_xll.meDateFromTenor(C1018,"1D","FOLLOWING","TGT")</f>
        <v>43957</v>
      </c>
      <c r="D1019" s="95">
        <f ca="1"/>
        <v>-1.5035308654675061E-3</v>
      </c>
      <c r="E1019" s="92"/>
      <c r="F1019" s="97">
        <f>_xll.meDateFromTenor(F1018,"1D","FOLLOWING","TGT")</f>
        <v>43957</v>
      </c>
      <c r="G1019" s="95">
        <f ca="1"/>
        <v>-4.0540552763300826E-4</v>
      </c>
      <c r="H1019" s="92" t="s">
        <v>4</v>
      </c>
      <c r="I1019" s="97">
        <f>_xll.meDateFromTenor(I1018,"1D","FOLLOWING","TGT")</f>
        <v>43957</v>
      </c>
      <c r="J1019" s="95">
        <f ca="1"/>
        <v>8.5475631238953386E-4</v>
      </c>
      <c r="K1019" s="5" t="s">
        <v>4</v>
      </c>
      <c r="L1019" s="97">
        <f>_xll.meDateFromTenor(L1018,"1D","FOLLOWING","TGT")</f>
        <v>43957</v>
      </c>
      <c r="M1019" s="95">
        <f ca="1"/>
        <v>2.6991355880713161E-3</v>
      </c>
      <c r="N1019" s="5" t="s">
        <v>4</v>
      </c>
      <c r="O1019" s="97">
        <f>_xll.meDateFromTenor(O1018,"1D","FOLLOWING","TGT")</f>
        <v>43957</v>
      </c>
      <c r="P1019" s="95">
        <f ca="1"/>
        <v>4.6829038852609908E-3</v>
      </c>
      <c r="Q1019" s="5" t="s">
        <v>4</v>
      </c>
      <c r="R1019" s="83" t="s">
        <v>4</v>
      </c>
    </row>
    <row r="1020" spans="1:18" x14ac:dyDescent="0.25">
      <c r="A1020" s="88">
        <v>1006</v>
      </c>
      <c r="B1020" s="82"/>
      <c r="C1020" s="97">
        <f>_xll.meDateFromTenor(C1019,"1D","FOLLOWING","TGT")</f>
        <v>43958</v>
      </c>
      <c r="D1020" s="95">
        <f ca="1"/>
        <v>-1.4967430604310161E-3</v>
      </c>
      <c r="E1020" s="92"/>
      <c r="F1020" s="97">
        <f>_xll.meDateFromTenor(F1019,"1D","FOLLOWING","TGT")</f>
        <v>43958</v>
      </c>
      <c r="G1020" s="95">
        <f ca="1"/>
        <v>-3.9882254292774509E-4</v>
      </c>
      <c r="H1020" s="92" t="s">
        <v>4</v>
      </c>
      <c r="I1020" s="97">
        <f>_xll.meDateFromTenor(I1019,"1D","FOLLOWING","TGT")</f>
        <v>43958</v>
      </c>
      <c r="J1020" s="95">
        <f ca="1"/>
        <v>8.6068275186084332E-4</v>
      </c>
      <c r="K1020" s="5" t="s">
        <v>4</v>
      </c>
      <c r="L1020" s="97">
        <f>_xll.meDateFromTenor(L1019,"1D","FOLLOWING","TGT")</f>
        <v>43958</v>
      </c>
      <c r="M1020" s="95">
        <f ca="1"/>
        <v>2.7053850065622267E-3</v>
      </c>
      <c r="N1020" s="5" t="s">
        <v>4</v>
      </c>
      <c r="O1020" s="97">
        <f>_xll.meDateFromTenor(O1019,"1D","FOLLOWING","TGT")</f>
        <v>43958</v>
      </c>
      <c r="P1020" s="95">
        <f ca="1"/>
        <v>4.6891067198859089E-3</v>
      </c>
      <c r="Q1020" s="5" t="s">
        <v>4</v>
      </c>
      <c r="R1020" s="83" t="s">
        <v>4</v>
      </c>
    </row>
    <row r="1021" spans="1:18" x14ac:dyDescent="0.25">
      <c r="A1021" s="88">
        <v>1007</v>
      </c>
      <c r="B1021" s="82"/>
      <c r="C1021" s="97">
        <f>_xll.meDateFromTenor(C1020,"1D","FOLLOWING","TGT")</f>
        <v>43959</v>
      </c>
      <c r="D1021" s="95">
        <f ca="1"/>
        <v>-1.4898844517106102E-3</v>
      </c>
      <c r="E1021" s="92"/>
      <c r="F1021" s="97">
        <f>_xll.meDateFromTenor(F1020,"1D","FOLLOWING","TGT")</f>
        <v>43959</v>
      </c>
      <c r="G1021" s="95">
        <f ca="1"/>
        <v>-3.9220949999325196E-4</v>
      </c>
      <c r="H1021" s="92" t="s">
        <v>4</v>
      </c>
      <c r="I1021" s="97">
        <f>_xll.meDateFromTenor(I1020,"1D","FOLLOWING","TGT")</f>
        <v>43959</v>
      </c>
      <c r="J1021" s="95">
        <f ca="1"/>
        <v>8.6661324951663491E-4</v>
      </c>
      <c r="K1021" s="5" t="s">
        <v>4</v>
      </c>
      <c r="L1021" s="97">
        <f>_xll.meDateFromTenor(L1020,"1D","FOLLOWING","TGT")</f>
        <v>43959</v>
      </c>
      <c r="M1021" s="95">
        <f ca="1"/>
        <v>2.7116373480210914E-3</v>
      </c>
      <c r="N1021" s="5" t="s">
        <v>4</v>
      </c>
      <c r="O1021" s="97">
        <f>_xll.meDateFromTenor(O1020,"1D","FOLLOWING","TGT")</f>
        <v>43959</v>
      </c>
      <c r="P1021" s="95">
        <f ca="1"/>
        <v>4.6953144085556875E-3</v>
      </c>
      <c r="Q1021" s="5" t="s">
        <v>4</v>
      </c>
      <c r="R1021" s="83" t="s">
        <v>4</v>
      </c>
    </row>
    <row r="1022" spans="1:18" x14ac:dyDescent="0.25">
      <c r="A1022" s="88">
        <v>1008</v>
      </c>
      <c r="B1022" s="82"/>
      <c r="C1022" s="97">
        <f>_xll.meDateFromTenor(C1021,"1D","FOLLOWING","TGT")</f>
        <v>43962</v>
      </c>
      <c r="D1022" s="95">
        <f ca="1"/>
        <v>-1.4688837959313528E-3</v>
      </c>
      <c r="E1022" s="92"/>
      <c r="F1022" s="97">
        <f>_xll.meDateFromTenor(F1021,"1D","FOLLOWING","TGT")</f>
        <v>43962</v>
      </c>
      <c r="G1022" s="95">
        <f ca="1"/>
        <v>-3.7219841835827051E-4</v>
      </c>
      <c r="H1022" s="92" t="s">
        <v>4</v>
      </c>
      <c r="I1022" s="97">
        <f>_xll.meDateFromTenor(I1021,"1D","FOLLOWING","TGT")</f>
        <v>43962</v>
      </c>
      <c r="J1022" s="95">
        <f ca="1"/>
        <v>8.844292601745032E-4</v>
      </c>
      <c r="K1022" s="5" t="s">
        <v>4</v>
      </c>
      <c r="L1022" s="97">
        <f>_xll.meDateFromTenor(L1021,"1D","FOLLOWING","TGT")</f>
        <v>43962</v>
      </c>
      <c r="M1022" s="95">
        <f ca="1"/>
        <v>2.7304119379299298E-3</v>
      </c>
      <c r="N1022" s="5" t="s">
        <v>4</v>
      </c>
      <c r="O1022" s="97">
        <f>_xll.meDateFromTenor(O1021,"1D","FOLLOWING","TGT")</f>
        <v>43962</v>
      </c>
      <c r="P1022" s="95">
        <f ca="1"/>
        <v>4.7139667280877541E-3</v>
      </c>
      <c r="Q1022" s="5" t="s">
        <v>4</v>
      </c>
      <c r="R1022" s="83" t="s">
        <v>4</v>
      </c>
    </row>
    <row r="1023" spans="1:18" x14ac:dyDescent="0.25">
      <c r="A1023" s="88">
        <v>1009</v>
      </c>
      <c r="B1023" s="82"/>
      <c r="C1023" s="97">
        <f>_xll.meDateFromTenor(C1022,"1D","FOLLOWING","TGT")</f>
        <v>43963</v>
      </c>
      <c r="D1023" s="95">
        <f ca="1"/>
        <v>-1.4617419648451646E-3</v>
      </c>
      <c r="E1023" s="92"/>
      <c r="F1023" s="97">
        <f>_xll.meDateFromTenor(F1022,"1D","FOLLOWING","TGT")</f>
        <v>43963</v>
      </c>
      <c r="G1023" s="95">
        <f ca="1"/>
        <v>-3.6547353905073222E-4</v>
      </c>
      <c r="H1023" s="92" t="s">
        <v>4</v>
      </c>
      <c r="I1023" s="97">
        <f>_xll.meDateFromTenor(I1022,"1D","FOLLOWING","TGT")</f>
        <v>43963</v>
      </c>
      <c r="J1023" s="95">
        <f ca="1"/>
        <v>8.9037615915182747E-4</v>
      </c>
      <c r="K1023" s="5" t="s">
        <v>4</v>
      </c>
      <c r="L1023" s="97">
        <f>_xll.meDateFromTenor(L1022,"1D","FOLLOWING","TGT")</f>
        <v>43963</v>
      </c>
      <c r="M1023" s="95">
        <f ca="1"/>
        <v>2.7366759989851338E-3</v>
      </c>
      <c r="N1023" s="5" t="s">
        <v>4</v>
      </c>
      <c r="O1023" s="97">
        <f>_xll.meDateFromTenor(O1022,"1D","FOLLOWING","TGT")</f>
        <v>43963</v>
      </c>
      <c r="P1023" s="95">
        <f ca="1"/>
        <v>4.7201939621905487E-3</v>
      </c>
      <c r="Q1023" s="5" t="s">
        <v>4</v>
      </c>
      <c r="R1023" s="83" t="s">
        <v>4</v>
      </c>
    </row>
    <row r="1024" spans="1:18" x14ac:dyDescent="0.25">
      <c r="A1024" s="88">
        <v>1010</v>
      </c>
      <c r="B1024" s="82"/>
      <c r="C1024" s="97">
        <f>_xll.meDateFromTenor(C1023,"1D","FOLLOWING","TGT")</f>
        <v>43964</v>
      </c>
      <c r="D1024" s="95">
        <f ca="1"/>
        <v>-1.4545293266052806E-3</v>
      </c>
      <c r="E1024" s="92"/>
      <c r="F1024" s="97">
        <f>_xll.meDateFromTenor(F1023,"1D","FOLLOWING","TGT")</f>
        <v>43964</v>
      </c>
      <c r="G1024" s="95">
        <f ca="1"/>
        <v>-3.5872279978590136E-4</v>
      </c>
      <c r="H1024" s="92" t="s">
        <v>4</v>
      </c>
      <c r="I1024" s="97">
        <f>_xll.meDateFromTenor(I1023,"1D","FOLLOWING","TGT")</f>
        <v>43964</v>
      </c>
      <c r="J1024" s="95">
        <f ca="1"/>
        <v>8.9632720060543584E-4</v>
      </c>
      <c r="K1024" s="5" t="s">
        <v>4</v>
      </c>
      <c r="L1024" s="97">
        <f>_xll.meDateFromTenor(L1023,"1D","FOLLOWING","TGT")</f>
        <v>43964</v>
      </c>
      <c r="M1024" s="95">
        <f ca="1"/>
        <v>2.7429429968705539E-3</v>
      </c>
      <c r="N1024" s="5" t="s">
        <v>4</v>
      </c>
      <c r="O1024" s="97">
        <f>_xll.meDateFromTenor(O1023,"1D","FOLLOWING","TGT")</f>
        <v>43964</v>
      </c>
      <c r="P1024" s="95">
        <f ca="1"/>
        <v>4.726426114964993E-3</v>
      </c>
      <c r="Q1024" s="5" t="s">
        <v>4</v>
      </c>
      <c r="R1024" s="83" t="s">
        <v>4</v>
      </c>
    </row>
    <row r="1025" spans="1:18" x14ac:dyDescent="0.25">
      <c r="A1025" s="88">
        <v>1011</v>
      </c>
      <c r="B1025" s="82"/>
      <c r="C1025" s="97">
        <f>_xll.meDateFromTenor(C1024,"1D","FOLLOWING","TGT")</f>
        <v>43965</v>
      </c>
      <c r="D1025" s="95">
        <f ca="1"/>
        <v>-1.4472458798001631E-3</v>
      </c>
      <c r="E1025" s="92"/>
      <c r="F1025" s="97">
        <f>_xll.meDateFromTenor(F1024,"1D","FOLLOWING","TGT")</f>
        <v>43965</v>
      </c>
      <c r="G1025" s="95">
        <f ca="1"/>
        <v>-3.5194704021816292E-4</v>
      </c>
      <c r="H1025" s="92" t="s">
        <v>4</v>
      </c>
      <c r="I1025" s="97">
        <f>_xll.meDateFromTenor(I1024,"1D","FOLLOWING","TGT")</f>
        <v>43965</v>
      </c>
      <c r="J1025" s="95">
        <f ca="1"/>
        <v>9.0228240139369142E-4</v>
      </c>
      <c r="K1025" s="5" t="s">
        <v>4</v>
      </c>
      <c r="L1025" s="97">
        <f>_xll.meDateFromTenor(L1024,"1D","FOLLOWING","TGT")</f>
        <v>43965</v>
      </c>
      <c r="M1025" s="95">
        <f ca="1"/>
        <v>2.7492129343586447E-3</v>
      </c>
      <c r="N1025" s="5" t="s">
        <v>4</v>
      </c>
      <c r="O1025" s="97">
        <f>_xll.meDateFromTenor(O1024,"1D","FOLLOWING","TGT")</f>
        <v>43965</v>
      </c>
      <c r="P1025" s="95">
        <f ca="1"/>
        <v>4.7326631993364456E-3</v>
      </c>
      <c r="Q1025" s="5" t="s">
        <v>4</v>
      </c>
      <c r="R1025" s="83" t="s">
        <v>4</v>
      </c>
    </row>
    <row r="1026" spans="1:18" x14ac:dyDescent="0.25">
      <c r="A1026" s="88">
        <v>1012</v>
      </c>
      <c r="B1026" s="82"/>
      <c r="C1026" s="97">
        <f>_xll.meDateFromTenor(C1025,"1D","FOLLOWING","TGT")</f>
        <v>43966</v>
      </c>
      <c r="D1026" s="95">
        <f ca="1"/>
        <v>-1.4398916238851367E-3</v>
      </c>
      <c r="E1026" s="92"/>
      <c r="F1026" s="97">
        <f>_xll.meDateFromTenor(F1025,"1D","FOLLOWING","TGT")</f>
        <v>43966</v>
      </c>
      <c r="G1026" s="95">
        <f ca="1"/>
        <v>-3.4514710000190505E-4</v>
      </c>
      <c r="H1026" s="92" t="s">
        <v>4</v>
      </c>
      <c r="I1026" s="97">
        <f>_xll.meDateFromTenor(I1025,"1D","FOLLOWING","TGT")</f>
        <v>43966</v>
      </c>
      <c r="J1026" s="95">
        <f ca="1"/>
        <v>9.0824177837495385E-4</v>
      </c>
      <c r="K1026" s="5" t="s">
        <v>4</v>
      </c>
      <c r="L1026" s="97">
        <f>_xll.meDateFromTenor(L1025,"1D","FOLLOWING","TGT")</f>
        <v>43966</v>
      </c>
      <c r="M1026" s="95">
        <f ca="1"/>
        <v>2.7554858142218586E-3</v>
      </c>
      <c r="N1026" s="5" t="s">
        <v>4</v>
      </c>
      <c r="O1026" s="97">
        <f>_xll.meDateFromTenor(O1025,"1D","FOLLOWING","TGT")</f>
        <v>43966</v>
      </c>
      <c r="P1026" s="95">
        <f ca="1"/>
        <v>4.738905228230267E-3</v>
      </c>
      <c r="Q1026" s="5" t="s">
        <v>4</v>
      </c>
      <c r="R1026" s="83" t="s">
        <v>4</v>
      </c>
    </row>
    <row r="1027" spans="1:18" x14ac:dyDescent="0.25">
      <c r="A1027" s="88">
        <v>1013</v>
      </c>
      <c r="B1027" s="82"/>
      <c r="C1027" s="97">
        <f>_xll.meDateFromTenor(C1026,"1D","FOLLOWING","TGT")</f>
        <v>43969</v>
      </c>
      <c r="D1027" s="95">
        <f ca="1"/>
        <v>-1.4174039927483673E-3</v>
      </c>
      <c r="E1027" s="92"/>
      <c r="F1027" s="97">
        <f>_xll.meDateFromTenor(F1026,"1D","FOLLOWING","TGT")</f>
        <v>43969</v>
      </c>
      <c r="G1027" s="95">
        <f ca="1"/>
        <v>-3.2461059200588618E-4</v>
      </c>
      <c r="H1027" s="92" t="s">
        <v>4</v>
      </c>
      <c r="I1027" s="97">
        <f>_xll.meDateFromTenor(I1026,"1D","FOLLOWING","TGT")</f>
        <v>43969</v>
      </c>
      <c r="J1027" s="95">
        <f ca="1"/>
        <v>9.2614513506039003E-4</v>
      </c>
      <c r="K1027" s="5" t="s">
        <v>4</v>
      </c>
      <c r="L1027" s="97">
        <f>_xll.meDateFromTenor(L1026,"1D","FOLLOWING","TGT")</f>
        <v>43969</v>
      </c>
      <c r="M1027" s="95">
        <f ca="1"/>
        <v>2.7743221357867608E-3</v>
      </c>
      <c r="N1027" s="5" t="s">
        <v>4</v>
      </c>
      <c r="O1027" s="97">
        <f>_xll.meDateFromTenor(O1026,"1D","FOLLOWING","TGT")</f>
        <v>43969</v>
      </c>
      <c r="P1027" s="95">
        <f ca="1"/>
        <v>4.757661111299512E-3</v>
      </c>
      <c r="Q1027" s="5" t="s">
        <v>4</v>
      </c>
      <c r="R1027" s="83" t="s">
        <v>4</v>
      </c>
    </row>
    <row r="1028" spans="1:18" x14ac:dyDescent="0.25">
      <c r="A1028" s="88">
        <v>1014</v>
      </c>
      <c r="B1028" s="82"/>
      <c r="C1028" s="97">
        <f>_xll.meDateFromTenor(C1027,"1D","FOLLOWING","TGT")</f>
        <v>43970</v>
      </c>
      <c r="D1028" s="95">
        <f ca="1"/>
        <v>-1.4097664913109709E-3</v>
      </c>
      <c r="E1028" s="92"/>
      <c r="F1028" s="97">
        <f>_xll.meDateFromTenor(F1027,"1D","FOLLOWING","TGT")</f>
        <v>43970</v>
      </c>
      <c r="G1028" s="95">
        <f ca="1"/>
        <v>-3.177223257394211E-4</v>
      </c>
      <c r="H1028" s="92" t="s">
        <v>4</v>
      </c>
      <c r="I1028" s="97">
        <f>_xll.meDateFromTenor(I1027,"1D","FOLLOWING","TGT")</f>
        <v>43970</v>
      </c>
      <c r="J1028" s="95">
        <f ca="1"/>
        <v>9.3212138539728847E-4</v>
      </c>
      <c r="K1028" s="5" t="s">
        <v>4</v>
      </c>
      <c r="L1028" s="97">
        <f>_xll.meDateFromTenor(L1027,"1D","FOLLOWING","TGT")</f>
        <v>43970</v>
      </c>
      <c r="M1028" s="95">
        <f ca="1"/>
        <v>2.7806068128749931E-3</v>
      </c>
      <c r="N1028" s="5" t="s">
        <v>4</v>
      </c>
      <c r="O1028" s="97">
        <f>_xll.meDateFromTenor(O1027,"1D","FOLLOWING","TGT")</f>
        <v>43970</v>
      </c>
      <c r="P1028" s="95">
        <f ca="1"/>
        <v>4.7639230475363835E-3</v>
      </c>
      <c r="Q1028" s="5" t="s">
        <v>4</v>
      </c>
      <c r="R1028" s="83" t="s">
        <v>4</v>
      </c>
    </row>
    <row r="1029" spans="1:18" x14ac:dyDescent="0.25">
      <c r="A1029" s="88">
        <v>1015</v>
      </c>
      <c r="B1029" s="82"/>
      <c r="C1029" s="97">
        <f>_xll.meDateFromTenor(C1028,"1D","FOLLOWING","TGT")</f>
        <v>43971</v>
      </c>
      <c r="D1029" s="95">
        <f ca="1"/>
        <v>-1.4020581760875173E-3</v>
      </c>
      <c r="E1029" s="92"/>
      <c r="F1029" s="97">
        <f>_xll.meDateFromTenor(F1028,"1D","FOLLOWING","TGT")</f>
        <v>43971</v>
      </c>
      <c r="G1029" s="95">
        <f ca="1"/>
        <v>-3.1081407709637179E-4</v>
      </c>
      <c r="H1029" s="92" t="s">
        <v>4</v>
      </c>
      <c r="I1029" s="97">
        <f>_xll.meDateFromTenor(I1028,"1D","FOLLOWING","TGT")</f>
        <v>43971</v>
      </c>
      <c r="J1029" s="95">
        <f ca="1"/>
        <v>9.3810189621899777E-4</v>
      </c>
      <c r="K1029" s="5" t="s">
        <v>4</v>
      </c>
      <c r="L1029" s="97">
        <f>_xll.meDateFromTenor(L1028,"1D","FOLLOWING","TGT")</f>
        <v>43971</v>
      </c>
      <c r="M1029" s="95">
        <f ca="1"/>
        <v>2.786894446200611E-3</v>
      </c>
      <c r="N1029" s="5" t="s">
        <v>4</v>
      </c>
      <c r="O1029" s="97">
        <f>_xll.meDateFromTenor(O1028,"1D","FOLLOWING","TGT")</f>
        <v>43971</v>
      </c>
      <c r="P1029" s="95">
        <f ca="1"/>
        <v>4.7701899929224129E-3</v>
      </c>
      <c r="Q1029" s="5" t="s">
        <v>4</v>
      </c>
      <c r="R1029" s="83" t="s">
        <v>4</v>
      </c>
    </row>
    <row r="1030" spans="1:18" x14ac:dyDescent="0.25">
      <c r="A1030" s="88">
        <v>1016</v>
      </c>
      <c r="B1030" s="82"/>
      <c r="C1030" s="97">
        <f>_xll.meDateFromTenor(C1029,"1D","FOLLOWING","TGT")</f>
        <v>43972</v>
      </c>
      <c r="D1030" s="95">
        <f ca="1"/>
        <v>-1.3942790460441667E-3</v>
      </c>
      <c r="E1030" s="92"/>
      <c r="F1030" s="97">
        <f>_xll.meDateFromTenor(F1029,"1D","FOLLOWING","TGT")</f>
        <v>43972</v>
      </c>
      <c r="G1030" s="95">
        <f ca="1"/>
        <v>-3.0388668573112662E-4</v>
      </c>
      <c r="H1030" s="92" t="s">
        <v>4</v>
      </c>
      <c r="I1030" s="97">
        <f>_xll.meDateFromTenor(I1029,"1D","FOLLOWING","TGT")</f>
        <v>43972</v>
      </c>
      <c r="J1030" s="95">
        <f ca="1"/>
        <v>9.4408668438387836E-4</v>
      </c>
      <c r="K1030" s="5" t="s">
        <v>4</v>
      </c>
      <c r="L1030" s="97">
        <f>_xll.meDateFromTenor(L1029,"1D","FOLLOWING","TGT")</f>
        <v>43972</v>
      </c>
      <c r="M1030" s="95">
        <f ca="1"/>
        <v>2.7931850385360672E-3</v>
      </c>
      <c r="N1030" s="5" t="s">
        <v>4</v>
      </c>
      <c r="O1030" s="97">
        <f>_xll.meDateFromTenor(O1029,"1D","FOLLOWING","TGT")</f>
        <v>43972</v>
      </c>
      <c r="P1030" s="95">
        <f ca="1"/>
        <v>4.7764619603829599E-3</v>
      </c>
      <c r="Q1030" s="5" t="s">
        <v>4</v>
      </c>
      <c r="R1030" s="83" t="s">
        <v>4</v>
      </c>
    </row>
    <row r="1031" spans="1:18" x14ac:dyDescent="0.25">
      <c r="A1031" s="88">
        <v>1017</v>
      </c>
      <c r="B1031" s="82"/>
      <c r="C1031" s="97">
        <f>_xll.meDateFromTenor(C1030,"1D","FOLLOWING","TGT")</f>
        <v>43973</v>
      </c>
      <c r="D1031" s="95">
        <f ca="1"/>
        <v>-1.3864290999685558E-3</v>
      </c>
      <c r="E1031" s="92"/>
      <c r="F1031" s="97">
        <f>_xll.meDateFromTenor(F1030,"1D","FOLLOWING","TGT")</f>
        <v>43973</v>
      </c>
      <c r="G1031" s="95">
        <f ca="1"/>
        <v>-2.9694099129807036E-4</v>
      </c>
      <c r="H1031" s="92" t="s">
        <v>4</v>
      </c>
      <c r="I1031" s="97">
        <f>_xll.meDateFromTenor(I1030,"1D","FOLLOWING","TGT")</f>
        <v>43973</v>
      </c>
      <c r="J1031" s="95">
        <f ca="1"/>
        <v>9.5007576675029258E-4</v>
      </c>
      <c r="K1031" s="5" t="s">
        <v>4</v>
      </c>
      <c r="L1031" s="97">
        <f>_xll.meDateFromTenor(L1030,"1D","FOLLOWING","TGT")</f>
        <v>43973</v>
      </c>
      <c r="M1031" s="95">
        <f ca="1"/>
        <v>2.7994785926538173E-3</v>
      </c>
      <c r="N1031" s="5" t="s">
        <v>4</v>
      </c>
      <c r="O1031" s="97">
        <f>_xll.meDateFromTenor(O1030,"1D","FOLLOWING","TGT")</f>
        <v>43973</v>
      </c>
      <c r="P1031" s="95">
        <f ca="1"/>
        <v>4.7827389628433839E-3</v>
      </c>
      <c r="Q1031" s="5" t="s">
        <v>4</v>
      </c>
      <c r="R1031" s="83" t="s">
        <v>4</v>
      </c>
    </row>
    <row r="1032" spans="1:18" x14ac:dyDescent="0.25">
      <c r="A1032" s="88">
        <v>1018</v>
      </c>
      <c r="B1032" s="82"/>
      <c r="C1032" s="97">
        <f>_xll.meDateFromTenor(C1031,"1D","FOLLOWING","TGT")</f>
        <v>43976</v>
      </c>
      <c r="D1032" s="95">
        <f ca="1"/>
        <v>-1.3624543555421642E-3</v>
      </c>
      <c r="E1032" s="92"/>
      <c r="F1032" s="97">
        <f>_xll.meDateFromTenor(F1031,"1D","FOLLOWING","TGT")</f>
        <v>43976</v>
      </c>
      <c r="G1032" s="95">
        <f ca="1"/>
        <v>-2.760024861359122E-4</v>
      </c>
      <c r="H1032" s="92" t="s">
        <v>4</v>
      </c>
      <c r="I1032" s="97">
        <f>_xll.meDateFromTenor(I1031,"1D","FOLLOWING","TGT")</f>
        <v>43976</v>
      </c>
      <c r="J1032" s="95">
        <f ca="1"/>
        <v>9.6806894764233959E-4</v>
      </c>
      <c r="K1032" s="5" t="s">
        <v>4</v>
      </c>
      <c r="L1032" s="97">
        <f>_xll.meDateFromTenor(L1031,"1D","FOLLOWING","TGT")</f>
        <v>43976</v>
      </c>
      <c r="M1032" s="95">
        <f ca="1"/>
        <v>2.818377053425347E-3</v>
      </c>
      <c r="N1032" s="5" t="s">
        <v>4</v>
      </c>
      <c r="O1032" s="97">
        <f>_xll.meDateFromTenor(O1031,"1D","FOLLOWING","TGT")</f>
        <v>43976</v>
      </c>
      <c r="P1032" s="95">
        <f ca="1"/>
        <v>4.8016003094774893E-3</v>
      </c>
      <c r="Q1032" s="5" t="s">
        <v>4</v>
      </c>
      <c r="R1032" s="83" t="s">
        <v>4</v>
      </c>
    </row>
    <row r="1033" spans="1:18" x14ac:dyDescent="0.25">
      <c r="A1033" s="88">
        <v>1019</v>
      </c>
      <c r="B1033" s="82"/>
      <c r="C1033" s="97">
        <f>_xll.meDateFromTenor(C1032,"1D","FOLLOWING","TGT")</f>
        <v>43977</v>
      </c>
      <c r="D1033" s="95">
        <f ca="1"/>
        <v>-1.3543211348135964E-3</v>
      </c>
      <c r="E1033" s="92"/>
      <c r="F1033" s="97">
        <f>_xll.meDateFromTenor(F1032,"1D","FOLLOWING","TGT")</f>
        <v>43977</v>
      </c>
      <c r="G1033" s="95">
        <f ca="1"/>
        <v>-2.6899197597548782E-4</v>
      </c>
      <c r="H1033" s="92" t="s">
        <v>4</v>
      </c>
      <c r="I1033" s="97">
        <f>_xll.meDateFromTenor(I1032,"1D","FOLLOWING","TGT")</f>
        <v>43977</v>
      </c>
      <c r="J1033" s="95">
        <f ca="1"/>
        <v>9.7407537539849205E-4</v>
      </c>
      <c r="K1033" s="5" t="s">
        <v>4</v>
      </c>
      <c r="L1033" s="97">
        <f>_xll.meDateFromTenor(L1032,"1D","FOLLOWING","TGT")</f>
        <v>43977</v>
      </c>
      <c r="M1033" s="95">
        <f ca="1"/>
        <v>2.8246824823967925E-3</v>
      </c>
      <c r="N1033" s="5" t="s">
        <v>4</v>
      </c>
      <c r="O1033" s="97">
        <f>_xll.meDateFromTenor(O1032,"1D","FOLLOWING","TGT")</f>
        <v>43977</v>
      </c>
      <c r="P1033" s="95">
        <f ca="1"/>
        <v>4.8078975811909975E-3</v>
      </c>
      <c r="Q1033" s="5" t="s">
        <v>4</v>
      </c>
      <c r="R1033" s="83" t="s">
        <v>4</v>
      </c>
    </row>
    <row r="1034" spans="1:18" x14ac:dyDescent="0.25">
      <c r="A1034" s="88">
        <v>1020</v>
      </c>
      <c r="B1034" s="82"/>
      <c r="C1034" s="97">
        <f>_xll.meDateFromTenor(C1033,"1D","FOLLOWING","TGT")</f>
        <v>43978</v>
      </c>
      <c r="D1034" s="95">
        <f ca="1"/>
        <v>-1.3461170920967547E-3</v>
      </c>
      <c r="E1034" s="92"/>
      <c r="F1034" s="97">
        <f>_xll.meDateFromTenor(F1033,"1D","FOLLOWING","TGT")</f>
        <v>43978</v>
      </c>
      <c r="G1034" s="95">
        <f ca="1"/>
        <v>-2.6196736101918757E-4</v>
      </c>
      <c r="H1034" s="92" t="s">
        <v>4</v>
      </c>
      <c r="I1034" s="97">
        <f>_xll.meDateFromTenor(I1033,"1D","FOLLOWING","TGT")</f>
        <v>43978</v>
      </c>
      <c r="J1034" s="95">
        <f ca="1"/>
        <v>9.8008618164798248E-4</v>
      </c>
      <c r="K1034" s="5" t="s">
        <v>4</v>
      </c>
      <c r="L1034" s="97">
        <f>_xll.meDateFromTenor(L1033,"1D","FOLLOWING","TGT")</f>
        <v>43978</v>
      </c>
      <c r="M1034" s="95">
        <f ca="1"/>
        <v>2.8309908870127951E-3</v>
      </c>
      <c r="N1034" s="5" t="s">
        <v>4</v>
      </c>
      <c r="O1034" s="97">
        <f>_xll.meDateFromTenor(O1033,"1D","FOLLOWING","TGT")</f>
        <v>43978</v>
      </c>
      <c r="P1034" s="95">
        <f ca="1"/>
        <v>4.8141999525311736E-3</v>
      </c>
      <c r="Q1034" s="5" t="s">
        <v>4</v>
      </c>
      <c r="R1034" s="83" t="s">
        <v>4</v>
      </c>
    </row>
    <row r="1035" spans="1:18" x14ac:dyDescent="0.25">
      <c r="A1035" s="88">
        <v>1021</v>
      </c>
      <c r="B1035" s="82"/>
      <c r="C1035" s="97">
        <f>_xll.meDateFromTenor(C1034,"1D","FOLLOWING","TGT")</f>
        <v>43979</v>
      </c>
      <c r="D1035" s="95">
        <f ca="1"/>
        <v>-1.3378422267682488E-3</v>
      </c>
      <c r="E1035" s="92"/>
      <c r="F1035" s="97">
        <f>_xll.meDateFromTenor(F1034,"1D","FOLLOWING","TGT")</f>
        <v>43979</v>
      </c>
      <c r="G1035" s="95">
        <f ca="1"/>
        <v>-2.5492948092139986E-4</v>
      </c>
      <c r="H1035" s="92" t="s">
        <v>4</v>
      </c>
      <c r="I1035" s="97">
        <f>_xll.meDateFromTenor(I1034,"1D","FOLLOWING","TGT")</f>
        <v>43979</v>
      </c>
      <c r="J1035" s="95">
        <f ca="1"/>
        <v>9.8610138324917032E-4</v>
      </c>
      <c r="K1035" s="5" t="s">
        <v>4</v>
      </c>
      <c r="L1035" s="97">
        <f>_xll.meDateFromTenor(L1034,"1D","FOLLOWING","TGT")</f>
        <v>43979</v>
      </c>
      <c r="M1035" s="95">
        <f ca="1"/>
        <v>2.8373022700458063E-3</v>
      </c>
      <c r="N1035" s="5" t="s">
        <v>4</v>
      </c>
      <c r="O1035" s="97">
        <f>_xll.meDateFromTenor(O1034,"1D","FOLLOWING","TGT")</f>
        <v>43979</v>
      </c>
      <c r="P1035" s="95">
        <f ca="1"/>
        <v>4.8205074364233757E-3</v>
      </c>
      <c r="Q1035" s="5" t="s">
        <v>4</v>
      </c>
      <c r="R1035" s="83" t="s">
        <v>4</v>
      </c>
    </row>
    <row r="1036" spans="1:18" x14ac:dyDescent="0.25">
      <c r="A1036" s="88">
        <v>1022</v>
      </c>
      <c r="B1036" s="82"/>
      <c r="C1036" s="97">
        <f>_xll.meDateFromTenor(C1035,"1D","FOLLOWING","TGT")</f>
        <v>43980</v>
      </c>
      <c r="D1036" s="95">
        <f ca="1"/>
        <v>-1.3294965373146228E-3</v>
      </c>
      <c r="E1036" s="92"/>
      <c r="F1036" s="97">
        <f>_xll.meDateFromTenor(F1035,"1D","FOLLOWING","TGT")</f>
        <v>43980</v>
      </c>
      <c r="G1036" s="95">
        <f ca="1"/>
        <v>-2.4787917533651273E-4</v>
      </c>
      <c r="H1036" s="92" t="s">
        <v>4</v>
      </c>
      <c r="I1036" s="97">
        <f>_xll.meDateFromTenor(I1035,"1D","FOLLOWING","TGT")</f>
        <v>43980</v>
      </c>
      <c r="J1036" s="95">
        <f ca="1"/>
        <v>9.9212099706041577E-4</v>
      </c>
      <c r="K1036" s="5" t="s">
        <v>4</v>
      </c>
      <c r="L1036" s="97">
        <f>_xll.meDateFromTenor(L1035,"1D","FOLLOWING","TGT")</f>
        <v>43980</v>
      </c>
      <c r="M1036" s="95">
        <f ca="1"/>
        <v>2.8436166342682787E-3</v>
      </c>
      <c r="N1036" s="5" t="s">
        <v>4</v>
      </c>
      <c r="O1036" s="97">
        <f>_xll.meDateFromTenor(O1035,"1D","FOLLOWING","TGT")</f>
        <v>43980</v>
      </c>
      <c r="P1036" s="95">
        <f ca="1"/>
        <v>4.8268200457929605E-3</v>
      </c>
      <c r="Q1036" s="5" t="s">
        <v>4</v>
      </c>
      <c r="R1036" s="83" t="s">
        <v>4</v>
      </c>
    </row>
    <row r="1037" spans="1:18" x14ac:dyDescent="0.25">
      <c r="A1037" s="88">
        <v>1023</v>
      </c>
      <c r="B1037" s="82"/>
      <c r="C1037" s="97">
        <f>_xll.meDateFromTenor(C1036,"1D","FOLLOWING","TGT")</f>
        <v>43983</v>
      </c>
      <c r="D1037" s="95">
        <f ca="1"/>
        <v>-1.3040345104178286E-3</v>
      </c>
      <c r="E1037" s="92"/>
      <c r="F1037" s="97">
        <f>_xll.meDateFromTenor(F1036,"1D","FOLLOWING","TGT")</f>
        <v>43983</v>
      </c>
      <c r="G1037" s="95">
        <f ca="1"/>
        <v>-2.2666210220311677E-4</v>
      </c>
      <c r="H1037" s="92" t="s">
        <v>4</v>
      </c>
      <c r="I1037" s="97">
        <f>_xll.meDateFromTenor(I1036,"1D","FOLLOWING","TGT")</f>
        <v>43983</v>
      </c>
      <c r="J1037" s="95">
        <f ca="1"/>
        <v>1.0102064803381139E-3</v>
      </c>
      <c r="K1037" s="5" t="s">
        <v>4</v>
      </c>
      <c r="L1037" s="97">
        <f>_xll.meDateFromTenor(L1036,"1D","FOLLOWING","TGT")</f>
        <v>43983</v>
      </c>
      <c r="M1037" s="95">
        <f ca="1"/>
        <v>2.862577641796996E-3</v>
      </c>
      <c r="N1037" s="5" t="s">
        <v>4</v>
      </c>
      <c r="O1037" s="97">
        <f>_xll.meDateFromTenor(O1036,"1D","FOLLOWING","TGT")</f>
        <v>43983</v>
      </c>
      <c r="P1037" s="95">
        <f ca="1"/>
        <v>4.8457887560196065E-3</v>
      </c>
      <c r="Q1037" s="5" t="s">
        <v>4</v>
      </c>
      <c r="R1037" s="83" t="s">
        <v>4</v>
      </c>
    </row>
    <row r="1038" spans="1:18" x14ac:dyDescent="0.25">
      <c r="A1038" s="88">
        <v>1024</v>
      </c>
      <c r="B1038" s="82"/>
      <c r="C1038" s="97">
        <f>_xll.meDateFromTenor(C1037,"1D","FOLLOWING","TGT")</f>
        <v>43984</v>
      </c>
      <c r="D1038" s="95">
        <f ca="1"/>
        <v>-1.2954182928350821E-3</v>
      </c>
      <c r="E1038" s="92"/>
      <c r="F1038" s="97">
        <f>_xll.meDateFromTenor(F1037,"1D","FOLLOWING","TGT")</f>
        <v>43984</v>
      </c>
      <c r="G1038" s="95">
        <f ca="1"/>
        <v>-2.1957049121369603E-4</v>
      </c>
      <c r="H1038" s="92" t="s">
        <v>4</v>
      </c>
      <c r="I1038" s="97">
        <f>_xll.meDateFromTenor(I1037,"1D","FOLLOWING","TGT")</f>
        <v>43984</v>
      </c>
      <c r="J1038" s="95">
        <f ca="1"/>
        <v>1.0162439115732041E-3</v>
      </c>
      <c r="K1038" s="5" t="s">
        <v>4</v>
      </c>
      <c r="L1038" s="97">
        <f>_xll.meDateFromTenor(L1037,"1D","FOLLOWING","TGT")</f>
        <v>43984</v>
      </c>
      <c r="M1038" s="95">
        <f ca="1"/>
        <v>2.8689039585018459E-3</v>
      </c>
      <c r="N1038" s="5" t="s">
        <v>4</v>
      </c>
      <c r="O1038" s="97">
        <f>_xll.meDateFromTenor(O1037,"1D","FOLLOWING","TGT")</f>
        <v>43984</v>
      </c>
      <c r="P1038" s="95">
        <f ca="1"/>
        <v>4.8521219965523138E-3</v>
      </c>
      <c r="Q1038" s="5" t="s">
        <v>4</v>
      </c>
      <c r="R1038" s="83" t="s">
        <v>4</v>
      </c>
    </row>
    <row r="1039" spans="1:18" x14ac:dyDescent="0.25">
      <c r="A1039" s="88">
        <v>1025</v>
      </c>
      <c r="B1039" s="82"/>
      <c r="C1039" s="97">
        <f>_xll.meDateFromTenor(C1038,"1D","FOLLOWING","TGT")</f>
        <v>43985</v>
      </c>
      <c r="D1039" s="95">
        <f ca="1"/>
        <v>-1.2867951554407231E-3</v>
      </c>
      <c r="E1039" s="92"/>
      <c r="F1039" s="97">
        <f>_xll.meDateFromTenor(F1038,"1D","FOLLOWING","TGT")</f>
        <v>43985</v>
      </c>
      <c r="G1039" s="95">
        <f ca="1"/>
        <v>-2.1247069880238353E-4</v>
      </c>
      <c r="H1039" s="92" t="s">
        <v>4</v>
      </c>
      <c r="I1039" s="97">
        <f>_xll.meDateFromTenor(I1038,"1D","FOLLOWING","TGT")</f>
        <v>43985</v>
      </c>
      <c r="J1039" s="95">
        <f ca="1"/>
        <v>1.0222858381129457E-3</v>
      </c>
      <c r="K1039" s="5" t="s">
        <v>4</v>
      </c>
      <c r="L1039" s="97">
        <f>_xll.meDateFromTenor(L1038,"1D","FOLLOWING","TGT")</f>
        <v>43985</v>
      </c>
      <c r="M1039" s="95">
        <f ca="1"/>
        <v>2.8752332696053403E-3</v>
      </c>
      <c r="N1039" s="5" t="s">
        <v>4</v>
      </c>
      <c r="O1039" s="97">
        <f>_xll.meDateFromTenor(O1038,"1D","FOLLOWING","TGT")</f>
        <v>43985</v>
      </c>
      <c r="P1039" s="95">
        <f ca="1"/>
        <v>4.8584604226714866E-3</v>
      </c>
      <c r="Q1039" s="5" t="s">
        <v>4</v>
      </c>
      <c r="R1039" s="83" t="s">
        <v>4</v>
      </c>
    </row>
    <row r="1040" spans="1:18" x14ac:dyDescent="0.25">
      <c r="A1040" s="88">
        <v>1026</v>
      </c>
      <c r="B1040" s="82"/>
      <c r="C1040" s="97">
        <f>_xll.meDateFromTenor(C1039,"1D","FOLLOWING","TGT")</f>
        <v>43986</v>
      </c>
      <c r="D1040" s="95">
        <f ca="1"/>
        <v>-1.2781778796292498E-3</v>
      </c>
      <c r="E1040" s="92"/>
      <c r="F1040" s="97">
        <f>_xll.meDateFromTenor(F1039,"1D","FOLLOWING","TGT")</f>
        <v>43986</v>
      </c>
      <c r="G1040" s="95">
        <f ca="1"/>
        <v>-2.0536379358991681E-4</v>
      </c>
      <c r="H1040" s="92" t="s">
        <v>4</v>
      </c>
      <c r="I1040" s="97">
        <f>_xll.meDateFromTenor(I1039,"1D","FOLLOWING","TGT")</f>
        <v>43986</v>
      </c>
      <c r="J1040" s="95">
        <f ca="1"/>
        <v>1.0283322708296578E-3</v>
      </c>
      <c r="K1040" s="5" t="s">
        <v>4</v>
      </c>
      <c r="L1040" s="97">
        <f>_xll.meDateFromTenor(L1039,"1D","FOLLOWING","TGT")</f>
        <v>43986</v>
      </c>
      <c r="M1040" s="95">
        <f ca="1"/>
        <v>2.8815655746145413E-3</v>
      </c>
      <c r="N1040" s="5" t="s">
        <v>4</v>
      </c>
      <c r="O1040" s="97">
        <f>_xll.meDateFromTenor(O1039,"1D","FOLLOWING","TGT")</f>
        <v>43986</v>
      </c>
      <c r="P1040" s="95">
        <f ca="1"/>
        <v>4.8648040247139439E-3</v>
      </c>
      <c r="Q1040" s="5" t="s">
        <v>4</v>
      </c>
      <c r="R1040" s="83" t="s">
        <v>4</v>
      </c>
    </row>
    <row r="1041" spans="1:18" x14ac:dyDescent="0.25">
      <c r="A1041" s="88">
        <v>1027</v>
      </c>
      <c r="B1041" s="82"/>
      <c r="C1041" s="97">
        <f>_xll.meDateFromTenor(C1040,"1D","FOLLOWING","TGT")</f>
        <v>43987</v>
      </c>
      <c r="D1041" s="95">
        <f ca="1"/>
        <v>-1.2695664649527982E-3</v>
      </c>
      <c r="E1041" s="92"/>
      <c r="F1041" s="97">
        <f>_xll.meDateFromTenor(F1040,"1D","FOLLOWING","TGT")</f>
        <v>43987</v>
      </c>
      <c r="G1041" s="95">
        <f ca="1"/>
        <v>-1.9825088999031389E-4</v>
      </c>
      <c r="H1041" s="92" t="s">
        <v>4</v>
      </c>
      <c r="I1041" s="97">
        <f>_xll.meDateFromTenor(I1040,"1D","FOLLOWING","TGT")</f>
        <v>43987</v>
      </c>
      <c r="J1041" s="95">
        <f ca="1"/>
        <v>1.0343832193984426E-3</v>
      </c>
      <c r="K1041" s="5" t="s">
        <v>4</v>
      </c>
      <c r="L1041" s="97">
        <f>_xll.meDateFromTenor(L1040,"1D","FOLLOWING","TGT")</f>
        <v>43987</v>
      </c>
      <c r="M1041" s="95">
        <f ca="1"/>
        <v>2.8879008723834251E-3</v>
      </c>
      <c r="N1041" s="5" t="s">
        <v>4</v>
      </c>
      <c r="O1041" s="97">
        <f>_xll.meDateFromTenor(O1040,"1D","FOLLOWING","TGT")</f>
        <v>43987</v>
      </c>
      <c r="P1041" s="95">
        <f ca="1"/>
        <v>4.8711527884987907E-3</v>
      </c>
      <c r="Q1041" s="5" t="s">
        <v>4</v>
      </c>
      <c r="R1041" s="83" t="s">
        <v>4</v>
      </c>
    </row>
    <row r="1042" spans="1:18" x14ac:dyDescent="0.25">
      <c r="A1042" s="88">
        <v>1028</v>
      </c>
      <c r="B1042" s="82"/>
      <c r="C1042" s="97">
        <f>_xll.meDateFromTenor(C1041,"1D","FOLLOWING","TGT")</f>
        <v>43990</v>
      </c>
      <c r="D1042" s="95">
        <f ca="1"/>
        <v>-1.2437673819989392E-3</v>
      </c>
      <c r="E1042" s="92"/>
      <c r="F1042" s="97">
        <f>_xll.meDateFromTenor(F1041,"1D","FOLLOWING","TGT")</f>
        <v>43990</v>
      </c>
      <c r="G1042" s="95">
        <f ca="1"/>
        <v>-1.7688733300880448E-4</v>
      </c>
      <c r="H1042" s="92" t="s">
        <v>4</v>
      </c>
      <c r="I1042" s="97">
        <f>_xll.meDateFromTenor(I1041,"1D","FOLLOWING","TGT")</f>
        <v>43990</v>
      </c>
      <c r="J1042" s="95">
        <f ca="1"/>
        <v>1.0525632569683043E-3</v>
      </c>
      <c r="K1042" s="5" t="s">
        <v>4</v>
      </c>
      <c r="L1042" s="97">
        <f>_xll.meDateFromTenor(L1041,"1D","FOLLOWING","TGT")</f>
        <v>43990</v>
      </c>
      <c r="M1042" s="95">
        <f ca="1"/>
        <v>2.9069247107879766E-3</v>
      </c>
      <c r="N1042" s="5" t="s">
        <v>4</v>
      </c>
      <c r="O1042" s="97">
        <f>_xll.meDateFromTenor(O1041,"1D","FOLLOWING","TGT")</f>
        <v>43990</v>
      </c>
      <c r="P1042" s="95">
        <f ca="1"/>
        <v>4.8902299084987392E-3</v>
      </c>
      <c r="Q1042" s="5" t="s">
        <v>4</v>
      </c>
      <c r="R1042" s="83" t="s">
        <v>4</v>
      </c>
    </row>
    <row r="1043" spans="1:18" x14ac:dyDescent="0.25">
      <c r="A1043" s="88">
        <v>1029</v>
      </c>
      <c r="B1043" s="82"/>
      <c r="C1043" s="97">
        <f>_xll.meDateFromTenor(C1042,"1D","FOLLOWING","TGT")</f>
        <v>43991</v>
      </c>
      <c r="D1043" s="95">
        <f ca="1"/>
        <v>-1.2351794062439581E-3</v>
      </c>
      <c r="E1043" s="92"/>
      <c r="F1043" s="97">
        <f>_xll.meDateFromTenor(F1042,"1D","FOLLOWING","TGT")</f>
        <v>43991</v>
      </c>
      <c r="G1043" s="95">
        <f ca="1"/>
        <v>-1.6976158000078038E-4</v>
      </c>
      <c r="H1043" s="92" t="s">
        <v>4</v>
      </c>
      <c r="I1043" s="97">
        <f>_xll.meDateFromTenor(I1042,"1D","FOLLOWING","TGT")</f>
        <v>43991</v>
      </c>
      <c r="J1043" s="95">
        <f ca="1"/>
        <v>1.0586323656964455E-3</v>
      </c>
      <c r="K1043" s="5" t="s">
        <v>4</v>
      </c>
      <c r="L1043" s="97">
        <f>_xll.meDateFromTenor(L1042,"1D","FOLLOWING","TGT")</f>
        <v>43991</v>
      </c>
      <c r="M1043" s="95">
        <f ca="1"/>
        <v>2.9132719681353903E-3</v>
      </c>
      <c r="N1043" s="5" t="s">
        <v>4</v>
      </c>
      <c r="O1043" s="97">
        <f>_xll.meDateFromTenor(O1042,"1D","FOLLOWING","TGT")</f>
        <v>43991</v>
      </c>
      <c r="P1043" s="95">
        <f ca="1"/>
        <v>4.8965991774442144E-3</v>
      </c>
      <c r="Q1043" s="5" t="s">
        <v>4</v>
      </c>
      <c r="R1043" s="83" t="s">
        <v>4</v>
      </c>
    </row>
    <row r="1044" spans="1:18" x14ac:dyDescent="0.25">
      <c r="A1044" s="88">
        <v>1030</v>
      </c>
      <c r="B1044" s="82"/>
      <c r="C1044" s="97">
        <f>_xll.meDateFromTenor(C1043,"1D","FOLLOWING","TGT")</f>
        <v>43992</v>
      </c>
      <c r="D1044" s="95">
        <f ca="1"/>
        <v>-1.2265972888340082E-3</v>
      </c>
      <c r="E1044" s="92"/>
      <c r="F1044" s="97">
        <f>_xll.meDateFromTenor(F1043,"1D","FOLLOWING","TGT")</f>
        <v>43992</v>
      </c>
      <c r="G1044" s="95">
        <f ca="1"/>
        <v>-1.6263540067568195E-4</v>
      </c>
      <c r="H1044" s="92" t="s">
        <v>4</v>
      </c>
      <c r="I1044" s="97">
        <f>_xll.meDateFromTenor(I1043,"1D","FOLLOWING","TGT")</f>
        <v>43992</v>
      </c>
      <c r="J1044" s="95">
        <f ca="1"/>
        <v>1.0647060386521927E-3</v>
      </c>
      <c r="K1044" s="5" t="s">
        <v>4</v>
      </c>
      <c r="L1044" s="97">
        <f>_xll.meDateFromTenor(L1043,"1D","FOLLOWING","TGT")</f>
        <v>43992</v>
      </c>
      <c r="M1044" s="95">
        <f ca="1"/>
        <v>2.9196222125123859E-3</v>
      </c>
      <c r="N1044" s="5" t="s">
        <v>4</v>
      </c>
      <c r="O1044" s="97">
        <f>_xll.meDateFromTenor(O1043,"1D","FOLLOWING","TGT")</f>
        <v>43992</v>
      </c>
      <c r="P1044" s="95">
        <f ca="1"/>
        <v>4.9029735372276171E-3</v>
      </c>
      <c r="Q1044" s="5" t="s">
        <v>4</v>
      </c>
      <c r="R1044" s="83" t="s">
        <v>4</v>
      </c>
    </row>
    <row r="1045" spans="1:18" x14ac:dyDescent="0.25">
      <c r="A1045" s="88">
        <v>1031</v>
      </c>
      <c r="B1045" s="82"/>
      <c r="C1045" s="97">
        <f>_xll.meDateFromTenor(C1044,"1D","FOLLOWING","TGT")</f>
        <v>43993</v>
      </c>
      <c r="D1045" s="95">
        <f ca="1"/>
        <v>-1.2180210293205596E-3</v>
      </c>
      <c r="E1045" s="92"/>
      <c r="F1045" s="97">
        <f>_xll.meDateFromTenor(F1044,"1D","FOLLOWING","TGT")</f>
        <v>43993</v>
      </c>
      <c r="G1045" s="95">
        <f ca="1"/>
        <v>-1.5550990944752704E-4</v>
      </c>
      <c r="H1045" s="92" t="s">
        <v>4</v>
      </c>
      <c r="I1045" s="97">
        <f>_xll.meDateFromTenor(I1044,"1D","FOLLOWING","TGT")</f>
        <v>43993</v>
      </c>
      <c r="J1045" s="95">
        <f ca="1"/>
        <v>1.0707842855106476E-3</v>
      </c>
      <c r="K1045" s="5" t="s">
        <v>4</v>
      </c>
      <c r="L1045" s="97">
        <f>_xll.meDateFromTenor(L1044,"1D","FOLLOWING","TGT")</f>
        <v>43993</v>
      </c>
      <c r="M1045" s="95">
        <f ca="1"/>
        <v>2.9259754427729393E-3</v>
      </c>
      <c r="N1045" s="5" t="s">
        <v>4</v>
      </c>
      <c r="O1045" s="97">
        <f>_xll.meDateFromTenor(O1044,"1D","FOLLOWING","TGT")</f>
        <v>43993</v>
      </c>
      <c r="P1045" s="95">
        <f ca="1"/>
        <v>4.9093529736680486E-3</v>
      </c>
      <c r="Q1045" s="5" t="s">
        <v>4</v>
      </c>
      <c r="R1045" s="83" t="s">
        <v>4</v>
      </c>
    </row>
    <row r="1046" spans="1:18" x14ac:dyDescent="0.25">
      <c r="A1046" s="88">
        <v>1032</v>
      </c>
      <c r="B1046" s="82"/>
      <c r="C1046" s="97">
        <f>_xll.meDateFromTenor(C1045,"1D","FOLLOWING","TGT")</f>
        <v>43994</v>
      </c>
      <c r="D1046" s="95">
        <f ca="1"/>
        <v>-1.2094506270184935E-3</v>
      </c>
      <c r="E1046" s="92"/>
      <c r="F1046" s="97">
        <f>_xll.meDateFromTenor(F1045,"1D","FOLLOWING","TGT")</f>
        <v>43994</v>
      </c>
      <c r="G1046" s="95">
        <f ca="1"/>
        <v>-1.4838622073032676E-4</v>
      </c>
      <c r="H1046" s="92" t="s">
        <v>4</v>
      </c>
      <c r="I1046" s="97">
        <f>_xll.meDateFromTenor(I1045,"1D","FOLLOWING","TGT")</f>
        <v>43994</v>
      </c>
      <c r="J1046" s="95">
        <f ca="1"/>
        <v>1.0768671159469183E-3</v>
      </c>
      <c r="K1046" s="5" t="s">
        <v>4</v>
      </c>
      <c r="L1046" s="97">
        <f>_xll.meDateFromTenor(L1045,"1D","FOLLOWING","TGT")</f>
        <v>43994</v>
      </c>
      <c r="M1046" s="95">
        <f ca="1"/>
        <v>2.9323316577710319E-3</v>
      </c>
      <c r="N1046" s="5" t="s">
        <v>4</v>
      </c>
      <c r="O1046" s="97">
        <f>_xll.meDateFromTenor(O1045,"1D","FOLLOWING","TGT")</f>
        <v>43994</v>
      </c>
      <c r="P1046" s="95">
        <f ca="1"/>
        <v>4.9157374725846206E-3</v>
      </c>
      <c r="Q1046" s="5" t="s">
        <v>4</v>
      </c>
      <c r="R1046" s="83" t="s">
        <v>4</v>
      </c>
    </row>
    <row r="1047" spans="1:18" x14ac:dyDescent="0.25">
      <c r="A1047" s="88">
        <v>1033</v>
      </c>
      <c r="B1047" s="82"/>
      <c r="C1047" s="97">
        <f>_xll.meDateFromTenor(C1046,"1D","FOLLOWING","TGT")</f>
        <v>43997</v>
      </c>
      <c r="D1047" s="95">
        <f ca="1"/>
        <v>-1.183774558343953E-3</v>
      </c>
      <c r="E1047" s="92"/>
      <c r="F1047" s="97">
        <f>_xll.meDateFromTenor(F1046,"1D","FOLLOWING","TGT")</f>
        <v>43997</v>
      </c>
      <c r="G1047" s="95">
        <f ca="1"/>
        <v>-1.2703711378458162E-4</v>
      </c>
      <c r="H1047" s="92" t="s">
        <v>4</v>
      </c>
      <c r="I1047" s="97">
        <f>_xll.meDateFromTenor(I1046,"1D","FOLLOWING","TGT")</f>
        <v>43997</v>
      </c>
      <c r="J1047" s="95">
        <f ca="1"/>
        <v>1.0951432054736869E-3</v>
      </c>
      <c r="K1047" s="5" t="s">
        <v>4</v>
      </c>
      <c r="L1047" s="97">
        <f>_xll.meDateFromTenor(L1046,"1D","FOLLOWING","TGT")</f>
        <v>43997</v>
      </c>
      <c r="M1047" s="95">
        <f ca="1"/>
        <v>2.9514181997303403E-3</v>
      </c>
      <c r="N1047" s="5" t="s">
        <v>4</v>
      </c>
      <c r="O1047" s="97">
        <f>_xll.meDateFromTenor(O1046,"1D","FOLLOWING","TGT")</f>
        <v>43997</v>
      </c>
      <c r="P1047" s="95">
        <f ca="1"/>
        <v>4.9349212023822404E-3</v>
      </c>
      <c r="Q1047" s="5" t="s">
        <v>4</v>
      </c>
      <c r="R1047" s="83" t="s">
        <v>4</v>
      </c>
    </row>
    <row r="1048" spans="1:18" x14ac:dyDescent="0.25">
      <c r="A1048" s="88">
        <v>1034</v>
      </c>
      <c r="B1048" s="82"/>
      <c r="C1048" s="97">
        <f>_xll.meDateFromTenor(C1047,"1D","FOLLOWING","TGT")</f>
        <v>43998</v>
      </c>
      <c r="D1048" s="95">
        <f ca="1"/>
        <v>-1.1752275796932388E-3</v>
      </c>
      <c r="E1048" s="92"/>
      <c r="F1048" s="97">
        <f>_xll.meDateFromTenor(F1047,"1D","FOLLOWING","TGT")</f>
        <v>43998</v>
      </c>
      <c r="G1048" s="95">
        <f ca="1"/>
        <v>-1.1993177925133265E-4</v>
      </c>
      <c r="H1048" s="92" t="s">
        <v>4</v>
      </c>
      <c r="I1048" s="97">
        <f>_xll.meDateFromTenor(I1047,"1D","FOLLOWING","TGT")</f>
        <v>43998</v>
      </c>
      <c r="J1048" s="95">
        <f ca="1"/>
        <v>1.1012444669722791E-3</v>
      </c>
      <c r="K1048" s="5" t="s">
        <v>4</v>
      </c>
      <c r="L1048" s="97">
        <f>_xll.meDateFromTenor(L1047,"1D","FOLLOWING","TGT")</f>
        <v>43998</v>
      </c>
      <c r="M1048" s="95">
        <f ca="1"/>
        <v>2.9577863422183808E-3</v>
      </c>
      <c r="N1048" s="5" t="s">
        <v>4</v>
      </c>
      <c r="O1048" s="97">
        <f>_xll.meDateFromTenor(O1047,"1D","FOLLOWING","TGT")</f>
        <v>43998</v>
      </c>
      <c r="P1048" s="95">
        <f ca="1"/>
        <v>4.9413258093944368E-3</v>
      </c>
      <c r="Q1048" s="5" t="s">
        <v>4</v>
      </c>
      <c r="R1048" s="83" t="s">
        <v>4</v>
      </c>
    </row>
    <row r="1049" spans="1:18" x14ac:dyDescent="0.25">
      <c r="A1049" s="88">
        <v>1035</v>
      </c>
      <c r="B1049" s="82"/>
      <c r="C1049" s="97">
        <f>_xll.meDateFromTenor(C1048,"1D","FOLLOWING","TGT")</f>
        <v>43999</v>
      </c>
      <c r="D1049" s="95">
        <f ca="1"/>
        <v>-1.1666864556958423E-3</v>
      </c>
      <c r="E1049" s="92"/>
      <c r="F1049" s="97">
        <f>_xll.meDateFromTenor(F1048,"1D","FOLLOWING","TGT")</f>
        <v>43999</v>
      </c>
      <c r="G1049" s="95">
        <f ca="1"/>
        <v>-1.1283381929910474E-4</v>
      </c>
      <c r="H1049" s="92" t="s">
        <v>4</v>
      </c>
      <c r="I1049" s="97">
        <f>_xll.meDateFromTenor(I1048,"1D","FOLLOWING","TGT")</f>
        <v>43999</v>
      </c>
      <c r="J1049" s="95">
        <f ca="1"/>
        <v>1.1073503604242163E-3</v>
      </c>
      <c r="K1049" s="5" t="s">
        <v>4</v>
      </c>
      <c r="L1049" s="97">
        <f>_xll.meDateFromTenor(L1048,"1D","FOLLOWING","TGT")</f>
        <v>43999</v>
      </c>
      <c r="M1049" s="95">
        <f ca="1"/>
        <v>2.9641574637138571E-3</v>
      </c>
      <c r="N1049" s="5" t="s">
        <v>4</v>
      </c>
      <c r="O1049" s="97">
        <f>_xll.meDateFromTenor(O1048,"1D","FOLLOWING","TGT")</f>
        <v>43999</v>
      </c>
      <c r="P1049" s="95">
        <f ca="1"/>
        <v>4.9477354079783082E-3</v>
      </c>
      <c r="Q1049" s="5" t="s">
        <v>4</v>
      </c>
      <c r="R1049" s="83" t="s">
        <v>4</v>
      </c>
    </row>
    <row r="1050" spans="1:18" x14ac:dyDescent="0.25">
      <c r="A1050" s="88">
        <v>1036</v>
      </c>
      <c r="B1050" s="82"/>
      <c r="C1050" s="97">
        <f>_xll.meDateFromTenor(C1049,"1D","FOLLOWING","TGT")</f>
        <v>44000</v>
      </c>
      <c r="D1050" s="95">
        <f ca="1"/>
        <v>-1.1581511857060578E-3</v>
      </c>
      <c r="E1050" s="92"/>
      <c r="F1050" s="97">
        <f>_xll.meDateFromTenor(F1049,"1D","FOLLOWING","TGT")</f>
        <v>44000</v>
      </c>
      <c r="G1050" s="95">
        <f ca="1"/>
        <v>-1.0574434834190889E-4</v>
      </c>
      <c r="H1050" s="92" t="s">
        <v>4</v>
      </c>
      <c r="I1050" s="97">
        <f>_xll.meDateFromTenor(I1049,"1D","FOLLOWING","TGT")</f>
        <v>44000</v>
      </c>
      <c r="J1050" s="95">
        <f ca="1"/>
        <v>1.1134608955046064E-3</v>
      </c>
      <c r="K1050" s="5" t="s">
        <v>4</v>
      </c>
      <c r="L1050" s="97">
        <f>_xll.meDateFromTenor(L1049,"1D","FOLLOWING","TGT")</f>
        <v>44000</v>
      </c>
      <c r="M1050" s="95">
        <f ca="1"/>
        <v>2.9705315630707495E-3</v>
      </c>
      <c r="N1050" s="5" t="s">
        <v>4</v>
      </c>
      <c r="O1050" s="97">
        <f>_xll.meDateFromTenor(O1049,"1D","FOLLOWING","TGT")</f>
        <v>44000</v>
      </c>
      <c r="P1050" s="95">
        <f ca="1"/>
        <v>4.9541499839529613E-3</v>
      </c>
      <c r="Q1050" s="5" t="s">
        <v>4</v>
      </c>
      <c r="R1050" s="83" t="s">
        <v>4</v>
      </c>
    </row>
    <row r="1051" spans="1:18" x14ac:dyDescent="0.25">
      <c r="A1051" s="88">
        <v>1037</v>
      </c>
      <c r="B1051" s="82"/>
      <c r="C1051" s="97">
        <f>_xll.meDateFromTenor(C1050,"1D","FOLLOWING","TGT")</f>
        <v>44001</v>
      </c>
      <c r="D1051" s="95">
        <f ca="1"/>
        <v>-1.1496217695138311E-3</v>
      </c>
      <c r="E1051" s="92"/>
      <c r="F1051" s="97">
        <f>_xll.meDateFromTenor(F1050,"1D","FOLLOWING","TGT")</f>
        <v>44001</v>
      </c>
      <c r="G1051" s="95">
        <f ca="1"/>
        <v>-9.8664480793763027E-5</v>
      </c>
      <c r="H1051" s="92" t="s">
        <v>4</v>
      </c>
      <c r="I1051" s="97">
        <f>_xll.meDateFromTenor(I1050,"1D","FOLLOWING","TGT")</f>
        <v>44001</v>
      </c>
      <c r="J1051" s="95">
        <f ca="1"/>
        <v>1.1195760818885512E-3</v>
      </c>
      <c r="K1051" s="5" t="s">
        <v>4</v>
      </c>
      <c r="L1051" s="97">
        <f>_xll.meDateFromTenor(L1050,"1D","FOLLOWING","TGT")</f>
        <v>44001</v>
      </c>
      <c r="M1051" s="95">
        <f ca="1"/>
        <v>2.9769086391430344E-3</v>
      </c>
      <c r="N1051" s="5" t="s">
        <v>4</v>
      </c>
      <c r="O1051" s="97">
        <f>_xll.meDateFromTenor(O1050,"1D","FOLLOWING","TGT")</f>
        <v>44001</v>
      </c>
      <c r="P1051" s="95">
        <f ca="1"/>
        <v>4.9605695231375001E-3</v>
      </c>
      <c r="Q1051" s="5" t="s">
        <v>4</v>
      </c>
      <c r="R1051" s="83" t="s">
        <v>4</v>
      </c>
    </row>
    <row r="1052" spans="1:18" x14ac:dyDescent="0.25">
      <c r="A1052" s="88">
        <v>1038</v>
      </c>
      <c r="B1052" s="82"/>
      <c r="C1052" s="97">
        <f>_xll.meDateFromTenor(C1051,"1D","FOLLOWING","TGT")</f>
        <v>44004</v>
      </c>
      <c r="D1052" s="95">
        <f ca="1"/>
        <v>-1.1240686359340613E-3</v>
      </c>
      <c r="E1052" s="92"/>
      <c r="F1052" s="97">
        <f>_xll.meDateFromTenor(F1051,"1D","FOLLOWING","TGT")</f>
        <v>44004</v>
      </c>
      <c r="G1052" s="95">
        <f ca="1"/>
        <v>-7.7493642743742302E-5</v>
      </c>
      <c r="H1052" s="92" t="s">
        <v>4</v>
      </c>
      <c r="I1052" s="97">
        <f>_xll.meDateFromTenor(I1051,"1D","FOLLOWING","TGT")</f>
        <v>44004</v>
      </c>
      <c r="J1052" s="95">
        <f ca="1"/>
        <v>1.1379496456127877E-3</v>
      </c>
      <c r="K1052" s="5" t="s">
        <v>4</v>
      </c>
      <c r="L1052" s="97">
        <f>_xll.meDateFromTenor(L1051,"1D","FOLLOWING","TGT")</f>
        <v>44004</v>
      </c>
      <c r="M1052" s="95">
        <f ca="1"/>
        <v>2.9960577161920439E-3</v>
      </c>
      <c r="N1052" s="5" t="s">
        <v>4</v>
      </c>
      <c r="O1052" s="97">
        <f>_xll.meDateFromTenor(O1051,"1D","FOLLOWING","TGT")</f>
        <v>44004</v>
      </c>
      <c r="P1052" s="95">
        <f ca="1"/>
        <v>4.9798577781415164E-3</v>
      </c>
      <c r="Q1052" s="5" t="s">
        <v>4</v>
      </c>
      <c r="R1052" s="83" t="s">
        <v>4</v>
      </c>
    </row>
    <row r="1053" spans="1:18" x14ac:dyDescent="0.25">
      <c r="A1053" s="88">
        <v>1039</v>
      </c>
      <c r="B1053" s="82"/>
      <c r="C1053" s="97">
        <f>_xll.meDateFromTenor(C1052,"1D","FOLLOWING","TGT")</f>
        <v>44005</v>
      </c>
      <c r="D1053" s="95">
        <f ca="1"/>
        <v>-1.115562628337563E-3</v>
      </c>
      <c r="E1053" s="92"/>
      <c r="F1053" s="97">
        <f>_xll.meDateFromTenor(F1052,"1D","FOLLOWING","TGT")</f>
        <v>44005</v>
      </c>
      <c r="G1053" s="95">
        <f ca="1"/>
        <v>-7.0463332971920211E-5</v>
      </c>
      <c r="H1053" s="92" t="s">
        <v>4</v>
      </c>
      <c r="I1053" s="97">
        <f>_xll.meDateFromTenor(I1052,"1D","FOLLOWING","TGT")</f>
        <v>44005</v>
      </c>
      <c r="J1053" s="95">
        <f ca="1"/>
        <v>1.1440835339620189E-3</v>
      </c>
      <c r="K1053" s="5" t="s">
        <v>4</v>
      </c>
      <c r="L1053" s="97">
        <f>_xll.meDateFromTenor(L1052,"1D","FOLLOWING","TGT")</f>
        <v>44005</v>
      </c>
      <c r="M1053" s="95">
        <f ca="1"/>
        <v>3.0024466876656958E-3</v>
      </c>
      <c r="N1053" s="5" t="s">
        <v>4</v>
      </c>
      <c r="O1053" s="97">
        <f>_xll.meDateFromTenor(O1052,"1D","FOLLOWING","TGT")</f>
        <v>44005</v>
      </c>
      <c r="P1053" s="95">
        <f ca="1"/>
        <v>4.9862970283566762E-3</v>
      </c>
      <c r="Q1053" s="5" t="s">
        <v>4</v>
      </c>
      <c r="R1053" s="83" t="s">
        <v>4</v>
      </c>
    </row>
    <row r="1054" spans="1:18" x14ac:dyDescent="0.25">
      <c r="A1054" s="88">
        <v>1040</v>
      </c>
      <c r="B1054" s="82"/>
      <c r="C1054" s="97">
        <f>_xll.meDateFromTenor(C1053,"1D","FOLLOWING","TGT")</f>
        <v>44006</v>
      </c>
      <c r="D1054" s="95">
        <f ca="1"/>
        <v>-1.1070624715396882E-3</v>
      </c>
      <c r="E1054" s="92"/>
      <c r="F1054" s="97">
        <f>_xll.meDateFromTenor(F1053,"1D","FOLLOWING","TGT")</f>
        <v>44006</v>
      </c>
      <c r="G1054" s="95">
        <f ca="1"/>
        <v>-6.3448198679210026E-5</v>
      </c>
      <c r="H1054" s="92" t="s">
        <v>4</v>
      </c>
      <c r="I1054" s="97">
        <f>_xll.meDateFromTenor(I1053,"1D","FOLLOWING","TGT")</f>
        <v>44006</v>
      </c>
      <c r="J1054" s="95">
        <f ca="1"/>
        <v>1.1502221219903382E-3</v>
      </c>
      <c r="K1054" s="5" t="s">
        <v>4</v>
      </c>
      <c r="L1054" s="97">
        <f>_xll.meDateFromTenor(L1053,"1D","FOLLOWING","TGT")</f>
        <v>44006</v>
      </c>
      <c r="M1054" s="95">
        <f ca="1"/>
        <v>3.0088386301246398E-3</v>
      </c>
      <c r="N1054" s="5" t="s">
        <v>4</v>
      </c>
      <c r="O1054" s="97">
        <f>_xll.meDateFromTenor(O1053,"1D","FOLLOWING","TGT")</f>
        <v>44006</v>
      </c>
      <c r="P1054" s="95">
        <f ca="1"/>
        <v>4.9927411708772613E-3</v>
      </c>
      <c r="Q1054" s="5" t="s">
        <v>4</v>
      </c>
      <c r="R1054" s="83" t="s">
        <v>4</v>
      </c>
    </row>
    <row r="1055" spans="1:18" x14ac:dyDescent="0.25">
      <c r="A1055" s="88">
        <v>1041</v>
      </c>
      <c r="B1055" s="82"/>
      <c r="C1055" s="97">
        <f>_xll.meDateFromTenor(C1054,"1D","FOLLOWING","TGT")</f>
        <v>44007</v>
      </c>
      <c r="D1055" s="95">
        <f ca="1"/>
        <v>-1.0985681651716206E-3</v>
      </c>
      <c r="E1055" s="92"/>
      <c r="F1055" s="97">
        <f>_xll.meDateFromTenor(F1054,"1D","FOLLOWING","TGT")</f>
        <v>44007</v>
      </c>
      <c r="G1055" s="95">
        <f ca="1"/>
        <v>-5.6449354279629648E-5</v>
      </c>
      <c r="H1055" s="92" t="s">
        <v>4</v>
      </c>
      <c r="I1055" s="97">
        <f>_xll.meDateFromTenor(I1054,"1D","FOLLOWING","TGT")</f>
        <v>44007</v>
      </c>
      <c r="J1055" s="95">
        <f ca="1"/>
        <v>1.1563654193728476E-3</v>
      </c>
      <c r="K1055" s="5" t="s">
        <v>4</v>
      </c>
      <c r="L1055" s="97">
        <f>_xll.meDateFromTenor(L1054,"1D","FOLLOWING","TGT")</f>
        <v>44007</v>
      </c>
      <c r="M1055" s="95">
        <f ca="1"/>
        <v>3.0152335424228505E-3</v>
      </c>
      <c r="N1055" s="5" t="s">
        <v>4</v>
      </c>
      <c r="O1055" s="97">
        <f>_xll.meDateFromTenor(O1054,"1D","FOLLOWING","TGT")</f>
        <v>44007</v>
      </c>
      <c r="P1055" s="95">
        <f ca="1"/>
        <v>4.9991901915223741E-3</v>
      </c>
      <c r="Q1055" s="5" t="s">
        <v>4</v>
      </c>
      <c r="R1055" s="83" t="s">
        <v>4</v>
      </c>
    </row>
    <row r="1056" spans="1:18" x14ac:dyDescent="0.25">
      <c r="A1056" s="88">
        <v>1042</v>
      </c>
      <c r="B1056" s="82"/>
      <c r="C1056" s="97">
        <f>_xll.meDateFromTenor(C1055,"1D","FOLLOWING","TGT")</f>
        <v>44008</v>
      </c>
      <c r="D1056" s="95">
        <f ca="1"/>
        <v>-1.0900797085439118E-3</v>
      </c>
      <c r="E1056" s="92"/>
      <c r="F1056" s="97">
        <f>_xll.meDateFromTenor(F1055,"1D","FOLLOWING","TGT")</f>
        <v>44008</v>
      </c>
      <c r="G1056" s="95">
        <f ca="1"/>
        <v>-4.9467914187187789E-5</v>
      </c>
      <c r="H1056" s="92" t="s">
        <v>4</v>
      </c>
      <c r="I1056" s="97">
        <f>_xll.meDateFromTenor(I1055,"1D","FOLLOWING","TGT")</f>
        <v>44008</v>
      </c>
      <c r="J1056" s="95">
        <f ca="1"/>
        <v>1.1625134357846568E-3</v>
      </c>
      <c r="K1056" s="5" t="s">
        <v>4</v>
      </c>
      <c r="L1056" s="97">
        <f>_xll.meDateFromTenor(L1055,"1D","FOLLOWING","TGT")</f>
        <v>44008</v>
      </c>
      <c r="M1056" s="95">
        <f ca="1"/>
        <v>3.0216314234143117E-3</v>
      </c>
      <c r="N1056" s="5" t="s">
        <v>4</v>
      </c>
      <c r="O1056" s="97">
        <f>_xll.meDateFromTenor(O1055,"1D","FOLLOWING","TGT")</f>
        <v>44008</v>
      </c>
      <c r="P1056" s="95">
        <f ca="1"/>
        <v>5.0056440761111253E-3</v>
      </c>
      <c r="Q1056" s="5" t="s">
        <v>4</v>
      </c>
      <c r="R1056" s="83" t="s">
        <v>4</v>
      </c>
    </row>
    <row r="1057" spans="1:18" x14ac:dyDescent="0.25">
      <c r="A1057" s="88">
        <v>1043</v>
      </c>
      <c r="B1057" s="82"/>
      <c r="C1057" s="97">
        <f>_xll.meDateFromTenor(C1056,"1D","FOLLOWING","TGT")</f>
        <v>44011</v>
      </c>
      <c r="D1057" s="95">
        <f ca="1"/>
        <v>-1.0646494326588263E-3</v>
      </c>
      <c r="E1057" s="92"/>
      <c r="F1057" s="97">
        <f>_xll.meDateFromTenor(F1056,"1D","FOLLOWING","TGT")</f>
        <v>44011</v>
      </c>
      <c r="G1057" s="95">
        <f ca="1"/>
        <v>-2.8639163892844593E-5</v>
      </c>
      <c r="H1057" s="92" t="s">
        <v>4</v>
      </c>
      <c r="I1057" s="97">
        <f>_xll.meDateFromTenor(I1056,"1D","FOLLOWING","TGT")</f>
        <v>44011</v>
      </c>
      <c r="J1057" s="95">
        <f ca="1"/>
        <v>1.180985895946928E-3</v>
      </c>
      <c r="K1057" s="5" t="s">
        <v>4</v>
      </c>
      <c r="L1057" s="97">
        <f>_xll.meDateFromTenor(L1056,"1D","FOLLOWING","TGT")</f>
        <v>44011</v>
      </c>
      <c r="M1057" s="95">
        <f ca="1"/>
        <v>3.0408428670879741E-3</v>
      </c>
      <c r="N1057" s="5" t="s">
        <v>4</v>
      </c>
      <c r="O1057" s="97">
        <f>_xll.meDateFromTenor(O1056,"1D","FOLLOWING","TGT")</f>
        <v>44011</v>
      </c>
      <c r="P1057" s="95">
        <f ca="1"/>
        <v>5.0250347717302659E-3</v>
      </c>
      <c r="Q1057" s="5" t="s">
        <v>4</v>
      </c>
      <c r="R1057" s="83" t="s">
        <v>4</v>
      </c>
    </row>
    <row r="1058" spans="1:18" x14ac:dyDescent="0.25">
      <c r="A1058" s="88">
        <v>1044</v>
      </c>
      <c r="B1058" s="82"/>
      <c r="C1058" s="97">
        <f>_xll.meDateFromTenor(C1057,"1D","FOLLOWING","TGT")</f>
        <v>44012</v>
      </c>
      <c r="D1058" s="95">
        <f ca="1"/>
        <v>-1.056184370265334E-3</v>
      </c>
      <c r="E1058" s="92"/>
      <c r="F1058" s="97">
        <f>_xll.meDateFromTenor(F1057,"1D","FOLLOWING","TGT")</f>
        <v>44012</v>
      </c>
      <c r="G1058" s="95">
        <f ca="1"/>
        <v>-2.1738485169101235E-5</v>
      </c>
      <c r="H1058" s="92" t="s">
        <v>4</v>
      </c>
      <c r="I1058" s="97">
        <f>_xll.meDateFromTenor(I1057,"1D","FOLLOWING","TGT")</f>
        <v>44012</v>
      </c>
      <c r="J1058" s="95">
        <f ca="1"/>
        <v>1.1871528852269865E-3</v>
      </c>
      <c r="K1058" s="5" t="s">
        <v>4</v>
      </c>
      <c r="L1058" s="97">
        <f>_xll.meDateFromTenor(L1057,"1D","FOLLOWING","TGT")</f>
        <v>44012</v>
      </c>
      <c r="M1058" s="95">
        <f ca="1"/>
        <v>3.0472526113922193E-3</v>
      </c>
      <c r="N1058" s="5" t="s">
        <v>4</v>
      </c>
      <c r="O1058" s="97">
        <f>_xll.meDateFromTenor(O1057,"1D","FOLLOWING","TGT")</f>
        <v>44012</v>
      </c>
      <c r="P1058" s="95">
        <f ca="1"/>
        <v>5.0315079702846323E-3</v>
      </c>
      <c r="Q1058" s="5" t="s">
        <v>4</v>
      </c>
      <c r="R1058" s="83" t="s">
        <v>4</v>
      </c>
    </row>
    <row r="1059" spans="1:18" x14ac:dyDescent="0.25">
      <c r="A1059" s="88">
        <v>1045</v>
      </c>
      <c r="B1059" s="82"/>
      <c r="C1059" s="97">
        <f>_xll.meDateFromTenor(C1058,"1D","FOLLOWING","TGT")</f>
        <v>44013</v>
      </c>
      <c r="D1059" s="95">
        <f ca="1"/>
        <v>-1.0477251550083944E-3</v>
      </c>
      <c r="E1059" s="92"/>
      <c r="F1059" s="97">
        <f>_xll.meDateFromTenor(F1058,"1D","FOLLOWING","TGT")</f>
        <v>44013</v>
      </c>
      <c r="G1059" s="95">
        <f ca="1"/>
        <v>-1.4860782822562951E-5</v>
      </c>
      <c r="H1059" s="92" t="s">
        <v>4</v>
      </c>
      <c r="I1059" s="97">
        <f>_xll.meDateFromTenor(I1058,"1D","FOLLOWING","TGT")</f>
        <v>44013</v>
      </c>
      <c r="J1059" s="95">
        <f ca="1"/>
        <v>1.1933246419118741E-3</v>
      </c>
      <c r="K1059" s="5" t="s">
        <v>4</v>
      </c>
      <c r="L1059" s="97">
        <f>_xll.meDateFromTenor(L1058,"1D","FOLLOWING","TGT")</f>
        <v>44013</v>
      </c>
      <c r="M1059" s="95">
        <f ca="1"/>
        <v>3.0536653186596118E-3</v>
      </c>
      <c r="N1059" s="5" t="s">
        <v>4</v>
      </c>
      <c r="O1059" s="97">
        <f>_xll.meDateFromTenor(O1058,"1D","FOLLOWING","TGT")</f>
        <v>44013</v>
      </c>
      <c r="P1059" s="95">
        <f ca="1"/>
        <v>5.0379859618781718E-3</v>
      </c>
      <c r="Q1059" s="5" t="s">
        <v>4</v>
      </c>
      <c r="R1059" s="83" t="s">
        <v>4</v>
      </c>
    </row>
    <row r="1060" spans="1:18" x14ac:dyDescent="0.25">
      <c r="A1060" s="88">
        <v>1046</v>
      </c>
      <c r="B1060" s="82"/>
      <c r="C1060" s="97">
        <f>_xll.meDateFromTenor(C1059,"1D","FOLLOWING","TGT")</f>
        <v>44014</v>
      </c>
      <c r="D1060" s="95">
        <f ca="1"/>
        <v>-1.0392717865568279E-3</v>
      </c>
      <c r="E1060" s="92"/>
      <c r="F1060" s="97">
        <f>_xll.meDateFromTenor(F1059,"1D","FOLLOWING","TGT")</f>
        <v>44014</v>
      </c>
      <c r="G1060" s="95">
        <f ca="1"/>
        <v>-8.0071712672475236E-6</v>
      </c>
      <c r="H1060" s="92" t="s">
        <v>4</v>
      </c>
      <c r="I1060" s="97">
        <f>_xll.meDateFromTenor(I1059,"1D","FOLLOWING","TGT")</f>
        <v>44014</v>
      </c>
      <c r="J1060" s="95">
        <f ca="1"/>
        <v>1.199501175676693E-3</v>
      </c>
      <c r="K1060" s="5" t="s">
        <v>4</v>
      </c>
      <c r="L1060" s="97">
        <f>_xll.meDateFromTenor(L1059,"1D","FOLLOWING","TGT")</f>
        <v>44014</v>
      </c>
      <c r="M1060" s="95">
        <f ca="1"/>
        <v>3.0600809877441258E-3</v>
      </c>
      <c r="N1060" s="5" t="s">
        <v>4</v>
      </c>
      <c r="O1060" s="97">
        <f>_xll.meDateFromTenor(O1059,"1D","FOLLOWING","TGT")</f>
        <v>44014</v>
      </c>
      <c r="P1060" s="95">
        <f ca="1"/>
        <v>5.0444687323299882E-3</v>
      </c>
      <c r="Q1060" s="5" t="s">
        <v>4</v>
      </c>
      <c r="R1060" s="83" t="s">
        <v>4</v>
      </c>
    </row>
    <row r="1061" spans="1:18" x14ac:dyDescent="0.25">
      <c r="A1061" s="88">
        <v>1047</v>
      </c>
      <c r="B1061" s="82"/>
      <c r="C1061" s="97">
        <f>_xll.meDateFromTenor(C1060,"1D","FOLLOWING","TGT")</f>
        <v>44015</v>
      </c>
      <c r="D1061" s="95">
        <f ca="1"/>
        <v>-1.0308242643425336E-3</v>
      </c>
      <c r="E1061" s="92"/>
      <c r="F1061" s="97">
        <f>_xll.meDateFromTenor(F1060,"1D","FOLLOWING","TGT")</f>
        <v>44015</v>
      </c>
      <c r="G1061" s="95">
        <f ca="1"/>
        <v>-1.1783582972775808E-6</v>
      </c>
      <c r="H1061" s="92" t="s">
        <v>4</v>
      </c>
      <c r="I1061" s="97">
        <f>_xll.meDateFromTenor(I1060,"1D","FOLLOWING","TGT")</f>
        <v>44015</v>
      </c>
      <c r="J1061" s="95">
        <f ca="1"/>
        <v>1.2056824961965513E-3</v>
      </c>
      <c r="K1061" s="5" t="s">
        <v>4</v>
      </c>
      <c r="L1061" s="97">
        <f>_xll.meDateFromTenor(L1060,"1D","FOLLOWING","TGT")</f>
        <v>44015</v>
      </c>
      <c r="M1061" s="95">
        <f ca="1"/>
        <v>3.0664996174997431E-3</v>
      </c>
      <c r="N1061" s="5" t="s">
        <v>4</v>
      </c>
      <c r="O1061" s="97">
        <f>_xll.meDateFromTenor(O1060,"1D","FOLLOWING","TGT")</f>
        <v>44015</v>
      </c>
      <c r="P1061" s="95">
        <f ca="1"/>
        <v>5.0509562674591908E-3</v>
      </c>
      <c r="Q1061" s="5" t="s">
        <v>4</v>
      </c>
      <c r="R1061" s="83" t="s">
        <v>4</v>
      </c>
    </row>
    <row r="1062" spans="1:18" x14ac:dyDescent="0.25">
      <c r="A1062" s="88">
        <v>1048</v>
      </c>
      <c r="B1062" s="82"/>
      <c r="C1062" s="97">
        <f>_xll.meDateFromTenor(C1061,"1D","FOLLOWING","TGT")</f>
        <v>44018</v>
      </c>
      <c r="D1062" s="95">
        <f ca="1"/>
        <v>-1.0055167695013356E-3</v>
      </c>
      <c r="E1062" s="92"/>
      <c r="F1062" s="97">
        <f>_xll.meDateFromTenor(F1061,"1D","FOLLOWING","TGT")</f>
        <v>44018</v>
      </c>
      <c r="G1062" s="95">
        <f ca="1"/>
        <v>1.9170102434405858E-5</v>
      </c>
      <c r="H1062" s="92" t="s">
        <v>4</v>
      </c>
      <c r="I1062" s="97">
        <f>_xll.meDateFromTenor(I1061,"1D","FOLLOWING","TGT")</f>
        <v>44018</v>
      </c>
      <c r="J1062" s="95">
        <f ca="1"/>
        <v>1.2242552750374237E-3</v>
      </c>
      <c r="K1062" s="5" t="s">
        <v>4</v>
      </c>
      <c r="L1062" s="97">
        <f>_xll.meDateFromTenor(L1061,"1D","FOLLOWING","TGT")</f>
        <v>44018</v>
      </c>
      <c r="M1062" s="95">
        <f ca="1"/>
        <v>3.0857732593330095E-3</v>
      </c>
      <c r="N1062" s="5" t="s">
        <v>4</v>
      </c>
      <c r="O1062" s="97">
        <f>_xll.meDateFromTenor(O1061,"1D","FOLLOWING","TGT")</f>
        <v>44018</v>
      </c>
      <c r="P1062" s="95">
        <f ca="1"/>
        <v>5.0704473191021853E-3</v>
      </c>
      <c r="Q1062" s="5" t="s">
        <v>4</v>
      </c>
      <c r="R1062" s="83" t="s">
        <v>4</v>
      </c>
    </row>
    <row r="1063" spans="1:18" x14ac:dyDescent="0.25">
      <c r="A1063" s="88">
        <v>1049</v>
      </c>
      <c r="B1063" s="82"/>
      <c r="C1063" s="97">
        <f>_xll.meDateFromTenor(C1062,"1D","FOLLOWING","TGT")</f>
        <v>44019</v>
      </c>
      <c r="D1063" s="95">
        <f ca="1"/>
        <v>-9.9709262681579869E-4</v>
      </c>
      <c r="E1063" s="92"/>
      <c r="F1063" s="97">
        <f>_xll.meDateFromTenor(F1062,"1D","FOLLOWING","TGT")</f>
        <v>44019</v>
      </c>
      <c r="G1063" s="95">
        <f ca="1"/>
        <v>2.5911347636612842E-5</v>
      </c>
      <c r="H1063" s="92" t="s">
        <v>4</v>
      </c>
      <c r="I1063" s="97">
        <f>_xll.meDateFromTenor(I1062,"1D","FOLLOWING","TGT")</f>
        <v>44019</v>
      </c>
      <c r="J1063" s="95">
        <f ca="1"/>
        <v>1.2304558393284974E-3</v>
      </c>
      <c r="K1063" s="5" t="s">
        <v>4</v>
      </c>
      <c r="L1063" s="97">
        <f>_xll.meDateFromTenor(L1062,"1D","FOLLOWING","TGT")</f>
        <v>44019</v>
      </c>
      <c r="M1063" s="95">
        <f ca="1"/>
        <v>3.0922037203128315E-3</v>
      </c>
      <c r="N1063" s="5" t="s">
        <v>4</v>
      </c>
      <c r="O1063" s="97">
        <f>_xll.meDateFromTenor(O1062,"1D","FOLLOWING","TGT")</f>
        <v>44019</v>
      </c>
      <c r="P1063" s="95">
        <f ca="1"/>
        <v>5.0769537711319998E-3</v>
      </c>
      <c r="Q1063" s="5" t="s">
        <v>4</v>
      </c>
      <c r="R1063" s="83" t="s">
        <v>4</v>
      </c>
    </row>
    <row r="1064" spans="1:18" x14ac:dyDescent="0.25">
      <c r="A1064" s="88">
        <v>1050</v>
      </c>
      <c r="B1064" s="82"/>
      <c r="C1064" s="97">
        <f>_xll.meDateFromTenor(C1063,"1D","FOLLOWING","TGT")</f>
        <v>44020</v>
      </c>
      <c r="D1064" s="95">
        <f ca="1"/>
        <v>-9.886743278764154E-4</v>
      </c>
      <c r="E1064" s="92"/>
      <c r="F1064" s="97">
        <f>_xll.meDateFromTenor(F1063,"1D","FOLLOWING","TGT")</f>
        <v>44020</v>
      </c>
      <c r="G1064" s="95">
        <f ca="1"/>
        <v>3.2634014160172268E-5</v>
      </c>
      <c r="H1064" s="92" t="s">
        <v>4</v>
      </c>
      <c r="I1064" s="97">
        <f>_xll.meDateFromTenor(I1063,"1D","FOLLOWING","TGT")</f>
        <v>44020</v>
      </c>
      <c r="J1064" s="95">
        <f ca="1"/>
        <v>1.2366612387501399E-3</v>
      </c>
      <c r="K1064" s="5" t="s">
        <v>4</v>
      </c>
      <c r="L1064" s="97">
        <f>_xll.meDateFromTenor(L1063,"1D","FOLLOWING","TGT")</f>
        <v>44020</v>
      </c>
      <c r="M1064" s="95">
        <f ca="1"/>
        <v>3.0986371362336528E-3</v>
      </c>
      <c r="N1064" s="5" t="s">
        <v>4</v>
      </c>
      <c r="O1064" s="97">
        <f>_xll.meDateFromTenor(O1063,"1D","FOLLOWING","TGT")</f>
        <v>44020</v>
      </c>
      <c r="P1064" s="95">
        <f ca="1"/>
        <v>5.0834649169347349E-3</v>
      </c>
      <c r="Q1064" s="5" t="s">
        <v>4</v>
      </c>
      <c r="R1064" s="83" t="s">
        <v>4</v>
      </c>
    </row>
    <row r="1065" spans="1:18" x14ac:dyDescent="0.25">
      <c r="A1065" s="88">
        <v>1051</v>
      </c>
      <c r="B1065" s="82"/>
      <c r="C1065" s="97">
        <f>_xll.meDateFromTenor(C1064,"1D","FOLLOWING","TGT")</f>
        <v>44021</v>
      </c>
      <c r="D1065" s="95">
        <f ca="1"/>
        <v>-9.8026187203426041E-4</v>
      </c>
      <c r="E1065" s="92"/>
      <c r="F1065" s="97">
        <f>_xll.meDateFromTenor(F1064,"1D","FOLLOWING","TGT")</f>
        <v>44021</v>
      </c>
      <c r="G1065" s="95">
        <f ca="1"/>
        <v>3.9339427310401402E-5</v>
      </c>
      <c r="H1065" s="92" t="s">
        <v>4</v>
      </c>
      <c r="I1065" s="97">
        <f>_xll.meDateFromTenor(I1064,"1D","FOLLOWING","TGT")</f>
        <v>44021</v>
      </c>
      <c r="J1065" s="95">
        <f ca="1"/>
        <v>1.2428714829774566E-3</v>
      </c>
      <c r="K1065" s="5" t="s">
        <v>4</v>
      </c>
      <c r="L1065" s="97">
        <f>_xll.meDateFromTenor(L1064,"1D","FOLLOWING","TGT")</f>
        <v>44021</v>
      </c>
      <c r="M1065" s="95">
        <f ca="1"/>
        <v>3.1050735059494523E-3</v>
      </c>
      <c r="N1065" s="5" t="s">
        <v>4</v>
      </c>
      <c r="O1065" s="97">
        <f>_xll.meDateFromTenor(O1064,"1D","FOLLOWING","TGT")</f>
        <v>44021</v>
      </c>
      <c r="P1065" s="95">
        <f ca="1"/>
        <v>5.0899807423294991E-3</v>
      </c>
      <c r="Q1065" s="5" t="s">
        <v>4</v>
      </c>
      <c r="R1065" s="83" t="s">
        <v>4</v>
      </c>
    </row>
    <row r="1066" spans="1:18" x14ac:dyDescent="0.25">
      <c r="A1066" s="88">
        <v>1052</v>
      </c>
      <c r="B1066" s="82"/>
      <c r="C1066" s="97">
        <f>_xll.meDateFromTenor(C1065,"1D","FOLLOWING","TGT")</f>
        <v>44022</v>
      </c>
      <c r="D1066" s="95">
        <f ca="1"/>
        <v>-9.7185525891763103E-4</v>
      </c>
      <c r="E1066" s="92"/>
      <c r="F1066" s="97">
        <f>_xll.meDateFromTenor(F1065,"1D","FOLLOWING","TGT")</f>
        <v>44022</v>
      </c>
      <c r="G1066" s="95">
        <f ca="1"/>
        <v>4.6028912392619695E-5</v>
      </c>
      <c r="H1066" s="92" t="s">
        <v>4</v>
      </c>
      <c r="I1066" s="97">
        <f>_xll.meDateFromTenor(I1065,"1D","FOLLOWING","TGT")</f>
        <v>44022</v>
      </c>
      <c r="J1066" s="95">
        <f ca="1"/>
        <v>1.2490865816855558E-3</v>
      </c>
      <c r="K1066" s="5" t="s">
        <v>4</v>
      </c>
      <c r="L1066" s="97">
        <f>_xll.meDateFromTenor(L1065,"1D","FOLLOWING","TGT")</f>
        <v>44022</v>
      </c>
      <c r="M1066" s="95">
        <f ca="1"/>
        <v>3.1115128283142127E-3</v>
      </c>
      <c r="N1066" s="5" t="s">
        <v>4</v>
      </c>
      <c r="O1066" s="97">
        <f>_xll.meDateFromTenor(O1065,"1D","FOLLOWING","TGT")</f>
        <v>44022</v>
      </c>
      <c r="P1066" s="95">
        <f ca="1"/>
        <v>5.0965012331353971E-3</v>
      </c>
      <c r="Q1066" s="5" t="s">
        <v>4</v>
      </c>
      <c r="R1066" s="83" t="s">
        <v>4</v>
      </c>
    </row>
    <row r="1067" spans="1:18" x14ac:dyDescent="0.25">
      <c r="A1067" s="88">
        <v>1053</v>
      </c>
      <c r="B1067" s="82"/>
      <c r="C1067" s="97">
        <f>_xll.meDateFromTenor(C1066,"1D","FOLLOWING","TGT")</f>
        <v>44025</v>
      </c>
      <c r="D1067" s="95">
        <f ca="1"/>
        <v>-9.4667047013974326E-4</v>
      </c>
      <c r="E1067" s="92"/>
      <c r="F1067" s="97">
        <f>_xll.meDateFromTenor(F1066,"1D","FOLLOWING","TGT")</f>
        <v>44025</v>
      </c>
      <c r="G1067" s="95">
        <f ca="1"/>
        <v>6.601505228436485E-5</v>
      </c>
      <c r="H1067" s="92" t="s">
        <v>4</v>
      </c>
      <c r="I1067" s="97">
        <f>_xll.meDateFromTenor(I1066,"1D","FOLLOWING","TGT")</f>
        <v>44025</v>
      </c>
      <c r="J1067" s="95">
        <f ca="1"/>
        <v>1.2677611014455905E-3</v>
      </c>
      <c r="K1067" s="5" t="s">
        <v>4</v>
      </c>
      <c r="L1067" s="97">
        <f>_xll.meDateFromTenor(L1066,"1D","FOLLOWING","TGT")</f>
        <v>44025</v>
      </c>
      <c r="M1067" s="95">
        <f ca="1"/>
        <v>3.1308484998420275E-3</v>
      </c>
      <c r="N1067" s="5" t="s">
        <v>4</v>
      </c>
      <c r="O1067" s="97">
        <f>_xll.meDateFromTenor(O1066,"1D","FOLLOWING","TGT")</f>
        <v>44025</v>
      </c>
      <c r="P1067" s="95">
        <f ca="1"/>
        <v>5.116090556210969E-3</v>
      </c>
      <c r="Q1067" s="5" t="s">
        <v>4</v>
      </c>
      <c r="R1067" s="83" t="s">
        <v>4</v>
      </c>
    </row>
    <row r="1068" spans="1:18" x14ac:dyDescent="0.25">
      <c r="A1068" s="88">
        <v>1054</v>
      </c>
      <c r="B1068" s="82"/>
      <c r="C1068" s="97">
        <f>_xll.meDateFromTenor(C1067,"1D","FOLLOWING","TGT")</f>
        <v>44026</v>
      </c>
      <c r="D1068" s="95">
        <f ca="1"/>
        <v>-9.3828722242095264E-4</v>
      </c>
      <c r="E1068" s="92"/>
      <c r="F1068" s="97">
        <f>_xll.meDateFromTenor(F1067,"1D","FOLLOWING","TGT")</f>
        <v>44026</v>
      </c>
      <c r="G1068" s="95">
        <f ca="1"/>
        <v>7.2654078147701634E-5</v>
      </c>
      <c r="H1068" s="92" t="s">
        <v>4</v>
      </c>
      <c r="I1068" s="97">
        <f>_xll.meDateFromTenor(I1067,"1D","FOLLOWING","TGT")</f>
        <v>44026</v>
      </c>
      <c r="J1068" s="95">
        <f ca="1"/>
        <v>1.2739957148278677E-3</v>
      </c>
      <c r="K1068" s="5" t="s">
        <v>4</v>
      </c>
      <c r="L1068" s="97">
        <f>_xll.meDateFromTenor(L1067,"1D","FOLLOWING","TGT")</f>
        <v>44026</v>
      </c>
      <c r="M1068" s="95">
        <f ca="1"/>
        <v>3.1372996213424095E-3</v>
      </c>
      <c r="N1068" s="5" t="s">
        <v>4</v>
      </c>
      <c r="O1068" s="97">
        <f>_xll.meDateFromTenor(O1067,"1D","FOLLOWING","TGT")</f>
        <v>44026</v>
      </c>
      <c r="P1068" s="95">
        <f ca="1"/>
        <v>5.1226295668524748E-3</v>
      </c>
      <c r="Q1068" s="5" t="s">
        <v>4</v>
      </c>
      <c r="R1068" s="83" t="s">
        <v>4</v>
      </c>
    </row>
    <row r="1069" spans="1:18" x14ac:dyDescent="0.25">
      <c r="A1069" s="88">
        <v>1055</v>
      </c>
      <c r="B1069" s="82"/>
      <c r="C1069" s="97">
        <f>_xll.meDateFromTenor(C1068,"1D","FOLLOWING","TGT")</f>
        <v>44027</v>
      </c>
      <c r="D1069" s="95">
        <f ca="1"/>
        <v>-9.2990981477480972E-4</v>
      </c>
      <c r="E1069" s="92"/>
      <c r="F1069" s="97">
        <f>_xll.meDateFromTenor(F1068,"1D","FOLLOWING","TGT")</f>
        <v>44027</v>
      </c>
      <c r="G1069" s="95">
        <f ca="1"/>
        <v>7.9283802469613904E-5</v>
      </c>
      <c r="H1069" s="92" t="s">
        <v>4</v>
      </c>
      <c r="I1069" s="97">
        <f>_xll.meDateFromTenor(I1068,"1D","FOLLOWING","TGT")</f>
        <v>44027</v>
      </c>
      <c r="J1069" s="95">
        <f ca="1"/>
        <v>1.280235231066457E-3</v>
      </c>
      <c r="K1069" s="5" t="s">
        <v>4</v>
      </c>
      <c r="L1069" s="97">
        <f>_xll.meDateFromTenor(L1068,"1D","FOLLOWING","TGT")</f>
        <v>44027</v>
      </c>
      <c r="M1069" s="95">
        <f ca="1"/>
        <v>3.1437536897616475E-3</v>
      </c>
      <c r="N1069" s="5" t="s">
        <v>4</v>
      </c>
      <c r="O1069" s="97">
        <f>_xll.meDateFromTenor(O1068,"1D","FOLLOWING","TGT")</f>
        <v>44027</v>
      </c>
      <c r="P1069" s="95">
        <f ca="1"/>
        <v>5.1291731720006515E-3</v>
      </c>
      <c r="Q1069" s="5" t="s">
        <v>4</v>
      </c>
      <c r="R1069" s="83" t="s">
        <v>4</v>
      </c>
    </row>
    <row r="1070" spans="1:18" x14ac:dyDescent="0.25">
      <c r="A1070" s="88">
        <v>1056</v>
      </c>
      <c r="B1070" s="82"/>
      <c r="C1070" s="97">
        <f>_xll.meDateFromTenor(C1069,"1D","FOLLOWING","TGT")</f>
        <v>44028</v>
      </c>
      <c r="D1070" s="95">
        <f ca="1"/>
        <v>-9.2153824694851671E-4</v>
      </c>
      <c r="E1070" s="92"/>
      <c r="F1070" s="97">
        <f>_xll.meDateFromTenor(F1069,"1D","FOLLOWING","TGT")</f>
        <v>44028</v>
      </c>
      <c r="G1070" s="95">
        <f ca="1"/>
        <v>8.5905550555414624E-5</v>
      </c>
      <c r="H1070" s="92" t="s">
        <v>4</v>
      </c>
      <c r="I1070" s="97">
        <f>_xll.meDateFromTenor(I1069,"1D","FOLLOWING","TGT")</f>
        <v>44028</v>
      </c>
      <c r="J1070" s="95">
        <f ca="1"/>
        <v>1.2864796598364599E-3</v>
      </c>
      <c r="K1070" s="5" t="s">
        <v>4</v>
      </c>
      <c r="L1070" s="97">
        <f>_xll.meDateFromTenor(L1069,"1D","FOLLOWING","TGT")</f>
        <v>44028</v>
      </c>
      <c r="M1070" s="95">
        <f ca="1"/>
        <v>3.1502107039537166E-3</v>
      </c>
      <c r="N1070" s="5" t="s">
        <v>4</v>
      </c>
      <c r="O1070" s="97">
        <f>_xll.meDateFromTenor(O1069,"1D","FOLLOWING","TGT")</f>
        <v>44028</v>
      </c>
      <c r="P1070" s="95">
        <f ca="1"/>
        <v>5.1357213574746039E-3</v>
      </c>
      <c r="Q1070" s="5" t="s">
        <v>4</v>
      </c>
      <c r="R1070" s="83" t="s">
        <v>4</v>
      </c>
    </row>
    <row r="1071" spans="1:18" x14ac:dyDescent="0.25">
      <c r="A1071" s="88">
        <v>1057</v>
      </c>
      <c r="B1071" s="82"/>
      <c r="C1071" s="97">
        <f>_xll.meDateFromTenor(C1070,"1D","FOLLOWING","TGT")</f>
        <v>44029</v>
      </c>
      <c r="D1071" s="95">
        <f ca="1"/>
        <v>-9.1317251801281696E-4</v>
      </c>
      <c r="E1071" s="92"/>
      <c r="F1071" s="97">
        <f>_xll.meDateFromTenor(F1070,"1D","FOLLOWING","TGT")</f>
        <v>44029</v>
      </c>
      <c r="G1071" s="95">
        <f ca="1"/>
        <v>9.252064771042539E-5</v>
      </c>
      <c r="H1071" s="92" t="s">
        <v>4</v>
      </c>
      <c r="I1071" s="97">
        <f>_xll.meDateFromTenor(I1070,"1D","FOLLOWING","TGT")</f>
        <v>44029</v>
      </c>
      <c r="J1071" s="95">
        <f ca="1"/>
        <v>1.2927290108129864E-3</v>
      </c>
      <c r="K1071" s="5" t="s">
        <v>4</v>
      </c>
      <c r="L1071" s="97">
        <f>_xll.meDateFromTenor(L1070,"1D","FOLLOWING","TGT")</f>
        <v>44029</v>
      </c>
      <c r="M1071" s="95">
        <f ca="1"/>
        <v>3.1566706627726001E-3</v>
      </c>
      <c r="N1071" s="5" t="s">
        <v>4</v>
      </c>
      <c r="O1071" s="97">
        <f>_xll.meDateFromTenor(O1070,"1D","FOLLOWING","TGT")</f>
        <v>44029</v>
      </c>
      <c r="P1071" s="95">
        <f ca="1"/>
        <v>5.1422741090934414E-3</v>
      </c>
      <c r="Q1071" s="5" t="s">
        <v>4</v>
      </c>
      <c r="R1071" s="83" t="s">
        <v>4</v>
      </c>
    </row>
    <row r="1072" spans="1:18" x14ac:dyDescent="0.25">
      <c r="A1072" s="88">
        <v>1058</v>
      </c>
      <c r="B1072" s="82"/>
      <c r="C1072" s="97">
        <f>_xll.meDateFromTenor(C1071,"1D","FOLLOWING","TGT")</f>
        <v>44032</v>
      </c>
      <c r="D1072" s="95">
        <f ca="1"/>
        <v>-8.8811036150504563E-4</v>
      </c>
      <c r="E1072" s="92"/>
      <c r="F1072" s="97">
        <f>_xll.meDateFromTenor(F1071,"1D","FOLLOWING","TGT")</f>
        <v>44032</v>
      </c>
      <c r="G1072" s="95">
        <f ca="1"/>
        <v>1.1233928664387127E-4</v>
      </c>
      <c r="H1072" s="92" t="s">
        <v>4</v>
      </c>
      <c r="I1072" s="97">
        <f>_xll.meDateFromTenor(I1071,"1D","FOLLOWING","TGT")</f>
        <v>44032</v>
      </c>
      <c r="J1072" s="95">
        <f ca="1"/>
        <v>1.3115066937327477E-3</v>
      </c>
      <c r="K1072" s="5" t="s">
        <v>4</v>
      </c>
      <c r="L1072" s="97">
        <f>_xll.meDateFromTenor(L1071,"1D","FOLLOWING","TGT")</f>
        <v>44032</v>
      </c>
      <c r="M1072" s="95">
        <f ca="1"/>
        <v>3.1760681955299128E-3</v>
      </c>
      <c r="N1072" s="5" t="s">
        <v>4</v>
      </c>
      <c r="O1072" s="97">
        <f>_xll.meDateFromTenor(O1071,"1D","FOLLOWING","TGT")</f>
        <v>44032</v>
      </c>
      <c r="P1072" s="95">
        <f ca="1"/>
        <v>5.1619596190103168E-3</v>
      </c>
      <c r="Q1072" s="5" t="s">
        <v>4</v>
      </c>
      <c r="R1072" s="83" t="s">
        <v>4</v>
      </c>
    </row>
    <row r="1073" spans="1:18" x14ac:dyDescent="0.25">
      <c r="A1073" s="88">
        <v>1059</v>
      </c>
      <c r="B1073" s="82"/>
      <c r="C1073" s="97">
        <f>_xll.meDateFromTenor(C1072,"1D","FOLLOWING","TGT")</f>
        <v>44033</v>
      </c>
      <c r="D1073" s="95">
        <f ca="1"/>
        <v>-8.7976798425115632E-4</v>
      </c>
      <c r="E1073" s="92"/>
      <c r="F1073" s="97">
        <f>_xll.meDateFromTenor(F1072,"1D","FOLLOWING","TGT")</f>
        <v>44033</v>
      </c>
      <c r="G1073" s="95">
        <f ca="1"/>
        <v>1.1894103312888632E-4</v>
      </c>
      <c r="H1073" s="92" t="s">
        <v>4</v>
      </c>
      <c r="I1073" s="97">
        <f>_xll.meDateFromTenor(I1072,"1D","FOLLOWING","TGT")</f>
        <v>44033</v>
      </c>
      <c r="J1073" s="95">
        <f ca="1"/>
        <v>1.317775830286419E-3</v>
      </c>
      <c r="K1073" s="5" t="s">
        <v>4</v>
      </c>
      <c r="L1073" s="97">
        <f>_xll.meDateFromTenor(L1072,"1D","FOLLOWING","TGT")</f>
        <v>44033</v>
      </c>
      <c r="M1073" s="95">
        <f ca="1"/>
        <v>3.1825399213958397E-3</v>
      </c>
      <c r="N1073" s="5" t="s">
        <v>4</v>
      </c>
      <c r="O1073" s="97">
        <f>_xll.meDateFromTenor(O1072,"1D","FOLLOWING","TGT")</f>
        <v>44033</v>
      </c>
      <c r="P1073" s="95">
        <f ca="1"/>
        <v>5.1685304933997587E-3</v>
      </c>
      <c r="Q1073" s="5" t="s">
        <v>4</v>
      </c>
      <c r="R1073" s="83" t="s">
        <v>4</v>
      </c>
    </row>
    <row r="1074" spans="1:18" x14ac:dyDescent="0.25">
      <c r="A1074" s="88">
        <v>1060</v>
      </c>
      <c r="B1074" s="82"/>
      <c r="C1074" s="97">
        <f>_xll.meDateFromTenor(C1073,"1D","FOLLOWING","TGT")</f>
        <v>44034</v>
      </c>
      <c r="D1074" s="95">
        <f ca="1"/>
        <v>-8.7143144374735027E-4</v>
      </c>
      <c r="E1074" s="92"/>
      <c r="F1074" s="97">
        <f>_xll.meDateFromTenor(F1073,"1D","FOLLOWING","TGT")</f>
        <v>44034</v>
      </c>
      <c r="G1074" s="95">
        <f ca="1"/>
        <v>1.2554275520969345E-4</v>
      </c>
      <c r="H1074" s="92" t="s">
        <v>4</v>
      </c>
      <c r="I1074" s="97">
        <f>_xll.meDateFromTenor(I1073,"1D","FOLLOWING","TGT")</f>
        <v>44034</v>
      </c>
      <c r="J1074" s="95">
        <f ca="1"/>
        <v>1.3240499374221394E-3</v>
      </c>
      <c r="K1074" s="5" t="s">
        <v>4</v>
      </c>
      <c r="L1074" s="97">
        <f>_xll.meDateFromTenor(L1073,"1D","FOLLOWING","TGT")</f>
        <v>44034</v>
      </c>
      <c r="M1074" s="95">
        <f ca="1"/>
        <v>3.1890145861584725E-3</v>
      </c>
      <c r="N1074" s="5" t="s">
        <v>4</v>
      </c>
      <c r="O1074" s="97">
        <f>_xll.meDateFromTenor(O1073,"1D","FOLLOWING","TGT")</f>
        <v>44034</v>
      </c>
      <c r="P1074" s="95">
        <f ca="1"/>
        <v>5.1751058630296158E-3</v>
      </c>
      <c r="Q1074" s="5" t="s">
        <v>4</v>
      </c>
      <c r="R1074" s="83" t="s">
        <v>4</v>
      </c>
    </row>
    <row r="1075" spans="1:18" x14ac:dyDescent="0.25">
      <c r="A1075" s="88">
        <v>1061</v>
      </c>
      <c r="B1075" s="82"/>
      <c r="C1075" s="97">
        <f>_xll.meDateFromTenor(C1074,"1D","FOLLOWING","TGT")</f>
        <v>44035</v>
      </c>
      <c r="D1075" s="95">
        <f ca="1"/>
        <v>-8.6310073922335473E-4</v>
      </c>
      <c r="E1075" s="92"/>
      <c r="F1075" s="97">
        <f>_xll.meDateFromTenor(F1074,"1D","FOLLOWING","TGT")</f>
        <v>44035</v>
      </c>
      <c r="G1075" s="95">
        <f ca="1"/>
        <v>1.3214577819161422E-4</v>
      </c>
      <c r="H1075" s="92" t="s">
        <v>4</v>
      </c>
      <c r="I1075" s="97">
        <f>_xll.meDateFromTenor(I1074,"1D","FOLLOWING","TGT")</f>
        <v>44035</v>
      </c>
      <c r="J1075" s="95">
        <f ca="1"/>
        <v>1.3303290248150188E-3</v>
      </c>
      <c r="K1075" s="5" t="s">
        <v>4</v>
      </c>
      <c r="L1075" s="97">
        <f>_xll.meDateFromTenor(L1074,"1D","FOLLOWING","TGT")</f>
        <v>44035</v>
      </c>
      <c r="M1075" s="95">
        <f ca="1"/>
        <v>3.1954921886717951E-3</v>
      </c>
      <c r="N1075" s="5" t="s">
        <v>4</v>
      </c>
      <c r="O1075" s="97">
        <f>_xll.meDateFromTenor(O1074,"1D","FOLLOWING","TGT")</f>
        <v>44035</v>
      </c>
      <c r="P1075" s="95">
        <f ca="1"/>
        <v>5.1816857137190007E-3</v>
      </c>
      <c r="Q1075" s="5" t="s">
        <v>4</v>
      </c>
      <c r="R1075" s="83" t="s">
        <v>4</v>
      </c>
    </row>
    <row r="1076" spans="1:18" x14ac:dyDescent="0.25">
      <c r="A1076" s="88">
        <v>1062</v>
      </c>
      <c r="B1076" s="82"/>
      <c r="C1076" s="97">
        <f>_xll.meDateFromTenor(C1075,"1D","FOLLOWING","TGT")</f>
        <v>44036</v>
      </c>
      <c r="D1076" s="95">
        <f ca="1"/>
        <v>-8.5477587046522974E-4</v>
      </c>
      <c r="E1076" s="92"/>
      <c r="F1076" s="97">
        <f>_xll.meDateFromTenor(F1075,"1D","FOLLOWING","TGT")</f>
        <v>44036</v>
      </c>
      <c r="G1076" s="95">
        <f ca="1"/>
        <v>1.3875142737996166E-4</v>
      </c>
      <c r="H1076" s="92" t="s">
        <v>4</v>
      </c>
      <c r="I1076" s="97">
        <f>_xll.meDateFromTenor(I1075,"1D","FOLLOWING","TGT")</f>
        <v>44036</v>
      </c>
      <c r="J1076" s="95">
        <f ca="1"/>
        <v>1.3366131021401585E-3</v>
      </c>
      <c r="K1076" s="5" t="s">
        <v>4</v>
      </c>
      <c r="L1076" s="97">
        <f>_xll.meDateFromTenor(L1075,"1D","FOLLOWING","TGT")</f>
        <v>44036</v>
      </c>
      <c r="M1076" s="95">
        <f ca="1"/>
        <v>3.2019727277897841E-3</v>
      </c>
      <c r="N1076" s="5" t="s">
        <v>4</v>
      </c>
      <c r="O1076" s="97">
        <f>_xll.meDateFromTenor(O1075,"1D","FOLLOWING","TGT")</f>
        <v>44036</v>
      </c>
      <c r="P1076" s="95">
        <f ca="1"/>
        <v>5.1882700312870155E-3</v>
      </c>
      <c r="Q1076" s="5" t="s">
        <v>4</v>
      </c>
      <c r="R1076" s="83" t="s">
        <v>4</v>
      </c>
    </row>
    <row r="1077" spans="1:18" x14ac:dyDescent="0.25">
      <c r="A1077" s="88">
        <v>1063</v>
      </c>
      <c r="B1077" s="82"/>
      <c r="C1077" s="97">
        <f>_xll.meDateFromTenor(C1076,"1D","FOLLOWING","TGT")</f>
        <v>44039</v>
      </c>
      <c r="D1077" s="95">
        <f ca="1"/>
        <v>-8.2983627366717272E-4</v>
      </c>
      <c r="E1077" s="92"/>
      <c r="F1077" s="97">
        <f>_xll.meDateFromTenor(F1076,"1D","FOLLOWING","TGT")</f>
        <v>44039</v>
      </c>
      <c r="G1077" s="95">
        <f ca="1"/>
        <v>1.5859738523675158E-4</v>
      </c>
      <c r="H1077" s="92" t="s">
        <v>4</v>
      </c>
      <c r="I1077" s="97">
        <f>_xll.meDateFromTenor(I1076,"1D","FOLLOWING","TGT")</f>
        <v>44039</v>
      </c>
      <c r="J1077" s="95">
        <f ca="1"/>
        <v>1.3554953704602156E-3</v>
      </c>
      <c r="K1077" s="5" t="s">
        <v>4</v>
      </c>
      <c r="L1077" s="97">
        <f>_xll.meDateFromTenor(L1076,"1D","FOLLOWING","TGT")</f>
        <v>44039</v>
      </c>
      <c r="M1077" s="95">
        <f ca="1"/>
        <v>3.2214319533115472E-3</v>
      </c>
      <c r="N1077" s="5" t="s">
        <v>4</v>
      </c>
      <c r="O1077" s="97">
        <f>_xll.meDateFromTenor(O1076,"1D","FOLLOWING","TGT")</f>
        <v>44039</v>
      </c>
      <c r="P1077" s="95">
        <f ca="1"/>
        <v>5.2080496434539275E-3</v>
      </c>
      <c r="Q1077" s="5" t="s">
        <v>4</v>
      </c>
      <c r="R1077" s="83" t="s">
        <v>4</v>
      </c>
    </row>
    <row r="1078" spans="1:18" x14ac:dyDescent="0.25">
      <c r="A1078" s="88">
        <v>1064</v>
      </c>
      <c r="B1078" s="82"/>
      <c r="C1078" s="97">
        <f>_xll.meDateFromTenor(C1077,"1D","FOLLOWING","TGT")</f>
        <v>44040</v>
      </c>
      <c r="D1078" s="95">
        <f ca="1"/>
        <v>-8.2153474281076999E-4</v>
      </c>
      <c r="E1078" s="92"/>
      <c r="F1078" s="97">
        <f>_xll.meDateFromTenor(F1077,"1D","FOLLOWING","TGT")</f>
        <v>44040</v>
      </c>
      <c r="G1078" s="95">
        <f ca="1"/>
        <v>1.6522679230398903E-4</v>
      </c>
      <c r="H1078" s="92" t="s">
        <v>4</v>
      </c>
      <c r="I1078" s="97">
        <f>_xll.meDateFromTenor(I1077,"1D","FOLLOWING","TGT")</f>
        <v>44040</v>
      </c>
      <c r="J1078" s="95">
        <f ca="1"/>
        <v>1.3617995042654672E-3</v>
      </c>
      <c r="K1078" s="5" t="s">
        <v>4</v>
      </c>
      <c r="L1078" s="97">
        <f>_xll.meDateFromTenor(L1077,"1D","FOLLOWING","TGT")</f>
        <v>44040</v>
      </c>
      <c r="M1078" s="95">
        <f ca="1"/>
        <v>3.2279242273879991E-3</v>
      </c>
      <c r="N1078" s="5" t="s">
        <v>4</v>
      </c>
      <c r="O1078" s="97">
        <f>_xll.meDateFromTenor(O1077,"1D","FOLLOWING","TGT")</f>
        <v>44040</v>
      </c>
      <c r="P1078" s="95">
        <f ca="1"/>
        <v>5.2146516867275453E-3</v>
      </c>
      <c r="Q1078" s="5" t="s">
        <v>4</v>
      </c>
      <c r="R1078" s="83" t="s">
        <v>4</v>
      </c>
    </row>
    <row r="1079" spans="1:18" x14ac:dyDescent="0.25">
      <c r="A1079" s="88">
        <v>1065</v>
      </c>
      <c r="B1079" s="82"/>
      <c r="C1079" s="97">
        <f>_xll.meDateFromTenor(C1078,"1D","FOLLOWING","TGT")</f>
        <v>44041</v>
      </c>
      <c r="D1079" s="95">
        <f ca="1"/>
        <v>-8.1323904517860424E-4</v>
      </c>
      <c r="E1079" s="92"/>
      <c r="F1079" s="97">
        <f>_xll.meDateFromTenor(F1078,"1D","FOLLOWING","TGT")</f>
        <v>44041</v>
      </c>
      <c r="G1079" s="95">
        <f ca="1"/>
        <v>1.7186545210423951E-4</v>
      </c>
      <c r="H1079" s="92" t="s">
        <v>4</v>
      </c>
      <c r="I1079" s="97">
        <f>_xll.meDateFromTenor(I1078,"1D","FOLLOWING","TGT")</f>
        <v>44041</v>
      </c>
      <c r="J1079" s="95">
        <f ca="1"/>
        <v>1.3681086763785088E-3</v>
      </c>
      <c r="K1079" s="5" t="s">
        <v>4</v>
      </c>
      <c r="L1079" s="97">
        <f>_xll.meDateFromTenor(L1078,"1D","FOLLOWING","TGT")</f>
        <v>44041</v>
      </c>
      <c r="M1079" s="95">
        <f ca="1"/>
        <v>3.2344194323390132E-3</v>
      </c>
      <c r="N1079" s="5" t="s">
        <v>4</v>
      </c>
      <c r="O1079" s="97">
        <f>_xll.meDateFromTenor(O1078,"1D","FOLLOWING","TGT")</f>
        <v>44041</v>
      </c>
      <c r="P1079" s="95">
        <f ca="1"/>
        <v>5.2212581259753277E-3</v>
      </c>
      <c r="Q1079" s="5" t="s">
        <v>4</v>
      </c>
      <c r="R1079" s="83" t="s">
        <v>4</v>
      </c>
    </row>
    <row r="1080" spans="1:18" x14ac:dyDescent="0.25">
      <c r="A1080" s="88">
        <v>1066</v>
      </c>
      <c r="B1080" s="82"/>
      <c r="C1080" s="97">
        <f>_xll.meDateFromTenor(C1079,"1D","FOLLOWING","TGT")</f>
        <v>44042</v>
      </c>
      <c r="D1080" s="95">
        <f ca="1"/>
        <v>-8.0494918035656227E-4</v>
      </c>
      <c r="E1080" s="92"/>
      <c r="F1080" s="97">
        <f>_xll.meDateFromTenor(F1079,"1D","FOLLOWING","TGT")</f>
        <v>44042</v>
      </c>
      <c r="G1080" s="95">
        <f ca="1"/>
        <v>1.7851468994282236E-4</v>
      </c>
      <c r="H1080" s="92" t="s">
        <v>4</v>
      </c>
      <c r="I1080" s="97">
        <f>_xll.meDateFromTenor(I1079,"1D","FOLLOWING","TGT")</f>
        <v>44042</v>
      </c>
      <c r="J1080" s="95">
        <f ca="1"/>
        <v>1.3744228964744489E-3</v>
      </c>
      <c r="K1080" s="5" t="s">
        <v>4</v>
      </c>
      <c r="L1080" s="97">
        <f>_xll.meDateFromTenor(L1079,"1D","FOLLOWING","TGT")</f>
        <v>44042</v>
      </c>
      <c r="M1080" s="95">
        <f ca="1"/>
        <v>3.2409175670185691E-3</v>
      </c>
      <c r="N1080" s="5" t="s">
        <v>4</v>
      </c>
      <c r="O1080" s="97">
        <f>_xll.meDateFromTenor(O1079,"1D","FOLLOWING","TGT")</f>
        <v>44042</v>
      </c>
      <c r="P1080" s="95">
        <f ca="1"/>
        <v>5.2278689470163838E-3</v>
      </c>
      <c r="Q1080" s="5" t="s">
        <v>4</v>
      </c>
      <c r="R1080" s="83" t="s">
        <v>4</v>
      </c>
    </row>
    <row r="1081" spans="1:18" x14ac:dyDescent="0.25">
      <c r="A1081" s="88">
        <v>1067</v>
      </c>
      <c r="B1081" s="82"/>
      <c r="C1081" s="97">
        <f>_xll.meDateFromTenor(C1080,"1D","FOLLOWING","TGT")</f>
        <v>44043</v>
      </c>
      <c r="D1081" s="95">
        <f ca="1"/>
        <v>-7.9666514781273623E-4</v>
      </c>
      <c r="E1081" s="92"/>
      <c r="F1081" s="97">
        <f>_xll.meDateFromTenor(F1080,"1D","FOLLOWING","TGT")</f>
        <v>44043</v>
      </c>
      <c r="G1081" s="95">
        <f ca="1"/>
        <v>1.8517583112505706E-4</v>
      </c>
      <c r="H1081" s="92" t="s">
        <v>4</v>
      </c>
      <c r="I1081" s="97">
        <f>_xll.meDateFromTenor(I1080,"1D","FOLLOWING","TGT")</f>
        <v>44043</v>
      </c>
      <c r="J1081" s="95">
        <f ca="1"/>
        <v>1.3807421742283946E-3</v>
      </c>
      <c r="K1081" s="5" t="s">
        <v>4</v>
      </c>
      <c r="L1081" s="97">
        <f>_xll.meDateFromTenor(L1080,"1D","FOLLOWING","TGT")</f>
        <v>44043</v>
      </c>
      <c r="M1081" s="95">
        <f ca="1"/>
        <v>3.2474186302806495E-3</v>
      </c>
      <c r="N1081" s="5" t="s">
        <v>4</v>
      </c>
      <c r="O1081" s="97">
        <f>_xll.meDateFromTenor(O1080,"1D","FOLLOWING","TGT")</f>
        <v>44043</v>
      </c>
      <c r="P1081" s="95">
        <f ca="1"/>
        <v>5.2344841356698245E-3</v>
      </c>
      <c r="Q1081" s="5" t="s">
        <v>4</v>
      </c>
      <c r="R1081" s="83" t="s">
        <v>4</v>
      </c>
    </row>
    <row r="1082" spans="1:18" x14ac:dyDescent="0.25">
      <c r="A1082" s="88">
        <v>1068</v>
      </c>
      <c r="B1082" s="82"/>
      <c r="C1082" s="97">
        <f>_xll.meDateFromTenor(C1081,"1D","FOLLOWING","TGT")</f>
        <v>44046</v>
      </c>
      <c r="D1082" s="95">
        <f ca="1"/>
        <v>-7.7184803931262813E-4</v>
      </c>
      <c r="E1082" s="92"/>
      <c r="F1082" s="97">
        <f>_xll.meDateFromTenor(F1081,"1D","FOLLOWING","TGT")</f>
        <v>44046</v>
      </c>
      <c r="G1082" s="95">
        <f ca="1"/>
        <v>2.0524392778682783E-4</v>
      </c>
      <c r="H1082" s="92" t="s">
        <v>4</v>
      </c>
      <c r="I1082" s="97">
        <f>_xll.meDateFromTenor(I1081,"1D","FOLLOWING","TGT")</f>
        <v>44046</v>
      </c>
      <c r="J1082" s="95">
        <f ca="1"/>
        <v>1.3997304501893099E-3</v>
      </c>
      <c r="K1082" s="5" t="s">
        <v>4</v>
      </c>
      <c r="L1082" s="97">
        <f>_xll.meDateFromTenor(L1081,"1D","FOLLOWING","TGT")</f>
        <v>44046</v>
      </c>
      <c r="M1082" s="95">
        <f ca="1"/>
        <v>3.2669393801018102E-3</v>
      </c>
      <c r="N1082" s="5" t="s">
        <v>4</v>
      </c>
      <c r="O1082" s="97">
        <f>_xll.meDateFromTenor(O1081,"1D","FOLLOWING","TGT")</f>
        <v>44046</v>
      </c>
      <c r="P1082" s="95">
        <f ca="1"/>
        <v>5.2543557654954982E-3</v>
      </c>
      <c r="Q1082" s="5" t="s">
        <v>4</v>
      </c>
      <c r="R1082" s="83" t="s">
        <v>4</v>
      </c>
    </row>
    <row r="1083" spans="1:18" x14ac:dyDescent="0.25">
      <c r="A1083" s="88">
        <v>1069</v>
      </c>
      <c r="B1083" s="82"/>
      <c r="C1083" s="97">
        <f>_xll.meDateFromTenor(C1082,"1D","FOLLOWING","TGT")</f>
        <v>44047</v>
      </c>
      <c r="D1083" s="95">
        <f ca="1"/>
        <v>-7.635873313455166E-4</v>
      </c>
      <c r="E1083" s="92"/>
      <c r="F1083" s="97">
        <f>_xll.meDateFromTenor(F1082,"1D","FOLLOWING","TGT")</f>
        <v>44047</v>
      </c>
      <c r="G1083" s="95">
        <f ca="1"/>
        <v>2.1196567257949462E-4</v>
      </c>
      <c r="H1083" s="92" t="s">
        <v>4</v>
      </c>
      <c r="I1083" s="97">
        <f>_xll.meDateFromTenor(I1082,"1D","FOLLOWING","TGT")</f>
        <v>44047</v>
      </c>
      <c r="J1083" s="95">
        <f ca="1"/>
        <v>1.4060700553263279E-3</v>
      </c>
      <c r="K1083" s="5" t="s">
        <v>4</v>
      </c>
      <c r="L1083" s="97">
        <f>_xll.meDateFromTenor(L1082,"1D","FOLLOWING","TGT")</f>
        <v>44047</v>
      </c>
      <c r="M1083" s="95">
        <f ca="1"/>
        <v>3.2734521462337691E-3</v>
      </c>
      <c r="N1083" s="5" t="s">
        <v>4</v>
      </c>
      <c r="O1083" s="97">
        <f>_xll.meDateFromTenor(O1082,"1D","FOLLOWING","TGT")</f>
        <v>44047</v>
      </c>
      <c r="P1083" s="95">
        <f ca="1"/>
        <v>5.2609882827895308E-3</v>
      </c>
      <c r="Q1083" s="5" t="s">
        <v>4</v>
      </c>
      <c r="R1083" s="83" t="s">
        <v>4</v>
      </c>
    </row>
    <row r="1084" spans="1:18" x14ac:dyDescent="0.25">
      <c r="A1084" s="88">
        <v>1070</v>
      </c>
      <c r="B1084" s="82"/>
      <c r="C1084" s="97">
        <f>_xll.meDateFromTenor(C1083,"1D","FOLLOWING","TGT")</f>
        <v>44048</v>
      </c>
      <c r="D1084" s="95">
        <f ca="1"/>
        <v>-7.5533245314840514E-4</v>
      </c>
      <c r="E1084" s="92"/>
      <c r="F1084" s="97">
        <f>_xll.meDateFromTenor(F1083,"1D","FOLLOWING","TGT")</f>
        <v>44048</v>
      </c>
      <c r="G1084" s="95">
        <f ca="1"/>
        <v>2.1870437033837391E-4</v>
      </c>
      <c r="H1084" s="92" t="s">
        <v>4</v>
      </c>
      <c r="I1084" s="97">
        <f>_xll.meDateFromTenor(I1083,"1D","FOLLOWING","TGT")</f>
        <v>44048</v>
      </c>
      <c r="J1084" s="95">
        <f ca="1"/>
        <v>1.4124147664968793E-3</v>
      </c>
      <c r="K1084" s="5" t="s">
        <v>4</v>
      </c>
      <c r="L1084" s="97">
        <f>_xll.meDateFromTenor(L1083,"1D","FOLLOWING","TGT")</f>
        <v>44048</v>
      </c>
      <c r="M1084" s="95">
        <f ca="1"/>
        <v>3.2799678352181459E-3</v>
      </c>
      <c r="N1084" s="5" t="s">
        <v>4</v>
      </c>
      <c r="O1084" s="97">
        <f>_xll.meDateFromTenor(O1083,"1D","FOLLOWING","TGT")</f>
        <v>44048</v>
      </c>
      <c r="P1084" s="95">
        <f ca="1"/>
        <v>5.26762509679148E-3</v>
      </c>
      <c r="Q1084" s="5" t="s">
        <v>4</v>
      </c>
      <c r="R1084" s="83" t="s">
        <v>4</v>
      </c>
    </row>
    <row r="1085" spans="1:18" x14ac:dyDescent="0.25">
      <c r="A1085" s="88">
        <v>1071</v>
      </c>
      <c r="B1085" s="82"/>
      <c r="C1085" s="97">
        <f>_xll.meDateFromTenor(C1084,"1D","FOLLOWING","TGT")</f>
        <v>44049</v>
      </c>
      <c r="D1085" s="95">
        <f ca="1"/>
        <v>-7.4708340434836984E-4</v>
      </c>
      <c r="E1085" s="92"/>
      <c r="F1085" s="97">
        <f>_xll.meDateFromTenor(F1084,"1D","FOLLOWING","TGT")</f>
        <v>44049</v>
      </c>
      <c r="G1085" s="95">
        <f ca="1"/>
        <v>2.2545976946476161E-4</v>
      </c>
      <c r="H1085" s="92" t="s">
        <v>4</v>
      </c>
      <c r="I1085" s="97">
        <f>_xll.meDateFromTenor(I1084,"1D","FOLLOWING","TGT")</f>
        <v>44049</v>
      </c>
      <c r="J1085" s="95">
        <f ca="1"/>
        <v>1.4187645933760719E-3</v>
      </c>
      <c r="K1085" s="5" t="s">
        <v>4</v>
      </c>
      <c r="L1085" s="97">
        <f>_xll.meDateFromTenor(L1084,"1D","FOLLOWING","TGT")</f>
        <v>44049</v>
      </c>
      <c r="M1085" s="95">
        <f ca="1"/>
        <v>3.2864864459089221E-3</v>
      </c>
      <c r="N1085" s="5" t="s">
        <v>4</v>
      </c>
      <c r="O1085" s="97">
        <f>_xll.meDateFromTenor(O1084,"1D","FOLLOWING","TGT")</f>
        <v>44049</v>
      </c>
      <c r="P1085" s="95">
        <f ca="1"/>
        <v>5.2742661933204539E-3</v>
      </c>
      <c r="Q1085" s="5" t="s">
        <v>4</v>
      </c>
      <c r="R1085" s="83" t="s">
        <v>4</v>
      </c>
    </row>
    <row r="1086" spans="1:18" x14ac:dyDescent="0.25">
      <c r="A1086" s="88">
        <v>1072</v>
      </c>
      <c r="B1086" s="82"/>
      <c r="C1086" s="97">
        <f>_xll.meDateFromTenor(C1085,"1D","FOLLOWING","TGT")</f>
        <v>44050</v>
      </c>
      <c r="D1086" s="95">
        <f ca="1"/>
        <v>-7.3884018468994839E-4</v>
      </c>
      <c r="E1086" s="92"/>
      <c r="F1086" s="97">
        <f>_xll.meDateFromTenor(F1085,"1D","FOLLOWING","TGT")</f>
        <v>44050</v>
      </c>
      <c r="G1086" s="95">
        <f ca="1"/>
        <v>2.3223161835994699E-4</v>
      </c>
      <c r="H1086" s="92" t="s">
        <v>4</v>
      </c>
      <c r="I1086" s="97">
        <f>_xll.meDateFromTenor(I1085,"1D","FOLLOWING","TGT")</f>
        <v>44050</v>
      </c>
      <c r="J1086" s="95">
        <f ca="1"/>
        <v>1.4251195456390078E-3</v>
      </c>
      <c r="K1086" s="5" t="s">
        <v>4</v>
      </c>
      <c r="L1086" s="97">
        <f>_xll.meDateFromTenor(L1085,"1D","FOLLOWING","TGT")</f>
        <v>44050</v>
      </c>
      <c r="M1086" s="95">
        <f ca="1"/>
        <v>3.293007977160073E-3</v>
      </c>
      <c r="N1086" s="5" t="s">
        <v>4</v>
      </c>
      <c r="O1086" s="97">
        <f>_xll.meDateFromTenor(O1085,"1D","FOLLOWING","TGT")</f>
        <v>44050</v>
      </c>
      <c r="P1086" s="95">
        <f ca="1"/>
        <v>5.2809115581955585E-3</v>
      </c>
      <c r="Q1086" s="5" t="s">
        <v>4</v>
      </c>
      <c r="R1086" s="83" t="s">
        <v>4</v>
      </c>
    </row>
    <row r="1087" spans="1:18" x14ac:dyDescent="0.25">
      <c r="A1087" s="88">
        <v>1073</v>
      </c>
      <c r="B1087" s="82"/>
      <c r="C1087" s="97">
        <f>_xll.meDateFromTenor(C1086,"1D","FOLLOWING","TGT")</f>
        <v>44053</v>
      </c>
      <c r="D1087" s="95">
        <f ca="1"/>
        <v>-7.141454946694159E-4</v>
      </c>
      <c r="E1087" s="92"/>
      <c r="F1087" s="97">
        <f>_xll.meDateFromTenor(F1086,"1D","FOLLOWING","TGT")</f>
        <v>44053</v>
      </c>
      <c r="G1087" s="95">
        <f ca="1"/>
        <v>2.526433476712421E-4</v>
      </c>
      <c r="H1087" s="92" t="s">
        <v>4</v>
      </c>
      <c r="I1087" s="97">
        <f>_xll.meDateFromTenor(I1086,"1D","FOLLOWING","TGT")</f>
        <v>44053</v>
      </c>
      <c r="J1087" s="95">
        <f ca="1"/>
        <v>1.4442152514813459E-3</v>
      </c>
      <c r="K1087" s="5" t="s">
        <v>4</v>
      </c>
      <c r="L1087" s="97">
        <f>_xll.meDateFromTenor(L1086,"1D","FOLLOWING","TGT")</f>
        <v>44053</v>
      </c>
      <c r="M1087" s="95">
        <f ca="1"/>
        <v>3.3125900828155806E-3</v>
      </c>
      <c r="N1087" s="5" t="s">
        <v>4</v>
      </c>
      <c r="O1087" s="97">
        <f>_xll.meDateFromTenor(O1086,"1D","FOLLOWING","TGT")</f>
        <v>44053</v>
      </c>
      <c r="P1087" s="95">
        <f ca="1"/>
        <v>5.30087312108872E-3</v>
      </c>
      <c r="Q1087" s="5" t="s">
        <v>4</v>
      </c>
      <c r="R1087" s="83" t="s">
        <v>4</v>
      </c>
    </row>
    <row r="1088" spans="1:18" x14ac:dyDescent="0.25">
      <c r="A1088" s="88">
        <v>1074</v>
      </c>
      <c r="B1088" s="82"/>
      <c r="C1088" s="97">
        <f>_xll.meDateFromTenor(C1087,"1D","FOLLOWING","TGT")</f>
        <v>44054</v>
      </c>
      <c r="D1088" s="95">
        <f ca="1"/>
        <v>-7.0592558607951439E-4</v>
      </c>
      <c r="E1088" s="92"/>
      <c r="F1088" s="97">
        <f>_xll.meDateFromTenor(F1087,"1D","FOLLOWING","TGT")</f>
        <v>44054</v>
      </c>
      <c r="G1088" s="95">
        <f ca="1"/>
        <v>2.594784796545665E-4</v>
      </c>
      <c r="H1088" s="92" t="s">
        <v>4</v>
      </c>
      <c r="I1088" s="97">
        <f>_xll.meDateFromTenor(I1087,"1D","FOLLOWING","TGT")</f>
        <v>44054</v>
      </c>
      <c r="J1088" s="95">
        <f ca="1"/>
        <v>1.4505908020303229E-3</v>
      </c>
      <c r="K1088" s="5" t="s">
        <v>4</v>
      </c>
      <c r="L1088" s="97">
        <f>_xll.meDateFromTenor(L1087,"1D","FOLLOWING","TGT")</f>
        <v>44054</v>
      </c>
      <c r="M1088" s="95">
        <f ca="1"/>
        <v>3.3191232848480325E-3</v>
      </c>
      <c r="N1088" s="5" t="s">
        <v>4</v>
      </c>
      <c r="O1088" s="97">
        <f>_xll.meDateFromTenor(O1087,"1D","FOLLOWING","TGT")</f>
        <v>44054</v>
      </c>
      <c r="P1088" s="95">
        <f ca="1"/>
        <v>5.3075354175394157E-3</v>
      </c>
      <c r="Q1088" s="5" t="s">
        <v>4</v>
      </c>
      <c r="R1088" s="83" t="s">
        <v>4</v>
      </c>
    </row>
    <row r="1089" spans="1:18" x14ac:dyDescent="0.25">
      <c r="A1089" s="88">
        <v>1075</v>
      </c>
      <c r="B1089" s="82"/>
      <c r="C1089" s="97">
        <f>_xll.meDateFromTenor(C1088,"1D","FOLLOWING","TGT")</f>
        <v>44055</v>
      </c>
      <c r="D1089" s="95">
        <f ca="1"/>
        <v>-6.9771150427988538E-4</v>
      </c>
      <c r="E1089" s="92"/>
      <c r="F1089" s="97">
        <f>_xll.meDateFromTenor(F1088,"1D","FOLLOWING","TGT")</f>
        <v>44055</v>
      </c>
      <c r="G1089" s="95">
        <f ca="1"/>
        <v>2.6632880341315721E-4</v>
      </c>
      <c r="H1089" s="92" t="s">
        <v>4</v>
      </c>
      <c r="I1089" s="97">
        <f>_xll.meDateFromTenor(I1088,"1D","FOLLOWING","TGT")</f>
        <v>44055</v>
      </c>
      <c r="J1089" s="95">
        <f ca="1"/>
        <v>1.4569715263385722E-3</v>
      </c>
      <c r="K1089" s="5" t="s">
        <v>4</v>
      </c>
      <c r="L1089" s="97">
        <f>_xll.meDateFromTenor(L1088,"1D","FOLLOWING","TGT")</f>
        <v>44055</v>
      </c>
      <c r="M1089" s="95">
        <f ca="1"/>
        <v>3.3256594017107553E-3</v>
      </c>
      <c r="N1089" s="5" t="s">
        <v>4</v>
      </c>
      <c r="O1089" s="97">
        <f>_xll.meDateFromTenor(O1088,"1D","FOLLOWING","TGT")</f>
        <v>44055</v>
      </c>
      <c r="P1089" s="95">
        <f ca="1"/>
        <v>5.3142019114317757E-3</v>
      </c>
      <c r="Q1089" s="5" t="s">
        <v>4</v>
      </c>
      <c r="R1089" s="83" t="s">
        <v>4</v>
      </c>
    </row>
    <row r="1090" spans="1:18" x14ac:dyDescent="0.25">
      <c r="A1090" s="88">
        <v>1076</v>
      </c>
      <c r="B1090" s="82"/>
      <c r="C1090" s="97">
        <f>_xll.meDateFromTenor(C1089,"1D","FOLLOWING","TGT")</f>
        <v>44056</v>
      </c>
      <c r="D1090" s="95">
        <f ca="1"/>
        <v>-6.8950324857686152E-4</v>
      </c>
      <c r="E1090" s="92"/>
      <c r="F1090" s="97">
        <f>_xll.meDateFromTenor(F1089,"1D","FOLLOWING","TGT")</f>
        <v>44056</v>
      </c>
      <c r="G1090" s="95">
        <f ca="1"/>
        <v>2.731940673483123E-4</v>
      </c>
      <c r="H1090" s="92" t="s">
        <v>4</v>
      </c>
      <c r="I1090" s="97">
        <f>_xll.meDateFromTenor(I1089,"1D","FOLLOWING","TGT")</f>
        <v>44056</v>
      </c>
      <c r="J1090" s="95">
        <f ca="1"/>
        <v>1.4633574340812041E-3</v>
      </c>
      <c r="K1090" s="5" t="s">
        <v>4</v>
      </c>
      <c r="L1090" s="97">
        <f>_xll.meDateFromTenor(L1089,"1D","FOLLOWING","TGT")</f>
        <v>44056</v>
      </c>
      <c r="M1090" s="95">
        <f ca="1"/>
        <v>3.3321984322577333E-3</v>
      </c>
      <c r="N1090" s="5" t="s">
        <v>4</v>
      </c>
      <c r="O1090" s="97">
        <f>_xll.meDateFromTenor(O1089,"1D","FOLLOWING","TGT")</f>
        <v>44056</v>
      </c>
      <c r="P1090" s="95">
        <f ca="1"/>
        <v>5.3208725885849082E-3</v>
      </c>
      <c r="Q1090" s="5" t="s">
        <v>4</v>
      </c>
      <c r="R1090" s="83" t="s">
        <v>4</v>
      </c>
    </row>
    <row r="1091" spans="1:18" x14ac:dyDescent="0.25">
      <c r="A1091" s="88">
        <v>1077</v>
      </c>
      <c r="B1091" s="82"/>
      <c r="C1091" s="97">
        <f>_xll.meDateFromTenor(C1090,"1D","FOLLOWING","TGT")</f>
        <v>44057</v>
      </c>
      <c r="D1091" s="95">
        <f ca="1"/>
        <v>-6.8130081859463232E-4</v>
      </c>
      <c r="E1091" s="92"/>
      <c r="F1091" s="97">
        <f>_xll.meDateFromTenor(F1090,"1D","FOLLOWING","TGT")</f>
        <v>44057</v>
      </c>
      <c r="G1091" s="95">
        <f ca="1"/>
        <v>2.8007401986132119E-4</v>
      </c>
      <c r="H1091" s="92" t="s">
        <v>4</v>
      </c>
      <c r="I1091" s="97">
        <f>_xll.meDateFromTenor(I1090,"1D","FOLLOWING","TGT")</f>
        <v>44057</v>
      </c>
      <c r="J1091" s="95">
        <f ca="1"/>
        <v>1.4697485349333202E-3</v>
      </c>
      <c r="K1091" s="5" t="s">
        <v>4</v>
      </c>
      <c r="L1091" s="97">
        <f>_xll.meDateFromTenor(L1090,"1D","FOLLOWING","TGT")</f>
        <v>44057</v>
      </c>
      <c r="M1091" s="95">
        <f ca="1"/>
        <v>3.3387403753429397E-3</v>
      </c>
      <c r="N1091" s="5" t="s">
        <v>4</v>
      </c>
      <c r="O1091" s="97">
        <f>_xll.meDateFromTenor(O1090,"1D","FOLLOWING","TGT")</f>
        <v>44057</v>
      </c>
      <c r="P1091" s="95">
        <f ca="1"/>
        <v>5.3275474348179188E-3</v>
      </c>
      <c r="Q1091" s="5" t="s">
        <v>4</v>
      </c>
      <c r="R1091" s="83" t="s">
        <v>4</v>
      </c>
    </row>
    <row r="1092" spans="1:18" x14ac:dyDescent="0.25">
      <c r="A1092" s="88">
        <v>1078</v>
      </c>
      <c r="B1092" s="82"/>
      <c r="C1092" s="97">
        <f>_xll.meDateFromTenor(C1091,"1D","FOLLOWING","TGT")</f>
        <v>44060</v>
      </c>
      <c r="D1092" s="95">
        <f ca="1"/>
        <v>-6.5672847830644532E-4</v>
      </c>
      <c r="E1092" s="92"/>
      <c r="F1092" s="97">
        <f>_xll.meDateFromTenor(F1091,"1D","FOLLOWING","TGT")</f>
        <v>44060</v>
      </c>
      <c r="G1092" s="95">
        <f ca="1"/>
        <v>3.0079949288042249E-4</v>
      </c>
      <c r="H1092" s="92" t="s">
        <v>4</v>
      </c>
      <c r="I1092" s="97">
        <f>_xll.meDateFromTenor(I1091,"1D","FOLLOWING","TGT")</f>
        <v>44060</v>
      </c>
      <c r="J1092" s="95">
        <f ca="1"/>
        <v>1.4889530928976463E-3</v>
      </c>
      <c r="K1092" s="5" t="s">
        <v>4</v>
      </c>
      <c r="L1092" s="97">
        <f>_xll.meDateFromTenor(L1091,"1D","FOLLOWING","TGT")</f>
        <v>44060</v>
      </c>
      <c r="M1092" s="95">
        <f ca="1"/>
        <v>3.3583836683677426E-3</v>
      </c>
      <c r="N1092" s="5" t="s">
        <v>4</v>
      </c>
      <c r="O1092" s="97">
        <f>_xll.meDateFromTenor(O1091,"1D","FOLLOWING","TGT")</f>
        <v>44060</v>
      </c>
      <c r="P1092" s="95">
        <f ca="1"/>
        <v>5.3475968461872969E-3</v>
      </c>
      <c r="Q1092" s="5" t="s">
        <v>4</v>
      </c>
      <c r="R1092" s="83" t="s">
        <v>4</v>
      </c>
    </row>
    <row r="1093" spans="1:18" x14ac:dyDescent="0.25">
      <c r="A1093" s="88">
        <v>1079</v>
      </c>
      <c r="B1093" s="82"/>
      <c r="C1093" s="97">
        <f>_xll.meDateFromTenor(C1092,"1D","FOLLOWING","TGT")</f>
        <v>44061</v>
      </c>
      <c r="D1093" s="95">
        <f ca="1"/>
        <v>-6.4854934661862096E-4</v>
      </c>
      <c r="E1093" s="92"/>
      <c r="F1093" s="97">
        <f>_xll.meDateFromTenor(F1092,"1D","FOLLOWING","TGT")</f>
        <v>44061</v>
      </c>
      <c r="G1093" s="95">
        <f ca="1"/>
        <v>3.0773568371779203E-4</v>
      </c>
      <c r="H1093" s="92" t="s">
        <v>4</v>
      </c>
      <c r="I1093" s="97">
        <f>_xll.meDateFromTenor(I1092,"1D","FOLLOWING","TGT")</f>
        <v>44061</v>
      </c>
      <c r="J1093" s="95">
        <f ca="1"/>
        <v>1.495365062938766E-3</v>
      </c>
      <c r="K1093" s="5" t="s">
        <v>4</v>
      </c>
      <c r="L1093" s="97">
        <f>_xll.meDateFromTenor(L1092,"1D","FOLLOWING","TGT")</f>
        <v>44061</v>
      </c>
      <c r="M1093" s="95">
        <f ca="1"/>
        <v>3.3649372501456669E-3</v>
      </c>
      <c r="N1093" s="5" t="s">
        <v>4</v>
      </c>
      <c r="O1093" s="97">
        <f>_xll.meDateFromTenor(O1092,"1D","FOLLOWING","TGT")</f>
        <v>44061</v>
      </c>
      <c r="P1093" s="95">
        <f ca="1"/>
        <v>5.3542882269308938E-3</v>
      </c>
      <c r="Q1093" s="5" t="s">
        <v>4</v>
      </c>
      <c r="R1093" s="83" t="s">
        <v>4</v>
      </c>
    </row>
    <row r="1094" spans="1:18" x14ac:dyDescent="0.25">
      <c r="A1094" s="88">
        <v>1080</v>
      </c>
      <c r="B1094" s="82"/>
      <c r="C1094" s="97">
        <f>_xll.meDateFromTenor(C1093,"1D","FOLLOWING","TGT")</f>
        <v>44062</v>
      </c>
      <c r="D1094" s="95">
        <f ca="1"/>
        <v>-6.4037603821665012E-4</v>
      </c>
      <c r="E1094" s="92"/>
      <c r="F1094" s="97">
        <f>_xll.meDateFromTenor(F1093,"1D","FOLLOWING","TGT")</f>
        <v>44062</v>
      </c>
      <c r="G1094" s="95">
        <f ca="1"/>
        <v>3.1468530513948837E-4</v>
      </c>
      <c r="H1094" s="92" t="s">
        <v>4</v>
      </c>
      <c r="I1094" s="97">
        <f>_xll.meDateFromTenor(I1093,"1D","FOLLOWING","TGT")</f>
        <v>44062</v>
      </c>
      <c r="J1094" s="95">
        <f ca="1"/>
        <v>1.5017822744649036E-3</v>
      </c>
      <c r="K1094" s="5" t="s">
        <v>4</v>
      </c>
      <c r="L1094" s="97">
        <f>_xll.meDateFromTenor(L1093,"1D","FOLLOWING","TGT")</f>
        <v>44062</v>
      </c>
      <c r="M1094" s="95">
        <f ca="1"/>
        <v>3.3714937387317218E-3</v>
      </c>
      <c r="N1094" s="5" t="s">
        <v>4</v>
      </c>
      <c r="O1094" s="97">
        <f>_xll.meDateFromTenor(O1093,"1D","FOLLOWING","TGT")</f>
        <v>44062</v>
      </c>
      <c r="P1094" s="95">
        <f ca="1"/>
        <v>5.3609837058499069E-3</v>
      </c>
      <c r="Q1094" s="5" t="s">
        <v>4</v>
      </c>
      <c r="R1094" s="83" t="s">
        <v>4</v>
      </c>
    </row>
    <row r="1095" spans="1:18" x14ac:dyDescent="0.25">
      <c r="A1095" s="88">
        <v>1081</v>
      </c>
      <c r="B1095" s="82"/>
      <c r="C1095" s="97">
        <f>_xll.meDateFromTenor(C1094,"1D","FOLLOWING","TGT")</f>
        <v>44063</v>
      </c>
      <c r="D1095" s="95">
        <f ca="1"/>
        <v>-6.3220855296375333E-4</v>
      </c>
      <c r="E1095" s="92"/>
      <c r="F1095" s="97">
        <f>_xll.meDateFromTenor(F1094,"1D","FOLLOWING","TGT")</f>
        <v>44063</v>
      </c>
      <c r="G1095" s="95">
        <f ca="1"/>
        <v>3.2164810554680069E-4</v>
      </c>
      <c r="H1095" s="92" t="s">
        <v>4</v>
      </c>
      <c r="I1095" s="97">
        <f>_xll.meDateFromTenor(I1094,"1D","FOLLOWING","TGT")</f>
        <v>44063</v>
      </c>
      <c r="J1095" s="95">
        <f ca="1"/>
        <v>1.5082047371511604E-3</v>
      </c>
      <c r="K1095" s="5" t="s">
        <v>4</v>
      </c>
      <c r="L1095" s="97">
        <f>_xll.meDateFromTenor(L1094,"1D","FOLLOWING","TGT")</f>
        <v>44063</v>
      </c>
      <c r="M1095" s="95">
        <f ca="1"/>
        <v>3.3780531329798808E-3</v>
      </c>
      <c r="N1095" s="5" t="s">
        <v>4</v>
      </c>
      <c r="O1095" s="97">
        <f>_xll.meDateFromTenor(O1094,"1D","FOLLOWING","TGT")</f>
        <v>44063</v>
      </c>
      <c r="P1095" s="95">
        <f ca="1"/>
        <v>5.3676832687634393E-3</v>
      </c>
      <c r="Q1095" s="5" t="s">
        <v>4</v>
      </c>
      <c r="R1095" s="83" t="s">
        <v>4</v>
      </c>
    </row>
    <row r="1096" spans="1:18" x14ac:dyDescent="0.25">
      <c r="A1096" s="88">
        <v>1082</v>
      </c>
      <c r="B1096" s="82"/>
      <c r="C1096" s="97">
        <f>_xll.meDateFromTenor(C1095,"1D","FOLLOWING","TGT")</f>
        <v>44064</v>
      </c>
      <c r="D1096" s="95">
        <f ca="1"/>
        <v>-6.2404689020523207E-4</v>
      </c>
      <c r="E1096" s="92"/>
      <c r="F1096" s="97">
        <f>_xll.meDateFromTenor(F1095,"1D","FOLLOWING","TGT")</f>
        <v>44064</v>
      </c>
      <c r="G1096" s="95">
        <f ca="1"/>
        <v>3.2862383334102488E-4</v>
      </c>
      <c r="H1096" s="92" t="s">
        <v>4</v>
      </c>
      <c r="I1096" s="97">
        <f>_xll.meDateFromTenor(I1095,"1D","FOLLOWING","TGT")</f>
        <v>44064</v>
      </c>
      <c r="J1096" s="95">
        <f ca="1"/>
        <v>1.5146324606726447E-3</v>
      </c>
      <c r="K1096" s="5" t="s">
        <v>4</v>
      </c>
      <c r="L1096" s="97">
        <f>_xll.meDateFromTenor(L1095,"1D","FOLLOWING","TGT")</f>
        <v>44064</v>
      </c>
      <c r="M1096" s="95">
        <f ca="1"/>
        <v>3.3846154317441262E-3</v>
      </c>
      <c r="N1096" s="5" t="s">
        <v>4</v>
      </c>
      <c r="O1096" s="97">
        <f>_xll.meDateFromTenor(O1095,"1D","FOLLOWING","TGT")</f>
        <v>44064</v>
      </c>
      <c r="P1096" s="95">
        <f ca="1"/>
        <v>5.3743869014905993E-3</v>
      </c>
      <c r="Q1096" s="5" t="s">
        <v>4</v>
      </c>
      <c r="R1096" s="83" t="s">
        <v>4</v>
      </c>
    </row>
    <row r="1097" spans="1:18" x14ac:dyDescent="0.25">
      <c r="A1097" s="88">
        <v>1083</v>
      </c>
      <c r="B1097" s="82"/>
      <c r="C1097" s="97">
        <f>_xll.meDateFromTenor(C1096,"1D","FOLLOWING","TGT")</f>
        <v>44067</v>
      </c>
      <c r="D1097" s="95">
        <f ca="1"/>
        <v>-5.995968321749201E-4</v>
      </c>
      <c r="E1097" s="92"/>
      <c r="F1097" s="97">
        <f>_xll.meDateFromTenor(F1096,"1D","FOLLOWING","TGT")</f>
        <v>44067</v>
      </c>
      <c r="G1097" s="95">
        <f ca="1"/>
        <v>3.4962606505811055E-4</v>
      </c>
      <c r="H1097" s="92" t="s">
        <v>4</v>
      </c>
      <c r="I1097" s="97">
        <f>_xll.meDateFromTenor(I1096,"1D","FOLLOWING","TGT")</f>
        <v>44067</v>
      </c>
      <c r="J1097" s="95">
        <f ca="1"/>
        <v>1.5339472929995258E-3</v>
      </c>
      <c r="K1097" s="5" t="s">
        <v>4</v>
      </c>
      <c r="L1097" s="97">
        <f>_xll.meDateFromTenor(L1096,"1D","FOLLOWING","TGT")</f>
        <v>44067</v>
      </c>
      <c r="M1097" s="95">
        <f ca="1"/>
        <v>3.4043197436731758E-3</v>
      </c>
      <c r="N1097" s="5" t="s">
        <v>4</v>
      </c>
      <c r="O1097" s="97">
        <f>_xll.meDateFromTenor(O1096,"1D","FOLLOWING","TGT")</f>
        <v>44067</v>
      </c>
      <c r="P1097" s="95">
        <f ca="1"/>
        <v>5.3945220767449235E-3</v>
      </c>
      <c r="Q1097" s="5" t="s">
        <v>4</v>
      </c>
      <c r="R1097" s="83" t="s">
        <v>4</v>
      </c>
    </row>
    <row r="1098" spans="1:18" x14ac:dyDescent="0.25">
      <c r="A1098" s="88">
        <v>1084</v>
      </c>
      <c r="B1098" s="82"/>
      <c r="C1098" s="97">
        <f>_xll.meDateFromTenor(C1097,"1D","FOLLOWING","TGT")</f>
        <v>44068</v>
      </c>
      <c r="D1098" s="95">
        <f ca="1"/>
        <v>-5.9145845491326288E-4</v>
      </c>
      <c r="E1098" s="92"/>
      <c r="F1098" s="97">
        <f>_xll.meDateFromTenor(F1097,"1D","FOLLOWING","TGT")</f>
        <v>44068</v>
      </c>
      <c r="G1098" s="95">
        <f ca="1"/>
        <v>3.5665098641291952E-4</v>
      </c>
      <c r="H1098" s="92" t="s">
        <v>4</v>
      </c>
      <c r="I1098" s="97">
        <f>_xll.meDateFromTenor(I1097,"1D","FOLLOWING","TGT")</f>
        <v>44068</v>
      </c>
      <c r="J1098" s="95">
        <f ca="1"/>
        <v>1.5403961566129787E-3</v>
      </c>
      <c r="K1098" s="5" t="s">
        <v>4</v>
      </c>
      <c r="L1098" s="97">
        <f>_xll.meDateFromTenor(L1097,"1D","FOLLOWING","TGT")</f>
        <v>44068</v>
      </c>
      <c r="M1098" s="95">
        <f ca="1"/>
        <v>3.4108936490415583E-3</v>
      </c>
      <c r="N1098" s="5" t="s">
        <v>4</v>
      </c>
      <c r="O1098" s="97">
        <f>_xll.meDateFromTenor(O1097,"1D","FOLLOWING","TGT")</f>
        <v>44068</v>
      </c>
      <c r="P1098" s="95">
        <f ca="1"/>
        <v>5.4012418469176673E-3</v>
      </c>
      <c r="Q1098" s="5" t="s">
        <v>4</v>
      </c>
      <c r="R1098" s="83" t="s">
        <v>4</v>
      </c>
    </row>
    <row r="1099" spans="1:18" x14ac:dyDescent="0.25">
      <c r="A1099" s="88">
        <v>1085</v>
      </c>
      <c r="B1099" s="82"/>
      <c r="C1099" s="97">
        <f>_xll.meDateFromTenor(C1098,"1D","FOLLOWING","TGT")</f>
        <v>44069</v>
      </c>
      <c r="D1099" s="95">
        <f ca="1"/>
        <v>-5.8332589782505995E-4</v>
      </c>
      <c r="E1099" s="92"/>
      <c r="F1099" s="97">
        <f>_xll.meDateFromTenor(F1098,"1D","FOLLOWING","TGT")</f>
        <v>44069</v>
      </c>
      <c r="G1099" s="95">
        <f ca="1"/>
        <v>3.6368757716110885E-4</v>
      </c>
      <c r="H1099" s="92" t="s">
        <v>4</v>
      </c>
      <c r="I1099" s="97">
        <f>_xll.meDateFromTenor(I1098,"1D","FOLLOWING","TGT")</f>
        <v>44069</v>
      </c>
      <c r="J1099" s="95">
        <f ca="1"/>
        <v>1.5468503294371887E-3</v>
      </c>
      <c r="K1099" s="5" t="s">
        <v>4</v>
      </c>
      <c r="L1099" s="97">
        <f>_xll.meDateFromTenor(L1098,"1D","FOLLOWING","TGT")</f>
        <v>44069</v>
      </c>
      <c r="M1099" s="95">
        <f ca="1"/>
        <v>3.4174704531959228E-3</v>
      </c>
      <c r="N1099" s="5" t="s">
        <v>4</v>
      </c>
      <c r="O1099" s="97">
        <f>_xll.meDateFromTenor(O1098,"1D","FOLLOWING","TGT")</f>
        <v>44069</v>
      </c>
      <c r="P1099" s="95">
        <f ca="1"/>
        <v>5.4079656159995715E-3</v>
      </c>
      <c r="Q1099" s="5" t="s">
        <v>4</v>
      </c>
      <c r="R1099" s="83" t="s">
        <v>4</v>
      </c>
    </row>
    <row r="1100" spans="1:18" x14ac:dyDescent="0.25">
      <c r="A1100" s="88">
        <v>1086</v>
      </c>
      <c r="B1100" s="82"/>
      <c r="C1100" s="97">
        <f>_xll.meDateFromTenor(C1099,"1D","FOLLOWING","TGT")</f>
        <v>44070</v>
      </c>
      <c r="D1100" s="95">
        <f ca="1"/>
        <v>-5.7519916061443688E-4</v>
      </c>
      <c r="E1100" s="92"/>
      <c r="F1100" s="97">
        <f>_xll.meDateFromTenor(F1099,"1D","FOLLOWING","TGT")</f>
        <v>44070</v>
      </c>
      <c r="G1100" s="95">
        <f ca="1"/>
        <v>3.7073558570397476E-4</v>
      </c>
      <c r="H1100" s="92" t="s">
        <v>4</v>
      </c>
      <c r="I1100" s="97">
        <f>_xll.meDateFromTenor(I1099,"1D","FOLLOWING","TGT")</f>
        <v>44070</v>
      </c>
      <c r="J1100" s="95">
        <f ca="1"/>
        <v>1.5533098211472634E-3</v>
      </c>
      <c r="K1100" s="5" t="s">
        <v>4</v>
      </c>
      <c r="L1100" s="97">
        <f>_xll.meDateFromTenor(L1099,"1D","FOLLOWING","TGT")</f>
        <v>44070</v>
      </c>
      <c r="M1100" s="95">
        <f ca="1"/>
        <v>3.4240501549902512E-3</v>
      </c>
      <c r="N1100" s="5" t="s">
        <v>4</v>
      </c>
      <c r="O1100" s="97">
        <f>_xll.meDateFromTenor(O1099,"1D","FOLLOWING","TGT")</f>
        <v>44070</v>
      </c>
      <c r="P1100" s="95">
        <f ca="1"/>
        <v>5.4146933698097496E-3</v>
      </c>
      <c r="Q1100" s="5" t="s">
        <v>4</v>
      </c>
      <c r="R1100" s="83" t="s">
        <v>4</v>
      </c>
    </row>
    <row r="1101" spans="1:18" x14ac:dyDescent="0.25">
      <c r="A1101" s="88">
        <v>1087</v>
      </c>
      <c r="B1101" s="82"/>
      <c r="C1101" s="97">
        <f>_xll.meDateFromTenor(C1100,"1D","FOLLOWING","TGT")</f>
        <v>44071</v>
      </c>
      <c r="D1101" s="95">
        <f ca="1"/>
        <v>-5.6707824274437879E-4</v>
      </c>
      <c r="E1101" s="92"/>
      <c r="F1101" s="97">
        <f>_xll.meDateFromTenor(F1100,"1D","FOLLOWING","TGT")</f>
        <v>44071</v>
      </c>
      <c r="G1101" s="95">
        <f ca="1"/>
        <v>3.7779476044280625E-4</v>
      </c>
      <c r="H1101" s="92" t="s">
        <v>4</v>
      </c>
      <c r="I1101" s="97">
        <f>_xll.meDateFromTenor(I1100,"1D","FOLLOWING","TGT")</f>
        <v>44071</v>
      </c>
      <c r="J1101" s="95">
        <f ca="1"/>
        <v>1.5597746414183044E-3</v>
      </c>
      <c r="K1101" s="5" t="s">
        <v>4</v>
      </c>
      <c r="L1101" s="97">
        <f>_xll.meDateFromTenor(L1100,"1D","FOLLOWING","TGT")</f>
        <v>44071</v>
      </c>
      <c r="M1101" s="95">
        <f ca="1"/>
        <v>3.430632753278518E-3</v>
      </c>
      <c r="N1101" s="5" t="s">
        <v>4</v>
      </c>
      <c r="O1101" s="97">
        <f>_xll.meDateFromTenor(O1100,"1D","FOLLOWING","TGT")</f>
        <v>44071</v>
      </c>
      <c r="P1101" s="95">
        <f ca="1"/>
        <v>5.4214250941673021E-3</v>
      </c>
      <c r="Q1101" s="5" t="s">
        <v>4</v>
      </c>
      <c r="R1101" s="83" t="s">
        <v>4</v>
      </c>
    </row>
    <row r="1102" spans="1:18" x14ac:dyDescent="0.25">
      <c r="A1102" s="88">
        <v>1088</v>
      </c>
      <c r="B1102" s="82"/>
      <c r="C1102" s="97">
        <f>_xll.meDateFromTenor(C1101,"1D","FOLLOWING","TGT")</f>
        <v>44074</v>
      </c>
      <c r="D1102" s="95">
        <f ca="1"/>
        <v>-5.4275040089191151E-4</v>
      </c>
      <c r="E1102" s="92"/>
      <c r="F1102" s="97">
        <f>_xll.meDateFromTenor(F1101,"1D","FOLLOWING","TGT")</f>
        <v>44074</v>
      </c>
      <c r="G1102" s="95">
        <f ca="1"/>
        <v>3.990367658480476E-4</v>
      </c>
      <c r="H1102" s="92" t="s">
        <v>4</v>
      </c>
      <c r="I1102" s="97">
        <f>_xll.meDateFromTenor(I1101,"1D","FOLLOWING","TGT")</f>
        <v>44074</v>
      </c>
      <c r="J1102" s="95">
        <f ca="1"/>
        <v>1.5792011703483007E-3</v>
      </c>
      <c r="K1102" s="5" t="s">
        <v>4</v>
      </c>
      <c r="L1102" s="97">
        <f>_xll.meDateFromTenor(L1101,"1D","FOLLOWING","TGT")</f>
        <v>44074</v>
      </c>
      <c r="M1102" s="95">
        <f ca="1"/>
        <v>3.4503979156467589E-3</v>
      </c>
      <c r="N1102" s="5" t="s">
        <v>4</v>
      </c>
      <c r="O1102" s="97">
        <f>_xll.meDateFromTenor(O1101,"1D","FOLLOWING","TGT")</f>
        <v>44074</v>
      </c>
      <c r="P1102" s="95">
        <f ca="1"/>
        <v>5.4416439487152942E-3</v>
      </c>
      <c r="Q1102" s="5" t="s">
        <v>4</v>
      </c>
      <c r="R1102" s="83" t="s">
        <v>4</v>
      </c>
    </row>
    <row r="1103" spans="1:18" x14ac:dyDescent="0.25">
      <c r="A1103" s="88">
        <v>1089</v>
      </c>
      <c r="B1103" s="82"/>
      <c r="C1103" s="97">
        <f>_xll.meDateFromTenor(C1102,"1D","FOLLOWING","TGT")</f>
        <v>44075</v>
      </c>
      <c r="D1103" s="95">
        <f ca="1"/>
        <v>-5.3465275621666919E-4</v>
      </c>
      <c r="E1103" s="92"/>
      <c r="F1103" s="97">
        <f>_xll.meDateFromTenor(F1102,"1D","FOLLOWING","TGT")</f>
        <v>44075</v>
      </c>
      <c r="G1103" s="95">
        <f ca="1"/>
        <v>4.061380893836879E-4</v>
      </c>
      <c r="H1103" s="92" t="s">
        <v>4</v>
      </c>
      <c r="I1103" s="97">
        <f>_xll.meDateFromTenor(I1102,"1D","FOLLOWING","TGT")</f>
        <v>44075</v>
      </c>
      <c r="J1103" s="95">
        <f ca="1"/>
        <v>1.5856874016142749E-3</v>
      </c>
      <c r="K1103" s="5" t="s">
        <v>4</v>
      </c>
      <c r="L1103" s="97">
        <f>_xll.meDateFromTenor(L1102,"1D","FOLLOWING","TGT")</f>
        <v>44075</v>
      </c>
      <c r="M1103" s="95">
        <f ca="1"/>
        <v>3.4569920884505814E-3</v>
      </c>
      <c r="N1103" s="5" t="s">
        <v>4</v>
      </c>
      <c r="O1103" s="97">
        <f>_xll.meDateFromTenor(O1102,"1D","FOLLOWING","TGT")</f>
        <v>44075</v>
      </c>
      <c r="P1103" s="95">
        <f ca="1"/>
        <v>5.4483914134534255E-3</v>
      </c>
      <c r="Q1103" s="5" t="s">
        <v>4</v>
      </c>
      <c r="R1103" s="83" t="s">
        <v>4</v>
      </c>
    </row>
    <row r="1104" spans="1:18" x14ac:dyDescent="0.25">
      <c r="A1104" s="88">
        <v>1090</v>
      </c>
      <c r="B1104" s="82"/>
      <c r="C1104" s="97">
        <f>_xll.meDateFromTenor(C1103,"1D","FOLLOWING","TGT")</f>
        <v>44076</v>
      </c>
      <c r="D1104" s="95">
        <f ca="1"/>
        <v>-5.2656076481527592E-4</v>
      </c>
      <c r="E1104" s="92"/>
      <c r="F1104" s="97">
        <f>_xll.meDateFromTenor(F1103,"1D","FOLLOWING","TGT")</f>
        <v>44076</v>
      </c>
      <c r="G1104" s="95">
        <f ca="1"/>
        <v>4.132493211217669E-4</v>
      </c>
      <c r="H1104" s="92" t="s">
        <v>4</v>
      </c>
      <c r="I1104" s="97">
        <f>_xll.meDateFromTenor(I1103,"1D","FOLLOWING","TGT")</f>
        <v>44076</v>
      </c>
      <c r="J1104" s="95">
        <f ca="1"/>
        <v>1.5921790098167496E-3</v>
      </c>
      <c r="K1104" s="5" t="s">
        <v>4</v>
      </c>
      <c r="L1104" s="97">
        <f>_xll.meDateFromTenor(L1103,"1D","FOLLOWING","TGT")</f>
        <v>44076</v>
      </c>
      <c r="M1104" s="95">
        <f ca="1"/>
        <v>3.4635891520182439E-3</v>
      </c>
      <c r="N1104" s="5" t="s">
        <v>4</v>
      </c>
      <c r="O1104" s="97">
        <f>_xll.meDateFromTenor(O1103,"1D","FOLLOWING","TGT")</f>
        <v>44076</v>
      </c>
      <c r="P1104" s="95">
        <f ca="1"/>
        <v>5.4551427778344701E-3</v>
      </c>
      <c r="Q1104" s="5" t="s">
        <v>4</v>
      </c>
      <c r="R1104" s="83" t="s">
        <v>4</v>
      </c>
    </row>
    <row r="1105" spans="1:18" x14ac:dyDescent="0.25">
      <c r="A1105" s="88">
        <v>1091</v>
      </c>
      <c r="B1105" s="82"/>
      <c r="C1105" s="97">
        <f>_xll.meDateFromTenor(C1104,"1D","FOLLOWING","TGT")</f>
        <v>44077</v>
      </c>
      <c r="D1105" s="95">
        <f ca="1"/>
        <v>-5.1847377076941203E-4</v>
      </c>
      <c r="E1105" s="92"/>
      <c r="F1105" s="97">
        <f>_xll.meDateFromTenor(F1104,"1D","FOLLOWING","TGT")</f>
        <v>44077</v>
      </c>
      <c r="G1105" s="95">
        <f ca="1"/>
        <v>4.2037007683355351E-4</v>
      </c>
      <c r="H1105" s="92" t="s">
        <v>4</v>
      </c>
      <c r="I1105" s="97">
        <f>_xll.meDateFromTenor(I1104,"1D","FOLLOWING","TGT")</f>
        <v>44077</v>
      </c>
      <c r="J1105" s="95">
        <f ca="1"/>
        <v>1.5986760069300091E-3</v>
      </c>
      <c r="K1105" s="5" t="s">
        <v>4</v>
      </c>
      <c r="L1105" s="97">
        <f>_xll.meDateFromTenor(L1104,"1D","FOLLOWING","TGT")</f>
        <v>44077</v>
      </c>
      <c r="M1105" s="95">
        <f ca="1"/>
        <v>3.4701891052037197E-3</v>
      </c>
      <c r="N1105" s="5" t="s">
        <v>4</v>
      </c>
      <c r="O1105" s="97">
        <f>_xll.meDateFromTenor(O1104,"1D","FOLLOWING","TGT")</f>
        <v>44077</v>
      </c>
      <c r="P1105" s="95">
        <f ca="1"/>
        <v>5.4618980276775319E-3</v>
      </c>
      <c r="Q1105" s="5" t="s">
        <v>4</v>
      </c>
      <c r="R1105" s="83" t="s">
        <v>4</v>
      </c>
    </row>
    <row r="1106" spans="1:18" x14ac:dyDescent="0.25">
      <c r="A1106" s="88">
        <v>1092</v>
      </c>
      <c r="B1106" s="82"/>
      <c r="C1106" s="97">
        <f>_xll.meDateFromTenor(C1105,"1D","FOLLOWING","TGT")</f>
        <v>44078</v>
      </c>
      <c r="D1106" s="95">
        <f ca="1"/>
        <v>-5.1039161061594562E-4</v>
      </c>
      <c r="E1106" s="92"/>
      <c r="F1106" s="97">
        <f>_xll.meDateFromTenor(F1105,"1D","FOLLOWING","TGT")</f>
        <v>44078</v>
      </c>
      <c r="G1106" s="95">
        <f ca="1"/>
        <v>4.2749944177024416E-4</v>
      </c>
      <c r="H1106" s="92" t="s">
        <v>4</v>
      </c>
      <c r="I1106" s="97">
        <f>_xll.meDateFromTenor(I1105,"1D","FOLLOWING","TGT")</f>
        <v>44078</v>
      </c>
      <c r="J1106" s="95">
        <f ca="1"/>
        <v>1.6051784141250804E-3</v>
      </c>
      <c r="K1106" s="5" t="s">
        <v>4</v>
      </c>
      <c r="L1106" s="97">
        <f>_xll.meDateFromTenor(L1105,"1D","FOLLOWING","TGT")</f>
        <v>44078</v>
      </c>
      <c r="M1106" s="95">
        <f ca="1"/>
        <v>3.4767919468609936E-3</v>
      </c>
      <c r="N1106" s="5" t="s">
        <v>4</v>
      </c>
      <c r="O1106" s="97">
        <f>_xll.meDateFromTenor(O1105,"1D","FOLLOWING","TGT")</f>
        <v>44078</v>
      </c>
      <c r="P1106" s="95">
        <f ca="1"/>
        <v>5.468657148801721E-3</v>
      </c>
      <c r="Q1106" s="5" t="s">
        <v>4</v>
      </c>
      <c r="R1106" s="83" t="s">
        <v>4</v>
      </c>
    </row>
    <row r="1107" spans="1:18" x14ac:dyDescent="0.25">
      <c r="A1107" s="88">
        <v>1093</v>
      </c>
      <c r="B1107" s="82"/>
      <c r="C1107" s="97">
        <f>_xll.meDateFromTenor(C1106,"1D","FOLLOWING","TGT")</f>
        <v>44081</v>
      </c>
      <c r="D1107" s="95">
        <f ca="1"/>
        <v>-4.8617412561913209E-4</v>
      </c>
      <c r="E1107" s="92"/>
      <c r="F1107" s="97">
        <f>_xll.meDateFromTenor(F1106,"1D","FOLLOWING","TGT")</f>
        <v>44081</v>
      </c>
      <c r="G1107" s="95">
        <f ca="1"/>
        <v>4.4892871814143984E-4</v>
      </c>
      <c r="H1107" s="92" t="s">
        <v>4</v>
      </c>
      <c r="I1107" s="97">
        <f>_xll.meDateFromTenor(I1106,"1D","FOLLOWING","TGT")</f>
        <v>44081</v>
      </c>
      <c r="J1107" s="95">
        <f ca="1"/>
        <v>1.6247183309032016E-3</v>
      </c>
      <c r="K1107" s="5" t="s">
        <v>4</v>
      </c>
      <c r="L1107" s="97">
        <f>_xll.meDateFromTenor(L1106,"1D","FOLLOWING","TGT")</f>
        <v>44081</v>
      </c>
      <c r="M1107" s="95">
        <f ca="1"/>
        <v>3.4966177912033767E-3</v>
      </c>
      <c r="N1107" s="5" t="s">
        <v>4</v>
      </c>
      <c r="O1107" s="97">
        <f>_xll.meDateFromTenor(O1106,"1D","FOLLOWING","TGT")</f>
        <v>44081</v>
      </c>
      <c r="P1107" s="95">
        <f ca="1"/>
        <v>5.4889575980521113E-3</v>
      </c>
      <c r="Q1107" s="5" t="s">
        <v>4</v>
      </c>
      <c r="R1107" s="83" t="s">
        <v>4</v>
      </c>
    </row>
    <row r="1108" spans="1:18" x14ac:dyDescent="0.25">
      <c r="A1108" s="88">
        <v>1094</v>
      </c>
      <c r="B1108" s="82"/>
      <c r="C1108" s="97">
        <f>_xll.meDateFromTenor(C1107,"1D","FOLLOWING","TGT")</f>
        <v>44082</v>
      </c>
      <c r="D1108" s="95">
        <f ca="1"/>
        <v>-4.7811129438346534E-4</v>
      </c>
      <c r="E1108" s="92"/>
      <c r="F1108" s="97">
        <f>_xll.meDateFromTenor(F1107,"1D","FOLLOWING","TGT")</f>
        <v>44082</v>
      </c>
      <c r="G1108" s="95">
        <f ca="1"/>
        <v>4.5608204618945256E-4</v>
      </c>
      <c r="H1108" s="92" t="s">
        <v>4</v>
      </c>
      <c r="I1108" s="97">
        <f>_xll.meDateFromTenor(I1107,"1D","FOLLOWING","TGT")</f>
        <v>44082</v>
      </c>
      <c r="J1108" s="95">
        <f ca="1"/>
        <v>1.6312426131275637E-3</v>
      </c>
      <c r="K1108" s="5" t="s">
        <v>4</v>
      </c>
      <c r="L1108" s="97">
        <f>_xll.meDateFromTenor(L1107,"1D","FOLLOWING","TGT")</f>
        <v>44082</v>
      </c>
      <c r="M1108" s="95">
        <f ca="1"/>
        <v>3.5032321752876232E-3</v>
      </c>
      <c r="N1108" s="5" t="s">
        <v>4</v>
      </c>
      <c r="O1108" s="97">
        <f>_xll.meDateFromTenor(O1107,"1D","FOLLOWING","TGT")</f>
        <v>44082</v>
      </c>
      <c r="P1108" s="95">
        <f ca="1"/>
        <v>5.4957320624918734E-3</v>
      </c>
      <c r="Q1108" s="5" t="s">
        <v>4</v>
      </c>
      <c r="R1108" s="83" t="s">
        <v>4</v>
      </c>
    </row>
    <row r="1109" spans="1:18" x14ac:dyDescent="0.25">
      <c r="A1109" s="88">
        <v>1095</v>
      </c>
      <c r="B1109" s="82"/>
      <c r="C1109" s="97">
        <f>_xll.meDateFromTenor(C1108,"1D","FOLLOWING","TGT")</f>
        <v>44083</v>
      </c>
      <c r="D1109" s="95">
        <f ca="1"/>
        <v>-4.7005329439275823E-4</v>
      </c>
      <c r="E1109" s="92"/>
      <c r="F1109" s="97">
        <f>_xll.meDateFromTenor(F1108,"1D","FOLLOWING","TGT")</f>
        <v>44083</v>
      </c>
      <c r="G1109" s="95">
        <f ca="1"/>
        <v>4.6323874656822791E-4</v>
      </c>
      <c r="H1109" s="92" t="s">
        <v>4</v>
      </c>
      <c r="I1109" s="97">
        <f>_xll.meDateFromTenor(I1108,"1D","FOLLOWING","TGT")</f>
        <v>44083</v>
      </c>
      <c r="J1109" s="95">
        <f ca="1"/>
        <v>1.6377724227847645E-3</v>
      </c>
      <c r="K1109" s="5" t="s">
        <v>4</v>
      </c>
      <c r="L1109" s="97">
        <f>_xll.meDateFromTenor(L1108,"1D","FOLLOWING","TGT")</f>
        <v>44083</v>
      </c>
      <c r="M1109" s="95">
        <f ca="1"/>
        <v>3.5098494421135634E-3</v>
      </c>
      <c r="N1109" s="5" t="s">
        <v>4</v>
      </c>
      <c r="O1109" s="97">
        <f>_xll.meDateFromTenor(O1108,"1D","FOLLOWING","TGT")</f>
        <v>44083</v>
      </c>
      <c r="P1109" s="95">
        <f ca="1"/>
        <v>5.5025103273082972E-3</v>
      </c>
      <c r="Q1109" s="5" t="s">
        <v>4</v>
      </c>
      <c r="R1109" s="83" t="s">
        <v>4</v>
      </c>
    </row>
    <row r="1110" spans="1:18" x14ac:dyDescent="0.25">
      <c r="A1110" s="88">
        <v>1096</v>
      </c>
      <c r="B1110" s="82"/>
      <c r="C1110" s="97">
        <f>_xll.meDateFromTenor(C1109,"1D","FOLLOWING","TGT")</f>
        <v>44084</v>
      </c>
      <c r="D1110" s="95">
        <f ca="1"/>
        <v>-4.6200012508623711E-4</v>
      </c>
      <c r="E1110" s="92"/>
      <c r="F1110" s="97">
        <f>_xll.meDateFromTenor(F1109,"1D","FOLLOWING","TGT")</f>
        <v>44084</v>
      </c>
      <c r="G1110" s="95">
        <f ca="1"/>
        <v>4.703977718989329E-4</v>
      </c>
      <c r="H1110" s="92" t="s">
        <v>4</v>
      </c>
      <c r="I1110" s="97">
        <f>_xll.meDateFromTenor(I1109,"1D","FOLLOWING","TGT")</f>
        <v>44084</v>
      </c>
      <c r="J1110" s="95">
        <f ca="1"/>
        <v>1.6443077833450063E-3</v>
      </c>
      <c r="K1110" s="5" t="s">
        <v>4</v>
      </c>
      <c r="L1110" s="97">
        <f>_xll.meDateFromTenor(L1109,"1D","FOLLOWING","TGT")</f>
        <v>44084</v>
      </c>
      <c r="M1110" s="95">
        <f ca="1"/>
        <v>3.5164695905351728E-3</v>
      </c>
      <c r="N1110" s="5" t="s">
        <v>4</v>
      </c>
      <c r="O1110" s="97">
        <f>_xll.meDateFromTenor(O1109,"1D","FOLLOWING","TGT")</f>
        <v>44084</v>
      </c>
      <c r="P1110" s="95">
        <f ca="1"/>
        <v>5.5092923783204868E-3</v>
      </c>
      <c r="Q1110" s="5" t="s">
        <v>4</v>
      </c>
      <c r="R1110" s="83" t="s">
        <v>4</v>
      </c>
    </row>
    <row r="1111" spans="1:18" x14ac:dyDescent="0.25">
      <c r="A1111" s="88">
        <v>1097</v>
      </c>
      <c r="B1111" s="82"/>
      <c r="C1111" s="97">
        <f>_xll.meDateFromTenor(C1110,"1D","FOLLOWING","TGT")</f>
        <v>44085</v>
      </c>
      <c r="D1111" s="95">
        <f ca="1"/>
        <v>-4.5395178606133513E-4</v>
      </c>
      <c r="E1111" s="92"/>
      <c r="F1111" s="97">
        <f>_xll.meDateFromTenor(F1110,"1D","FOLLOWING","TGT")</f>
        <v>44085</v>
      </c>
      <c r="G1111" s="95">
        <f ca="1"/>
        <v>4.7755807480274158E-4</v>
      </c>
      <c r="H1111" s="92" t="s">
        <v>4</v>
      </c>
      <c r="I1111" s="97">
        <f>_xll.meDateFromTenor(I1110,"1D","FOLLOWING","TGT")</f>
        <v>44085</v>
      </c>
      <c r="J1111" s="95">
        <f ca="1"/>
        <v>1.6508487182784958E-3</v>
      </c>
      <c r="K1111" s="5" t="s">
        <v>4</v>
      </c>
      <c r="L1111" s="97">
        <f>_xll.meDateFromTenor(L1110,"1D","FOLLOWING","TGT")</f>
        <v>44085</v>
      </c>
      <c r="M1111" s="95">
        <f ca="1"/>
        <v>3.5230926194064318E-3</v>
      </c>
      <c r="N1111" s="5" t="s">
        <v>4</v>
      </c>
      <c r="O1111" s="97">
        <f>_xll.meDateFromTenor(O1110,"1D","FOLLOWING","TGT")</f>
        <v>44085</v>
      </c>
      <c r="P1111" s="95">
        <f ca="1"/>
        <v>5.516078201347553E-3</v>
      </c>
      <c r="Q1111" s="5" t="s">
        <v>4</v>
      </c>
      <c r="R1111" s="83" t="s">
        <v>4</v>
      </c>
    </row>
    <row r="1112" spans="1:18" x14ac:dyDescent="0.25">
      <c r="A1112" s="88">
        <v>1098</v>
      </c>
      <c r="B1112" s="82"/>
      <c r="C1112" s="97">
        <f>_xll.meDateFromTenor(C1111,"1D","FOLLOWING","TGT")</f>
        <v>44088</v>
      </c>
      <c r="D1112" s="95">
        <f ca="1"/>
        <v>-4.298357461794966E-4</v>
      </c>
      <c r="E1112" s="92"/>
      <c r="F1112" s="97">
        <f>_xll.meDateFromTenor(F1111,"1D","FOLLOWING","TGT")</f>
        <v>44088</v>
      </c>
      <c r="G1112" s="95">
        <f ca="1"/>
        <v>4.9903617516451116E-4</v>
      </c>
      <c r="H1112" s="92" t="s">
        <v>4</v>
      </c>
      <c r="I1112" s="97">
        <f>_xll.meDateFromTenor(I1111,"1D","FOLLOWING","TGT")</f>
        <v>44088</v>
      </c>
      <c r="J1112" s="95">
        <f ca="1"/>
        <v>1.6705052040205117E-3</v>
      </c>
      <c r="K1112" s="5" t="s">
        <v>4</v>
      </c>
      <c r="L1112" s="97">
        <f>_xll.meDateFromTenor(L1111,"1D","FOLLOWING","TGT")</f>
        <v>44088</v>
      </c>
      <c r="M1112" s="95">
        <f ca="1"/>
        <v>3.5429789772579083E-3</v>
      </c>
      <c r="N1112" s="5" t="s">
        <v>4</v>
      </c>
      <c r="O1112" s="97">
        <f>_xll.meDateFromTenor(O1111,"1D","FOLLOWING","TGT")</f>
        <v>44088</v>
      </c>
      <c r="P1112" s="95">
        <f ca="1"/>
        <v>5.5364581607090695E-3</v>
      </c>
      <c r="Q1112" s="5" t="s">
        <v>4</v>
      </c>
      <c r="R1112" s="83" t="s">
        <v>4</v>
      </c>
    </row>
    <row r="1113" spans="1:18" x14ac:dyDescent="0.25">
      <c r="A1113" s="88">
        <v>1099</v>
      </c>
      <c r="B1113" s="82"/>
      <c r="C1113" s="97">
        <f>_xll.meDateFromTenor(C1112,"1D","FOLLOWING","TGT")</f>
        <v>44089</v>
      </c>
      <c r="D1113" s="95">
        <f ca="1"/>
        <v>-4.2180672378244743E-4</v>
      </c>
      <c r="E1113" s="92"/>
      <c r="F1113" s="97">
        <f>_xll.meDateFromTenor(F1112,"1D","FOLLOWING","TGT")</f>
        <v>44089</v>
      </c>
      <c r="G1113" s="95">
        <f ca="1"/>
        <v>5.0619111457245137E-4</v>
      </c>
      <c r="H1113" s="92" t="s">
        <v>4</v>
      </c>
      <c r="I1113" s="97">
        <f>_xll.meDateFromTenor(I1112,"1D","FOLLOWING","TGT")</f>
        <v>44089</v>
      </c>
      <c r="J1113" s="95">
        <f ca="1"/>
        <v>1.6770686711490488E-3</v>
      </c>
      <c r="K1113" s="5" t="s">
        <v>4</v>
      </c>
      <c r="L1113" s="97">
        <f>_xll.meDateFromTenor(L1112,"1D","FOLLOWING","TGT")</f>
        <v>44089</v>
      </c>
      <c r="M1113" s="95">
        <f ca="1"/>
        <v>3.5496135164675611E-3</v>
      </c>
      <c r="N1113" s="5" t="s">
        <v>4</v>
      </c>
      <c r="O1113" s="97">
        <f>_xll.meDateFromTenor(O1112,"1D","FOLLOWING","TGT")</f>
        <v>44089</v>
      </c>
      <c r="P1113" s="95">
        <f ca="1"/>
        <v>5.5432589299867037E-3</v>
      </c>
      <c r="Q1113" s="5" t="s">
        <v>4</v>
      </c>
      <c r="R1113" s="83" t="s">
        <v>4</v>
      </c>
    </row>
    <row r="1114" spans="1:18" x14ac:dyDescent="0.25">
      <c r="A1114" s="88">
        <v>1100</v>
      </c>
      <c r="B1114" s="82"/>
      <c r="C1114" s="97">
        <f>_xll.meDateFromTenor(C1113,"1D","FOLLOWING","TGT")</f>
        <v>44090</v>
      </c>
      <c r="D1114" s="95">
        <f ca="1"/>
        <v>-4.1378252929746839E-4</v>
      </c>
      <c r="E1114" s="92"/>
      <c r="F1114" s="97">
        <f>_xll.meDateFromTenor(F1113,"1D","FOLLOWING","TGT")</f>
        <v>44090</v>
      </c>
      <c r="G1114" s="95">
        <f ca="1"/>
        <v>5.1334209465935367E-4</v>
      </c>
      <c r="H1114" s="92" t="s">
        <v>4</v>
      </c>
      <c r="I1114" s="97">
        <f>_xll.meDateFromTenor(I1113,"1D","FOLLOWING","TGT")</f>
        <v>44090</v>
      </c>
      <c r="J1114" s="95">
        <f ca="1"/>
        <v>1.6836378300018611E-3</v>
      </c>
      <c r="K1114" s="5" t="s">
        <v>4</v>
      </c>
      <c r="L1114" s="97">
        <f>_xll.meDateFromTenor(L1113,"1D","FOLLOWING","TGT")</f>
        <v>44090</v>
      </c>
      <c r="M1114" s="95">
        <f ca="1"/>
        <v>3.5562509303967605E-3</v>
      </c>
      <c r="N1114" s="5" t="s">
        <v>4</v>
      </c>
      <c r="O1114" s="97">
        <f>_xll.meDateFromTenor(O1113,"1D","FOLLOWING","TGT")</f>
        <v>44090</v>
      </c>
      <c r="P1114" s="95">
        <f ca="1"/>
        <v>5.550063400374749E-3</v>
      </c>
      <c r="Q1114" s="5" t="s">
        <v>4</v>
      </c>
      <c r="R1114" s="83" t="s">
        <v>4</v>
      </c>
    </row>
    <row r="1115" spans="1:18" x14ac:dyDescent="0.25">
      <c r="A1115" s="88">
        <v>1101</v>
      </c>
      <c r="B1115" s="82"/>
      <c r="C1115" s="97">
        <f>_xll.meDateFromTenor(C1114,"1D","FOLLOWING","TGT")</f>
        <v>44091</v>
      </c>
      <c r="D1115" s="95">
        <f ca="1"/>
        <v>-4.0576316272100676E-4</v>
      </c>
      <c r="E1115" s="92"/>
      <c r="F1115" s="97">
        <f>_xll.meDateFromTenor(F1114,"1D","FOLLOWING","TGT")</f>
        <v>44091</v>
      </c>
      <c r="G1115" s="95">
        <f ca="1"/>
        <v>5.2048806804638975E-4</v>
      </c>
      <c r="H1115" s="92" t="s">
        <v>4</v>
      </c>
      <c r="I1115" s="97">
        <f>_xll.meDateFromTenor(I1114,"1D","FOLLOWING","TGT")</f>
        <v>44091</v>
      </c>
      <c r="J1115" s="95">
        <f ca="1"/>
        <v>1.6902127040491542E-3</v>
      </c>
      <c r="K1115" s="5" t="s">
        <v>4</v>
      </c>
      <c r="L1115" s="97">
        <f>_xll.meDateFromTenor(L1114,"1D","FOLLOWING","TGT")</f>
        <v>44091</v>
      </c>
      <c r="M1115" s="95">
        <f ca="1"/>
        <v>3.5628912178994857E-3</v>
      </c>
      <c r="N1115" s="5" t="s">
        <v>4</v>
      </c>
      <c r="O1115" s="97">
        <f>_xll.meDateFromTenor(O1114,"1D","FOLLOWING","TGT")</f>
        <v>44091</v>
      </c>
      <c r="P1115" s="95">
        <f ca="1"/>
        <v>5.5568715576923087E-3</v>
      </c>
      <c r="Q1115" s="5" t="s">
        <v>4</v>
      </c>
      <c r="R1115" s="83" t="s">
        <v>4</v>
      </c>
    </row>
    <row r="1116" spans="1:18" x14ac:dyDescent="0.25">
      <c r="A1116" s="88">
        <v>1102</v>
      </c>
      <c r="B1116" s="82"/>
      <c r="C1116" s="97">
        <f>_xll.meDateFromTenor(C1115,"1D","FOLLOWING","TGT")</f>
        <v>44092</v>
      </c>
      <c r="D1116" s="95">
        <f ca="1"/>
        <v>-3.9774862297203839E-4</v>
      </c>
      <c r="E1116" s="92"/>
      <c r="F1116" s="97">
        <f>_xll.meDateFromTenor(F1115,"1D","FOLLOWING","TGT")</f>
        <v>44092</v>
      </c>
      <c r="G1116" s="95">
        <f ca="1"/>
        <v>5.2762798735473359E-4</v>
      </c>
      <c r="H1116" s="92" t="s">
        <v>4</v>
      </c>
      <c r="I1116" s="97">
        <f>_xll.meDateFromTenor(I1115,"1D","FOLLOWING","TGT")</f>
        <v>44092</v>
      </c>
      <c r="J1116" s="95">
        <f ca="1"/>
        <v>1.6967933167611369E-3</v>
      </c>
      <c r="K1116" s="5" t="s">
        <v>4</v>
      </c>
      <c r="L1116" s="97">
        <f>_xll.meDateFromTenor(L1115,"1D","FOLLOWING","TGT")</f>
        <v>44092</v>
      </c>
      <c r="M1116" s="95">
        <f ca="1"/>
        <v>3.5695343778297177E-3</v>
      </c>
      <c r="N1116" s="5" t="s">
        <v>4</v>
      </c>
      <c r="O1116" s="97">
        <f>_xll.meDateFromTenor(O1115,"1D","FOLLOWING","TGT")</f>
        <v>44092</v>
      </c>
      <c r="P1116" s="95">
        <f ca="1"/>
        <v>5.5636833877584961E-3</v>
      </c>
      <c r="Q1116" s="5" t="s">
        <v>4</v>
      </c>
      <c r="R1116" s="83" t="s">
        <v>4</v>
      </c>
    </row>
    <row r="1117" spans="1:18" x14ac:dyDescent="0.25">
      <c r="A1117" s="88">
        <v>1103</v>
      </c>
      <c r="B1117" s="82"/>
      <c r="C1117" s="97">
        <f>_xll.meDateFromTenor(C1116,"1D","FOLLOWING","TGT")</f>
        <v>44095</v>
      </c>
      <c r="D1117" s="95">
        <f ca="1"/>
        <v>-3.7373396265916181E-4</v>
      </c>
      <c r="E1117" s="92"/>
      <c r="F1117" s="97">
        <f>_xll.meDateFromTenor(F1116,"1D","FOLLOWING","TGT")</f>
        <v>44095</v>
      </c>
      <c r="G1117" s="95">
        <f ca="1"/>
        <v>5.490009470193102E-4</v>
      </c>
      <c r="H1117" s="92" t="s">
        <v>4</v>
      </c>
      <c r="I1117" s="97">
        <f>_xll.meDateFromTenor(I1116,"1D","FOLLOWING","TGT")</f>
        <v>44095</v>
      </c>
      <c r="J1117" s="95">
        <f ca="1"/>
        <v>1.7165698215872546E-3</v>
      </c>
      <c r="K1117" s="5" t="s">
        <v>4</v>
      </c>
      <c r="L1117" s="97">
        <f>_xll.meDateFromTenor(L1116,"1D","FOLLOWING","TGT")</f>
        <v>44095</v>
      </c>
      <c r="M1117" s="95">
        <f ca="1"/>
        <v>3.5894810807252315E-3</v>
      </c>
      <c r="N1117" s="5" t="s">
        <v>4</v>
      </c>
      <c r="O1117" s="97">
        <f>_xll.meDateFromTenor(O1116,"1D","FOLLOWING","TGT")</f>
        <v>44095</v>
      </c>
      <c r="P1117" s="95">
        <f ca="1"/>
        <v>5.5841407726398649E-3</v>
      </c>
      <c r="Q1117" s="5" t="s">
        <v>4</v>
      </c>
      <c r="R1117" s="83" t="s">
        <v>4</v>
      </c>
    </row>
    <row r="1118" spans="1:18" x14ac:dyDescent="0.25">
      <c r="A1118" s="88">
        <v>1104</v>
      </c>
      <c r="B1118" s="82"/>
      <c r="C1118" s="97">
        <f>_xll.meDateFromTenor(C1117,"1D","FOLLOWING","TGT")</f>
        <v>44096</v>
      </c>
      <c r="D1118" s="95">
        <f ca="1"/>
        <v>-3.6573872747058811E-4</v>
      </c>
      <c r="E1118" s="92"/>
      <c r="F1118" s="97">
        <f>_xll.meDateFromTenor(F1117,"1D","FOLLOWING","TGT")</f>
        <v>44096</v>
      </c>
      <c r="G1118" s="95">
        <f ca="1"/>
        <v>5.5610617622459037E-4</v>
      </c>
      <c r="H1118" s="92" t="s">
        <v>4</v>
      </c>
      <c r="I1118" s="97">
        <f>_xll.meDateFromTenor(I1117,"1D","FOLLOWING","TGT")</f>
        <v>44096</v>
      </c>
      <c r="J1118" s="95">
        <f ca="1"/>
        <v>1.7231736236600365E-3</v>
      </c>
      <c r="K1118" s="5" t="s">
        <v>4</v>
      </c>
      <c r="L1118" s="97">
        <f>_xll.meDateFromTenor(L1117,"1D","FOLLOWING","TGT")</f>
        <v>44096</v>
      </c>
      <c r="M1118" s="95">
        <f ca="1"/>
        <v>3.5961357189052742E-3</v>
      </c>
      <c r="N1118" s="5" t="s">
        <v>4</v>
      </c>
      <c r="O1118" s="97">
        <f>_xll.meDateFromTenor(O1117,"1D","FOLLOWING","TGT")</f>
        <v>44096</v>
      </c>
      <c r="P1118" s="95">
        <f ca="1"/>
        <v>5.5909671518916135E-3</v>
      </c>
      <c r="Q1118" s="5" t="s">
        <v>4</v>
      </c>
      <c r="R1118" s="83" t="s">
        <v>4</v>
      </c>
    </row>
    <row r="1119" spans="1:18" x14ac:dyDescent="0.25">
      <c r="A1119" s="88">
        <v>1105</v>
      </c>
      <c r="B1119" s="82"/>
      <c r="C1119" s="97">
        <f>_xll.meDateFromTenor(C1118,"1D","FOLLOWING","TGT")</f>
        <v>44097</v>
      </c>
      <c r="D1119" s="95">
        <f ca="1"/>
        <v>-3.5774831681600894E-4</v>
      </c>
      <c r="E1119" s="92"/>
      <c r="F1119" s="97">
        <f>_xll.meDateFromTenor(F1118,"1D","FOLLOWING","TGT")</f>
        <v>44097</v>
      </c>
      <c r="G1119" s="95">
        <f ca="1"/>
        <v>5.6320011445703698E-4</v>
      </c>
      <c r="H1119" s="92" t="s">
        <v>4</v>
      </c>
      <c r="I1119" s="97">
        <f>_xll.meDateFromTenor(I1118,"1D","FOLLOWING","TGT")</f>
        <v>44097</v>
      </c>
      <c r="J1119" s="95">
        <f ca="1"/>
        <v>1.7297832817485348E-3</v>
      </c>
      <c r="K1119" s="5" t="s">
        <v>4</v>
      </c>
      <c r="L1119" s="97">
        <f>_xll.meDateFromTenor(L1118,"1D","FOLLOWING","TGT")</f>
        <v>44097</v>
      </c>
      <c r="M1119" s="95">
        <f ca="1"/>
        <v>3.6027932237827202E-3</v>
      </c>
      <c r="N1119" s="5" t="s">
        <v>4</v>
      </c>
      <c r="O1119" s="97">
        <f>_xll.meDateFromTenor(O1118,"1D","FOLLOWING","TGT")</f>
        <v>44097</v>
      </c>
      <c r="P1119" s="95">
        <f ca="1"/>
        <v>5.5977971329875245E-3</v>
      </c>
      <c r="Q1119" s="5" t="s">
        <v>4</v>
      </c>
      <c r="R1119" s="83" t="s">
        <v>4</v>
      </c>
    </row>
    <row r="1120" spans="1:18" x14ac:dyDescent="0.25">
      <c r="A1120" s="88">
        <v>1106</v>
      </c>
      <c r="B1120" s="82"/>
      <c r="C1120" s="97">
        <f>_xll.meDateFromTenor(C1119,"1D","FOLLOWING","TGT")</f>
        <v>44098</v>
      </c>
      <c r="D1120" s="95">
        <f ca="1"/>
        <v>-3.4976273121090085E-4</v>
      </c>
      <c r="E1120" s="92"/>
      <c r="F1120" s="97">
        <f>_xll.meDateFromTenor(F1119,"1D","FOLLOWING","TGT")</f>
        <v>44098</v>
      </c>
      <c r="G1120" s="95">
        <f ca="1"/>
        <v>5.7028171433781661E-4</v>
      </c>
      <c r="H1120" s="92" t="s">
        <v>4</v>
      </c>
      <c r="I1120" s="97">
        <f>_xll.meDateFromTenor(I1119,"1D","FOLLOWING","TGT")</f>
        <v>44098</v>
      </c>
      <c r="J1120" s="95">
        <f ca="1"/>
        <v>1.7363988193229507E-3</v>
      </c>
      <c r="K1120" s="5" t="s">
        <v>4</v>
      </c>
      <c r="L1120" s="97">
        <f>_xll.meDateFromTenor(L1119,"1D","FOLLOWING","TGT")</f>
        <v>44098</v>
      </c>
      <c r="M1120" s="95">
        <f ca="1"/>
        <v>3.6094535942115444E-3</v>
      </c>
      <c r="N1120" s="5" t="s">
        <v>4</v>
      </c>
      <c r="O1120" s="97">
        <f>_xll.meDateFromTenor(O1119,"1D","FOLLOWING","TGT")</f>
        <v>44098</v>
      </c>
      <c r="P1120" s="95">
        <f ca="1"/>
        <v>5.6046307017466974E-3</v>
      </c>
      <c r="Q1120" s="5" t="s">
        <v>4</v>
      </c>
      <c r="R1120" s="83" t="s">
        <v>4</v>
      </c>
    </row>
    <row r="1121" spans="1:18" x14ac:dyDescent="0.25">
      <c r="A1121" s="88">
        <v>1107</v>
      </c>
      <c r="B1121" s="82"/>
      <c r="C1121" s="97">
        <f>_xll.meDateFromTenor(C1120,"1D","FOLLOWING","TGT")</f>
        <v>44099</v>
      </c>
      <c r="D1121" s="95">
        <f ca="1"/>
        <v>-3.4178196925371829E-4</v>
      </c>
      <c r="E1121" s="92"/>
      <c r="F1121" s="97">
        <f>_xll.meDateFromTenor(F1120,"1D","FOLLOWING","TGT")</f>
        <v>44099</v>
      </c>
      <c r="G1121" s="95">
        <f ca="1"/>
        <v>5.7734992848810585E-4</v>
      </c>
      <c r="H1121" s="92" t="s">
        <v>4</v>
      </c>
      <c r="I1121" s="97">
        <f>_xll.meDateFromTenor(I1120,"1D","FOLLOWING","TGT")</f>
        <v>44099</v>
      </c>
      <c r="J1121" s="95">
        <f ca="1"/>
        <v>1.743020259853494E-3</v>
      </c>
      <c r="K1121" s="5" t="s">
        <v>4</v>
      </c>
      <c r="L1121" s="97">
        <f>_xll.meDateFromTenor(L1120,"1D","FOLLOWING","TGT")</f>
        <v>44099</v>
      </c>
      <c r="M1121" s="95">
        <f ca="1"/>
        <v>3.6161168290457296E-3</v>
      </c>
      <c r="N1121" s="5" t="s">
        <v>4</v>
      </c>
      <c r="O1121" s="97">
        <f>_xll.meDateFromTenor(O1120,"1D","FOLLOWING","TGT")</f>
        <v>44099</v>
      </c>
      <c r="P1121" s="95">
        <f ca="1"/>
        <v>5.6114678439882467E-3</v>
      </c>
      <c r="Q1121" s="5" t="s">
        <v>4</v>
      </c>
      <c r="R1121" s="83" t="s">
        <v>4</v>
      </c>
    </row>
    <row r="1122" spans="1:18" x14ac:dyDescent="0.25">
      <c r="A1122" s="88">
        <v>1108</v>
      </c>
      <c r="B1122" s="82"/>
      <c r="C1122" s="97">
        <f>_xll.meDateFromTenor(C1121,"1D","FOLLOWING","TGT")</f>
        <v>44102</v>
      </c>
      <c r="D1122" s="95">
        <f ca="1"/>
        <v>-3.1786862431282259E-4</v>
      </c>
      <c r="E1122" s="92"/>
      <c r="F1122" s="97">
        <f>_xll.meDateFromTenor(F1121,"1D","FOLLOWING","TGT")</f>
        <v>44102</v>
      </c>
      <c r="G1122" s="95">
        <f ca="1"/>
        <v>5.984637827677273E-4</v>
      </c>
      <c r="H1122" s="92" t="s">
        <v>4</v>
      </c>
      <c r="I1122" s="97">
        <f>_xll.meDateFromTenor(I1121,"1D","FOLLOWING","TGT")</f>
        <v>44102</v>
      </c>
      <c r="J1122" s="95">
        <f ca="1"/>
        <v>1.7629202338839242E-3</v>
      </c>
      <c r="K1122" s="5" t="s">
        <v>4</v>
      </c>
      <c r="L1122" s="97">
        <f>_xll.meDateFromTenor(L1121,"1D","FOLLOWING","TGT")</f>
        <v>44102</v>
      </c>
      <c r="M1122" s="95">
        <f ca="1"/>
        <v>3.6361237085202314E-3</v>
      </c>
      <c r="N1122" s="5" t="s">
        <v>4</v>
      </c>
      <c r="O1122" s="97">
        <f>_xll.meDateFromTenor(O1121,"1D","FOLLOWING","TGT")</f>
        <v>44102</v>
      </c>
      <c r="P1122" s="95">
        <f ca="1"/>
        <v>5.6320005697981946E-3</v>
      </c>
      <c r="Q1122" s="5" t="s">
        <v>4</v>
      </c>
      <c r="R1122" s="83" t="s">
        <v>4</v>
      </c>
    </row>
    <row r="1123" spans="1:18" x14ac:dyDescent="0.25">
      <c r="A1123" s="88">
        <v>1109</v>
      </c>
      <c r="B1123" s="82"/>
      <c r="C1123" s="97">
        <f>_xll.meDateFromTenor(C1122,"1D","FOLLOWING","TGT")</f>
        <v>44103</v>
      </c>
      <c r="D1123" s="95">
        <f ca="1"/>
        <v>-3.0990715463208307E-4</v>
      </c>
      <c r="E1123" s="92"/>
      <c r="F1123" s="97">
        <f>_xll.meDateFromTenor(F1122,"1D","FOLLOWING","TGT")</f>
        <v>44103</v>
      </c>
      <c r="G1123" s="95">
        <f ca="1"/>
        <v>6.0546798020776245E-4</v>
      </c>
      <c r="H1123" s="92" t="s">
        <v>4</v>
      </c>
      <c r="I1123" s="97">
        <f>_xll.meDateFromTenor(I1122,"1D","FOLLOWING","TGT")</f>
        <v>44103</v>
      </c>
      <c r="J1123" s="95">
        <f ca="1"/>
        <v>1.7695655209410239E-3</v>
      </c>
      <c r="K1123" s="5" t="s">
        <v>4</v>
      </c>
      <c r="L1123" s="97">
        <f>_xll.meDateFromTenor(L1122,"1D","FOLLOWING","TGT")</f>
        <v>44103</v>
      </c>
      <c r="M1123" s="95">
        <f ca="1"/>
        <v>3.6427983895156481E-3</v>
      </c>
      <c r="N1123" s="5" t="s">
        <v>4</v>
      </c>
      <c r="O1123" s="97">
        <f>_xll.meDateFromTenor(O1122,"1D","FOLLOWING","TGT")</f>
        <v>44103</v>
      </c>
      <c r="P1123" s="95">
        <f ca="1"/>
        <v>5.6388518641603026E-3</v>
      </c>
      <c r="Q1123" s="5" t="s">
        <v>4</v>
      </c>
      <c r="R1123" s="83" t="s">
        <v>4</v>
      </c>
    </row>
    <row r="1124" spans="1:18" x14ac:dyDescent="0.25">
      <c r="A1124" s="88">
        <v>1110</v>
      </c>
      <c r="B1124" s="82"/>
      <c r="C1124" s="97">
        <f>_xll.meDateFromTenor(C1123,"1D","FOLLOWING","TGT")</f>
        <v>44104</v>
      </c>
      <c r="D1124" s="95">
        <f ca="1"/>
        <v>-3.0195050698178516E-4</v>
      </c>
      <c r="E1124" s="92"/>
      <c r="F1124" s="97">
        <f>_xll.meDateFromTenor(F1123,"1D","FOLLOWING","TGT")</f>
        <v>44104</v>
      </c>
      <c r="G1124" s="95">
        <f ca="1"/>
        <v>6.1245355502316111E-4</v>
      </c>
      <c r="H1124" s="92" t="s">
        <v>4</v>
      </c>
      <c r="I1124" s="97">
        <f>_xll.meDateFromTenor(I1123,"1D","FOLLOWING","TGT")</f>
        <v>44104</v>
      </c>
      <c r="J1124" s="95">
        <f ca="1"/>
        <v>1.7762168283052739E-3</v>
      </c>
      <c r="K1124" s="5" t="s">
        <v>4</v>
      </c>
      <c r="L1124" s="97">
        <f>_xll.meDateFromTenor(L1123,"1D","FOLLOWING","TGT")</f>
        <v>44104</v>
      </c>
      <c r="M1124" s="95">
        <f ca="1"/>
        <v>3.6494759291863187E-3</v>
      </c>
      <c r="N1124" s="5" t="s">
        <v>4</v>
      </c>
      <c r="O1124" s="97">
        <f>_xll.meDateFromTenor(O1123,"1D","FOLLOWING","TGT")</f>
        <v>44104</v>
      </c>
      <c r="P1124" s="95">
        <f ca="1"/>
        <v>5.6457066611003189E-3</v>
      </c>
      <c r="Q1124" s="5" t="s">
        <v>4</v>
      </c>
      <c r="R1124" s="83" t="s">
        <v>4</v>
      </c>
    </row>
    <row r="1125" spans="1:18" x14ac:dyDescent="0.25">
      <c r="A1125" s="88">
        <v>1111</v>
      </c>
      <c r="B1125" s="82"/>
      <c r="C1125" s="97">
        <f>_xll.meDateFromTenor(C1124,"1D","FOLLOWING","TGT")</f>
        <v>44105</v>
      </c>
      <c r="D1125" s="95">
        <f ca="1"/>
        <v>-2.9399868067891965E-4</v>
      </c>
      <c r="E1125" s="92"/>
      <c r="F1125" s="97">
        <f>_xll.meDateFromTenor(F1124,"1D","FOLLOWING","TGT")</f>
        <v>44105</v>
      </c>
      <c r="G1125" s="95">
        <f ca="1"/>
        <v>6.1941945983509932E-4</v>
      </c>
      <c r="H1125" s="92" t="s">
        <v>4</v>
      </c>
      <c r="I1125" s="97">
        <f>_xll.meDateFromTenor(I1124,"1D","FOLLOWING","TGT")</f>
        <v>44105</v>
      </c>
      <c r="J1125" s="95">
        <f ca="1"/>
        <v>1.7828741794468847E-3</v>
      </c>
      <c r="K1125" s="5" t="s">
        <v>4</v>
      </c>
      <c r="L1125" s="97">
        <f>_xll.meDateFromTenor(L1124,"1D","FOLLOWING","TGT")</f>
        <v>44105</v>
      </c>
      <c r="M1125" s="95">
        <f ca="1"/>
        <v>3.6561563263862269E-3</v>
      </c>
      <c r="N1125" s="5" t="s">
        <v>4</v>
      </c>
      <c r="O1125" s="97">
        <f>_xll.meDateFromTenor(O1124,"1D","FOLLOWING","TGT")</f>
        <v>44105</v>
      </c>
      <c r="P1125" s="95">
        <f ca="1"/>
        <v>5.65256494643735E-3</v>
      </c>
      <c r="Q1125" s="5" t="s">
        <v>4</v>
      </c>
      <c r="R1125" s="83" t="s">
        <v>4</v>
      </c>
    </row>
    <row r="1126" spans="1:18" x14ac:dyDescent="0.25">
      <c r="A1126" s="88">
        <v>1112</v>
      </c>
      <c r="B1126" s="82"/>
      <c r="C1126" s="97">
        <f>_xll.meDateFromTenor(C1125,"1D","FOLLOWING","TGT")</f>
        <v>44106</v>
      </c>
      <c r="D1126" s="95">
        <f ca="1"/>
        <v>-2.8605167551909449E-4</v>
      </c>
      <c r="E1126" s="92"/>
      <c r="F1126" s="97">
        <f>_xll.meDateFromTenor(F1125,"1D","FOLLOWING","TGT")</f>
        <v>44106</v>
      </c>
      <c r="G1126" s="95">
        <f ca="1"/>
        <v>6.2636464726474432E-4</v>
      </c>
      <c r="H1126" s="92" t="s">
        <v>4</v>
      </c>
      <c r="I1126" s="97">
        <f>_xll.meDateFromTenor(I1125,"1D","FOLLOWING","TGT")</f>
        <v>44106</v>
      </c>
      <c r="J1126" s="95">
        <f ca="1"/>
        <v>1.789537597836057E-3</v>
      </c>
      <c r="K1126" s="5" t="s">
        <v>4</v>
      </c>
      <c r="L1126" s="97">
        <f>_xll.meDateFromTenor(L1125,"1D","FOLLOWING","TGT")</f>
        <v>44106</v>
      </c>
      <c r="M1126" s="95">
        <f ca="1"/>
        <v>3.6628395799693475E-3</v>
      </c>
      <c r="N1126" s="5" t="s">
        <v>4</v>
      </c>
      <c r="O1126" s="97">
        <f>_xll.meDateFromTenor(O1125,"1D","FOLLOWING","TGT")</f>
        <v>44106</v>
      </c>
      <c r="P1126" s="95">
        <f ca="1"/>
        <v>5.6594267059905017E-3</v>
      </c>
      <c r="Q1126" s="5" t="s">
        <v>4</v>
      </c>
      <c r="R1126" s="83" t="s">
        <v>4</v>
      </c>
    </row>
    <row r="1127" spans="1:18" x14ac:dyDescent="0.25">
      <c r="A1127" s="88">
        <v>1113</v>
      </c>
      <c r="B1127" s="82"/>
      <c r="C1127" s="97">
        <f>_xll.meDateFromTenor(C1126,"1D","FOLLOWING","TGT")</f>
        <v>44109</v>
      </c>
      <c r="D1127" s="95">
        <f ca="1"/>
        <v>-2.6223958242244105E-4</v>
      </c>
      <c r="E1127" s="92"/>
      <c r="F1127" s="97">
        <f>_xll.meDateFromTenor(F1126,"1D","FOLLOWING","TGT")</f>
        <v>44109</v>
      </c>
      <c r="G1127" s="95">
        <f ca="1"/>
        <v>6.4707943084686844E-4</v>
      </c>
      <c r="H1127" s="92" t="s">
        <v>4</v>
      </c>
      <c r="I1127" s="97">
        <f>_xll.meDateFromTenor(I1126,"1D","FOLLOWING","TGT")</f>
        <v>44109</v>
      </c>
      <c r="J1127" s="95">
        <f ca="1"/>
        <v>1.809564491191015E-3</v>
      </c>
      <c r="K1127" s="5" t="s">
        <v>4</v>
      </c>
      <c r="L1127" s="97">
        <f>_xll.meDateFromTenor(L1126,"1D","FOLLOWING","TGT")</f>
        <v>44109</v>
      </c>
      <c r="M1127" s="95">
        <f ca="1"/>
        <v>3.6829064675577886E-3</v>
      </c>
      <c r="N1127" s="5" t="s">
        <v>4</v>
      </c>
      <c r="O1127" s="97">
        <f>_xll.meDateFromTenor(O1126,"1D","FOLLOWING","TGT")</f>
        <v>44109</v>
      </c>
      <c r="P1127" s="95">
        <f ca="1"/>
        <v>5.6800326881377575E-3</v>
      </c>
      <c r="Q1127" s="5" t="s">
        <v>4</v>
      </c>
      <c r="R1127" s="83" t="s">
        <v>4</v>
      </c>
    </row>
    <row r="1128" spans="1:18" x14ac:dyDescent="0.25">
      <c r="A1128" s="88">
        <v>1114</v>
      </c>
      <c r="B1128" s="82"/>
      <c r="C1128" s="97">
        <f>_xll.meDateFromTenor(C1127,"1D","FOLLOWING","TGT")</f>
        <v>44110</v>
      </c>
      <c r="D1128" s="95">
        <f ca="1"/>
        <v>-2.5431185731772388E-4</v>
      </c>
      <c r="E1128" s="92"/>
      <c r="F1128" s="97">
        <f>_xll.meDateFromTenor(F1127,"1D","FOLLOWING","TGT")</f>
        <v>44110</v>
      </c>
      <c r="G1128" s="95">
        <f ca="1"/>
        <v>6.539504592880679E-4</v>
      </c>
      <c r="H1128" s="92" t="s">
        <v>4</v>
      </c>
      <c r="I1128" s="97">
        <f>_xll.meDateFromTenor(I1127,"1D","FOLLOWING","TGT")</f>
        <v>44110</v>
      </c>
      <c r="J1128" s="95">
        <f ca="1"/>
        <v>1.8162524132725E-3</v>
      </c>
      <c r="K1128" s="5" t="s">
        <v>4</v>
      </c>
      <c r="L1128" s="97">
        <f>_xll.meDateFromTenor(L1127,"1D","FOLLOWING","TGT")</f>
        <v>44110</v>
      </c>
      <c r="M1128" s="95">
        <f ca="1"/>
        <v>3.6896011352135615E-3</v>
      </c>
      <c r="N1128" s="5" t="s">
        <v>4</v>
      </c>
      <c r="O1128" s="97">
        <f>_xll.meDateFromTenor(O1127,"1D","FOLLOWING","TGT")</f>
        <v>44110</v>
      </c>
      <c r="P1128" s="95">
        <f ca="1"/>
        <v>5.6869082027464673E-3</v>
      </c>
      <c r="Q1128" s="5" t="s">
        <v>4</v>
      </c>
      <c r="R1128" s="83" t="s">
        <v>4</v>
      </c>
    </row>
    <row r="1129" spans="1:18" x14ac:dyDescent="0.25">
      <c r="A1129" s="88">
        <v>1115</v>
      </c>
      <c r="B1129" s="82"/>
      <c r="C1129" s="97">
        <f>_xll.meDateFromTenor(C1128,"1D","FOLLOWING","TGT")</f>
        <v>44111</v>
      </c>
      <c r="D1129" s="95">
        <f ca="1"/>
        <v>-2.4638895133688443E-4</v>
      </c>
      <c r="E1129" s="92"/>
      <c r="F1129" s="97">
        <f>_xll.meDateFromTenor(F1128,"1D","FOLLOWING","TGT")</f>
        <v>44111</v>
      </c>
      <c r="G1129" s="95">
        <f ca="1"/>
        <v>6.6080797734191336E-4</v>
      </c>
      <c r="H1129" s="92" t="s">
        <v>4</v>
      </c>
      <c r="I1129" s="97">
        <f>_xll.meDateFromTenor(I1128,"1D","FOLLOWING","TGT")</f>
        <v>44111</v>
      </c>
      <c r="J1129" s="95">
        <f ca="1"/>
        <v>1.8229465199525747E-3</v>
      </c>
      <c r="K1129" s="5" t="s">
        <v>4</v>
      </c>
      <c r="L1129" s="97">
        <f>_xll.meDateFromTenor(L1128,"1D","FOLLOWING","TGT")</f>
        <v>44111</v>
      </c>
      <c r="M1129" s="95">
        <f ca="1"/>
        <v>3.6962986535224425E-3</v>
      </c>
      <c r="N1129" s="5" t="s">
        <v>4</v>
      </c>
      <c r="O1129" s="97">
        <f>_xll.meDateFromTenor(O1128,"1D","FOLLOWING","TGT")</f>
        <v>44111</v>
      </c>
      <c r="P1129" s="95">
        <f ca="1"/>
        <v>5.6937871206668321E-3</v>
      </c>
      <c r="Q1129" s="5" t="s">
        <v>4</v>
      </c>
      <c r="R1129" s="83" t="s">
        <v>4</v>
      </c>
    </row>
    <row r="1130" spans="1:18" x14ac:dyDescent="0.25">
      <c r="A1130" s="88">
        <v>1116</v>
      </c>
      <c r="B1130" s="82"/>
      <c r="C1130" s="97">
        <f>_xll.meDateFromTenor(C1129,"1D","FOLLOWING","TGT")</f>
        <v>44112</v>
      </c>
      <c r="D1130" s="95">
        <f ca="1"/>
        <v>-2.384708637953592E-4</v>
      </c>
      <c r="E1130" s="92"/>
      <c r="F1130" s="97">
        <f>_xll.meDateFromTenor(F1129,"1D","FOLLOWING","TGT")</f>
        <v>44112</v>
      </c>
      <c r="G1130" s="95">
        <f ca="1"/>
        <v>6.676540486018483E-4</v>
      </c>
      <c r="H1130" s="92" t="s">
        <v>4</v>
      </c>
      <c r="I1130" s="97">
        <f>_xll.meDateFromTenor(I1129,"1D","FOLLOWING","TGT")</f>
        <v>44112</v>
      </c>
      <c r="J1130" s="95">
        <f ca="1"/>
        <v>1.8296468347014461E-3</v>
      </c>
      <c r="K1130" s="5" t="s">
        <v>4</v>
      </c>
      <c r="L1130" s="97">
        <f>_xll.meDateFromTenor(L1129,"1D","FOLLOWING","TGT")</f>
        <v>44112</v>
      </c>
      <c r="M1130" s="95">
        <f ca="1"/>
        <v>3.7029990213384126E-3</v>
      </c>
      <c r="N1130" s="5" t="s">
        <v>4</v>
      </c>
      <c r="O1130" s="97">
        <f>_xll.meDateFromTenor(O1129,"1D","FOLLOWING","TGT")</f>
        <v>44112</v>
      </c>
      <c r="P1130" s="95">
        <f ca="1"/>
        <v>5.7006694277179594E-3</v>
      </c>
      <c r="Q1130" s="5" t="s">
        <v>4</v>
      </c>
      <c r="R1130" s="83" t="s">
        <v>4</v>
      </c>
    </row>
    <row r="1131" spans="1:18" x14ac:dyDescent="0.25">
      <c r="A1131" s="88">
        <v>1117</v>
      </c>
      <c r="B1131" s="82"/>
      <c r="C1131" s="97">
        <f>_xll.meDateFromTenor(C1130,"1D","FOLLOWING","TGT")</f>
        <v>44113</v>
      </c>
      <c r="D1131" s="95">
        <f ca="1"/>
        <v>-2.3055759444923218E-4</v>
      </c>
      <c r="E1131" s="92"/>
      <c r="F1131" s="97">
        <f>_xll.meDateFromTenor(F1130,"1D","FOLLOWING","TGT")</f>
        <v>44113</v>
      </c>
      <c r="G1131" s="95">
        <f ca="1"/>
        <v>6.7449073666131726E-4</v>
      </c>
      <c r="H1131" s="92" t="s">
        <v>4</v>
      </c>
      <c r="I1131" s="97">
        <f>_xll.meDateFromTenor(I1130,"1D","FOLLOWING","TGT")</f>
        <v>44113</v>
      </c>
      <c r="J1131" s="95">
        <f ca="1"/>
        <v>1.8363533809893221E-3</v>
      </c>
      <c r="K1131" s="5" t="s">
        <v>4</v>
      </c>
      <c r="L1131" s="97">
        <f>_xll.meDateFromTenor(L1130,"1D","FOLLOWING","TGT")</f>
        <v>44113</v>
      </c>
      <c r="M1131" s="95">
        <f ca="1"/>
        <v>3.7097022375154553E-3</v>
      </c>
      <c r="N1131" s="5" t="s">
        <v>4</v>
      </c>
      <c r="O1131" s="97">
        <f>_xll.meDateFromTenor(O1130,"1D","FOLLOWING","TGT")</f>
        <v>44113</v>
      </c>
      <c r="P1131" s="95">
        <f ca="1"/>
        <v>5.7075551097189601E-3</v>
      </c>
      <c r="Q1131" s="5" t="s">
        <v>4</v>
      </c>
      <c r="R1131" s="83" t="s">
        <v>4</v>
      </c>
    </row>
    <row r="1132" spans="1:18" x14ac:dyDescent="0.25">
      <c r="A1132" s="88">
        <v>1118</v>
      </c>
      <c r="B1132" s="82"/>
      <c r="C1132" s="97">
        <f>_xll.meDateFromTenor(C1131,"1D","FOLLOWING","TGT")</f>
        <v>44116</v>
      </c>
      <c r="D1132" s="95">
        <f ca="1"/>
        <v>-2.0684669073778306E-4</v>
      </c>
      <c r="E1132" s="92"/>
      <c r="F1132" s="97">
        <f>_xll.meDateFromTenor(F1131,"1D","FOLLOWING","TGT")</f>
        <v>44116</v>
      </c>
      <c r="G1132" s="95">
        <f ca="1"/>
        <v>6.9496513757132756E-4</v>
      </c>
      <c r="H1132" s="92" t="s">
        <v>4</v>
      </c>
      <c r="I1132" s="97">
        <f>_xll.meDateFromTenor(I1131,"1D","FOLLOWING","TGT")</f>
        <v>44116</v>
      </c>
      <c r="J1132" s="95">
        <f ca="1"/>
        <v>1.8565106437890165E-3</v>
      </c>
      <c r="K1132" s="5" t="s">
        <v>4</v>
      </c>
      <c r="L1132" s="97">
        <f>_xll.meDateFromTenor(L1131,"1D","FOLLOWING","TGT")</f>
        <v>44116</v>
      </c>
      <c r="M1132" s="95">
        <f ca="1"/>
        <v>3.7298289647527839E-3</v>
      </c>
      <c r="N1132" s="5" t="s">
        <v>4</v>
      </c>
      <c r="O1132" s="97">
        <f>_xll.meDateFromTenor(O1131,"1D","FOLLOWING","TGT")</f>
        <v>44116</v>
      </c>
      <c r="P1132" s="95">
        <f ca="1"/>
        <v>5.7282322636122507E-3</v>
      </c>
      <c r="Q1132" s="5" t="s">
        <v>4</v>
      </c>
      <c r="R1132" s="83" t="s">
        <v>4</v>
      </c>
    </row>
    <row r="1133" spans="1:18" x14ac:dyDescent="0.25">
      <c r="A1133" s="88">
        <v>1119</v>
      </c>
      <c r="B1133" s="82"/>
      <c r="C1133" s="97">
        <f>_xll.meDateFromTenor(C1132,"1D","FOLLOWING","TGT")</f>
        <v>44117</v>
      </c>
      <c r="D1133" s="95">
        <f ca="1"/>
        <v>-1.9895268972791591E-4</v>
      </c>
      <c r="E1133" s="92"/>
      <c r="F1133" s="97">
        <f>_xll.meDateFromTenor(F1132,"1D","FOLLOWING","TGT")</f>
        <v>44117</v>
      </c>
      <c r="G1133" s="95">
        <f ca="1"/>
        <v>7.0178492876333913E-4</v>
      </c>
      <c r="H1133" s="92" t="s">
        <v>4</v>
      </c>
      <c r="I1133" s="97">
        <f>_xll.meDateFromTenor(I1132,"1D","FOLLOWING","TGT")</f>
        <v>44117</v>
      </c>
      <c r="J1133" s="95">
        <f ca="1"/>
        <v>1.8632423509349556E-3</v>
      </c>
      <c r="K1133" s="5" t="s">
        <v>4</v>
      </c>
      <c r="L1133" s="97">
        <f>_xll.meDateFromTenor(L1132,"1D","FOLLOWING","TGT")</f>
        <v>44117</v>
      </c>
      <c r="M1133" s="95">
        <f ca="1"/>
        <v>3.7365435629138923E-3</v>
      </c>
      <c r="N1133" s="5" t="s">
        <v>4</v>
      </c>
      <c r="O1133" s="97">
        <f>_xll.meDateFromTenor(O1132,"1D","FOLLOWING","TGT")</f>
        <v>44117</v>
      </c>
      <c r="P1133" s="95">
        <f ca="1"/>
        <v>5.7351313036038019E-3</v>
      </c>
      <c r="Q1133" s="5" t="s">
        <v>4</v>
      </c>
      <c r="R1133" s="83" t="s">
        <v>4</v>
      </c>
    </row>
    <row r="1134" spans="1:18" x14ac:dyDescent="0.25">
      <c r="A1134" s="88">
        <v>1120</v>
      </c>
      <c r="B1134" s="82"/>
      <c r="C1134" s="97">
        <f>_xll.meDateFromTenor(C1133,"1D","FOLLOWING","TGT")</f>
        <v>44118</v>
      </c>
      <c r="D1134" s="95">
        <f ca="1"/>
        <v>-1.9106350465047939E-4</v>
      </c>
      <c r="E1134" s="92"/>
      <c r="F1134" s="97">
        <f>_xll.meDateFromTenor(F1133,"1D","FOLLOWING","TGT")</f>
        <v>44118</v>
      </c>
      <c r="G1134" s="95">
        <f ca="1"/>
        <v>7.0860565472209117E-4</v>
      </c>
      <c r="H1134" s="92" t="s">
        <v>4</v>
      </c>
      <c r="I1134" s="97">
        <f>_xll.meDateFromTenor(I1133,"1D","FOLLOWING","TGT")</f>
        <v>44118</v>
      </c>
      <c r="J1134" s="95">
        <f ca="1"/>
        <v>1.8699804069709244E-3</v>
      </c>
      <c r="K1134" s="5" t="s">
        <v>4</v>
      </c>
      <c r="L1134" s="97">
        <f>_xll.meDateFromTenor(L1133,"1D","FOLLOWING","TGT")</f>
        <v>44118</v>
      </c>
      <c r="M1134" s="95">
        <f ca="1"/>
        <v>3.7432610037059669E-3</v>
      </c>
      <c r="N1134" s="5" t="s">
        <v>4</v>
      </c>
      <c r="O1134" s="97">
        <f>_xll.meDateFromTenor(O1133,"1D","FOLLOWING","TGT")</f>
        <v>44118</v>
      </c>
      <c r="P1134" s="95">
        <f ca="1"/>
        <v>5.7420336476407575E-3</v>
      </c>
      <c r="Q1134" s="5" t="s">
        <v>4</v>
      </c>
      <c r="R1134" s="83" t="s">
        <v>4</v>
      </c>
    </row>
    <row r="1135" spans="1:18" x14ac:dyDescent="0.25">
      <c r="A1135" s="88">
        <v>1121</v>
      </c>
      <c r="B1135" s="82"/>
      <c r="C1135" s="97">
        <f>_xll.meDateFromTenor(C1134,"1D","FOLLOWING","TGT")</f>
        <v>44119</v>
      </c>
      <c r="D1135" s="95">
        <f ca="1"/>
        <v>-1.8317913518073325E-4</v>
      </c>
      <c r="E1135" s="92"/>
      <c r="F1135" s="97">
        <f>_xll.meDateFromTenor(F1134,"1D","FOLLOWING","TGT")</f>
        <v>44119</v>
      </c>
      <c r="G1135" s="95">
        <f ca="1"/>
        <v>7.1542937904102812E-4</v>
      </c>
      <c r="H1135" s="92" t="s">
        <v>4</v>
      </c>
      <c r="I1135" s="97">
        <f>_xll.meDateFromTenor(I1134,"1D","FOLLOWING","TGT")</f>
        <v>44119</v>
      </c>
      <c r="J1135" s="95">
        <f ca="1"/>
        <v>1.8767248353671313E-3</v>
      </c>
      <c r="K1135" s="5" t="s">
        <v>4</v>
      </c>
      <c r="L1135" s="97">
        <f>_xll.meDateFromTenor(L1134,"1D","FOLLOWING","TGT")</f>
        <v>44119</v>
      </c>
      <c r="M1135" s="95">
        <f ca="1"/>
        <v>3.7499812859829876E-3</v>
      </c>
      <c r="N1135" s="5" t="s">
        <v>4</v>
      </c>
      <c r="O1135" s="97">
        <f>_xll.meDateFromTenor(O1134,"1D","FOLLOWING","TGT")</f>
        <v>44119</v>
      </c>
      <c r="P1135" s="95">
        <f ca="1"/>
        <v>5.7489392815422286E-3</v>
      </c>
      <c r="Q1135" s="5" t="s">
        <v>4</v>
      </c>
      <c r="R1135" s="83" t="s">
        <v>4</v>
      </c>
    </row>
    <row r="1136" spans="1:18" x14ac:dyDescent="0.25">
      <c r="A1136" s="88">
        <v>1122</v>
      </c>
      <c r="B1136" s="82"/>
      <c r="C1136" s="97">
        <f>_xll.meDateFromTenor(C1135,"1D","FOLLOWING","TGT")</f>
        <v>44120</v>
      </c>
      <c r="D1136" s="95">
        <f ca="1"/>
        <v>-1.7529958107354027E-4</v>
      </c>
      <c r="E1136" s="92"/>
      <c r="F1136" s="97">
        <f>_xll.meDateFromTenor(F1135,"1D","FOLLOWING","TGT")</f>
        <v>44120</v>
      </c>
      <c r="G1136" s="95">
        <f ca="1"/>
        <v>7.2225816531358686E-4</v>
      </c>
      <c r="H1136" s="92" t="s">
        <v>4</v>
      </c>
      <c r="I1136" s="97">
        <f>_xll.meDateFromTenor(I1135,"1D","FOLLOWING","TGT")</f>
        <v>44120</v>
      </c>
      <c r="J1136" s="95">
        <f ca="1"/>
        <v>1.8834756595937771E-3</v>
      </c>
      <c r="K1136" s="5" t="s">
        <v>4</v>
      </c>
      <c r="L1136" s="97">
        <f>_xll.meDateFromTenor(L1135,"1D","FOLLOWING","TGT")</f>
        <v>44120</v>
      </c>
      <c r="M1136" s="95">
        <f ca="1"/>
        <v>3.7567044085989299E-3</v>
      </c>
      <c r="N1136" s="5" t="s">
        <v>4</v>
      </c>
      <c r="O1136" s="97">
        <f>_xll.meDateFromTenor(O1135,"1D","FOLLOWING","TGT")</f>
        <v>44120</v>
      </c>
      <c r="P1136" s="95">
        <f ca="1"/>
        <v>5.7558481911273154E-3</v>
      </c>
      <c r="Q1136" s="5" t="s">
        <v>4</v>
      </c>
      <c r="R1136" s="83" t="s">
        <v>4</v>
      </c>
    </row>
    <row r="1137" spans="1:18" x14ac:dyDescent="0.25">
      <c r="A1137" s="88">
        <v>1123</v>
      </c>
      <c r="B1137" s="82"/>
      <c r="C1137" s="97">
        <f>_xll.meDateFromTenor(C1136,"1D","FOLLOWING","TGT")</f>
        <v>44123</v>
      </c>
      <c r="D1137" s="95">
        <f ca="1"/>
        <v>-1.5168980555890776E-4</v>
      </c>
      <c r="E1137" s="92"/>
      <c r="F1137" s="97">
        <f>_xll.meDateFromTenor(F1136,"1D","FOLLOWING","TGT")</f>
        <v>44123</v>
      </c>
      <c r="G1137" s="95">
        <f ca="1"/>
        <v>7.4279553178743026E-4</v>
      </c>
      <c r="H1137" s="92" t="s">
        <v>4</v>
      </c>
      <c r="I1137" s="97">
        <f>_xll.meDateFromTenor(I1136,"1D","FOLLOWING","TGT")</f>
        <v>44123</v>
      </c>
      <c r="J1137" s="95">
        <f ca="1"/>
        <v>1.903766741958418E-3</v>
      </c>
      <c r="K1137" s="5" t="s">
        <v>4</v>
      </c>
      <c r="L1137" s="97">
        <f>_xll.meDateFromTenor(L1136,"1D","FOLLOWING","TGT")</f>
        <v>44123</v>
      </c>
      <c r="M1137" s="95">
        <f ca="1"/>
        <v>3.7768908070200946E-3</v>
      </c>
      <c r="N1137" s="5" t="s">
        <v>4</v>
      </c>
      <c r="O1137" s="97">
        <f>_xll.meDateFromTenor(O1136,"1D","FOLLOWING","TGT")</f>
        <v>44123</v>
      </c>
      <c r="P1137" s="95">
        <f ca="1"/>
        <v>5.7765944321753688E-3</v>
      </c>
      <c r="Q1137" s="5" t="s">
        <v>4</v>
      </c>
      <c r="R1137" s="83" t="s">
        <v>4</v>
      </c>
    </row>
    <row r="1138" spans="1:18" x14ac:dyDescent="0.25">
      <c r="A1138" s="88">
        <v>1124</v>
      </c>
      <c r="B1138" s="82"/>
      <c r="C1138" s="97">
        <f>_xll.meDateFromTenor(C1137,"1D","FOLLOWING","TGT")</f>
        <v>44124</v>
      </c>
      <c r="D1138" s="95">
        <f ca="1"/>
        <v>-1.438295081321872E-4</v>
      </c>
      <c r="E1138" s="92"/>
      <c r="F1138" s="97">
        <f>_xll.meDateFromTenor(F1137,"1D","FOLLOWING","TGT")</f>
        <v>44124</v>
      </c>
      <c r="G1138" s="95">
        <f ca="1"/>
        <v>7.4966520180890688E-4</v>
      </c>
      <c r="H1138" s="92" t="s">
        <v>4</v>
      </c>
      <c r="I1138" s="97">
        <f>_xll.meDateFromTenor(I1137,"1D","FOLLOWING","TGT")</f>
        <v>44124</v>
      </c>
      <c r="J1138" s="95">
        <f ca="1"/>
        <v>1.9105433842088856E-3</v>
      </c>
      <c r="K1138" s="5" t="s">
        <v>4</v>
      </c>
      <c r="L1138" s="97">
        <f>_xll.meDateFromTenor(L1137,"1D","FOLLOWING","TGT")</f>
        <v>44124</v>
      </c>
      <c r="M1138" s="95">
        <f ca="1"/>
        <v>3.7836252795315269E-3</v>
      </c>
      <c r="N1138" s="5" t="s">
        <v>4</v>
      </c>
      <c r="O1138" s="97">
        <f>_xll.meDateFromTenor(O1137,"1D","FOLLOWING","TGT")</f>
        <v>44124</v>
      </c>
      <c r="P1138" s="95">
        <f ca="1"/>
        <v>5.7835163026860072E-3</v>
      </c>
      <c r="Q1138" s="5" t="s">
        <v>4</v>
      </c>
      <c r="R1138" s="83" t="s">
        <v>4</v>
      </c>
    </row>
    <row r="1139" spans="1:18" x14ac:dyDescent="0.25">
      <c r="A1139" s="88">
        <v>1125</v>
      </c>
      <c r="B1139" s="82"/>
      <c r="C1139" s="97">
        <f>_xll.meDateFromTenor(C1138,"1D","FOLLOWING","TGT")</f>
        <v>44125</v>
      </c>
      <c r="D1139" s="95">
        <f ca="1"/>
        <v>-1.3597402372256262E-4</v>
      </c>
      <c r="E1139" s="92"/>
      <c r="F1139" s="97">
        <f>_xll.meDateFromTenor(F1138,"1D","FOLLOWING","TGT")</f>
        <v>44125</v>
      </c>
      <c r="G1139" s="95">
        <f ca="1"/>
        <v>7.5655025175121475E-4</v>
      </c>
      <c r="H1139" s="92" t="s">
        <v>4</v>
      </c>
      <c r="I1139" s="97">
        <f>_xll.meDateFromTenor(I1138,"1D","FOLLOWING","TGT")</f>
        <v>44125</v>
      </c>
      <c r="J1139" s="95">
        <f ca="1"/>
        <v>1.9173265396408195E-3</v>
      </c>
      <c r="K1139" s="5" t="s">
        <v>4</v>
      </c>
      <c r="L1139" s="97">
        <f>_xll.meDateFromTenor(L1138,"1D","FOLLOWING","TGT")</f>
        <v>44125</v>
      </c>
      <c r="M1139" s="95">
        <f ca="1"/>
        <v>3.7903625866517773E-3</v>
      </c>
      <c r="N1139" s="5" t="s">
        <v>4</v>
      </c>
      <c r="O1139" s="97">
        <f>_xll.meDateFromTenor(O1138,"1D","FOLLOWING","TGT")</f>
        <v>44125</v>
      </c>
      <c r="P1139" s="95">
        <f ca="1"/>
        <v>5.7904413779757968E-3</v>
      </c>
      <c r="Q1139" s="5" t="s">
        <v>4</v>
      </c>
      <c r="R1139" s="83" t="s">
        <v>4</v>
      </c>
    </row>
    <row r="1140" spans="1:18" x14ac:dyDescent="0.25">
      <c r="A1140" s="88">
        <v>1126</v>
      </c>
      <c r="B1140" s="82"/>
      <c r="C1140" s="97">
        <f>_xll.meDateFromTenor(C1139,"1D","FOLLOWING","TGT")</f>
        <v>44126</v>
      </c>
      <c r="D1140" s="95">
        <f ca="1"/>
        <v>-1.2812335232414984E-4</v>
      </c>
      <c r="E1140" s="92"/>
      <c r="F1140" s="97">
        <f>_xll.meDateFromTenor(F1139,"1D","FOLLOWING","TGT")</f>
        <v>44126</v>
      </c>
      <c r="G1140" s="95">
        <f ca="1"/>
        <v>7.6345274520780017E-4</v>
      </c>
      <c r="H1140" s="92" t="s">
        <v>4</v>
      </c>
      <c r="I1140" s="97">
        <f>_xll.meDateFromTenor(I1139,"1D","FOLLOWING","TGT")</f>
        <v>44126</v>
      </c>
      <c r="J1140" s="95">
        <f ca="1"/>
        <v>1.92411623172443E-3</v>
      </c>
      <c r="K1140" s="5" t="s">
        <v>4</v>
      </c>
      <c r="L1140" s="97">
        <f>_xll.meDateFromTenor(L1139,"1D","FOLLOWING","TGT")</f>
        <v>44126</v>
      </c>
      <c r="M1140" s="95">
        <f ca="1"/>
        <v>3.7971027272348293E-3</v>
      </c>
      <c r="N1140" s="5" t="s">
        <v>4</v>
      </c>
      <c r="O1140" s="97">
        <f>_xll.meDateFromTenor(O1139,"1D","FOLLOWING","TGT")</f>
        <v>44126</v>
      </c>
      <c r="P1140" s="95">
        <f ca="1"/>
        <v>5.7973696438638504E-3</v>
      </c>
      <c r="Q1140" s="5" t="s">
        <v>4</v>
      </c>
      <c r="R1140" s="83" t="s">
        <v>4</v>
      </c>
    </row>
    <row r="1141" spans="1:18" x14ac:dyDescent="0.25">
      <c r="A1141" s="88">
        <v>1127</v>
      </c>
      <c r="B1141" s="82"/>
      <c r="C1141" s="97">
        <f>_xll.meDateFromTenor(C1140,"1D","FOLLOWING","TGT")</f>
        <v>44127</v>
      </c>
      <c r="D1141" s="95">
        <f ca="1"/>
        <v>-1.2027749293230805E-4</v>
      </c>
      <c r="E1141" s="92"/>
      <c r="F1141" s="97">
        <f>_xll.meDateFromTenor(F1140,"1D","FOLLOWING","TGT")</f>
        <v>44127</v>
      </c>
      <c r="G1141" s="95">
        <f ca="1"/>
        <v>7.7037474577210021E-4</v>
      </c>
      <c r="H1141" s="92" t="s">
        <v>4</v>
      </c>
      <c r="I1141" s="97">
        <f>_xll.meDateFromTenor(I1140,"1D","FOLLOWING","TGT")</f>
        <v>44127</v>
      </c>
      <c r="J1141" s="95">
        <f ca="1"/>
        <v>1.9309124839299177E-3</v>
      </c>
      <c r="K1141" s="5" t="s">
        <v>4</v>
      </c>
      <c r="L1141" s="97">
        <f>_xll.meDateFromTenor(L1140,"1D","FOLLOWING","TGT")</f>
        <v>44127</v>
      </c>
      <c r="M1141" s="95">
        <f ca="1"/>
        <v>3.803845700134657E-3</v>
      </c>
      <c r="N1141" s="5" t="s">
        <v>4</v>
      </c>
      <c r="O1141" s="97">
        <f>_xll.meDateFromTenor(O1140,"1D","FOLLOWING","TGT")</f>
        <v>44127</v>
      </c>
      <c r="P1141" s="95">
        <f ca="1"/>
        <v>5.8043010861692709E-3</v>
      </c>
      <c r="Q1141" s="5" t="s">
        <v>4</v>
      </c>
      <c r="R1141" s="83" t="s">
        <v>4</v>
      </c>
    </row>
    <row r="1142" spans="1:18" x14ac:dyDescent="0.25">
      <c r="A1142" s="88">
        <v>1128</v>
      </c>
      <c r="B1142" s="82"/>
      <c r="C1142" s="97">
        <f>_xll.meDateFromTenor(C1141,"1D","FOLLOWING","TGT")</f>
        <v>44130</v>
      </c>
      <c r="D1142" s="95">
        <f ca="1"/>
        <v>-9.6768785375789257E-5</v>
      </c>
      <c r="E1142" s="92"/>
      <c r="F1142" s="97">
        <f>_xll.meDateFromTenor(F1141,"1D","FOLLOWING","TGT")</f>
        <v>44130</v>
      </c>
      <c r="G1142" s="95">
        <f ca="1"/>
        <v>7.912784260457233E-4</v>
      </c>
      <c r="H1142" s="92" t="s">
        <v>4</v>
      </c>
      <c r="I1142" s="97">
        <f>_xll.meDateFromTenor(I1141,"1D","FOLLOWING","TGT")</f>
        <v>44130</v>
      </c>
      <c r="J1142" s="95">
        <f ca="1"/>
        <v>1.9513408359797166E-3</v>
      </c>
      <c r="K1142" s="5" t="s">
        <v>4</v>
      </c>
      <c r="L1142" s="97">
        <f>_xll.meDateFromTenor(L1141,"1D","FOLLOWING","TGT")</f>
        <v>44130</v>
      </c>
      <c r="M1142" s="95">
        <f ca="1"/>
        <v>3.8240916012746069E-3</v>
      </c>
      <c r="N1142" s="5" t="s">
        <v>4</v>
      </c>
      <c r="O1142" s="97">
        <f>_xll.meDateFromTenor(O1141,"1D","FOLLOWING","TGT")</f>
        <v>44130</v>
      </c>
      <c r="P1142" s="95">
        <f ca="1"/>
        <v>5.8251143297808122E-3</v>
      </c>
      <c r="Q1142" s="5" t="s">
        <v>4</v>
      </c>
      <c r="R1142" s="83" t="s">
        <v>4</v>
      </c>
    </row>
    <row r="1143" spans="1:18" x14ac:dyDescent="0.25">
      <c r="A1143" s="88">
        <v>1129</v>
      </c>
      <c r="B1143" s="82"/>
      <c r="C1143" s="97">
        <f>_xll.meDateFromTenor(C1142,"1D","FOLLOWING","TGT")</f>
        <v>44131</v>
      </c>
      <c r="D1143" s="95">
        <f ca="1"/>
        <v>-8.894217155097639E-5</v>
      </c>
      <c r="E1143" s="92"/>
      <c r="F1143" s="97">
        <f>_xll.meDateFromTenor(F1142,"1D","FOLLOWING","TGT")</f>
        <v>44131</v>
      </c>
      <c r="G1143" s="95">
        <f ca="1"/>
        <v>7.9829909097530946E-4</v>
      </c>
      <c r="H1143" s="92" t="s">
        <v>4</v>
      </c>
      <c r="I1143" s="97">
        <f>_xll.meDateFromTenor(I1142,"1D","FOLLOWING","TGT")</f>
        <v>44131</v>
      </c>
      <c r="J1143" s="95">
        <f ca="1"/>
        <v>1.9581635633747784E-3</v>
      </c>
      <c r="K1143" s="5" t="s">
        <v>4</v>
      </c>
      <c r="L1143" s="97">
        <f>_xll.meDateFromTenor(L1142,"1D","FOLLOWING","TGT")</f>
        <v>44131</v>
      </c>
      <c r="M1143" s="95">
        <f ca="1"/>
        <v>3.8308458919813415E-3</v>
      </c>
      <c r="N1143" s="5" t="s">
        <v>4</v>
      </c>
      <c r="O1143" s="97">
        <f>_xll.meDateFromTenor(O1142,"1D","FOLLOWING","TGT")</f>
        <v>44131</v>
      </c>
      <c r="P1143" s="95">
        <f ca="1"/>
        <v>5.8320583359467767E-3</v>
      </c>
      <c r="Q1143" s="5" t="s">
        <v>4</v>
      </c>
      <c r="R1143" s="83" t="s">
        <v>4</v>
      </c>
    </row>
    <row r="1144" spans="1:18" x14ac:dyDescent="0.25">
      <c r="A1144" s="88">
        <v>1130</v>
      </c>
      <c r="B1144" s="82"/>
      <c r="C1144" s="97">
        <f>_xll.meDateFromTenor(C1143,"1D","FOLLOWING","TGT")</f>
        <v>44132</v>
      </c>
      <c r="D1144" s="95">
        <f ca="1"/>
        <v>-8.1120367983467112E-5</v>
      </c>
      <c r="E1144" s="92"/>
      <c r="F1144" s="97">
        <f>_xll.meDateFromTenor(F1143,"1D","FOLLOWING","TGT")</f>
        <v>44132</v>
      </c>
      <c r="G1144" s="95">
        <f ca="1"/>
        <v>8.0534958097982438E-4</v>
      </c>
      <c r="H1144" s="92" t="s">
        <v>4</v>
      </c>
      <c r="I1144" s="97">
        <f>_xll.meDateFromTenor(I1143,"1D","FOLLOWING","TGT")</f>
        <v>44132</v>
      </c>
      <c r="J1144" s="95">
        <f ca="1"/>
        <v>1.9649929682427499E-3</v>
      </c>
      <c r="K1144" s="5" t="s">
        <v>4</v>
      </c>
      <c r="L1144" s="97">
        <f>_xll.meDateFromTenor(L1143,"1D","FOLLOWING","TGT")</f>
        <v>44132</v>
      </c>
      <c r="M1144" s="95">
        <f ca="1"/>
        <v>3.8376030092747526E-3</v>
      </c>
      <c r="N1144" s="5" t="s">
        <v>4</v>
      </c>
      <c r="O1144" s="97">
        <f>_xll.meDateFromTenor(O1143,"1D","FOLLOWING","TGT")</f>
        <v>44132</v>
      </c>
      <c r="P1144" s="95">
        <f ca="1"/>
        <v>5.8390054476256453E-3</v>
      </c>
      <c r="Q1144" s="5" t="s">
        <v>4</v>
      </c>
      <c r="R1144" s="83" t="s">
        <v>4</v>
      </c>
    </row>
    <row r="1145" spans="1:18" x14ac:dyDescent="0.25">
      <c r="A1145" s="88">
        <v>1131</v>
      </c>
      <c r="B1145" s="82"/>
      <c r="C1145" s="97">
        <f>_xll.meDateFromTenor(C1144,"1D","FOLLOWING","TGT")</f>
        <v>44133</v>
      </c>
      <c r="D1145" s="95">
        <f ca="1"/>
        <v>-7.3303374307220892E-5</v>
      </c>
      <c r="E1145" s="92"/>
      <c r="F1145" s="97">
        <f>_xll.meDateFromTenor(F1144,"1D","FOLLOWING","TGT")</f>
        <v>44133</v>
      </c>
      <c r="G1145" s="95">
        <f ca="1"/>
        <v>8.1243195965270481E-4</v>
      </c>
      <c r="H1145" s="92" t="s">
        <v>4</v>
      </c>
      <c r="I1145" s="97">
        <f>_xll.meDateFromTenor(I1144,"1D","FOLLOWING","TGT")</f>
        <v>44133</v>
      </c>
      <c r="J1145" s="95">
        <f ca="1"/>
        <v>1.9718290740538317E-3</v>
      </c>
      <c r="K1145" s="5" t="s">
        <v>4</v>
      </c>
      <c r="L1145" s="97">
        <f>_xll.meDateFromTenor(L1144,"1D","FOLLOWING","TGT")</f>
        <v>44133</v>
      </c>
      <c r="M1145" s="95">
        <f ca="1"/>
        <v>3.8443629520088164E-3</v>
      </c>
      <c r="N1145" s="5" t="s">
        <v>4</v>
      </c>
      <c r="O1145" s="97">
        <f>_xll.meDateFromTenor(O1144,"1D","FOLLOWING","TGT")</f>
        <v>44133</v>
      </c>
      <c r="P1145" s="95">
        <f ca="1"/>
        <v>5.845955650636522E-3</v>
      </c>
      <c r="Q1145" s="5" t="s">
        <v>4</v>
      </c>
      <c r="R1145" s="83" t="s">
        <v>4</v>
      </c>
    </row>
    <row r="1146" spans="1:18" x14ac:dyDescent="0.25">
      <c r="A1146" s="88">
        <v>1132</v>
      </c>
      <c r="B1146" s="82"/>
      <c r="C1146" s="97">
        <f>_xll.meDateFromTenor(C1145,"1D","FOLLOWING","TGT")</f>
        <v>44134</v>
      </c>
      <c r="D1146" s="95">
        <f ca="1"/>
        <v>-6.5491190395783327E-5</v>
      </c>
      <c r="E1146" s="92"/>
      <c r="F1146" s="97">
        <f>_xll.meDateFromTenor(F1145,"1D","FOLLOWING","TGT")</f>
        <v>44134</v>
      </c>
      <c r="G1146" s="95">
        <f ca="1"/>
        <v>8.1954829058739488E-4</v>
      </c>
      <c r="H1146" s="92" t="s">
        <v>4</v>
      </c>
      <c r="I1146" s="97">
        <f>_xll.meDateFromTenor(I1145,"1D","FOLLOWING","TGT")</f>
        <v>44134</v>
      </c>
      <c r="J1146" s="95">
        <f ca="1"/>
        <v>1.9786719042782321E-3</v>
      </c>
      <c r="K1146" s="5" t="s">
        <v>4</v>
      </c>
      <c r="L1146" s="97">
        <f>_xll.meDateFromTenor(L1145,"1D","FOLLOWING","TGT")</f>
        <v>44134</v>
      </c>
      <c r="M1146" s="95">
        <f ca="1"/>
        <v>3.8511257190375126E-3</v>
      </c>
      <c r="N1146" s="5" t="s">
        <v>4</v>
      </c>
      <c r="O1146" s="97">
        <f>_xll.meDateFromTenor(O1145,"1D","FOLLOWING","TGT")</f>
        <v>44134</v>
      </c>
      <c r="P1146" s="95">
        <f ca="1"/>
        <v>5.8529089307985177E-3</v>
      </c>
      <c r="Q1146" s="5" t="s">
        <v>4</v>
      </c>
      <c r="R1146" s="83" t="s">
        <v>4</v>
      </c>
    </row>
    <row r="1147" spans="1:18" x14ac:dyDescent="0.25">
      <c r="A1147" s="88">
        <v>1133</v>
      </c>
      <c r="B1147" s="82"/>
      <c r="C1147" s="97">
        <f>_xll.meDateFromTenor(C1146,"1D","FOLLOWING","TGT")</f>
        <v>44137</v>
      </c>
      <c r="D1147" s="95">
        <f ca="1"/>
        <v>-4.2083491230360259E-5</v>
      </c>
      <c r="E1147" s="92"/>
      <c r="F1147" s="97">
        <f>_xll.meDateFromTenor(F1146,"1D","FOLLOWING","TGT")</f>
        <v>44137</v>
      </c>
      <c r="G1147" s="95">
        <f ca="1"/>
        <v>8.4112163289674663E-4</v>
      </c>
      <c r="H1147" s="92" t="s">
        <v>4</v>
      </c>
      <c r="I1147" s="97">
        <f>_xll.meDateFromTenor(I1146,"1D","FOLLOWING","TGT")</f>
        <v>44137</v>
      </c>
      <c r="J1147" s="95">
        <f ca="1"/>
        <v>1.9992409761334022E-3</v>
      </c>
      <c r="K1147" s="5" t="s">
        <v>4</v>
      </c>
      <c r="L1147" s="97">
        <f>_xll.meDateFromTenor(L1146,"1D","FOLLOWING","TGT")</f>
        <v>44137</v>
      </c>
      <c r="M1147" s="95">
        <f ca="1"/>
        <v>3.8714309544311985E-3</v>
      </c>
      <c r="N1147" s="5" t="s">
        <v>4</v>
      </c>
      <c r="O1147" s="97">
        <f>_xll.meDateFromTenor(O1146,"1D","FOLLOWING","TGT")</f>
        <v>44137</v>
      </c>
      <c r="P1147" s="95">
        <f ca="1"/>
        <v>5.8737870923822773E-3</v>
      </c>
      <c r="Q1147" s="5" t="s">
        <v>4</v>
      </c>
      <c r="R1147" s="83" t="s">
        <v>4</v>
      </c>
    </row>
    <row r="1148" spans="1:18" x14ac:dyDescent="0.25">
      <c r="A1148" s="88">
        <v>1134</v>
      </c>
      <c r="B1148" s="82"/>
      <c r="C1148" s="97">
        <f>_xll.meDateFromTenor(C1147,"1D","FOLLOWING","TGT")</f>
        <v>44138</v>
      </c>
      <c r="D1148" s="95">
        <f ca="1"/>
        <v>-3.4290541156667409E-5</v>
      </c>
      <c r="E1148" s="92"/>
      <c r="F1148" s="97">
        <f>_xll.meDateFromTenor(F1147,"1D","FOLLOWING","TGT")</f>
        <v>44138</v>
      </c>
      <c r="G1148" s="95">
        <f ca="1"/>
        <v>8.4839359880299148E-4</v>
      </c>
      <c r="H1148" s="92" t="s">
        <v>4</v>
      </c>
      <c r="I1148" s="97">
        <f>_xll.meDateFromTenor(I1147,"1D","FOLLOWING","TGT")</f>
        <v>44138</v>
      </c>
      <c r="J1148" s="95">
        <f ca="1"/>
        <v>2.0061109387131308E-3</v>
      </c>
      <c r="K1148" s="5" t="s">
        <v>4</v>
      </c>
      <c r="L1148" s="97">
        <f>_xll.meDateFromTenor(L1147,"1D","FOLLOWING","TGT")</f>
        <v>44138</v>
      </c>
      <c r="M1148" s="95">
        <f ca="1"/>
        <v>3.8782050071782203E-3</v>
      </c>
      <c r="N1148" s="5" t="s">
        <v>4</v>
      </c>
      <c r="O1148" s="97">
        <f>_xll.meDateFromTenor(O1147,"1D","FOLLOWING","TGT")</f>
        <v>44138</v>
      </c>
      <c r="P1148" s="95">
        <f ca="1"/>
        <v>5.8807525393398119E-3</v>
      </c>
      <c r="Q1148" s="5" t="s">
        <v>4</v>
      </c>
      <c r="R1148" s="83" t="s">
        <v>4</v>
      </c>
    </row>
    <row r="1149" spans="1:18" x14ac:dyDescent="0.25">
      <c r="A1149" s="88">
        <v>1135</v>
      </c>
      <c r="B1149" s="82"/>
      <c r="C1149" s="97">
        <f>_xll.meDateFromTenor(C1148,"1D","FOLLOWING","TGT")</f>
        <v>44139</v>
      </c>
      <c r="D1149" s="95">
        <f ca="1"/>
        <v>-2.6502398776218072E-5</v>
      </c>
      <c r="E1149" s="92"/>
      <c r="F1149" s="97">
        <f>_xll.meDateFromTenor(F1148,"1D","FOLLOWING","TGT")</f>
        <v>44139</v>
      </c>
      <c r="G1149" s="95">
        <f ca="1"/>
        <v>8.5570497487764052E-4</v>
      </c>
      <c r="H1149" s="92" t="s">
        <v>4</v>
      </c>
      <c r="I1149" s="97">
        <f>_xll.meDateFromTenor(I1148,"1D","FOLLOWING","TGT")</f>
        <v>44139</v>
      </c>
      <c r="J1149" s="95">
        <f ca="1"/>
        <v>2.0129877430572051E-3</v>
      </c>
      <c r="K1149" s="5" t="s">
        <v>4</v>
      </c>
      <c r="L1149" s="97">
        <f>_xll.meDateFromTenor(L1148,"1D","FOLLOWING","TGT")</f>
        <v>44139</v>
      </c>
      <c r="M1149" s="95">
        <f ca="1"/>
        <v>3.8849818784897723E-3</v>
      </c>
      <c r="N1149" s="5" t="s">
        <v>4</v>
      </c>
      <c r="O1149" s="97">
        <f>_xll.meDateFromTenor(O1148,"1D","FOLLOWING","TGT")</f>
        <v>44139</v>
      </c>
      <c r="P1149" s="95">
        <f ca="1"/>
        <v>5.8877209925439974E-3</v>
      </c>
      <c r="Q1149" s="5" t="s">
        <v>4</v>
      </c>
      <c r="R1149" s="83" t="s">
        <v>4</v>
      </c>
    </row>
    <row r="1150" spans="1:18" x14ac:dyDescent="0.25">
      <c r="A1150" s="88">
        <v>1136</v>
      </c>
      <c r="B1150" s="82"/>
      <c r="C1150" s="97">
        <f>_xll.meDateFromTenor(C1149,"1D","FOLLOWING","TGT")</f>
        <v>44140</v>
      </c>
      <c r="D1150" s="95">
        <f ca="1"/>
        <v>-1.8719063522354418E-5</v>
      </c>
      <c r="E1150" s="92"/>
      <c r="F1150" s="97">
        <f>_xll.meDateFromTenor(F1149,"1D","FOLLOWING","TGT")</f>
        <v>44140</v>
      </c>
      <c r="G1150" s="95">
        <f ca="1"/>
        <v>8.6305296465352384E-4</v>
      </c>
      <c r="H1150" s="92" t="s">
        <v>4</v>
      </c>
      <c r="I1150" s="97">
        <f>_xll.meDateFromTenor(I1149,"1D","FOLLOWING","TGT")</f>
        <v>44140</v>
      </c>
      <c r="J1150" s="95">
        <f ca="1"/>
        <v>2.0198714126358338E-3</v>
      </c>
      <c r="K1150" s="5" t="s">
        <v>4</v>
      </c>
      <c r="L1150" s="97">
        <f>_xll.meDateFromTenor(L1149,"1D","FOLLOWING","TGT")</f>
        <v>44140</v>
      </c>
      <c r="M1150" s="95">
        <f ca="1"/>
        <v>3.8917615672198337E-3</v>
      </c>
      <c r="N1150" s="5" t="s">
        <v>4</v>
      </c>
      <c r="O1150" s="97">
        <f>_xll.meDateFromTenor(O1149,"1D","FOLLOWING","TGT")</f>
        <v>44140</v>
      </c>
      <c r="P1150" s="95">
        <f ca="1"/>
        <v>5.8946924378139448E-3</v>
      </c>
      <c r="Q1150" s="5" t="s">
        <v>4</v>
      </c>
      <c r="R1150" s="83" t="s">
        <v>4</v>
      </c>
    </row>
    <row r="1151" spans="1:18" x14ac:dyDescent="0.25">
      <c r="A1151" s="88">
        <v>1137</v>
      </c>
      <c r="B1151" s="82"/>
      <c r="C1151" s="97">
        <f>_xll.meDateFromTenor(C1150,"1D","FOLLOWING","TGT")</f>
        <v>44141</v>
      </c>
      <c r="D1151" s="95">
        <f ca="1"/>
        <v>-1.0940535068337809E-5</v>
      </c>
      <c r="E1151" s="92"/>
      <c r="F1151" s="97">
        <f>_xll.meDateFromTenor(F1150,"1D","FOLLOWING","TGT")</f>
        <v>44141</v>
      </c>
      <c r="G1151" s="95">
        <f ca="1"/>
        <v>8.7043477166346339E-4</v>
      </c>
      <c r="H1151" s="92" t="s">
        <v>4</v>
      </c>
      <c r="I1151" s="97">
        <f>_xll.meDateFromTenor(I1150,"1D","FOLLOWING","TGT")</f>
        <v>44141</v>
      </c>
      <c r="J1151" s="95">
        <f ca="1"/>
        <v>2.0267619709192163E-3</v>
      </c>
      <c r="K1151" s="5" t="s">
        <v>4</v>
      </c>
      <c r="L1151" s="97">
        <f>_xll.meDateFromTenor(L1150,"1D","FOLLOWING","TGT")</f>
        <v>44141</v>
      </c>
      <c r="M1151" s="95">
        <f ca="1"/>
        <v>3.898544072222382E-3</v>
      </c>
      <c r="N1151" s="5" t="s">
        <v>4</v>
      </c>
      <c r="O1151" s="97">
        <f>_xll.meDateFromTenor(O1150,"1D","FOLLOWING","TGT")</f>
        <v>44141</v>
      </c>
      <c r="P1151" s="95">
        <f ca="1"/>
        <v>5.9016668609687562E-3</v>
      </c>
      <c r="Q1151" s="5" t="s">
        <v>4</v>
      </c>
      <c r="R1151" s="83" t="s">
        <v>4</v>
      </c>
    </row>
    <row r="1152" spans="1:18" x14ac:dyDescent="0.25">
      <c r="A1152" s="88">
        <v>1138</v>
      </c>
      <c r="B1152" s="82"/>
      <c r="C1152" s="97">
        <f>_xll.meDateFromTenor(C1151,"1D","FOLLOWING","TGT")</f>
        <v>44144</v>
      </c>
      <c r="D1152" s="95">
        <f ca="1"/>
        <v>1.2366213882453181E-5</v>
      </c>
      <c r="E1152" s="92"/>
      <c r="F1152" s="97">
        <f>_xll.meDateFromTenor(F1151,"1D","FOLLOWING","TGT")</f>
        <v>44144</v>
      </c>
      <c r="G1152" s="95">
        <f ca="1"/>
        <v>8.92755131425912E-4</v>
      </c>
      <c r="H1152" s="92" t="s">
        <v>4</v>
      </c>
      <c r="I1152" s="97">
        <f>_xll.meDateFromTenor(I1151,"1D","FOLLOWING","TGT")</f>
        <v>44144</v>
      </c>
      <c r="J1152" s="95">
        <f ca="1"/>
        <v>2.0474752126999635E-3</v>
      </c>
      <c r="K1152" s="5" t="s">
        <v>4</v>
      </c>
      <c r="L1152" s="97">
        <f>_xll.meDateFromTenor(L1151,"1D","FOLLOWING","TGT")</f>
        <v>44144</v>
      </c>
      <c r="M1152" s="95">
        <f ca="1"/>
        <v>3.918908473404749E-3</v>
      </c>
      <c r="N1152" s="5" t="s">
        <v>4</v>
      </c>
      <c r="O1152" s="97">
        <f>_xll.meDateFromTenor(O1151,"1D","FOLLOWING","TGT")</f>
        <v>44144</v>
      </c>
      <c r="P1152" s="95">
        <f ca="1"/>
        <v>5.9226078559334594E-3</v>
      </c>
      <c r="Q1152" s="5" t="s">
        <v>4</v>
      </c>
      <c r="R1152" s="83" t="s">
        <v>4</v>
      </c>
    </row>
    <row r="1153" spans="1:18" x14ac:dyDescent="0.25">
      <c r="A1153" s="88">
        <v>1139</v>
      </c>
      <c r="B1153" s="82"/>
      <c r="C1153" s="97">
        <f>_xll.meDateFromTenor(C1152,"1D","FOLLOWING","TGT")</f>
        <v>44145</v>
      </c>
      <c r="D1153" s="95">
        <f ca="1"/>
        <v>2.0125519205604903E-5</v>
      </c>
      <c r="E1153" s="92"/>
      <c r="F1153" s="97">
        <f>_xll.meDateFromTenor(F1152,"1D","FOLLOWING","TGT")</f>
        <v>44145</v>
      </c>
      <c r="G1153" s="95">
        <f ca="1"/>
        <v>9.0024424270036048E-4</v>
      </c>
      <c r="H1153" s="92" t="s">
        <v>4</v>
      </c>
      <c r="I1153" s="97">
        <f>_xll.meDateFromTenor(I1152,"1D","FOLLOWING","TGT")</f>
        <v>44145</v>
      </c>
      <c r="J1153" s="95">
        <f ca="1"/>
        <v>2.0543935605044292E-3</v>
      </c>
      <c r="K1153" s="5" t="s">
        <v>4</v>
      </c>
      <c r="L1153" s="97">
        <f>_xll.meDateFromTenor(L1152,"1D","FOLLOWING","TGT")</f>
        <v>44145</v>
      </c>
      <c r="M1153" s="95">
        <f ca="1"/>
        <v>3.9257022320370412E-3</v>
      </c>
      <c r="N1153" s="5" t="s">
        <v>4</v>
      </c>
      <c r="O1153" s="97">
        <f>_xll.meDateFromTenor(O1152,"1D","FOLLOWING","TGT")</f>
        <v>44145</v>
      </c>
      <c r="P1153" s="95">
        <f ca="1"/>
        <v>5.9295940488188047E-3</v>
      </c>
      <c r="Q1153" s="5" t="s">
        <v>4</v>
      </c>
      <c r="R1153" s="83" t="s">
        <v>4</v>
      </c>
    </row>
    <row r="1154" spans="1:18" x14ac:dyDescent="0.25">
      <c r="A1154" s="88">
        <v>1140</v>
      </c>
      <c r="B1154" s="82"/>
      <c r="C1154" s="97">
        <f>_xll.meDateFromTenor(C1153,"1D","FOLLOWING","TGT")</f>
        <v>44146</v>
      </c>
      <c r="D1154" s="95">
        <f ca="1"/>
        <v>2.7880019923820498E-5</v>
      </c>
      <c r="E1154" s="92"/>
      <c r="F1154" s="97">
        <f>_xll.meDateFromTenor(F1153,"1D","FOLLOWING","TGT")</f>
        <v>44146</v>
      </c>
      <c r="G1154" s="95">
        <f ca="1"/>
        <v>9.0775318887300726E-4</v>
      </c>
      <c r="H1154" s="92" t="s">
        <v>4</v>
      </c>
      <c r="I1154" s="97">
        <f>_xll.meDateFromTenor(I1153,"1D","FOLLOWING","TGT")</f>
        <v>44146</v>
      </c>
      <c r="J1154" s="95">
        <f ca="1"/>
        <v>2.0613189143646815E-3</v>
      </c>
      <c r="K1154" s="5" t="s">
        <v>4</v>
      </c>
      <c r="L1154" s="97">
        <f>_xll.meDateFromTenor(L1153,"1D","FOLLOWING","TGT")</f>
        <v>44146</v>
      </c>
      <c r="M1154" s="95">
        <f ca="1"/>
        <v>3.9324988012117198E-3</v>
      </c>
      <c r="N1154" s="5" t="s">
        <v>4</v>
      </c>
      <c r="O1154" s="97">
        <f>_xll.meDateFromTenor(O1153,"1D","FOLLOWING","TGT")</f>
        <v>44146</v>
      </c>
      <c r="P1154" s="95">
        <f ca="1"/>
        <v>5.9365831486845547E-3</v>
      </c>
      <c r="Q1154" s="5" t="s">
        <v>4</v>
      </c>
      <c r="R1154" s="83" t="s">
        <v>4</v>
      </c>
    </row>
    <row r="1155" spans="1:18" x14ac:dyDescent="0.25">
      <c r="A1155" s="88">
        <v>1141</v>
      </c>
      <c r="B1155" s="82"/>
      <c r="C1155" s="97">
        <f>_xll.meDateFromTenor(C1154,"1D","FOLLOWING","TGT")</f>
        <v>44147</v>
      </c>
      <c r="D1155" s="95">
        <f ca="1"/>
        <v>3.5629716004015322E-5</v>
      </c>
      <c r="E1155" s="92"/>
      <c r="F1155" s="97">
        <f>_xll.meDateFromTenor(F1154,"1D","FOLLOWING","TGT")</f>
        <v>44147</v>
      </c>
      <c r="G1155" s="95">
        <f ca="1"/>
        <v>9.1527917347667418E-4</v>
      </c>
      <c r="H1155" s="92" t="s">
        <v>4</v>
      </c>
      <c r="I1155" s="97">
        <f>_xll.meDateFromTenor(I1154,"1D","FOLLOWING","TGT")</f>
        <v>44147</v>
      </c>
      <c r="J1155" s="95">
        <f ca="1"/>
        <v>2.0682512977509221E-3</v>
      </c>
      <c r="K1155" s="5" t="s">
        <v>4</v>
      </c>
      <c r="L1155" s="97">
        <f>_xll.meDateFromTenor(L1154,"1D","FOLLOWING","TGT")</f>
        <v>44147</v>
      </c>
      <c r="M1155" s="95">
        <f ca="1"/>
        <v>3.9392981797827598E-3</v>
      </c>
      <c r="N1155" s="5" t="s">
        <v>4</v>
      </c>
      <c r="O1155" s="97">
        <f>_xll.meDateFromTenor(O1154,"1D","FOLLOWING","TGT")</f>
        <v>44147</v>
      </c>
      <c r="P1155" s="95">
        <f ca="1"/>
        <v>5.9435751413498099E-3</v>
      </c>
      <c r="Q1155" s="5" t="s">
        <v>4</v>
      </c>
      <c r="R1155" s="83" t="s">
        <v>4</v>
      </c>
    </row>
    <row r="1156" spans="1:18" x14ac:dyDescent="0.25">
      <c r="A1156" s="88">
        <v>1142</v>
      </c>
      <c r="B1156" s="82"/>
      <c r="C1156" s="97">
        <f>_xll.meDateFromTenor(C1155,"1D","FOLLOWING","TGT")</f>
        <v>44148</v>
      </c>
      <c r="D1156" s="95">
        <f ca="1"/>
        <v>4.3374608133861514E-5</v>
      </c>
      <c r="E1156" s="92"/>
      <c r="F1156" s="97">
        <f>_xll.meDateFromTenor(F1155,"1D","FOLLOWING","TGT")</f>
        <v>44148</v>
      </c>
      <c r="G1156" s="95">
        <f ca="1"/>
        <v>9.2281940004419391E-4</v>
      </c>
      <c r="H1156" s="92" t="s">
        <v>4</v>
      </c>
      <c r="I1156" s="97">
        <f>_xll.meDateFromTenor(I1155,"1D","FOLLOWING","TGT")</f>
        <v>44148</v>
      </c>
      <c r="J1156" s="95">
        <f ca="1"/>
        <v>2.0751907341333602E-3</v>
      </c>
      <c r="K1156" s="5" t="s">
        <v>4</v>
      </c>
      <c r="L1156" s="97">
        <f>_xll.meDateFromTenor(L1155,"1D","FOLLOWING","TGT")</f>
        <v>44148</v>
      </c>
      <c r="M1156" s="95">
        <f ca="1"/>
        <v>3.9461003666041456E-3</v>
      </c>
      <c r="N1156" s="5" t="s">
        <v>4</v>
      </c>
      <c r="O1156" s="97">
        <f>_xll.meDateFromTenor(O1155,"1D","FOLLOWING","TGT")</f>
        <v>44148</v>
      </c>
      <c r="P1156" s="95">
        <f ca="1"/>
        <v>5.9505700126336828E-3</v>
      </c>
      <c r="Q1156" s="5" t="s">
        <v>4</v>
      </c>
      <c r="R1156" s="83" t="s">
        <v>4</v>
      </c>
    </row>
    <row r="1157" spans="1:18" x14ac:dyDescent="0.25">
      <c r="A1157" s="88">
        <v>1143</v>
      </c>
      <c r="B1157" s="82"/>
      <c r="C1157" s="97">
        <f>_xll.meDateFromTenor(C1156,"1D","FOLLOWING","TGT")</f>
        <v>44151</v>
      </c>
      <c r="D1157" s="95">
        <f ca="1"/>
        <v>6.6580464254117899E-5</v>
      </c>
      <c r="E1157" s="92"/>
      <c r="F1157" s="97">
        <f>_xll.meDateFromTenor(F1156,"1D","FOLLOWING","TGT")</f>
        <v>44151</v>
      </c>
      <c r="G1157" s="95">
        <f ca="1"/>
        <v>9.4549756685812219E-4</v>
      </c>
      <c r="H1157" s="92" t="s">
        <v>4</v>
      </c>
      <c r="I1157" s="97">
        <f>_xll.meDateFromTenor(I1156,"1D","FOLLOWING","TGT")</f>
        <v>44151</v>
      </c>
      <c r="J1157" s="95">
        <f ca="1"/>
        <v>2.096051595959898E-3</v>
      </c>
      <c r="K1157" s="5" t="s">
        <v>4</v>
      </c>
      <c r="L1157" s="97">
        <f>_xll.meDateFromTenor(L1156,"1D","FOLLOWING","TGT")</f>
        <v>44151</v>
      </c>
      <c r="M1157" s="95">
        <f ca="1"/>
        <v>3.9665237651101432E-3</v>
      </c>
      <c r="N1157" s="5" t="s">
        <v>4</v>
      </c>
      <c r="O1157" s="97">
        <f>_xll.meDateFromTenor(O1156,"1D","FOLLOWING","TGT")</f>
        <v>44151</v>
      </c>
      <c r="P1157" s="95">
        <f ca="1"/>
        <v>5.9715717563880574E-3</v>
      </c>
      <c r="Q1157" s="5" t="s">
        <v>4</v>
      </c>
      <c r="R1157" s="83" t="s">
        <v>4</v>
      </c>
    </row>
    <row r="1158" spans="1:18" x14ac:dyDescent="0.25">
      <c r="A1158" s="88">
        <v>1144</v>
      </c>
      <c r="B1158" s="82"/>
      <c r="C1158" s="97">
        <f>_xll.meDateFromTenor(C1157,"1D","FOLLOWING","TGT")</f>
        <v>44152</v>
      </c>
      <c r="D1158" s="95">
        <f ca="1"/>
        <v>7.4306143936775371E-5</v>
      </c>
      <c r="E1158" s="92"/>
      <c r="F1158" s="97">
        <f>_xll.meDateFromTenor(F1157,"1D","FOLLOWING","TGT")</f>
        <v>44152</v>
      </c>
      <c r="G1158" s="95">
        <f ca="1"/>
        <v>9.5306679660931326E-4</v>
      </c>
      <c r="H1158" s="92" t="s">
        <v>4</v>
      </c>
      <c r="I1158" s="97">
        <f>_xll.meDateFromTenor(I1157,"1D","FOLLOWING","TGT")</f>
        <v>44152</v>
      </c>
      <c r="J1158" s="95">
        <f ca="1"/>
        <v>2.1030194790291712E-3</v>
      </c>
      <c r="K1158" s="5" t="s">
        <v>4</v>
      </c>
      <c r="L1158" s="97">
        <f>_xll.meDateFromTenor(L1157,"1D","FOLLOWING","TGT")</f>
        <v>44152</v>
      </c>
      <c r="M1158" s="95">
        <f ca="1"/>
        <v>3.9733371734726889E-3</v>
      </c>
      <c r="N1158" s="5" t="s">
        <v>4</v>
      </c>
      <c r="O1158" s="97">
        <f>_xll.meDateFromTenor(O1157,"1D","FOLLOWING","TGT")</f>
        <v>44152</v>
      </c>
      <c r="P1158" s="95">
        <f ca="1"/>
        <v>5.9785780003374584E-3</v>
      </c>
      <c r="Q1158" s="5" t="s">
        <v>4</v>
      </c>
      <c r="R1158" s="83" t="s">
        <v>4</v>
      </c>
    </row>
    <row r="1159" spans="1:18" x14ac:dyDescent="0.25">
      <c r="A1159" s="88">
        <v>1145</v>
      </c>
      <c r="B1159" s="82"/>
      <c r="C1159" s="97">
        <f>_xll.meDateFromTenor(C1158,"1D","FOLLOWING","TGT")</f>
        <v>44153</v>
      </c>
      <c r="D1159" s="95">
        <f ca="1"/>
        <v>8.2027021826247548E-5</v>
      </c>
      <c r="E1159" s="92"/>
      <c r="F1159" s="97">
        <f>_xll.meDateFromTenor(F1158,"1D","FOLLOWING","TGT")</f>
        <v>44153</v>
      </c>
      <c r="G1159" s="95">
        <f ca="1"/>
        <v>9.6063628598849348E-4</v>
      </c>
      <c r="H1159" s="92" t="s">
        <v>4</v>
      </c>
      <c r="I1159" s="97">
        <f>_xll.meDateFromTenor(I1158,"1D","FOLLOWING","TGT")</f>
        <v>44153</v>
      </c>
      <c r="J1159" s="95">
        <f ca="1"/>
        <v>2.1099945324456696E-3</v>
      </c>
      <c r="K1159" s="5" t="s">
        <v>4</v>
      </c>
      <c r="L1159" s="97">
        <f>_xll.meDateFromTenor(L1158,"1D","FOLLOWING","TGT")</f>
        <v>44153</v>
      </c>
      <c r="M1159" s="95">
        <f ca="1"/>
        <v>3.9801533843554756E-3</v>
      </c>
      <c r="N1159" s="5" t="s">
        <v>4</v>
      </c>
      <c r="O1159" s="97">
        <f>_xll.meDateFromTenor(O1158,"1D","FOLLOWING","TGT")</f>
        <v>44153</v>
      </c>
      <c r="P1159" s="95">
        <f ca="1"/>
        <v>5.9855870520010117E-3</v>
      </c>
      <c r="Q1159" s="5" t="s">
        <v>4</v>
      </c>
      <c r="R1159" s="83" t="s">
        <v>4</v>
      </c>
    </row>
    <row r="1160" spans="1:18" x14ac:dyDescent="0.25">
      <c r="A1160" s="88">
        <v>1146</v>
      </c>
      <c r="B1160" s="82"/>
      <c r="C1160" s="97">
        <f>_xll.meDateFromTenor(C1159,"1D","FOLLOWING","TGT")</f>
        <v>44154</v>
      </c>
      <c r="D1160" s="95">
        <f ca="1"/>
        <v>8.9743097731131982E-5</v>
      </c>
      <c r="E1160" s="92"/>
      <c r="F1160" s="97">
        <f>_xll.meDateFromTenor(F1159,"1D","FOLLOWING","TGT")</f>
        <v>44154</v>
      </c>
      <c r="G1160" s="95">
        <f ca="1"/>
        <v>9.6820323852848521E-4</v>
      </c>
      <c r="H1160" s="92" t="s">
        <v>4</v>
      </c>
      <c r="I1160" s="97">
        <f>_xll.meDateFromTenor(I1159,"1D","FOLLOWING","TGT")</f>
        <v>44154</v>
      </c>
      <c r="J1160" s="95">
        <f ca="1"/>
        <v>2.1169767796795943E-3</v>
      </c>
      <c r="K1160" s="5" t="s">
        <v>4</v>
      </c>
      <c r="L1160" s="97">
        <f>_xll.meDateFromTenor(L1159,"1D","FOLLOWING","TGT")</f>
        <v>44154</v>
      </c>
      <c r="M1160" s="95">
        <f ca="1"/>
        <v>3.9869723966124782E-3</v>
      </c>
      <c r="N1160" s="5" t="s">
        <v>4</v>
      </c>
      <c r="O1160" s="97">
        <f>_xll.meDateFromTenor(O1159,"1D","FOLLOWING","TGT")</f>
        <v>44154</v>
      </c>
      <c r="P1160" s="95">
        <f ca="1"/>
        <v>5.9925988971978195E-3</v>
      </c>
      <c r="Q1160" s="5" t="s">
        <v>4</v>
      </c>
      <c r="R1160" s="83" t="s">
        <v>4</v>
      </c>
    </row>
    <row r="1161" spans="1:18" x14ac:dyDescent="0.25">
      <c r="A1161" s="88">
        <v>1147</v>
      </c>
      <c r="B1161" s="82"/>
      <c r="C1161" s="97">
        <f>_xll.meDateFromTenor(C1160,"1D","FOLLOWING","TGT")</f>
        <v>44155</v>
      </c>
      <c r="D1161" s="95">
        <f ca="1"/>
        <v>9.7454372339100814E-5</v>
      </c>
      <c r="E1161" s="92"/>
      <c r="F1161" s="97">
        <f>_xll.meDateFromTenor(F1160,"1D","FOLLOWING","TGT")</f>
        <v>44155</v>
      </c>
      <c r="G1161" s="95">
        <f ca="1"/>
        <v>9.7576485776211866E-4</v>
      </c>
      <c r="H1161" s="92" t="s">
        <v>4</v>
      </c>
      <c r="I1161" s="97">
        <f>_xll.meDateFromTenor(I1160,"1D","FOLLOWING","TGT")</f>
        <v>44155</v>
      </c>
      <c r="J1161" s="95">
        <f ca="1"/>
        <v>2.1239662442011529E-3</v>
      </c>
      <c r="K1161" s="5" t="s">
        <v>4</v>
      </c>
      <c r="L1161" s="97">
        <f>_xll.meDateFromTenor(L1160,"1D","FOLLOWING","TGT")</f>
        <v>44155</v>
      </c>
      <c r="M1161" s="95">
        <f ca="1"/>
        <v>3.9937942090976786E-3</v>
      </c>
      <c r="N1161" s="5" t="s">
        <v>4</v>
      </c>
      <c r="O1161" s="97">
        <f>_xll.meDateFromTenor(O1160,"1D","FOLLOWING","TGT")</f>
        <v>44155</v>
      </c>
      <c r="P1161" s="95">
        <f ca="1"/>
        <v>5.9996135217469928E-3</v>
      </c>
      <c r="Q1161" s="5" t="s">
        <v>4</v>
      </c>
      <c r="R1161" s="83" t="s">
        <v>4</v>
      </c>
    </row>
    <row r="1162" spans="1:18" x14ac:dyDescent="0.25">
      <c r="A1162" s="88">
        <v>1148</v>
      </c>
      <c r="B1162" s="82"/>
      <c r="C1162" s="97">
        <f>_xll.meDateFromTenor(C1161,"1D","FOLLOWING","TGT")</f>
        <v>44158</v>
      </c>
      <c r="D1162" s="95">
        <f ca="1"/>
        <v>1.2055939190114273E-4</v>
      </c>
      <c r="E1162" s="92"/>
      <c r="F1162" s="97">
        <f>_xll.meDateFromTenor(F1161,"1D","FOLLOWING","TGT")</f>
        <v>44158</v>
      </c>
      <c r="G1162" s="95">
        <f ca="1"/>
        <v>9.9838975095314485E-4</v>
      </c>
      <c r="H1162" s="92" t="s">
        <v>4</v>
      </c>
      <c r="I1162" s="97">
        <f>_xll.meDateFromTenor(I1161,"1D","FOLLOWING","TGT")</f>
        <v>44158</v>
      </c>
      <c r="J1162" s="95">
        <f ca="1"/>
        <v>2.1449781761936947E-3</v>
      </c>
      <c r="K1162" s="5" t="s">
        <v>4</v>
      </c>
      <c r="L1162" s="97">
        <f>_xll.meDateFromTenor(L1161,"1D","FOLLOWING","TGT")</f>
        <v>44158</v>
      </c>
      <c r="M1162" s="95">
        <f ca="1"/>
        <v>4.0142764364622602E-3</v>
      </c>
      <c r="N1162" s="5" t="s">
        <v>4</v>
      </c>
      <c r="O1162" s="97">
        <f>_xll.meDateFromTenor(O1161,"1D","FOLLOWING","TGT")</f>
        <v>44158</v>
      </c>
      <c r="P1162" s="95">
        <f ca="1"/>
        <v>6.0206739296997684E-3</v>
      </c>
      <c r="Q1162" s="5" t="s">
        <v>4</v>
      </c>
      <c r="R1162" s="83" t="s">
        <v>4</v>
      </c>
    </row>
    <row r="1163" spans="1:18" x14ac:dyDescent="0.25">
      <c r="A1163" s="88">
        <v>1149</v>
      </c>
      <c r="B1163" s="82"/>
      <c r="C1163" s="97">
        <f>_xll.meDateFromTenor(C1162,"1D","FOLLOWING","TGT")</f>
        <v>44159</v>
      </c>
      <c r="D1163" s="95">
        <f ca="1"/>
        <v>1.2825146484196637E-4</v>
      </c>
      <c r="E1163" s="92"/>
      <c r="F1163" s="97">
        <f>_xll.meDateFromTenor(F1162,"1D","FOLLOWING","TGT")</f>
        <v>44159</v>
      </c>
      <c r="G1163" s="95">
        <f ca="1"/>
        <v>1.0059020722896169E-3</v>
      </c>
      <c r="H1163" s="92" t="s">
        <v>4</v>
      </c>
      <c r="I1163" s="97">
        <f>_xll.meDateFromTenor(I1162,"1D","FOLLOWING","TGT")</f>
        <v>44159</v>
      </c>
      <c r="J1163" s="95">
        <f ca="1"/>
        <v>2.1519967445678455E-3</v>
      </c>
      <c r="K1163" s="5" t="s">
        <v>4</v>
      </c>
      <c r="L1163" s="97">
        <f>_xll.meDateFromTenor(L1162,"1D","FOLLOWING","TGT")</f>
        <v>44159</v>
      </c>
      <c r="M1163" s="95">
        <f ca="1"/>
        <v>4.0211094384000421E-3</v>
      </c>
      <c r="N1163" s="5" t="s">
        <v>4</v>
      </c>
      <c r="O1163" s="97">
        <f>_xll.meDateFromTenor(O1162,"1D","FOLLOWING","TGT")</f>
        <v>44159</v>
      </c>
      <c r="P1163" s="95">
        <f ca="1"/>
        <v>6.0276995298494656E-3</v>
      </c>
      <c r="Q1163" s="5" t="s">
        <v>4</v>
      </c>
      <c r="R1163" s="83" t="s">
        <v>4</v>
      </c>
    </row>
    <row r="1164" spans="1:18" x14ac:dyDescent="0.25">
      <c r="A1164" s="88">
        <v>1150</v>
      </c>
      <c r="B1164" s="82"/>
      <c r="C1164" s="97">
        <f>_xll.meDateFromTenor(C1163,"1D","FOLLOWING","TGT")</f>
        <v>44160</v>
      </c>
      <c r="D1164" s="95">
        <f ca="1"/>
        <v>1.3593873832640213E-4</v>
      </c>
      <c r="E1164" s="92"/>
      <c r="F1164" s="97">
        <f>_xll.meDateFromTenor(F1163,"1D","FOLLOWING","TGT")</f>
        <v>44160</v>
      </c>
      <c r="G1164" s="95">
        <f ca="1"/>
        <v>1.0133950779838668E-3</v>
      </c>
      <c r="H1164" s="92" t="s">
        <v>4</v>
      </c>
      <c r="I1164" s="97">
        <f>_xll.meDateFromTenor(I1163,"1D","FOLLOWING","TGT")</f>
        <v>44160</v>
      </c>
      <c r="J1164" s="95">
        <f ca="1"/>
        <v>2.159022647580658E-3</v>
      </c>
      <c r="K1164" s="5" t="s">
        <v>4</v>
      </c>
      <c r="L1164" s="97">
        <f>_xll.meDateFromTenor(L1163,"1D","FOLLOWING","TGT")</f>
        <v>44160</v>
      </c>
      <c r="M1164" s="95">
        <f ca="1"/>
        <v>4.027945234835917E-3</v>
      </c>
      <c r="N1164" s="5" t="s">
        <v>4</v>
      </c>
      <c r="O1164" s="97">
        <f>_xll.meDateFromTenor(O1163,"1D","FOLLOWING","TGT")</f>
        <v>44160</v>
      </c>
      <c r="P1164" s="95">
        <f ca="1"/>
        <v>6.0347278384470645E-3</v>
      </c>
      <c r="Q1164" s="5" t="s">
        <v>4</v>
      </c>
      <c r="R1164" s="83" t="s">
        <v>4</v>
      </c>
    </row>
    <row r="1165" spans="1:18" x14ac:dyDescent="0.25">
      <c r="A1165" s="88">
        <v>1151</v>
      </c>
      <c r="B1165" s="82"/>
      <c r="C1165" s="97">
        <f>_xll.meDateFromTenor(C1164,"1D","FOLLOWING","TGT")</f>
        <v>44161</v>
      </c>
      <c r="D1165" s="95">
        <f ca="1"/>
        <v>1.4362121264333005E-4</v>
      </c>
      <c r="E1165" s="92"/>
      <c r="F1165" s="97">
        <f>_xll.meDateFromTenor(F1164,"1D","FOLLOWING","TGT")</f>
        <v>44161</v>
      </c>
      <c r="G1165" s="95">
        <f ca="1"/>
        <v>1.0208659715687221E-3</v>
      </c>
      <c r="H1165" s="92" t="s">
        <v>4</v>
      </c>
      <c r="I1165" s="97">
        <f>_xll.meDateFromTenor(I1164,"1D","FOLLOWING","TGT")</f>
        <v>44161</v>
      </c>
      <c r="J1165" s="95">
        <f ca="1"/>
        <v>2.1660559087023374E-3</v>
      </c>
      <c r="K1165" s="5" t="s">
        <v>4</v>
      </c>
      <c r="L1165" s="97">
        <f>_xll.meDateFromTenor(L1164,"1D","FOLLOWING","TGT")</f>
        <v>44161</v>
      </c>
      <c r="M1165" s="95">
        <f ca="1"/>
        <v>4.0347838246238658E-3</v>
      </c>
      <c r="N1165" s="5" t="s">
        <v>4</v>
      </c>
      <c r="O1165" s="97">
        <f>_xll.meDateFromTenor(O1164,"1D","FOLLOWING","TGT")</f>
        <v>44161</v>
      </c>
      <c r="P1165" s="95">
        <f ca="1"/>
        <v>6.0417588413116665E-3</v>
      </c>
      <c r="Q1165" s="5" t="s">
        <v>4</v>
      </c>
      <c r="R1165" s="83" t="s">
        <v>4</v>
      </c>
    </row>
    <row r="1166" spans="1:18" x14ac:dyDescent="0.25">
      <c r="A1166" s="88">
        <v>1152</v>
      </c>
      <c r="B1166" s="82"/>
      <c r="C1166" s="97">
        <f>_xll.meDateFromTenor(C1165,"1D","FOLLOWING","TGT")</f>
        <v>44162</v>
      </c>
      <c r="D1166" s="95">
        <f ca="1"/>
        <v>1.5129888840070826E-4</v>
      </c>
      <c r="E1166" s="92"/>
      <c r="F1166" s="97">
        <f>_xll.meDateFromTenor(F1165,"1D","FOLLOWING","TGT")</f>
        <v>44162</v>
      </c>
      <c r="G1166" s="95">
        <f ca="1"/>
        <v>1.0283119565770123E-3</v>
      </c>
      <c r="H1166" s="92" t="s">
        <v>4</v>
      </c>
      <c r="I1166" s="97">
        <f>_xll.meDateFromTenor(I1165,"1D","FOLLOWING","TGT")</f>
        <v>44162</v>
      </c>
      <c r="J1166" s="95">
        <f ca="1"/>
        <v>2.1730965514030923E-3</v>
      </c>
      <c r="K1166" s="5" t="s">
        <v>4</v>
      </c>
      <c r="L1166" s="97">
        <f>_xll.meDateFromTenor(L1165,"1D","FOLLOWING","TGT")</f>
        <v>44162</v>
      </c>
      <c r="M1166" s="95">
        <f ca="1"/>
        <v>4.0416252066178696E-3</v>
      </c>
      <c r="N1166" s="5" t="s">
        <v>4</v>
      </c>
      <c r="O1166" s="97">
        <f>_xll.meDateFromTenor(O1165,"1D","FOLLOWING","TGT")</f>
        <v>44162</v>
      </c>
      <c r="P1166" s="95">
        <f ca="1"/>
        <v>6.048792524262386E-3</v>
      </c>
      <c r="Q1166" s="5" t="s">
        <v>4</v>
      </c>
      <c r="R1166" s="83" t="s">
        <v>4</v>
      </c>
    </row>
    <row r="1167" spans="1:18" x14ac:dyDescent="0.25">
      <c r="A1167" s="88">
        <v>1153</v>
      </c>
      <c r="B1167" s="82"/>
      <c r="C1167" s="97">
        <f>_xll.meDateFromTenor(C1166,"1D","FOLLOWING","TGT")</f>
        <v>44165</v>
      </c>
      <c r="D1167" s="95">
        <f ca="1"/>
        <v>1.7430312672406245E-4</v>
      </c>
      <c r="E1167" s="92"/>
      <c r="F1167" s="97">
        <f>_xll.meDateFromTenor(F1166,"1D","FOLLOWING","TGT")</f>
        <v>44165</v>
      </c>
      <c r="G1167" s="95">
        <f ca="1"/>
        <v>1.0504724954707473E-3</v>
      </c>
      <c r="H1167" s="92" t="s">
        <v>4</v>
      </c>
      <c r="I1167" s="97">
        <f>_xll.meDateFromTenor(I1166,"1D","FOLLOWING","TGT")</f>
        <v>44165</v>
      </c>
      <c r="J1167" s="95">
        <f ca="1"/>
        <v>2.1942630036818431E-3</v>
      </c>
      <c r="K1167" s="5" t="s">
        <v>4</v>
      </c>
      <c r="L1167" s="97">
        <f>_xll.meDateFromTenor(L1166,"1D","FOLLOWING","TGT")</f>
        <v>44165</v>
      </c>
      <c r="M1167" s="95">
        <f ca="1"/>
        <v>4.0621660943759774E-3</v>
      </c>
      <c r="N1167" s="5" t="s">
        <v>4</v>
      </c>
      <c r="O1167" s="97">
        <f>_xll.meDateFromTenor(O1166,"1D","FOLLOWING","TGT")</f>
        <v>44165</v>
      </c>
      <c r="P1167" s="95">
        <f ca="1"/>
        <v>6.069909511822286E-3</v>
      </c>
      <c r="Q1167" s="5" t="s">
        <v>4</v>
      </c>
      <c r="R1167" s="83" t="s">
        <v>4</v>
      </c>
    </row>
    <row r="1168" spans="1:18" x14ac:dyDescent="0.25">
      <c r="A1168" s="88">
        <v>1154</v>
      </c>
      <c r="B1168" s="82"/>
      <c r="C1168" s="97">
        <f>_xll.meDateFromTenor(C1167,"1D","FOLLOWING","TGT")</f>
        <v>44166</v>
      </c>
      <c r="D1168" s="95">
        <f ca="1"/>
        <v>1.8196161113115394E-4</v>
      </c>
      <c r="E1168" s="92"/>
      <c r="F1168" s="97">
        <f>_xll.meDateFromTenor(F1167,"1D","FOLLOWING","TGT")</f>
        <v>44166</v>
      </c>
      <c r="G1168" s="95">
        <f ca="1"/>
        <v>1.0577908815010389E-3</v>
      </c>
      <c r="H1168" s="92" t="s">
        <v>4</v>
      </c>
      <c r="I1168" s="97">
        <f>_xll.meDateFromTenor(I1167,"1D","FOLLOWING","TGT")</f>
        <v>44166</v>
      </c>
      <c r="J1168" s="95">
        <f ca="1"/>
        <v>2.2013334074009417E-3</v>
      </c>
      <c r="K1168" s="5" t="s">
        <v>4</v>
      </c>
      <c r="L1168" s="97">
        <f>_xll.meDateFromTenor(L1167,"1D","FOLLOWING","TGT")</f>
        <v>44166</v>
      </c>
      <c r="M1168" s="95">
        <f ca="1"/>
        <v>4.06901863373398E-3</v>
      </c>
      <c r="N1168" s="5" t="s">
        <v>4</v>
      </c>
      <c r="O1168" s="97">
        <f>_xll.meDateFromTenor(O1167,"1D","FOLLOWING","TGT")</f>
        <v>44166</v>
      </c>
      <c r="P1168" s="95">
        <f ca="1"/>
        <v>6.0769537733085235E-3</v>
      </c>
      <c r="Q1168" s="5" t="s">
        <v>4</v>
      </c>
      <c r="R1168" s="83" t="s">
        <v>4</v>
      </c>
    </row>
    <row r="1169" spans="1:18" x14ac:dyDescent="0.25">
      <c r="A1169" s="88">
        <v>1155</v>
      </c>
      <c r="B1169" s="82"/>
      <c r="C1169" s="97">
        <f>_xll.meDateFromTenor(C1168,"1D","FOLLOWING","TGT")</f>
        <v>44167</v>
      </c>
      <c r="D1169" s="95">
        <f ca="1"/>
        <v>1.8961035776032809E-4</v>
      </c>
      <c r="E1169" s="92"/>
      <c r="F1169" s="97">
        <f>_xll.meDateFromTenor(F1168,"1D","FOLLOWING","TGT")</f>
        <v>44167</v>
      </c>
      <c r="G1169" s="95">
        <f ca="1"/>
        <v>1.0650703766189019E-3</v>
      </c>
      <c r="H1169" s="92" t="s">
        <v>4</v>
      </c>
      <c r="I1169" s="97">
        <f>_xll.meDateFromTenor(I1168,"1D","FOLLOWING","TGT")</f>
        <v>44167</v>
      </c>
      <c r="J1169" s="95">
        <f ca="1"/>
        <v>2.2084113100501435E-3</v>
      </c>
      <c r="K1169" s="5" t="s">
        <v>4</v>
      </c>
      <c r="L1169" s="97">
        <f>_xll.meDateFromTenor(L1168,"1D","FOLLOWING","TGT")</f>
        <v>44167</v>
      </c>
      <c r="M1169" s="95">
        <f ca="1"/>
        <v>4.075873959567931E-3</v>
      </c>
      <c r="N1169" s="5" t="s">
        <v>4</v>
      </c>
      <c r="O1169" s="97">
        <f>_xll.meDateFromTenor(O1168,"1D","FOLLOWING","TGT")</f>
        <v>44167</v>
      </c>
      <c r="P1169" s="95">
        <f ca="1"/>
        <v>6.084000643976413E-3</v>
      </c>
      <c r="Q1169" s="5" t="s">
        <v>4</v>
      </c>
      <c r="R1169" s="83" t="s">
        <v>4</v>
      </c>
    </row>
    <row r="1170" spans="1:18" x14ac:dyDescent="0.25">
      <c r="A1170" s="88">
        <v>1156</v>
      </c>
      <c r="B1170" s="82"/>
      <c r="C1170" s="97">
        <f>_xll.meDateFromTenor(C1169,"1D","FOLLOWING","TGT")</f>
        <v>44168</v>
      </c>
      <c r="D1170" s="95">
        <f ca="1"/>
        <v>1.9722960246748578E-4</v>
      </c>
      <c r="E1170" s="92"/>
      <c r="F1170" s="97">
        <f>_xll.meDateFromTenor(F1169,"1D","FOLLOWING","TGT")</f>
        <v>44168</v>
      </c>
      <c r="G1170" s="95">
        <f ca="1"/>
        <v>1.0723088801800182E-3</v>
      </c>
      <c r="H1170" s="92" t="s">
        <v>4</v>
      </c>
      <c r="I1170" s="97">
        <f>_xll.meDateFromTenor(I1169,"1D","FOLLOWING","TGT")</f>
        <v>44168</v>
      </c>
      <c r="J1170" s="95">
        <f ca="1"/>
        <v>2.215496722635314E-3</v>
      </c>
      <c r="K1170" s="5" t="s">
        <v>4</v>
      </c>
      <c r="L1170" s="97">
        <f>_xll.meDateFromTenor(L1169,"1D","FOLLOWING","TGT")</f>
        <v>44168</v>
      </c>
      <c r="M1170" s="95">
        <f ca="1"/>
        <v>4.0827320708269202E-3</v>
      </c>
      <c r="N1170" s="5" t="s">
        <v>4</v>
      </c>
      <c r="O1170" s="97">
        <f>_xll.meDateFromTenor(O1169,"1D","FOLLOWING","TGT")</f>
        <v>44168</v>
      </c>
      <c r="P1170" s="95">
        <f ca="1"/>
        <v>6.0910501096450541E-3</v>
      </c>
      <c r="Q1170" s="5" t="s">
        <v>4</v>
      </c>
      <c r="R1170" s="83" t="s">
        <v>4</v>
      </c>
    </row>
    <row r="1171" spans="1:18" x14ac:dyDescent="0.25">
      <c r="A1171" s="88">
        <v>1157</v>
      </c>
      <c r="B1171" s="82"/>
      <c r="C1171" s="97">
        <f>_xll.meDateFromTenor(C1170,"1D","FOLLOWING","TGT")</f>
        <v>44169</v>
      </c>
      <c r="D1171" s="95">
        <f ca="1"/>
        <v>2.0481440400166306E-4</v>
      </c>
      <c r="E1171" s="92"/>
      <c r="F1171" s="97">
        <f>_xll.meDateFromTenor(F1170,"1D","FOLLOWING","TGT")</f>
        <v>44169</v>
      </c>
      <c r="G1171" s="95">
        <f ca="1"/>
        <v>1.0795070748315151E-3</v>
      </c>
      <c r="H1171" s="92" t="s">
        <v>4</v>
      </c>
      <c r="I1171" s="97">
        <f>_xll.meDateFromTenor(I1170,"1D","FOLLOWING","TGT")</f>
        <v>44169</v>
      </c>
      <c r="J1171" s="95">
        <f ca="1"/>
        <v>2.2225896063049881E-3</v>
      </c>
      <c r="K1171" s="5" t="s">
        <v>4</v>
      </c>
      <c r="L1171" s="97">
        <f>_xll.meDateFromTenor(L1170,"1D","FOLLOWING","TGT")</f>
        <v>44169</v>
      </c>
      <c r="M1171" s="95">
        <f ca="1"/>
        <v>4.0895929668404891E-3</v>
      </c>
      <c r="N1171" s="5" t="s">
        <v>4</v>
      </c>
      <c r="O1171" s="97">
        <f>_xll.meDateFromTenor(O1170,"1D","FOLLOWING","TGT")</f>
        <v>44169</v>
      </c>
      <c r="P1171" s="95">
        <f ca="1"/>
        <v>6.0981021561335612E-3</v>
      </c>
      <c r="Q1171" s="5" t="s">
        <v>4</v>
      </c>
      <c r="R1171" s="83" t="s">
        <v>4</v>
      </c>
    </row>
    <row r="1172" spans="1:18" x14ac:dyDescent="0.25">
      <c r="A1172" s="88">
        <v>1158</v>
      </c>
      <c r="B1172" s="82"/>
      <c r="C1172" s="97">
        <f>_xll.meDateFromTenor(C1171,"1D","FOLLOWING","TGT")</f>
        <v>44172</v>
      </c>
      <c r="D1172" s="95">
        <f ca="1"/>
        <v>2.2736214576046798E-4</v>
      </c>
      <c r="E1172" s="92"/>
      <c r="F1172" s="97">
        <f>_xll.meDateFromTenor(F1171,"1D","FOLLOWING","TGT")</f>
        <v>44172</v>
      </c>
      <c r="G1172" s="95">
        <f ca="1"/>
        <v>1.1008735900280887E-3</v>
      </c>
      <c r="H1172" s="92" t="s">
        <v>4</v>
      </c>
      <c r="I1172" s="97">
        <f>_xll.meDateFromTenor(I1171,"1D","FOLLOWING","TGT")</f>
        <v>44172</v>
      </c>
      <c r="J1172" s="95">
        <f ca="1"/>
        <v>2.2439125706629854E-3</v>
      </c>
      <c r="K1172" s="5" t="s">
        <v>4</v>
      </c>
      <c r="L1172" s="97">
        <f>_xll.meDateFromTenor(L1171,"1D","FOLLOWING","TGT")</f>
        <v>44172</v>
      </c>
      <c r="M1172" s="95">
        <f ca="1"/>
        <v>4.1101923576551645E-3</v>
      </c>
      <c r="N1172" s="5" t="s">
        <v>4</v>
      </c>
      <c r="O1172" s="97">
        <f>_xll.meDateFromTenor(O1171,"1D","FOLLOWING","TGT")</f>
        <v>44172</v>
      </c>
      <c r="P1172" s="95">
        <f ca="1"/>
        <v>6.1192736387093109E-3</v>
      </c>
      <c r="Q1172" s="5" t="s">
        <v>4</v>
      </c>
      <c r="R1172" s="83" t="s">
        <v>4</v>
      </c>
    </row>
    <row r="1173" spans="1:18" x14ac:dyDescent="0.25">
      <c r="A1173" s="88">
        <v>1159</v>
      </c>
      <c r="B1173" s="82"/>
      <c r="C1173" s="97">
        <f>_xll.meDateFromTenor(C1172,"1D","FOLLOWING","TGT")</f>
        <v>44173</v>
      </c>
      <c r="D1173" s="95">
        <f ca="1"/>
        <v>2.3480917073404051E-4</v>
      </c>
      <c r="E1173" s="92"/>
      <c r="F1173" s="97">
        <f>_xll.meDateFromTenor(F1172,"1D","FOLLOWING","TGT")</f>
        <v>44173</v>
      </c>
      <c r="G1173" s="95">
        <f ca="1"/>
        <v>1.1079243337409183E-3</v>
      </c>
      <c r="H1173" s="92" t="s">
        <v>4</v>
      </c>
      <c r="I1173" s="97">
        <f>_xll.meDateFromTenor(I1172,"1D","FOLLOWING","TGT")</f>
        <v>44173</v>
      </c>
      <c r="J1173" s="95">
        <f ca="1"/>
        <v>2.2510348255126351E-3</v>
      </c>
      <c r="K1173" s="5" t="s">
        <v>4</v>
      </c>
      <c r="L1173" s="97">
        <f>_xll.meDateFromTenor(L1172,"1D","FOLLOWING","TGT")</f>
        <v>44173</v>
      </c>
      <c r="M1173" s="95">
        <f ca="1"/>
        <v>4.1170643869335513E-3</v>
      </c>
      <c r="N1173" s="5" t="s">
        <v>4</v>
      </c>
      <c r="O1173" s="97">
        <f>_xll.meDateFromTenor(O1172,"1D","FOLLOWING","TGT")</f>
        <v>44173</v>
      </c>
      <c r="P1173" s="95">
        <f ca="1"/>
        <v>6.1263358666683336E-3</v>
      </c>
      <c r="Q1173" s="5" t="s">
        <v>4</v>
      </c>
      <c r="R1173" s="83" t="s">
        <v>4</v>
      </c>
    </row>
    <row r="1174" spans="1:18" x14ac:dyDescent="0.25">
      <c r="A1174" s="88">
        <v>1160</v>
      </c>
      <c r="B1174" s="82"/>
      <c r="C1174" s="97">
        <f>_xll.meDateFromTenor(C1173,"1D","FOLLOWING","TGT")</f>
        <v>44174</v>
      </c>
      <c r="D1174" s="95">
        <f ca="1"/>
        <v>2.4222175073784769E-4</v>
      </c>
      <c r="E1174" s="92"/>
      <c r="F1174" s="97">
        <f>_xll.meDateFromTenor(F1173,"1D","FOLLOWING","TGT")</f>
        <v>44174</v>
      </c>
      <c r="G1174" s="95">
        <f ca="1"/>
        <v>1.1149416608940334E-3</v>
      </c>
      <c r="H1174" s="92" t="s">
        <v>4</v>
      </c>
      <c r="I1174" s="97">
        <f>_xll.meDateFromTenor(I1173,"1D","FOLLOWING","TGT")</f>
        <v>44174</v>
      </c>
      <c r="J1174" s="95">
        <f ca="1"/>
        <v>2.2581642948677678E-3</v>
      </c>
      <c r="K1174" s="5" t="s">
        <v>4</v>
      </c>
      <c r="L1174" s="97">
        <f>_xll.meDateFromTenor(L1173,"1D","FOLLOWING","TGT")</f>
        <v>44174</v>
      </c>
      <c r="M1174" s="95">
        <f ca="1"/>
        <v>4.1239391980897669E-3</v>
      </c>
      <c r="N1174" s="5" t="s">
        <v>4</v>
      </c>
      <c r="O1174" s="97">
        <f>_xll.meDateFromTenor(O1173,"1D","FOLLOWING","TGT")</f>
        <v>44174</v>
      </c>
      <c r="P1174" s="95">
        <f ca="1"/>
        <v>6.1334006045427516E-3</v>
      </c>
      <c r="Q1174" s="5" t="s">
        <v>4</v>
      </c>
      <c r="R1174" s="83" t="s">
        <v>4</v>
      </c>
    </row>
    <row r="1175" spans="1:18" x14ac:dyDescent="0.25">
      <c r="A1175" s="88">
        <v>1161</v>
      </c>
      <c r="B1175" s="82"/>
      <c r="C1175" s="97">
        <f>_xll.meDateFromTenor(C1174,"1D","FOLLOWING","TGT")</f>
        <v>44175</v>
      </c>
      <c r="D1175" s="95">
        <f ca="1"/>
        <v>2.495998850071679E-4</v>
      </c>
      <c r="E1175" s="92"/>
      <c r="F1175" s="97">
        <f>_xll.meDateFromTenor(F1174,"1D","FOLLOWING","TGT")</f>
        <v>44175</v>
      </c>
      <c r="G1175" s="95">
        <f ca="1"/>
        <v>1.1219269499574208E-3</v>
      </c>
      <c r="H1175" s="92" t="s">
        <v>4</v>
      </c>
      <c r="I1175" s="97">
        <f>_xll.meDateFromTenor(I1174,"1D","FOLLOWING","TGT")</f>
        <v>44175</v>
      </c>
      <c r="J1175" s="95">
        <f ca="1"/>
        <v>2.2653009274125843E-3</v>
      </c>
      <c r="K1175" s="5" t="s">
        <v>4</v>
      </c>
      <c r="L1175" s="97">
        <f>_xll.meDateFromTenor(L1174,"1D","FOLLOWING","TGT")</f>
        <v>44175</v>
      </c>
      <c r="M1175" s="95">
        <f ca="1"/>
        <v>4.1308167905484651E-3</v>
      </c>
      <c r="N1175" s="5" t="s">
        <v>4</v>
      </c>
      <c r="O1175" s="97">
        <f>_xll.meDateFromTenor(O1174,"1D","FOLLOWING","TGT")</f>
        <v>44175</v>
      </c>
      <c r="P1175" s="95">
        <f ca="1"/>
        <v>6.1404678381516749E-3</v>
      </c>
      <c r="Q1175" s="5" t="s">
        <v>4</v>
      </c>
      <c r="R1175" s="83" t="s">
        <v>4</v>
      </c>
    </row>
    <row r="1176" spans="1:18" x14ac:dyDescent="0.25">
      <c r="A1176" s="88">
        <v>1162</v>
      </c>
      <c r="B1176" s="82"/>
      <c r="C1176" s="97">
        <f>_xll.meDateFromTenor(C1175,"1D","FOLLOWING","TGT")</f>
        <v>44176</v>
      </c>
      <c r="D1176" s="95">
        <f ca="1"/>
        <v>2.5694357342098684E-4</v>
      </c>
      <c r="E1176" s="92"/>
      <c r="F1176" s="97">
        <f>_xll.meDateFromTenor(F1175,"1D","FOLLOWING","TGT")</f>
        <v>44176</v>
      </c>
      <c r="G1176" s="95">
        <f ca="1"/>
        <v>1.1288815794010573E-3</v>
      </c>
      <c r="H1176" s="92" t="s">
        <v>4</v>
      </c>
      <c r="I1176" s="97">
        <f>_xll.meDateFromTenor(I1175,"1D","FOLLOWING","TGT")</f>
        <v>44176</v>
      </c>
      <c r="J1176" s="95">
        <f ca="1"/>
        <v>2.2724446718312766E-3</v>
      </c>
      <c r="K1176" s="5" t="s">
        <v>4</v>
      </c>
      <c r="L1176" s="97">
        <f>_xll.meDateFromTenor(L1175,"1D","FOLLOWING","TGT")</f>
        <v>44176</v>
      </c>
      <c r="M1176" s="95">
        <f ca="1"/>
        <v>4.1376971637342936E-3</v>
      </c>
      <c r="N1176" s="5" t="s">
        <v>4</v>
      </c>
      <c r="O1176" s="97">
        <f>_xll.meDateFromTenor(O1175,"1D","FOLLOWING","TGT")</f>
        <v>44176</v>
      </c>
      <c r="P1176" s="95">
        <f ca="1"/>
        <v>6.1475375533142085E-3</v>
      </c>
      <c r="Q1176" s="5" t="s">
        <v>4</v>
      </c>
      <c r="R1176" s="83" t="s">
        <v>4</v>
      </c>
    </row>
    <row r="1177" spans="1:18" x14ac:dyDescent="0.25">
      <c r="A1177" s="88">
        <v>1163</v>
      </c>
      <c r="B1177" s="82"/>
      <c r="C1177" s="97">
        <f>_xll.meDateFromTenor(C1176,"1D","FOLLOWING","TGT")</f>
        <v>44179</v>
      </c>
      <c r="D1177" s="95">
        <f ca="1"/>
        <v>2.7876795901105034E-4</v>
      </c>
      <c r="E1177" s="92"/>
      <c r="F1177" s="97">
        <f>_xll.meDateFromTenor(F1176,"1D","FOLLOWING","TGT")</f>
        <v>44179</v>
      </c>
      <c r="G1177" s="95">
        <f ca="1"/>
        <v>1.1495752947132982E-3</v>
      </c>
      <c r="H1177" s="92" t="s">
        <v>4</v>
      </c>
      <c r="I1177" s="97">
        <f>_xll.meDateFromTenor(I1176,"1D","FOLLOWING","TGT")</f>
        <v>44179</v>
      </c>
      <c r="J1177" s="95">
        <f ca="1"/>
        <v>2.2939180631725911E-3</v>
      </c>
      <c r="K1177" s="5" t="s">
        <v>4</v>
      </c>
      <c r="L1177" s="97">
        <f>_xll.meDateFromTenor(L1176,"1D","FOLLOWING","TGT")</f>
        <v>44179</v>
      </c>
      <c r="M1177" s="95">
        <f ca="1"/>
        <v>4.1583549619010748E-3</v>
      </c>
      <c r="N1177" s="5" t="s">
        <v>4</v>
      </c>
      <c r="O1177" s="97">
        <f>_xll.meDateFromTenor(O1176,"1D","FOLLOWING","TGT")</f>
        <v>44179</v>
      </c>
      <c r="P1177" s="95">
        <f ca="1"/>
        <v>6.1687614463145409E-3</v>
      </c>
      <c r="Q1177" s="5" t="s">
        <v>4</v>
      </c>
      <c r="R1177" s="83" t="s">
        <v>4</v>
      </c>
    </row>
    <row r="1178" spans="1:18" x14ac:dyDescent="0.25">
      <c r="A1178" s="88">
        <v>1164</v>
      </c>
      <c r="B1178" s="82"/>
      <c r="C1178" s="97">
        <f>_xll.meDateFromTenor(C1177,"1D","FOLLOWING","TGT")</f>
        <v>44180</v>
      </c>
      <c r="D1178" s="95">
        <f ca="1"/>
        <v>2.8597385950268617E-4</v>
      </c>
      <c r="E1178" s="92"/>
      <c r="F1178" s="97">
        <f>_xll.meDateFromTenor(F1177,"1D","FOLLOWING","TGT")</f>
        <v>44180</v>
      </c>
      <c r="G1178" s="95">
        <f ca="1"/>
        <v>1.1564210703777624E-3</v>
      </c>
      <c r="H1178" s="92" t="s">
        <v>4</v>
      </c>
      <c r="I1178" s="97">
        <f>_xll.meDateFromTenor(I1177,"1D","FOLLOWING","TGT")</f>
        <v>44180</v>
      </c>
      <c r="J1178" s="95">
        <f ca="1"/>
        <v>2.3010897419287646E-3</v>
      </c>
      <c r="K1178" s="5" t="s">
        <v>4</v>
      </c>
      <c r="L1178" s="97">
        <f>_xll.meDateFromTenor(L1177,"1D","FOLLOWING","TGT")</f>
        <v>44180</v>
      </c>
      <c r="M1178" s="95">
        <f ca="1"/>
        <v>4.1652464522419367E-3</v>
      </c>
      <c r="N1178" s="5" t="s">
        <v>4</v>
      </c>
      <c r="O1178" s="97">
        <f>_xll.meDateFromTenor(O1177,"1D","FOLLOWING","TGT")</f>
        <v>44180</v>
      </c>
      <c r="P1178" s="95">
        <f ca="1"/>
        <v>6.1758409458825894E-3</v>
      </c>
      <c r="Q1178" s="5" t="s">
        <v>4</v>
      </c>
      <c r="R1178" s="83" t="s">
        <v>4</v>
      </c>
    </row>
    <row r="1179" spans="1:18" x14ac:dyDescent="0.25">
      <c r="A1179" s="88">
        <v>1165</v>
      </c>
      <c r="B1179" s="82"/>
      <c r="C1179" s="97">
        <f>_xll.meDateFromTenor(C1178,"1D","FOLLOWING","TGT")</f>
        <v>44181</v>
      </c>
      <c r="D1179" s="95">
        <f ca="1"/>
        <v>2.9314531206625638E-4</v>
      </c>
      <c r="E1179" s="92"/>
      <c r="F1179" s="97">
        <f>_xll.meDateFromTenor(F1178,"1D","FOLLOWING","TGT")</f>
        <v>44181</v>
      </c>
      <c r="G1179" s="95">
        <f ca="1"/>
        <v>1.1632430787723855E-3</v>
      </c>
      <c r="H1179" s="92" t="s">
        <v>4</v>
      </c>
      <c r="I1179" s="97">
        <f>_xll.meDateFromTenor(I1178,"1D","FOLLOWING","TGT")</f>
        <v>44181</v>
      </c>
      <c r="J1179" s="95">
        <f ca="1"/>
        <v>2.3082682759797963E-3</v>
      </c>
      <c r="K1179" s="5" t="s">
        <v>4</v>
      </c>
      <c r="L1179" s="97">
        <f>_xll.meDateFromTenor(L1178,"1D","FOLLOWING","TGT")</f>
        <v>44181</v>
      </c>
      <c r="M1179" s="95">
        <f ca="1"/>
        <v>4.1721407204331805E-3</v>
      </c>
      <c r="N1179" s="5" t="s">
        <v>4</v>
      </c>
      <c r="O1179" s="97">
        <f>_xll.meDateFromTenor(O1178,"1D","FOLLOWING","TGT")</f>
        <v>44181</v>
      </c>
      <c r="P1179" s="95">
        <f ca="1"/>
        <v>6.1829228560997818E-3</v>
      </c>
      <c r="Q1179" s="5" t="s">
        <v>4</v>
      </c>
      <c r="R1179" s="83" t="s">
        <v>4</v>
      </c>
    </row>
    <row r="1180" spans="1:18" x14ac:dyDescent="0.25">
      <c r="A1180" s="88">
        <v>1166</v>
      </c>
      <c r="B1180" s="82"/>
      <c r="C1180" s="97">
        <f>_xll.meDateFromTenor(C1179,"1D","FOLLOWING","TGT")</f>
        <v>44182</v>
      </c>
      <c r="D1180" s="95">
        <f ca="1"/>
        <v>3.0028231628254076E-4</v>
      </c>
      <c r="E1180" s="92"/>
      <c r="F1180" s="97">
        <f>_xll.meDateFromTenor(F1179,"1D","FOLLOWING","TGT")</f>
        <v>44182</v>
      </c>
      <c r="G1180" s="95">
        <f ca="1"/>
        <v>1.1700426983671521E-3</v>
      </c>
      <c r="H1180" s="92" t="s">
        <v>4</v>
      </c>
      <c r="I1180" s="97">
        <f>_xll.meDateFromTenor(I1179,"1D","FOLLOWING","TGT")</f>
        <v>44182</v>
      </c>
      <c r="J1180" s="95">
        <f ca="1"/>
        <v>2.3154536140098858E-3</v>
      </c>
      <c r="K1180" s="5" t="s">
        <v>4</v>
      </c>
      <c r="L1180" s="97">
        <f>_xll.meDateFromTenor(L1179,"1D","FOLLOWING","TGT")</f>
        <v>44182</v>
      </c>
      <c r="M1180" s="95">
        <f ca="1"/>
        <v>4.1790377658994593E-3</v>
      </c>
      <c r="N1180" s="5" t="s">
        <v>4</v>
      </c>
      <c r="O1180" s="97">
        <f>_xll.meDateFromTenor(O1179,"1D","FOLLOWING","TGT")</f>
        <v>44182</v>
      </c>
      <c r="P1180" s="95">
        <f ca="1"/>
        <v>6.1900071627852254E-3</v>
      </c>
      <c r="Q1180" s="5" t="s">
        <v>4</v>
      </c>
      <c r="R1180" s="83" t="s">
        <v>4</v>
      </c>
    </row>
    <row r="1181" spans="1:18" x14ac:dyDescent="0.25">
      <c r="A1181" s="88">
        <v>1167</v>
      </c>
      <c r="B1181" s="82"/>
      <c r="C1181" s="97">
        <f>_xll.meDateFromTenor(C1180,"1D","FOLLOWING","TGT")</f>
        <v>44183</v>
      </c>
      <c r="D1181" s="95">
        <f ca="1"/>
        <v>3.0738487149495342E-4</v>
      </c>
      <c r="E1181" s="92"/>
      <c r="F1181" s="97">
        <f>_xll.meDateFromTenor(F1180,"1D","FOLLOWING","TGT")</f>
        <v>44183</v>
      </c>
      <c r="G1181" s="95">
        <f ca="1"/>
        <v>1.1768213076320455E-3</v>
      </c>
      <c r="H1181" s="92" t="s">
        <v>4</v>
      </c>
      <c r="I1181" s="97">
        <f>_xll.meDateFromTenor(I1180,"1D","FOLLOWING","TGT")</f>
        <v>44183</v>
      </c>
      <c r="J1181" s="95">
        <f ca="1"/>
        <v>2.3226457047032315E-3</v>
      </c>
      <c r="K1181" s="5" t="s">
        <v>4</v>
      </c>
      <c r="L1181" s="97">
        <f>_xll.meDateFromTenor(L1180,"1D","FOLLOWING","TGT")</f>
        <v>44183</v>
      </c>
      <c r="M1181" s="95">
        <f ca="1"/>
        <v>4.185937588065426E-3</v>
      </c>
      <c r="N1181" s="5" t="s">
        <v>4</v>
      </c>
      <c r="O1181" s="97">
        <f>_xll.meDateFromTenor(O1180,"1D","FOLLOWING","TGT")</f>
        <v>44183</v>
      </c>
      <c r="P1181" s="95">
        <f ca="1"/>
        <v>6.1970938517580312E-3</v>
      </c>
      <c r="Q1181" s="5" t="s">
        <v>4</v>
      </c>
      <c r="R1181" s="83" t="s">
        <v>4</v>
      </c>
    </row>
    <row r="1182" spans="1:18" x14ac:dyDescent="0.25">
      <c r="A1182" s="88">
        <v>1168</v>
      </c>
      <c r="B1182" s="82"/>
      <c r="C1182" s="97">
        <f>_xll.meDateFromTenor(C1181,"1D","FOLLOWING","TGT")</f>
        <v>44186</v>
      </c>
      <c r="D1182" s="95">
        <f ca="1"/>
        <v>3.2848584004163683E-4</v>
      </c>
      <c r="E1182" s="92"/>
      <c r="F1182" s="97">
        <f>_xll.meDateFromTenor(F1181,"1D","FOLLOWING","TGT")</f>
        <v>44186</v>
      </c>
      <c r="G1182" s="95">
        <f ca="1"/>
        <v>1.1970448581472895E-3</v>
      </c>
      <c r="H1182" s="92" t="s">
        <v>4</v>
      </c>
      <c r="I1182" s="97">
        <f>_xll.meDateFromTenor(I1181,"1D","FOLLOWING","TGT")</f>
        <v>44186</v>
      </c>
      <c r="J1182" s="95">
        <f ca="1"/>
        <v>2.3442619796047539E-3</v>
      </c>
      <c r="K1182" s="5" t="s">
        <v>4</v>
      </c>
      <c r="L1182" s="97">
        <f>_xll.meDateFromTenor(L1181,"1D","FOLLOWING","TGT")</f>
        <v>44186</v>
      </c>
      <c r="M1182" s="95">
        <f ca="1"/>
        <v>4.206653709007936E-3</v>
      </c>
      <c r="N1182" s="5" t="s">
        <v>4</v>
      </c>
      <c r="O1182" s="97">
        <f>_xll.meDateFromTenor(O1181,"1D","FOLLOWING","TGT")</f>
        <v>44186</v>
      </c>
      <c r="P1182" s="95">
        <f ca="1"/>
        <v>6.2183680705916742E-3</v>
      </c>
      <c r="Q1182" s="5" t="s">
        <v>4</v>
      </c>
      <c r="R1182" s="83" t="s">
        <v>4</v>
      </c>
    </row>
    <row r="1183" spans="1:18" x14ac:dyDescent="0.25">
      <c r="A1183" s="88">
        <v>1169</v>
      </c>
      <c r="B1183" s="82"/>
      <c r="C1183" s="97">
        <f>_xll.meDateFromTenor(C1182,"1D","FOLLOWING","TGT")</f>
        <v>44187</v>
      </c>
      <c r="D1183" s="95">
        <f ca="1"/>
        <v>3.3545059562878343E-4</v>
      </c>
      <c r="E1183" s="92"/>
      <c r="F1183" s="97">
        <f>_xll.meDateFromTenor(F1182,"1D","FOLLOWING","TGT")</f>
        <v>44187</v>
      </c>
      <c r="G1183" s="95">
        <f ca="1"/>
        <v>1.2037532107924992E-3</v>
      </c>
      <c r="H1183" s="92" t="s">
        <v>4</v>
      </c>
      <c r="I1183" s="97">
        <f>_xll.meDateFromTenor(I1182,"1D","FOLLOWING","TGT")</f>
        <v>44187</v>
      </c>
      <c r="J1183" s="95">
        <f ca="1"/>
        <v>2.351480567793079E-3</v>
      </c>
      <c r="K1183" s="5" t="s">
        <v>4</v>
      </c>
      <c r="L1183" s="97">
        <f>_xll.meDateFromTenor(L1182,"1D","FOLLOWING","TGT")</f>
        <v>44187</v>
      </c>
      <c r="M1183" s="95">
        <f ca="1"/>
        <v>4.2135646322191463E-3</v>
      </c>
      <c r="N1183" s="5" t="s">
        <v>4</v>
      </c>
      <c r="O1183" s="97">
        <f>_xll.meDateFromTenor(O1182,"1D","FOLLOWING","TGT")</f>
        <v>44187</v>
      </c>
      <c r="P1183" s="95">
        <f ca="1"/>
        <v>6.2254641469049864E-3</v>
      </c>
      <c r="Q1183" s="5" t="s">
        <v>4</v>
      </c>
      <c r="R1183" s="83" t="s">
        <v>4</v>
      </c>
    </row>
    <row r="1184" spans="1:18" x14ac:dyDescent="0.25">
      <c r="A1184" s="88">
        <v>1170</v>
      </c>
      <c r="B1184" s="82"/>
      <c r="C1184" s="97">
        <f>_xll.meDateFromTenor(C1183,"1D","FOLLOWING","TGT")</f>
        <v>44188</v>
      </c>
      <c r="D1184" s="95">
        <f ca="1"/>
        <v>3.4238090018434697E-4</v>
      </c>
      <c r="E1184" s="92"/>
      <c r="F1184" s="97">
        <f>_xll.meDateFromTenor(F1183,"1D","FOLLOWING","TGT")</f>
        <v>44188</v>
      </c>
      <c r="G1184" s="95">
        <f ca="1"/>
        <v>1.2104474454577433E-3</v>
      </c>
      <c r="H1184" s="92" t="s">
        <v>4</v>
      </c>
      <c r="I1184" s="97">
        <f>_xll.meDateFromTenor(I1183,"1D","FOLLOWING","TGT")</f>
        <v>44188</v>
      </c>
      <c r="J1184" s="95">
        <f ca="1"/>
        <v>2.3587056520656411E-3</v>
      </c>
      <c r="K1184" s="5" t="s">
        <v>4</v>
      </c>
      <c r="L1184" s="97">
        <f>_xll.meDateFromTenor(L1183,"1D","FOLLOWING","TGT")</f>
        <v>44188</v>
      </c>
      <c r="M1184" s="95">
        <f ca="1"/>
        <v>4.2204783292532945E-3</v>
      </c>
      <c r="N1184" s="5" t="s">
        <v>4</v>
      </c>
      <c r="O1184" s="97">
        <f>_xll.meDateFromTenor(O1183,"1D","FOLLOWING","TGT")</f>
        <v>44188</v>
      </c>
      <c r="P1184" s="95">
        <f ca="1"/>
        <v>6.2325625346011946E-3</v>
      </c>
      <c r="Q1184" s="5" t="s">
        <v>4</v>
      </c>
      <c r="R1184" s="83" t="s">
        <v>4</v>
      </c>
    </row>
    <row r="1185" spans="1:18" x14ac:dyDescent="0.25">
      <c r="A1185" s="88">
        <v>1171</v>
      </c>
      <c r="B1185" s="82"/>
      <c r="C1185" s="97">
        <f>_xll.meDateFromTenor(C1184,"1D","FOLLOWING","TGT")</f>
        <v>44189</v>
      </c>
      <c r="D1185" s="95">
        <f ca="1"/>
        <v>3.4927675307394601E-4</v>
      </c>
      <c r="E1185" s="92"/>
      <c r="F1185" s="97">
        <f>_xll.meDateFromTenor(F1184,"1D","FOLLOWING","TGT")</f>
        <v>44189</v>
      </c>
      <c r="G1185" s="95">
        <f ca="1"/>
        <v>1.2171289406130059E-3</v>
      </c>
      <c r="H1185" s="92" t="s">
        <v>4</v>
      </c>
      <c r="I1185" s="97">
        <f>_xll.meDateFromTenor(I1184,"1D","FOLLOWING","TGT")</f>
        <v>44189</v>
      </c>
      <c r="J1185" s="95">
        <f ca="1"/>
        <v>2.3659371811066382E-3</v>
      </c>
      <c r="K1185" s="5" t="s">
        <v>4</v>
      </c>
      <c r="L1185" s="97">
        <f>_xll.meDateFromTenor(L1184,"1D","FOLLOWING","TGT")</f>
        <v>44189</v>
      </c>
      <c r="M1185" s="95">
        <f ca="1"/>
        <v>4.2273947995350326E-3</v>
      </c>
      <c r="N1185" s="5" t="s">
        <v>4</v>
      </c>
      <c r="O1185" s="97">
        <f>_xll.meDateFromTenor(O1184,"1D","FOLLOWING","TGT")</f>
        <v>44189</v>
      </c>
      <c r="P1185" s="95">
        <f ca="1"/>
        <v>6.239663219499406E-3</v>
      </c>
      <c r="Q1185" s="5" t="s">
        <v>4</v>
      </c>
      <c r="R1185" s="83" t="s">
        <v>4</v>
      </c>
    </row>
    <row r="1186" spans="1:18" x14ac:dyDescent="0.25">
      <c r="A1186" s="88">
        <v>1172</v>
      </c>
      <c r="B1186" s="82"/>
      <c r="C1186" s="97">
        <f>_xll.meDateFromTenor(C1185,"1D","FOLLOWING","TGT")</f>
        <v>44193</v>
      </c>
      <c r="D1186" s="95">
        <f ca="1"/>
        <v>3.7651564139951077E-4</v>
      </c>
      <c r="E1186" s="92"/>
      <c r="F1186" s="97">
        <f>_xll.meDateFromTenor(F1185,"1D","FOLLOWING","TGT")</f>
        <v>44193</v>
      </c>
      <c r="G1186" s="95">
        <f ca="1"/>
        <v>1.2437550955338504E-3</v>
      </c>
      <c r="H1186" s="92" t="s">
        <v>4</v>
      </c>
      <c r="I1186" s="97">
        <f>_xll.meDateFromTenor(I1185,"1D","FOLLOWING","TGT")</f>
        <v>44193</v>
      </c>
      <c r="J1186" s="95">
        <f ca="1"/>
        <v>2.3949267186388866E-3</v>
      </c>
      <c r="K1186" s="5" t="s">
        <v>4</v>
      </c>
      <c r="L1186" s="97">
        <f>_xll.meDateFromTenor(L1185,"1D","FOLLOWING","TGT")</f>
        <v>44193</v>
      </c>
      <c r="M1186" s="95">
        <f ca="1"/>
        <v>4.2550884016308741E-3</v>
      </c>
      <c r="N1186" s="5" t="s">
        <v>4</v>
      </c>
      <c r="O1186" s="97">
        <f>_xll.meDateFromTenor(O1185,"1D","FOLLOWING","TGT")</f>
        <v>44193</v>
      </c>
      <c r="P1186" s="95">
        <f ca="1"/>
        <v>6.2680886474944016E-3</v>
      </c>
      <c r="Q1186" s="5" t="s">
        <v>4</v>
      </c>
      <c r="R1186" s="83" t="s">
        <v>4</v>
      </c>
    </row>
    <row r="1187" spans="1:18" x14ac:dyDescent="0.25">
      <c r="A1187" s="88">
        <v>1173</v>
      </c>
      <c r="B1187" s="82"/>
      <c r="C1187" s="97">
        <f>_xll.meDateFromTenor(C1186,"1D","FOLLOWING","TGT")</f>
        <v>44194</v>
      </c>
      <c r="D1187" s="95">
        <f ca="1"/>
        <v>3.8323923024075057E-4</v>
      </c>
      <c r="E1187" s="92"/>
      <c r="F1187" s="97">
        <f>_xll.meDateFromTenor(F1186,"1D","FOLLOWING","TGT")</f>
        <v>44194</v>
      </c>
      <c r="G1187" s="95">
        <f ca="1"/>
        <v>1.2503935701889226E-3</v>
      </c>
      <c r="H1187" s="92" t="s">
        <v>4</v>
      </c>
      <c r="I1187" s="97">
        <f>_xll.meDateFromTenor(I1186,"1D","FOLLOWING","TGT")</f>
        <v>44194</v>
      </c>
      <c r="J1187" s="95">
        <f ca="1"/>
        <v>2.4021897017849989E-3</v>
      </c>
      <c r="K1187" s="5" t="s">
        <v>4</v>
      </c>
      <c r="L1187" s="97">
        <f>_xll.meDateFromTenor(L1186,"1D","FOLLOWING","TGT")</f>
        <v>44194</v>
      </c>
      <c r="M1187" s="95">
        <f ca="1"/>
        <v>4.2620187295203116E-3</v>
      </c>
      <c r="N1187" s="5" t="s">
        <v>4</v>
      </c>
      <c r="O1187" s="97">
        <f>_xll.meDateFromTenor(O1186,"1D","FOLLOWING","TGT")</f>
        <v>44194</v>
      </c>
      <c r="P1187" s="95">
        <f ca="1"/>
        <v>6.2752006056892261E-3</v>
      </c>
      <c r="Q1187" s="5" t="s">
        <v>4</v>
      </c>
      <c r="R1187" s="83" t="s">
        <v>4</v>
      </c>
    </row>
    <row r="1188" spans="1:18" x14ac:dyDescent="0.25">
      <c r="A1188" s="88">
        <v>1174</v>
      </c>
      <c r="B1188" s="82"/>
      <c r="C1188" s="97">
        <f>_xll.meDateFromTenor(C1187,"1D","FOLLOWING","TGT")</f>
        <v>44195</v>
      </c>
      <c r="D1188" s="95">
        <f ca="1"/>
        <v>3.8992836472195869E-4</v>
      </c>
      <c r="E1188" s="92"/>
      <c r="F1188" s="97">
        <f>_xll.meDateFromTenor(F1187,"1D","FOLLOWING","TGT")</f>
        <v>44195</v>
      </c>
      <c r="G1188" s="95">
        <f ca="1"/>
        <v>1.2570275761539006E-3</v>
      </c>
      <c r="H1188" s="92" t="s">
        <v>4</v>
      </c>
      <c r="I1188" s="97">
        <f>_xll.meDateFromTenor(I1187,"1D","FOLLOWING","TGT")</f>
        <v>44195</v>
      </c>
      <c r="J1188" s="95">
        <f ca="1"/>
        <v>2.4094588218047217E-3</v>
      </c>
      <c r="K1188" s="5" t="s">
        <v>4</v>
      </c>
      <c r="L1188" s="97">
        <f>_xll.meDateFromTenor(L1187,"1D","FOLLOWING","TGT")</f>
        <v>44195</v>
      </c>
      <c r="M1188" s="95">
        <f ca="1"/>
        <v>4.2689518272052383E-3</v>
      </c>
      <c r="N1188" s="5" t="s">
        <v>4</v>
      </c>
      <c r="O1188" s="97">
        <f>_xll.meDateFromTenor(O1187,"1D","FOLLOWING","TGT")</f>
        <v>44195</v>
      </c>
      <c r="P1188" s="95">
        <f ca="1"/>
        <v>6.2823147760006914E-3</v>
      </c>
      <c r="Q1188" s="5" t="s">
        <v>4</v>
      </c>
      <c r="R1188" s="83" t="s">
        <v>4</v>
      </c>
    </row>
    <row r="1189" spans="1:18" x14ac:dyDescent="0.25">
      <c r="A1189" s="88">
        <v>1175</v>
      </c>
      <c r="B1189" s="82"/>
      <c r="C1189" s="97">
        <f>_xll.meDateFromTenor(C1188,"1D","FOLLOWING","TGT")</f>
        <v>44196</v>
      </c>
      <c r="D1189" s="95">
        <f ca="1"/>
        <v>3.9767889892372565E-4</v>
      </c>
      <c r="E1189" s="92"/>
      <c r="F1189" s="97">
        <f>_xll.meDateFromTenor(F1188,"1D","FOLLOWING","TGT")</f>
        <v>44196</v>
      </c>
      <c r="G1189" s="95">
        <f ca="1"/>
        <v>1.2636584918987702E-3</v>
      </c>
      <c r="H1189" s="92" t="s">
        <v>4</v>
      </c>
      <c r="I1189" s="97">
        <f>_xll.meDateFromTenor(I1188,"1D","FOLLOWING","TGT")</f>
        <v>44196</v>
      </c>
      <c r="J1189" s="95">
        <f ca="1"/>
        <v>2.416734027382256E-3</v>
      </c>
      <c r="K1189" s="5" t="s">
        <v>4</v>
      </c>
      <c r="L1189" s="97">
        <f>_xll.meDateFromTenor(L1188,"1D","FOLLOWING","TGT")</f>
        <v>44196</v>
      </c>
      <c r="M1189" s="95">
        <f ca="1"/>
        <v>4.2758876941103091E-3</v>
      </c>
      <c r="N1189" s="5" t="s">
        <v>4</v>
      </c>
      <c r="O1189" s="97">
        <f>_xll.meDateFromTenor(O1188,"1D","FOLLOWING","TGT")</f>
        <v>44196</v>
      </c>
      <c r="P1189" s="95">
        <f ca="1"/>
        <v>6.2894311442479112E-3</v>
      </c>
      <c r="Q1189" s="5" t="s">
        <v>4</v>
      </c>
      <c r="R1189" s="83" t="s">
        <v>4</v>
      </c>
    </row>
    <row r="1190" spans="1:18" x14ac:dyDescent="0.25">
      <c r="A1190" s="88">
        <v>1176</v>
      </c>
      <c r="B1190" s="82"/>
      <c r="C1190" s="97">
        <f>_xll.meDateFromTenor(C1189,"1D","FOLLOWING","TGT")</f>
        <v>44200</v>
      </c>
      <c r="D1190" s="95">
        <f ca="1"/>
        <v>4.2409630783213359E-4</v>
      </c>
      <c r="E1190" s="92"/>
      <c r="F1190" s="97">
        <f>_xll.meDateFromTenor(F1189,"1D","FOLLOWING","TGT")</f>
        <v>44200</v>
      </c>
      <c r="G1190" s="95">
        <f ca="1"/>
        <v>1.2902515237945313E-3</v>
      </c>
      <c r="H1190" s="92" t="s">
        <v>4</v>
      </c>
      <c r="I1190" s="97">
        <f>_xll.meDateFromTenor(I1189,"1D","FOLLOWING","TGT")</f>
        <v>44200</v>
      </c>
      <c r="J1190" s="95">
        <f ca="1"/>
        <v>2.4459747007585875E-3</v>
      </c>
      <c r="K1190" s="5" t="s">
        <v>4</v>
      </c>
      <c r="L1190" s="97">
        <f>_xll.meDateFromTenor(L1189,"1D","FOLLOWING","TGT")</f>
        <v>44200</v>
      </c>
      <c r="M1190" s="95">
        <f ca="1"/>
        <v>4.3037349885779773E-3</v>
      </c>
      <c r="N1190" s="5" t="s">
        <v>4</v>
      </c>
      <c r="O1190" s="97">
        <f>_xll.meDateFromTenor(O1189,"1D","FOLLOWING","TGT")</f>
        <v>44200</v>
      </c>
      <c r="P1190" s="95">
        <f ca="1"/>
        <v>6.317996407176044E-3</v>
      </c>
      <c r="Q1190" s="5" t="s">
        <v>4</v>
      </c>
      <c r="R1190" s="83" t="s">
        <v>4</v>
      </c>
    </row>
    <row r="1191" spans="1:18" x14ac:dyDescent="0.25">
      <c r="A1191" s="88">
        <v>1177</v>
      </c>
      <c r="B1191" s="82"/>
      <c r="C1191" s="97">
        <f>_xll.meDateFromTenor(C1190,"1D","FOLLOWING","TGT")</f>
        <v>44201</v>
      </c>
      <c r="D1191" s="95">
        <f ca="1"/>
        <v>4.3061380887743361E-4</v>
      </c>
      <c r="E1191" s="92"/>
      <c r="F1191" s="97">
        <f>_xll.meDateFromTenor(F1190,"1D","FOLLOWING","TGT")</f>
        <v>44201</v>
      </c>
      <c r="G1191" s="95">
        <f ca="1"/>
        <v>1.2969061601603269E-3</v>
      </c>
      <c r="H1191" s="92" t="s">
        <v>4</v>
      </c>
      <c r="I1191" s="97">
        <f>_xll.meDateFromTenor(I1190,"1D","FOLLOWING","TGT")</f>
        <v>44201</v>
      </c>
      <c r="J1191" s="95">
        <f ca="1"/>
        <v>2.453299649441265E-3</v>
      </c>
      <c r="K1191" s="5" t="s">
        <v>4</v>
      </c>
      <c r="L1191" s="97">
        <f>_xll.meDateFromTenor(L1190,"1D","FOLLOWING","TGT")</f>
        <v>44201</v>
      </c>
      <c r="M1191" s="95">
        <f ca="1"/>
        <v>4.3107037674347867E-3</v>
      </c>
      <c r="N1191" s="5" t="s">
        <v>4</v>
      </c>
      <c r="O1191" s="97">
        <f>_xll.meDateFromTenor(O1190,"1D","FOLLOWING","TGT")</f>
        <v>44201</v>
      </c>
      <c r="P1191" s="95">
        <f ca="1"/>
        <v>6.3251431050173907E-3</v>
      </c>
      <c r="Q1191" s="5" t="s">
        <v>4</v>
      </c>
      <c r="R1191" s="83" t="s">
        <v>4</v>
      </c>
    </row>
    <row r="1192" spans="1:18" x14ac:dyDescent="0.25">
      <c r="A1192" s="88">
        <v>1178</v>
      </c>
      <c r="B1192" s="82"/>
      <c r="C1192" s="97">
        <f>_xll.meDateFromTenor(C1191,"1D","FOLLOWING","TGT")</f>
        <v>44202</v>
      </c>
      <c r="D1192" s="95">
        <f ca="1"/>
        <v>4.3709656828050392E-4</v>
      </c>
      <c r="E1192" s="92"/>
      <c r="F1192" s="97">
        <f>_xll.meDateFromTenor(F1191,"1D","FOLLOWING","TGT")</f>
        <v>44202</v>
      </c>
      <c r="G1192" s="95">
        <f ca="1"/>
        <v>1.3035675696336177E-3</v>
      </c>
      <c r="H1192" s="92" t="s">
        <v>4</v>
      </c>
      <c r="I1192" s="97">
        <f>_xll.meDateFromTenor(I1191,"1D","FOLLOWING","TGT")</f>
        <v>44202</v>
      </c>
      <c r="J1192" s="95">
        <f ca="1"/>
        <v>2.4606304067819134E-3</v>
      </c>
      <c r="K1192" s="5" t="s">
        <v>4</v>
      </c>
      <c r="L1192" s="97">
        <f>_xll.meDateFromTenor(L1191,"1D","FOLLOWING","TGT")</f>
        <v>44202</v>
      </c>
      <c r="M1192" s="95">
        <f ca="1"/>
        <v>4.3176753272273702E-3</v>
      </c>
      <c r="N1192" s="5" t="s">
        <v>4</v>
      </c>
      <c r="O1192" s="97">
        <f>_xll.meDateFromTenor(O1191,"1D","FOLLOWING","TGT")</f>
        <v>44202</v>
      </c>
      <c r="P1192" s="95">
        <f ca="1"/>
        <v>6.3322919271069254E-3</v>
      </c>
      <c r="Q1192" s="5" t="s">
        <v>4</v>
      </c>
      <c r="R1192" s="83" t="s">
        <v>4</v>
      </c>
    </row>
    <row r="1193" spans="1:18" x14ac:dyDescent="0.25">
      <c r="A1193" s="88">
        <v>1179</v>
      </c>
      <c r="B1193" s="82"/>
      <c r="C1193" s="97">
        <f>_xll.meDateFromTenor(C1192,"1D","FOLLOWING","TGT")</f>
        <v>44203</v>
      </c>
      <c r="D1193" s="95">
        <f ca="1"/>
        <v>4.4354458592810175E-4</v>
      </c>
      <c r="E1193" s="92"/>
      <c r="F1193" s="97">
        <f>_xll.meDateFromTenor(F1192,"1D","FOLLOWING","TGT")</f>
        <v>44203</v>
      </c>
      <c r="G1193" s="95">
        <f ca="1"/>
        <v>1.3102386871405641E-3</v>
      </c>
      <c r="H1193" s="92" t="s">
        <v>4</v>
      </c>
      <c r="I1193" s="97">
        <f>_xll.meDateFromTenor(I1192,"1D","FOLLOWING","TGT")</f>
        <v>44203</v>
      </c>
      <c r="J1193" s="95">
        <f ca="1"/>
        <v>2.4679669210417978E-3</v>
      </c>
      <c r="K1193" s="5" t="s">
        <v>4</v>
      </c>
      <c r="L1193" s="97">
        <f>_xll.meDateFromTenor(L1192,"1D","FOLLOWING","TGT")</f>
        <v>44203</v>
      </c>
      <c r="M1193" s="95">
        <f ca="1"/>
        <v>4.3246496673756346E-3</v>
      </c>
      <c r="N1193" s="5" t="s">
        <v>4</v>
      </c>
      <c r="O1193" s="97">
        <f>_xll.meDateFromTenor(O1192,"1D","FOLLOWING","TGT")</f>
        <v>44203</v>
      </c>
      <c r="P1193" s="95">
        <f ca="1"/>
        <v>6.3394428591468854E-3</v>
      </c>
      <c r="Q1193" s="5" t="s">
        <v>4</v>
      </c>
      <c r="R1193" s="83" t="s">
        <v>4</v>
      </c>
    </row>
    <row r="1194" spans="1:18" x14ac:dyDescent="0.25">
      <c r="A1194" s="88">
        <v>1180</v>
      </c>
      <c r="B1194" s="82"/>
      <c r="C1194" s="97">
        <f>_xll.meDateFromTenor(C1193,"1D","FOLLOWING","TGT")</f>
        <v>44204</v>
      </c>
      <c r="D1194" s="95">
        <f ca="1"/>
        <v>4.4995786090917811E-4</v>
      </c>
      <c r="E1194" s="92"/>
      <c r="F1194" s="97">
        <f>_xll.meDateFromTenor(F1193,"1D","FOLLOWING","TGT")</f>
        <v>44204</v>
      </c>
      <c r="G1194" s="95">
        <f ca="1"/>
        <v>1.3169224476073259E-3</v>
      </c>
      <c r="H1194" s="92" t="s">
        <v>4</v>
      </c>
      <c r="I1194" s="97">
        <f>_xll.meDateFromTenor(I1193,"1D","FOLLOWING","TGT")</f>
        <v>44204</v>
      </c>
      <c r="J1194" s="95">
        <f ca="1"/>
        <v>2.4753091404821851E-3</v>
      </c>
      <c r="K1194" s="5" t="s">
        <v>4</v>
      </c>
      <c r="L1194" s="97">
        <f>_xll.meDateFromTenor(L1193,"1D","FOLLOWING","TGT")</f>
        <v>44204</v>
      </c>
      <c r="M1194" s="95">
        <f ca="1"/>
        <v>4.3316267872994902E-3</v>
      </c>
      <c r="N1194" s="5" t="s">
        <v>4</v>
      </c>
      <c r="O1194" s="97">
        <f>_xll.meDateFromTenor(O1193,"1D","FOLLOWING","TGT")</f>
        <v>44204</v>
      </c>
      <c r="P1194" s="95">
        <f ca="1"/>
        <v>6.3465958868394968E-3</v>
      </c>
      <c r="Q1194" s="5" t="s">
        <v>4</v>
      </c>
      <c r="R1194" s="83" t="s">
        <v>4</v>
      </c>
    </row>
    <row r="1195" spans="1:18" x14ac:dyDescent="0.25">
      <c r="A1195" s="88">
        <v>1181</v>
      </c>
      <c r="B1195" s="82"/>
      <c r="C1195" s="97">
        <f>_xll.meDateFromTenor(C1194,"1D","FOLLOWING","TGT")</f>
        <v>44207</v>
      </c>
      <c r="D1195" s="95">
        <f ca="1"/>
        <v>4.6898922624416528E-4</v>
      </c>
      <c r="E1195" s="92"/>
      <c r="F1195" s="97">
        <f>_xll.meDateFromTenor(F1194,"1D","FOLLOWING","TGT")</f>
        <v>44207</v>
      </c>
      <c r="G1195" s="95">
        <f ca="1"/>
        <v>1.337078936028102E-3</v>
      </c>
      <c r="H1195" s="92" t="s">
        <v>4</v>
      </c>
      <c r="I1195" s="97">
        <f>_xll.meDateFromTenor(I1194,"1D","FOLLOWING","TGT")</f>
        <v>44207</v>
      </c>
      <c r="J1195" s="95">
        <f ca="1"/>
        <v>2.4973695124990217E-3</v>
      </c>
      <c r="K1195" s="5" t="s">
        <v>4</v>
      </c>
      <c r="L1195" s="97">
        <f>_xll.meDateFromTenor(L1194,"1D","FOLLOWING","TGT")</f>
        <v>44207</v>
      </c>
      <c r="M1195" s="95">
        <f ca="1"/>
        <v>4.3525748199236894E-3</v>
      </c>
      <c r="N1195" s="5" t="s">
        <v>4</v>
      </c>
      <c r="O1195" s="97">
        <f>_xll.meDateFromTenor(O1194,"1D","FOLLOWING","TGT")</f>
        <v>44207</v>
      </c>
      <c r="P1195" s="95">
        <f ca="1"/>
        <v>6.3680674008555743E-3</v>
      </c>
      <c r="Q1195" s="5" t="s">
        <v>4</v>
      </c>
      <c r="R1195" s="83" t="s">
        <v>4</v>
      </c>
    </row>
    <row r="1196" spans="1:18" x14ac:dyDescent="0.25">
      <c r="A1196" s="88">
        <v>1182</v>
      </c>
      <c r="B1196" s="82"/>
      <c r="C1196" s="97">
        <f>_xll.meDateFromTenor(C1195,"1D","FOLLOWING","TGT")</f>
        <v>44208</v>
      </c>
      <c r="D1196" s="95">
        <f ca="1"/>
        <v>4.752635264870797E-4</v>
      </c>
      <c r="E1196" s="92"/>
      <c r="F1196" s="97">
        <f>_xll.meDateFromTenor(F1195,"1D","FOLLOWING","TGT")</f>
        <v>44208</v>
      </c>
      <c r="G1196" s="95">
        <f ca="1"/>
        <v>1.3438426175957261E-3</v>
      </c>
      <c r="H1196" s="92" t="s">
        <v>4</v>
      </c>
      <c r="I1196" s="97">
        <f>_xll.meDateFromTenor(I1195,"1D","FOLLOWING","TGT")</f>
        <v>44208</v>
      </c>
      <c r="J1196" s="95">
        <f ca="1"/>
        <v>2.5047340352740816E-3</v>
      </c>
      <c r="K1196" s="5" t="s">
        <v>4</v>
      </c>
      <c r="L1196" s="97">
        <f>_xll.meDateFromTenor(L1195,"1D","FOLLOWING","TGT")</f>
        <v>44208</v>
      </c>
      <c r="M1196" s="95">
        <f ca="1"/>
        <v>4.3595630531489959E-3</v>
      </c>
      <c r="N1196" s="5" t="s">
        <v>4</v>
      </c>
      <c r="O1196" s="97">
        <f>_xll.meDateFromTenor(O1195,"1D","FOLLOWING","TGT")</f>
        <v>44208</v>
      </c>
      <c r="P1196" s="95">
        <f ca="1"/>
        <v>6.3752286681811217E-3</v>
      </c>
      <c r="Q1196" s="5" t="s">
        <v>4</v>
      </c>
      <c r="R1196" s="83" t="s">
        <v>4</v>
      </c>
    </row>
    <row r="1197" spans="1:18" x14ac:dyDescent="0.25">
      <c r="A1197" s="88">
        <v>1183</v>
      </c>
      <c r="B1197" s="82"/>
      <c r="C1197" s="97">
        <f>_xll.meDateFromTenor(C1196,"1D","FOLLOWING","TGT")</f>
        <v>44209</v>
      </c>
      <c r="D1197" s="95">
        <f ca="1"/>
        <v>4.8150308156613697E-4</v>
      </c>
      <c r="E1197" s="92"/>
      <c r="F1197" s="97">
        <f>_xll.meDateFromTenor(F1196,"1D","FOLLOWING","TGT")</f>
        <v>44209</v>
      </c>
      <c r="G1197" s="95">
        <f ca="1"/>
        <v>1.3506336167539656E-3</v>
      </c>
      <c r="H1197" s="92" t="s">
        <v>4</v>
      </c>
      <c r="I1197" s="97">
        <f>_xll.meDateFromTenor(I1196,"1D","FOLLOWING","TGT")</f>
        <v>44209</v>
      </c>
      <c r="J1197" s="95">
        <f ca="1"/>
        <v>2.5121040045359751E-3</v>
      </c>
      <c r="K1197" s="5" t="s">
        <v>4</v>
      </c>
      <c r="L1197" s="97">
        <f>_xll.meDateFromTenor(L1196,"1D","FOLLOWING","TGT")</f>
        <v>44209</v>
      </c>
      <c r="M1197" s="95">
        <f ca="1"/>
        <v>4.3665540632494377E-3</v>
      </c>
      <c r="N1197" s="5" t="s">
        <v>4</v>
      </c>
      <c r="O1197" s="97">
        <f>_xll.meDateFromTenor(O1196,"1D","FOLLOWING","TGT")</f>
        <v>44209</v>
      </c>
      <c r="P1197" s="95">
        <f ca="1"/>
        <v>6.3823919596704831E-3</v>
      </c>
      <c r="Q1197" s="5" t="s">
        <v>4</v>
      </c>
      <c r="R1197" s="83" t="s">
        <v>4</v>
      </c>
    </row>
    <row r="1198" spans="1:18" x14ac:dyDescent="0.25">
      <c r="A1198" s="88">
        <v>1184</v>
      </c>
      <c r="B1198" s="82"/>
      <c r="C1198" s="97">
        <f>_xll.meDateFromTenor(C1197,"1D","FOLLOWING","TGT")</f>
        <v>44210</v>
      </c>
      <c r="D1198" s="95">
        <f ca="1"/>
        <v>4.8770789123131486E-4</v>
      </c>
      <c r="E1198" s="92"/>
      <c r="F1198" s="97">
        <f>_xll.meDateFromTenor(F1197,"1D","FOLLOWING","TGT")</f>
        <v>44210</v>
      </c>
      <c r="G1198" s="95">
        <f ca="1"/>
        <v>1.3574548684289812E-3</v>
      </c>
      <c r="H1198" s="92" t="s">
        <v>4</v>
      </c>
      <c r="I1198" s="97">
        <f>_xll.meDateFromTenor(I1197,"1D","FOLLOWING","TGT")</f>
        <v>44210</v>
      </c>
      <c r="J1198" s="95">
        <f ca="1"/>
        <v>2.5194793685459687E-3</v>
      </c>
      <c r="K1198" s="5" t="s">
        <v>4</v>
      </c>
      <c r="L1198" s="97">
        <f>_xll.meDateFromTenor(L1197,"1D","FOLLOWING","TGT")</f>
        <v>44210</v>
      </c>
      <c r="M1198" s="95">
        <f ca="1"/>
        <v>4.3735478496449215E-3</v>
      </c>
      <c r="N1198" s="5" t="s">
        <v>4</v>
      </c>
      <c r="O1198" s="97">
        <f>_xll.meDateFromTenor(O1197,"1D","FOLLOWING","TGT")</f>
        <v>44210</v>
      </c>
      <c r="P1198" s="95">
        <f ca="1"/>
        <v>6.3895572610258924E-3</v>
      </c>
      <c r="Q1198" s="5" t="s">
        <v>4</v>
      </c>
      <c r="R1198" s="83" t="s">
        <v>4</v>
      </c>
    </row>
    <row r="1199" spans="1:18" x14ac:dyDescent="0.25">
      <c r="A1199" s="88">
        <v>1185</v>
      </c>
      <c r="B1199" s="82"/>
      <c r="C1199" s="97">
        <f>_xll.meDateFromTenor(C1198,"1D","FOLLOWING","TGT")</f>
        <v>44211</v>
      </c>
      <c r="D1199" s="95">
        <f ca="1"/>
        <v>4.9387795515842825E-4</v>
      </c>
      <c r="E1199" s="92"/>
      <c r="F1199" s="97">
        <f>_xll.meDateFromTenor(F1198,"1D","FOLLOWING","TGT")</f>
        <v>44211</v>
      </c>
      <c r="G1199" s="95">
        <f ca="1"/>
        <v>1.3643093075469321E-3</v>
      </c>
      <c r="H1199" s="92" t="s">
        <v>4</v>
      </c>
      <c r="I1199" s="97">
        <f>_xll.meDateFromTenor(I1198,"1D","FOLLOWING","TGT")</f>
        <v>44211</v>
      </c>
      <c r="J1199" s="95">
        <f ca="1"/>
        <v>2.5268600755653289E-3</v>
      </c>
      <c r="K1199" s="5" t="s">
        <v>4</v>
      </c>
      <c r="L1199" s="97">
        <f>_xll.meDateFromTenor(L1198,"1D","FOLLOWING","TGT")</f>
        <v>44211</v>
      </c>
      <c r="M1199" s="95">
        <f ca="1"/>
        <v>4.3805444117553565E-3</v>
      </c>
      <c r="N1199" s="5" t="s">
        <v>4</v>
      </c>
      <c r="O1199" s="97">
        <f>_xll.meDateFromTenor(O1198,"1D","FOLLOWING","TGT")</f>
        <v>44211</v>
      </c>
      <c r="P1199" s="95">
        <f ca="1"/>
        <v>6.3967245579495775E-3</v>
      </c>
      <c r="Q1199" s="5" t="s">
        <v>4</v>
      </c>
      <c r="R1199" s="83" t="s">
        <v>4</v>
      </c>
    </row>
    <row r="1200" spans="1:18" x14ac:dyDescent="0.25">
      <c r="A1200" s="88">
        <v>1186</v>
      </c>
      <c r="B1200" s="82"/>
      <c r="C1200" s="97">
        <f>_xll.meDateFromTenor(C1199,"1D","FOLLOWING","TGT")</f>
        <v>44214</v>
      </c>
      <c r="D1200" s="95">
        <f ca="1"/>
        <v>5.121796649103505E-4</v>
      </c>
      <c r="E1200" s="92"/>
      <c r="F1200" s="97">
        <f>_xll.meDateFromTenor(F1199,"1D","FOLLOWING","TGT")</f>
        <v>44214</v>
      </c>
      <c r="G1200" s="95">
        <f ca="1"/>
        <v>1.3851010988200009E-3</v>
      </c>
      <c r="H1200" s="92" t="s">
        <v>4</v>
      </c>
      <c r="I1200" s="97">
        <f>_xll.meDateFromTenor(I1199,"1D","FOLLOWING","TGT")</f>
        <v>44214</v>
      </c>
      <c r="J1200" s="95">
        <f ca="1"/>
        <v>2.5490337372922663E-3</v>
      </c>
      <c r="K1200" s="5" t="s">
        <v>4</v>
      </c>
      <c r="L1200" s="97">
        <f>_xll.meDateFromTenor(L1199,"1D","FOLLOWING","TGT")</f>
        <v>44214</v>
      </c>
      <c r="M1200" s="95">
        <f ca="1"/>
        <v>4.4015507465754592E-3</v>
      </c>
      <c r="N1200" s="5" t="s">
        <v>4</v>
      </c>
      <c r="O1200" s="97">
        <f>_xll.meDateFromTenor(O1199,"1D","FOLLOWING","TGT")</f>
        <v>44214</v>
      </c>
      <c r="P1200" s="95">
        <f ca="1"/>
        <v>6.4182382791526261E-3</v>
      </c>
      <c r="Q1200" s="5" t="s">
        <v>4</v>
      </c>
      <c r="R1200" s="83" t="s">
        <v>4</v>
      </c>
    </row>
    <row r="1201" spans="1:18" x14ac:dyDescent="0.25">
      <c r="A1201" s="88">
        <v>1187</v>
      </c>
      <c r="B1201" s="82"/>
      <c r="C1201" s="97">
        <f>_xll.meDateFromTenor(C1200,"1D","FOLLOWING","TGT")</f>
        <v>44215</v>
      </c>
      <c r="D1201" s="95">
        <f ca="1"/>
        <v>5.182107391838997E-4</v>
      </c>
      <c r="E1201" s="92"/>
      <c r="F1201" s="97">
        <f>_xll.meDateFromTenor(F1200,"1D","FOLLOWING","TGT")</f>
        <v>44215</v>
      </c>
      <c r="G1201" s="95">
        <f ca="1"/>
        <v>1.3921176369712934E-3</v>
      </c>
      <c r="H1201" s="92" t="s">
        <v>4</v>
      </c>
      <c r="I1201" s="97">
        <f>_xll.meDateFromTenor(I1200,"1D","FOLLOWING","TGT")</f>
        <v>44215</v>
      </c>
      <c r="J1201" s="95">
        <f ca="1"/>
        <v>2.5564352989617505E-3</v>
      </c>
      <c r="K1201" s="5" t="s">
        <v>4</v>
      </c>
      <c r="L1201" s="97">
        <f>_xll.meDateFromTenor(L1200,"1D","FOLLOWING","TGT")</f>
        <v>44215</v>
      </c>
      <c r="M1201" s="95">
        <f ca="1"/>
        <v>4.4085584057447858E-3</v>
      </c>
      <c r="N1201" s="5" t="s">
        <v>4</v>
      </c>
      <c r="O1201" s="97">
        <f>_xll.meDateFromTenor(O1200,"1D","FOLLOWING","TGT")</f>
        <v>44215</v>
      </c>
      <c r="P1201" s="95">
        <f ca="1"/>
        <v>6.4254134153717453E-3</v>
      </c>
      <c r="Q1201" s="5" t="s">
        <v>4</v>
      </c>
      <c r="R1201" s="83" t="s">
        <v>4</v>
      </c>
    </row>
    <row r="1202" spans="1:18" x14ac:dyDescent="0.25">
      <c r="A1202" s="88">
        <v>1188</v>
      </c>
      <c r="B1202" s="82"/>
      <c r="C1202" s="97">
        <f>_xll.meDateFromTenor(C1201,"1D","FOLLOWING","TGT")</f>
        <v>44216</v>
      </c>
      <c r="D1202" s="95">
        <f ca="1"/>
        <v>5.2420706510702963E-4</v>
      </c>
      <c r="E1202" s="92"/>
      <c r="F1202" s="97">
        <f>_xll.meDateFromTenor(F1201,"1D","FOLLOWING","TGT")</f>
        <v>44216</v>
      </c>
      <c r="G1202" s="95">
        <f ca="1"/>
        <v>1.3991820371963243E-3</v>
      </c>
      <c r="H1202" s="92" t="s">
        <v>4</v>
      </c>
      <c r="I1202" s="97">
        <f>_xll.meDateFromTenor(I1201,"1D","FOLLOWING","TGT")</f>
        <v>44216</v>
      </c>
      <c r="J1202" s="95">
        <f ca="1"/>
        <v>2.5638419449469339E-3</v>
      </c>
      <c r="K1202" s="5" t="s">
        <v>4</v>
      </c>
      <c r="L1202" s="97">
        <f>_xll.meDateFromTenor(L1201,"1D","FOLLOWING","TGT")</f>
        <v>44216</v>
      </c>
      <c r="M1202" s="95">
        <f ca="1"/>
        <v>4.4155688377286095E-3</v>
      </c>
      <c r="N1202" s="5" t="s">
        <v>4</v>
      </c>
      <c r="O1202" s="97">
        <f>_xll.meDateFromTenor(O1201,"1D","FOLLOWING","TGT")</f>
        <v>44216</v>
      </c>
      <c r="P1202" s="95">
        <f ca="1"/>
        <v>6.4325904756703037E-3</v>
      </c>
      <c r="Q1202" s="5" t="s">
        <v>4</v>
      </c>
      <c r="R1202" s="83" t="s">
        <v>4</v>
      </c>
    </row>
    <row r="1203" spans="1:18" x14ac:dyDescent="0.25">
      <c r="A1203" s="88">
        <v>1189</v>
      </c>
      <c r="B1203" s="82"/>
      <c r="C1203" s="97">
        <f>_xll.meDateFromTenor(C1202,"1D","FOLLOWING","TGT")</f>
        <v>44217</v>
      </c>
      <c r="D1203" s="95">
        <f ca="1"/>
        <v>5.3016864181665291E-4</v>
      </c>
      <c r="E1203" s="92"/>
      <c r="F1203" s="97">
        <f>_xll.meDateFromTenor(F1202,"1D","FOLLOWING","TGT")</f>
        <v>44217</v>
      </c>
      <c r="G1203" s="95">
        <f ca="1"/>
        <v>1.406297234421251E-3</v>
      </c>
      <c r="H1203" s="92" t="s">
        <v>4</v>
      </c>
      <c r="I1203" s="97">
        <f>_xll.meDateFromTenor(I1202,"1D","FOLLOWING","TGT")</f>
        <v>44217</v>
      </c>
      <c r="J1203" s="95">
        <f ca="1"/>
        <v>2.5712536235090815E-3</v>
      </c>
      <c r="K1203" s="5" t="s">
        <v>4</v>
      </c>
      <c r="L1203" s="97">
        <f>_xll.meDateFromTenor(L1202,"1D","FOLLOWING","TGT")</f>
        <v>44217</v>
      </c>
      <c r="M1203" s="95">
        <f ca="1"/>
        <v>4.4225820419468362E-3</v>
      </c>
      <c r="N1203" s="5" t="s">
        <v>4</v>
      </c>
      <c r="O1203" s="97">
        <f>_xll.meDateFromTenor(O1202,"1D","FOLLOWING","TGT")</f>
        <v>44217</v>
      </c>
      <c r="P1203" s="95">
        <f ca="1"/>
        <v>6.4397694457505334E-3</v>
      </c>
      <c r="Q1203" s="5" t="s">
        <v>4</v>
      </c>
      <c r="R1203" s="83" t="s">
        <v>4</v>
      </c>
    </row>
    <row r="1204" spans="1:18" x14ac:dyDescent="0.25">
      <c r="A1204" s="88">
        <v>1190</v>
      </c>
      <c r="B1204" s="82"/>
      <c r="C1204" s="97">
        <f>_xll.meDateFromTenor(C1203,"1D","FOLLOWING","TGT")</f>
        <v>44218</v>
      </c>
      <c r="D1204" s="95">
        <f ca="1"/>
        <v>5.3609546885247106E-4</v>
      </c>
      <c r="E1204" s="92"/>
      <c r="F1204" s="97">
        <f>_xll.meDateFromTenor(F1203,"1D","FOLLOWING","TGT")</f>
        <v>44218</v>
      </c>
      <c r="G1204" s="95">
        <f ca="1"/>
        <v>1.413466163572234E-3</v>
      </c>
      <c r="H1204" s="92" t="s">
        <v>4</v>
      </c>
      <c r="I1204" s="97">
        <f>_xll.meDateFromTenor(I1203,"1D","FOLLOWING","TGT")</f>
        <v>44218</v>
      </c>
      <c r="J1204" s="95">
        <f ca="1"/>
        <v>2.5786702829094588E-3</v>
      </c>
      <c r="K1204" s="5" t="s">
        <v>4</v>
      </c>
      <c r="L1204" s="97">
        <f>_xll.meDateFromTenor(L1203,"1D","FOLLOWING","TGT")</f>
        <v>44218</v>
      </c>
      <c r="M1204" s="95">
        <f ca="1"/>
        <v>4.4295980178193743E-3</v>
      </c>
      <c r="N1204" s="5" t="s">
        <v>4</v>
      </c>
      <c r="O1204" s="97">
        <f>_xll.meDateFromTenor(O1203,"1D","FOLLOWING","TGT")</f>
        <v>44218</v>
      </c>
      <c r="P1204" s="95">
        <f ca="1"/>
        <v>6.4469503113146658E-3</v>
      </c>
      <c r="Q1204" s="5" t="s">
        <v>4</v>
      </c>
      <c r="R1204" s="83" t="s">
        <v>4</v>
      </c>
    </row>
    <row r="1205" spans="1:18" x14ac:dyDescent="0.25">
      <c r="A1205" s="88">
        <v>1191</v>
      </c>
      <c r="B1205" s="82"/>
      <c r="C1205" s="97">
        <f>_xll.meDateFromTenor(C1204,"1D","FOLLOWING","TGT")</f>
        <v>44221</v>
      </c>
      <c r="D1205" s="95">
        <f ca="1"/>
        <v>5.5366744657470157E-4</v>
      </c>
      <c r="E1205" s="92"/>
      <c r="F1205" s="97">
        <f>_xll.meDateFromTenor(F1204,"1D","FOLLOWING","TGT")</f>
        <v>44221</v>
      </c>
      <c r="G1205" s="95">
        <f ca="1"/>
        <v>1.4353246918431203E-3</v>
      </c>
      <c r="H1205" s="92" t="s">
        <v>4</v>
      </c>
      <c r="I1205" s="97">
        <f>_xll.meDateFromTenor(I1204,"1D","FOLLOWING","TGT")</f>
        <v>44221</v>
      </c>
      <c r="J1205" s="95">
        <f ca="1"/>
        <v>2.6009496287526302E-3</v>
      </c>
      <c r="K1205" s="5" t="s">
        <v>4</v>
      </c>
      <c r="L1205" s="97">
        <f>_xll.meDateFromTenor(L1204,"1D","FOLLOWING","TGT")</f>
        <v>44221</v>
      </c>
      <c r="M1205" s="95">
        <f ca="1"/>
        <v>4.450662569561949E-3</v>
      </c>
      <c r="N1205" s="5" t="s">
        <v>4</v>
      </c>
      <c r="O1205" s="97">
        <f>_xll.meDateFromTenor(O1204,"1D","FOLLOWING","TGT")</f>
        <v>44221</v>
      </c>
      <c r="P1205" s="95">
        <f ca="1"/>
        <v>6.4685041379328005E-3</v>
      </c>
      <c r="Q1205" s="5" t="s">
        <v>4</v>
      </c>
      <c r="R1205" s="83" t="s">
        <v>4</v>
      </c>
    </row>
    <row r="1206" spans="1:18" x14ac:dyDescent="0.25">
      <c r="A1206" s="88">
        <v>1192</v>
      </c>
      <c r="B1206" s="82"/>
      <c r="C1206" s="97">
        <f>_xll.meDateFromTenor(C1205,"1D","FOLLOWING","TGT")</f>
        <v>44222</v>
      </c>
      <c r="D1206" s="95">
        <f ca="1"/>
        <v>5.5945526966971748E-4</v>
      </c>
      <c r="E1206" s="92"/>
      <c r="F1206" s="97">
        <f>_xll.meDateFromTenor(F1205,"1D","FOLLOWING","TGT")</f>
        <v>44222</v>
      </c>
      <c r="G1206" s="95">
        <f ca="1"/>
        <v>1.4427378979599283E-3</v>
      </c>
      <c r="H1206" s="92" t="s">
        <v>4</v>
      </c>
      <c r="I1206" s="97">
        <f>_xll.meDateFromTenor(I1205,"1D","FOLLOWING","TGT")</f>
        <v>44222</v>
      </c>
      <c r="J1206" s="95">
        <f ca="1"/>
        <v>2.6083856941185885E-3</v>
      </c>
      <c r="K1206" s="5" t="s">
        <v>4</v>
      </c>
      <c r="L1206" s="97">
        <f>_xll.meDateFromTenor(L1205,"1D","FOLLOWING","TGT")</f>
        <v>44222</v>
      </c>
      <c r="M1206" s="95">
        <f ca="1"/>
        <v>4.4576896262508228E-3</v>
      </c>
      <c r="N1206" s="5" t="s">
        <v>4</v>
      </c>
      <c r="O1206" s="97">
        <f>_xll.meDateFromTenor(O1205,"1D","FOLLOWING","TGT")</f>
        <v>44222</v>
      </c>
      <c r="P1206" s="95">
        <f ca="1"/>
        <v>6.4756924424548661E-3</v>
      </c>
      <c r="Q1206" s="5" t="s">
        <v>4</v>
      </c>
      <c r="R1206" s="83" t="s">
        <v>4</v>
      </c>
    </row>
    <row r="1207" spans="1:18" x14ac:dyDescent="0.25">
      <c r="A1207" s="88">
        <v>1193</v>
      </c>
      <c r="B1207" s="82"/>
      <c r="C1207" s="97">
        <f>_xll.meDateFromTenor(C1206,"1D","FOLLOWING","TGT")</f>
        <v>44223</v>
      </c>
      <c r="D1207" s="95">
        <f ca="1"/>
        <v>5.6520834028650491E-4</v>
      </c>
      <c r="E1207" s="92"/>
      <c r="F1207" s="97">
        <f>_xll.meDateFromTenor(F1206,"1D","FOLLOWING","TGT")</f>
        <v>44223</v>
      </c>
      <c r="G1207" s="95">
        <f ca="1"/>
        <v>1.4502195106335929E-3</v>
      </c>
      <c r="H1207" s="92" t="s">
        <v>4</v>
      </c>
      <c r="I1207" s="97">
        <f>_xll.meDateFromTenor(I1206,"1D","FOLLOWING","TGT")</f>
        <v>44223</v>
      </c>
      <c r="J1207" s="95">
        <f ca="1"/>
        <v>2.6158264816291076E-3</v>
      </c>
      <c r="K1207" s="5" t="s">
        <v>4</v>
      </c>
      <c r="L1207" s="97">
        <f>_xll.meDateFromTenor(L1206,"1D","FOLLOWING","TGT")</f>
        <v>44223</v>
      </c>
      <c r="M1207" s="95">
        <f ca="1"/>
        <v>4.4647194516935522E-3</v>
      </c>
      <c r="N1207" s="5" t="s">
        <v>4</v>
      </c>
      <c r="O1207" s="97">
        <f>_xll.meDateFromTenor(O1206,"1D","FOLLOWING","TGT")</f>
        <v>44223</v>
      </c>
      <c r="P1207" s="95">
        <f ca="1"/>
        <v>6.4828825709719942E-3</v>
      </c>
      <c r="Q1207" s="5" t="s">
        <v>4</v>
      </c>
      <c r="R1207" s="83" t="s">
        <v>4</v>
      </c>
    </row>
    <row r="1208" spans="1:18" x14ac:dyDescent="0.25">
      <c r="A1208" s="88">
        <v>1194</v>
      </c>
      <c r="B1208" s="82"/>
      <c r="C1208" s="97">
        <f>_xll.meDateFromTenor(C1207,"1D","FOLLOWING","TGT")</f>
        <v>44224</v>
      </c>
      <c r="D1208" s="95">
        <f ca="1"/>
        <v>5.7092665814595378E-4</v>
      </c>
      <c r="E1208" s="92"/>
      <c r="F1208" s="97">
        <f>_xll.meDateFromTenor(F1207,"1D","FOLLOWING","TGT")</f>
        <v>44224</v>
      </c>
      <c r="G1208" s="95">
        <f ca="1"/>
        <v>1.4577724647902713E-3</v>
      </c>
      <c r="H1208" s="92" t="s">
        <v>4</v>
      </c>
      <c r="I1208" s="97">
        <f>_xll.meDateFromTenor(I1207,"1D","FOLLOWING","TGT")</f>
        <v>44224</v>
      </c>
      <c r="J1208" s="95">
        <f ca="1"/>
        <v>2.6232719395454509E-3</v>
      </c>
      <c r="K1208" s="5" t="s">
        <v>4</v>
      </c>
      <c r="L1208" s="97">
        <f>_xll.meDateFromTenor(L1207,"1D","FOLLOWING","TGT")</f>
        <v>44224</v>
      </c>
      <c r="M1208" s="95">
        <f ca="1"/>
        <v>4.471752045310042E-3</v>
      </c>
      <c r="N1208" s="5" t="s">
        <v>4</v>
      </c>
      <c r="O1208" s="97">
        <f>_xll.meDateFromTenor(O1207,"1D","FOLLOWING","TGT")</f>
        <v>44224</v>
      </c>
      <c r="P1208" s="95">
        <f ca="1"/>
        <v>6.4900745091864154E-3</v>
      </c>
      <c r="Q1208" s="5" t="s">
        <v>4</v>
      </c>
      <c r="R1208" s="83" t="s">
        <v>4</v>
      </c>
    </row>
    <row r="1209" spans="1:18" x14ac:dyDescent="0.25">
      <c r="A1209" s="88">
        <v>1195</v>
      </c>
      <c r="B1209" s="82"/>
      <c r="C1209" s="97">
        <f>_xll.meDateFromTenor(C1208,"1D","FOLLOWING","TGT")</f>
        <v>44225</v>
      </c>
      <c r="D1209" s="95">
        <f ca="1"/>
        <v>5.7661022249422267E-4</v>
      </c>
      <c r="E1209" s="92"/>
      <c r="F1209" s="97">
        <f>_xll.meDateFromTenor(F1208,"1D","FOLLOWING","TGT")</f>
        <v>44225</v>
      </c>
      <c r="G1209" s="95">
        <f ca="1"/>
        <v>1.4653996953561286E-3</v>
      </c>
      <c r="H1209" s="92" t="s">
        <v>4</v>
      </c>
      <c r="I1209" s="97">
        <f>_xll.meDateFromTenor(I1208,"1D","FOLLOWING","TGT")</f>
        <v>44225</v>
      </c>
      <c r="J1209" s="95">
        <f ca="1"/>
        <v>2.6307220161288902E-3</v>
      </c>
      <c r="K1209" s="5" t="s">
        <v>4</v>
      </c>
      <c r="L1209" s="97">
        <f>_xll.meDateFromTenor(L1208,"1D","FOLLOWING","TGT")</f>
        <v>44225</v>
      </c>
      <c r="M1209" s="95">
        <f ca="1"/>
        <v>4.4787874065202078E-3</v>
      </c>
      <c r="N1209" s="5" t="s">
        <v>4</v>
      </c>
      <c r="O1209" s="97">
        <f>_xll.meDateFromTenor(O1208,"1D","FOLLOWING","TGT")</f>
        <v>44225</v>
      </c>
      <c r="P1209" s="95">
        <f ca="1"/>
        <v>6.4972682428003654E-3</v>
      </c>
      <c r="Q1209" s="5" t="s">
        <v>4</v>
      </c>
      <c r="R1209" s="83" t="s">
        <v>4</v>
      </c>
    </row>
    <row r="1210" spans="1:18" x14ac:dyDescent="0.25">
      <c r="A1210" s="88">
        <v>1196</v>
      </c>
      <c r="B1210" s="82"/>
      <c r="C1210" s="97">
        <f>_xll.meDateFromTenor(C1209,"1D","FOLLOWING","TGT")</f>
        <v>44228</v>
      </c>
      <c r="D1210" s="95">
        <f ca="1"/>
        <v>5.9345238945773815E-4</v>
      </c>
      <c r="E1210" s="92"/>
      <c r="F1210" s="97">
        <f>_xll.meDateFromTenor(F1209,"1D","FOLLOWING","TGT")</f>
        <v>44228</v>
      </c>
      <c r="G1210" s="95">
        <f ca="1"/>
        <v>1.4887563947703596E-3</v>
      </c>
      <c r="H1210" s="92" t="s">
        <v>4</v>
      </c>
      <c r="I1210" s="97">
        <f>_xll.meDateFromTenor(I1209,"1D","FOLLOWING","TGT")</f>
        <v>44228</v>
      </c>
      <c r="J1210" s="95">
        <f ca="1"/>
        <v>2.653099440494429E-3</v>
      </c>
      <c r="K1210" s="5" t="s">
        <v>4</v>
      </c>
      <c r="L1210" s="97">
        <f>_xll.meDateFromTenor(L1209,"1D","FOLLOWING","TGT")</f>
        <v>44228</v>
      </c>
      <c r="M1210" s="95">
        <f ca="1"/>
        <v>4.4999100899118247E-3</v>
      </c>
      <c r="N1210" s="5" t="s">
        <v>4</v>
      </c>
      <c r="O1210" s="97">
        <f>_xll.meDateFromTenor(O1209,"1D","FOLLOWING","TGT")</f>
        <v>44228</v>
      </c>
      <c r="P1210" s="95">
        <f ca="1"/>
        <v>6.518860073061703E-3</v>
      </c>
      <c r="Q1210" s="5" t="s">
        <v>4</v>
      </c>
      <c r="R1210" s="83" t="s">
        <v>4</v>
      </c>
    </row>
    <row r="1211" spans="1:18" x14ac:dyDescent="0.25">
      <c r="A1211" s="88">
        <v>1197</v>
      </c>
      <c r="B1211" s="82"/>
      <c r="C1211" s="97">
        <f>_xll.meDateFromTenor(C1210,"1D","FOLLOWING","TGT")</f>
        <v>44229</v>
      </c>
      <c r="D1211" s="95">
        <f ca="1"/>
        <v>5.9899693452658553E-4</v>
      </c>
      <c r="E1211" s="92"/>
      <c r="F1211" s="97">
        <f>_xll.meDateFromTenor(F1210,"1D","FOLLOWING","TGT")</f>
        <v>44229</v>
      </c>
      <c r="G1211" s="95">
        <f ca="1"/>
        <v>1.4967100802345233E-3</v>
      </c>
      <c r="H1211" s="92" t="s">
        <v>4</v>
      </c>
      <c r="I1211" s="97">
        <f>_xll.meDateFromTenor(I1210,"1D","FOLLOWING","TGT")</f>
        <v>44229</v>
      </c>
      <c r="J1211" s="95">
        <f ca="1"/>
        <v>2.6605674743589028E-3</v>
      </c>
      <c r="K1211" s="5" t="s">
        <v>4</v>
      </c>
      <c r="L1211" s="97">
        <f>_xll.meDateFromTenor(L1210,"1D","FOLLOWING","TGT")</f>
        <v>44229</v>
      </c>
      <c r="M1211" s="95">
        <f ca="1"/>
        <v>4.5069565156957677E-3</v>
      </c>
      <c r="N1211" s="5" t="s">
        <v>4</v>
      </c>
      <c r="O1211" s="97">
        <f>_xll.meDateFromTenor(O1210,"1D","FOLLOWING","TGT")</f>
        <v>44229</v>
      </c>
      <c r="P1211" s="95">
        <f ca="1"/>
        <v>6.5260608452960851E-3</v>
      </c>
      <c r="Q1211" s="5" t="s">
        <v>4</v>
      </c>
      <c r="R1211" s="83" t="s">
        <v>4</v>
      </c>
    </row>
    <row r="1212" spans="1:18" x14ac:dyDescent="0.25">
      <c r="A1212" s="88">
        <v>1198</v>
      </c>
      <c r="B1212" s="82"/>
      <c r="C1212" s="97">
        <f>_xll.meDateFromTenor(C1211,"1D","FOLLOWING","TGT")</f>
        <v>44230</v>
      </c>
      <c r="D1212" s="95">
        <f ca="1"/>
        <v>6.045067236448709E-4</v>
      </c>
      <c r="E1212" s="92"/>
      <c r="F1212" s="97">
        <f>_xll.meDateFromTenor(F1211,"1D","FOLLOWING","TGT")</f>
        <v>44230</v>
      </c>
      <c r="G1212" s="95">
        <f ca="1"/>
        <v>1.50475091327718E-3</v>
      </c>
      <c r="H1212" s="92" t="s">
        <v>4</v>
      </c>
      <c r="I1212" s="97">
        <f>_xll.meDateFromTenor(I1211,"1D","FOLLOWING","TGT")</f>
        <v>44230</v>
      </c>
      <c r="J1212" s="95">
        <f ca="1"/>
        <v>2.6680398681968014E-3</v>
      </c>
      <c r="K1212" s="5" t="s">
        <v>4</v>
      </c>
      <c r="L1212" s="97">
        <f>_xll.meDateFromTenor(L1211,"1D","FOLLOWING","TGT")</f>
        <v>44230</v>
      </c>
      <c r="M1212" s="95">
        <f ca="1"/>
        <v>4.5140057061729254E-3</v>
      </c>
      <c r="N1212" s="5" t="s">
        <v>4</v>
      </c>
      <c r="O1212" s="97">
        <f>_xll.meDateFromTenor(O1211,"1D","FOLLOWING","TGT")</f>
        <v>44230</v>
      </c>
      <c r="P1212" s="95">
        <f ca="1"/>
        <v>6.5332633414411541E-3</v>
      </c>
      <c r="Q1212" s="5" t="s">
        <v>4</v>
      </c>
      <c r="R1212" s="83" t="s">
        <v>4</v>
      </c>
    </row>
    <row r="1213" spans="1:18" x14ac:dyDescent="0.25">
      <c r="A1213" s="88">
        <v>1199</v>
      </c>
      <c r="B1213" s="82"/>
      <c r="C1213" s="97">
        <f>_xll.meDateFromTenor(C1212,"1D","FOLLOWING","TGT")</f>
        <v>44231</v>
      </c>
      <c r="D1213" s="95">
        <f ca="1"/>
        <v>6.0998175592019699E-4</v>
      </c>
      <c r="E1213" s="92"/>
      <c r="F1213" s="97">
        <f>_xll.meDateFromTenor(F1212,"1D","FOLLOWING","TGT")</f>
        <v>44231</v>
      </c>
      <c r="G1213" s="95">
        <f ca="1"/>
        <v>1.5128728115170722E-3</v>
      </c>
      <c r="H1213" s="92" t="s">
        <v>4</v>
      </c>
      <c r="I1213" s="97">
        <f>_xll.meDateFromTenor(I1212,"1D","FOLLOWING","TGT")</f>
        <v>44231</v>
      </c>
      <c r="J1213" s="95">
        <f ca="1"/>
        <v>2.6755165702693913E-3</v>
      </c>
      <c r="K1213" s="5" t="s">
        <v>4</v>
      </c>
      <c r="L1213" s="97">
        <f>_xll.meDateFromTenor(L1212,"1D","FOLLOWING","TGT")</f>
        <v>44231</v>
      </c>
      <c r="M1213" s="95">
        <f ca="1"/>
        <v>4.5210576607632082E-3</v>
      </c>
      <c r="N1213" s="5" t="s">
        <v>4</v>
      </c>
      <c r="O1213" s="97">
        <f>_xll.meDateFromTenor(O1212,"1D","FOLLOWING","TGT")</f>
        <v>44231</v>
      </c>
      <c r="P1213" s="95">
        <f ca="1"/>
        <v>6.540467547199144E-3</v>
      </c>
      <c r="Q1213" s="5" t="s">
        <v>4</v>
      </c>
      <c r="R1213" s="83" t="s">
        <v>4</v>
      </c>
    </row>
    <row r="1214" spans="1:18" x14ac:dyDescent="0.25">
      <c r="A1214" s="88">
        <v>1200</v>
      </c>
      <c r="B1214" s="82"/>
      <c r="C1214" s="97">
        <f>_xll.meDateFromTenor(C1213,"1D","FOLLOWING","TGT")</f>
        <v>44232</v>
      </c>
      <c r="D1214" s="95">
        <f ca="1"/>
        <v>6.1542203070330537E-4</v>
      </c>
      <c r="E1214" s="92"/>
      <c r="F1214" s="97">
        <f>_xll.meDateFromTenor(F1213,"1D","FOLLOWING","TGT")</f>
        <v>44232</v>
      </c>
      <c r="G1214" s="95">
        <f ca="1"/>
        <v>1.5210678891114579E-3</v>
      </c>
      <c r="H1214" s="92" t="s">
        <v>4</v>
      </c>
      <c r="I1214" s="97">
        <f>_xll.meDateFromTenor(I1213,"1D","FOLLOWING","TGT")</f>
        <v>44232</v>
      </c>
      <c r="J1214" s="95">
        <f ca="1"/>
        <v>2.6829975288379373E-3</v>
      </c>
      <c r="K1214" s="5" t="s">
        <v>4</v>
      </c>
      <c r="L1214" s="97">
        <f>_xll.meDateFromTenor(L1213,"1D","FOLLOWING","TGT")</f>
        <v>44232</v>
      </c>
      <c r="M1214" s="95">
        <f ca="1"/>
        <v>4.5281123788865245E-3</v>
      </c>
      <c r="N1214" s="5" t="s">
        <v>4</v>
      </c>
      <c r="O1214" s="97">
        <f>_xll.meDateFromTenor(O1213,"1D","FOLLOWING","TGT")</f>
        <v>44232</v>
      </c>
      <c r="P1214" s="95">
        <f ca="1"/>
        <v>6.5476734482722851E-3</v>
      </c>
      <c r="Q1214" s="5" t="s">
        <v>4</v>
      </c>
      <c r="R1214" s="83" t="s">
        <v>4</v>
      </c>
    </row>
    <row r="1215" spans="1:18" x14ac:dyDescent="0.25">
      <c r="A1215" s="88">
        <v>1201</v>
      </c>
      <c r="B1215" s="82"/>
      <c r="C1215" s="97">
        <f>_xll.meDateFromTenor(C1214,"1D","FOLLOWING","TGT")</f>
        <v>44235</v>
      </c>
      <c r="D1215" s="95">
        <f ca="1"/>
        <v>6.3153430629903085E-4</v>
      </c>
      <c r="E1215" s="92"/>
      <c r="F1215" s="97">
        <f>_xll.meDateFromTenor(F1214,"1D","FOLLOWING","TGT")</f>
        <v>44235</v>
      </c>
      <c r="G1215" s="95">
        <f ca="1"/>
        <v>1.5460133395941594E-3</v>
      </c>
      <c r="H1215" s="92" t="s">
        <v>4</v>
      </c>
      <c r="I1215" s="97">
        <f>_xll.meDateFromTenor(I1214,"1D","FOLLOWING","TGT")</f>
        <v>44235</v>
      </c>
      <c r="J1215" s="95">
        <f ca="1"/>
        <v>2.7054654261319763E-3</v>
      </c>
      <c r="K1215" s="5" t="s">
        <v>4</v>
      </c>
      <c r="L1215" s="97">
        <f>_xll.meDateFromTenor(L1214,"1D","FOLLOWING","TGT")</f>
        <v>44235</v>
      </c>
      <c r="M1215" s="95">
        <f ca="1"/>
        <v>4.5492931086537538E-3</v>
      </c>
      <c r="N1215" s="5" t="s">
        <v>4</v>
      </c>
      <c r="O1215" s="97">
        <f>_xll.meDateFromTenor(O1214,"1D","FOLLOWING","TGT")</f>
        <v>44235</v>
      </c>
      <c r="P1215" s="95">
        <f ca="1"/>
        <v>6.5693011804049389E-3</v>
      </c>
      <c r="Q1215" s="5" t="s">
        <v>4</v>
      </c>
      <c r="R1215" s="83" t="s">
        <v>4</v>
      </c>
    </row>
    <row r="1216" spans="1:18" x14ac:dyDescent="0.25">
      <c r="A1216" s="88">
        <v>1202</v>
      </c>
      <c r="B1216" s="82"/>
      <c r="C1216" s="97">
        <f>_xll.meDateFromTenor(C1215,"1D","FOLLOWING","TGT")</f>
        <v>44236</v>
      </c>
      <c r="D1216" s="95">
        <f ca="1"/>
        <v>6.3683554661220221E-4</v>
      </c>
      <c r="E1216" s="92"/>
      <c r="F1216" s="97">
        <f>_xll.meDateFromTenor(F1215,"1D","FOLLOWING","TGT")</f>
        <v>44236</v>
      </c>
      <c r="G1216" s="95">
        <f ca="1"/>
        <v>1.5544222761791047E-3</v>
      </c>
      <c r="H1216" s="92" t="s">
        <v>4</v>
      </c>
      <c r="I1216" s="97">
        <f>_xll.meDateFromTenor(I1215,"1D","FOLLOWING","TGT")</f>
        <v>44236</v>
      </c>
      <c r="J1216" s="95">
        <f ca="1"/>
        <v>2.7129628932970112E-3</v>
      </c>
      <c r="K1216" s="5" t="s">
        <v>4</v>
      </c>
      <c r="L1216" s="97">
        <f>_xll.meDateFromTenor(L1215,"1D","FOLLOWING","TGT")</f>
        <v>44236</v>
      </c>
      <c r="M1216" s="95">
        <f ca="1"/>
        <v>4.5563588751082887E-3</v>
      </c>
      <c r="N1216" s="5" t="s">
        <v>4</v>
      </c>
      <c r="O1216" s="97">
        <f>_xll.meDateFromTenor(O1215,"1D","FOLLOWING","TGT")</f>
        <v>44236</v>
      </c>
      <c r="P1216" s="95">
        <f ca="1"/>
        <v>6.5765137197610095E-3</v>
      </c>
      <c r="Q1216" s="5" t="s">
        <v>4</v>
      </c>
      <c r="R1216" s="83" t="s">
        <v>4</v>
      </c>
    </row>
    <row r="1217" spans="1:18" x14ac:dyDescent="0.25">
      <c r="A1217" s="88">
        <v>1203</v>
      </c>
      <c r="B1217" s="82"/>
      <c r="C1217" s="97">
        <f>_xll.meDateFromTenor(C1216,"1D","FOLLOWING","TGT")</f>
        <v>44237</v>
      </c>
      <c r="D1217" s="95">
        <f ca="1"/>
        <v>6.4210202656034276E-4</v>
      </c>
      <c r="E1217" s="92"/>
      <c r="F1217" s="97">
        <f>_xll.meDateFromTenor(F1216,"1D","FOLLOWING","TGT")</f>
        <v>44237</v>
      </c>
      <c r="G1217" s="95">
        <f ca="1"/>
        <v>1.5628649629048363E-3</v>
      </c>
      <c r="H1217" s="92" t="s">
        <v>4</v>
      </c>
      <c r="I1217" s="97">
        <f>_xll.meDateFromTenor(I1216,"1D","FOLLOWING","TGT")</f>
        <v>44237</v>
      </c>
      <c r="J1217" s="95">
        <f ca="1"/>
        <v>2.7204643582643346E-3</v>
      </c>
      <c r="K1217" s="5" t="s">
        <v>4</v>
      </c>
      <c r="L1217" s="97">
        <f>_xll.meDateFromTenor(L1216,"1D","FOLLOWING","TGT")</f>
        <v>44237</v>
      </c>
      <c r="M1217" s="95">
        <f ca="1"/>
        <v>4.5634274021953995E-3</v>
      </c>
      <c r="N1217" s="5" t="s">
        <v>4</v>
      </c>
      <c r="O1217" s="97">
        <f>_xll.meDateFromTenor(O1216,"1D","FOLLOWING","TGT")</f>
        <v>44237</v>
      </c>
      <c r="P1217" s="95">
        <f ca="1"/>
        <v>6.5837278829433904E-3</v>
      </c>
      <c r="Q1217" s="5" t="s">
        <v>4</v>
      </c>
      <c r="R1217" s="83" t="s">
        <v>4</v>
      </c>
    </row>
    <row r="1218" spans="1:18" x14ac:dyDescent="0.25">
      <c r="A1218" s="88">
        <v>1204</v>
      </c>
      <c r="B1218" s="82"/>
      <c r="C1218" s="97">
        <f>_xll.meDateFromTenor(C1217,"1D","FOLLOWING","TGT")</f>
        <v>44238</v>
      </c>
      <c r="D1218" s="95">
        <f ca="1"/>
        <v>6.473337462364892E-4</v>
      </c>
      <c r="E1218" s="92"/>
      <c r="F1218" s="97">
        <f>_xll.meDateFromTenor(F1217,"1D","FOLLOWING","TGT")</f>
        <v>44238</v>
      </c>
      <c r="G1218" s="95">
        <f ca="1"/>
        <v>1.5713335139286124E-3</v>
      </c>
      <c r="H1218" s="92" t="s">
        <v>4</v>
      </c>
      <c r="I1218" s="97">
        <f>_xll.meDateFromTenor(I1217,"1D","FOLLOWING","TGT")</f>
        <v>44238</v>
      </c>
      <c r="J1218" s="95">
        <f ca="1"/>
        <v>2.7279697692952124E-3</v>
      </c>
      <c r="K1218" s="5" t="s">
        <v>4</v>
      </c>
      <c r="L1218" s="97">
        <f>_xll.meDateFromTenor(L1217,"1D","FOLLOWING","TGT")</f>
        <v>44238</v>
      </c>
      <c r="M1218" s="95">
        <f ca="1"/>
        <v>4.5704986893349954E-3</v>
      </c>
      <c r="N1218" s="5" t="s">
        <v>4</v>
      </c>
      <c r="O1218" s="97">
        <f>_xll.meDateFromTenor(O1217,"1D","FOLLOWING","TGT")</f>
        <v>44238</v>
      </c>
      <c r="P1218" s="95">
        <f ca="1"/>
        <v>6.5909436556543174E-3</v>
      </c>
      <c r="Q1218" s="5" t="s">
        <v>4</v>
      </c>
      <c r="R1218" s="83" t="s">
        <v>4</v>
      </c>
    </row>
    <row r="1219" spans="1:18" x14ac:dyDescent="0.25">
      <c r="A1219" s="88">
        <v>1205</v>
      </c>
      <c r="B1219" s="82"/>
      <c r="C1219" s="97">
        <f>_xll.meDateFromTenor(C1218,"1D","FOLLOWING","TGT")</f>
        <v>44239</v>
      </c>
      <c r="D1219" s="95">
        <f ca="1"/>
        <v>6.525307043760975E-4</v>
      </c>
      <c r="E1219" s="92"/>
      <c r="F1219" s="97">
        <f>_xll.meDateFromTenor(F1218,"1D","FOLLOWING","TGT")</f>
        <v>44239</v>
      </c>
      <c r="G1219" s="95">
        <f ca="1"/>
        <v>1.5798200434076919E-3</v>
      </c>
      <c r="H1219" s="92" t="s">
        <v>4</v>
      </c>
      <c r="I1219" s="97">
        <f>_xll.meDateFromTenor(I1218,"1D","FOLLOWING","TGT")</f>
        <v>44239</v>
      </c>
      <c r="J1219" s="95">
        <f ca="1"/>
        <v>2.7354790746509094E-3</v>
      </c>
      <c r="K1219" s="5" t="s">
        <v>4</v>
      </c>
      <c r="L1219" s="97">
        <f>_xll.meDateFromTenor(L1218,"1D","FOLLOWING","TGT")</f>
        <v>44239</v>
      </c>
      <c r="M1219" s="95">
        <f ca="1"/>
        <v>4.5775727359469841E-3</v>
      </c>
      <c r="N1219" s="5" t="s">
        <v>4</v>
      </c>
      <c r="O1219" s="97">
        <f>_xll.meDateFromTenor(O1218,"1D","FOLLOWING","TGT")</f>
        <v>44239</v>
      </c>
      <c r="P1219" s="95">
        <f ca="1"/>
        <v>6.5981610235960218E-3</v>
      </c>
      <c r="Q1219" s="5" t="s">
        <v>4</v>
      </c>
      <c r="R1219" s="83" t="s">
        <v>4</v>
      </c>
    </row>
    <row r="1220" spans="1:18" x14ac:dyDescent="0.25">
      <c r="A1220" s="88">
        <v>1206</v>
      </c>
      <c r="B1220" s="82"/>
      <c r="C1220" s="97">
        <f>_xll.meDateFromTenor(C1219,"1D","FOLLOWING","TGT")</f>
        <v>44242</v>
      </c>
      <c r="D1220" s="95">
        <f ca="1"/>
        <v>6.6791300611290794E-4</v>
      </c>
      <c r="E1220" s="92"/>
      <c r="F1220" s="97">
        <f>_xll.meDateFromTenor(F1219,"1D","FOLLOWING","TGT")</f>
        <v>44242</v>
      </c>
      <c r="G1220" s="95">
        <f ca="1"/>
        <v>1.6053086441493306E-3</v>
      </c>
      <c r="H1220" s="92" t="s">
        <v>4</v>
      </c>
      <c r="I1220" s="97">
        <f>_xll.meDateFromTenor(I1219,"1D","FOLLOWING","TGT")</f>
        <v>44242</v>
      </c>
      <c r="J1220" s="95">
        <f ca="1"/>
        <v>2.758029839279585E-3</v>
      </c>
      <c r="K1220" s="5" t="s">
        <v>4</v>
      </c>
      <c r="L1220" s="97">
        <f>_xll.meDateFromTenor(L1219,"1D","FOLLOWING","TGT")</f>
        <v>44242</v>
      </c>
      <c r="M1220" s="95">
        <f ca="1"/>
        <v>4.5988114268163995E-3</v>
      </c>
      <c r="N1220" s="5" t="s">
        <v>4</v>
      </c>
      <c r="O1220" s="97">
        <f>_xll.meDateFromTenor(O1219,"1D","FOLLOWING","TGT")</f>
        <v>44242</v>
      </c>
      <c r="P1220" s="95">
        <f ca="1"/>
        <v>6.619822555828111E-3</v>
      </c>
      <c r="Q1220" s="5" t="s">
        <v>4</v>
      </c>
      <c r="R1220" s="83" t="s">
        <v>4</v>
      </c>
    </row>
    <row r="1221" spans="1:18" x14ac:dyDescent="0.25">
      <c r="A1221" s="88">
        <v>1207</v>
      </c>
      <c r="B1221" s="82"/>
      <c r="C1221" s="97">
        <f>_xll.meDateFromTenor(C1220,"1D","FOLLOWING","TGT")</f>
        <v>44243</v>
      </c>
      <c r="D1221" s="95">
        <f ca="1"/>
        <v>6.7297091362017447E-4</v>
      </c>
      <c r="E1221" s="92"/>
      <c r="F1221" s="97">
        <f>_xll.meDateFromTenor(F1220,"1D","FOLLOWING","TGT")</f>
        <v>44243</v>
      </c>
      <c r="G1221" s="95">
        <f ca="1"/>
        <v>1.6137882290222073E-3</v>
      </c>
      <c r="H1221" s="92" t="s">
        <v>4</v>
      </c>
      <c r="I1221" s="97">
        <f>_xll.meDateFromTenor(I1220,"1D","FOLLOWING","TGT")</f>
        <v>44243</v>
      </c>
      <c r="J1221" s="95">
        <f ca="1"/>
        <v>2.7655542045472259E-3</v>
      </c>
      <c r="K1221" s="5" t="s">
        <v>4</v>
      </c>
      <c r="L1221" s="97">
        <f>_xll.meDateFromTenor(L1220,"1D","FOLLOWING","TGT")</f>
        <v>44243</v>
      </c>
      <c r="M1221" s="95">
        <f ca="1"/>
        <v>4.6058965055170492E-3</v>
      </c>
      <c r="N1221" s="5" t="s">
        <v>4</v>
      </c>
      <c r="O1221" s="97">
        <f>_xll.meDateFromTenor(O1220,"1D","FOLLOWING","TGT")</f>
        <v>44243</v>
      </c>
      <c r="P1221" s="95">
        <f ca="1"/>
        <v>6.627046161715242E-3</v>
      </c>
      <c r="Q1221" s="5" t="s">
        <v>4</v>
      </c>
      <c r="R1221" s="83" t="s">
        <v>4</v>
      </c>
    </row>
    <row r="1222" spans="1:18" x14ac:dyDescent="0.25">
      <c r="A1222" s="88">
        <v>1208</v>
      </c>
      <c r="B1222" s="82"/>
      <c r="C1222" s="97">
        <f>_xll.meDateFromTenor(C1221,"1D","FOLLOWING","TGT")</f>
        <v>44244</v>
      </c>
      <c r="D1222" s="95">
        <f ca="1"/>
        <v>6.7799405732582585E-4</v>
      </c>
      <c r="E1222" s="92"/>
      <c r="F1222" s="97">
        <f>_xll.meDateFromTenor(F1221,"1D","FOLLOWING","TGT")</f>
        <v>44244</v>
      </c>
      <c r="G1222" s="95">
        <f ca="1"/>
        <v>1.6222463631366795E-3</v>
      </c>
      <c r="H1222" s="92" t="s">
        <v>4</v>
      </c>
      <c r="I1222" s="97">
        <f>_xll.meDateFromTenor(I1221,"1D","FOLLOWING","TGT")</f>
        <v>44244</v>
      </c>
      <c r="J1222" s="95">
        <f ca="1"/>
        <v>2.7730822054460188E-3</v>
      </c>
      <c r="K1222" s="5" t="s">
        <v>4</v>
      </c>
      <c r="L1222" s="97">
        <f>_xll.meDateFromTenor(L1221,"1D","FOLLOWING","TGT")</f>
        <v>44244</v>
      </c>
      <c r="M1222" s="95">
        <f ca="1"/>
        <v>4.6129843407896366E-3</v>
      </c>
      <c r="N1222" s="5" t="s">
        <v>4</v>
      </c>
      <c r="O1222" s="97">
        <f>_xll.meDateFromTenor(O1221,"1D","FOLLOWING","TGT")</f>
        <v>44244</v>
      </c>
      <c r="P1222" s="95">
        <f ca="1"/>
        <v>6.6342712913443078E-3</v>
      </c>
      <c r="Q1222" s="5" t="s">
        <v>4</v>
      </c>
      <c r="R1222" s="83" t="s">
        <v>4</v>
      </c>
    </row>
    <row r="1223" spans="1:18" x14ac:dyDescent="0.25">
      <c r="A1223" s="88">
        <v>1209</v>
      </c>
      <c r="B1223" s="82"/>
      <c r="C1223" s="97">
        <f>_xll.meDateFromTenor(C1222,"1D","FOLLOWING","TGT")</f>
        <v>44245</v>
      </c>
      <c r="D1223" s="95">
        <f ca="1"/>
        <v>6.8298243614672849E-4</v>
      </c>
      <c r="E1223" s="92"/>
      <c r="F1223" s="97">
        <f>_xll.meDateFromTenor(F1222,"1D","FOLLOWING","TGT")</f>
        <v>44245</v>
      </c>
      <c r="G1223" s="95">
        <f ca="1"/>
        <v>1.6306751606500057E-3</v>
      </c>
      <c r="H1223" s="92" t="s">
        <v>4</v>
      </c>
      <c r="I1223" s="97">
        <f>_xll.meDateFromTenor(I1222,"1D","FOLLOWING","TGT")</f>
        <v>44245</v>
      </c>
      <c r="J1223" s="95">
        <f ca="1"/>
        <v>2.7806137902372293E-3</v>
      </c>
      <c r="K1223" s="5" t="s">
        <v>4</v>
      </c>
      <c r="L1223" s="97">
        <f>_xll.meDateFromTenor(L1222,"1D","FOLLOWING","TGT")</f>
        <v>44245</v>
      </c>
      <c r="M1223" s="95">
        <f ca="1"/>
        <v>4.6200749320540703E-3</v>
      </c>
      <c r="N1223" s="5" t="s">
        <v>4</v>
      </c>
      <c r="O1223" s="97">
        <f>_xll.meDateFromTenor(O1222,"1D","FOLLOWING","TGT")</f>
        <v>44245</v>
      </c>
      <c r="P1223" s="95">
        <f ca="1"/>
        <v>6.6414979304175456E-3</v>
      </c>
      <c r="Q1223" s="5" t="s">
        <v>4</v>
      </c>
      <c r="R1223" s="83" t="s">
        <v>4</v>
      </c>
    </row>
    <row r="1224" spans="1:18" x14ac:dyDescent="0.25">
      <c r="A1224" s="88">
        <v>1210</v>
      </c>
      <c r="B1224" s="82"/>
      <c r="C1224" s="97">
        <f>_xll.meDateFromTenor(C1223,"1D","FOLLOWING","TGT")</f>
        <v>44246</v>
      </c>
      <c r="D1224" s="95">
        <f ca="1"/>
        <v>6.879360499649767E-4</v>
      </c>
      <c r="E1224" s="92"/>
      <c r="F1224" s="97">
        <f>_xll.meDateFromTenor(F1223,"1D","FOLLOWING","TGT")</f>
        <v>44246</v>
      </c>
      <c r="G1224" s="95">
        <f ca="1"/>
        <v>1.6390667357194448E-3</v>
      </c>
      <c r="H1224" s="92" t="s">
        <v>4</v>
      </c>
      <c r="I1224" s="97">
        <f>_xll.meDateFromTenor(I1223,"1D","FOLLOWING","TGT")</f>
        <v>44246</v>
      </c>
      <c r="J1224" s="95">
        <f ca="1"/>
        <v>2.7881489071821231E-3</v>
      </c>
      <c r="K1224" s="5" t="s">
        <v>4</v>
      </c>
      <c r="L1224" s="97">
        <f>_xll.meDateFromTenor(L1223,"1D","FOLLOWING","TGT")</f>
        <v>44246</v>
      </c>
      <c r="M1224" s="95">
        <f ca="1"/>
        <v>4.627168278730256E-3</v>
      </c>
      <c r="N1224" s="5" t="s">
        <v>4</v>
      </c>
      <c r="O1224" s="97">
        <f>_xll.meDateFromTenor(O1223,"1D","FOLLOWING","TGT")</f>
        <v>44246</v>
      </c>
      <c r="P1224" s="95">
        <f ca="1"/>
        <v>6.6487260646371843E-3</v>
      </c>
      <c r="Q1224" s="5" t="s">
        <v>4</v>
      </c>
      <c r="R1224" s="83" t="s">
        <v>4</v>
      </c>
    </row>
    <row r="1225" spans="1:18" x14ac:dyDescent="0.25">
      <c r="A1225" s="88">
        <v>1211</v>
      </c>
      <c r="B1225" s="82"/>
      <c r="C1225" s="97">
        <f>_xll.meDateFromTenor(C1224,"1D","FOLLOWING","TGT")</f>
        <v>44249</v>
      </c>
      <c r="D1225" s="95">
        <f ca="1"/>
        <v>7.02588293868045E-4</v>
      </c>
      <c r="E1225" s="92"/>
      <c r="F1225" s="97">
        <f>_xll.meDateFromTenor(F1224,"1D","FOLLOWING","TGT")</f>
        <v>44249</v>
      </c>
      <c r="G1225" s="95">
        <f ca="1"/>
        <v>1.6639392678370214E-3</v>
      </c>
      <c r="H1225" s="92" t="s">
        <v>4</v>
      </c>
      <c r="I1225" s="97">
        <f>_xll.meDateFromTenor(I1224,"1D","FOLLOWING","TGT")</f>
        <v>44249</v>
      </c>
      <c r="J1225" s="95">
        <f ca="1"/>
        <v>2.8107749335515714E-3</v>
      </c>
      <c r="K1225" s="5" t="s">
        <v>4</v>
      </c>
      <c r="L1225" s="97">
        <f>_xll.meDateFromTenor(L1224,"1D","FOLLOWING","TGT")</f>
        <v>44249</v>
      </c>
      <c r="M1225" s="95">
        <f ca="1"/>
        <v>4.6484648454284292E-3</v>
      </c>
      <c r="N1225" s="5" t="s">
        <v>4</v>
      </c>
      <c r="O1225" s="97">
        <f>_xll.meDateFromTenor(O1224,"1D","FOLLOWING","TGT")</f>
        <v>44249</v>
      </c>
      <c r="P1225" s="95">
        <f ca="1"/>
        <v>6.6704192951968257E-3</v>
      </c>
      <c r="Q1225" s="5" t="s">
        <v>4</v>
      </c>
      <c r="R1225" s="83" t="s">
        <v>4</v>
      </c>
    </row>
    <row r="1226" spans="1:18" x14ac:dyDescent="0.25">
      <c r="A1226" s="88">
        <v>1212</v>
      </c>
      <c r="B1226" s="82"/>
      <c r="C1226" s="97">
        <f>_xll.meDateFromTenor(C1225,"1D","FOLLOWING","TGT")</f>
        <v>44250</v>
      </c>
      <c r="D1226" s="95">
        <f ca="1"/>
        <v>7.0740284079962024E-4</v>
      </c>
      <c r="E1226" s="92"/>
      <c r="F1226" s="97">
        <f>_xll.meDateFromTenor(F1225,"1D","FOLLOWING","TGT")</f>
        <v>44250</v>
      </c>
      <c r="G1226" s="95">
        <f ca="1"/>
        <v>1.6721030947034951E-3</v>
      </c>
      <c r="H1226" s="92" t="s">
        <v>4</v>
      </c>
      <c r="I1226" s="97">
        <f>_xll.meDateFromTenor(I1225,"1D","FOLLOWING","TGT")</f>
        <v>44250</v>
      </c>
      <c r="J1226" s="95">
        <f ca="1"/>
        <v>2.8183236617238634E-3</v>
      </c>
      <c r="K1226" s="5" t="s">
        <v>4</v>
      </c>
      <c r="L1226" s="97">
        <f>_xll.meDateFromTenor(L1225,"1D","FOLLOWING","TGT")</f>
        <v>44250</v>
      </c>
      <c r="M1226" s="95">
        <f ca="1"/>
        <v>4.6555692079507192E-3</v>
      </c>
      <c r="N1226" s="5" t="s">
        <v>4</v>
      </c>
      <c r="O1226" s="97">
        <f>_xll.meDateFromTenor(O1225,"1D","FOLLOWING","TGT")</f>
        <v>44250</v>
      </c>
      <c r="P1226" s="95">
        <f ca="1"/>
        <v>6.6776532670243891E-3</v>
      </c>
      <c r="Q1226" s="5" t="s">
        <v>4</v>
      </c>
      <c r="R1226" s="83" t="s">
        <v>4</v>
      </c>
    </row>
    <row r="1227" spans="1:18" x14ac:dyDescent="0.25">
      <c r="A1227" s="88">
        <v>1213</v>
      </c>
      <c r="B1227" s="82"/>
      <c r="C1227" s="97">
        <f>_xll.meDateFromTenor(C1226,"1D","FOLLOWING","TGT")</f>
        <v>44251</v>
      </c>
      <c r="D1227" s="95">
        <f ca="1"/>
        <v>7.1218261962835427E-4</v>
      </c>
      <c r="E1227" s="92"/>
      <c r="F1227" s="97">
        <f>_xll.meDateFromTenor(F1226,"1D","FOLLOWING","TGT")</f>
        <v>44251</v>
      </c>
      <c r="G1227" s="95">
        <f ca="1"/>
        <v>1.6801902699123718E-3</v>
      </c>
      <c r="H1227" s="92" t="s">
        <v>4</v>
      </c>
      <c r="I1227" s="97">
        <f>_xll.meDateFromTenor(I1226,"1D","FOLLOWING","TGT")</f>
        <v>44251</v>
      </c>
      <c r="J1227" s="95">
        <f ca="1"/>
        <v>2.825875663356168E-3</v>
      </c>
      <c r="K1227" s="5" t="s">
        <v>4</v>
      </c>
      <c r="L1227" s="97">
        <f>_xll.meDateFromTenor(L1226,"1D","FOLLOWING","TGT")</f>
        <v>44251</v>
      </c>
      <c r="M1227" s="95">
        <f ca="1"/>
        <v>4.6626763229843052E-3</v>
      </c>
      <c r="N1227" s="5" t="s">
        <v>4</v>
      </c>
      <c r="O1227" s="97">
        <f>_xll.meDateFromTenor(O1226,"1D","FOLLOWING","TGT")</f>
        <v>44251</v>
      </c>
      <c r="P1227" s="95">
        <f ca="1"/>
        <v>6.6848886625095125E-3</v>
      </c>
      <c r="Q1227" s="5" t="s">
        <v>4</v>
      </c>
      <c r="R1227" s="83" t="s">
        <v>4</v>
      </c>
    </row>
    <row r="1228" spans="1:18" x14ac:dyDescent="0.25">
      <c r="A1228" s="88">
        <v>1214</v>
      </c>
      <c r="B1228" s="82"/>
      <c r="C1228" s="97">
        <f>_xll.meDateFromTenor(C1227,"1D","FOLLOWING","TGT")</f>
        <v>44252</v>
      </c>
      <c r="D1228" s="95">
        <f ca="1"/>
        <v>7.1692762985819947E-4</v>
      </c>
      <c r="E1228" s="92"/>
      <c r="F1228" s="97">
        <f>_xll.meDateFromTenor(F1227,"1D","FOLLOWING","TGT")</f>
        <v>44252</v>
      </c>
      <c r="G1228" s="95">
        <f ca="1"/>
        <v>1.688192907620914E-3</v>
      </c>
      <c r="H1228" s="92" t="s">
        <v>4</v>
      </c>
      <c r="I1228" s="97">
        <f>_xll.meDateFromTenor(I1227,"1D","FOLLOWING","TGT")</f>
        <v>44252</v>
      </c>
      <c r="J1228" s="95">
        <f ca="1"/>
        <v>2.833430886709756E-3</v>
      </c>
      <c r="K1228" s="5" t="s">
        <v>4</v>
      </c>
      <c r="L1228" s="97">
        <f>_xll.meDateFromTenor(L1227,"1D","FOLLOWING","TGT")</f>
        <v>44252</v>
      </c>
      <c r="M1228" s="95">
        <f ca="1"/>
        <v>4.6697861899490977E-3</v>
      </c>
      <c r="N1228" s="5" t="s">
        <v>4</v>
      </c>
      <c r="O1228" s="97">
        <f>_xll.meDateFromTenor(O1227,"1D","FOLLOWING","TGT")</f>
        <v>44252</v>
      </c>
      <c r="P1228" s="95">
        <f ca="1"/>
        <v>6.6921254673544305E-3</v>
      </c>
      <c r="Q1228" s="5" t="s">
        <v>4</v>
      </c>
      <c r="R1228" s="83" t="s">
        <v>4</v>
      </c>
    </row>
    <row r="1229" spans="1:18" x14ac:dyDescent="0.25">
      <c r="A1229" s="88">
        <v>1215</v>
      </c>
      <c r="B1229" s="82"/>
      <c r="C1229" s="97">
        <f>_xll.meDateFromTenor(C1228,"1D","FOLLOWING","TGT")</f>
        <v>44253</v>
      </c>
      <c r="D1229" s="95">
        <f ca="1"/>
        <v>7.2163787067491825E-4</v>
      </c>
      <c r="E1229" s="92"/>
      <c r="F1229" s="97">
        <f>_xll.meDateFromTenor(F1228,"1D","FOLLOWING","TGT")</f>
        <v>44253</v>
      </c>
      <c r="G1229" s="95">
        <f ca="1"/>
        <v>1.6961031219863785E-3</v>
      </c>
      <c r="H1229" s="92" t="s">
        <v>4</v>
      </c>
      <c r="I1229" s="97">
        <f>_xll.meDateFromTenor(I1228,"1D","FOLLOWING","TGT")</f>
        <v>44253</v>
      </c>
      <c r="J1229" s="95">
        <f ca="1"/>
        <v>2.8409892800458914E-3</v>
      </c>
      <c r="K1229" s="5" t="s">
        <v>4</v>
      </c>
      <c r="L1229" s="97">
        <f>_xll.meDateFromTenor(L1228,"1D","FOLLOWING","TGT")</f>
        <v>44253</v>
      </c>
      <c r="M1229" s="95">
        <f ca="1"/>
        <v>4.6768988082650058E-3</v>
      </c>
      <c r="N1229" s="5" t="s">
        <v>4</v>
      </c>
      <c r="O1229" s="97">
        <f>_xll.meDateFromTenor(O1228,"1D","FOLLOWING","TGT")</f>
        <v>44253</v>
      </c>
      <c r="P1229" s="95">
        <f ca="1"/>
        <v>6.6993636672613753E-3</v>
      </c>
      <c r="Q1229" s="5" t="s">
        <v>4</v>
      </c>
      <c r="R1229" s="83" t="s">
        <v>4</v>
      </c>
    </row>
    <row r="1230" spans="1:18" x14ac:dyDescent="0.25">
      <c r="A1230" s="88">
        <v>1216</v>
      </c>
      <c r="B1230" s="82"/>
      <c r="C1230" s="97">
        <f>_xll.meDateFromTenor(C1229,"1D","FOLLOWING","TGT")</f>
        <v>44256</v>
      </c>
      <c r="D1230" s="95">
        <f ca="1"/>
        <v>7.3555997168917031E-4</v>
      </c>
      <c r="E1230" s="92"/>
      <c r="F1230" s="97">
        <f>_xll.meDateFromTenor(F1229,"1D","FOLLOWING","TGT")</f>
        <v>44256</v>
      </c>
      <c r="G1230" s="95">
        <f ca="1"/>
        <v>1.7192003665968882E-3</v>
      </c>
      <c r="H1230" s="92" t="s">
        <v>4</v>
      </c>
      <c r="I1230" s="97">
        <f>_xll.meDateFromTenor(I1229,"1D","FOLLOWING","TGT")</f>
        <v>44256</v>
      </c>
      <c r="J1230" s="95">
        <f ca="1"/>
        <v>2.8636829625622445E-3</v>
      </c>
      <c r="K1230" s="5" t="s">
        <v>4</v>
      </c>
      <c r="L1230" s="97">
        <f>_xll.meDateFromTenor(L1229,"1D","FOLLOWING","TGT")</f>
        <v>44256</v>
      </c>
      <c r="M1230" s="95">
        <f ca="1"/>
        <v>4.6982531655185046E-3</v>
      </c>
      <c r="N1230" s="5" t="s">
        <v>4</v>
      </c>
      <c r="O1230" s="97">
        <f>_xll.meDateFromTenor(O1229,"1D","FOLLOWING","TGT")</f>
        <v>44256</v>
      </c>
      <c r="P1230" s="95">
        <f ca="1"/>
        <v>6.7210864943766839E-3</v>
      </c>
      <c r="Q1230" s="5" t="s">
        <v>4</v>
      </c>
      <c r="R1230" s="83" t="s">
        <v>4</v>
      </c>
    </row>
    <row r="1231" spans="1:18" x14ac:dyDescent="0.25">
      <c r="A1231" s="88">
        <v>1217</v>
      </c>
      <c r="B1231" s="82"/>
      <c r="C1231" s="97">
        <f>_xll.meDateFromTenor(C1230,"1D","FOLLOWING","TGT")</f>
        <v>44257</v>
      </c>
      <c r="D1231" s="95">
        <f ca="1"/>
        <v>7.4014656215926067E-4</v>
      </c>
      <c r="E1231" s="92"/>
      <c r="F1231" s="97">
        <f>_xll.meDateFromTenor(F1230,"1D","FOLLOWING","TGT")</f>
        <v>44257</v>
      </c>
      <c r="G1231" s="95">
        <f ca="1"/>
        <v>1.7266620291626253E-3</v>
      </c>
      <c r="H1231" s="92" t="s">
        <v>4</v>
      </c>
      <c r="I1231" s="97">
        <f>_xll.meDateFromTenor(I1230,"1D","FOLLOWING","TGT")</f>
        <v>44257</v>
      </c>
      <c r="J1231" s="95">
        <f ca="1"/>
        <v>2.871253518441232E-3</v>
      </c>
      <c r="K1231" s="5" t="s">
        <v>4</v>
      </c>
      <c r="L1231" s="97">
        <f>_xll.meDateFromTenor(L1230,"1D","FOLLOWING","TGT")</f>
        <v>44257</v>
      </c>
      <c r="M1231" s="95">
        <f ca="1"/>
        <v>4.7053767834379584E-3</v>
      </c>
      <c r="N1231" s="5" t="s">
        <v>4</v>
      </c>
      <c r="O1231" s="97">
        <f>_xll.meDateFromTenor(O1230,"1D","FOLLOWING","TGT")</f>
        <v>44257</v>
      </c>
      <c r="P1231" s="95">
        <f ca="1"/>
        <v>6.7283301315540518E-3</v>
      </c>
      <c r="Q1231" s="5" t="s">
        <v>4</v>
      </c>
      <c r="R1231" s="83" t="s">
        <v>4</v>
      </c>
    </row>
    <row r="1232" spans="1:18" x14ac:dyDescent="0.25">
      <c r="A1232" s="88">
        <v>1218</v>
      </c>
      <c r="B1232" s="82"/>
      <c r="C1232" s="97">
        <f>_xll.meDateFromTenor(C1231,"1D","FOLLOWING","TGT")</f>
        <v>44258</v>
      </c>
      <c r="D1232" s="95">
        <f ca="1"/>
        <v>7.4477554484952968E-4</v>
      </c>
      <c r="E1232" s="92"/>
      <c r="F1232" s="97">
        <f>_xll.meDateFromTenor(F1231,"1D","FOLLOWING","TGT")</f>
        <v>44258</v>
      </c>
      <c r="G1232" s="95">
        <f ca="1"/>
        <v>1.7339943142316045E-3</v>
      </c>
      <c r="H1232" s="92" t="s">
        <v>4</v>
      </c>
      <c r="I1232" s="97">
        <f>_xll.meDateFromTenor(I1231,"1D","FOLLOWING","TGT")</f>
        <v>44258</v>
      </c>
      <c r="J1232" s="95">
        <f ca="1"/>
        <v>2.8788269928145677E-3</v>
      </c>
      <c r="K1232" s="5" t="s">
        <v>4</v>
      </c>
      <c r="L1232" s="97">
        <f>_xll.meDateFromTenor(L1231,"1D","FOLLOWING","TGT")</f>
        <v>44258</v>
      </c>
      <c r="M1232" s="95">
        <f ca="1"/>
        <v>4.7125031498080668E-3</v>
      </c>
      <c r="N1232" s="5" t="s">
        <v>4</v>
      </c>
      <c r="O1232" s="97">
        <f>_xll.meDateFromTenor(O1231,"1D","FOLLOWING","TGT")</f>
        <v>44258</v>
      </c>
      <c r="P1232" s="95">
        <f ca="1"/>
        <v>6.7355750923046047E-3</v>
      </c>
      <c r="Q1232" s="5" t="s">
        <v>4</v>
      </c>
      <c r="R1232" s="83" t="s">
        <v>4</v>
      </c>
    </row>
    <row r="1233" spans="1:18" x14ac:dyDescent="0.25">
      <c r="A1233" s="88">
        <v>1219</v>
      </c>
      <c r="B1233" s="82"/>
      <c r="C1233" s="97">
        <f>_xll.meDateFromTenor(C1232,"1D","FOLLOWING","TGT")</f>
        <v>44259</v>
      </c>
      <c r="D1233" s="95">
        <f ca="1"/>
        <v>7.4946235329509392E-4</v>
      </c>
      <c r="E1233" s="92"/>
      <c r="F1233" s="97">
        <f>_xll.meDateFromTenor(F1232,"1D","FOLLOWING","TGT")</f>
        <v>44259</v>
      </c>
      <c r="G1233" s="95">
        <f ca="1"/>
        <v>1.7412017112612421E-3</v>
      </c>
      <c r="H1233" s="92" t="s">
        <v>4</v>
      </c>
      <c r="I1233" s="97">
        <f>_xll.meDateFromTenor(I1232,"1D","FOLLOWING","TGT")</f>
        <v>44259</v>
      </c>
      <c r="J1233" s="95">
        <f ca="1"/>
        <v>2.8864033699708847E-3</v>
      </c>
      <c r="K1233" s="5" t="s">
        <v>4</v>
      </c>
      <c r="L1233" s="97">
        <f>_xll.meDateFromTenor(L1232,"1D","FOLLOWING","TGT")</f>
        <v>44259</v>
      </c>
      <c r="M1233" s="95">
        <f ca="1"/>
        <v>4.7196322640487469E-3</v>
      </c>
      <c r="N1233" s="5" t="s">
        <v>4</v>
      </c>
      <c r="O1233" s="97">
        <f>_xll.meDateFromTenor(O1232,"1D","FOLLOWING","TGT")</f>
        <v>44259</v>
      </c>
      <c r="P1233" s="95">
        <f ca="1"/>
        <v>6.74282136233058E-3</v>
      </c>
      <c r="Q1233" s="5" t="s">
        <v>4</v>
      </c>
      <c r="R1233" s="83" t="s">
        <v>4</v>
      </c>
    </row>
    <row r="1234" spans="1:18" x14ac:dyDescent="0.25">
      <c r="A1234" s="88">
        <v>1220</v>
      </c>
      <c r="B1234" s="82"/>
      <c r="C1234" s="97">
        <f>_xll.meDateFromTenor(C1233,"1D","FOLLOWING","TGT")</f>
        <v>44260</v>
      </c>
      <c r="D1234" s="95">
        <f ca="1"/>
        <v>7.5420698934713926E-4</v>
      </c>
      <c r="E1234" s="92"/>
      <c r="F1234" s="97">
        <f>_xll.meDateFromTenor(F1233,"1D","FOLLOWING","TGT")</f>
        <v>44260</v>
      </c>
      <c r="G1234" s="95">
        <f ca="1"/>
        <v>1.7482911847689674E-3</v>
      </c>
      <c r="H1234" s="92" t="s">
        <v>4</v>
      </c>
      <c r="I1234" s="97">
        <f>_xll.meDateFromTenor(I1233,"1D","FOLLOWING","TGT")</f>
        <v>44260</v>
      </c>
      <c r="J1234" s="95">
        <f ca="1"/>
        <v>2.8939826414042719E-3</v>
      </c>
      <c r="K1234" s="5" t="s">
        <v>4</v>
      </c>
      <c r="L1234" s="97">
        <f>_xll.meDateFromTenor(L1233,"1D","FOLLOWING","TGT")</f>
        <v>44260</v>
      </c>
      <c r="M1234" s="95">
        <f ca="1"/>
        <v>4.7267641255798977E-3</v>
      </c>
      <c r="N1234" s="5" t="s">
        <v>4</v>
      </c>
      <c r="O1234" s="97">
        <f>_xll.meDateFromTenor(O1233,"1D","FOLLOWING","TGT")</f>
        <v>44260</v>
      </c>
      <c r="P1234" s="95">
        <f ca="1"/>
        <v>6.7500689273342004E-3</v>
      </c>
      <c r="Q1234" s="5" t="s">
        <v>4</v>
      </c>
      <c r="R1234" s="83" t="s">
        <v>4</v>
      </c>
    </row>
    <row r="1235" spans="1:18" x14ac:dyDescent="0.25">
      <c r="A1235" s="88">
        <v>1221</v>
      </c>
      <c r="B1235" s="82"/>
      <c r="C1235" s="97">
        <f>_xll.meDateFromTenor(C1234,"1D","FOLLOWING","TGT")</f>
        <v>44263</v>
      </c>
      <c r="D1235" s="95">
        <f ca="1"/>
        <v>7.6878787762657552E-4</v>
      </c>
      <c r="E1235" s="92"/>
      <c r="F1235" s="97">
        <f>_xll.meDateFromTenor(F1234,"1D","FOLLOWING","TGT")</f>
        <v>44263</v>
      </c>
      <c r="G1235" s="95">
        <f ca="1"/>
        <v>1.7689217093350962E-3</v>
      </c>
      <c r="H1235" s="92" t="s">
        <v>4</v>
      </c>
      <c r="I1235" s="97">
        <f>_xll.meDateFromTenor(I1234,"1D","FOLLOWING","TGT")</f>
        <v>44263</v>
      </c>
      <c r="J1235" s="95">
        <f ca="1"/>
        <v>2.9167377363078766E-3</v>
      </c>
      <c r="K1235" s="5" t="s">
        <v>4</v>
      </c>
      <c r="L1235" s="97">
        <f>_xll.meDateFromTenor(L1234,"1D","FOLLOWING","TGT")</f>
        <v>44263</v>
      </c>
      <c r="M1235" s="95">
        <f ca="1"/>
        <v>4.748176188115294E-3</v>
      </c>
      <c r="N1235" s="5" t="s">
        <v>4</v>
      </c>
      <c r="O1235" s="97">
        <f>_xll.meDateFromTenor(O1234,"1D","FOLLOWING","TGT")</f>
        <v>44263</v>
      </c>
      <c r="P1235" s="95">
        <f ca="1"/>
        <v>6.771819249233293E-3</v>
      </c>
      <c r="Q1235" s="5" t="s">
        <v>4</v>
      </c>
      <c r="R1235" s="83" t="s">
        <v>4</v>
      </c>
    </row>
    <row r="1236" spans="1:18" x14ac:dyDescent="0.25">
      <c r="A1236" s="88">
        <v>1222</v>
      </c>
      <c r="B1236" s="82"/>
      <c r="C1236" s="97">
        <f>_xll.meDateFromTenor(C1235,"1D","FOLLOWING","TGT")</f>
        <v>44264</v>
      </c>
      <c r="D1236" s="95">
        <f ca="1"/>
        <v>7.7376383888161371E-4</v>
      </c>
      <c r="E1236" s="92"/>
      <c r="F1236" s="97">
        <f>_xll.meDateFromTenor(F1235,"1D","FOLLOWING","TGT")</f>
        <v>44264</v>
      </c>
      <c r="G1236" s="95">
        <f ca="1"/>
        <v>1.7756091339295845E-3</v>
      </c>
      <c r="H1236" s="92" t="s">
        <v>4</v>
      </c>
      <c r="I1236" s="97">
        <f>_xll.meDateFromTenor(I1235,"1D","FOLLOWING","TGT")</f>
        <v>44264</v>
      </c>
      <c r="J1236" s="95">
        <f ca="1"/>
        <v>2.92432849979055E-3</v>
      </c>
      <c r="K1236" s="5" t="s">
        <v>4</v>
      </c>
      <c r="L1236" s="97">
        <f>_xll.meDateFromTenor(L1235,"1D","FOLLOWING","TGT")</f>
        <v>44264</v>
      </c>
      <c r="M1236" s="95">
        <f ca="1"/>
        <v>4.7553190330074336E-3</v>
      </c>
      <c r="N1236" s="5" t="s">
        <v>4</v>
      </c>
      <c r="O1236" s="97">
        <f>_xll.meDateFromTenor(O1235,"1D","FOLLOWING","TGT")</f>
        <v>44264</v>
      </c>
      <c r="P1236" s="95">
        <f ca="1"/>
        <v>6.779071851169838E-3</v>
      </c>
      <c r="Q1236" s="5" t="s">
        <v>4</v>
      </c>
      <c r="R1236" s="83" t="s">
        <v>4</v>
      </c>
    </row>
    <row r="1237" spans="1:18" x14ac:dyDescent="0.25">
      <c r="A1237" s="88">
        <v>1223</v>
      </c>
      <c r="B1237" s="82"/>
      <c r="C1237" s="97">
        <f>_xll.meDateFromTenor(C1236,"1D","FOLLOWING","TGT")</f>
        <v>44265</v>
      </c>
      <c r="D1237" s="95">
        <f ca="1"/>
        <v>7.7879763514188127E-4</v>
      </c>
      <c r="E1237" s="92"/>
      <c r="F1237" s="97">
        <f>_xll.meDateFromTenor(F1236,"1D","FOLLOWING","TGT")</f>
        <v>44265</v>
      </c>
      <c r="G1237" s="95">
        <f ca="1"/>
        <v>1.7822134575893609E-3</v>
      </c>
      <c r="H1237" s="92" t="s">
        <v>4</v>
      </c>
      <c r="I1237" s="97">
        <f>_xll.meDateFromTenor(I1236,"1D","FOLLOWING","TGT")</f>
        <v>44265</v>
      </c>
      <c r="J1237" s="95">
        <f ca="1"/>
        <v>2.9319221150207911E-3</v>
      </c>
      <c r="K1237" s="5" t="s">
        <v>4</v>
      </c>
      <c r="L1237" s="97">
        <f>_xll.meDateFromTenor(L1236,"1D","FOLLOWING","TGT")</f>
        <v>44265</v>
      </c>
      <c r="M1237" s="95">
        <f ca="1"/>
        <v>4.7624646222895915E-3</v>
      </c>
      <c r="N1237" s="5" t="s">
        <v>4</v>
      </c>
      <c r="O1237" s="97">
        <f>_xll.meDateFromTenor(O1236,"1D","FOLLOWING","TGT")</f>
        <v>44265</v>
      </c>
      <c r="P1237" s="95">
        <f ca="1"/>
        <v>6.786325676595195E-3</v>
      </c>
      <c r="Q1237" s="5" t="s">
        <v>4</v>
      </c>
      <c r="R1237" s="83" t="s">
        <v>4</v>
      </c>
    </row>
    <row r="1238" spans="1:18" x14ac:dyDescent="0.25">
      <c r="A1238" s="88">
        <v>1224</v>
      </c>
      <c r="B1238" s="82"/>
      <c r="C1238" s="97">
        <f>_xll.meDateFromTenor(C1237,"1D","FOLLOWING","TGT")</f>
        <v>44266</v>
      </c>
      <c r="D1238" s="95">
        <f ca="1"/>
        <v>7.8388926823858007E-4</v>
      </c>
      <c r="E1238" s="92"/>
      <c r="F1238" s="97">
        <f>_xll.meDateFromTenor(F1237,"1D","FOLLOWING","TGT")</f>
        <v>44266</v>
      </c>
      <c r="G1238" s="95">
        <f ca="1"/>
        <v>1.7887416448318641E-3</v>
      </c>
      <c r="H1238" s="92" t="s">
        <v>4</v>
      </c>
      <c r="I1238" s="97">
        <f>_xll.meDateFromTenor(I1237,"1D","FOLLOWING","TGT")</f>
        <v>44266</v>
      </c>
      <c r="J1238" s="95">
        <f ca="1"/>
        <v>2.9395185734926968E-3</v>
      </c>
      <c r="K1238" s="5" t="s">
        <v>4</v>
      </c>
      <c r="L1238" s="97">
        <f>_xll.meDateFromTenor(L1237,"1D","FOLLOWING","TGT")</f>
        <v>44266</v>
      </c>
      <c r="M1238" s="95">
        <f ca="1"/>
        <v>4.7696129553816777E-3</v>
      </c>
      <c r="N1238" s="5" t="s">
        <v>4</v>
      </c>
      <c r="O1238" s="97">
        <f>_xll.meDateFromTenor(O1237,"1D","FOLLOWING","TGT")</f>
        <v>44266</v>
      </c>
      <c r="P1238" s="95">
        <f ca="1"/>
        <v>6.7935807112115918E-3</v>
      </c>
      <c r="Q1238" s="5" t="s">
        <v>4</v>
      </c>
      <c r="R1238" s="83" t="s">
        <v>4</v>
      </c>
    </row>
    <row r="1239" spans="1:18" x14ac:dyDescent="0.25">
      <c r="A1239" s="88">
        <v>1225</v>
      </c>
      <c r="B1239" s="82"/>
      <c r="C1239" s="97">
        <f>_xll.meDateFromTenor(C1238,"1D","FOLLOWING","TGT")</f>
        <v>44267</v>
      </c>
      <c r="D1239" s="95">
        <f ca="1"/>
        <v>7.8903873953062309E-4</v>
      </c>
      <c r="E1239" s="92"/>
      <c r="F1239" s="97">
        <f>_xll.meDateFromTenor(F1238,"1D","FOLLOWING","TGT")</f>
        <v>44267</v>
      </c>
      <c r="G1239" s="95">
        <f ca="1"/>
        <v>1.7952006601745312E-3</v>
      </c>
      <c r="H1239" s="92" t="s">
        <v>4</v>
      </c>
      <c r="I1239" s="97">
        <f>_xll.meDateFromTenor(I1238,"1D","FOLLOWING","TGT")</f>
        <v>44267</v>
      </c>
      <c r="J1239" s="95">
        <f ca="1"/>
        <v>2.9471178667003642E-3</v>
      </c>
      <c r="K1239" s="5" t="s">
        <v>4</v>
      </c>
      <c r="L1239" s="97">
        <f>_xll.meDateFromTenor(L1238,"1D","FOLLOWING","TGT")</f>
        <v>44267</v>
      </c>
      <c r="M1239" s="95">
        <f ca="1"/>
        <v>4.7767640317035974E-3</v>
      </c>
      <c r="N1239" s="5" t="s">
        <v>4</v>
      </c>
      <c r="O1239" s="97">
        <f>_xll.meDateFromTenor(O1238,"1D","FOLLOWING","TGT")</f>
        <v>44267</v>
      </c>
      <c r="P1239" s="95">
        <f ca="1"/>
        <v>6.8008369407212641E-3</v>
      </c>
      <c r="Q1239" s="5" t="s">
        <v>4</v>
      </c>
      <c r="R1239" s="83" t="s">
        <v>4</v>
      </c>
    </row>
    <row r="1240" spans="1:18" x14ac:dyDescent="0.25">
      <c r="A1240" s="88">
        <v>1226</v>
      </c>
      <c r="B1240" s="82"/>
      <c r="C1240" s="97">
        <f>_xll.meDateFromTenor(C1239,"1D","FOLLOWING","TGT")</f>
        <v>44270</v>
      </c>
      <c r="D1240" s="95">
        <f ca="1"/>
        <v>8.0483419977328552E-4</v>
      </c>
      <c r="E1240" s="92"/>
      <c r="F1240" s="97">
        <f>_xll.meDateFromTenor(F1239,"1D","FOLLOWING","TGT")</f>
        <v>44270</v>
      </c>
      <c r="G1240" s="95">
        <f ca="1"/>
        <v>1.8142323199779253E-3</v>
      </c>
      <c r="H1240" s="92" t="s">
        <v>4</v>
      </c>
      <c r="I1240" s="97">
        <f>_xll.meDateFromTenor(I1239,"1D","FOLLOWING","TGT")</f>
        <v>44270</v>
      </c>
      <c r="J1240" s="95">
        <f ca="1"/>
        <v>2.9699326696789362E-3</v>
      </c>
      <c r="K1240" s="5" t="s">
        <v>4</v>
      </c>
      <c r="L1240" s="97">
        <f>_xll.meDateFromTenor(L1239,"1D","FOLLOWING","TGT")</f>
        <v>44270</v>
      </c>
      <c r="M1240" s="95">
        <f ca="1"/>
        <v>4.7982337142474605E-3</v>
      </c>
      <c r="N1240" s="5" t="s">
        <v>4</v>
      </c>
      <c r="O1240" s="97">
        <f>_xll.meDateFromTenor(O1239,"1D","FOLLOWING","TGT")</f>
        <v>44270</v>
      </c>
      <c r="P1240" s="95">
        <f ca="1"/>
        <v>6.8226126556322556E-3</v>
      </c>
      <c r="Q1240" s="5" t="s">
        <v>4</v>
      </c>
      <c r="R1240" s="83" t="s">
        <v>4</v>
      </c>
    </row>
    <row r="1241" spans="1:18" x14ac:dyDescent="0.25">
      <c r="A1241" s="88">
        <v>1227</v>
      </c>
      <c r="B1241" s="82"/>
      <c r="C1241" s="97">
        <f>_xll.meDateFromTenor(C1240,"1D","FOLLOWING","TGT")</f>
        <v>44271</v>
      </c>
      <c r="D1241" s="95">
        <f ca="1"/>
        <v>8.10215040929263E-4</v>
      </c>
      <c r="E1241" s="92"/>
      <c r="F1241" s="97">
        <f>_xll.meDateFromTenor(F1240,"1D","FOLLOWING","TGT")</f>
        <v>44271</v>
      </c>
      <c r="G1241" s="95">
        <f ca="1"/>
        <v>1.8204842928956494E-3</v>
      </c>
      <c r="H1241" s="92" t="s">
        <v>4</v>
      </c>
      <c r="I1241" s="97">
        <f>_xll.meDateFromTenor(I1240,"1D","FOLLOWING","TGT")</f>
        <v>44271</v>
      </c>
      <c r="J1241" s="95">
        <f ca="1"/>
        <v>2.9775432167706436E-3</v>
      </c>
      <c r="K1241" s="5" t="s">
        <v>4</v>
      </c>
      <c r="L1241" s="97">
        <f>_xll.meDateFromTenor(L1240,"1D","FOLLOWING","TGT")</f>
        <v>44271</v>
      </c>
      <c r="M1241" s="95">
        <f ca="1"/>
        <v>4.8053957576878106E-3</v>
      </c>
      <c r="N1241" s="5" t="s">
        <v>4</v>
      </c>
      <c r="O1241" s="97">
        <f>_xll.meDateFromTenor(O1240,"1D","FOLLOWING","TGT")</f>
        <v>44271</v>
      </c>
      <c r="P1241" s="95">
        <f ca="1"/>
        <v>6.8298735217373488E-3</v>
      </c>
      <c r="Q1241" s="5" t="s">
        <v>4</v>
      </c>
      <c r="R1241" s="83" t="s">
        <v>4</v>
      </c>
    </row>
    <row r="1242" spans="1:18" x14ac:dyDescent="0.25">
      <c r="A1242" s="88">
        <v>1228</v>
      </c>
      <c r="B1242" s="82"/>
      <c r="C1242" s="97">
        <f>_xll.meDateFromTenor(C1241,"1D","FOLLOWING","TGT")</f>
        <v>44272</v>
      </c>
      <c r="D1242" s="95">
        <f ca="1"/>
        <v>8.1565372835235017E-4</v>
      </c>
      <c r="E1242" s="92"/>
      <c r="F1242" s="97">
        <f>_xll.meDateFromTenor(F1241,"1D","FOLLOWING","TGT")</f>
        <v>44272</v>
      </c>
      <c r="G1242" s="95">
        <f ca="1"/>
        <v>1.8267019165007343E-3</v>
      </c>
      <c r="H1242" s="92" t="s">
        <v>4</v>
      </c>
      <c r="I1242" s="97">
        <f>_xll.meDateFromTenor(I1241,"1D","FOLLOWING","TGT")</f>
        <v>44272</v>
      </c>
      <c r="J1242" s="95">
        <f ca="1"/>
        <v>2.9851565560686058E-3</v>
      </c>
      <c r="K1242" s="5" t="s">
        <v>4</v>
      </c>
      <c r="L1242" s="97">
        <f>_xll.meDateFromTenor(L1241,"1D","FOLLOWING","TGT")</f>
        <v>44272</v>
      </c>
      <c r="M1242" s="95">
        <f ca="1"/>
        <v>4.8125605414575398E-3</v>
      </c>
      <c r="N1242" s="5" t="s">
        <v>4</v>
      </c>
      <c r="O1242" s="97">
        <f>_xll.meDateFromTenor(O1241,"1D","FOLLOWING","TGT")</f>
        <v>44272</v>
      </c>
      <c r="P1242" s="95">
        <f ca="1"/>
        <v>6.8371355112468784E-3</v>
      </c>
      <c r="Q1242" s="5" t="s">
        <v>4</v>
      </c>
      <c r="R1242" s="83" t="s">
        <v>4</v>
      </c>
    </row>
    <row r="1243" spans="1:18" x14ac:dyDescent="0.25">
      <c r="A1243" s="88">
        <v>1229</v>
      </c>
      <c r="B1243" s="82"/>
      <c r="C1243" s="97">
        <f>_xll.meDateFromTenor(C1242,"1D","FOLLOWING","TGT")</f>
        <v>44273</v>
      </c>
      <c r="D1243" s="95">
        <f ca="1"/>
        <v>8.2115026450124695E-4</v>
      </c>
      <c r="E1243" s="92"/>
      <c r="F1243" s="97">
        <f>_xll.meDateFromTenor(F1242,"1D","FOLLOWING","TGT")</f>
        <v>44273</v>
      </c>
      <c r="G1243" s="95">
        <f ca="1"/>
        <v>1.8328921553106196E-3</v>
      </c>
      <c r="H1243" s="92" t="s">
        <v>4</v>
      </c>
      <c r="I1243" s="97">
        <f>_xll.meDateFromTenor(I1242,"1D","FOLLOWING","TGT")</f>
        <v>44273</v>
      </c>
      <c r="J1243" s="95">
        <f ca="1"/>
        <v>2.9927726790669211E-3</v>
      </c>
      <c r="K1243" s="5" t="s">
        <v>4</v>
      </c>
      <c r="L1243" s="97">
        <f>_xll.meDateFromTenor(L1242,"1D","FOLLOWING","TGT")</f>
        <v>44273</v>
      </c>
      <c r="M1243" s="95">
        <f ca="1"/>
        <v>4.8197280649765568E-3</v>
      </c>
      <c r="N1243" s="5" t="s">
        <v>4</v>
      </c>
      <c r="O1243" s="97">
        <f>_xll.meDateFromTenor(O1242,"1D","FOLLOWING","TGT")</f>
        <v>44273</v>
      </c>
      <c r="P1243" s="95">
        <f ca="1"/>
        <v>6.8443986098630748E-3</v>
      </c>
      <c r="Q1243" s="5" t="s">
        <v>4</v>
      </c>
      <c r="R1243" s="83" t="s">
        <v>4</v>
      </c>
    </row>
    <row r="1244" spans="1:18" x14ac:dyDescent="0.25">
      <c r="A1244" s="88">
        <v>1230</v>
      </c>
      <c r="B1244" s="82"/>
      <c r="C1244" s="97">
        <f>_xll.meDateFromTenor(C1243,"1D","FOLLOWING","TGT")</f>
        <v>44274</v>
      </c>
      <c r="D1244" s="95">
        <f ca="1"/>
        <v>8.2670465040712848E-4</v>
      </c>
      <c r="E1244" s="92"/>
      <c r="F1244" s="97">
        <f>_xll.meDateFromTenor(F1243,"1D","FOLLOWING","TGT")</f>
        <v>44274</v>
      </c>
      <c r="G1244" s="95">
        <f ca="1"/>
        <v>1.8390619738427444E-3</v>
      </c>
      <c r="H1244" s="92" t="s">
        <v>4</v>
      </c>
      <c r="I1244" s="97">
        <f>_xll.meDateFromTenor(I1243,"1D","FOLLOWING","TGT")</f>
        <v>44274</v>
      </c>
      <c r="J1244" s="95">
        <f ca="1"/>
        <v>3.0003915772596882E-3</v>
      </c>
      <c r="K1244" s="5" t="s">
        <v>4</v>
      </c>
      <c r="L1244" s="97">
        <f>_xll.meDateFromTenor(L1243,"1D","FOLLOWING","TGT")</f>
        <v>44274</v>
      </c>
      <c r="M1244" s="95">
        <f ca="1"/>
        <v>4.8268983276647699E-3</v>
      </c>
      <c r="N1244" s="5" t="s">
        <v>4</v>
      </c>
      <c r="O1244" s="97">
        <f>_xll.meDateFromTenor(O1243,"1D","FOLLOWING","TGT")</f>
        <v>44274</v>
      </c>
      <c r="P1244" s="95">
        <f ca="1"/>
        <v>6.8516628032881718E-3</v>
      </c>
      <c r="Q1244" s="5" t="s">
        <v>4</v>
      </c>
      <c r="R1244" s="83" t="s">
        <v>4</v>
      </c>
    </row>
    <row r="1245" spans="1:18" x14ac:dyDescent="0.25">
      <c r="A1245" s="88">
        <v>1231</v>
      </c>
      <c r="B1245" s="82"/>
      <c r="C1245" s="97">
        <f>_xll.meDateFromTenor(C1244,"1D","FOLLOWING","TGT")</f>
        <v>44277</v>
      </c>
      <c r="D1245" s="95">
        <f ca="1"/>
        <v>8.4371492607604459E-4</v>
      </c>
      <c r="E1245" s="92"/>
      <c r="F1245" s="97">
        <f>_xll.meDateFromTenor(F1244,"1D","FOLLOWING","TGT")</f>
        <v>44277</v>
      </c>
      <c r="G1245" s="95">
        <f ca="1"/>
        <v>1.8575185529469444E-3</v>
      </c>
      <c r="H1245" s="92" t="s">
        <v>4</v>
      </c>
      <c r="I1245" s="97">
        <f>_xll.meDateFromTenor(I1244,"1D","FOLLOWING","TGT")</f>
        <v>44277</v>
      </c>
      <c r="J1245" s="95">
        <f ca="1"/>
        <v>3.0232648379456824E-3</v>
      </c>
      <c r="K1245" s="5" t="s">
        <v>4</v>
      </c>
      <c r="L1245" s="97">
        <f>_xll.meDateFromTenor(L1244,"1D","FOLLOWING","TGT")</f>
        <v>44277</v>
      </c>
      <c r="M1245" s="95">
        <f ca="1"/>
        <v>4.8484255449436709E-3</v>
      </c>
      <c r="N1245" s="5" t="s">
        <v>4</v>
      </c>
      <c r="O1245" s="97">
        <f>_xll.meDateFromTenor(O1244,"1D","FOLLOWING","TGT")</f>
        <v>44277</v>
      </c>
      <c r="P1245" s="95">
        <f ca="1"/>
        <v>6.8734618094391763E-3</v>
      </c>
      <c r="Q1245" s="5" t="s">
        <v>4</v>
      </c>
      <c r="R1245" s="83" t="s">
        <v>4</v>
      </c>
    </row>
    <row r="1246" spans="1:18" x14ac:dyDescent="0.25">
      <c r="A1246" s="88">
        <v>1232</v>
      </c>
      <c r="B1246" s="82"/>
      <c r="C1246" s="97">
        <f>_xll.meDateFromTenor(C1245,"1D","FOLLOWING","TGT")</f>
        <v>44278</v>
      </c>
      <c r="D1246" s="95">
        <f ca="1"/>
        <v>8.495007298301438E-4</v>
      </c>
      <c r="E1246" s="92"/>
      <c r="F1246" s="97">
        <f>_xll.meDateFromTenor(F1245,"1D","FOLLOWING","TGT")</f>
        <v>44278</v>
      </c>
      <c r="G1246" s="95">
        <f ca="1"/>
        <v>1.8636763355424173E-3</v>
      </c>
      <c r="H1246" s="92" t="s">
        <v>4</v>
      </c>
      <c r="I1246" s="97">
        <f>_xll.meDateFromTenor(I1245,"1D","FOLLOWING","TGT")</f>
        <v>44278</v>
      </c>
      <c r="J1246" s="95">
        <f ca="1"/>
        <v>3.0308947518572402E-3</v>
      </c>
      <c r="K1246" s="5" t="s">
        <v>4</v>
      </c>
      <c r="L1246" s="97">
        <f>_xll.meDateFromTenor(L1245,"1D","FOLLOWING","TGT")</f>
        <v>44278</v>
      </c>
      <c r="M1246" s="95">
        <f ca="1"/>
        <v>4.855606758507755E-3</v>
      </c>
      <c r="N1246" s="5" t="s">
        <v>4</v>
      </c>
      <c r="O1246" s="97">
        <f>_xll.meDateFromTenor(O1245,"1D","FOLLOWING","TGT")</f>
        <v>44278</v>
      </c>
      <c r="P1246" s="95">
        <f ca="1"/>
        <v>6.8807302391221906E-3</v>
      </c>
      <c r="Q1246" s="5" t="s">
        <v>4</v>
      </c>
      <c r="R1246" s="83" t="s">
        <v>4</v>
      </c>
    </row>
    <row r="1247" spans="1:18" x14ac:dyDescent="0.25">
      <c r="A1247" s="88">
        <v>1233</v>
      </c>
      <c r="B1247" s="82"/>
      <c r="C1247" s="97">
        <f>_xll.meDateFromTenor(C1246,"1D","FOLLOWING","TGT")</f>
        <v>44279</v>
      </c>
      <c r="D1247" s="95">
        <f ca="1"/>
        <v>8.5534439272239027E-4</v>
      </c>
      <c r="E1247" s="92"/>
      <c r="F1247" s="97">
        <f>_xll.meDateFromTenor(F1246,"1D","FOLLOWING","TGT")</f>
        <v>44279</v>
      </c>
      <c r="G1247" s="95">
        <f ca="1"/>
        <v>1.8698485204473253E-3</v>
      </c>
      <c r="H1247" s="92" t="s">
        <v>4</v>
      </c>
      <c r="I1247" s="97">
        <f>_xll.meDateFromTenor(I1246,"1D","FOLLOWING","TGT")</f>
        <v>44279</v>
      </c>
      <c r="J1247" s="95">
        <f ca="1"/>
        <v>3.0385273984337418E-3</v>
      </c>
      <c r="K1247" s="5" t="s">
        <v>4</v>
      </c>
      <c r="L1247" s="97">
        <f>_xll.meDateFromTenor(L1246,"1D","FOLLOWING","TGT")</f>
        <v>44279</v>
      </c>
      <c r="M1247" s="95">
        <f ca="1"/>
        <v>4.8627907083405794E-3</v>
      </c>
      <c r="N1247" s="5" t="s">
        <v>4</v>
      </c>
      <c r="O1247" s="97">
        <f>_xll.meDateFromTenor(O1246,"1D","FOLLOWING","TGT")</f>
        <v>44279</v>
      </c>
      <c r="P1247" s="95">
        <f ca="1"/>
        <v>6.8879996921252656E-3</v>
      </c>
      <c r="Q1247" s="5" t="s">
        <v>4</v>
      </c>
      <c r="R1247" s="83" t="s">
        <v>4</v>
      </c>
    </row>
    <row r="1248" spans="1:18" x14ac:dyDescent="0.25">
      <c r="A1248" s="88">
        <v>1234</v>
      </c>
      <c r="B1248" s="82"/>
      <c r="C1248" s="97">
        <f>_xll.meDateFromTenor(C1247,"1D","FOLLOWING","TGT")</f>
        <v>44280</v>
      </c>
      <c r="D1248" s="95">
        <f ca="1"/>
        <v>8.6124591616232316E-4</v>
      </c>
      <c r="E1248" s="92"/>
      <c r="F1248" s="97">
        <f>_xll.meDateFromTenor(F1247,"1D","FOLLOWING","TGT")</f>
        <v>44280</v>
      </c>
      <c r="G1248" s="95">
        <f ca="1"/>
        <v>1.8760420721791072E-3</v>
      </c>
      <c r="H1248" s="92" t="s">
        <v>4</v>
      </c>
      <c r="I1248" s="97">
        <f>_xll.meDateFromTenor(I1247,"1D","FOLLOWING","TGT")</f>
        <v>44280</v>
      </c>
      <c r="J1248" s="95">
        <f ca="1"/>
        <v>3.0461627691692854E-3</v>
      </c>
      <c r="K1248" s="5" t="s">
        <v>4</v>
      </c>
      <c r="L1248" s="97">
        <f>_xll.meDateFromTenor(L1247,"1D","FOLLOWING","TGT")</f>
        <v>44280</v>
      </c>
      <c r="M1248" s="95">
        <f ca="1"/>
        <v>4.8699773938620508E-3</v>
      </c>
      <c r="N1248" s="5" t="s">
        <v>4</v>
      </c>
      <c r="O1248" s="97">
        <f>_xll.meDateFromTenor(O1247,"1D","FOLLOWING","TGT")</f>
        <v>44280</v>
      </c>
      <c r="P1248" s="95">
        <f ca="1"/>
        <v>6.8952701541506334E-3</v>
      </c>
      <c r="Q1248" s="5" t="s">
        <v>4</v>
      </c>
      <c r="R1248" s="83" t="s">
        <v>4</v>
      </c>
    </row>
    <row r="1249" spans="1:18" x14ac:dyDescent="0.25">
      <c r="A1249" s="88">
        <v>1235</v>
      </c>
      <c r="B1249" s="82"/>
      <c r="C1249" s="97">
        <f>_xll.meDateFromTenor(C1248,"1D","FOLLOWING","TGT")</f>
        <v>44281</v>
      </c>
      <c r="D1249" s="95">
        <f ca="1"/>
        <v>8.6720530245121275E-4</v>
      </c>
      <c r="E1249" s="92"/>
      <c r="F1249" s="97">
        <f>_xll.meDateFromTenor(F1248,"1D","FOLLOWING","TGT")</f>
        <v>44281</v>
      </c>
      <c r="G1249" s="95">
        <f ca="1"/>
        <v>1.8822639552552017E-3</v>
      </c>
      <c r="H1249" s="92" t="s">
        <v>4</v>
      </c>
      <c r="I1249" s="97">
        <f>_xll.meDateFromTenor(I1248,"1D","FOLLOWING","TGT")</f>
        <v>44281</v>
      </c>
      <c r="J1249" s="95">
        <f ca="1"/>
        <v>3.0538008555579688E-3</v>
      </c>
      <c r="K1249" s="5" t="s">
        <v>4</v>
      </c>
      <c r="L1249" s="97">
        <f>_xll.meDateFromTenor(L1248,"1D","FOLLOWING","TGT")</f>
        <v>44281</v>
      </c>
      <c r="M1249" s="95">
        <f ca="1"/>
        <v>4.8771668144920793E-3</v>
      </c>
      <c r="N1249" s="5" t="s">
        <v>4</v>
      </c>
      <c r="O1249" s="97">
        <f>_xll.meDateFromTenor(O1248,"1D","FOLLOWING","TGT")</f>
        <v>44281</v>
      </c>
      <c r="P1249" s="95">
        <f ca="1"/>
        <v>6.9025416109005236E-3</v>
      </c>
      <c r="Q1249" s="5" t="s">
        <v>4</v>
      </c>
      <c r="R1249" s="83" t="s">
        <v>4</v>
      </c>
    </row>
    <row r="1250" spans="1:18" x14ac:dyDescent="0.25">
      <c r="A1250" s="88">
        <v>1236</v>
      </c>
      <c r="B1250" s="82"/>
      <c r="C1250" s="97">
        <f>_xll.meDateFromTenor(C1249,"1D","FOLLOWING","TGT")</f>
        <v>44284</v>
      </c>
      <c r="D1250" s="95">
        <f ca="1"/>
        <v>8.8543065636081941E-4</v>
      </c>
      <c r="E1250" s="92"/>
      <c r="F1250" s="97">
        <f>_xll.meDateFromTenor(F1249,"1D","FOLLOWING","TGT")</f>
        <v>44284</v>
      </c>
      <c r="G1250" s="95">
        <f ca="1"/>
        <v>1.9011692377237533E-3</v>
      </c>
      <c r="H1250" s="92" t="s">
        <v>4</v>
      </c>
      <c r="I1250" s="97">
        <f>_xll.meDateFromTenor(I1249,"1D","FOLLOWING","TGT")</f>
        <v>44284</v>
      </c>
      <c r="J1250" s="95">
        <f ca="1"/>
        <v>3.0767313235838434E-3</v>
      </c>
      <c r="K1250" s="5" t="s">
        <v>4</v>
      </c>
      <c r="L1250" s="97">
        <f>_xll.meDateFromTenor(L1249,"1D","FOLLOWING","TGT")</f>
        <v>44284</v>
      </c>
      <c r="M1250" s="95">
        <f ca="1"/>
        <v>4.8987514812325926E-3</v>
      </c>
      <c r="N1250" s="5" t="s">
        <v>4</v>
      </c>
      <c r="O1250" s="97">
        <f>_xll.meDateFromTenor(O1249,"1D","FOLLOWING","TGT")</f>
        <v>44284</v>
      </c>
      <c r="P1250" s="95">
        <f ca="1"/>
        <v>6.9243618065196622E-3</v>
      </c>
      <c r="Q1250" s="5" t="s">
        <v>4</v>
      </c>
      <c r="R1250" s="83" t="s">
        <v>4</v>
      </c>
    </row>
    <row r="1251" spans="1:18" x14ac:dyDescent="0.25">
      <c r="A1251" s="88">
        <v>1237</v>
      </c>
      <c r="B1251" s="82"/>
      <c r="C1251" s="97">
        <f>_xll.meDateFromTenor(C1250,"1D","FOLLOWING","TGT")</f>
        <v>44285</v>
      </c>
      <c r="D1251" s="95">
        <f ca="1"/>
        <v>8.9162151228738828E-4</v>
      </c>
      <c r="E1251" s="92"/>
      <c r="F1251" s="97">
        <f>_xll.meDateFromTenor(F1250,"1D","FOLLOWING","TGT")</f>
        <v>44285</v>
      </c>
      <c r="G1251" s="95">
        <f ca="1"/>
        <v>1.9075740913514882E-3</v>
      </c>
      <c r="H1251" s="92" t="s">
        <v>4</v>
      </c>
      <c r="I1251" s="97">
        <f>_xll.meDateFromTenor(I1250,"1D","FOLLOWING","TGT")</f>
        <v>44285</v>
      </c>
      <c r="J1251" s="95">
        <f ca="1"/>
        <v>3.0843801875260687E-3</v>
      </c>
      <c r="K1251" s="5" t="s">
        <v>4</v>
      </c>
      <c r="L1251" s="97">
        <f>_xll.meDateFromTenor(L1250,"1D","FOLLOWING","TGT")</f>
        <v>44285</v>
      </c>
      <c r="M1251" s="95">
        <f ca="1"/>
        <v>4.905951836495932E-3</v>
      </c>
      <c r="N1251" s="5" t="s">
        <v>4</v>
      </c>
      <c r="O1251" s="97">
        <f>_xll.meDateFromTenor(O1250,"1D","FOLLOWING","TGT")</f>
        <v>44285</v>
      </c>
      <c r="P1251" s="95">
        <f ca="1"/>
        <v>6.9316370991899679E-3</v>
      </c>
      <c r="Q1251" s="5" t="s">
        <v>4</v>
      </c>
      <c r="R1251" s="83" t="s">
        <v>4</v>
      </c>
    </row>
    <row r="1252" spans="1:18" x14ac:dyDescent="0.25">
      <c r="A1252" s="88">
        <v>1238</v>
      </c>
      <c r="B1252" s="82"/>
      <c r="C1252" s="97">
        <f>_xll.meDateFromTenor(C1251,"1D","FOLLOWING","TGT")</f>
        <v>44286</v>
      </c>
      <c r="D1252" s="95">
        <f ca="1"/>
        <v>8.9787024055376641E-4</v>
      </c>
      <c r="E1252" s="92"/>
      <c r="F1252" s="97">
        <f>_xll.meDateFromTenor(F1251,"1D","FOLLOWING","TGT")</f>
        <v>44286</v>
      </c>
      <c r="G1252" s="95">
        <f ca="1"/>
        <v>1.914042098910733E-3</v>
      </c>
      <c r="H1252" s="92" t="s">
        <v>4</v>
      </c>
      <c r="I1252" s="97">
        <f>_xll.meDateFromTenor(I1251,"1D","FOLLOWING","TGT")</f>
        <v>44286</v>
      </c>
      <c r="J1252" s="95">
        <f ca="1"/>
        <v>3.092031724591928E-3</v>
      </c>
      <c r="K1252" s="5" t="s">
        <v>4</v>
      </c>
      <c r="L1252" s="97">
        <f>_xll.meDateFromTenor(L1251,"1D","FOLLOWING","TGT")</f>
        <v>44286</v>
      </c>
      <c r="M1252" s="95">
        <f ca="1"/>
        <v>4.9131549239673734E-3</v>
      </c>
      <c r="N1252" s="5" t="s">
        <v>4</v>
      </c>
      <c r="O1252" s="97">
        <f>_xll.meDateFromTenor(O1251,"1D","FOLLOWING","TGT")</f>
        <v>44286</v>
      </c>
      <c r="P1252" s="95">
        <f ca="1"/>
        <v>6.9389133150959594E-3</v>
      </c>
      <c r="Q1252" s="5" t="s">
        <v>4</v>
      </c>
      <c r="R1252" s="83" t="s">
        <v>4</v>
      </c>
    </row>
    <row r="1253" spans="1:18" x14ac:dyDescent="0.25">
      <c r="A1253" s="88">
        <v>1239</v>
      </c>
      <c r="B1253" s="82"/>
      <c r="C1253" s="97">
        <f>_xll.meDateFromTenor(C1252,"1D","FOLLOWING","TGT")</f>
        <v>44287</v>
      </c>
      <c r="D1253" s="95">
        <f ca="1"/>
        <v>9.0417684328181203E-4</v>
      </c>
      <c r="E1253" s="92"/>
      <c r="F1253" s="97">
        <f>_xll.meDateFromTenor(F1252,"1D","FOLLOWING","TGT")</f>
        <v>44287</v>
      </c>
      <c r="G1253" s="95">
        <f ca="1"/>
        <v>1.9205802249189254E-3</v>
      </c>
      <c r="H1253" s="92" t="s">
        <v>4</v>
      </c>
      <c r="I1253" s="97">
        <f>_xll.meDateFromTenor(I1252,"1D","FOLLOWING","TGT")</f>
        <v>44287</v>
      </c>
      <c r="J1253" s="95">
        <f ca="1"/>
        <v>3.0996859262755173E-3</v>
      </c>
      <c r="K1253" s="5" t="s">
        <v>4</v>
      </c>
      <c r="L1253" s="97">
        <f>_xll.meDateFromTenor(L1252,"1D","FOLLOWING","TGT")</f>
        <v>44287</v>
      </c>
      <c r="M1253" s="95">
        <f ca="1"/>
        <v>4.9203607430668246E-3</v>
      </c>
      <c r="N1253" s="5" t="s">
        <v>4</v>
      </c>
      <c r="O1253" s="97">
        <f>_xll.meDateFromTenor(O1252,"1D","FOLLOWING","TGT")</f>
        <v>44287</v>
      </c>
      <c r="P1253" s="95">
        <f ca="1"/>
        <v>6.9461904399398689E-3</v>
      </c>
      <c r="Q1253" s="5" t="s">
        <v>4</v>
      </c>
      <c r="R1253" s="83" t="s">
        <v>4</v>
      </c>
    </row>
    <row r="1254" spans="1:18" x14ac:dyDescent="0.25">
      <c r="A1254" s="88">
        <v>1240</v>
      </c>
      <c r="B1254" s="82"/>
      <c r="C1254" s="97">
        <f>_xll.meDateFromTenor(C1253,"1D","FOLLOWING","TGT")</f>
        <v>44292</v>
      </c>
      <c r="D1254" s="95">
        <f ca="1"/>
        <v>9.3657804131708211E-4</v>
      </c>
      <c r="E1254" s="92"/>
      <c r="F1254" s="97">
        <f>_xll.meDateFromTenor(F1253,"1D","FOLLOWING","TGT")</f>
        <v>44292</v>
      </c>
      <c r="G1254" s="95">
        <f ca="1"/>
        <v>1.9545663898044622E-3</v>
      </c>
      <c r="H1254" s="92" t="s">
        <v>4</v>
      </c>
      <c r="I1254" s="97">
        <f>_xll.meDateFromTenor(I1253,"1D","FOLLOWING","TGT")</f>
        <v>44292</v>
      </c>
      <c r="J1254" s="95">
        <f ca="1"/>
        <v>3.1379966062528579E-3</v>
      </c>
      <c r="K1254" s="5" t="s">
        <v>4</v>
      </c>
      <c r="L1254" s="97">
        <f>_xll.meDateFromTenor(L1253,"1D","FOLLOWING","TGT")</f>
        <v>44292</v>
      </c>
      <c r="M1254" s="95">
        <f ca="1"/>
        <v>4.9564307926810089E-3</v>
      </c>
      <c r="N1254" s="5" t="s">
        <v>4</v>
      </c>
      <c r="O1254" s="97">
        <f>_xll.meDateFromTenor(O1253,"1D","FOLLOWING","TGT")</f>
        <v>44292</v>
      </c>
      <c r="P1254" s="95">
        <f ca="1"/>
        <v>6.9825891978062852E-3</v>
      </c>
      <c r="Q1254" s="5" t="s">
        <v>4</v>
      </c>
      <c r="R1254" s="83" t="s">
        <v>4</v>
      </c>
    </row>
    <row r="1255" spans="1:18" x14ac:dyDescent="0.25">
      <c r="A1255" s="88">
        <v>1241</v>
      </c>
      <c r="B1255" s="82"/>
      <c r="C1255" s="97">
        <f>_xll.meDateFromTenor(C1254,"1D","FOLLOWING","TGT")</f>
        <v>44293</v>
      </c>
      <c r="D1255" s="95">
        <f ca="1"/>
        <v>9.4323193246448334E-4</v>
      </c>
      <c r="E1255" s="92"/>
      <c r="F1255" s="97">
        <f>_xll.meDateFromTenor(F1254,"1D","FOLLOWING","TGT")</f>
        <v>44293</v>
      </c>
      <c r="G1255" s="95">
        <f ca="1"/>
        <v>1.9616693072910529E-3</v>
      </c>
      <c r="H1255" s="92" t="s">
        <v>4</v>
      </c>
      <c r="I1255" s="97">
        <f>_xll.meDateFromTenor(I1254,"1D","FOLLOWING","TGT")</f>
        <v>44293</v>
      </c>
      <c r="J1255" s="95">
        <f ca="1"/>
        <v>3.145666617018894E-3</v>
      </c>
      <c r="K1255" s="5" t="s">
        <v>4</v>
      </c>
      <c r="L1255" s="97">
        <f>_xll.meDateFromTenor(L1254,"1D","FOLLOWING","TGT")</f>
        <v>44293</v>
      </c>
      <c r="M1255" s="95">
        <f ca="1"/>
        <v>4.9636529893665928E-3</v>
      </c>
      <c r="N1255" s="5" t="s">
        <v>4</v>
      </c>
      <c r="O1255" s="97">
        <f>_xll.meDateFromTenor(O1254,"1D","FOLLOWING","TGT")</f>
        <v>44293</v>
      </c>
      <c r="P1255" s="95">
        <f ca="1"/>
        <v>6.9898714760245687E-3</v>
      </c>
      <c r="Q1255" s="5" t="s">
        <v>4</v>
      </c>
      <c r="R1255" s="83" t="s">
        <v>4</v>
      </c>
    </row>
    <row r="1256" spans="1:18" x14ac:dyDescent="0.25">
      <c r="A1256" s="88">
        <v>1242</v>
      </c>
      <c r="B1256" s="82"/>
      <c r="C1256" s="97">
        <f>_xll.meDateFromTenor(C1255,"1D","FOLLOWING","TGT")</f>
        <v>44294</v>
      </c>
      <c r="D1256" s="95">
        <f ca="1"/>
        <v>9.4994371207701711E-4</v>
      </c>
      <c r="E1256" s="92"/>
      <c r="F1256" s="97">
        <f>_xll.meDateFromTenor(F1255,"1D","FOLLOWING","TGT")</f>
        <v>44294</v>
      </c>
      <c r="G1256" s="95">
        <f ca="1"/>
        <v>1.96887805035963E-3</v>
      </c>
      <c r="H1256" s="92" t="s">
        <v>4</v>
      </c>
      <c r="I1256" s="97">
        <f>_xll.meDateFromTenor(I1255,"1D","FOLLOWING","TGT")</f>
        <v>44294</v>
      </c>
      <c r="J1256" s="95">
        <f ca="1"/>
        <v>3.1533392328613455E-3</v>
      </c>
      <c r="K1256" s="5" t="s">
        <v>4</v>
      </c>
      <c r="L1256" s="97">
        <f>_xll.meDateFromTenor(L1255,"1D","FOLLOWING","TGT")</f>
        <v>44294</v>
      </c>
      <c r="M1256" s="95">
        <f ca="1"/>
        <v>4.9708779136195431E-3</v>
      </c>
      <c r="N1256" s="5" t="s">
        <v>4</v>
      </c>
      <c r="O1256" s="97">
        <f>_xll.meDateFromTenor(O1255,"1D","FOLLOWING","TGT")</f>
        <v>44294</v>
      </c>
      <c r="P1256" s="95">
        <f ca="1"/>
        <v>6.9971545630963883E-3</v>
      </c>
      <c r="Q1256" s="5" t="s">
        <v>4</v>
      </c>
      <c r="R1256" s="83" t="s">
        <v>4</v>
      </c>
    </row>
    <row r="1257" spans="1:18" x14ac:dyDescent="0.25">
      <c r="A1257" s="88">
        <v>1243</v>
      </c>
      <c r="B1257" s="82"/>
      <c r="C1257" s="97">
        <f>_xll.meDateFromTenor(C1256,"1D","FOLLOWING","TGT")</f>
        <v>44295</v>
      </c>
      <c r="D1257" s="95">
        <f ca="1"/>
        <v>9.5671338291669628E-4</v>
      </c>
      <c r="E1257" s="92"/>
      <c r="F1257" s="97">
        <f>_xll.meDateFromTenor(F1256,"1D","FOLLOWING","TGT")</f>
        <v>44295</v>
      </c>
      <c r="G1257" s="95">
        <f ca="1"/>
        <v>1.9761865390386054E-3</v>
      </c>
      <c r="H1257" s="92" t="s">
        <v>4</v>
      </c>
      <c r="I1257" s="97">
        <f>_xll.meDateFromTenor(I1256,"1D","FOLLOWING","TGT")</f>
        <v>44295</v>
      </c>
      <c r="J1257" s="95">
        <f ca="1"/>
        <v>3.1610144452743159E-3</v>
      </c>
      <c r="K1257" s="5" t="s">
        <v>4</v>
      </c>
      <c r="L1257" s="97">
        <f>_xll.meDateFromTenor(L1256,"1D","FOLLOWING","TGT")</f>
        <v>44295</v>
      </c>
      <c r="M1257" s="95">
        <f ca="1"/>
        <v>4.9781055648597736E-3</v>
      </c>
      <c r="N1257" s="5" t="s">
        <v>4</v>
      </c>
      <c r="O1257" s="97">
        <f>_xll.meDateFromTenor(O1256,"1D","FOLLOWING","TGT")</f>
        <v>44295</v>
      </c>
      <c r="P1257" s="95">
        <f ca="1"/>
        <v>7.0044384447239842E-3</v>
      </c>
      <c r="Q1257" s="5" t="s">
        <v>4</v>
      </c>
      <c r="R1257" s="83" t="s">
        <v>4</v>
      </c>
    </row>
    <row r="1258" spans="1:18" x14ac:dyDescent="0.25">
      <c r="A1258" s="88">
        <v>1244</v>
      </c>
      <c r="B1258" s="82"/>
      <c r="C1258" s="97">
        <f>_xll.meDateFromTenor(C1257,"1D","FOLLOWING","TGT")</f>
        <v>44298</v>
      </c>
      <c r="D1258" s="95">
        <f ca="1"/>
        <v>9.7736976199325198E-4</v>
      </c>
      <c r="E1258" s="92"/>
      <c r="F1258" s="97">
        <f>_xll.meDateFromTenor(F1257,"1D","FOLLOWING","TGT")</f>
        <v>44298</v>
      </c>
      <c r="G1258" s="95">
        <f ca="1"/>
        <v>1.9986496790219766E-3</v>
      </c>
      <c r="H1258" s="92" t="s">
        <v>4</v>
      </c>
      <c r="I1258" s="97">
        <f>_xll.meDateFromTenor(I1257,"1D","FOLLOWING","TGT")</f>
        <v>44298</v>
      </c>
      <c r="J1258" s="95">
        <f ca="1"/>
        <v>3.1840555768773123E-3</v>
      </c>
      <c r="K1258" s="5" t="s">
        <v>4</v>
      </c>
      <c r="L1258" s="97">
        <f>_xll.meDateFromTenor(L1257,"1D","FOLLOWING","TGT")</f>
        <v>44298</v>
      </c>
      <c r="M1258" s="95">
        <f ca="1"/>
        <v>4.9998048747032179E-3</v>
      </c>
      <c r="N1258" s="5" t="s">
        <v>4</v>
      </c>
      <c r="O1258" s="97">
        <f>_xll.meDateFromTenor(O1257,"1D","FOLLOWING","TGT")</f>
        <v>44298</v>
      </c>
      <c r="P1258" s="95">
        <f ca="1"/>
        <v>7.0262947139637343E-3</v>
      </c>
      <c r="Q1258" s="5" t="s">
        <v>4</v>
      </c>
      <c r="R1258" s="83" t="s">
        <v>4</v>
      </c>
    </row>
    <row r="1259" spans="1:18" x14ac:dyDescent="0.25">
      <c r="A1259" s="88">
        <v>1245</v>
      </c>
      <c r="B1259" s="82"/>
      <c r="C1259" s="97">
        <f>_xll.meDateFromTenor(C1258,"1D","FOLLOWING","TGT")</f>
        <v>44299</v>
      </c>
      <c r="D1259" s="95">
        <f ca="1"/>
        <v>9.8437101810877614E-4</v>
      </c>
      <c r="E1259" s="92"/>
      <c r="F1259" s="97">
        <f>_xll.meDateFromTenor(F1258,"1D","FOLLOWING","TGT")</f>
        <v>44299</v>
      </c>
      <c r="G1259" s="95">
        <f ca="1"/>
        <v>2.0062963504266056E-3</v>
      </c>
      <c r="H1259" s="92" t="s">
        <v>4</v>
      </c>
      <c r="I1259" s="97">
        <f>_xll.meDateFromTenor(I1258,"1D","FOLLOWING","TGT")</f>
        <v>44299</v>
      </c>
      <c r="J1259" s="95">
        <f ca="1"/>
        <v>3.1917410905133339E-3</v>
      </c>
      <c r="K1259" s="5" t="s">
        <v>4</v>
      </c>
      <c r="L1259" s="97">
        <f>_xll.meDateFromTenor(L1258,"1D","FOLLOWING","TGT")</f>
        <v>44299</v>
      </c>
      <c r="M1259" s="95">
        <f ca="1"/>
        <v>5.0070434280916464E-3</v>
      </c>
      <c r="N1259" s="5" t="s">
        <v>4</v>
      </c>
      <c r="O1259" s="97">
        <f>_xll.meDateFromTenor(O1258,"1D","FOLLOWING","TGT")</f>
        <v>44299</v>
      </c>
      <c r="P1259" s="95">
        <f ca="1"/>
        <v>7.0335816308367436E-3</v>
      </c>
      <c r="Q1259" s="5" t="s">
        <v>4</v>
      </c>
      <c r="R1259" s="83" t="s">
        <v>4</v>
      </c>
    </row>
    <row r="1260" spans="1:18" x14ac:dyDescent="0.25">
      <c r="A1260" s="88">
        <v>1246</v>
      </c>
      <c r="B1260" s="82"/>
      <c r="C1260" s="97">
        <f>_xll.meDateFromTenor(C1259,"1D","FOLLOWING","TGT")</f>
        <v>44300</v>
      </c>
      <c r="D1260" s="95">
        <f ca="1"/>
        <v>9.9143017596481364E-4</v>
      </c>
      <c r="E1260" s="92"/>
      <c r="F1260" s="97">
        <f>_xll.meDateFromTenor(F1259,"1D","FOLLOWING","TGT")</f>
        <v>44300</v>
      </c>
      <c r="G1260" s="95">
        <f ca="1"/>
        <v>2.0140123675836661E-3</v>
      </c>
      <c r="H1260" s="92" t="s">
        <v>4</v>
      </c>
      <c r="I1260" s="97">
        <f>_xll.meDateFromTenor(I1259,"1D","FOLLOWING","TGT")</f>
        <v>44300</v>
      </c>
      <c r="J1260" s="95">
        <f ca="1"/>
        <v>3.1994291581903633E-3</v>
      </c>
      <c r="K1260" s="5" t="s">
        <v>4</v>
      </c>
      <c r="L1260" s="97">
        <f>_xll.meDateFromTenor(L1259,"1D","FOLLOWING","TGT")</f>
        <v>44300</v>
      </c>
      <c r="M1260" s="95">
        <f ca="1"/>
        <v>5.0142847055668948E-3</v>
      </c>
      <c r="N1260" s="5" t="s">
        <v>4</v>
      </c>
      <c r="O1260" s="97">
        <f>_xll.meDateFromTenor(O1259,"1D","FOLLOWING","TGT")</f>
        <v>44300</v>
      </c>
      <c r="P1260" s="95">
        <f ca="1"/>
        <v>7.0408692707766883E-3</v>
      </c>
      <c r="Q1260" s="5" t="s">
        <v>4</v>
      </c>
      <c r="R1260" s="83" t="s">
        <v>4</v>
      </c>
    </row>
    <row r="1261" spans="1:18" x14ac:dyDescent="0.25">
      <c r="A1261" s="88">
        <v>1247</v>
      </c>
      <c r="B1261" s="82"/>
      <c r="C1261" s="97">
        <f>_xll.meDateFromTenor(C1260,"1D","FOLLOWING","TGT")</f>
        <v>44301</v>
      </c>
      <c r="D1261" s="95">
        <f ca="1"/>
        <v>9.9854723830428149E-4</v>
      </c>
      <c r="E1261" s="92"/>
      <c r="F1261" s="97">
        <f>_xll.meDateFromTenor(F1260,"1D","FOLLOWING","TGT")</f>
        <v>44301</v>
      </c>
      <c r="G1261" s="95">
        <f ca="1"/>
        <v>2.0217916505215652E-3</v>
      </c>
      <c r="H1261" s="92" t="s">
        <v>4</v>
      </c>
      <c r="I1261" s="97">
        <f>_xll.meDateFromTenor(I1260,"1D","FOLLOWING","TGT")</f>
        <v>44301</v>
      </c>
      <c r="J1261" s="95">
        <f ca="1"/>
        <v>3.2071197714025005E-3</v>
      </c>
      <c r="K1261" s="5" t="s">
        <v>4</v>
      </c>
      <c r="L1261" s="97">
        <f>_xll.meDateFromTenor(L1260,"1D","FOLLOWING","TGT")</f>
        <v>44301</v>
      </c>
      <c r="M1261" s="95">
        <f ca="1"/>
        <v>5.021528706548874E-3</v>
      </c>
      <c r="N1261" s="5" t="s">
        <v>4</v>
      </c>
      <c r="O1261" s="97">
        <f>_xll.meDateFromTenor(O1260,"1D","FOLLOWING","TGT")</f>
        <v>44301</v>
      </c>
      <c r="P1261" s="95">
        <f ca="1"/>
        <v>7.0481576194857979E-3</v>
      </c>
      <c r="Q1261" s="5" t="s">
        <v>4</v>
      </c>
      <c r="R1261" s="83" t="s">
        <v>4</v>
      </c>
    </row>
    <row r="1262" spans="1:18" x14ac:dyDescent="0.25">
      <c r="A1262" s="88">
        <v>1248</v>
      </c>
      <c r="B1262" s="82"/>
      <c r="C1262" s="97">
        <f>_xll.meDateFromTenor(C1261,"1D","FOLLOWING","TGT")</f>
        <v>44302</v>
      </c>
      <c r="D1262" s="95">
        <f ca="1"/>
        <v>1.0057222069967953E-3</v>
      </c>
      <c r="E1262" s="92"/>
      <c r="F1262" s="97">
        <f>_xll.meDateFromTenor(F1261,"1D","FOLLOWING","TGT")</f>
        <v>44302</v>
      </c>
      <c r="G1262" s="95">
        <f ca="1"/>
        <v>2.0296281192687098E-3</v>
      </c>
      <c r="H1262" s="92" t="s">
        <v>4</v>
      </c>
      <c r="I1262" s="97">
        <f>_xll.meDateFromTenor(I1261,"1D","FOLLOWING","TGT")</f>
        <v>44302</v>
      </c>
      <c r="J1262" s="95">
        <f ca="1"/>
        <v>3.2148129216438416E-3</v>
      </c>
      <c r="K1262" s="5" t="s">
        <v>4</v>
      </c>
      <c r="L1262" s="97">
        <f>_xll.meDateFromTenor(L1261,"1D","FOLLOWING","TGT")</f>
        <v>44302</v>
      </c>
      <c r="M1262" s="95">
        <f ca="1"/>
        <v>5.0287754304574909E-3</v>
      </c>
      <c r="N1262" s="5" t="s">
        <v>4</v>
      </c>
      <c r="O1262" s="97">
        <f>_xll.meDateFromTenor(O1261,"1D","FOLLOWING","TGT")</f>
        <v>44302</v>
      </c>
      <c r="P1262" s="95">
        <f ca="1"/>
        <v>7.0554466626663046E-3</v>
      </c>
      <c r="Q1262" s="5" t="s">
        <v>4</v>
      </c>
      <c r="R1262" s="83" t="s">
        <v>4</v>
      </c>
    </row>
    <row r="1263" spans="1:18" x14ac:dyDescent="0.25">
      <c r="A1263" s="88">
        <v>1249</v>
      </c>
      <c r="B1263" s="82"/>
      <c r="C1263" s="97">
        <f>_xll.meDateFromTenor(C1262,"1D","FOLLOWING","TGT")</f>
        <v>44305</v>
      </c>
      <c r="D1263" s="95">
        <f ca="1"/>
        <v>1.027594575260915E-3</v>
      </c>
      <c r="E1263" s="92"/>
      <c r="F1263" s="97">
        <f>_xll.meDateFromTenor(F1262,"1D","FOLLOWING","TGT")</f>
        <v>44305</v>
      </c>
      <c r="G1263" s="95">
        <f ca="1"/>
        <v>2.053419840649683E-3</v>
      </c>
      <c r="H1263" s="92" t="s">
        <v>4</v>
      </c>
      <c r="I1263" s="97">
        <f>_xll.meDateFromTenor(I1262,"1D","FOLLOWING","TGT")</f>
        <v>44305</v>
      </c>
      <c r="J1263" s="95">
        <f ca="1"/>
        <v>3.2379075094840786E-3</v>
      </c>
      <c r="K1263" s="5" t="s">
        <v>4</v>
      </c>
      <c r="L1263" s="97">
        <f>_xll.meDateFromTenor(L1262,"1D","FOLLOWING","TGT")</f>
        <v>44305</v>
      </c>
      <c r="M1263" s="95">
        <f ca="1"/>
        <v>5.0505319339422547E-3</v>
      </c>
      <c r="N1263" s="5" t="s">
        <v>4</v>
      </c>
      <c r="O1263" s="97">
        <f>_xll.meDateFromTenor(O1262,"1D","FOLLOWING","TGT")</f>
        <v>44305</v>
      </c>
      <c r="P1263" s="95">
        <f ca="1"/>
        <v>7.0773178160585329E-3</v>
      </c>
      <c r="Q1263" s="5" t="s">
        <v>4</v>
      </c>
      <c r="R1263" s="83" t="s">
        <v>4</v>
      </c>
    </row>
    <row r="1264" spans="1:18" x14ac:dyDescent="0.25">
      <c r="A1264" s="88">
        <v>1250</v>
      </c>
      <c r="B1264" s="82"/>
      <c r="C1264" s="97">
        <f>_xll.meDateFromTenor(C1263,"1D","FOLLOWING","TGT")</f>
        <v>44306</v>
      </c>
      <c r="D1264" s="95">
        <f ca="1"/>
        <v>1.0350011934012748E-3</v>
      </c>
      <c r="E1264" s="92"/>
      <c r="F1264" s="97">
        <f>_xll.meDateFromTenor(F1263,"1D","FOLLOWING","TGT")</f>
        <v>44306</v>
      </c>
      <c r="G1264" s="95">
        <f ca="1"/>
        <v>2.0614242529178799E-3</v>
      </c>
      <c r="H1264" s="92" t="s">
        <v>4</v>
      </c>
      <c r="I1264" s="97">
        <f>_xll.meDateFromTenor(I1263,"1D","FOLLOWING","TGT")</f>
        <v>44306</v>
      </c>
      <c r="J1264" s="95">
        <f ca="1"/>
        <v>3.2456107227832242E-3</v>
      </c>
      <c r="K1264" s="5" t="s">
        <v>4</v>
      </c>
      <c r="L1264" s="97">
        <f>_xll.meDateFromTenor(L1263,"1D","FOLLOWING","TGT")</f>
        <v>44306</v>
      </c>
      <c r="M1264" s="95">
        <f ca="1"/>
        <v>5.0577895437565112E-3</v>
      </c>
      <c r="N1264" s="5" t="s">
        <v>4</v>
      </c>
      <c r="O1264" s="97">
        <f>_xll.meDateFromTenor(O1263,"1D","FOLLOWING","TGT")</f>
        <v>44306</v>
      </c>
      <c r="P1264" s="95">
        <f ca="1"/>
        <v>7.0846094941469503E-3</v>
      </c>
      <c r="Q1264" s="5" t="s">
        <v>4</v>
      </c>
      <c r="R1264" s="83" t="s">
        <v>4</v>
      </c>
    </row>
    <row r="1265" spans="1:18" x14ac:dyDescent="0.25">
      <c r="A1265" s="88">
        <v>1251</v>
      </c>
      <c r="B1265" s="82"/>
      <c r="C1265" s="97">
        <f>_xll.meDateFromTenor(C1264,"1D","FOLLOWING","TGT")</f>
        <v>44307</v>
      </c>
      <c r="D1265" s="95">
        <f ca="1"/>
        <v>1.0424657298029327E-3</v>
      </c>
      <c r="E1265" s="92"/>
      <c r="F1265" s="97">
        <f>_xll.meDateFromTenor(F1264,"1D","FOLLOWING","TGT")</f>
        <v>44307</v>
      </c>
      <c r="G1265" s="95">
        <f ca="1"/>
        <v>2.0694554511373571E-3</v>
      </c>
      <c r="H1265" s="92" t="s">
        <v>4</v>
      </c>
      <c r="I1265" s="97">
        <f>_xll.meDateFromTenor(I1264,"1D","FOLLOWING","TGT")</f>
        <v>44307</v>
      </c>
      <c r="J1265" s="95">
        <f ca="1"/>
        <v>3.253316430582067E-3</v>
      </c>
      <c r="K1265" s="5" t="s">
        <v>4</v>
      </c>
      <c r="L1265" s="97">
        <f>_xll.meDateFromTenor(L1264,"1D","FOLLOWING","TGT")</f>
        <v>44307</v>
      </c>
      <c r="M1265" s="95">
        <f ca="1"/>
        <v>5.0650498735969494E-3</v>
      </c>
      <c r="N1265" s="5" t="s">
        <v>4</v>
      </c>
      <c r="O1265" s="97">
        <f>_xll.meDateFromTenor(O1264,"1D","FOLLOWING","TGT")</f>
        <v>44307</v>
      </c>
      <c r="P1265" s="95">
        <f ca="1"/>
        <v>7.0919017952179282E-3</v>
      </c>
      <c r="Q1265" s="5" t="s">
        <v>4</v>
      </c>
      <c r="R1265" s="83" t="s">
        <v>4</v>
      </c>
    </row>
    <row r="1266" spans="1:18" x14ac:dyDescent="0.25">
      <c r="A1266" s="88">
        <v>1252</v>
      </c>
      <c r="B1266" s="82"/>
      <c r="C1266" s="97">
        <f>_xll.meDateFromTenor(C1265,"1D","FOLLOWING","TGT")</f>
        <v>44308</v>
      </c>
      <c r="D1266" s="95">
        <f ca="1"/>
        <v>1.0499881868757388E-3</v>
      </c>
      <c r="E1266" s="92"/>
      <c r="F1266" s="97">
        <f>_xll.meDateFromTenor(F1265,"1D","FOLLOWING","TGT")</f>
        <v>44308</v>
      </c>
      <c r="G1266" s="95">
        <f ca="1"/>
        <v>2.0775073553365225E-3</v>
      </c>
      <c r="H1266" s="92" t="s">
        <v>4</v>
      </c>
      <c r="I1266" s="97">
        <f>_xll.meDateFromTenor(I1265,"1D","FOLLOWING","TGT")</f>
        <v>44308</v>
      </c>
      <c r="J1266" s="95">
        <f ca="1"/>
        <v>3.2610246243747038E-3</v>
      </c>
      <c r="K1266" s="5" t="s">
        <v>4</v>
      </c>
      <c r="L1266" s="97">
        <f>_xll.meDateFromTenor(L1265,"1D","FOLLOWING","TGT")</f>
        <v>44308</v>
      </c>
      <c r="M1266" s="95">
        <f ca="1"/>
        <v>5.0723129228834769E-3</v>
      </c>
      <c r="N1266" s="5" t="s">
        <v>4</v>
      </c>
      <c r="O1266" s="97">
        <f>_xll.meDateFromTenor(O1265,"1D","FOLLOWING","TGT")</f>
        <v>44308</v>
      </c>
      <c r="P1266" s="95">
        <f ca="1"/>
        <v>7.0991947049736971E-3</v>
      </c>
      <c r="Q1266" s="5" t="s">
        <v>4</v>
      </c>
      <c r="R1266" s="83" t="s">
        <v>4</v>
      </c>
    </row>
    <row r="1267" spans="1:18" x14ac:dyDescent="0.25">
      <c r="A1267" s="88">
        <v>1253</v>
      </c>
      <c r="B1267" s="82"/>
      <c r="C1267" s="97">
        <f>_xll.meDateFromTenor(C1266,"1D","FOLLOWING","TGT")</f>
        <v>44309</v>
      </c>
      <c r="D1267" s="95">
        <f ca="1"/>
        <v>1.0575685671230239E-3</v>
      </c>
      <c r="E1267" s="92"/>
      <c r="F1267" s="97">
        <f>_xll.meDateFromTenor(F1266,"1D","FOLLOWING","TGT")</f>
        <v>44309</v>
      </c>
      <c r="G1267" s="95">
        <f ca="1"/>
        <v>2.0855738855437831E-3</v>
      </c>
      <c r="H1267" s="92" t="s">
        <v>4</v>
      </c>
      <c r="I1267" s="97">
        <f>_xll.meDateFromTenor(I1266,"1D","FOLLOWING","TGT")</f>
        <v>44309</v>
      </c>
      <c r="J1267" s="95">
        <f ca="1"/>
        <v>3.2687352956552351E-3</v>
      </c>
      <c r="K1267" s="5" t="s">
        <v>4</v>
      </c>
      <c r="L1267" s="97">
        <f>_xll.meDateFromTenor(L1266,"1D","FOLLOWING","TGT")</f>
        <v>44309</v>
      </c>
      <c r="M1267" s="95">
        <f ca="1"/>
        <v>5.079578691036004E-3</v>
      </c>
      <c r="N1267" s="5" t="s">
        <v>4</v>
      </c>
      <c r="O1267" s="97">
        <f>_xll.meDateFromTenor(O1266,"1D","FOLLOWING","TGT")</f>
        <v>44309</v>
      </c>
      <c r="P1267" s="95">
        <f ca="1"/>
        <v>7.1064882091164865E-3</v>
      </c>
      <c r="Q1267" s="5" t="s">
        <v>4</v>
      </c>
      <c r="R1267" s="83" t="s">
        <v>4</v>
      </c>
    </row>
    <row r="1268" spans="1:18" x14ac:dyDescent="0.25">
      <c r="A1268" s="88">
        <v>1254</v>
      </c>
      <c r="B1268" s="82"/>
      <c r="C1268" s="97">
        <f>_xll.meDateFromTenor(C1267,"1D","FOLLOWING","TGT")</f>
        <v>44312</v>
      </c>
      <c r="D1268" s="95">
        <f ca="1"/>
        <v>1.0806572717514396E-3</v>
      </c>
      <c r="E1268" s="92"/>
      <c r="F1268" s="97">
        <f>_xll.meDateFromTenor(F1267,"1D","FOLLOWING","TGT")</f>
        <v>44312</v>
      </c>
      <c r="G1268" s="95">
        <f ca="1"/>
        <v>2.109800432498202E-3</v>
      </c>
      <c r="H1268" s="92" t="s">
        <v>4</v>
      </c>
      <c r="I1268" s="97">
        <f>_xll.meDateFromTenor(I1267,"1D","FOLLOWING","TGT")</f>
        <v>44312</v>
      </c>
      <c r="J1268" s="95">
        <f ca="1"/>
        <v>3.2918820893651705E-3</v>
      </c>
      <c r="K1268" s="5" t="s">
        <v>4</v>
      </c>
      <c r="L1268" s="97">
        <f>_xll.meDateFromTenor(L1267,"1D","FOLLOWING","TGT")</f>
        <v>44312</v>
      </c>
      <c r="M1268" s="95">
        <f ca="1"/>
        <v>5.1013923028886618E-3</v>
      </c>
      <c r="N1268" s="5" t="s">
        <v>4</v>
      </c>
      <c r="O1268" s="97">
        <f>_xll.meDateFromTenor(O1267,"1D","FOLLOWING","TGT")</f>
        <v>44312</v>
      </c>
      <c r="P1268" s="95">
        <f ca="1"/>
        <v>7.1283721448893098E-3</v>
      </c>
      <c r="Q1268" s="5" t="s">
        <v>4</v>
      </c>
      <c r="R1268" s="83" t="s">
        <v>4</v>
      </c>
    </row>
    <row r="1269" spans="1:18" x14ac:dyDescent="0.25">
      <c r="A1269" s="88">
        <v>1255</v>
      </c>
      <c r="B1269" s="82"/>
      <c r="C1269" s="97">
        <f>_xll.meDateFromTenor(C1268,"1D","FOLLOWING","TGT")</f>
        <v>44313</v>
      </c>
      <c r="D1269" s="95">
        <f ca="1"/>
        <v>1.0884693696702197E-3</v>
      </c>
      <c r="E1269" s="92"/>
      <c r="F1269" s="97">
        <f>_xll.meDateFromTenor(F1268,"1D","FOLLOWING","TGT")</f>
        <v>44313</v>
      </c>
      <c r="G1269" s="95">
        <f ca="1"/>
        <v>2.1178646670219135E-3</v>
      </c>
      <c r="H1269" s="92" t="s">
        <v>4</v>
      </c>
      <c r="I1269" s="97">
        <f>_xll.meDateFromTenor(I1268,"1D","FOLLOWING","TGT")</f>
        <v>44313</v>
      </c>
      <c r="J1269" s="95">
        <f ca="1"/>
        <v>3.2996025855382589E-3</v>
      </c>
      <c r="K1269" s="5" t="s">
        <v>4</v>
      </c>
      <c r="L1269" s="97">
        <f>_xll.meDateFromTenor(L1268,"1D","FOLLOWING","TGT")</f>
        <v>44313</v>
      </c>
      <c r="M1269" s="95">
        <f ca="1"/>
        <v>5.1086689407042708E-3</v>
      </c>
      <c r="N1269" s="5" t="s">
        <v>4</v>
      </c>
      <c r="O1269" s="97">
        <f>_xll.meDateFromTenor(O1268,"1D","FOLLOWING","TGT")</f>
        <v>44313</v>
      </c>
      <c r="P1269" s="95">
        <f ca="1"/>
        <v>7.1356678836025107E-3</v>
      </c>
      <c r="Q1269" s="5" t="s">
        <v>4</v>
      </c>
      <c r="R1269" s="83" t="s">
        <v>4</v>
      </c>
    </row>
    <row r="1270" spans="1:18" x14ac:dyDescent="0.25">
      <c r="A1270" s="88">
        <v>1256</v>
      </c>
      <c r="B1270" s="82"/>
      <c r="C1270" s="97">
        <f>_xll.meDateFromTenor(C1269,"1D","FOLLOWING","TGT")</f>
        <v>44314</v>
      </c>
      <c r="D1270" s="95">
        <f ca="1"/>
        <v>1.0963394033407514E-3</v>
      </c>
      <c r="E1270" s="92"/>
      <c r="F1270" s="97">
        <f>_xll.meDateFromTenor(F1269,"1D","FOLLOWING","TGT")</f>
        <v>44314</v>
      </c>
      <c r="G1270" s="95">
        <f ca="1"/>
        <v>2.1259131276957551E-3</v>
      </c>
      <c r="H1270" s="92" t="s">
        <v>4</v>
      </c>
      <c r="I1270" s="97">
        <f>_xll.meDateFromTenor(I1269,"1D","FOLLOWING","TGT")</f>
        <v>44314</v>
      </c>
      <c r="J1270" s="95">
        <f ca="1"/>
        <v>3.307325516669732E-3</v>
      </c>
      <c r="K1270" s="5" t="s">
        <v>4</v>
      </c>
      <c r="L1270" s="97">
        <f>_xll.meDateFromTenor(L1269,"1D","FOLLOWING","TGT")</f>
        <v>44314</v>
      </c>
      <c r="M1270" s="95">
        <f ca="1"/>
        <v>5.1159482944854208E-3</v>
      </c>
      <c r="N1270" s="5" t="s">
        <v>4</v>
      </c>
      <c r="O1270" s="97">
        <f>_xll.meDateFromTenor(O1269,"1D","FOLLOWING","TGT")</f>
        <v>44314</v>
      </c>
      <c r="P1270" s="95">
        <f ca="1"/>
        <v>7.142964145213892E-3</v>
      </c>
      <c r="Q1270" s="5" t="s">
        <v>4</v>
      </c>
      <c r="R1270" s="83" t="s">
        <v>4</v>
      </c>
    </row>
    <row r="1271" spans="1:18" x14ac:dyDescent="0.25">
      <c r="A1271" s="88">
        <v>1257</v>
      </c>
      <c r="B1271" s="82"/>
      <c r="C1271" s="97">
        <f>_xll.meDateFromTenor(C1270,"1D","FOLLOWING","TGT")</f>
        <v>44315</v>
      </c>
      <c r="D1271" s="95">
        <f ca="1"/>
        <v>1.1042673751662235E-3</v>
      </c>
      <c r="E1271" s="92"/>
      <c r="F1271" s="97">
        <f>_xll.meDateFromTenor(F1270,"1D","FOLLOWING","TGT")</f>
        <v>44315</v>
      </c>
      <c r="G1271" s="95">
        <f ca="1"/>
        <v>2.1339397345481342E-3</v>
      </c>
      <c r="H1271" s="92" t="s">
        <v>4</v>
      </c>
      <c r="I1271" s="97">
        <f>_xll.meDateFromTenor(I1270,"1D","FOLLOWING","TGT")</f>
        <v>44315</v>
      </c>
      <c r="J1271" s="95">
        <f ca="1"/>
        <v>3.3150508742536893E-3</v>
      </c>
      <c r="K1271" s="5" t="s">
        <v>4</v>
      </c>
      <c r="L1271" s="97">
        <f>_xll.meDateFromTenor(L1270,"1D","FOLLOWING","TGT")</f>
        <v>44315</v>
      </c>
      <c r="M1271" s="95">
        <f ca="1"/>
        <v>5.123230363652022E-3</v>
      </c>
      <c r="N1271" s="5" t="s">
        <v>4</v>
      </c>
      <c r="O1271" s="97">
        <f>_xll.meDateFromTenor(O1270,"1D","FOLLOWING","TGT")</f>
        <v>44315</v>
      </c>
      <c r="P1271" s="95">
        <f ca="1"/>
        <v>7.1502609154256913E-3</v>
      </c>
      <c r="Q1271" s="5" t="s">
        <v>4</v>
      </c>
      <c r="R1271" s="83" t="s">
        <v>4</v>
      </c>
    </row>
    <row r="1272" spans="1:18" x14ac:dyDescent="0.25">
      <c r="A1272" s="88">
        <v>1258</v>
      </c>
      <c r="B1272" s="82"/>
      <c r="C1272" s="97">
        <f>_xll.meDateFromTenor(C1271,"1D","FOLLOWING","TGT")</f>
        <v>44316</v>
      </c>
      <c r="D1272" s="95">
        <f ca="1"/>
        <v>1.1122532881180369E-3</v>
      </c>
      <c r="E1272" s="92"/>
      <c r="F1272" s="97">
        <f>_xll.meDateFromTenor(F1271,"1D","FOLLOWING","TGT")</f>
        <v>44316</v>
      </c>
      <c r="G1272" s="95">
        <f ca="1"/>
        <v>2.1419384076074577E-3</v>
      </c>
      <c r="H1272" s="92" t="s">
        <v>4</v>
      </c>
      <c r="I1272" s="97">
        <f>_xll.meDateFromTenor(I1271,"1D","FOLLOWING","TGT")</f>
        <v>44316</v>
      </c>
      <c r="J1272" s="95">
        <f ca="1"/>
        <v>3.3227786497842279E-3</v>
      </c>
      <c r="K1272" s="5" t="s">
        <v>4</v>
      </c>
      <c r="L1272" s="97">
        <f>_xll.meDateFromTenor(L1271,"1D","FOLLOWING","TGT")</f>
        <v>44316</v>
      </c>
      <c r="M1272" s="95">
        <f ca="1"/>
        <v>5.1305151476239829E-3</v>
      </c>
      <c r="N1272" s="5" t="s">
        <v>4</v>
      </c>
      <c r="O1272" s="97">
        <f>_xll.meDateFromTenor(O1271,"1D","FOLLOWING","TGT")</f>
        <v>44316</v>
      </c>
      <c r="P1272" s="95">
        <f ca="1"/>
        <v>7.1575581799401362E-3</v>
      </c>
      <c r="Q1272" s="5" t="s">
        <v>4</v>
      </c>
      <c r="R1272" s="83" t="s">
        <v>4</v>
      </c>
    </row>
    <row r="1273" spans="1:18" x14ac:dyDescent="0.25">
      <c r="A1273" s="88">
        <v>1259</v>
      </c>
      <c r="B1273" s="82"/>
      <c r="C1273" s="97">
        <f>_xll.meDateFromTenor(C1272,"1D","FOLLOWING","TGT")</f>
        <v>44319</v>
      </c>
      <c r="D1273" s="95">
        <f ca="1"/>
        <v>1.1365586986453735E-3</v>
      </c>
      <c r="E1273" s="92"/>
      <c r="F1273" s="97">
        <f>_xll.meDateFromTenor(F1272,"1D","FOLLOWING","TGT")</f>
        <v>44319</v>
      </c>
      <c r="G1273" s="95">
        <f ca="1"/>
        <v>2.1657060243111675E-3</v>
      </c>
      <c r="H1273" s="92" t="s">
        <v>4</v>
      </c>
      <c r="I1273" s="97">
        <f>_xll.meDateFromTenor(I1272,"1D","FOLLOWING","TGT")</f>
        <v>44319</v>
      </c>
      <c r="J1273" s="95">
        <f ca="1"/>
        <v>3.3459763989963183E-3</v>
      </c>
      <c r="K1273" s="5" t="s">
        <v>4</v>
      </c>
      <c r="L1273" s="97">
        <f>_xll.meDateFromTenor(L1272,"1D","FOLLOWING","TGT")</f>
        <v>44319</v>
      </c>
      <c r="M1273" s="95">
        <f ca="1"/>
        <v>5.1523857825711067E-3</v>
      </c>
      <c r="N1273" s="5" t="s">
        <v>4</v>
      </c>
      <c r="O1273" s="97">
        <f>_xll.meDateFromTenor(O1272,"1D","FOLLOWING","TGT")</f>
        <v>44319</v>
      </c>
      <c r="P1273" s="95">
        <f ca="1"/>
        <v>7.1794527963216729E-3</v>
      </c>
      <c r="Q1273" s="5" t="s">
        <v>4</v>
      </c>
      <c r="R1273" s="83" t="s">
        <v>4</v>
      </c>
    </row>
    <row r="1274" spans="1:18" x14ac:dyDescent="0.25">
      <c r="A1274" s="88">
        <v>1260</v>
      </c>
      <c r="B1274" s="82"/>
      <c r="C1274" s="97">
        <f>_xll.meDateFromTenor(C1273,"1D","FOLLOWING","TGT")</f>
        <v>44320</v>
      </c>
      <c r="D1274" s="95">
        <f ca="1"/>
        <v>1.1447764019456574E-3</v>
      </c>
      <c r="E1274" s="92"/>
      <c r="F1274" s="97">
        <f>_xll.meDateFromTenor(F1273,"1D","FOLLOWING","TGT")</f>
        <v>44320</v>
      </c>
      <c r="G1274" s="95">
        <f ca="1"/>
        <v>2.1735336056673263E-3</v>
      </c>
      <c r="H1274" s="92" t="s">
        <v>4</v>
      </c>
      <c r="I1274" s="97">
        <f>_xll.meDateFromTenor(I1273,"1D","FOLLOWING","TGT")</f>
        <v>44320</v>
      </c>
      <c r="J1274" s="95">
        <f ca="1"/>
        <v>3.3537137612541673E-3</v>
      </c>
      <c r="K1274" s="5" t="s">
        <v>4</v>
      </c>
      <c r="L1274" s="97">
        <f>_xll.meDateFromTenor(L1273,"1D","FOLLOWING","TGT")</f>
        <v>44320</v>
      </c>
      <c r="M1274" s="95">
        <f ca="1"/>
        <v>5.159681419963591E-3</v>
      </c>
      <c r="N1274" s="5" t="s">
        <v>4</v>
      </c>
      <c r="O1274" s="97">
        <f>_xll.meDateFromTenor(O1273,"1D","FOLLOWING","TGT")</f>
        <v>44320</v>
      </c>
      <c r="P1274" s="95">
        <f ca="1"/>
        <v>7.1867518950690283E-3</v>
      </c>
      <c r="Q1274" s="5" t="s">
        <v>4</v>
      </c>
      <c r="R1274" s="83" t="s">
        <v>4</v>
      </c>
    </row>
    <row r="1275" spans="1:18" x14ac:dyDescent="0.25">
      <c r="A1275" s="88">
        <v>1261</v>
      </c>
      <c r="B1275" s="82"/>
      <c r="C1275" s="97">
        <f>_xll.meDateFromTenor(C1274,"1D","FOLLOWING","TGT")</f>
        <v>44321</v>
      </c>
      <c r="D1275" s="95">
        <f ca="1"/>
        <v>1.1530520593041604E-3</v>
      </c>
      <c r="E1275" s="92"/>
      <c r="F1275" s="97">
        <f>_xll.meDateFromTenor(F1274,"1D","FOLLOWING","TGT")</f>
        <v>44321</v>
      </c>
      <c r="G1275" s="95">
        <f ca="1"/>
        <v>2.1813115124823782E-3</v>
      </c>
      <c r="H1275" s="92" t="s">
        <v>4</v>
      </c>
      <c r="I1275" s="97">
        <f>_xll.meDateFromTenor(I1274,"1D","FOLLOWING","TGT")</f>
        <v>44321</v>
      </c>
      <c r="J1275" s="95">
        <f ca="1"/>
        <v>3.3614534989290876E-3</v>
      </c>
      <c r="K1275" s="5" t="s">
        <v>4</v>
      </c>
      <c r="L1275" s="97">
        <f>_xll.meDateFromTenor(L1274,"1D","FOLLOWING","TGT")</f>
        <v>44321</v>
      </c>
      <c r="M1275" s="95">
        <f ca="1"/>
        <v>5.1669797692609747E-3</v>
      </c>
      <c r="N1275" s="5" t="s">
        <v>4</v>
      </c>
      <c r="O1275" s="97">
        <f>_xll.meDateFromTenor(O1274,"1D","FOLLOWING","TGT")</f>
        <v>44321</v>
      </c>
      <c r="P1275" s="95">
        <f ca="1"/>
        <v>7.194051416630186E-3</v>
      </c>
      <c r="Q1275" s="5" t="s">
        <v>4</v>
      </c>
      <c r="R1275" s="83" t="s">
        <v>4</v>
      </c>
    </row>
    <row r="1276" spans="1:18" x14ac:dyDescent="0.25">
      <c r="A1276" s="88">
        <v>1262</v>
      </c>
      <c r="B1276" s="82"/>
      <c r="C1276" s="97">
        <f>_xll.meDateFromTenor(C1275,"1D","FOLLOWING","TGT")</f>
        <v>44322</v>
      </c>
      <c r="D1276" s="95">
        <f ca="1"/>
        <v>1.1613856739136619E-3</v>
      </c>
      <c r="E1276" s="92"/>
      <c r="F1276" s="97">
        <f>_xll.meDateFromTenor(F1275,"1D","FOLLOWING","TGT")</f>
        <v>44322</v>
      </c>
      <c r="G1276" s="95">
        <f ca="1"/>
        <v>2.1890423238946502E-3</v>
      </c>
      <c r="H1276" s="92" t="s">
        <v>4</v>
      </c>
      <c r="I1276" s="97">
        <f>_xll.meDateFromTenor(I1275,"1D","FOLLOWING","TGT")</f>
        <v>44322</v>
      </c>
      <c r="J1276" s="95">
        <f ca="1"/>
        <v>3.369195603515182E-3</v>
      </c>
      <c r="K1276" s="5" t="s">
        <v>4</v>
      </c>
      <c r="L1276" s="97">
        <f>_xll.meDateFromTenor(L1275,"1D","FOLLOWING","TGT")</f>
        <v>44322</v>
      </c>
      <c r="M1276" s="95">
        <f ca="1"/>
        <v>5.1742808298831716E-3</v>
      </c>
      <c r="N1276" s="5" t="s">
        <v>4</v>
      </c>
      <c r="O1276" s="97">
        <f>_xll.meDateFromTenor(O1275,"1D","FOLLOWING","TGT")</f>
        <v>44322</v>
      </c>
      <c r="P1276" s="95">
        <f ca="1"/>
        <v>7.2013513467073876E-3</v>
      </c>
      <c r="Q1276" s="5" t="s">
        <v>4</v>
      </c>
      <c r="R1276" s="83" t="s">
        <v>4</v>
      </c>
    </row>
    <row r="1277" spans="1:18" x14ac:dyDescent="0.25">
      <c r="A1277" s="88">
        <v>1263</v>
      </c>
      <c r="B1277" s="82"/>
      <c r="C1277" s="97">
        <f>_xll.meDateFromTenor(C1276,"1D","FOLLOWING","TGT")</f>
        <v>44323</v>
      </c>
      <c r="D1277" s="95">
        <f ca="1"/>
        <v>1.1697772480958601E-3</v>
      </c>
      <c r="E1277" s="92"/>
      <c r="F1277" s="97">
        <f>_xll.meDateFromTenor(F1276,"1D","FOLLOWING","TGT")</f>
        <v>44323</v>
      </c>
      <c r="G1277" s="95">
        <f ca="1"/>
        <v>2.1967286190424625E-3</v>
      </c>
      <c r="H1277" s="92" t="s">
        <v>4</v>
      </c>
      <c r="I1277" s="97">
        <f>_xll.meDateFromTenor(I1276,"1D","FOLLOWING","TGT")</f>
        <v>44323</v>
      </c>
      <c r="J1277" s="95">
        <f ca="1"/>
        <v>3.3769400665065465E-3</v>
      </c>
      <c r="K1277" s="5" t="s">
        <v>4</v>
      </c>
      <c r="L1277" s="97">
        <f>_xll.meDateFromTenor(L1276,"1D","FOLLOWING","TGT")</f>
        <v>44323</v>
      </c>
      <c r="M1277" s="95">
        <f ca="1"/>
        <v>5.18158460125009E-3</v>
      </c>
      <c r="N1277" s="5" t="s">
        <v>4</v>
      </c>
      <c r="O1277" s="97">
        <f>_xll.meDateFromTenor(O1276,"1D","FOLLOWING","TGT")</f>
        <v>44323</v>
      </c>
      <c r="P1277" s="95">
        <f ca="1"/>
        <v>7.2086516710028583E-3</v>
      </c>
      <c r="Q1277" s="5" t="s">
        <v>4</v>
      </c>
      <c r="R1277" s="83" t="s">
        <v>4</v>
      </c>
    </row>
    <row r="1278" spans="1:18" x14ac:dyDescent="0.25">
      <c r="A1278" s="88">
        <v>1264</v>
      </c>
      <c r="B1278" s="82"/>
      <c r="C1278" s="97">
        <f>_xll.meDateFromTenor(C1277,"1D","FOLLOWING","TGT")</f>
        <v>44326</v>
      </c>
      <c r="D1278" s="95">
        <f ca="1"/>
        <v>1.1952997580209068E-3</v>
      </c>
      <c r="E1278" s="92"/>
      <c r="F1278" s="97">
        <f>_xll.meDateFromTenor(F1277,"1D","FOLLOWING","TGT")</f>
        <v>44326</v>
      </c>
      <c r="G1278" s="95">
        <f ca="1"/>
        <v>2.2195461982823664E-3</v>
      </c>
      <c r="H1278" s="92" t="s">
        <v>4</v>
      </c>
      <c r="I1278" s="97">
        <f>_xll.meDateFromTenor(I1277,"1D","FOLLOWING","TGT")</f>
        <v>44326</v>
      </c>
      <c r="J1278" s="95">
        <f ca="1"/>
        <v>3.4001875208532449E-3</v>
      </c>
      <c r="K1278" s="5" t="s">
        <v>4</v>
      </c>
      <c r="L1278" s="97">
        <f>_xll.meDateFromTenor(L1277,"1D","FOLLOWING","TGT")</f>
        <v>44326</v>
      </c>
      <c r="M1278" s="95">
        <f ca="1"/>
        <v>5.2035121740182481E-3</v>
      </c>
      <c r="N1278" s="5" t="s">
        <v>4</v>
      </c>
      <c r="O1278" s="97">
        <f>_xll.meDateFromTenor(O1277,"1D","FOLLOWING","TGT")</f>
        <v>44326</v>
      </c>
      <c r="P1278" s="95">
        <f ca="1"/>
        <v>7.2305548662212242E-3</v>
      </c>
      <c r="Q1278" s="5" t="s">
        <v>4</v>
      </c>
      <c r="R1278" s="83" t="s">
        <v>4</v>
      </c>
    </row>
    <row r="1279" spans="1:18" x14ac:dyDescent="0.25">
      <c r="A1279" s="88">
        <v>1265</v>
      </c>
      <c r="B1279" s="82"/>
      <c r="C1279" s="97">
        <f>_xll.meDateFromTenor(C1278,"1D","FOLLOWING","TGT")</f>
        <v>44327</v>
      </c>
      <c r="D1279" s="95">
        <f ca="1"/>
        <v>1.2039231996041622E-3</v>
      </c>
      <c r="E1279" s="92"/>
      <c r="F1279" s="97">
        <f>_xll.meDateFromTenor(F1278,"1D","FOLLOWING","TGT")</f>
        <v>44327</v>
      </c>
      <c r="G1279" s="95">
        <f ca="1"/>
        <v>2.2270802197555651E-3</v>
      </c>
      <c r="H1279" s="92" t="s">
        <v>4</v>
      </c>
      <c r="I1279" s="97">
        <f>_xll.meDateFromTenor(I1278,"1D","FOLLOWING","TGT")</f>
        <v>44327</v>
      </c>
      <c r="J1279" s="95">
        <f ca="1"/>
        <v>3.4079413324066728E-3</v>
      </c>
      <c r="K1279" s="5" t="s">
        <v>4</v>
      </c>
      <c r="L1279" s="97">
        <f>_xll.meDateFromTenor(L1278,"1D","FOLLOWING","TGT")</f>
        <v>44327</v>
      </c>
      <c r="M1279" s="95">
        <f ca="1"/>
        <v>5.2108267825631324E-3</v>
      </c>
      <c r="N1279" s="5" t="s">
        <v>4</v>
      </c>
      <c r="O1279" s="97">
        <f>_xll.meDateFromTenor(O1278,"1D","FOLLOWING","TGT")</f>
        <v>44327</v>
      </c>
      <c r="P1279" s="95">
        <f ca="1"/>
        <v>7.2378566244121027E-3</v>
      </c>
      <c r="Q1279" s="5" t="s">
        <v>4</v>
      </c>
      <c r="R1279" s="83" t="s">
        <v>4</v>
      </c>
    </row>
    <row r="1280" spans="1:18" x14ac:dyDescent="0.25">
      <c r="A1280" s="88">
        <v>1266</v>
      </c>
      <c r="B1280" s="82"/>
      <c r="C1280" s="97">
        <f>_xll.meDateFromTenor(C1279,"1D","FOLLOWING","TGT")</f>
        <v>44328</v>
      </c>
      <c r="D1280" s="95">
        <f ca="1"/>
        <v>1.2126046154059544E-3</v>
      </c>
      <c r="E1280" s="92"/>
      <c r="F1280" s="97">
        <f>_xll.meDateFromTenor(F1279,"1D","FOLLOWING","TGT")</f>
        <v>44328</v>
      </c>
      <c r="G1280" s="95">
        <f ca="1"/>
        <v>2.2345826206559161E-3</v>
      </c>
      <c r="H1280" s="92" t="s">
        <v>4</v>
      </c>
      <c r="I1280" s="97">
        <f>_xll.meDateFromTenor(I1279,"1D","FOLLOWING","TGT")</f>
        <v>44328</v>
      </c>
      <c r="J1280" s="95">
        <f ca="1"/>
        <v>3.4156974598358635E-3</v>
      </c>
      <c r="K1280" s="5" t="s">
        <v>4</v>
      </c>
      <c r="L1280" s="97">
        <f>_xll.meDateFromTenor(L1279,"1D","FOLLOWING","TGT")</f>
        <v>44328</v>
      </c>
      <c r="M1280" s="95">
        <f ca="1"/>
        <v>5.2181440989522779E-3</v>
      </c>
      <c r="N1280" s="5" t="s">
        <v>4</v>
      </c>
      <c r="O1280" s="97">
        <f>_xll.meDateFromTenor(O1279,"1D","FOLLOWING","TGT")</f>
        <v>44328</v>
      </c>
      <c r="P1280" s="95">
        <f ca="1"/>
        <v>7.2451587053324138E-3</v>
      </c>
      <c r="Q1280" s="5" t="s">
        <v>4</v>
      </c>
      <c r="R1280" s="83" t="s">
        <v>4</v>
      </c>
    </row>
    <row r="1281" spans="1:18" x14ac:dyDescent="0.25">
      <c r="A1281" s="88">
        <v>1267</v>
      </c>
      <c r="B1281" s="82"/>
      <c r="C1281" s="97">
        <f>_xll.meDateFromTenor(C1280,"1D","FOLLOWING","TGT")</f>
        <v>44329</v>
      </c>
      <c r="D1281" s="95">
        <f ca="1"/>
        <v>1.2213440081281224E-3</v>
      </c>
      <c r="E1281" s="92"/>
      <c r="F1281" s="97">
        <f>_xll.meDateFromTenor(F1280,"1D","FOLLOWING","TGT")</f>
        <v>44329</v>
      </c>
      <c r="G1281" s="95">
        <f ca="1"/>
        <v>2.2420559801217422E-3</v>
      </c>
      <c r="H1281" s="92" t="s">
        <v>4</v>
      </c>
      <c r="I1281" s="97">
        <f>_xll.meDateFromTenor(I1280,"1D","FOLLOWING","TGT")</f>
        <v>44329</v>
      </c>
      <c r="J1281" s="95">
        <f ca="1"/>
        <v>3.4234558946349141E-3</v>
      </c>
      <c r="K1281" s="5" t="s">
        <v>4</v>
      </c>
      <c r="L1281" s="97">
        <f>_xll.meDateFromTenor(L1280,"1D","FOLLOWING","TGT")</f>
        <v>44329</v>
      </c>
      <c r="M1281" s="95">
        <f ca="1"/>
        <v>5.2254641226055958E-3</v>
      </c>
      <c r="N1281" s="5" t="s">
        <v>4</v>
      </c>
      <c r="O1281" s="97">
        <f>_xll.meDateFromTenor(O1280,"1D","FOLLOWING","TGT")</f>
        <v>44329</v>
      </c>
      <c r="P1281" s="95">
        <f ca="1"/>
        <v>7.2524610946843896E-3</v>
      </c>
      <c r="Q1281" s="5" t="s">
        <v>4</v>
      </c>
      <c r="R1281" s="83" t="s">
        <v>4</v>
      </c>
    </row>
    <row r="1282" spans="1:18" x14ac:dyDescent="0.25">
      <c r="A1282" s="88">
        <v>1268</v>
      </c>
      <c r="B1282" s="82"/>
      <c r="C1282" s="97">
        <f>_xll.meDateFromTenor(C1281,"1D","FOLLOWING","TGT")</f>
        <v>44330</v>
      </c>
      <c r="D1282" s="95">
        <f ca="1"/>
        <v>1.2301413806450334E-3</v>
      </c>
      <c r="E1282" s="92"/>
      <c r="F1282" s="97">
        <f>_xll.meDateFromTenor(F1281,"1D","FOLLOWING","TGT")</f>
        <v>44330</v>
      </c>
      <c r="G1282" s="95">
        <f ca="1"/>
        <v>2.2495028772913641E-3</v>
      </c>
      <c r="H1282" s="92" t="s">
        <v>4</v>
      </c>
      <c r="I1282" s="97">
        <f>_xll.meDateFromTenor(I1281,"1D","FOLLOWING","TGT")</f>
        <v>44330</v>
      </c>
      <c r="J1282" s="95">
        <f ca="1"/>
        <v>3.4312166282979197E-3</v>
      </c>
      <c r="K1282" s="5" t="s">
        <v>4</v>
      </c>
      <c r="L1282" s="97">
        <f>_xll.meDateFromTenor(L1281,"1D","FOLLOWING","TGT")</f>
        <v>44330</v>
      </c>
      <c r="M1282" s="95">
        <f ca="1"/>
        <v>5.2327868529429928E-3</v>
      </c>
      <c r="N1282" s="5" t="s">
        <v>4</v>
      </c>
      <c r="O1282" s="97">
        <f>_xll.meDateFromTenor(O1281,"1D","FOLLOWING","TGT")</f>
        <v>44330</v>
      </c>
      <c r="P1282" s="95">
        <f ca="1"/>
        <v>7.2597637781702581E-3</v>
      </c>
      <c r="Q1282" s="5" t="s">
        <v>4</v>
      </c>
      <c r="R1282" s="83" t="s">
        <v>4</v>
      </c>
    </row>
    <row r="1283" spans="1:18" x14ac:dyDescent="0.25">
      <c r="A1283" s="88">
        <v>1269</v>
      </c>
      <c r="B1283" s="82"/>
      <c r="C1283" s="97">
        <f>_xll.meDateFromTenor(C1282,"1D","FOLLOWING","TGT")</f>
        <v>44333</v>
      </c>
      <c r="D1283" s="95">
        <f ca="1"/>
        <v>1.2568814069646717E-3</v>
      </c>
      <c r="E1283" s="92"/>
      <c r="F1283" s="97">
        <f>_xll.meDateFromTenor(F1282,"1D","FOLLOWING","TGT")</f>
        <v>44333</v>
      </c>
      <c r="G1283" s="95">
        <f ca="1"/>
        <v>2.271710586406247E-3</v>
      </c>
      <c r="H1283" s="92" t="s">
        <v>4</v>
      </c>
      <c r="I1283" s="97">
        <f>_xll.meDateFromTenor(I1282,"1D","FOLLOWING","TGT")</f>
        <v>44333</v>
      </c>
      <c r="J1283" s="95">
        <f ca="1"/>
        <v>3.454512537411681E-3</v>
      </c>
      <c r="K1283" s="5" t="s">
        <v>4</v>
      </c>
      <c r="L1283" s="97">
        <f>_xll.meDateFromTenor(L1282,"1D","FOLLOWING","TGT")</f>
        <v>44333</v>
      </c>
      <c r="M1283" s="95">
        <f ca="1"/>
        <v>5.2547712782587555E-3</v>
      </c>
      <c r="N1283" s="5" t="s">
        <v>4</v>
      </c>
      <c r="O1283" s="97">
        <f>_xll.meDateFromTenor(O1282,"1D","FOLLOWING","TGT")</f>
        <v>44333</v>
      </c>
      <c r="P1283" s="95">
        <f ca="1"/>
        <v>7.2816734504535675E-3</v>
      </c>
      <c r="Q1283" s="5" t="s">
        <v>4</v>
      </c>
      <c r="R1283" s="83" t="s">
        <v>4</v>
      </c>
    </row>
    <row r="1284" spans="1:18" x14ac:dyDescent="0.25">
      <c r="A1284" s="88">
        <v>1270</v>
      </c>
      <c r="B1284" s="82"/>
      <c r="C1284" s="97">
        <f>_xll.meDateFromTenor(C1283,"1D","FOLLOWING","TGT")</f>
        <v>44334</v>
      </c>
      <c r="D1284" s="95">
        <f ca="1"/>
        <v>1.2659107287935623E-3</v>
      </c>
      <c r="E1284" s="92"/>
      <c r="F1284" s="97">
        <f>_xll.meDateFromTenor(F1283,"1D","FOLLOWING","TGT")</f>
        <v>44334</v>
      </c>
      <c r="G1284" s="95">
        <f ca="1"/>
        <v>2.2790774257742869E-3</v>
      </c>
      <c r="H1284" s="92" t="s">
        <v>4</v>
      </c>
      <c r="I1284" s="97">
        <f>_xll.meDateFromTenor(I1283,"1D","FOLLOWING","TGT")</f>
        <v>44334</v>
      </c>
      <c r="J1284" s="95">
        <f ca="1"/>
        <v>3.4622823814715073E-3</v>
      </c>
      <c r="K1284" s="5" t="s">
        <v>4</v>
      </c>
      <c r="L1284" s="97">
        <f>_xll.meDateFromTenor(L1283,"1D","FOLLOWING","TGT")</f>
        <v>44334</v>
      </c>
      <c r="M1284" s="95">
        <f ca="1"/>
        <v>5.2621048295315625E-3</v>
      </c>
      <c r="N1284" s="5" t="s">
        <v>4</v>
      </c>
      <c r="O1284" s="97">
        <f>_xll.meDateFromTenor(O1283,"1D","FOLLOWING","TGT")</f>
        <v>44334</v>
      </c>
      <c r="P1284" s="95">
        <f ca="1"/>
        <v>7.2889771674973444E-3</v>
      </c>
      <c r="Q1284" s="5" t="s">
        <v>4</v>
      </c>
      <c r="R1284" s="83" t="s">
        <v>4</v>
      </c>
    </row>
    <row r="1285" spans="1:18" x14ac:dyDescent="0.25">
      <c r="A1285" s="88">
        <v>1271</v>
      </c>
      <c r="B1285" s="82"/>
      <c r="C1285" s="97">
        <f>_xll.meDateFromTenor(C1284,"1D","FOLLOWING","TGT")</f>
        <v>44335</v>
      </c>
      <c r="D1285" s="95">
        <f ca="1"/>
        <v>1.2749980453339305E-3</v>
      </c>
      <c r="E1285" s="92"/>
      <c r="F1285" s="97">
        <f>_xll.meDateFromTenor(F1284,"1D","FOLLOWING","TGT")</f>
        <v>44335</v>
      </c>
      <c r="G1285" s="95">
        <f ca="1"/>
        <v>2.2864306985377362E-3</v>
      </c>
      <c r="H1285" s="92" t="s">
        <v>4</v>
      </c>
      <c r="I1285" s="97">
        <f>_xll.meDateFromTenor(I1284,"1D","FOLLOWING","TGT")</f>
        <v>44335</v>
      </c>
      <c r="J1285" s="95">
        <f ca="1"/>
        <v>3.4700544818657836E-3</v>
      </c>
      <c r="K1285" s="5" t="s">
        <v>4</v>
      </c>
      <c r="L1285" s="97">
        <f>_xll.meDateFromTenor(L1284,"1D","FOLLOWING","TGT")</f>
        <v>44335</v>
      </c>
      <c r="M1285" s="95">
        <f ca="1"/>
        <v>5.2694410845879917E-3</v>
      </c>
      <c r="N1285" s="5" t="s">
        <v>4</v>
      </c>
      <c r="O1285" s="97">
        <f>_xll.meDateFromTenor(O1284,"1D","FOLLOWING","TGT")</f>
        <v>44335</v>
      </c>
      <c r="P1285" s="95">
        <f ca="1"/>
        <v>7.2962811071861765E-3</v>
      </c>
      <c r="Q1285" s="5" t="s">
        <v>4</v>
      </c>
      <c r="R1285" s="83" t="s">
        <v>4</v>
      </c>
    </row>
    <row r="1286" spans="1:18" x14ac:dyDescent="0.25">
      <c r="A1286" s="88">
        <v>1272</v>
      </c>
      <c r="B1286" s="82"/>
      <c r="C1286" s="97">
        <f>_xll.meDateFromTenor(C1285,"1D","FOLLOWING","TGT")</f>
        <v>44336</v>
      </c>
      <c r="D1286" s="95">
        <f ca="1"/>
        <v>1.2841433600814245E-3</v>
      </c>
      <c r="E1286" s="92"/>
      <c r="F1286" s="97">
        <f>_xll.meDateFromTenor(F1285,"1D","FOLLOWING","TGT")</f>
        <v>44336</v>
      </c>
      <c r="G1286" s="95">
        <f ca="1"/>
        <v>2.2937729838349184E-3</v>
      </c>
      <c r="H1286" s="92" t="s">
        <v>4</v>
      </c>
      <c r="I1286" s="97">
        <f>_xll.meDateFromTenor(I1285,"1D","FOLLOWING","TGT")</f>
        <v>44336</v>
      </c>
      <c r="J1286" s="95">
        <f ca="1"/>
        <v>3.4778288300886082E-3</v>
      </c>
      <c r="K1286" s="5" t="s">
        <v>4</v>
      </c>
      <c r="L1286" s="97">
        <f>_xll.meDateFromTenor(L1285,"1D","FOLLOWING","TGT")</f>
        <v>44336</v>
      </c>
      <c r="M1286" s="95">
        <f ca="1"/>
        <v>5.2767800428479535E-3</v>
      </c>
      <c r="N1286" s="5" t="s">
        <v>4</v>
      </c>
      <c r="O1286" s="97">
        <f>_xll.meDateFromTenor(O1285,"1D","FOLLOWING","TGT")</f>
        <v>44336</v>
      </c>
      <c r="P1286" s="95">
        <f ca="1"/>
        <v>7.3035852552222986E-3</v>
      </c>
      <c r="Q1286" s="5" t="s">
        <v>4</v>
      </c>
      <c r="R1286" s="83" t="s">
        <v>4</v>
      </c>
    </row>
    <row r="1287" spans="1:18" x14ac:dyDescent="0.25">
      <c r="A1287" s="88">
        <v>1273</v>
      </c>
      <c r="B1287" s="82"/>
      <c r="C1287" s="97">
        <f>_xll.meDateFromTenor(C1286,"1D","FOLLOWING","TGT")</f>
        <v>44337</v>
      </c>
      <c r="D1287" s="95">
        <f ca="1"/>
        <v>1.2933466757381051E-3</v>
      </c>
      <c r="E1287" s="92"/>
      <c r="F1287" s="97">
        <f>_xll.meDateFromTenor(F1286,"1D","FOLLOWING","TGT")</f>
        <v>44337</v>
      </c>
      <c r="G1287" s="95">
        <f ca="1"/>
        <v>2.3011068608041552E-3</v>
      </c>
      <c r="H1287" s="92" t="s">
        <v>4</v>
      </c>
      <c r="I1287" s="97">
        <f>_xll.meDateFromTenor(I1286,"1D","FOLLOWING","TGT")</f>
        <v>44337</v>
      </c>
      <c r="J1287" s="95">
        <f ca="1"/>
        <v>3.4856054176340798E-3</v>
      </c>
      <c r="K1287" s="5" t="s">
        <v>4</v>
      </c>
      <c r="L1287" s="97">
        <f>_xll.meDateFromTenor(L1286,"1D","FOLLOWING","TGT")</f>
        <v>44337</v>
      </c>
      <c r="M1287" s="95">
        <f ca="1"/>
        <v>5.2841217037313572E-3</v>
      </c>
      <c r="N1287" s="5" t="s">
        <v>4</v>
      </c>
      <c r="O1287" s="97">
        <f>_xll.meDateFromTenor(O1286,"1D","FOLLOWING","TGT")</f>
        <v>44337</v>
      </c>
      <c r="P1287" s="95">
        <f ca="1"/>
        <v>7.3108895973079402E-3</v>
      </c>
      <c r="Q1287" s="5" t="s">
        <v>4</v>
      </c>
      <c r="R1287" s="83" t="s">
        <v>4</v>
      </c>
    </row>
    <row r="1288" spans="1:18" x14ac:dyDescent="0.25">
      <c r="A1288" s="88">
        <v>1274</v>
      </c>
      <c r="B1288" s="82"/>
      <c r="C1288" s="97">
        <f>_xll.meDateFromTenor(C1287,"1D","FOLLOWING","TGT")</f>
        <v>44340</v>
      </c>
      <c r="D1288" s="95">
        <f ca="1"/>
        <v>1.3213046609628076E-3</v>
      </c>
      <c r="E1288" s="92"/>
      <c r="F1288" s="97">
        <f>_xll.meDateFromTenor(F1287,"1D","FOLLOWING","TGT")</f>
        <v>44340</v>
      </c>
      <c r="G1288" s="95">
        <f ca="1"/>
        <v>2.3230838331274178E-3</v>
      </c>
      <c r="H1288" s="92" t="s">
        <v>4</v>
      </c>
      <c r="I1288" s="97">
        <f>_xll.meDateFromTenor(I1287,"1D","FOLLOWING","TGT")</f>
        <v>44340</v>
      </c>
      <c r="J1288" s="95">
        <f ca="1"/>
        <v>3.5089485311473553E-3</v>
      </c>
      <c r="K1288" s="5" t="s">
        <v>4</v>
      </c>
      <c r="L1288" s="97">
        <f>_xll.meDateFromTenor(L1287,"1D","FOLLOWING","TGT")</f>
        <v>44340</v>
      </c>
      <c r="M1288" s="95">
        <f ca="1"/>
        <v>5.3061628963212938E-3</v>
      </c>
      <c r="N1288" s="5" t="s">
        <v>4</v>
      </c>
      <c r="O1288" s="97">
        <f>_xll.meDateFromTenor(O1287,"1D","FOLLOWING","TGT")</f>
        <v>44340</v>
      </c>
      <c r="P1288" s="95">
        <f ca="1"/>
        <v>7.3328036448843089E-3</v>
      </c>
      <c r="Q1288" s="5" t="s">
        <v>4</v>
      </c>
      <c r="R1288" s="83" t="s">
        <v>4</v>
      </c>
    </row>
    <row r="1289" spans="1:18" x14ac:dyDescent="0.25">
      <c r="A1289" s="88">
        <v>1275</v>
      </c>
      <c r="B1289" s="82"/>
      <c r="C1289" s="97">
        <f>_xll.meDateFromTenor(C1288,"1D","FOLLOWING","TGT")</f>
        <v>44341</v>
      </c>
      <c r="D1289" s="95">
        <f ca="1"/>
        <v>1.3307400124626945E-3</v>
      </c>
      <c r="E1289" s="92"/>
      <c r="F1289" s="97">
        <f>_xll.meDateFromTenor(F1288,"1D","FOLLOWING","TGT")</f>
        <v>44341</v>
      </c>
      <c r="G1289" s="95">
        <f ca="1"/>
        <v>2.3304098681681002E-3</v>
      </c>
      <c r="H1289" s="92" t="s">
        <v>4</v>
      </c>
      <c r="I1289" s="97">
        <f>_xll.meDateFromTenor(I1288,"1D","FOLLOWING","TGT")</f>
        <v>44341</v>
      </c>
      <c r="J1289" s="95">
        <f ca="1"/>
        <v>3.5167339909243974E-3</v>
      </c>
      <c r="K1289" s="5" t="s">
        <v>4</v>
      </c>
      <c r="L1289" s="97">
        <f>_xll.meDateFromTenor(L1288,"1D","FOLLOWING","TGT")</f>
        <v>44341</v>
      </c>
      <c r="M1289" s="95">
        <f ca="1"/>
        <v>5.3135153618975462E-3</v>
      </c>
      <c r="N1289" s="5" t="s">
        <v>4</v>
      </c>
      <c r="O1289" s="97">
        <f>_xll.meDateFromTenor(O1288,"1D","FOLLOWING","TGT")</f>
        <v>44341</v>
      </c>
      <c r="P1289" s="95">
        <f ca="1"/>
        <v>7.3401086201903545E-3</v>
      </c>
      <c r="Q1289" s="5" t="s">
        <v>4</v>
      </c>
      <c r="R1289" s="83" t="s">
        <v>4</v>
      </c>
    </row>
    <row r="1290" spans="1:18" x14ac:dyDescent="0.25">
      <c r="A1290" s="88">
        <v>1276</v>
      </c>
      <c r="B1290" s="82"/>
      <c r="C1290" s="97">
        <f>_xll.meDateFromTenor(C1289,"1D","FOLLOWING","TGT")</f>
        <v>44342</v>
      </c>
      <c r="D1290" s="95">
        <f ca="1"/>
        <v>1.3402333810255129E-3</v>
      </c>
      <c r="E1290" s="92"/>
      <c r="F1290" s="97">
        <f>_xll.meDateFromTenor(F1289,"1D","FOLLOWING","TGT")</f>
        <v>44342</v>
      </c>
      <c r="G1290" s="95">
        <f ca="1"/>
        <v>2.337740390572449E-3</v>
      </c>
      <c r="H1290" s="92" t="s">
        <v>4</v>
      </c>
      <c r="I1290" s="97">
        <f>_xll.meDateFromTenor(I1289,"1D","FOLLOWING","TGT")</f>
        <v>44342</v>
      </c>
      <c r="J1290" s="95">
        <f ca="1"/>
        <v>3.5245216474945771E-3</v>
      </c>
      <c r="K1290" s="5" t="s">
        <v>4</v>
      </c>
      <c r="L1290" s="97">
        <f>_xll.meDateFromTenor(L1289,"1D","FOLLOWING","TGT")</f>
        <v>44342</v>
      </c>
      <c r="M1290" s="95">
        <f ca="1"/>
        <v>5.3208705271967837E-3</v>
      </c>
      <c r="N1290" s="5" t="s">
        <v>4</v>
      </c>
      <c r="O1290" s="97">
        <f>_xll.meDateFromTenor(O1289,"1D","FOLLOWING","TGT")</f>
        <v>44342</v>
      </c>
      <c r="P1290" s="95">
        <f ca="1"/>
        <v>7.3474137180570814E-3</v>
      </c>
      <c r="Q1290" s="5" t="s">
        <v>4</v>
      </c>
      <c r="R1290" s="83" t="s">
        <v>4</v>
      </c>
    </row>
    <row r="1291" spans="1:18" x14ac:dyDescent="0.25">
      <c r="A1291" s="88">
        <v>1277</v>
      </c>
      <c r="B1291" s="82"/>
      <c r="C1291" s="97">
        <f>_xll.meDateFromTenor(C1290,"1D","FOLLOWING","TGT")</f>
        <v>44343</v>
      </c>
      <c r="D1291" s="95">
        <f ca="1"/>
        <v>1.3497847698944465E-3</v>
      </c>
      <c r="E1291" s="92"/>
      <c r="F1291" s="97">
        <f>_xll.meDateFromTenor(F1290,"1D","FOLLOWING","TGT")</f>
        <v>44343</v>
      </c>
      <c r="G1291" s="95">
        <f ca="1"/>
        <v>2.3450779794787877E-3</v>
      </c>
      <c r="H1291" s="92" t="s">
        <v>4</v>
      </c>
      <c r="I1291" s="97">
        <f>_xll.meDateFromTenor(I1290,"1D","FOLLOWING","TGT")</f>
        <v>44343</v>
      </c>
      <c r="J1291" s="95">
        <f ca="1"/>
        <v>3.5323114923519945E-3</v>
      </c>
      <c r="K1291" s="5" t="s">
        <v>4</v>
      </c>
      <c r="L1291" s="97">
        <f>_xll.meDateFromTenor(L1290,"1D","FOLLOWING","TGT")</f>
        <v>44343</v>
      </c>
      <c r="M1291" s="95">
        <f ca="1"/>
        <v>5.3282283916389131E-3</v>
      </c>
      <c r="N1291" s="5" t="s">
        <v>4</v>
      </c>
      <c r="O1291" s="97">
        <f>_xll.meDateFromTenor(O1290,"1D","FOLLOWING","TGT")</f>
        <v>44343</v>
      </c>
      <c r="P1291" s="95">
        <f ca="1"/>
        <v>7.3547189241867199E-3</v>
      </c>
      <c r="Q1291" s="5" t="s">
        <v>4</v>
      </c>
      <c r="R1291" s="83" t="s">
        <v>4</v>
      </c>
    </row>
    <row r="1292" spans="1:18" x14ac:dyDescent="0.25">
      <c r="A1292" s="88">
        <v>1278</v>
      </c>
      <c r="B1292" s="82"/>
      <c r="C1292" s="97">
        <f>_xll.meDateFromTenor(C1291,"1D","FOLLOWING","TGT")</f>
        <v>44344</v>
      </c>
      <c r="D1292" s="95">
        <f ca="1"/>
        <v>1.3593941822458433E-3</v>
      </c>
      <c r="E1292" s="92"/>
      <c r="F1292" s="97">
        <f>_xll.meDateFromTenor(F1291,"1D","FOLLOWING","TGT")</f>
        <v>44344</v>
      </c>
      <c r="G1292" s="95">
        <f ca="1"/>
        <v>2.3524252140254389E-3</v>
      </c>
      <c r="H1292" s="92" t="s">
        <v>4</v>
      </c>
      <c r="I1292" s="97">
        <f>_xll.meDateFromTenor(I1291,"1D","FOLLOWING","TGT")</f>
        <v>44344</v>
      </c>
      <c r="J1292" s="95">
        <f ca="1"/>
        <v>3.5401035169907468E-3</v>
      </c>
      <c r="K1292" s="5" t="s">
        <v>4</v>
      </c>
      <c r="L1292" s="97">
        <f>_xll.meDateFromTenor(L1291,"1D","FOLLOWING","TGT")</f>
        <v>44344</v>
      </c>
      <c r="M1292" s="95">
        <f ca="1"/>
        <v>5.3355889546438436E-3</v>
      </c>
      <c r="N1292" s="5" t="s">
        <v>4</v>
      </c>
      <c r="O1292" s="97">
        <f>_xll.meDateFromTenor(O1291,"1D","FOLLOWING","TGT")</f>
        <v>44344</v>
      </c>
      <c r="P1292" s="95">
        <f ca="1"/>
        <v>7.3620242242815057E-3</v>
      </c>
      <c r="Q1292" s="5" t="s">
        <v>4</v>
      </c>
      <c r="R1292" s="83" t="s">
        <v>4</v>
      </c>
    </row>
    <row r="1293" spans="1:18" x14ac:dyDescent="0.25">
      <c r="A1293" s="88">
        <v>1279</v>
      </c>
      <c r="B1293" s="82"/>
      <c r="C1293" s="97">
        <f>_xll.meDateFromTenor(C1292,"1D","FOLLOWING","TGT")</f>
        <v>44347</v>
      </c>
      <c r="D1293" s="95">
        <f ca="1"/>
        <v>1.3885705935288151E-3</v>
      </c>
      <c r="E1293" s="92"/>
      <c r="F1293" s="97">
        <f>_xll.meDateFromTenor(F1292,"1D","FOLLOWING","TGT")</f>
        <v>44347</v>
      </c>
      <c r="G1293" s="95">
        <f ca="1"/>
        <v>2.3745505828904907E-3</v>
      </c>
      <c r="H1293" s="92" t="s">
        <v>4</v>
      </c>
      <c r="I1293" s="97">
        <f>_xll.meDateFromTenor(I1292,"1D","FOLLOWING","TGT")</f>
        <v>44347</v>
      </c>
      <c r="J1293" s="95">
        <f ca="1"/>
        <v>3.5634925845359974E-3</v>
      </c>
      <c r="K1293" s="5" t="s">
        <v>4</v>
      </c>
      <c r="L1293" s="97">
        <f>_xll.meDateFromTenor(L1292,"1D","FOLLOWING","TGT")</f>
        <v>44347</v>
      </c>
      <c r="M1293" s="95">
        <f ca="1"/>
        <v>5.3576868292345313E-3</v>
      </c>
      <c r="N1293" s="5" t="s">
        <v>4</v>
      </c>
      <c r="O1293" s="97">
        <f>_xll.meDateFromTenor(O1292,"1D","FOLLOWING","TGT")</f>
        <v>44347</v>
      </c>
      <c r="P1293" s="95">
        <f ca="1"/>
        <v>7.3839405453790521E-3</v>
      </c>
      <c r="Q1293" s="5" t="s">
        <v>4</v>
      </c>
      <c r="R1293" s="83" t="s">
        <v>4</v>
      </c>
    </row>
    <row r="1294" spans="1:18" x14ac:dyDescent="0.25">
      <c r="A1294" s="88">
        <v>1280</v>
      </c>
      <c r="B1294" s="82"/>
      <c r="C1294" s="97">
        <f>_xll.meDateFromTenor(C1293,"1D","FOLLOWING","TGT")</f>
        <v>44348</v>
      </c>
      <c r="D1294" s="95">
        <f ca="1"/>
        <v>1.3984121335985922E-3</v>
      </c>
      <c r="E1294" s="92"/>
      <c r="F1294" s="97">
        <f>_xll.meDateFromTenor(F1293,"1D","FOLLOWING","TGT")</f>
        <v>44348</v>
      </c>
      <c r="G1294" s="95">
        <f ca="1"/>
        <v>2.3819621913816133E-3</v>
      </c>
      <c r="H1294" s="92" t="s">
        <v>4</v>
      </c>
      <c r="I1294" s="97">
        <f>_xll.meDateFromTenor(I1293,"1D","FOLLOWING","TGT")</f>
        <v>44348</v>
      </c>
      <c r="J1294" s="95">
        <f ca="1"/>
        <v>3.5712932432410711E-3</v>
      </c>
      <c r="K1294" s="5" t="s">
        <v>4</v>
      </c>
      <c r="L1294" s="97">
        <f>_xll.meDateFromTenor(L1293,"1D","FOLLOWING","TGT")</f>
        <v>44348</v>
      </c>
      <c r="M1294" s="95">
        <f ca="1"/>
        <v>5.365058180689752E-3</v>
      </c>
      <c r="N1294" s="5" t="s">
        <v>4</v>
      </c>
      <c r="O1294" s="97">
        <f>_xll.meDateFromTenor(O1293,"1D","FOLLOWING","TGT")</f>
        <v>44348</v>
      </c>
      <c r="P1294" s="95">
        <f ca="1"/>
        <v>7.3912460783567384E-3</v>
      </c>
      <c r="Q1294" s="5" t="s">
        <v>4</v>
      </c>
      <c r="R1294" s="83" t="s">
        <v>4</v>
      </c>
    </row>
    <row r="1295" spans="1:18" x14ac:dyDescent="0.25">
      <c r="A1295" s="88">
        <v>1281</v>
      </c>
      <c r="B1295" s="82"/>
      <c r="C1295" s="97">
        <f>_xll.meDateFromTenor(C1294,"1D","FOLLOWING","TGT")</f>
        <v>44349</v>
      </c>
      <c r="D1295" s="95">
        <f ca="1"/>
        <v>1.4083008306058353E-3</v>
      </c>
      <c r="E1295" s="92"/>
      <c r="F1295" s="97">
        <f>_xll.meDateFromTenor(F1294,"1D","FOLLOWING","TGT")</f>
        <v>44349</v>
      </c>
      <c r="G1295" s="95">
        <f ca="1"/>
        <v>2.3893963412046633E-3</v>
      </c>
      <c r="H1295" s="92" t="s">
        <v>4</v>
      </c>
      <c r="I1295" s="97">
        <f>_xll.meDateFromTenor(I1294,"1D","FOLLOWING","TGT")</f>
        <v>44349</v>
      </c>
      <c r="J1295" s="95">
        <f ca="1"/>
        <v>3.5790960391979738E-3</v>
      </c>
      <c r="K1295" s="5" t="s">
        <v>4</v>
      </c>
      <c r="L1295" s="97">
        <f>_xll.meDateFromTenor(L1294,"1D","FOLLOWING","TGT")</f>
        <v>44349</v>
      </c>
      <c r="M1295" s="95">
        <f ca="1"/>
        <v>5.3724322278073189E-3</v>
      </c>
      <c r="N1295" s="5" t="s">
        <v>4</v>
      </c>
      <c r="O1295" s="97">
        <f>_xll.meDateFromTenor(O1294,"1D","FOLLOWING","TGT")</f>
        <v>44349</v>
      </c>
      <c r="P1295" s="95">
        <f ca="1"/>
        <v>7.3985516338107302E-3</v>
      </c>
      <c r="Q1295" s="5" t="s">
        <v>4</v>
      </c>
      <c r="R1295" s="83" t="s">
        <v>4</v>
      </c>
    </row>
    <row r="1296" spans="1:18" x14ac:dyDescent="0.25">
      <c r="A1296" s="88">
        <v>1282</v>
      </c>
      <c r="B1296" s="82"/>
      <c r="C1296" s="97">
        <f>_xll.meDateFromTenor(C1295,"1D","FOLLOWING","TGT")</f>
        <v>44350</v>
      </c>
      <c r="D1296" s="95">
        <f ca="1"/>
        <v>1.4181931557983862E-3</v>
      </c>
      <c r="E1296" s="92"/>
      <c r="F1296" s="97">
        <f>_xll.meDateFromTenor(F1295,"1D","FOLLOWING","TGT")</f>
        <v>44350</v>
      </c>
      <c r="G1296" s="95">
        <f ca="1"/>
        <v>2.396854954239067E-3</v>
      </c>
      <c r="H1296" s="92" t="s">
        <v>4</v>
      </c>
      <c r="I1296" s="97">
        <f>_xll.meDateFromTenor(I1295,"1D","FOLLOWING","TGT")</f>
        <v>44350</v>
      </c>
      <c r="J1296" s="95">
        <f ca="1"/>
        <v>3.5869009637880364E-3</v>
      </c>
      <c r="K1296" s="5" t="s">
        <v>4</v>
      </c>
      <c r="L1296" s="97">
        <f>_xll.meDateFromTenor(L1295,"1D","FOLLOWING","TGT")</f>
        <v>44350</v>
      </c>
      <c r="M1296" s="95">
        <f ca="1"/>
        <v>5.3798089714131615E-3</v>
      </c>
      <c r="N1296" s="5" t="s">
        <v>4</v>
      </c>
      <c r="O1296" s="97">
        <f>_xll.meDateFromTenor(O1295,"1D","FOLLOWING","TGT")</f>
        <v>44350</v>
      </c>
      <c r="P1296" s="95">
        <f ca="1"/>
        <v>7.4058571992490756E-3</v>
      </c>
      <c r="Q1296" s="5" t="s">
        <v>4</v>
      </c>
      <c r="R1296" s="83" t="s">
        <v>4</v>
      </c>
    </row>
    <row r="1297" spans="1:18" x14ac:dyDescent="0.25">
      <c r="A1297" s="88">
        <v>1283</v>
      </c>
      <c r="B1297" s="82"/>
      <c r="C1297" s="97">
        <f>_xll.meDateFromTenor(C1296,"1D","FOLLOWING","TGT")</f>
        <v>44351</v>
      </c>
      <c r="D1297" s="95">
        <f ca="1"/>
        <v>1.4280782264968206E-3</v>
      </c>
      <c r="E1297" s="92"/>
      <c r="F1297" s="97">
        <f>_xll.meDateFromTenor(F1296,"1D","FOLLOWING","TGT")</f>
        <v>44351</v>
      </c>
      <c r="G1297" s="95">
        <f ca="1"/>
        <v>2.4043373233286845E-3</v>
      </c>
      <c r="H1297" s="92" t="s">
        <v>4</v>
      </c>
      <c r="I1297" s="97">
        <f>_xll.meDateFromTenor(I1296,"1D","FOLLOWING","TGT")</f>
        <v>44351</v>
      </c>
      <c r="J1297" s="95">
        <f ca="1"/>
        <v>3.5947080079415275E-3</v>
      </c>
      <c r="K1297" s="5" t="s">
        <v>4</v>
      </c>
      <c r="L1297" s="97">
        <f>_xll.meDateFromTenor(L1296,"1D","FOLLOWING","TGT")</f>
        <v>44351</v>
      </c>
      <c r="M1297" s="95">
        <f ca="1"/>
        <v>5.3871884179572966E-3</v>
      </c>
      <c r="N1297" s="5" t="s">
        <v>4</v>
      </c>
      <c r="O1297" s="97">
        <f>_xll.meDateFromTenor(O1296,"1D","FOLLOWING","TGT")</f>
        <v>44351</v>
      </c>
      <c r="P1297" s="95">
        <f ca="1"/>
        <v>7.4131627694030812E-3</v>
      </c>
      <c r="Q1297" s="5" t="s">
        <v>4</v>
      </c>
      <c r="R1297" s="83" t="s">
        <v>4</v>
      </c>
    </row>
    <row r="1298" spans="1:18" x14ac:dyDescent="0.25">
      <c r="A1298" s="88">
        <v>1284</v>
      </c>
      <c r="B1298" s="82"/>
      <c r="C1298" s="97">
        <f>_xll.meDateFromTenor(C1297,"1D","FOLLOWING","TGT")</f>
        <v>44354</v>
      </c>
      <c r="D1298" s="95">
        <f ca="1"/>
        <v>1.4576899173170954E-3</v>
      </c>
      <c r="E1298" s="92"/>
      <c r="F1298" s="97">
        <f>_xll.meDateFromTenor(F1297,"1D","FOLLOWING","TGT")</f>
        <v>44354</v>
      </c>
      <c r="G1298" s="95">
        <f ca="1"/>
        <v>2.4269133227784755E-3</v>
      </c>
      <c r="H1298" s="92" t="s">
        <v>4</v>
      </c>
      <c r="I1298" s="97">
        <f>_xll.meDateFromTenor(I1297,"1D","FOLLOWING","TGT")</f>
        <v>44354</v>
      </c>
      <c r="J1298" s="95">
        <f ca="1"/>
        <v>3.6181417659576173E-3</v>
      </c>
      <c r="K1298" s="5" t="s">
        <v>4</v>
      </c>
      <c r="L1298" s="97">
        <f>_xll.meDateFromTenor(L1297,"1D","FOLLOWING","TGT")</f>
        <v>44354</v>
      </c>
      <c r="M1298" s="95">
        <f ca="1"/>
        <v>5.4093430537798535E-3</v>
      </c>
      <c r="N1298" s="5" t="s">
        <v>4</v>
      </c>
      <c r="O1298" s="97">
        <f>_xll.meDateFromTenor(O1297,"1D","FOLLOWING","TGT")</f>
        <v>44354</v>
      </c>
      <c r="P1298" s="95">
        <f ca="1"/>
        <v>7.4350794735302764E-3</v>
      </c>
      <c r="Q1298" s="5" t="s">
        <v>4</v>
      </c>
      <c r="R1298" s="83" t="s">
        <v>4</v>
      </c>
    </row>
    <row r="1299" spans="1:18" x14ac:dyDescent="0.25">
      <c r="A1299" s="88">
        <v>1285</v>
      </c>
      <c r="B1299" s="82"/>
      <c r="C1299" s="97">
        <f>_xll.meDateFromTenor(C1298,"1D","FOLLOWING","TGT")</f>
        <v>44355</v>
      </c>
      <c r="D1299" s="95">
        <f ca="1"/>
        <v>1.4675459756465781E-3</v>
      </c>
      <c r="E1299" s="92"/>
      <c r="F1299" s="97">
        <f>_xll.meDateFromTenor(F1298,"1D","FOLLOWING","TGT")</f>
        <v>44355</v>
      </c>
      <c r="G1299" s="95">
        <f ca="1"/>
        <v>2.4344770719386057E-3</v>
      </c>
      <c r="H1299" s="92" t="s">
        <v>4</v>
      </c>
      <c r="I1299" s="97">
        <f>_xll.meDateFromTenor(I1298,"1D","FOLLOWING","TGT")</f>
        <v>44355</v>
      </c>
      <c r="J1299" s="95">
        <f ca="1"/>
        <v>3.6259571965398655E-3</v>
      </c>
      <c r="K1299" s="5" t="s">
        <v>4</v>
      </c>
      <c r="L1299" s="97">
        <f>_xll.meDateFromTenor(L1298,"1D","FOLLOWING","TGT")</f>
        <v>44355</v>
      </c>
      <c r="M1299" s="95">
        <f ca="1"/>
        <v>5.4167333906375544E-3</v>
      </c>
      <c r="N1299" s="5" t="s">
        <v>4</v>
      </c>
      <c r="O1299" s="97">
        <f>_xll.meDateFromTenor(O1298,"1D","FOLLOWING","TGT")</f>
        <v>44355</v>
      </c>
      <c r="P1299" s="95">
        <f ca="1"/>
        <v>7.4423850279181428E-3</v>
      </c>
      <c r="Q1299" s="5" t="s">
        <v>4</v>
      </c>
      <c r="R1299" s="83" t="s">
        <v>4</v>
      </c>
    </row>
    <row r="1300" spans="1:18" x14ac:dyDescent="0.25">
      <c r="A1300" s="88">
        <v>1286</v>
      </c>
      <c r="B1300" s="82"/>
      <c r="C1300" s="97">
        <f>_xll.meDateFromTenor(C1299,"1D","FOLLOWING","TGT")</f>
        <v>44356</v>
      </c>
      <c r="D1300" s="95">
        <f ca="1"/>
        <v>1.4773947816868471E-3</v>
      </c>
      <c r="E1300" s="92"/>
      <c r="F1300" s="97">
        <f>_xll.meDateFromTenor(F1299,"1D","FOLLOWING","TGT")</f>
        <v>44356</v>
      </c>
      <c r="G1300" s="95">
        <f ca="1"/>
        <v>2.4420577550787795E-3</v>
      </c>
      <c r="H1300" s="92" t="s">
        <v>4</v>
      </c>
      <c r="I1300" s="97">
        <f>_xll.meDateFromTenor(I1299,"1D","FOLLOWING","TGT")</f>
        <v>44356</v>
      </c>
      <c r="J1300" s="95">
        <f ca="1"/>
        <v>3.6337747007730635E-3</v>
      </c>
      <c r="K1300" s="5" t="s">
        <v>4</v>
      </c>
      <c r="L1300" s="97">
        <f>_xll.meDateFromTenor(L1299,"1D","FOLLOWING","TGT")</f>
        <v>44356</v>
      </c>
      <c r="M1300" s="95">
        <f ca="1"/>
        <v>5.4241264697137467E-3</v>
      </c>
      <c r="N1300" s="5" t="s">
        <v>4</v>
      </c>
      <c r="O1300" s="97">
        <f>_xll.meDateFromTenor(O1299,"1D","FOLLOWING","TGT")</f>
        <v>44356</v>
      </c>
      <c r="P1300" s="95">
        <f ca="1"/>
        <v>7.4496905697072797E-3</v>
      </c>
      <c r="Q1300" s="5" t="s">
        <v>4</v>
      </c>
      <c r="R1300" s="83" t="s">
        <v>4</v>
      </c>
    </row>
    <row r="1301" spans="1:18" x14ac:dyDescent="0.25">
      <c r="A1301" s="88">
        <v>1287</v>
      </c>
      <c r="B1301" s="82"/>
      <c r="C1301" s="97">
        <f>_xll.meDateFromTenor(C1300,"1D","FOLLOWING","TGT")</f>
        <v>44357</v>
      </c>
      <c r="D1301" s="95">
        <f ca="1"/>
        <v>1.48723633634118E-3</v>
      </c>
      <c r="E1301" s="92"/>
      <c r="F1301" s="97">
        <f>_xll.meDateFromTenor(F1300,"1D","FOLLOWING","TGT")</f>
        <v>44357</v>
      </c>
      <c r="G1301" s="95">
        <f ca="1"/>
        <v>2.4496540077839596E-3</v>
      </c>
      <c r="H1301" s="92" t="s">
        <v>4</v>
      </c>
      <c r="I1301" s="97">
        <f>_xll.meDateFromTenor(I1300,"1D","FOLLOWING","TGT")</f>
        <v>44357</v>
      </c>
      <c r="J1301" s="95">
        <f ca="1"/>
        <v>3.6415942694747127E-3</v>
      </c>
      <c r="K1301" s="5" t="s">
        <v>4</v>
      </c>
      <c r="L1301" s="97">
        <f>_xll.meDateFromTenor(L1300,"1D","FOLLOWING","TGT")</f>
        <v>44357</v>
      </c>
      <c r="M1301" s="95">
        <f ca="1"/>
        <v>5.4315222988644656E-3</v>
      </c>
      <c r="N1301" s="5" t="s">
        <v>4</v>
      </c>
      <c r="O1301" s="97">
        <f>_xll.meDateFromTenor(O1300,"1D","FOLLOWING","TGT")</f>
        <v>44357</v>
      </c>
      <c r="P1301" s="95">
        <f ca="1"/>
        <v>7.4569960954348046E-3</v>
      </c>
      <c r="Q1301" s="5" t="s">
        <v>4</v>
      </c>
      <c r="R1301" s="83" t="s">
        <v>4</v>
      </c>
    </row>
    <row r="1302" spans="1:18" x14ac:dyDescent="0.25">
      <c r="A1302" s="88">
        <v>1288</v>
      </c>
      <c r="B1302" s="82"/>
      <c r="C1302" s="97">
        <f>_xll.meDateFromTenor(C1301,"1D","FOLLOWING","TGT")</f>
        <v>44358</v>
      </c>
      <c r="D1302" s="95">
        <f ca="1"/>
        <v>1.4970706398771405E-3</v>
      </c>
      <c r="E1302" s="92"/>
      <c r="F1302" s="97">
        <f>_xll.meDateFromTenor(F1301,"1D","FOLLOWING","TGT")</f>
        <v>44358</v>
      </c>
      <c r="G1302" s="95">
        <f ca="1"/>
        <v>2.4572644656391173E-3</v>
      </c>
      <c r="H1302" s="92" t="s">
        <v>4</v>
      </c>
      <c r="I1302" s="97">
        <f>_xll.meDateFromTenor(I1301,"1D","FOLLOWING","TGT")</f>
        <v>44358</v>
      </c>
      <c r="J1302" s="95">
        <f ca="1"/>
        <v>3.6494158934623211E-3</v>
      </c>
      <c r="K1302" s="5" t="s">
        <v>4</v>
      </c>
      <c r="L1302" s="97">
        <f>_xll.meDateFromTenor(L1301,"1D","FOLLOWING","TGT")</f>
        <v>44358</v>
      </c>
      <c r="M1302" s="95">
        <f ca="1"/>
        <v>5.4389208859457559E-3</v>
      </c>
      <c r="N1302" s="5" t="s">
        <v>4</v>
      </c>
      <c r="O1302" s="97">
        <f>_xll.meDateFromTenor(O1301,"1D","FOLLOWING","TGT")</f>
        <v>44358</v>
      </c>
      <c r="P1302" s="95">
        <f ca="1"/>
        <v>7.4643016016378485E-3</v>
      </c>
      <c r="Q1302" s="5" t="s">
        <v>4</v>
      </c>
      <c r="R1302" s="83" t="s">
        <v>4</v>
      </c>
    </row>
    <row r="1303" spans="1:18" x14ac:dyDescent="0.25">
      <c r="A1303" s="88">
        <v>1289</v>
      </c>
      <c r="B1303" s="82"/>
      <c r="C1303" s="97">
        <f>_xll.meDateFromTenor(C1302,"1D","FOLLOWING","TGT")</f>
        <v>44361</v>
      </c>
      <c r="D1303" s="95">
        <f ca="1"/>
        <v>1.5265300492224299E-3</v>
      </c>
      <c r="E1303" s="92"/>
      <c r="F1303" s="97">
        <f>_xll.meDateFromTenor(F1302,"1D","FOLLOWING","TGT")</f>
        <v>44361</v>
      </c>
      <c r="G1303" s="95">
        <f ca="1"/>
        <v>2.4801674259541046E-3</v>
      </c>
      <c r="H1303" s="92" t="s">
        <v>4</v>
      </c>
      <c r="I1303" s="97">
        <f>_xll.meDateFromTenor(I1302,"1D","FOLLOWING","TGT")</f>
        <v>44361</v>
      </c>
      <c r="J1303" s="95">
        <f ca="1"/>
        <v>3.6728930053159339E-3</v>
      </c>
      <c r="K1303" s="5" t="s">
        <v>4</v>
      </c>
      <c r="L1303" s="97">
        <f>_xll.meDateFromTenor(L1302,"1D","FOLLOWING","TGT")</f>
        <v>44361</v>
      </c>
      <c r="M1303" s="95">
        <f ca="1"/>
        <v>5.4611332733334383E-3</v>
      </c>
      <c r="N1303" s="5" t="s">
        <v>4</v>
      </c>
      <c r="O1303" s="97">
        <f>_xll.meDateFromTenor(O1302,"1D","FOLLOWING","TGT")</f>
        <v>44361</v>
      </c>
      <c r="P1303" s="95">
        <f ca="1"/>
        <v>7.4862179684712865E-3</v>
      </c>
      <c r="Q1303" s="5" t="s">
        <v>4</v>
      </c>
      <c r="R1303" s="83" t="s">
        <v>4</v>
      </c>
    </row>
    <row r="1304" spans="1:18" x14ac:dyDescent="0.25">
      <c r="A1304" s="88">
        <v>1290</v>
      </c>
      <c r="B1304" s="82"/>
      <c r="C1304" s="97">
        <f>_xll.meDateFromTenor(C1303,"1D","FOLLOWING","TGT")</f>
        <v>44362</v>
      </c>
      <c r="D1304" s="95">
        <f ca="1"/>
        <v>1.5363353533377477E-3</v>
      </c>
      <c r="E1304" s="92"/>
      <c r="F1304" s="97">
        <f>_xll.meDateFromTenor(F1303,"1D","FOLLOWING","TGT")</f>
        <v>44362</v>
      </c>
      <c r="G1304" s="95">
        <f ca="1"/>
        <v>2.4878210602588247E-3</v>
      </c>
      <c r="H1304" s="92" t="s">
        <v>4</v>
      </c>
      <c r="I1304" s="97">
        <f>_xll.meDateFromTenor(I1303,"1D","FOLLOWING","TGT")</f>
        <v>44362</v>
      </c>
      <c r="J1304" s="95">
        <f ca="1"/>
        <v>3.6807227586224136E-3</v>
      </c>
      <c r="K1304" s="5" t="s">
        <v>4</v>
      </c>
      <c r="L1304" s="97">
        <f>_xll.meDateFromTenor(L1303,"1D","FOLLOWING","TGT")</f>
        <v>44362</v>
      </c>
      <c r="M1304" s="95">
        <f ca="1"/>
        <v>5.4685429706973999E-3</v>
      </c>
      <c r="N1304" s="5" t="s">
        <v>4</v>
      </c>
      <c r="O1304" s="97">
        <f>_xll.meDateFromTenor(O1303,"1D","FOLLOWING","TGT")</f>
        <v>44362</v>
      </c>
      <c r="P1304" s="95">
        <f ca="1"/>
        <v>7.4935233619476084E-3</v>
      </c>
      <c r="Q1304" s="5" t="s">
        <v>4</v>
      </c>
      <c r="R1304" s="83" t="s">
        <v>4</v>
      </c>
    </row>
    <row r="1305" spans="1:18" x14ac:dyDescent="0.25">
      <c r="A1305" s="88">
        <v>1291</v>
      </c>
      <c r="B1305" s="82"/>
      <c r="C1305" s="97">
        <f>_xll.meDateFromTenor(C1304,"1D","FOLLOWING","TGT")</f>
        <v>44363</v>
      </c>
      <c r="D1305" s="95">
        <f ca="1"/>
        <v>1.5461334087023548E-3</v>
      </c>
      <c r="E1305" s="92"/>
      <c r="F1305" s="97">
        <f>_xll.meDateFromTenor(F1304,"1D","FOLLOWING","TGT")</f>
        <v>44363</v>
      </c>
      <c r="G1305" s="95">
        <f ca="1"/>
        <v>2.49548207763835E-3</v>
      </c>
      <c r="H1305" s="92" t="s">
        <v>4</v>
      </c>
      <c r="I1305" s="97">
        <f>_xll.meDateFromTenor(I1304,"1D","FOLLOWING","TGT")</f>
        <v>44363</v>
      </c>
      <c r="J1305" s="95">
        <f ca="1"/>
        <v>3.6885545213023703E-3</v>
      </c>
      <c r="K1305" s="5" t="s">
        <v>4</v>
      </c>
      <c r="L1305" s="97">
        <f>_xll.meDateFromTenor(L1304,"1D","FOLLOWING","TGT")</f>
        <v>44363</v>
      </c>
      <c r="M1305" s="95">
        <f ca="1"/>
        <v>5.4759554652721301E-3</v>
      </c>
      <c r="N1305" s="5" t="s">
        <v>4</v>
      </c>
      <c r="O1305" s="97">
        <f>_xll.meDateFromTenor(O1304,"1D","FOLLOWING","TGT")</f>
        <v>44363</v>
      </c>
      <c r="P1305" s="95">
        <f ca="1"/>
        <v>7.5008287185850554E-3</v>
      </c>
      <c r="Q1305" s="5" t="s">
        <v>4</v>
      </c>
      <c r="R1305" s="83" t="s">
        <v>4</v>
      </c>
    </row>
    <row r="1306" spans="1:18" x14ac:dyDescent="0.25">
      <c r="A1306" s="88">
        <v>1292</v>
      </c>
      <c r="B1306" s="82"/>
      <c r="C1306" s="97">
        <f>_xll.meDateFromTenor(C1305,"1D","FOLLOWING","TGT")</f>
        <v>44364</v>
      </c>
      <c r="D1306" s="95">
        <f ca="1"/>
        <v>1.5559242159846054E-3</v>
      </c>
      <c r="E1306" s="92"/>
      <c r="F1306" s="97">
        <f>_xll.meDateFromTenor(F1305,"1D","FOLLOWING","TGT")</f>
        <v>44364</v>
      </c>
      <c r="G1306" s="95">
        <f ca="1"/>
        <v>2.5031491136776464E-3</v>
      </c>
      <c r="H1306" s="92" t="s">
        <v>4</v>
      </c>
      <c r="I1306" s="97">
        <f>_xll.meDateFromTenor(I1305,"1D","FOLLOWING","TGT")</f>
        <v>44364</v>
      </c>
      <c r="J1306" s="95">
        <f ca="1"/>
        <v>3.6963882841733096E-3</v>
      </c>
      <c r="K1306" s="5" t="s">
        <v>4</v>
      </c>
      <c r="L1306" s="97">
        <f>_xll.meDateFromTenor(L1305,"1D","FOLLOWING","TGT")</f>
        <v>44364</v>
      </c>
      <c r="M1306" s="95">
        <f ca="1"/>
        <v>5.483370764913665E-3</v>
      </c>
      <c r="N1306" s="5" t="s">
        <v>4</v>
      </c>
      <c r="O1306" s="97">
        <f>_xll.meDateFromTenor(O1305,"1D","FOLLOWING","TGT")</f>
        <v>44364</v>
      </c>
      <c r="P1306" s="95">
        <f ca="1"/>
        <v>7.50813403492075E-3</v>
      </c>
      <c r="Q1306" s="5" t="s">
        <v>4</v>
      </c>
      <c r="R1306" s="83" t="s">
        <v>4</v>
      </c>
    </row>
    <row r="1307" spans="1:18" x14ac:dyDescent="0.25">
      <c r="A1307" s="88">
        <v>1293</v>
      </c>
      <c r="B1307" s="82"/>
      <c r="C1307" s="97">
        <f>_xll.meDateFromTenor(C1306,"1D","FOLLOWING","TGT")</f>
        <v>44365</v>
      </c>
      <c r="D1307" s="95">
        <f ca="1"/>
        <v>1.5657077752089243E-3</v>
      </c>
      <c r="E1307" s="92"/>
      <c r="F1307" s="97">
        <f>_xll.meDateFromTenor(F1306,"1D","FOLLOWING","TGT")</f>
        <v>44365</v>
      </c>
      <c r="G1307" s="95">
        <f ca="1"/>
        <v>2.5108208039616811E-3</v>
      </c>
      <c r="H1307" s="92" t="s">
        <v>4</v>
      </c>
      <c r="I1307" s="97">
        <f>_xll.meDateFromTenor(I1306,"1D","FOLLOWING","TGT")</f>
        <v>44365</v>
      </c>
      <c r="J1307" s="95">
        <f ca="1"/>
        <v>3.7042240380527353E-3</v>
      </c>
      <c r="K1307" s="5" t="s">
        <v>4</v>
      </c>
      <c r="L1307" s="97">
        <f>_xll.meDateFromTenor(L1306,"1D","FOLLOWING","TGT")</f>
        <v>44365</v>
      </c>
      <c r="M1307" s="95">
        <f ca="1"/>
        <v>5.4907888774780467E-3</v>
      </c>
      <c r="N1307" s="5" t="s">
        <v>4</v>
      </c>
      <c r="O1307" s="97">
        <f>_xll.meDateFromTenor(O1306,"1D","FOLLOWING","TGT")</f>
        <v>44365</v>
      </c>
      <c r="P1307" s="95">
        <f ca="1"/>
        <v>7.5154393074918146E-3</v>
      </c>
      <c r="Q1307" s="5" t="s">
        <v>4</v>
      </c>
      <c r="R1307" s="83" t="s">
        <v>4</v>
      </c>
    </row>
    <row r="1308" spans="1:18" x14ac:dyDescent="0.25">
      <c r="A1308" s="88">
        <v>1294</v>
      </c>
      <c r="B1308" s="82"/>
      <c r="C1308" s="97">
        <f>_xll.meDateFromTenor(C1307,"1D","FOLLOWING","TGT")</f>
        <v>44368</v>
      </c>
      <c r="D1308" s="95">
        <f ca="1"/>
        <v>1.5950149708932049E-3</v>
      </c>
      <c r="E1308" s="92"/>
      <c r="F1308" s="97">
        <f>_xll.meDateFromTenor(F1307,"1D","FOLLOWING","TGT")</f>
        <v>44368</v>
      </c>
      <c r="G1308" s="95">
        <f ca="1"/>
        <v>2.5338501561318672E-3</v>
      </c>
      <c r="H1308" s="92" t="s">
        <v>4</v>
      </c>
      <c r="I1308" s="97">
        <f>_xll.meDateFromTenor(I1307,"1D","FOLLOWING","TGT")</f>
        <v>44368</v>
      </c>
      <c r="J1308" s="95">
        <f ca="1"/>
        <v>3.7277431539169633E-3</v>
      </c>
      <c r="K1308" s="5" t="s">
        <v>4</v>
      </c>
      <c r="L1308" s="97">
        <f>_xll.meDateFromTenor(L1307,"1D","FOLLOWING","TGT")</f>
        <v>44368</v>
      </c>
      <c r="M1308" s="95">
        <f ca="1"/>
        <v>5.5130601712686592E-3</v>
      </c>
      <c r="N1308" s="5" t="s">
        <v>4</v>
      </c>
      <c r="O1308" s="97">
        <f>_xll.meDateFromTenor(O1307,"1D","FOLLOWING","TGT")</f>
        <v>44368</v>
      </c>
      <c r="P1308" s="95">
        <f ca="1"/>
        <v>7.5373548279884404E-3</v>
      </c>
      <c r="Q1308" s="5" t="s">
        <v>4</v>
      </c>
      <c r="R1308" s="83" t="s">
        <v>4</v>
      </c>
    </row>
    <row r="1309" spans="1:18" x14ac:dyDescent="0.25">
      <c r="A1309" s="88">
        <v>1295</v>
      </c>
      <c r="B1309" s="82"/>
      <c r="C1309" s="97">
        <f>_xll.meDateFromTenor(C1308,"1D","FOLLOWING","TGT")</f>
        <v>44369</v>
      </c>
      <c r="D1309" s="95">
        <f ca="1"/>
        <v>1.6047695435221776E-3</v>
      </c>
      <c r="E1309" s="92"/>
      <c r="F1309" s="97">
        <f>_xll.meDateFromTenor(F1308,"1D","FOLLOWING","TGT")</f>
        <v>44369</v>
      </c>
      <c r="G1309" s="95">
        <f ca="1"/>
        <v>2.5415268192445122E-3</v>
      </c>
      <c r="H1309" s="92" t="s">
        <v>4</v>
      </c>
      <c r="I1309" s="97">
        <f>_xll.meDateFromTenor(I1308,"1D","FOLLOWING","TGT")</f>
        <v>44369</v>
      </c>
      <c r="J1309" s="95">
        <f ca="1"/>
        <v>3.7355867800053723E-3</v>
      </c>
      <c r="K1309" s="5" t="s">
        <v>4</v>
      </c>
      <c r="L1309" s="97">
        <f>_xll.meDateFromTenor(L1308,"1D","FOLLOWING","TGT")</f>
        <v>44369</v>
      </c>
      <c r="M1309" s="95">
        <f ca="1"/>
        <v>5.5204896140848185E-3</v>
      </c>
      <c r="N1309" s="5" t="s">
        <v>4</v>
      </c>
      <c r="O1309" s="97">
        <f>_xll.meDateFromTenor(O1308,"1D","FOLLOWING","TGT")</f>
        <v>44369</v>
      </c>
      <c r="P1309" s="95">
        <f ca="1"/>
        <v>7.5446598908722028E-3</v>
      </c>
      <c r="Q1309" s="5" t="s">
        <v>4</v>
      </c>
      <c r="R1309" s="83" t="s">
        <v>4</v>
      </c>
    </row>
    <row r="1310" spans="1:18" x14ac:dyDescent="0.25">
      <c r="A1310" s="88">
        <v>1296</v>
      </c>
      <c r="B1310" s="82"/>
      <c r="C1310" s="97">
        <f>_xll.meDateFromTenor(C1309,"1D","FOLLOWING","TGT")</f>
        <v>44370</v>
      </c>
      <c r="D1310" s="95">
        <f ca="1"/>
        <v>1.6145168707097923E-3</v>
      </c>
      <c r="E1310" s="92"/>
      <c r="F1310" s="97">
        <f>_xll.meDateFromTenor(F1309,"1D","FOLLOWING","TGT")</f>
        <v>44370</v>
      </c>
      <c r="G1310" s="95">
        <f ca="1"/>
        <v>2.5492013145267246E-3</v>
      </c>
      <c r="H1310" s="92" t="s">
        <v>4</v>
      </c>
      <c r="I1310" s="97">
        <f>_xll.meDateFromTenor(I1309,"1D","FOLLOWING","TGT")</f>
        <v>44370</v>
      </c>
      <c r="J1310" s="95">
        <f ca="1"/>
        <v>3.7434323511897874E-3</v>
      </c>
      <c r="K1310" s="5" t="s">
        <v>4</v>
      </c>
      <c r="L1310" s="97">
        <f>_xll.meDateFromTenor(L1309,"1D","FOLLOWING","TGT")</f>
        <v>44370</v>
      </c>
      <c r="M1310" s="95">
        <f ca="1"/>
        <v>5.5279219091040237E-3</v>
      </c>
      <c r="N1310" s="5" t="s">
        <v>4</v>
      </c>
      <c r="O1310" s="97">
        <f>_xll.meDateFromTenor(O1309,"1D","FOLLOWING","TGT")</f>
        <v>44370</v>
      </c>
      <c r="P1310" s="95">
        <f ca="1"/>
        <v>7.5519648926769458E-3</v>
      </c>
      <c r="Q1310" s="5" t="s">
        <v>4</v>
      </c>
      <c r="R1310" s="83" t="s">
        <v>4</v>
      </c>
    </row>
    <row r="1311" spans="1:18" x14ac:dyDescent="0.25">
      <c r="A1311" s="88">
        <v>1297</v>
      </c>
      <c r="B1311" s="82"/>
      <c r="C1311" s="97">
        <f>_xll.meDateFromTenor(C1310,"1D","FOLLOWING","TGT")</f>
        <v>44371</v>
      </c>
      <c r="D1311" s="95">
        <f ca="1"/>
        <v>1.624256952565073E-3</v>
      </c>
      <c r="E1311" s="92"/>
      <c r="F1311" s="97">
        <f>_xll.meDateFromTenor(F1310,"1D","FOLLOWING","TGT")</f>
        <v>44371</v>
      </c>
      <c r="G1311" s="95">
        <f ca="1"/>
        <v>2.5568722775634704E-3</v>
      </c>
      <c r="H1311" s="92" t="s">
        <v>4</v>
      </c>
      <c r="I1311" s="97">
        <f>_xll.meDateFromTenor(I1310,"1D","FOLLOWING","TGT")</f>
        <v>44371</v>
      </c>
      <c r="J1311" s="95">
        <f ca="1"/>
        <v>3.7512798582877128E-3</v>
      </c>
      <c r="K1311" s="5" t="s">
        <v>4</v>
      </c>
      <c r="L1311" s="97">
        <f>_xll.meDateFromTenor(L1310,"1D","FOLLOWING","TGT")</f>
        <v>44371</v>
      </c>
      <c r="M1311" s="95">
        <f ca="1"/>
        <v>5.5353570641823091E-3</v>
      </c>
      <c r="N1311" s="5" t="s">
        <v>4</v>
      </c>
      <c r="O1311" s="97">
        <f>_xll.meDateFromTenor(O1310,"1D","FOLLOWING","TGT")</f>
        <v>44371</v>
      </c>
      <c r="P1311" s="95">
        <f ca="1"/>
        <v>7.5592698299397892E-3</v>
      </c>
      <c r="Q1311" s="5" t="s">
        <v>4</v>
      </c>
      <c r="R1311" s="83" t="s">
        <v>4</v>
      </c>
    </row>
    <row r="1312" spans="1:18" x14ac:dyDescent="0.25">
      <c r="A1312" s="88">
        <v>1298</v>
      </c>
      <c r="B1312" s="82"/>
      <c r="C1312" s="97">
        <f>_xll.meDateFromTenor(C1311,"1D","FOLLOWING","TGT")</f>
        <v>44372</v>
      </c>
      <c r="D1312" s="95">
        <f ca="1"/>
        <v>1.6339897899146916E-3</v>
      </c>
      <c r="E1312" s="92"/>
      <c r="F1312" s="97">
        <f>_xll.meDateFromTenor(F1311,"1D","FOLLOWING","TGT")</f>
        <v>44372</v>
      </c>
      <c r="G1312" s="95">
        <f ca="1"/>
        <v>2.564538343939716E-3</v>
      </c>
      <c r="H1312" s="92" t="s">
        <v>4</v>
      </c>
      <c r="I1312" s="97">
        <f>_xll.meDateFromTenor(I1311,"1D","FOLLOWING","TGT")</f>
        <v>44372</v>
      </c>
      <c r="J1312" s="95">
        <f ca="1"/>
        <v>3.7591292921166529E-3</v>
      </c>
      <c r="K1312" s="5" t="s">
        <v>4</v>
      </c>
      <c r="L1312" s="97">
        <f>_xll.meDateFromTenor(L1311,"1D","FOLLOWING","TGT")</f>
        <v>44372</v>
      </c>
      <c r="M1312" s="95">
        <f ca="1"/>
        <v>5.5427950871757168E-3</v>
      </c>
      <c r="N1312" s="5" t="s">
        <v>4</v>
      </c>
      <c r="O1312" s="97">
        <f>_xll.meDateFromTenor(O1311,"1D","FOLLOWING","TGT")</f>
        <v>44372</v>
      </c>
      <c r="P1312" s="95">
        <f ca="1"/>
        <v>7.5665746991978571E-3</v>
      </c>
      <c r="Q1312" s="5" t="s">
        <v>4</v>
      </c>
      <c r="R1312" s="83" t="s">
        <v>4</v>
      </c>
    </row>
    <row r="1313" spans="1:18" x14ac:dyDescent="0.25">
      <c r="A1313" s="88">
        <v>1299</v>
      </c>
      <c r="B1313" s="82"/>
      <c r="C1313" s="97">
        <f>_xll.meDateFromTenor(C1312,"1D","FOLLOWING","TGT")</f>
        <v>44375</v>
      </c>
      <c r="D1313" s="95">
        <f ca="1"/>
        <v>1.6631448383372938E-3</v>
      </c>
      <c r="E1313" s="92"/>
      <c r="F1313" s="97">
        <f>_xll.meDateFromTenor(F1312,"1D","FOLLOWING","TGT")</f>
        <v>44375</v>
      </c>
      <c r="G1313" s="95">
        <f ca="1"/>
        <v>2.58749351895511E-3</v>
      </c>
      <c r="H1313" s="92" t="s">
        <v>4</v>
      </c>
      <c r="I1313" s="97">
        <f>_xll.meDateFromTenor(I1312,"1D","FOLLOWING","TGT")</f>
        <v>44375</v>
      </c>
      <c r="J1313" s="95">
        <f ca="1"/>
        <v>3.7826890621645952E-3</v>
      </c>
      <c r="K1313" s="5" t="s">
        <v>4</v>
      </c>
      <c r="L1313" s="97">
        <f>_xll.meDateFromTenor(L1312,"1D","FOLLOWING","TGT")</f>
        <v>44375</v>
      </c>
      <c r="M1313" s="95">
        <f ca="1"/>
        <v>5.5651264422070697E-3</v>
      </c>
      <c r="N1313" s="5" t="s">
        <v>4</v>
      </c>
      <c r="O1313" s="97">
        <f>_xll.meDateFromTenor(O1312,"1D","FOLLOWING","TGT")</f>
        <v>44375</v>
      </c>
      <c r="P1313" s="95">
        <f ca="1"/>
        <v>7.5884888643146251E-3</v>
      </c>
      <c r="Q1313" s="5" t="s">
        <v>4</v>
      </c>
      <c r="R1313" s="83" t="s">
        <v>4</v>
      </c>
    </row>
    <row r="1314" spans="1:18" x14ac:dyDescent="0.25">
      <c r="A1314" s="88">
        <v>1300</v>
      </c>
      <c r="B1314" s="82"/>
      <c r="C1314" s="97">
        <f>_xll.meDateFromTenor(C1313,"1D","FOLLOWING","TGT")</f>
        <v>44376</v>
      </c>
      <c r="D1314" s="95">
        <f ca="1"/>
        <v>1.6728487013097926E-3</v>
      </c>
      <c r="E1314" s="92"/>
      <c r="F1314" s="97">
        <f>_xll.meDateFromTenor(F1313,"1D","FOLLOWING","TGT")</f>
        <v>44376</v>
      </c>
      <c r="G1314" s="95">
        <f ca="1"/>
        <v>2.5951263545390146E-3</v>
      </c>
      <c r="H1314" s="92" t="s">
        <v>4</v>
      </c>
      <c r="I1314" s="97">
        <f>_xll.meDateFromTenor(I1313,"1D","FOLLOWING","TGT")</f>
        <v>44376</v>
      </c>
      <c r="J1314" s="95">
        <f ca="1"/>
        <v>3.7905461110926326E-3</v>
      </c>
      <c r="K1314" s="5" t="s">
        <v>4</v>
      </c>
      <c r="L1314" s="97">
        <f>_xll.meDateFromTenor(L1313,"1D","FOLLOWING","TGT")</f>
        <v>44376</v>
      </c>
      <c r="M1314" s="95">
        <f ca="1"/>
        <v>5.5725760154213622E-3</v>
      </c>
      <c r="N1314" s="5" t="s">
        <v>4</v>
      </c>
      <c r="O1314" s="97">
        <f>_xll.meDateFromTenor(O1313,"1D","FOLLOWING","TGT")</f>
        <v>44376</v>
      </c>
      <c r="P1314" s="95">
        <f ca="1"/>
        <v>7.5957934269248089E-3</v>
      </c>
      <c r="Q1314" s="5" t="s">
        <v>4</v>
      </c>
      <c r="R1314" s="83" t="s">
        <v>4</v>
      </c>
    </row>
    <row r="1315" spans="1:18" x14ac:dyDescent="0.25">
      <c r="A1315" s="88">
        <v>1301</v>
      </c>
      <c r="B1315" s="82"/>
      <c r="C1315" s="97">
        <f>_xll.meDateFromTenor(C1314,"1D","FOLLOWING","TGT")</f>
        <v>44377</v>
      </c>
      <c r="D1315" s="95">
        <f ca="1"/>
        <v>1.6825453217605979E-3</v>
      </c>
      <c r="E1315" s="92"/>
      <c r="F1315" s="97">
        <f>_xll.meDateFromTenor(F1314,"1D","FOLLOWING","TGT")</f>
        <v>44377</v>
      </c>
      <c r="G1315" s="95">
        <f ca="1"/>
        <v>2.6027474713872499E-3</v>
      </c>
      <c r="H1315" s="92" t="s">
        <v>4</v>
      </c>
      <c r="I1315" s="97">
        <f>_xll.meDateFromTenor(I1314,"1D","FOLLOWING","TGT")</f>
        <v>44377</v>
      </c>
      <c r="J1315" s="95">
        <f ca="1"/>
        <v>3.7984050408392039E-3</v>
      </c>
      <c r="K1315" s="5" t="s">
        <v>4</v>
      </c>
      <c r="L1315" s="97">
        <f>_xll.meDateFromTenor(L1314,"1D","FOLLOWING","TGT")</f>
        <v>44377</v>
      </c>
      <c r="M1315" s="95">
        <f ca="1"/>
        <v>5.580028495830976E-3</v>
      </c>
      <c r="N1315" s="5" t="s">
        <v>4</v>
      </c>
      <c r="O1315" s="97">
        <f>_xll.meDateFromTenor(O1314,"1D","FOLLOWING","TGT")</f>
        <v>44377</v>
      </c>
      <c r="P1315" s="95">
        <f ca="1"/>
        <v>7.6030979042158286E-3</v>
      </c>
      <c r="Q1315" s="5" t="s">
        <v>4</v>
      </c>
      <c r="R1315" s="83" t="s">
        <v>4</v>
      </c>
    </row>
    <row r="1316" spans="1:18" x14ac:dyDescent="0.25">
      <c r="A1316" s="88">
        <v>1302</v>
      </c>
      <c r="B1316" s="82"/>
      <c r="C1316" s="97">
        <f>_xll.meDateFromTenor(C1315,"1D","FOLLOWING","TGT")</f>
        <v>44378</v>
      </c>
      <c r="D1316" s="95">
        <f ca="1"/>
        <v>1.6922347003569538E-3</v>
      </c>
      <c r="E1316" s="92"/>
      <c r="F1316" s="97">
        <f>_xll.meDateFromTenor(F1315,"1D","FOLLOWING","TGT")</f>
        <v>44378</v>
      </c>
      <c r="G1316" s="95">
        <f ca="1"/>
        <v>2.61035550508478E-3</v>
      </c>
      <c r="H1316" s="92" t="s">
        <v>4</v>
      </c>
      <c r="I1316" s="97">
        <f>_xll.meDateFromTenor(I1315,"1D","FOLLOWING","TGT")</f>
        <v>44378</v>
      </c>
      <c r="J1316" s="95">
        <f ca="1"/>
        <v>3.8062658422218141E-3</v>
      </c>
      <c r="K1316" s="5" t="s">
        <v>4</v>
      </c>
      <c r="L1316" s="97">
        <f>_xll.meDateFromTenor(L1315,"1D","FOLLOWING","TGT")</f>
        <v>44378</v>
      </c>
      <c r="M1316" s="95">
        <f ca="1"/>
        <v>5.5874838912919472E-3</v>
      </c>
      <c r="N1316" s="5" t="s">
        <v>4</v>
      </c>
      <c r="O1316" s="97">
        <f>_xll.meDateFromTenor(O1315,"1D","FOLLOWING","TGT")</f>
        <v>44378</v>
      </c>
      <c r="P1316" s="95">
        <f ca="1"/>
        <v>7.6104022927248058E-3</v>
      </c>
      <c r="Q1316" s="5" t="s">
        <v>4</v>
      </c>
      <c r="R1316" s="83" t="s">
        <v>4</v>
      </c>
    </row>
    <row r="1317" spans="1:18" x14ac:dyDescent="0.25">
      <c r="A1317" s="88">
        <v>1303</v>
      </c>
      <c r="B1317" s="82"/>
      <c r="C1317" s="97">
        <f>_xll.meDateFromTenor(C1316,"1D","FOLLOWING","TGT")</f>
        <v>44379</v>
      </c>
      <c r="D1317" s="95">
        <f ca="1"/>
        <v>1.7019168372900406E-3</v>
      </c>
      <c r="E1317" s="92"/>
      <c r="F1317" s="97">
        <f>_xll.meDateFromTenor(F1316,"1D","FOLLOWING","TGT")</f>
        <v>44379</v>
      </c>
      <c r="G1317" s="95">
        <f ca="1"/>
        <v>2.6179490912165725E-3</v>
      </c>
      <c r="H1317" s="92" t="s">
        <v>4</v>
      </c>
      <c r="I1317" s="97">
        <f>_xll.meDateFromTenor(I1316,"1D","FOLLOWING","TGT")</f>
        <v>44379</v>
      </c>
      <c r="J1317" s="95">
        <f ca="1"/>
        <v>3.8141285060579672E-3</v>
      </c>
      <c r="K1317" s="5" t="s">
        <v>4</v>
      </c>
      <c r="L1317" s="97">
        <f>_xll.meDateFromTenor(L1316,"1D","FOLLOWING","TGT")</f>
        <v>44379</v>
      </c>
      <c r="M1317" s="95">
        <f ca="1"/>
        <v>5.5949422096603189E-3</v>
      </c>
      <c r="N1317" s="5" t="s">
        <v>4</v>
      </c>
      <c r="O1317" s="97">
        <f>_xll.meDateFromTenor(O1316,"1D","FOLLOWING","TGT")</f>
        <v>44379</v>
      </c>
      <c r="P1317" s="95">
        <f ca="1"/>
        <v>7.6177065889888604E-3</v>
      </c>
      <c r="Q1317" s="5" t="s">
        <v>4</v>
      </c>
      <c r="R1317" s="83" t="s">
        <v>4</v>
      </c>
    </row>
    <row r="1318" spans="1:18" x14ac:dyDescent="0.25">
      <c r="A1318" s="88">
        <v>1304</v>
      </c>
      <c r="B1318" s="82"/>
      <c r="C1318" s="97">
        <f>_xll.meDateFromTenor(C1317,"1D","FOLLOWING","TGT")</f>
        <v>44382</v>
      </c>
      <c r="D1318" s="95">
        <f ca="1"/>
        <v>1.7309198023947037E-3</v>
      </c>
      <c r="E1318" s="92"/>
      <c r="F1318" s="97">
        <f>_xll.meDateFromTenor(F1317,"1D","FOLLOWING","TGT")</f>
        <v>44382</v>
      </c>
      <c r="G1318" s="95">
        <f ca="1"/>
        <v>2.6406408930142395E-3</v>
      </c>
      <c r="H1318" s="92" t="s">
        <v>4</v>
      </c>
      <c r="I1318" s="97">
        <f>_xll.meDateFromTenor(I1317,"1D","FOLLOWING","TGT")</f>
        <v>44382</v>
      </c>
      <c r="J1318" s="95">
        <f ca="1"/>
        <v>3.8377275804627217E-3</v>
      </c>
      <c r="K1318" s="5" t="s">
        <v>4</v>
      </c>
      <c r="L1318" s="97">
        <f>_xll.meDateFromTenor(L1317,"1D","FOLLOWING","TGT")</f>
        <v>44382</v>
      </c>
      <c r="M1318" s="95">
        <f ca="1"/>
        <v>5.6173347807702218E-3</v>
      </c>
      <c r="N1318" s="5" t="s">
        <v>4</v>
      </c>
      <c r="O1318" s="97">
        <f>_xll.meDateFromTenor(O1317,"1D","FOLLOWING","TGT")</f>
        <v>44382</v>
      </c>
      <c r="P1318" s="95">
        <f ca="1"/>
        <v>7.6396188896827189E-3</v>
      </c>
      <c r="Q1318" s="5" t="s">
        <v>4</v>
      </c>
      <c r="R1318" s="83" t="s">
        <v>4</v>
      </c>
    </row>
    <row r="1319" spans="1:18" x14ac:dyDescent="0.25">
      <c r="A1319" s="88">
        <v>1305</v>
      </c>
      <c r="B1319" s="82"/>
      <c r="C1319" s="97">
        <f>_xll.meDateFromTenor(C1318,"1D","FOLLOWING","TGT")</f>
        <v>44383</v>
      </c>
      <c r="D1319" s="95">
        <f ca="1"/>
        <v>1.7405729772856926E-3</v>
      </c>
      <c r="E1319" s="92"/>
      <c r="F1319" s="97">
        <f>_xll.meDateFromTenor(F1318,"1D","FOLLOWING","TGT")</f>
        <v>44383</v>
      </c>
      <c r="G1319" s="95">
        <f ca="1"/>
        <v>2.6481786298824116E-3</v>
      </c>
      <c r="H1319" s="92" t="s">
        <v>4</v>
      </c>
      <c r="I1319" s="97">
        <f>_xll.meDateFromTenor(I1318,"1D","FOLLOWING","TGT")</f>
        <v>44383</v>
      </c>
      <c r="J1319" s="95">
        <f ca="1"/>
        <v>3.8455976022880858E-3</v>
      </c>
      <c r="K1319" s="5" t="s">
        <v>4</v>
      </c>
      <c r="L1319" s="97">
        <f>_xll.meDateFromTenor(L1318,"1D","FOLLOWING","TGT")</f>
        <v>44383</v>
      </c>
      <c r="M1319" s="95">
        <f ca="1"/>
        <v>5.6248048693285828E-3</v>
      </c>
      <c r="N1319" s="5" t="s">
        <v>4</v>
      </c>
      <c r="O1319" s="97">
        <f>_xll.meDateFromTenor(O1318,"1D","FOLLOWING","TGT")</f>
        <v>44383</v>
      </c>
      <c r="P1319" s="95">
        <f ca="1"/>
        <v>7.64692278233831E-3</v>
      </c>
      <c r="Q1319" s="5" t="s">
        <v>4</v>
      </c>
      <c r="R1319" s="83" t="s">
        <v>4</v>
      </c>
    </row>
    <row r="1320" spans="1:18" x14ac:dyDescent="0.25">
      <c r="A1320" s="88">
        <v>1306</v>
      </c>
      <c r="B1320" s="82"/>
      <c r="C1320" s="97">
        <f>_xll.meDateFromTenor(C1319,"1D","FOLLOWING","TGT")</f>
        <v>44384</v>
      </c>
      <c r="D1320" s="95">
        <f ca="1"/>
        <v>1.7502189123395073E-3</v>
      </c>
      <c r="E1320" s="92"/>
      <c r="F1320" s="97">
        <f>_xll.meDateFromTenor(F1319,"1D","FOLLOWING","TGT")</f>
        <v>44384</v>
      </c>
      <c r="G1320" s="95">
        <f ca="1"/>
        <v>2.6557052063959476E-3</v>
      </c>
      <c r="H1320" s="92" t="s">
        <v>4</v>
      </c>
      <c r="I1320" s="97">
        <f>_xll.meDateFromTenor(I1319,"1D","FOLLOWING","TGT")</f>
        <v>44384</v>
      </c>
      <c r="J1320" s="95">
        <f ca="1"/>
        <v>3.8534694406545094E-3</v>
      </c>
      <c r="K1320" s="5" t="s">
        <v>4</v>
      </c>
      <c r="L1320" s="97">
        <f>_xll.meDateFromTenor(L1319,"1D","FOLLOWING","TGT")</f>
        <v>44384</v>
      </c>
      <c r="M1320" s="95">
        <f ca="1"/>
        <v>5.6322779200745389E-3</v>
      </c>
      <c r="N1320" s="5" t="s">
        <v>4</v>
      </c>
      <c r="O1320" s="97">
        <f>_xll.meDateFromTenor(O1319,"1D","FOLLOWING","TGT")</f>
        <v>44384</v>
      </c>
      <c r="P1320" s="95">
        <f ca="1"/>
        <v>7.6542265654345873E-3</v>
      </c>
      <c r="Q1320" s="5" t="s">
        <v>4</v>
      </c>
      <c r="R1320" s="83" t="s">
        <v>4</v>
      </c>
    </row>
    <row r="1321" spans="1:18" x14ac:dyDescent="0.25">
      <c r="A1321" s="88">
        <v>1307</v>
      </c>
      <c r="B1321" s="82"/>
      <c r="C1321" s="97">
        <f>_xll.meDateFromTenor(C1320,"1D","FOLLOWING","TGT")</f>
        <v>44385</v>
      </c>
      <c r="D1321" s="95">
        <f ca="1"/>
        <v>1.7598576084691953E-3</v>
      </c>
      <c r="E1321" s="92"/>
      <c r="F1321" s="97">
        <f>_xll.meDateFromTenor(F1320,"1D","FOLLOWING","TGT")</f>
        <v>44385</v>
      </c>
      <c r="G1321" s="95">
        <f ca="1"/>
        <v>2.6632217854613855E-3</v>
      </c>
      <c r="H1321" s="92" t="s">
        <v>4</v>
      </c>
      <c r="I1321" s="97">
        <f>_xll.meDateFromTenor(I1320,"1D","FOLLOWING","TGT")</f>
        <v>44385</v>
      </c>
      <c r="J1321" s="95">
        <f ca="1"/>
        <v>3.8613430863795031E-3</v>
      </c>
      <c r="K1321" s="5" t="s">
        <v>4</v>
      </c>
      <c r="L1321" s="97">
        <f>_xll.meDateFromTenor(L1320,"1D","FOLLOWING","TGT")</f>
        <v>44385</v>
      </c>
      <c r="M1321" s="95">
        <f ca="1"/>
        <v>5.6397539408641331E-3</v>
      </c>
      <c r="N1321" s="5" t="s">
        <v>4</v>
      </c>
      <c r="O1321" s="97">
        <f>_xll.meDateFromTenor(O1320,"1D","FOLLOWING","TGT")</f>
        <v>44385</v>
      </c>
      <c r="P1321" s="95">
        <f ca="1"/>
        <v>7.6615302355086791E-3</v>
      </c>
      <c r="Q1321" s="5" t="s">
        <v>4</v>
      </c>
      <c r="R1321" s="83" t="s">
        <v>4</v>
      </c>
    </row>
    <row r="1322" spans="1:18" x14ac:dyDescent="0.25">
      <c r="A1322" s="88">
        <v>1308</v>
      </c>
      <c r="B1322" s="82"/>
      <c r="C1322" s="97">
        <f>_xll.meDateFromTenor(C1321,"1D","FOLLOWING","TGT")</f>
        <v>44386</v>
      </c>
      <c r="D1322" s="95">
        <f ca="1"/>
        <v>1.7694890659425422E-3</v>
      </c>
      <c r="E1322" s="92"/>
      <c r="F1322" s="97">
        <f>_xll.meDateFromTenor(F1321,"1D","FOLLOWING","TGT")</f>
        <v>44386</v>
      </c>
      <c r="G1322" s="95">
        <f ca="1"/>
        <v>2.6707295299852581E-3</v>
      </c>
      <c r="H1322" s="92" t="s">
        <v>4</v>
      </c>
      <c r="I1322" s="97">
        <f>_xll.meDateFromTenor(I1321,"1D","FOLLOWING","TGT")</f>
        <v>44386</v>
      </c>
      <c r="J1322" s="95">
        <f ca="1"/>
        <v>3.8692185302805675E-3</v>
      </c>
      <c r="K1322" s="5" t="s">
        <v>4</v>
      </c>
      <c r="L1322" s="97">
        <f>_xll.meDateFromTenor(L1321,"1D","FOLLOWING","TGT")</f>
        <v>44386</v>
      </c>
      <c r="M1322" s="95">
        <f ca="1"/>
        <v>5.6472329395534033E-3</v>
      </c>
      <c r="N1322" s="5" t="s">
        <v>4</v>
      </c>
      <c r="O1322" s="97">
        <f>_xll.meDateFromTenor(O1321,"1D","FOLLOWING","TGT")</f>
        <v>44386</v>
      </c>
      <c r="P1322" s="95">
        <f ca="1"/>
        <v>7.6688337890977046E-3</v>
      </c>
      <c r="Q1322" s="5" t="s">
        <v>4</v>
      </c>
      <c r="R1322" s="83" t="s">
        <v>4</v>
      </c>
    </row>
    <row r="1323" spans="1:18" x14ac:dyDescent="0.25">
      <c r="A1323" s="88">
        <v>1309</v>
      </c>
      <c r="B1323" s="82"/>
      <c r="C1323" s="97">
        <f>_xll.meDateFromTenor(C1322,"1D","FOLLOWING","TGT")</f>
        <v>44389</v>
      </c>
      <c r="D1323" s="95">
        <f ca="1"/>
        <v>1.7983400105818781E-3</v>
      </c>
      <c r="E1323" s="92"/>
      <c r="F1323" s="97">
        <f>_xll.meDateFromTenor(F1322,"1D","FOLLOWING","TGT")</f>
        <v>44389</v>
      </c>
      <c r="G1323" s="95">
        <f ca="1"/>
        <v>2.6932113853728274E-3</v>
      </c>
      <c r="H1323" s="92" t="s">
        <v>4</v>
      </c>
      <c r="I1323" s="97">
        <f>_xll.meDateFromTenor(I1322,"1D","FOLLOWING","TGT")</f>
        <v>44389</v>
      </c>
      <c r="J1323" s="95">
        <f ca="1"/>
        <v>3.8928555592152273E-3</v>
      </c>
      <c r="K1323" s="5" t="s">
        <v>4</v>
      </c>
      <c r="L1323" s="97">
        <f>_xll.meDateFromTenor(L1322,"1D","FOLLOWING","TGT")</f>
        <v>44389</v>
      </c>
      <c r="M1323" s="95">
        <f ca="1"/>
        <v>5.6696878815796596E-3</v>
      </c>
      <c r="N1323" s="5" t="s">
        <v>4</v>
      </c>
      <c r="O1323" s="97">
        <f>_xll.meDateFromTenor(O1322,"1D","FOLLOWING","TGT")</f>
        <v>44389</v>
      </c>
      <c r="P1323" s="95">
        <f ca="1"/>
        <v>7.690743716325602E-3</v>
      </c>
      <c r="Q1323" s="5" t="s">
        <v>4</v>
      </c>
      <c r="R1323" s="83" t="s">
        <v>4</v>
      </c>
    </row>
    <row r="1324" spans="1:18" x14ac:dyDescent="0.25">
      <c r="A1324" s="88">
        <v>1310</v>
      </c>
      <c r="B1324" s="82"/>
      <c r="C1324" s="97">
        <f>_xll.meDateFromTenor(C1323,"1D","FOLLOWING","TGT")</f>
        <v>44390</v>
      </c>
      <c r="D1324" s="95">
        <f ca="1"/>
        <v>1.8079425175032693E-3</v>
      </c>
      <c r="E1324" s="92"/>
      <c r="F1324" s="97">
        <f>_xll.meDateFromTenor(F1323,"1D","FOLLOWING","TGT")</f>
        <v>44390</v>
      </c>
      <c r="G1324" s="95">
        <f ca="1"/>
        <v>2.7006954207957827E-3</v>
      </c>
      <c r="H1324" s="92" t="s">
        <v>4</v>
      </c>
      <c r="I1324" s="97">
        <f>_xll.meDateFromTenor(I1323,"1D","FOLLOWING","TGT")</f>
        <v>44390</v>
      </c>
      <c r="J1324" s="95">
        <f ca="1"/>
        <v>3.9007381039956163E-3</v>
      </c>
      <c r="K1324" s="5" t="s">
        <v>4</v>
      </c>
      <c r="L1324" s="97">
        <f>_xll.meDateFromTenor(L1323,"1D","FOLLOWING","TGT")</f>
        <v>44390</v>
      </c>
      <c r="M1324" s="95">
        <f ca="1"/>
        <v>5.6771788704280263E-3</v>
      </c>
      <c r="N1324" s="5" t="s">
        <v>4</v>
      </c>
      <c r="O1324" s="97">
        <f>_xll.meDateFromTenor(O1323,"1D","FOLLOWING","TGT")</f>
        <v>44390</v>
      </c>
      <c r="P1324" s="95">
        <f ca="1"/>
        <v>7.6980467693455812E-3</v>
      </c>
      <c r="Q1324" s="5" t="s">
        <v>4</v>
      </c>
      <c r="R1324" s="83" t="s">
        <v>4</v>
      </c>
    </row>
    <row r="1325" spans="1:18" x14ac:dyDescent="0.25">
      <c r="A1325" s="88">
        <v>1311</v>
      </c>
      <c r="B1325" s="82"/>
      <c r="C1325" s="97">
        <f>_xll.meDateFromTenor(C1324,"1D","FOLLOWING","TGT")</f>
        <v>44391</v>
      </c>
      <c r="D1325" s="95">
        <f ca="1"/>
        <v>1.8175377878453247E-3</v>
      </c>
      <c r="E1325" s="92"/>
      <c r="F1325" s="97">
        <f>_xll.meDateFromTenor(F1324,"1D","FOLLOWING","TGT")</f>
        <v>44391</v>
      </c>
      <c r="G1325" s="95">
        <f ca="1"/>
        <v>2.7081764362098431E-3</v>
      </c>
      <c r="H1325" s="92" t="s">
        <v>4</v>
      </c>
      <c r="I1325" s="97">
        <f>_xll.meDateFromTenor(I1324,"1D","FOLLOWING","TGT")</f>
        <v>44391</v>
      </c>
      <c r="J1325" s="95">
        <f ca="1"/>
        <v>3.9086224010395935E-3</v>
      </c>
      <c r="K1325" s="5" t="s">
        <v>4</v>
      </c>
      <c r="L1325" s="97">
        <f>_xll.meDateFromTenor(L1324,"1D","FOLLOWING","TGT")</f>
        <v>44391</v>
      </c>
      <c r="M1325" s="95">
        <f ca="1"/>
        <v>5.6846728764562626E-3</v>
      </c>
      <c r="N1325" s="5" t="s">
        <v>4</v>
      </c>
      <c r="O1325" s="97">
        <f>_xll.meDateFromTenor(O1324,"1D","FOLLOWING","TGT")</f>
        <v>44391</v>
      </c>
      <c r="P1325" s="95">
        <f ca="1"/>
        <v>7.7053496885661028E-3</v>
      </c>
      <c r="Q1325" s="5" t="s">
        <v>4</v>
      </c>
      <c r="R1325" s="83" t="s">
        <v>4</v>
      </c>
    </row>
    <row r="1326" spans="1:18" x14ac:dyDescent="0.25">
      <c r="A1326" s="88">
        <v>1312</v>
      </c>
      <c r="B1326" s="82"/>
      <c r="C1326" s="97">
        <f>_xll.meDateFromTenor(C1325,"1D","FOLLOWING","TGT")</f>
        <v>44392</v>
      </c>
      <c r="D1326" s="95">
        <f ca="1"/>
        <v>1.8271258221178588E-3</v>
      </c>
      <c r="E1326" s="92"/>
      <c r="F1326" s="97">
        <f>_xll.meDateFromTenor(F1325,"1D","FOLLOWING","TGT")</f>
        <v>44392</v>
      </c>
      <c r="G1326" s="95">
        <f ca="1"/>
        <v>2.7156555945215483E-3</v>
      </c>
      <c r="H1326" s="92" t="s">
        <v>4</v>
      </c>
      <c r="I1326" s="97">
        <f>_xll.meDateFromTenor(I1325,"1D","FOLLOWING","TGT")</f>
        <v>44392</v>
      </c>
      <c r="J1326" s="95">
        <f ca="1"/>
        <v>3.9165084411646725E-3</v>
      </c>
      <c r="K1326" s="5" t="s">
        <v>4</v>
      </c>
      <c r="L1326" s="97">
        <f>_xll.meDateFromTenor(L1325,"1D","FOLLOWING","TGT")</f>
        <v>44392</v>
      </c>
      <c r="M1326" s="95">
        <f ca="1"/>
        <v>5.6921699075204177E-3</v>
      </c>
      <c r="N1326" s="5" t="s">
        <v>4</v>
      </c>
      <c r="O1326" s="97">
        <f>_xll.meDateFromTenor(O1325,"1D","FOLLOWING","TGT")</f>
        <v>44392</v>
      </c>
      <c r="P1326" s="95">
        <f ca="1"/>
        <v>7.7126524705242961E-3</v>
      </c>
      <c r="Q1326" s="5" t="s">
        <v>4</v>
      </c>
      <c r="R1326" s="83" t="s">
        <v>4</v>
      </c>
    </row>
    <row r="1327" spans="1:18" x14ac:dyDescent="0.25">
      <c r="A1327" s="88">
        <v>1313</v>
      </c>
      <c r="B1327" s="82"/>
      <c r="C1327" s="97">
        <f>_xll.meDateFromTenor(C1326,"1D","FOLLOWING","TGT")</f>
        <v>44393</v>
      </c>
      <c r="D1327" s="95">
        <f ca="1"/>
        <v>1.8367066206748106E-3</v>
      </c>
      <c r="E1327" s="92"/>
      <c r="F1327" s="97">
        <f>_xll.meDateFromTenor(F1326,"1D","FOLLOWING","TGT")</f>
        <v>44393</v>
      </c>
      <c r="G1327" s="95">
        <f ca="1"/>
        <v>2.7231340586374251E-3</v>
      </c>
      <c r="H1327" s="92" t="s">
        <v>4</v>
      </c>
      <c r="I1327" s="97">
        <f>_xll.meDateFromTenor(I1326,"1D","FOLLOWING","TGT")</f>
        <v>44393</v>
      </c>
      <c r="J1327" s="95">
        <f ca="1"/>
        <v>3.9243962151883438E-3</v>
      </c>
      <c r="K1327" s="5" t="s">
        <v>4</v>
      </c>
      <c r="L1327" s="97">
        <f>_xll.meDateFromTenor(L1326,"1D","FOLLOWING","TGT")</f>
        <v>44393</v>
      </c>
      <c r="M1327" s="95">
        <f ca="1"/>
        <v>5.69966997147652E-3</v>
      </c>
      <c r="N1327" s="5" t="s">
        <v>4</v>
      </c>
      <c r="O1327" s="97">
        <f>_xll.meDateFromTenor(O1326,"1D","FOLLOWING","TGT")</f>
        <v>44393</v>
      </c>
      <c r="P1327" s="95">
        <f ca="1"/>
        <v>7.7199551117572715E-3</v>
      </c>
      <c r="Q1327" s="5" t="s">
        <v>4</v>
      </c>
      <c r="R1327" s="83" t="s">
        <v>4</v>
      </c>
    </row>
    <row r="1328" spans="1:18" x14ac:dyDescent="0.25">
      <c r="A1328" s="88">
        <v>1314</v>
      </c>
      <c r="B1328" s="82"/>
      <c r="C1328" s="97">
        <f>_xll.meDateFromTenor(C1327,"1D","FOLLOWING","TGT")</f>
        <v>44396</v>
      </c>
      <c r="D1328" s="95">
        <f ca="1"/>
        <v>1.8654056053206691E-3</v>
      </c>
      <c r="E1328" s="92"/>
      <c r="F1328" s="97">
        <f>_xll.meDateFromTenor(F1327,"1D","FOLLOWING","TGT")</f>
        <v>44396</v>
      </c>
      <c r="G1328" s="95">
        <f ca="1"/>
        <v>2.7455769148754614E-3</v>
      </c>
      <c r="H1328" s="92" t="s">
        <v>4</v>
      </c>
      <c r="I1328" s="97">
        <f>_xll.meDateFromTenor(I1327,"1D","FOLLOWING","TGT")</f>
        <v>44396</v>
      </c>
      <c r="J1328" s="95">
        <f ca="1"/>
        <v>3.9480698488260054E-3</v>
      </c>
      <c r="K1328" s="5" t="s">
        <v>4</v>
      </c>
      <c r="L1328" s="97">
        <f>_xll.meDateFromTenor(L1327,"1D","FOLLOWING","TGT")</f>
        <v>44396</v>
      </c>
      <c r="M1328" s="95">
        <f ca="1"/>
        <v>5.7221884392569386E-3</v>
      </c>
      <c r="N1328" s="5" t="s">
        <v>4</v>
      </c>
      <c r="O1328" s="97">
        <f>_xll.meDateFromTenor(O1327,"1D","FOLLOWING","TGT")</f>
        <v>44396</v>
      </c>
      <c r="P1328" s="95">
        <f ca="1"/>
        <v>7.7418621564761562E-3</v>
      </c>
      <c r="Q1328" s="5" t="s">
        <v>4</v>
      </c>
      <c r="R1328" s="83" t="s">
        <v>4</v>
      </c>
    </row>
    <row r="1329" spans="1:18" x14ac:dyDescent="0.25">
      <c r="A1329" s="88">
        <v>1315</v>
      </c>
      <c r="B1329" s="82"/>
      <c r="C1329" s="97">
        <f>_xll.meDateFromTenor(C1328,"1D","FOLLOWING","TGT")</f>
        <v>44397</v>
      </c>
      <c r="D1329" s="95">
        <f ca="1"/>
        <v>1.8749574646101941E-3</v>
      </c>
      <c r="E1329" s="92"/>
      <c r="F1329" s="97">
        <f>_xll.meDateFromTenor(F1328,"1D","FOLLOWING","TGT")</f>
        <v>44397</v>
      </c>
      <c r="G1329" s="95">
        <f ca="1"/>
        <v>2.7530642312733871E-3</v>
      </c>
      <c r="H1329" s="92" t="s">
        <v>4</v>
      </c>
      <c r="I1329" s="97">
        <f>_xll.meDateFromTenor(I1328,"1D","FOLLOWING","TGT")</f>
        <v>44397</v>
      </c>
      <c r="J1329" s="95">
        <f ca="1"/>
        <v>3.9559644666191168E-3</v>
      </c>
      <c r="K1329" s="5" t="s">
        <v>4</v>
      </c>
      <c r="L1329" s="97">
        <f>_xll.meDateFromTenor(L1328,"1D","FOLLOWING","TGT")</f>
        <v>44397</v>
      </c>
      <c r="M1329" s="95">
        <f ca="1"/>
        <v>5.7297007133412445E-3</v>
      </c>
      <c r="N1329" s="5" t="s">
        <v>4</v>
      </c>
      <c r="O1329" s="97">
        <f>_xll.meDateFromTenor(O1328,"1D","FOLLOWING","TGT")</f>
        <v>44397</v>
      </c>
      <c r="P1329" s="95">
        <f ca="1"/>
        <v>7.7491642001795086E-3</v>
      </c>
      <c r="Q1329" s="5" t="s">
        <v>4</v>
      </c>
      <c r="R1329" s="83" t="s">
        <v>4</v>
      </c>
    </row>
    <row r="1330" spans="1:18" x14ac:dyDescent="0.25">
      <c r="A1330" s="88">
        <v>1316</v>
      </c>
      <c r="B1330" s="82"/>
      <c r="C1330" s="97">
        <f>_xll.meDateFromTenor(C1329,"1D","FOLLOWING","TGT")</f>
        <v>44398</v>
      </c>
      <c r="D1330" s="95">
        <f ca="1"/>
        <v>1.8845020901827603E-3</v>
      </c>
      <c r="E1330" s="92"/>
      <c r="F1330" s="97">
        <f>_xll.meDateFromTenor(F1329,"1D","FOLLOWING","TGT")</f>
        <v>44398</v>
      </c>
      <c r="G1330" s="95">
        <f ca="1"/>
        <v>2.7605566680081613E-3</v>
      </c>
      <c r="H1330" s="92" t="s">
        <v>4</v>
      </c>
      <c r="I1330" s="97">
        <f>_xll.meDateFromTenor(I1329,"1D","FOLLOWING","TGT")</f>
        <v>44398</v>
      </c>
      <c r="J1330" s="95">
        <f ca="1"/>
        <v>3.9638607723983497E-3</v>
      </c>
      <c r="K1330" s="5" t="s">
        <v>4</v>
      </c>
      <c r="L1330" s="97">
        <f>_xll.meDateFromTenor(L1329,"1D","FOLLOWING","TGT")</f>
        <v>44398</v>
      </c>
      <c r="M1330" s="95">
        <f ca="1"/>
        <v>5.7372160595977016E-3</v>
      </c>
      <c r="N1330" s="5" t="s">
        <v>4</v>
      </c>
      <c r="O1330" s="97">
        <f>_xll.meDateFromTenor(O1329,"1D","FOLLOWING","TGT")</f>
        <v>44398</v>
      </c>
      <c r="P1330" s="95">
        <f ca="1"/>
        <v>7.7564660858432588E-3</v>
      </c>
      <c r="Q1330" s="5" t="s">
        <v>4</v>
      </c>
      <c r="R1330" s="83" t="s">
        <v>4</v>
      </c>
    </row>
    <row r="1331" spans="1:18" x14ac:dyDescent="0.25">
      <c r="A1331" s="88">
        <v>1317</v>
      </c>
      <c r="B1331" s="82"/>
      <c r="C1331" s="97">
        <f>_xll.meDateFromTenor(C1330,"1D","FOLLOWING","TGT")</f>
        <v>44399</v>
      </c>
      <c r="D1331" s="95">
        <f ca="1"/>
        <v>1.8940394823132589E-3</v>
      </c>
      <c r="E1331" s="92"/>
      <c r="F1331" s="97">
        <f>_xll.meDateFromTenor(F1330,"1D","FOLLOWING","TGT")</f>
        <v>44399</v>
      </c>
      <c r="G1331" s="95">
        <f ca="1"/>
        <v>2.7680553879863173E-3</v>
      </c>
      <c r="H1331" s="92" t="s">
        <v>4</v>
      </c>
      <c r="I1331" s="97">
        <f>_xll.meDateFromTenor(I1330,"1D","FOLLOWING","TGT")</f>
        <v>44399</v>
      </c>
      <c r="J1331" s="95">
        <f ca="1"/>
        <v>3.9717587569812057E-3</v>
      </c>
      <c r="K1331" s="5" t="s">
        <v>4</v>
      </c>
      <c r="L1331" s="97">
        <f>_xll.meDateFromTenor(L1330,"1D","FOLLOWING","TGT")</f>
        <v>44399</v>
      </c>
      <c r="M1331" s="95">
        <f ca="1"/>
        <v>5.7447344858823461E-3</v>
      </c>
      <c r="N1331" s="5" t="s">
        <v>4</v>
      </c>
      <c r="O1331" s="97">
        <f>_xll.meDateFromTenor(O1330,"1D","FOLLOWING","TGT")</f>
        <v>44399</v>
      </c>
      <c r="P1331" s="95">
        <f ca="1"/>
        <v>7.7637678100045309E-3</v>
      </c>
      <c r="Q1331" s="5" t="s">
        <v>4</v>
      </c>
      <c r="R1331" s="83" t="s">
        <v>4</v>
      </c>
    </row>
    <row r="1332" spans="1:18" x14ac:dyDescent="0.25">
      <c r="A1332" s="88">
        <v>1318</v>
      </c>
      <c r="B1332" s="82"/>
      <c r="C1332" s="97">
        <f>_xll.meDateFromTenor(C1331,"1D","FOLLOWING","TGT")</f>
        <v>44400</v>
      </c>
      <c r="D1332" s="95">
        <f ca="1"/>
        <v>1.9035696415126147E-3</v>
      </c>
      <c r="E1332" s="92"/>
      <c r="F1332" s="97">
        <f>_xll.meDateFromTenor(F1331,"1D","FOLLOWING","TGT")</f>
        <v>44400</v>
      </c>
      <c r="G1332" s="95">
        <f ca="1"/>
        <v>2.7755615541143882E-3</v>
      </c>
      <c r="H1332" s="92" t="s">
        <v>4</v>
      </c>
      <c r="I1332" s="97">
        <f>_xll.meDateFromTenor(I1331,"1D","FOLLOWING","TGT")</f>
        <v>44400</v>
      </c>
      <c r="J1332" s="95">
        <f ca="1"/>
        <v>3.9796584111851854E-3</v>
      </c>
      <c r="K1332" s="5" t="s">
        <v>4</v>
      </c>
      <c r="L1332" s="97">
        <f>_xll.meDateFromTenor(L1331,"1D","FOLLOWING","TGT")</f>
        <v>44400</v>
      </c>
      <c r="M1332" s="95">
        <f ca="1"/>
        <v>5.7522560000512184E-3</v>
      </c>
      <c r="N1332" s="5" t="s">
        <v>4</v>
      </c>
      <c r="O1332" s="97">
        <f>_xll.meDateFromTenor(O1331,"1D","FOLLOWING","TGT")</f>
        <v>44400</v>
      </c>
      <c r="P1332" s="95">
        <f ca="1"/>
        <v>7.7710693692004422E-3</v>
      </c>
      <c r="Q1332" s="5" t="s">
        <v>4</v>
      </c>
      <c r="R1332" s="83" t="s">
        <v>4</v>
      </c>
    </row>
    <row r="1333" spans="1:18" x14ac:dyDescent="0.25">
      <c r="A1333" s="88">
        <v>1319</v>
      </c>
      <c r="B1333" s="82"/>
      <c r="C1333" s="97">
        <f>_xll.meDateFromTenor(C1332,"1D","FOLLOWING","TGT")</f>
        <v>44403</v>
      </c>
      <c r="D1333" s="95">
        <f ca="1"/>
        <v>1.9321167250647697E-3</v>
      </c>
      <c r="E1333" s="92"/>
      <c r="F1333" s="97">
        <f>_xll.meDateFromTenor(F1332,"1D","FOLLOWING","TGT")</f>
        <v>44403</v>
      </c>
      <c r="G1333" s="95">
        <f ca="1"/>
        <v>2.7981363584634522E-3</v>
      </c>
      <c r="H1333" s="92" t="s">
        <v>4</v>
      </c>
      <c r="I1333" s="97">
        <f>_xll.meDateFromTenor(I1332,"1D","FOLLOWING","TGT")</f>
        <v>44403</v>
      </c>
      <c r="J1333" s="95">
        <f ca="1"/>
        <v>4.0033672996989426E-3</v>
      </c>
      <c r="K1333" s="5" t="s">
        <v>4</v>
      </c>
      <c r="L1333" s="97">
        <f>_xll.meDateFromTenor(L1332,"1D","FOLLOWING","TGT")</f>
        <v>44403</v>
      </c>
      <c r="M1333" s="95">
        <f ca="1"/>
        <v>5.7748391484236062E-3</v>
      </c>
      <c r="N1333" s="5" t="s">
        <v>4</v>
      </c>
      <c r="O1333" s="97">
        <f>_xll.meDateFromTenor(O1332,"1D","FOLLOWING","TGT")</f>
        <v>44403</v>
      </c>
      <c r="P1333" s="95">
        <f ca="1"/>
        <v>7.7929730223672642E-3</v>
      </c>
      <c r="Q1333" s="5" t="s">
        <v>4</v>
      </c>
      <c r="R1333" s="83" t="s">
        <v>4</v>
      </c>
    </row>
    <row r="1334" spans="1:18" x14ac:dyDescent="0.25">
      <c r="A1334" s="88">
        <v>1320</v>
      </c>
      <c r="B1334" s="82"/>
      <c r="C1334" s="97">
        <f>_xll.meDateFromTenor(C1333,"1D","FOLLOWING","TGT")</f>
        <v>44404</v>
      </c>
      <c r="D1334" s="95">
        <f ca="1"/>
        <v>1.9416179562365965E-3</v>
      </c>
      <c r="E1334" s="92"/>
      <c r="F1334" s="97">
        <f>_xll.meDateFromTenor(F1333,"1D","FOLLOWING","TGT")</f>
        <v>44404</v>
      </c>
      <c r="G1334" s="95">
        <f ca="1"/>
        <v>2.8056839382565374E-3</v>
      </c>
      <c r="H1334" s="92" t="s">
        <v>4</v>
      </c>
      <c r="I1334" s="97">
        <f>_xll.meDateFromTenor(I1333,"1D","FOLLOWING","TGT")</f>
        <v>44404</v>
      </c>
      <c r="J1334" s="95">
        <f ca="1"/>
        <v>4.0112735405624777E-3</v>
      </c>
      <c r="K1334" s="5" t="s">
        <v>4</v>
      </c>
      <c r="L1334" s="97">
        <f>_xll.meDateFromTenor(L1333,"1D","FOLLOWING","TGT")</f>
        <v>44404</v>
      </c>
      <c r="M1334" s="95">
        <f ca="1"/>
        <v>5.7823730926897894E-3</v>
      </c>
      <c r="N1334" s="5" t="s">
        <v>4</v>
      </c>
      <c r="O1334" s="97">
        <f>_xll.meDateFromTenor(O1333,"1D","FOLLOWING","TGT")</f>
        <v>44404</v>
      </c>
      <c r="P1334" s="95">
        <f ca="1"/>
        <v>7.8002738870729723E-3</v>
      </c>
      <c r="Q1334" s="5" t="s">
        <v>4</v>
      </c>
      <c r="R1334" s="83" t="s">
        <v>4</v>
      </c>
    </row>
    <row r="1335" spans="1:18" x14ac:dyDescent="0.25">
      <c r="A1335" s="88">
        <v>1321</v>
      </c>
      <c r="B1335" s="82"/>
      <c r="C1335" s="97">
        <f>_xll.meDateFromTenor(C1334,"1D","FOLLOWING","TGT")</f>
        <v>44405</v>
      </c>
      <c r="D1335" s="95">
        <f ca="1"/>
        <v>1.95111195640707E-3</v>
      </c>
      <c r="E1335" s="92"/>
      <c r="F1335" s="97">
        <f>_xll.meDateFromTenor(F1334,"1D","FOLLOWING","TGT")</f>
        <v>44405</v>
      </c>
      <c r="G1335" s="95">
        <f ca="1"/>
        <v>2.8132447787322106E-3</v>
      </c>
      <c r="H1335" s="92" t="s">
        <v>4</v>
      </c>
      <c r="I1335" s="97">
        <f>_xll.meDateFromTenor(I1334,"1D","FOLLOWING","TGT")</f>
        <v>44405</v>
      </c>
      <c r="J1335" s="95">
        <f ca="1"/>
        <v>4.0191814051346603E-3</v>
      </c>
      <c r="K1335" s="5" t="s">
        <v>4</v>
      </c>
      <c r="L1335" s="97">
        <f>_xll.meDateFromTenor(L1334,"1D","FOLLOWING","TGT")</f>
        <v>44405</v>
      </c>
      <c r="M1335" s="95">
        <f ca="1"/>
        <v>5.7899101641203984E-3</v>
      </c>
      <c r="N1335" s="5" t="s">
        <v>4</v>
      </c>
      <c r="O1335" s="97">
        <f>_xll.meDateFromTenor(O1334,"1D","FOLLOWING","TGT")</f>
        <v>44405</v>
      </c>
      <c r="P1335" s="95">
        <f ca="1"/>
        <v>7.8075745694989318E-3</v>
      </c>
      <c r="Q1335" s="5" t="s">
        <v>4</v>
      </c>
      <c r="R1335" s="83" t="s">
        <v>4</v>
      </c>
    </row>
    <row r="1336" spans="1:18" x14ac:dyDescent="0.25">
      <c r="A1336" s="88">
        <v>1322</v>
      </c>
      <c r="B1336" s="82"/>
      <c r="C1336" s="97">
        <f>_xll.meDateFromTenor(C1335,"1D","FOLLOWING","TGT")</f>
        <v>44406</v>
      </c>
      <c r="D1336" s="95">
        <f ca="1"/>
        <v>1.9605987256872126E-3</v>
      </c>
      <c r="E1336" s="92"/>
      <c r="F1336" s="97">
        <f>_xll.meDateFromTenor(F1335,"1D","FOLLOWING","TGT")</f>
        <v>44406</v>
      </c>
      <c r="G1336" s="95">
        <f ca="1"/>
        <v>2.820820042797008E-3</v>
      </c>
      <c r="H1336" s="92" t="s">
        <v>4</v>
      </c>
      <c r="I1336" s="97">
        <f>_xll.meDateFromTenor(I1335,"1D","FOLLOWING","TGT")</f>
        <v>44406</v>
      </c>
      <c r="J1336" s="95">
        <f ca="1"/>
        <v>4.0270908842329946E-3</v>
      </c>
      <c r="K1336" s="5" t="s">
        <v>4</v>
      </c>
      <c r="L1336" s="97">
        <f>_xll.meDateFromTenor(L1335,"1D","FOLLOWING","TGT")</f>
        <v>44406</v>
      </c>
      <c r="M1336" s="95">
        <f ca="1"/>
        <v>5.7974503705714728E-3</v>
      </c>
      <c r="N1336" s="5" t="s">
        <v>4</v>
      </c>
      <c r="O1336" s="97">
        <f>_xll.meDateFromTenor(O1335,"1D","FOLLOWING","TGT")</f>
        <v>44406</v>
      </c>
      <c r="P1336" s="95">
        <f ca="1"/>
        <v>7.8148750661822686E-3</v>
      </c>
      <c r="Q1336" s="5" t="s">
        <v>4</v>
      </c>
      <c r="R1336" s="83" t="s">
        <v>4</v>
      </c>
    </row>
    <row r="1337" spans="1:18" x14ac:dyDescent="0.25">
      <c r="A1337" s="88">
        <v>1323</v>
      </c>
      <c r="B1337" s="82"/>
      <c r="C1337" s="97">
        <f>_xll.meDateFromTenor(C1336,"1D","FOLLOWING","TGT")</f>
        <v>44407</v>
      </c>
      <c r="D1337" s="95">
        <f ca="1"/>
        <v>1.9700782647542603E-3</v>
      </c>
      <c r="E1337" s="92"/>
      <c r="F1337" s="97">
        <f>_xll.meDateFromTenor(F1336,"1D","FOLLOWING","TGT")</f>
        <v>44407</v>
      </c>
      <c r="G1337" s="95">
        <f ca="1"/>
        <v>2.828410893357463E-3</v>
      </c>
      <c r="H1337" s="92" t="s">
        <v>4</v>
      </c>
      <c r="I1337" s="97">
        <f>_xll.meDateFromTenor(I1336,"1D","FOLLOWING","TGT")</f>
        <v>44407</v>
      </c>
      <c r="J1337" s="95">
        <f ca="1"/>
        <v>4.0350019686749856E-3</v>
      </c>
      <c r="K1337" s="5" t="s">
        <v>4</v>
      </c>
      <c r="L1337" s="97">
        <f>_xll.meDateFromTenor(L1336,"1D","FOLLOWING","TGT")</f>
        <v>44407</v>
      </c>
      <c r="M1337" s="95">
        <f ca="1"/>
        <v>5.8049937198990532E-3</v>
      </c>
      <c r="N1337" s="5" t="s">
        <v>4</v>
      </c>
      <c r="O1337" s="97">
        <f>_xll.meDateFromTenor(O1336,"1D","FOLLOWING","TGT")</f>
        <v>44407</v>
      </c>
      <c r="P1337" s="95">
        <f ca="1"/>
        <v>7.8221753736601E-3</v>
      </c>
      <c r="Q1337" s="5" t="s">
        <v>4</v>
      </c>
      <c r="R1337" s="83" t="s">
        <v>4</v>
      </c>
    </row>
    <row r="1338" spans="1:18" x14ac:dyDescent="0.25">
      <c r="A1338" s="88">
        <v>1324</v>
      </c>
      <c r="B1338" s="82"/>
      <c r="C1338" s="97">
        <f>_xll.meDateFromTenor(C1337,"1D","FOLLOWING","TGT")</f>
        <v>44410</v>
      </c>
      <c r="D1338" s="95">
        <f ca="1"/>
        <v>1.9984735043694357E-3</v>
      </c>
      <c r="E1338" s="92"/>
      <c r="F1338" s="97">
        <f>_xll.meDateFromTenor(F1337,"1D","FOLLOWING","TGT")</f>
        <v>44410</v>
      </c>
      <c r="G1338" s="95">
        <f ca="1"/>
        <v>2.8512885930781192E-3</v>
      </c>
      <c r="H1338" s="92" t="s">
        <v>4</v>
      </c>
      <c r="I1338" s="97">
        <f>_xll.meDateFromTenor(I1337,"1D","FOLLOWING","TGT")</f>
        <v>44410</v>
      </c>
      <c r="J1338" s="95">
        <f ca="1"/>
        <v>4.0587447622379346E-3</v>
      </c>
      <c r="K1338" s="5" t="s">
        <v>4</v>
      </c>
      <c r="L1338" s="97">
        <f>_xll.meDateFromTenor(L1337,"1D","FOLLOWING","TGT")</f>
        <v>44410</v>
      </c>
      <c r="M1338" s="95">
        <f ca="1"/>
        <v>5.827642703701218E-3</v>
      </c>
      <c r="N1338" s="5" t="s">
        <v>4</v>
      </c>
      <c r="O1338" s="97">
        <f>_xll.meDateFromTenor(O1337,"1D","FOLLOWING","TGT")</f>
        <v>44410</v>
      </c>
      <c r="P1338" s="95">
        <f ca="1"/>
        <v>7.8440751262318087E-3</v>
      </c>
      <c r="Q1338" s="5" t="s">
        <v>4</v>
      </c>
      <c r="R1338" s="83" t="s">
        <v>4</v>
      </c>
    </row>
    <row r="1339" spans="1:18" x14ac:dyDescent="0.25">
      <c r="A1339" s="88">
        <v>1325</v>
      </c>
      <c r="B1339" s="82"/>
      <c r="C1339" s="97">
        <f>_xll.meDateFromTenor(C1338,"1D","FOLLOWING","TGT")</f>
        <v>44411</v>
      </c>
      <c r="D1339" s="95">
        <f ca="1"/>
        <v>2.0079241259625125E-3</v>
      </c>
      <c r="E1339" s="92"/>
      <c r="F1339" s="97">
        <f>_xll.meDateFromTenor(F1338,"1D","FOLLOWING","TGT")</f>
        <v>44411</v>
      </c>
      <c r="G1339" s="95">
        <f ca="1"/>
        <v>2.8589529291460775E-3</v>
      </c>
      <c r="H1339" s="92" t="s">
        <v>4</v>
      </c>
      <c r="I1339" s="97">
        <f>_xll.meDateFromTenor(I1338,"1D","FOLLOWING","TGT")</f>
        <v>44411</v>
      </c>
      <c r="J1339" s="95">
        <f ca="1"/>
        <v>4.0666621762295877E-3</v>
      </c>
      <c r="K1339" s="5" t="s">
        <v>4</v>
      </c>
      <c r="L1339" s="97">
        <f>_xll.meDateFromTenor(L1338,"1D","FOLLOWING","TGT")</f>
        <v>44411</v>
      </c>
      <c r="M1339" s="95">
        <f ca="1"/>
        <v>5.8351987030952103E-3</v>
      </c>
      <c r="N1339" s="5" t="s">
        <v>4</v>
      </c>
      <c r="O1339" s="97">
        <f>_xll.meDateFromTenor(O1338,"1D","FOLLOWING","TGT")</f>
        <v>44411</v>
      </c>
      <c r="P1339" s="95">
        <f ca="1"/>
        <v>7.8513746422588515E-3</v>
      </c>
      <c r="Q1339" s="5" t="s">
        <v>4</v>
      </c>
      <c r="R1339" s="83" t="s">
        <v>4</v>
      </c>
    </row>
    <row r="1340" spans="1:18" x14ac:dyDescent="0.25">
      <c r="A1340" s="88">
        <v>1326</v>
      </c>
      <c r="B1340" s="82"/>
      <c r="C1340" s="97">
        <f>_xll.meDateFromTenor(C1339,"1D","FOLLOWING","TGT")</f>
        <v>44412</v>
      </c>
      <c r="D1340" s="95">
        <f ca="1"/>
        <v>2.0173675194352647E-3</v>
      </c>
      <c r="E1340" s="92"/>
      <c r="F1340" s="97">
        <f>_xll.meDateFromTenor(F1339,"1D","FOLLOWING","TGT")</f>
        <v>44412</v>
      </c>
      <c r="G1340" s="95">
        <f ca="1"/>
        <v>2.8666357289995445E-3</v>
      </c>
      <c r="H1340" s="92" t="s">
        <v>4</v>
      </c>
      <c r="I1340" s="97">
        <f>_xll.meDateFromTenor(I1339,"1D","FOLLOWING","TGT")</f>
        <v>44412</v>
      </c>
      <c r="J1340" s="95">
        <f ca="1"/>
        <v>4.0745811496524197E-3</v>
      </c>
      <c r="K1340" s="5" t="s">
        <v>4</v>
      </c>
      <c r="L1340" s="97">
        <f>_xll.meDateFromTenor(L1339,"1D","FOLLOWING","TGT")</f>
        <v>44412</v>
      </c>
      <c r="M1340" s="95">
        <f ca="1"/>
        <v>5.8427578846459082E-3</v>
      </c>
      <c r="N1340" s="5" t="s">
        <v>4</v>
      </c>
      <c r="O1340" s="97">
        <f>_xll.meDateFromTenor(O1339,"1D","FOLLOWING","TGT")</f>
        <v>44412</v>
      </c>
      <c r="P1340" s="95">
        <f ca="1"/>
        <v>7.8586739517660046E-3</v>
      </c>
      <c r="Q1340" s="5" t="s">
        <v>4</v>
      </c>
      <c r="R1340" s="83" t="s">
        <v>4</v>
      </c>
    </row>
    <row r="1341" spans="1:18" x14ac:dyDescent="0.25">
      <c r="A1341" s="88">
        <v>1327</v>
      </c>
      <c r="B1341" s="82"/>
      <c r="C1341" s="97">
        <f>_xll.meDateFromTenor(C1340,"1D","FOLLOWING","TGT")</f>
        <v>44413</v>
      </c>
      <c r="D1341" s="95">
        <f ca="1"/>
        <v>2.026803684740841E-3</v>
      </c>
      <c r="E1341" s="92"/>
      <c r="F1341" s="97">
        <f>_xll.meDateFromTenor(F1340,"1D","FOLLOWING","TGT")</f>
        <v>44413</v>
      </c>
      <c r="G1341" s="95">
        <f ca="1"/>
        <v>2.8743352183022313E-3</v>
      </c>
      <c r="H1341" s="92" t="s">
        <v>4</v>
      </c>
      <c r="I1341" s="97">
        <f>_xll.meDateFromTenor(I1340,"1D","FOLLOWING","TGT")</f>
        <v>44413</v>
      </c>
      <c r="J1341" s="95">
        <f ca="1"/>
        <v>4.082501673323931E-3</v>
      </c>
      <c r="K1341" s="5" t="s">
        <v>4</v>
      </c>
      <c r="L1341" s="97">
        <f>_xll.meDateFromTenor(L1340,"1D","FOLLOWING","TGT")</f>
        <v>44413</v>
      </c>
      <c r="M1341" s="95">
        <f ca="1"/>
        <v>5.850320256209348E-3</v>
      </c>
      <c r="N1341" s="5" t="s">
        <v>4</v>
      </c>
      <c r="O1341" s="97">
        <f>_xll.meDateFromTenor(O1340,"1D","FOLLOWING","TGT")</f>
        <v>44413</v>
      </c>
      <c r="P1341" s="95">
        <f ca="1"/>
        <v>7.8659730512903887E-3</v>
      </c>
      <c r="Q1341" s="5" t="s">
        <v>4</v>
      </c>
      <c r="R1341" s="83" t="s">
        <v>4</v>
      </c>
    </row>
    <row r="1342" spans="1:18" x14ac:dyDescent="0.25">
      <c r="A1342" s="88">
        <v>1328</v>
      </c>
      <c r="B1342" s="82"/>
      <c r="C1342" s="97">
        <f>_xll.meDateFromTenor(C1341,"1D","FOLLOWING","TGT")</f>
        <v>44414</v>
      </c>
      <c r="D1342" s="95">
        <f ca="1"/>
        <v>2.0362326222369553E-3</v>
      </c>
      <c r="E1342" s="92"/>
      <c r="F1342" s="97">
        <f>_xll.meDateFromTenor(F1341,"1D","FOLLOWING","TGT")</f>
        <v>44414</v>
      </c>
      <c r="G1342" s="95">
        <f ca="1"/>
        <v>2.882049622717848E-3</v>
      </c>
      <c r="H1342" s="92" t="s">
        <v>4</v>
      </c>
      <c r="I1342" s="97">
        <f>_xll.meDateFromTenor(I1341,"1D","FOLLOWING","TGT")</f>
        <v>44414</v>
      </c>
      <c r="J1342" s="95">
        <f ca="1"/>
        <v>4.0904237380616267E-3</v>
      </c>
      <c r="K1342" s="5" t="s">
        <v>4</v>
      </c>
      <c r="L1342" s="97">
        <f>_xll.meDateFromTenor(L1341,"1D","FOLLOWING","TGT")</f>
        <v>44414</v>
      </c>
      <c r="M1342" s="95">
        <f ca="1"/>
        <v>5.8578858256415692E-3</v>
      </c>
      <c r="N1342" s="5" t="s">
        <v>4</v>
      </c>
      <c r="O1342" s="97">
        <f>_xll.meDateFromTenor(O1341,"1D","FOLLOWING","TGT")</f>
        <v>44414</v>
      </c>
      <c r="P1342" s="95">
        <f ca="1"/>
        <v>7.8732719373691244E-3</v>
      </c>
      <c r="Q1342" s="5" t="s">
        <v>4</v>
      </c>
      <c r="R1342" s="83" t="s">
        <v>4</v>
      </c>
    </row>
    <row r="1343" spans="1:18" x14ac:dyDescent="0.25">
      <c r="A1343" s="88">
        <v>1329</v>
      </c>
      <c r="B1343" s="82"/>
      <c r="C1343" s="97">
        <f>_xll.meDateFromTenor(C1342,"1D","FOLLOWING","TGT")</f>
        <v>44417</v>
      </c>
      <c r="D1343" s="95">
        <f ca="1"/>
        <v>2.0644760729373601E-3</v>
      </c>
      <c r="E1343" s="92"/>
      <c r="F1343" s="97">
        <f>_xll.meDateFromTenor(F1342,"1D","FOLLOWING","TGT")</f>
        <v>44417</v>
      </c>
      <c r="G1343" s="95">
        <f ca="1"/>
        <v>2.9052645832793982E-3</v>
      </c>
      <c r="H1343" s="92" t="s">
        <v>4</v>
      </c>
      <c r="I1343" s="97">
        <f>_xll.meDateFromTenor(I1342,"1D","FOLLOWING","TGT")</f>
        <v>44417</v>
      </c>
      <c r="J1343" s="95">
        <f ca="1"/>
        <v>4.1141990868468637E-3</v>
      </c>
      <c r="K1343" s="5" t="s">
        <v>4</v>
      </c>
      <c r="L1343" s="97">
        <f>_xll.meDateFromTenor(L1342,"1D","FOLLOWING","TGT")</f>
        <v>44417</v>
      </c>
      <c r="M1343" s="95">
        <f ca="1"/>
        <v>5.8806017997113181E-3</v>
      </c>
      <c r="N1343" s="5" t="s">
        <v>4</v>
      </c>
      <c r="O1343" s="97">
        <f>_xll.meDateFromTenor(O1342,"1D","FOLLOWING","TGT")</f>
        <v>44417</v>
      </c>
      <c r="P1343" s="95">
        <f ca="1"/>
        <v>7.895167280302668E-3</v>
      </c>
      <c r="Q1343" s="5" t="s">
        <v>4</v>
      </c>
      <c r="R1343" s="83" t="s">
        <v>4</v>
      </c>
    </row>
    <row r="1344" spans="1:18" x14ac:dyDescent="0.25">
      <c r="A1344" s="88">
        <v>1330</v>
      </c>
      <c r="B1344" s="82"/>
      <c r="C1344" s="97">
        <f>_xll.meDateFromTenor(C1343,"1D","FOLLOWING","TGT")</f>
        <v>44418</v>
      </c>
      <c r="D1344" s="95">
        <f ca="1"/>
        <v>2.0738761033889386E-3</v>
      </c>
      <c r="E1344" s="92"/>
      <c r="F1344" s="97">
        <f>_xll.meDateFromTenor(F1343,"1D","FOLLOWING","TGT")</f>
        <v>44418</v>
      </c>
      <c r="G1344" s="95">
        <f ca="1"/>
        <v>2.9130209047838504E-3</v>
      </c>
      <c r="H1344" s="92" t="s">
        <v>4</v>
      </c>
      <c r="I1344" s="97">
        <f>_xll.meDateFromTenor(I1343,"1D","FOLLOWING","TGT")</f>
        <v>44418</v>
      </c>
      <c r="J1344" s="95">
        <f ca="1"/>
        <v>4.1221272240243361E-3</v>
      </c>
      <c r="K1344" s="5" t="s">
        <v>4</v>
      </c>
      <c r="L1344" s="97">
        <f>_xll.meDateFromTenor(L1343,"1D","FOLLOWING","TGT")</f>
        <v>44418</v>
      </c>
      <c r="M1344" s="95">
        <f ca="1"/>
        <v>5.8881802391790592E-3</v>
      </c>
      <c r="N1344" s="5" t="s">
        <v>4</v>
      </c>
      <c r="O1344" s="97">
        <f>_xll.meDateFromTenor(O1343,"1D","FOLLOWING","TGT")</f>
        <v>44418</v>
      </c>
      <c r="P1344" s="95">
        <f ca="1"/>
        <v>7.9024652779700316E-3</v>
      </c>
      <c r="Q1344" s="5" t="s">
        <v>4</v>
      </c>
      <c r="R1344" s="83" t="s">
        <v>4</v>
      </c>
    </row>
    <row r="1345" spans="1:18" x14ac:dyDescent="0.25">
      <c r="A1345" s="88">
        <v>1331</v>
      </c>
      <c r="B1345" s="82"/>
      <c r="C1345" s="97">
        <f>_xll.meDateFromTenor(C1344,"1D","FOLLOWING","TGT")</f>
        <v>44419</v>
      </c>
      <c r="D1345" s="95">
        <f ca="1"/>
        <v>2.0832689082088685E-3</v>
      </c>
      <c r="E1345" s="92"/>
      <c r="F1345" s="97">
        <f>_xll.meDateFromTenor(F1344,"1D","FOLLOWING","TGT")</f>
        <v>44419</v>
      </c>
      <c r="G1345" s="95">
        <f ca="1"/>
        <v>2.9207832697197966E-3</v>
      </c>
      <c r="H1345" s="92" t="s">
        <v>4</v>
      </c>
      <c r="I1345" s="97">
        <f>_xll.meDateFromTenor(I1344,"1D","FOLLOWING","TGT")</f>
        <v>44419</v>
      </c>
      <c r="J1345" s="95">
        <f ca="1"/>
        <v>4.1300568563555186E-3</v>
      </c>
      <c r="K1345" s="5" t="s">
        <v>4</v>
      </c>
      <c r="L1345" s="97">
        <f>_xll.meDateFromTenor(L1344,"1D","FOLLOWING","TGT")</f>
        <v>44419</v>
      </c>
      <c r="M1345" s="95">
        <f ca="1"/>
        <v>5.8957619157957832E-3</v>
      </c>
      <c r="N1345" s="5" t="s">
        <v>4</v>
      </c>
      <c r="O1345" s="97">
        <f>_xll.meDateFromTenor(O1344,"1D","FOLLOWING","TGT")</f>
        <v>44419</v>
      </c>
      <c r="P1345" s="95">
        <f ca="1"/>
        <v>7.9097630448773625E-3</v>
      </c>
      <c r="Q1345" s="5" t="s">
        <v>4</v>
      </c>
      <c r="R1345" s="83" t="s">
        <v>4</v>
      </c>
    </row>
    <row r="1346" spans="1:18" x14ac:dyDescent="0.25">
      <c r="A1346" s="88">
        <v>1332</v>
      </c>
      <c r="B1346" s="82"/>
      <c r="C1346" s="97">
        <f>_xll.meDateFromTenor(C1345,"1D","FOLLOWING","TGT")</f>
        <v>44420</v>
      </c>
      <c r="D1346" s="95">
        <f ca="1"/>
        <v>2.0926544875154995E-3</v>
      </c>
      <c r="E1346" s="92"/>
      <c r="F1346" s="97">
        <f>_xll.meDateFromTenor(F1345,"1D","FOLLOWING","TGT")</f>
        <v>44420</v>
      </c>
      <c r="G1346" s="95">
        <f ca="1"/>
        <v>2.9285499037509377E-3</v>
      </c>
      <c r="H1346" s="92" t="s">
        <v>4</v>
      </c>
      <c r="I1346" s="97">
        <f>_xll.meDateFromTenor(I1345,"1D","FOLLOWING","TGT")</f>
        <v>44420</v>
      </c>
      <c r="J1346" s="95">
        <f ca="1"/>
        <v>4.137987974657904E-3</v>
      </c>
      <c r="K1346" s="5" t="s">
        <v>4</v>
      </c>
      <c r="L1346" s="97">
        <f>_xll.meDateFromTenor(L1345,"1D","FOLLOWING","TGT")</f>
        <v>44420</v>
      </c>
      <c r="M1346" s="95">
        <f ca="1"/>
        <v>5.9033468374175202E-3</v>
      </c>
      <c r="N1346" s="5" t="s">
        <v>4</v>
      </c>
      <c r="O1346" s="97">
        <f>_xll.meDateFromTenor(O1345,"1D","FOLLOWING","TGT")</f>
        <v>44420</v>
      </c>
      <c r="P1346" s="95">
        <f ca="1"/>
        <v>7.9170605775617745E-3</v>
      </c>
      <c r="Q1346" s="5" t="s">
        <v>4</v>
      </c>
      <c r="R1346" s="83" t="s">
        <v>4</v>
      </c>
    </row>
    <row r="1347" spans="1:18" x14ac:dyDescent="0.25">
      <c r="A1347" s="88">
        <v>1333</v>
      </c>
      <c r="B1347" s="82"/>
      <c r="C1347" s="97">
        <f>_xll.meDateFromTenor(C1346,"1D","FOLLOWING","TGT")</f>
        <v>44421</v>
      </c>
      <c r="D1347" s="95">
        <f ca="1"/>
        <v>2.1020328415028988E-3</v>
      </c>
      <c r="E1347" s="92"/>
      <c r="F1347" s="97">
        <f>_xll.meDateFromTenor(F1346,"1D","FOLLOWING","TGT")</f>
        <v>44421</v>
      </c>
      <c r="G1347" s="95">
        <f ca="1"/>
        <v>2.9363190325409944E-3</v>
      </c>
      <c r="H1347" s="92" t="s">
        <v>4</v>
      </c>
      <c r="I1347" s="97">
        <f>_xll.meDateFromTenor(I1346,"1D","FOLLOWING","TGT")</f>
        <v>44421</v>
      </c>
      <c r="J1347" s="95">
        <f ca="1"/>
        <v>4.145920569749004E-3</v>
      </c>
      <c r="K1347" s="5" t="s">
        <v>4</v>
      </c>
      <c r="L1347" s="97">
        <f>_xll.meDateFromTenor(L1346,"1D","FOLLOWING","TGT")</f>
        <v>44421</v>
      </c>
      <c r="M1347" s="95">
        <f ca="1"/>
        <v>5.910935011900321E-3</v>
      </c>
      <c r="N1347" s="5" t="s">
        <v>4</v>
      </c>
      <c r="O1347" s="97">
        <f>_xll.meDateFromTenor(O1346,"1D","FOLLOWING","TGT")</f>
        <v>44421</v>
      </c>
      <c r="P1347" s="95">
        <f ca="1"/>
        <v>7.9243578725603971E-3</v>
      </c>
      <c r="Q1347" s="5" t="s">
        <v>4</v>
      </c>
      <c r="R1347" s="83" t="s">
        <v>4</v>
      </c>
    </row>
    <row r="1348" spans="1:18" x14ac:dyDescent="0.25">
      <c r="A1348" s="88">
        <v>1334</v>
      </c>
      <c r="B1348" s="82"/>
      <c r="C1348" s="97">
        <f>_xll.meDateFromTenor(C1347,"1D","FOLLOWING","TGT")</f>
        <v>44424</v>
      </c>
      <c r="D1348" s="95">
        <f ca="1"/>
        <v>2.1301245566502924E-3</v>
      </c>
      <c r="E1348" s="92"/>
      <c r="F1348" s="97">
        <f>_xll.meDateFromTenor(F1347,"1D","FOLLOWING","TGT")</f>
        <v>44424</v>
      </c>
      <c r="G1348" s="95">
        <f ca="1"/>
        <v>2.9596236441017487E-3</v>
      </c>
      <c r="H1348" s="92" t="s">
        <v>4</v>
      </c>
      <c r="I1348" s="97">
        <f>_xll.meDateFromTenor(I1347,"1D","FOLLOWING","TGT")</f>
        <v>44424</v>
      </c>
      <c r="J1348" s="95">
        <f ca="1"/>
        <v>4.1697271239296233E-3</v>
      </c>
      <c r="K1348" s="5" t="s">
        <v>4</v>
      </c>
      <c r="L1348" s="97">
        <f>_xll.meDateFromTenor(L1347,"1D","FOLLOWING","TGT")</f>
        <v>44424</v>
      </c>
      <c r="M1348" s="95">
        <f ca="1"/>
        <v>5.9337191310754591E-3</v>
      </c>
      <c r="N1348" s="5" t="s">
        <v>4</v>
      </c>
      <c r="O1348" s="97">
        <f>_xll.meDateFromTenor(O1347,"1D","FOLLOWING","TGT")</f>
        <v>44424</v>
      </c>
      <c r="P1348" s="95">
        <f ca="1"/>
        <v>7.9462482968127215E-3</v>
      </c>
      <c r="Q1348" s="5" t="s">
        <v>4</v>
      </c>
      <c r="R1348" s="83" t="s">
        <v>4</v>
      </c>
    </row>
    <row r="1349" spans="1:18" x14ac:dyDescent="0.25">
      <c r="A1349" s="88">
        <v>1335</v>
      </c>
      <c r="B1349" s="82"/>
      <c r="C1349" s="97">
        <f>_xll.meDateFromTenor(C1348,"1D","FOLLOWING","TGT")</f>
        <v>44425</v>
      </c>
      <c r="D1349" s="95">
        <f ca="1"/>
        <v>2.1394740137363755E-3</v>
      </c>
      <c r="E1349" s="92"/>
      <c r="F1349" s="97">
        <f>_xll.meDateFromTenor(F1348,"1D","FOLLOWING","TGT")</f>
        <v>44425</v>
      </c>
      <c r="G1349" s="95">
        <f ca="1"/>
        <v>2.9673850085645678E-3</v>
      </c>
      <c r="H1349" s="92" t="s">
        <v>4</v>
      </c>
      <c r="I1349" s="97">
        <f>_xll.meDateFromTenor(I1348,"1D","FOLLOWING","TGT")</f>
        <v>44425</v>
      </c>
      <c r="J1349" s="95">
        <f ca="1"/>
        <v>4.1776655343506164E-3</v>
      </c>
      <c r="K1349" s="5" t="s">
        <v>4</v>
      </c>
      <c r="L1349" s="97">
        <f>_xll.meDateFromTenor(L1348,"1D","FOLLOWING","TGT")</f>
        <v>44425</v>
      </c>
      <c r="M1349" s="95">
        <f ca="1"/>
        <v>5.9413203955628871E-3</v>
      </c>
      <c r="N1349" s="5" t="s">
        <v>4</v>
      </c>
      <c r="O1349" s="97">
        <f>_xll.meDateFromTenor(O1348,"1D","FOLLOWING","TGT")</f>
        <v>44425</v>
      </c>
      <c r="P1349" s="95">
        <f ca="1"/>
        <v>7.9535446064393934E-3</v>
      </c>
      <c r="Q1349" s="5" t="s">
        <v>4</v>
      </c>
      <c r="R1349" s="83" t="s">
        <v>4</v>
      </c>
    </row>
    <row r="1350" spans="1:18" x14ac:dyDescent="0.25">
      <c r="A1350" s="88">
        <v>1336</v>
      </c>
      <c r="B1350" s="82"/>
      <c r="C1350" s="97">
        <f>_xll.meDateFromTenor(C1349,"1D","FOLLOWING","TGT")</f>
        <v>44426</v>
      </c>
      <c r="D1350" s="95">
        <f ca="1"/>
        <v>2.1488162474518901E-3</v>
      </c>
      <c r="E1350" s="92"/>
      <c r="F1350" s="97">
        <f>_xll.meDateFromTenor(F1349,"1D","FOLLOWING","TGT")</f>
        <v>44426</v>
      </c>
      <c r="G1350" s="95">
        <f ca="1"/>
        <v>2.9751399961048569E-3</v>
      </c>
      <c r="H1350" s="92" t="s">
        <v>4</v>
      </c>
      <c r="I1350" s="97">
        <f>_xll.meDateFromTenor(I1349,"1D","FOLLOWING","TGT")</f>
        <v>44426</v>
      </c>
      <c r="J1350" s="95">
        <f ca="1"/>
        <v>4.1856053756478421E-3</v>
      </c>
      <c r="K1350" s="5" t="s">
        <v>4</v>
      </c>
      <c r="L1350" s="97">
        <f>_xll.meDateFromTenor(L1349,"1D","FOLLOWING","TGT")</f>
        <v>44426</v>
      </c>
      <c r="M1350" s="95">
        <f ca="1"/>
        <v>5.948924952191569E-3</v>
      </c>
      <c r="N1350" s="5" t="s">
        <v>4</v>
      </c>
      <c r="O1350" s="97">
        <f>_xll.meDateFromTenor(O1349,"1D","FOLLOWING","TGT")</f>
        <v>44426</v>
      </c>
      <c r="P1350" s="95">
        <f ca="1"/>
        <v>7.9608406610658829E-3</v>
      </c>
      <c r="Q1350" s="5" t="s">
        <v>4</v>
      </c>
      <c r="R1350" s="83" t="s">
        <v>4</v>
      </c>
    </row>
    <row r="1351" spans="1:18" x14ac:dyDescent="0.25">
      <c r="A1351" s="88">
        <v>1337</v>
      </c>
      <c r="B1351" s="82"/>
      <c r="C1351" s="97">
        <f>_xll.meDateFromTenor(C1350,"1D","FOLLOWING","TGT")</f>
        <v>44427</v>
      </c>
      <c r="D1351" s="95">
        <f ca="1"/>
        <v>2.1581512581516638E-3</v>
      </c>
      <c r="E1351" s="92"/>
      <c r="F1351" s="97">
        <f>_xll.meDateFromTenor(F1350,"1D","FOLLOWING","TGT")</f>
        <v>44427</v>
      </c>
      <c r="G1351" s="95">
        <f ca="1"/>
        <v>2.9828868323863245E-3</v>
      </c>
      <c r="H1351" s="92" t="s">
        <v>4</v>
      </c>
      <c r="I1351" s="97">
        <f>_xll.meDateFromTenor(I1350,"1D","FOLLOWING","TGT")</f>
        <v>44427</v>
      </c>
      <c r="J1351" s="95">
        <f ca="1"/>
        <v>4.1935466386388018E-3</v>
      </c>
      <c r="K1351" s="5" t="s">
        <v>4</v>
      </c>
      <c r="L1351" s="97">
        <f>_xll.meDateFromTenor(L1350,"1D","FOLLOWING","TGT")</f>
        <v>44427</v>
      </c>
      <c r="M1351" s="95">
        <f ca="1"/>
        <v>5.9565328088175438E-3</v>
      </c>
      <c r="N1351" s="5" t="s">
        <v>4</v>
      </c>
      <c r="O1351" s="97">
        <f>_xll.meDateFromTenor(O1350,"1D","FOLLOWING","TGT")</f>
        <v>44427</v>
      </c>
      <c r="P1351" s="95">
        <f ca="1"/>
        <v>7.9681364572293072E-3</v>
      </c>
      <c r="Q1351" s="5" t="s">
        <v>4</v>
      </c>
      <c r="R1351" s="83" t="s">
        <v>4</v>
      </c>
    </row>
    <row r="1352" spans="1:18" x14ac:dyDescent="0.25">
      <c r="A1352" s="88">
        <v>1338</v>
      </c>
      <c r="B1352" s="82"/>
      <c r="C1352" s="97">
        <f>_xll.meDateFromTenor(C1351,"1D","FOLLOWING","TGT")</f>
        <v>44428</v>
      </c>
      <c r="D1352" s="95">
        <f ca="1"/>
        <v>2.1674790461960747E-3</v>
      </c>
      <c r="E1352" s="92"/>
      <c r="F1352" s="97">
        <f>_xll.meDateFromTenor(F1351,"1D","FOLLOWING","TGT")</f>
        <v>44428</v>
      </c>
      <c r="G1352" s="95">
        <f ca="1"/>
        <v>2.9906237430726919E-3</v>
      </c>
      <c r="H1352" s="92" t="s">
        <v>4</v>
      </c>
      <c r="I1352" s="97">
        <f>_xll.meDateFromTenor(I1351,"1D","FOLLOWING","TGT")</f>
        <v>44428</v>
      </c>
      <c r="J1352" s="95">
        <f ca="1"/>
        <v>4.2014893141410076E-3</v>
      </c>
      <c r="K1352" s="5" t="s">
        <v>4</v>
      </c>
      <c r="L1352" s="97">
        <f>_xll.meDateFromTenor(L1351,"1D","FOLLOWING","TGT")</f>
        <v>44428</v>
      </c>
      <c r="M1352" s="95">
        <f ca="1"/>
        <v>5.964143973296857E-3</v>
      </c>
      <c r="N1352" s="5" t="s">
        <v>4</v>
      </c>
      <c r="O1352" s="97">
        <f>_xll.meDateFromTenor(O1351,"1D","FOLLOWING","TGT")</f>
        <v>44428</v>
      </c>
      <c r="P1352" s="95">
        <f ca="1"/>
        <v>7.9754319914667991E-3</v>
      </c>
      <c r="Q1352" s="5" t="s">
        <v>4</v>
      </c>
      <c r="R1352" s="83" t="s">
        <v>4</v>
      </c>
    </row>
    <row r="1353" spans="1:18" x14ac:dyDescent="0.25">
      <c r="A1353" s="88">
        <v>1339</v>
      </c>
      <c r="B1353" s="82"/>
      <c r="C1353" s="97">
        <f>_xll.meDateFromTenor(C1352,"1D","FOLLOWING","TGT")</f>
        <v>44431</v>
      </c>
      <c r="D1353" s="95">
        <f ca="1"/>
        <v>2.1954190774085003E-3</v>
      </c>
      <c r="E1353" s="92"/>
      <c r="F1353" s="97">
        <f>_xll.meDateFromTenor(F1352,"1D","FOLLOWING","TGT")</f>
        <v>44431</v>
      </c>
      <c r="G1353" s="95">
        <f ca="1"/>
        <v>3.0137571781982558E-3</v>
      </c>
      <c r="H1353" s="92" t="s">
        <v>4</v>
      </c>
      <c r="I1353" s="97">
        <f>_xll.meDateFromTenor(I1352,"1D","FOLLOWING","TGT")</f>
        <v>44431</v>
      </c>
      <c r="J1353" s="95">
        <f ca="1"/>
        <v>4.2253257238901035E-3</v>
      </c>
      <c r="K1353" s="5" t="s">
        <v>4</v>
      </c>
      <c r="L1353" s="97">
        <f>_xll.meDateFromTenor(L1352,"1D","FOLLOWING","TGT")</f>
        <v>44431</v>
      </c>
      <c r="M1353" s="95">
        <f ca="1"/>
        <v>5.9869973924151949E-3</v>
      </c>
      <c r="N1353" s="5" t="s">
        <v>4</v>
      </c>
      <c r="O1353" s="97">
        <f>_xll.meDateFromTenor(O1352,"1D","FOLLOWING","TGT")</f>
        <v>44431</v>
      </c>
      <c r="P1353" s="95">
        <f ca="1"/>
        <v>7.9973169879948569E-3</v>
      </c>
      <c r="Q1353" s="5" t="s">
        <v>4</v>
      </c>
      <c r="R1353" s="83" t="s">
        <v>4</v>
      </c>
    </row>
    <row r="1354" spans="1:18" x14ac:dyDescent="0.25">
      <c r="A1354" s="88">
        <v>1340</v>
      </c>
      <c r="B1354" s="82"/>
      <c r="C1354" s="97">
        <f>_xll.meDateFromTenor(C1353,"1D","FOLLOWING","TGT")</f>
        <v>44432</v>
      </c>
      <c r="D1354" s="95">
        <f ca="1"/>
        <v>2.2047179780086967E-3</v>
      </c>
      <c r="E1354" s="92"/>
      <c r="F1354" s="97">
        <f>_xll.meDateFromTenor(F1353,"1D","FOLLOWING","TGT")</f>
        <v>44432</v>
      </c>
      <c r="G1354" s="95">
        <f ca="1"/>
        <v>3.0214366431413086E-3</v>
      </c>
      <c r="H1354" s="92" t="s">
        <v>4</v>
      </c>
      <c r="I1354" s="97">
        <f>_xll.meDateFromTenor(I1353,"1D","FOLLOWING","TGT")</f>
        <v>44432</v>
      </c>
      <c r="J1354" s="95">
        <f ca="1"/>
        <v>4.2332739576123116E-3</v>
      </c>
      <c r="K1354" s="5" t="s">
        <v>4</v>
      </c>
      <c r="L1354" s="97">
        <f>_xll.meDateFromTenor(L1353,"1D","FOLLOWING","TGT")</f>
        <v>44432</v>
      </c>
      <c r="M1354" s="95">
        <f ca="1"/>
        <v>5.9946218668682398E-3</v>
      </c>
      <c r="N1354" s="5" t="s">
        <v>4</v>
      </c>
      <c r="O1354" s="97">
        <f>_xll.meDateFromTenor(O1353,"1D","FOLLOWING","TGT")</f>
        <v>44432</v>
      </c>
      <c r="P1354" s="95">
        <f ca="1"/>
        <v>8.0046114398998145E-3</v>
      </c>
      <c r="Q1354" s="5" t="s">
        <v>4</v>
      </c>
      <c r="R1354" s="83" t="s">
        <v>4</v>
      </c>
    </row>
    <row r="1355" spans="1:18" x14ac:dyDescent="0.25">
      <c r="A1355" s="88">
        <v>1341</v>
      </c>
      <c r="B1355" s="82"/>
      <c r="C1355" s="97">
        <f>_xll.meDateFromTenor(C1354,"1D","FOLLOWING","TGT")</f>
        <v>44433</v>
      </c>
      <c r="D1355" s="95">
        <f ca="1"/>
        <v>2.2140096575826718E-3</v>
      </c>
      <c r="E1355" s="92"/>
      <c r="F1355" s="97">
        <f>_xll.meDateFromTenor(F1354,"1D","FOLLOWING","TGT")</f>
        <v>44433</v>
      </c>
      <c r="G1355" s="95">
        <f ca="1"/>
        <v>3.0290973108078128E-3</v>
      </c>
      <c r="H1355" s="92" t="s">
        <v>4</v>
      </c>
      <c r="I1355" s="97">
        <f>_xll.meDateFromTenor(I1354,"1D","FOLLOWING","TGT")</f>
        <v>44433</v>
      </c>
      <c r="J1355" s="95">
        <f ca="1"/>
        <v>4.2412235579332817E-3</v>
      </c>
      <c r="K1355" s="5" t="s">
        <v>4</v>
      </c>
      <c r="L1355" s="97">
        <f>_xll.meDateFromTenor(L1354,"1D","FOLLOWING","TGT")</f>
        <v>44433</v>
      </c>
      <c r="M1355" s="95">
        <f ca="1"/>
        <v>6.0022496884548178E-3</v>
      </c>
      <c r="N1355" s="5" t="s">
        <v>4</v>
      </c>
      <c r="O1355" s="97">
        <f>_xll.meDateFromTenor(O1354,"1D","FOLLOWING","TGT")</f>
        <v>44433</v>
      </c>
      <c r="P1355" s="95">
        <f ca="1"/>
        <v>8.0119056125644451E-3</v>
      </c>
      <c r="Q1355" s="5" t="s">
        <v>4</v>
      </c>
      <c r="R1355" s="83" t="s">
        <v>4</v>
      </c>
    </row>
    <row r="1356" spans="1:18" x14ac:dyDescent="0.25">
      <c r="A1356" s="88">
        <v>1342</v>
      </c>
      <c r="B1356" s="82"/>
      <c r="C1356" s="97">
        <f>_xll.meDateFromTenor(C1355,"1D","FOLLOWING","TGT")</f>
        <v>44434</v>
      </c>
      <c r="D1356" s="95">
        <f ca="1"/>
        <v>2.2232941166524522E-3</v>
      </c>
      <c r="E1356" s="92"/>
      <c r="F1356" s="97">
        <f>_xll.meDateFromTenor(F1355,"1D","FOLLOWING","TGT")</f>
        <v>44434</v>
      </c>
      <c r="G1356" s="95">
        <f ca="1"/>
        <v>3.0367374068614793E-3</v>
      </c>
      <c r="H1356" s="92" t="s">
        <v>4</v>
      </c>
      <c r="I1356" s="97">
        <f>_xll.meDateFromTenor(I1355,"1D","FOLLOWING","TGT")</f>
        <v>44434</v>
      </c>
      <c r="J1356" s="95">
        <f ca="1"/>
        <v>4.2491745156705172E-3</v>
      </c>
      <c r="K1356" s="5" t="s">
        <v>4</v>
      </c>
      <c r="L1356" s="97">
        <f>_xll.meDateFromTenor(L1355,"1D","FOLLOWING","TGT")</f>
        <v>44434</v>
      </c>
      <c r="M1356" s="95">
        <f ca="1"/>
        <v>6.0098808650309683E-3</v>
      </c>
      <c r="N1356" s="5" t="s">
        <v>4</v>
      </c>
      <c r="O1356" s="97">
        <f>_xll.meDateFromTenor(O1355,"1D","FOLLOWING","TGT")</f>
        <v>44434</v>
      </c>
      <c r="P1356" s="95">
        <f ca="1"/>
        <v>8.0191995025258693E-3</v>
      </c>
      <c r="Q1356" s="5" t="s">
        <v>4</v>
      </c>
      <c r="R1356" s="83" t="s">
        <v>4</v>
      </c>
    </row>
    <row r="1357" spans="1:18" x14ac:dyDescent="0.25">
      <c r="A1357" s="88">
        <v>1343</v>
      </c>
      <c r="B1357" s="82"/>
      <c r="C1357" s="97">
        <f>_xll.meDateFromTenor(C1356,"1D","FOLLOWING","TGT")</f>
        <v>44435</v>
      </c>
      <c r="D1357" s="95">
        <f ca="1"/>
        <v>2.2325713552537874E-3</v>
      </c>
      <c r="E1357" s="92"/>
      <c r="F1357" s="97">
        <f>_xll.meDateFromTenor(F1356,"1D","FOLLOWING","TGT")</f>
        <v>44435</v>
      </c>
      <c r="G1357" s="95">
        <f ca="1"/>
        <v>3.0443551569660208E-3</v>
      </c>
      <c r="H1357" s="92" t="s">
        <v>4</v>
      </c>
      <c r="I1357" s="97">
        <f>_xll.meDateFromTenor(I1356,"1D","FOLLOWING","TGT")</f>
        <v>44435</v>
      </c>
      <c r="J1357" s="95">
        <f ca="1"/>
        <v>4.257126821641523E-3</v>
      </c>
      <c r="K1357" s="5" t="s">
        <v>4</v>
      </c>
      <c r="L1357" s="97">
        <f>_xll.meDateFromTenor(L1356,"1D","FOLLOWING","TGT")</f>
        <v>44435</v>
      </c>
      <c r="M1357" s="95">
        <f ca="1"/>
        <v>6.0175154044527284E-3</v>
      </c>
      <c r="N1357" s="5" t="s">
        <v>4</v>
      </c>
      <c r="O1357" s="97">
        <f>_xll.meDateFromTenor(O1356,"1D","FOLLOWING","TGT")</f>
        <v>44435</v>
      </c>
      <c r="P1357" s="95">
        <f ca="1"/>
        <v>8.0264931063212096E-3</v>
      </c>
      <c r="Q1357" s="5" t="s">
        <v>4</v>
      </c>
      <c r="R1357" s="83" t="s">
        <v>4</v>
      </c>
    </row>
    <row r="1358" spans="1:18" x14ac:dyDescent="0.25">
      <c r="A1358" s="88">
        <v>1344</v>
      </c>
      <c r="B1358" s="82"/>
      <c r="C1358" s="97">
        <f>_xll.meDateFromTenor(C1357,"1D","FOLLOWING","TGT")</f>
        <v>44438</v>
      </c>
      <c r="D1358" s="95">
        <f ca="1"/>
        <v>2.2603597526533736E-3</v>
      </c>
      <c r="E1358" s="92"/>
      <c r="F1358" s="97">
        <f>_xll.meDateFromTenor(F1357,"1D","FOLLOWING","TGT")</f>
        <v>44438</v>
      </c>
      <c r="G1358" s="95">
        <f ca="1"/>
        <v>3.0670565882220061E-3</v>
      </c>
      <c r="H1358" s="92" t="s">
        <v>4</v>
      </c>
      <c r="I1358" s="97">
        <f>_xll.meDateFromTenor(I1357,"1D","FOLLOWING","TGT")</f>
        <v>44438</v>
      </c>
      <c r="J1358" s="95">
        <f ca="1"/>
        <v>4.2809917371321926E-3</v>
      </c>
      <c r="K1358" s="5" t="s">
        <v>4</v>
      </c>
      <c r="L1358" s="97">
        <f>_xll.meDateFromTenor(L1357,"1D","FOLLOWING","TGT")</f>
        <v>44438</v>
      </c>
      <c r="M1358" s="95">
        <f ca="1"/>
        <v>6.0404392783520704E-3</v>
      </c>
      <c r="N1358" s="5" t="s">
        <v>4</v>
      </c>
      <c r="O1358" s="97">
        <f>_xll.meDateFromTenor(O1357,"1D","FOLLOWING","TGT")</f>
        <v>44438</v>
      </c>
      <c r="P1358" s="95">
        <f ca="1"/>
        <v>8.0483721660819518E-3</v>
      </c>
      <c r="Q1358" s="5" t="s">
        <v>4</v>
      </c>
      <c r="R1358" s="83" t="s">
        <v>4</v>
      </c>
    </row>
    <row r="1359" spans="1:18" x14ac:dyDescent="0.25">
      <c r="A1359" s="88">
        <v>1345</v>
      </c>
      <c r="B1359" s="82"/>
      <c r="C1359" s="97">
        <f>_xll.meDateFromTenor(C1358,"1D","FOLLOWING","TGT")</f>
        <v>44439</v>
      </c>
      <c r="D1359" s="95">
        <f ca="1"/>
        <v>2.2696081132214108E-3</v>
      </c>
      <c r="E1359" s="92"/>
      <c r="F1359" s="97">
        <f>_xll.meDateFromTenor(F1358,"1D","FOLLOWING","TGT")</f>
        <v>44439</v>
      </c>
      <c r="G1359" s="95">
        <f ca="1"/>
        <v>3.0745672111671617E-3</v>
      </c>
      <c r="H1359" s="92" t="s">
        <v>4</v>
      </c>
      <c r="I1359" s="97">
        <f>_xll.meDateFromTenor(I1358,"1D","FOLLOWING","TGT")</f>
        <v>44439</v>
      </c>
      <c r="J1359" s="95">
        <f ca="1"/>
        <v>4.2889493442133152E-3</v>
      </c>
      <c r="K1359" s="5" t="s">
        <v>4</v>
      </c>
      <c r="L1359" s="97">
        <f>_xll.meDateFromTenor(L1358,"1D","FOLLOWING","TGT")</f>
        <v>44439</v>
      </c>
      <c r="M1359" s="95">
        <f ca="1"/>
        <v>6.0480873477166729E-3</v>
      </c>
      <c r="N1359" s="5" t="s">
        <v>4</v>
      </c>
      <c r="O1359" s="97">
        <f>_xll.meDateFromTenor(O1358,"1D","FOLLOWING","TGT")</f>
        <v>44439</v>
      </c>
      <c r="P1359" s="95">
        <f ca="1"/>
        <v>8.0556645905841794E-3</v>
      </c>
      <c r="Q1359" s="5" t="s">
        <v>4</v>
      </c>
      <c r="R1359" s="83" t="s">
        <v>4</v>
      </c>
    </row>
    <row r="1360" spans="1:18" x14ac:dyDescent="0.25">
      <c r="A1360" s="88">
        <v>1346</v>
      </c>
      <c r="B1360" s="82"/>
      <c r="C1360" s="97">
        <f>_xll.meDateFromTenor(C1359,"1D","FOLLOWING","TGT")</f>
        <v>44440</v>
      </c>
      <c r="D1360" s="95">
        <f ca="1"/>
        <v>2.2788492550420703E-3</v>
      </c>
      <c r="E1360" s="92"/>
      <c r="F1360" s="97">
        <f>_xll.meDateFromTenor(F1359,"1D","FOLLOWING","TGT")</f>
        <v>44440</v>
      </c>
      <c r="G1360" s="95">
        <f ca="1"/>
        <v>3.0820466164817495E-3</v>
      </c>
      <c r="H1360" s="92" t="s">
        <v>4</v>
      </c>
      <c r="I1360" s="97">
        <f>_xll.meDateFromTenor(I1359,"1D","FOLLOWING","TGT")</f>
        <v>44440</v>
      </c>
      <c r="J1360" s="95">
        <f ca="1"/>
        <v>4.2969082536157286E-3</v>
      </c>
      <c r="K1360" s="5" t="s">
        <v>4</v>
      </c>
      <c r="L1360" s="97">
        <f>_xll.meDateFromTenor(L1359,"1D","FOLLOWING","TGT")</f>
        <v>44440</v>
      </c>
      <c r="M1360" s="95">
        <f ca="1"/>
        <v>6.0557388192070813E-3</v>
      </c>
      <c r="N1360" s="5" t="s">
        <v>4</v>
      </c>
      <c r="O1360" s="97">
        <f>_xll.meDateFromTenor(O1359,"1D","FOLLOWING","TGT")</f>
        <v>44440</v>
      </c>
      <c r="P1360" s="95">
        <f ca="1"/>
        <v>8.0629567116059335E-3</v>
      </c>
      <c r="Q1360" s="5" t="s">
        <v>4</v>
      </c>
      <c r="R1360" s="83" t="s">
        <v>4</v>
      </c>
    </row>
    <row r="1361" spans="1:18" x14ac:dyDescent="0.25">
      <c r="A1361" s="88">
        <v>1347</v>
      </c>
      <c r="B1361" s="82"/>
      <c r="C1361" s="97">
        <f>_xll.meDateFromTenor(C1360,"1D","FOLLOWING","TGT")</f>
        <v>44441</v>
      </c>
      <c r="D1361" s="95">
        <f ca="1"/>
        <v>2.2880832073148838E-3</v>
      </c>
      <c r="E1361" s="92"/>
      <c r="F1361" s="97">
        <f>_xll.meDateFromTenor(F1360,"1D","FOLLOWING","TGT")</f>
        <v>44441</v>
      </c>
      <c r="G1361" s="95">
        <f ca="1"/>
        <v>3.0894930298294818E-3</v>
      </c>
      <c r="H1361" s="92" t="s">
        <v>4</v>
      </c>
      <c r="I1361" s="97">
        <f>_xll.meDateFromTenor(I1360,"1D","FOLLOWING","TGT")</f>
        <v>44441</v>
      </c>
      <c r="J1361" s="95">
        <f ca="1"/>
        <v>4.3048684561569359E-3</v>
      </c>
      <c r="K1361" s="5" t="s">
        <v>4</v>
      </c>
      <c r="L1361" s="97">
        <f>_xll.meDateFromTenor(L1360,"1D","FOLLOWING","TGT")</f>
        <v>44441</v>
      </c>
      <c r="M1361" s="95">
        <f ca="1"/>
        <v>6.0633937006793395E-3</v>
      </c>
      <c r="N1361" s="5" t="s">
        <v>4</v>
      </c>
      <c r="O1361" s="97">
        <f>_xll.meDateFromTenor(O1360,"1D","FOLLOWING","TGT")</f>
        <v>44441</v>
      </c>
      <c r="P1361" s="95">
        <f ca="1"/>
        <v>8.0702485256843367E-3</v>
      </c>
      <c r="Q1361" s="5" t="s">
        <v>4</v>
      </c>
      <c r="R1361" s="83" t="s">
        <v>4</v>
      </c>
    </row>
    <row r="1362" spans="1:18" x14ac:dyDescent="0.25">
      <c r="A1362" s="88">
        <v>1348</v>
      </c>
      <c r="B1362" s="82"/>
      <c r="C1362" s="97">
        <f>_xll.meDateFromTenor(C1361,"1D","FOLLOWING","TGT")</f>
        <v>44442</v>
      </c>
      <c r="D1362" s="95">
        <f ca="1"/>
        <v>2.2973100844134731E-3</v>
      </c>
      <c r="E1362" s="92"/>
      <c r="F1362" s="97">
        <f>_xll.meDateFromTenor(F1361,"1D","FOLLOWING","TGT")</f>
        <v>44442</v>
      </c>
      <c r="G1362" s="95">
        <f ca="1"/>
        <v>3.0969053290080752E-3</v>
      </c>
      <c r="H1362" s="92" t="s">
        <v>4</v>
      </c>
      <c r="I1362" s="97">
        <f>_xll.meDateFromTenor(I1361,"1D","FOLLOWING","TGT")</f>
        <v>44442</v>
      </c>
      <c r="J1362" s="95">
        <f ca="1"/>
        <v>4.3128299514726366E-3</v>
      </c>
      <c r="K1362" s="5" t="s">
        <v>4</v>
      </c>
      <c r="L1362" s="97">
        <f>_xll.meDateFromTenor(L1361,"1D","FOLLOWING","TGT")</f>
        <v>44442</v>
      </c>
      <c r="M1362" s="95">
        <f ca="1"/>
        <v>6.0710519999894845E-3</v>
      </c>
      <c r="N1362" s="5" t="s">
        <v>4</v>
      </c>
      <c r="O1362" s="97">
        <f>_xll.meDateFromTenor(O1361,"1D","FOLLOWING","TGT")</f>
        <v>44442</v>
      </c>
      <c r="P1362" s="95">
        <f ca="1"/>
        <v>8.0775400293565131E-3</v>
      </c>
      <c r="Q1362" s="5" t="s">
        <v>4</v>
      </c>
      <c r="R1362" s="83" t="s">
        <v>4</v>
      </c>
    </row>
    <row r="1363" spans="1:18" x14ac:dyDescent="0.25">
      <c r="A1363" s="88">
        <v>1349</v>
      </c>
      <c r="B1363" s="82"/>
      <c r="C1363" s="97">
        <f>_xll.meDateFromTenor(C1362,"1D","FOLLOWING","TGT")</f>
        <v>44445</v>
      </c>
      <c r="D1363" s="95">
        <f ca="1"/>
        <v>2.3249484391976161E-3</v>
      </c>
      <c r="E1363" s="92"/>
      <c r="F1363" s="97">
        <f>_xll.meDateFromTenor(F1362,"1D","FOLLOWING","TGT")</f>
        <v>44445</v>
      </c>
      <c r="G1363" s="95">
        <f ca="1"/>
        <v>3.1189550134024277E-3</v>
      </c>
      <c r="H1363" s="92" t="s">
        <v>4</v>
      </c>
      <c r="I1363" s="97">
        <f>_xll.meDateFromTenor(I1362,"1D","FOLLOWING","TGT")</f>
        <v>44445</v>
      </c>
      <c r="J1363" s="95">
        <f ca="1"/>
        <v>4.3367225784243539E-3</v>
      </c>
      <c r="K1363" s="5" t="s">
        <v>4</v>
      </c>
      <c r="L1363" s="97">
        <f>_xll.meDateFromTenor(L1362,"1D","FOLLOWING","TGT")</f>
        <v>44445</v>
      </c>
      <c r="M1363" s="95">
        <f ca="1"/>
        <v>6.0940474835076402E-3</v>
      </c>
      <c r="N1363" s="5" t="s">
        <v>4</v>
      </c>
      <c r="O1363" s="97">
        <f>_xll.meDateFromTenor(O1362,"1D","FOLLOWING","TGT")</f>
        <v>44445</v>
      </c>
      <c r="P1363" s="95">
        <f ca="1"/>
        <v>8.0994126433068855E-3</v>
      </c>
      <c r="Q1363" s="5" t="s">
        <v>4</v>
      </c>
      <c r="R1363" s="83" t="s">
        <v>4</v>
      </c>
    </row>
    <row r="1364" spans="1:18" x14ac:dyDescent="0.25">
      <c r="A1364" s="88">
        <v>1350</v>
      </c>
      <c r="B1364" s="82"/>
      <c r="C1364" s="97">
        <f>_xll.meDateFromTenor(C1363,"1D","FOLLOWING","TGT")</f>
        <v>44446</v>
      </c>
      <c r="D1364" s="95">
        <f ca="1"/>
        <v>2.3341471333355734E-3</v>
      </c>
      <c r="E1364" s="92"/>
      <c r="F1364" s="97">
        <f>_xll.meDateFromTenor(F1363,"1D","FOLLOWING","TGT")</f>
        <v>44446</v>
      </c>
      <c r="G1364" s="95">
        <f ca="1"/>
        <v>3.1262496320458859E-3</v>
      </c>
      <c r="H1364" s="92" t="s">
        <v>4</v>
      </c>
      <c r="I1364" s="97">
        <f>_xll.meDateFromTenor(I1363,"1D","FOLLOWING","TGT")</f>
        <v>44446</v>
      </c>
      <c r="J1364" s="95">
        <f ca="1"/>
        <v>4.3446896468320754E-3</v>
      </c>
      <c r="K1364" s="5" t="s">
        <v>4</v>
      </c>
      <c r="L1364" s="97">
        <f>_xll.meDateFromTenor(L1363,"1D","FOLLOWING","TGT")</f>
        <v>44446</v>
      </c>
      <c r="M1364" s="95">
        <f ca="1"/>
        <v>6.1017195327297347E-3</v>
      </c>
      <c r="N1364" s="5" t="s">
        <v>4</v>
      </c>
      <c r="O1364" s="97">
        <f>_xll.meDateFromTenor(O1363,"1D","FOLLOWING","TGT")</f>
        <v>44446</v>
      </c>
      <c r="P1364" s="95">
        <f ca="1"/>
        <v>8.1067028707253689E-3</v>
      </c>
      <c r="Q1364" s="5" t="s">
        <v>4</v>
      </c>
      <c r="R1364" s="83" t="s">
        <v>4</v>
      </c>
    </row>
    <row r="1365" spans="1:18" x14ac:dyDescent="0.25">
      <c r="A1365" s="88">
        <v>1351</v>
      </c>
      <c r="B1365" s="82"/>
      <c r="C1365" s="97">
        <f>_xll.meDateFromTenor(C1364,"1D","FOLLOWING","TGT")</f>
        <v>44447</v>
      </c>
      <c r="D1365" s="95">
        <f ca="1"/>
        <v>2.3433387823257323E-3</v>
      </c>
      <c r="E1365" s="92"/>
      <c r="F1365" s="97">
        <f>_xll.meDateFromTenor(F1364,"1D","FOLLOWING","TGT")</f>
        <v>44447</v>
      </c>
      <c r="G1365" s="95">
        <f ca="1"/>
        <v>3.1335201767249141E-3</v>
      </c>
      <c r="H1365" s="92" t="s">
        <v>4</v>
      </c>
      <c r="I1365" s="97">
        <f>_xll.meDateFromTenor(I1364,"1D","FOLLOWING","TGT")</f>
        <v>44447</v>
      </c>
      <c r="J1365" s="95">
        <f ca="1"/>
        <v>4.3526582178295041E-3</v>
      </c>
      <c r="K1365" s="5" t="s">
        <v>4</v>
      </c>
      <c r="L1365" s="97">
        <f>_xll.meDateFromTenor(L1364,"1D","FOLLOWING","TGT")</f>
        <v>44447</v>
      </c>
      <c r="M1365" s="95">
        <f ca="1"/>
        <v>6.1093950390699089E-3</v>
      </c>
      <c r="N1365" s="5" t="s">
        <v>4</v>
      </c>
      <c r="O1365" s="97">
        <f>_xll.meDateFromTenor(O1364,"1D","FOLLOWING","TGT")</f>
        <v>44447</v>
      </c>
      <c r="P1365" s="95">
        <f ca="1"/>
        <v>8.1139927704232308E-3</v>
      </c>
      <c r="Q1365" s="5" t="s">
        <v>4</v>
      </c>
      <c r="R1365" s="83" t="s">
        <v>4</v>
      </c>
    </row>
    <row r="1366" spans="1:18" x14ac:dyDescent="0.25">
      <c r="A1366" s="88">
        <v>1352</v>
      </c>
      <c r="B1366" s="82"/>
      <c r="C1366" s="97">
        <f>_xll.meDateFromTenor(C1365,"1D","FOLLOWING","TGT")</f>
        <v>44448</v>
      </c>
      <c r="D1366" s="95">
        <f ca="1"/>
        <v>2.3525233869376994E-3</v>
      </c>
      <c r="E1366" s="92"/>
      <c r="F1366" s="97">
        <f>_xll.meDateFromTenor(F1365,"1D","FOLLOWING","TGT")</f>
        <v>44448</v>
      </c>
      <c r="G1366" s="95">
        <f ca="1"/>
        <v>3.1407687859072646E-3</v>
      </c>
      <c r="H1366" s="92" t="s">
        <v>4</v>
      </c>
      <c r="I1366" s="97">
        <f>_xll.meDateFromTenor(I1365,"1D","FOLLOWING","TGT")</f>
        <v>44448</v>
      </c>
      <c r="J1366" s="95">
        <f ca="1"/>
        <v>4.3606283351433307E-3</v>
      </c>
      <c r="K1366" s="5" t="s">
        <v>4</v>
      </c>
      <c r="L1366" s="97">
        <f>_xll.meDateFromTenor(L1365,"1D","FOLLOWING","TGT")</f>
        <v>44448</v>
      </c>
      <c r="M1366" s="95">
        <f ca="1"/>
        <v>6.117074010384211E-3</v>
      </c>
      <c r="N1366" s="5" t="s">
        <v>4</v>
      </c>
      <c r="O1366" s="97">
        <f>_xll.meDateFromTenor(O1365,"1D","FOLLOWING","TGT")</f>
        <v>44448</v>
      </c>
      <c r="P1366" s="95">
        <f ca="1"/>
        <v>8.1212823389375972E-3</v>
      </c>
      <c r="Q1366" s="5" t="s">
        <v>4</v>
      </c>
      <c r="R1366" s="83" t="s">
        <v>4</v>
      </c>
    </row>
    <row r="1367" spans="1:18" x14ac:dyDescent="0.25">
      <c r="A1367" s="88">
        <v>1353</v>
      </c>
      <c r="B1367" s="82"/>
      <c r="C1367" s="97">
        <f>_xll.meDateFromTenor(C1366,"1D","FOLLOWING","TGT")</f>
        <v>44449</v>
      </c>
      <c r="D1367" s="95">
        <f ca="1"/>
        <v>2.3617009468934747E-3</v>
      </c>
      <c r="E1367" s="92"/>
      <c r="F1367" s="97">
        <f>_xll.meDateFromTenor(F1366,"1D","FOLLOWING","TGT")</f>
        <v>44449</v>
      </c>
      <c r="G1367" s="95">
        <f ca="1"/>
        <v>3.1479975980606778E-3</v>
      </c>
      <c r="H1367" s="92" t="s">
        <v>4</v>
      </c>
      <c r="I1367" s="97">
        <f>_xll.meDateFromTenor(I1366,"1D","FOLLOWING","TGT")</f>
        <v>44449</v>
      </c>
      <c r="J1367" s="95">
        <f ca="1"/>
        <v>4.3686000425002336E-3</v>
      </c>
      <c r="K1367" s="5" t="s">
        <v>4</v>
      </c>
      <c r="L1367" s="97">
        <f>_xll.meDateFromTenor(L1366,"1D","FOLLOWING","TGT")</f>
        <v>44449</v>
      </c>
      <c r="M1367" s="95">
        <f ca="1"/>
        <v>6.1247564545286771E-3</v>
      </c>
      <c r="N1367" s="5" t="s">
        <v>4</v>
      </c>
      <c r="O1367" s="97">
        <f>_xll.meDateFromTenor(O1366,"1D","FOLLOWING","TGT")</f>
        <v>44449</v>
      </c>
      <c r="P1367" s="95">
        <f ca="1"/>
        <v>8.1285715728055905E-3</v>
      </c>
      <c r="Q1367" s="5" t="s">
        <v>4</v>
      </c>
      <c r="R1367" s="83" t="s">
        <v>4</v>
      </c>
    </row>
    <row r="1368" spans="1:18" x14ac:dyDescent="0.25">
      <c r="A1368" s="88">
        <v>1354</v>
      </c>
      <c r="B1368" s="82"/>
      <c r="C1368" s="97">
        <f>_xll.meDateFromTenor(C1367,"1D","FOLLOWING","TGT")</f>
        <v>44452</v>
      </c>
      <c r="D1368" s="95">
        <f ca="1"/>
        <v>2.389191364905896E-3</v>
      </c>
      <c r="E1368" s="92"/>
      <c r="F1368" s="97">
        <f>_xll.meDateFromTenor(F1367,"1D","FOLLOWING","TGT")</f>
        <v>44452</v>
      </c>
      <c r="G1368" s="95">
        <f ca="1"/>
        <v>3.1695866370247349E-3</v>
      </c>
      <c r="H1368" s="92" t="s">
        <v>4</v>
      </c>
      <c r="I1368" s="97">
        <f>_xll.meDateFromTenor(I1367,"1D","FOLLOWING","TGT")</f>
        <v>44452</v>
      </c>
      <c r="J1368" s="95">
        <f ca="1"/>
        <v>4.3925251420962302E-3</v>
      </c>
      <c r="K1368" s="5" t="s">
        <v>4</v>
      </c>
      <c r="L1368" s="97">
        <f>_xll.meDateFromTenor(L1367,"1D","FOLLOWING","TGT")</f>
        <v>44452</v>
      </c>
      <c r="M1368" s="95">
        <f ca="1"/>
        <v>6.1478247025034561E-3</v>
      </c>
      <c r="N1368" s="5" t="s">
        <v>4</v>
      </c>
      <c r="O1368" s="97">
        <f>_xll.meDateFromTenor(O1367,"1D","FOLLOWING","TGT")</f>
        <v>44452</v>
      </c>
      <c r="P1368" s="95">
        <f ca="1"/>
        <v>8.1504372319025457E-3</v>
      </c>
      <c r="Q1368" s="5" t="s">
        <v>4</v>
      </c>
      <c r="R1368" s="83" t="s">
        <v>4</v>
      </c>
    </row>
    <row r="1369" spans="1:18" x14ac:dyDescent="0.25">
      <c r="A1369" s="88">
        <v>1355</v>
      </c>
      <c r="B1369" s="82"/>
      <c r="C1369" s="97">
        <f>_xll.meDateFromTenor(C1368,"1D","FOLLOWING","TGT")</f>
        <v>44453</v>
      </c>
      <c r="D1369" s="95">
        <f ca="1"/>
        <v>2.3983407508707533E-3</v>
      </c>
      <c r="E1369" s="92"/>
      <c r="F1369" s="97">
        <f>_xll.meDateFromTenor(F1368,"1D","FOLLOWING","TGT")</f>
        <v>44453</v>
      </c>
      <c r="G1369" s="95">
        <f ca="1"/>
        <v>3.1767576457398397E-3</v>
      </c>
      <c r="H1369" s="92" t="s">
        <v>4</v>
      </c>
      <c r="I1369" s="97">
        <f>_xll.meDateFromTenor(I1368,"1D","FOLLOWING","TGT")</f>
        <v>44453</v>
      </c>
      <c r="J1369" s="95">
        <f ca="1"/>
        <v>4.400503646892269E-3</v>
      </c>
      <c r="K1369" s="5" t="s">
        <v>4</v>
      </c>
      <c r="L1369" s="97">
        <f>_xll.meDateFromTenor(L1368,"1D","FOLLOWING","TGT")</f>
        <v>44453</v>
      </c>
      <c r="M1369" s="95">
        <f ca="1"/>
        <v>6.1555211165289737E-3</v>
      </c>
      <c r="N1369" s="5" t="s">
        <v>4</v>
      </c>
      <c r="O1369" s="97">
        <f>_xll.meDateFromTenor(O1368,"1D","FOLLOWING","TGT")</f>
        <v>44453</v>
      </c>
      <c r="P1369" s="95">
        <f ca="1"/>
        <v>8.1577250925562641E-3</v>
      </c>
      <c r="Q1369" s="5" t="s">
        <v>4</v>
      </c>
      <c r="R1369" s="83" t="s">
        <v>4</v>
      </c>
    </row>
    <row r="1370" spans="1:18" x14ac:dyDescent="0.25">
      <c r="A1370" s="88">
        <v>1356</v>
      </c>
      <c r="B1370" s="82"/>
      <c r="C1370" s="97">
        <f>_xll.meDateFromTenor(C1369,"1D","FOLLOWING","TGT")</f>
        <v>44454</v>
      </c>
      <c r="D1370" s="95">
        <f ca="1"/>
        <v>2.4074830943368042E-3</v>
      </c>
      <c r="E1370" s="92"/>
      <c r="F1370" s="97">
        <f>_xll.meDateFromTenor(F1369,"1D","FOLLOWING","TGT")</f>
        <v>44454</v>
      </c>
      <c r="G1370" s="95">
        <f ca="1"/>
        <v>3.1839195497647237E-3</v>
      </c>
      <c r="H1370" s="92" t="s">
        <v>4</v>
      </c>
      <c r="I1370" s="97">
        <f>_xll.meDateFromTenor(I1369,"1D","FOLLOWING","TGT")</f>
        <v>44454</v>
      </c>
      <c r="J1370" s="95">
        <f ca="1"/>
        <v>4.408483960364795E-3</v>
      </c>
      <c r="K1370" s="5" t="s">
        <v>4</v>
      </c>
      <c r="L1370" s="97">
        <f>_xll.meDateFromTenor(L1369,"1D","FOLLOWING","TGT")</f>
        <v>44454</v>
      </c>
      <c r="M1370" s="95">
        <f ca="1"/>
        <v>6.1632210426648517E-3</v>
      </c>
      <c r="N1370" s="5" t="s">
        <v>4</v>
      </c>
      <c r="O1370" s="97">
        <f>_xll.meDateFromTenor(O1369,"1D","FOLLOWING","TGT")</f>
        <v>44454</v>
      </c>
      <c r="P1370" s="95">
        <f ca="1"/>
        <v>8.1650126012492164E-3</v>
      </c>
      <c r="Q1370" s="5" t="s">
        <v>4</v>
      </c>
      <c r="R1370" s="83" t="s">
        <v>4</v>
      </c>
    </row>
    <row r="1371" spans="1:18" x14ac:dyDescent="0.25">
      <c r="A1371" s="88">
        <v>1357</v>
      </c>
      <c r="B1371" s="82"/>
      <c r="C1371" s="97">
        <f>_xll.meDateFromTenor(C1370,"1D","FOLLOWING","TGT")</f>
        <v>44455</v>
      </c>
      <c r="D1371" s="95">
        <f ca="1"/>
        <v>2.4166183952676334E-3</v>
      </c>
      <c r="E1371" s="92"/>
      <c r="F1371" s="97">
        <f>_xll.meDateFromTenor(F1370,"1D","FOLLOWING","TGT")</f>
        <v>44455</v>
      </c>
      <c r="G1371" s="95">
        <f ca="1"/>
        <v>3.1910744875671393E-3</v>
      </c>
      <c r="H1371" s="92" t="s">
        <v>4</v>
      </c>
      <c r="I1371" s="97">
        <f>_xll.meDateFromTenor(I1370,"1D","FOLLOWING","TGT")</f>
        <v>44455</v>
      </c>
      <c r="J1371" s="95">
        <f ca="1"/>
        <v>4.4164661262405007E-3</v>
      </c>
      <c r="K1371" s="5" t="s">
        <v>4</v>
      </c>
      <c r="L1371" s="97">
        <f>_xll.meDateFromTenor(L1370,"1D","FOLLOWING","TGT")</f>
        <v>44455</v>
      </c>
      <c r="M1371" s="95">
        <f ca="1"/>
        <v>6.1709244887671365E-3</v>
      </c>
      <c r="N1371" s="5" t="s">
        <v>4</v>
      </c>
      <c r="O1371" s="97">
        <f>_xll.meDateFromTenor(O1370,"1D","FOLLOWING","TGT")</f>
        <v>44455</v>
      </c>
      <c r="P1371" s="95">
        <f ca="1"/>
        <v>8.1722997545185302E-3</v>
      </c>
      <c r="Q1371" s="5" t="s">
        <v>4</v>
      </c>
      <c r="R1371" s="83" t="s">
        <v>4</v>
      </c>
    </row>
    <row r="1372" spans="1:18" x14ac:dyDescent="0.25">
      <c r="A1372" s="88">
        <v>1358</v>
      </c>
      <c r="B1372" s="82"/>
      <c r="C1372" s="97">
        <f>_xll.meDateFromTenor(C1371,"1D","FOLLOWING","TGT")</f>
        <v>44456</v>
      </c>
      <c r="D1372" s="95">
        <f ca="1"/>
        <v>2.4257466541128814E-3</v>
      </c>
      <c r="E1372" s="92"/>
      <c r="F1372" s="97">
        <f>_xll.meDateFromTenor(F1371,"1D","FOLLOWING","TGT")</f>
        <v>44456</v>
      </c>
      <c r="G1372" s="95">
        <f ca="1"/>
        <v>3.1982245976148209E-3</v>
      </c>
      <c r="H1372" s="92" t="s">
        <v>4</v>
      </c>
      <c r="I1372" s="97">
        <f>_xll.meDateFromTenor(I1371,"1D","FOLLOWING","TGT")</f>
        <v>44456</v>
      </c>
      <c r="J1372" s="95">
        <f ca="1"/>
        <v>4.4244501882460558E-3</v>
      </c>
      <c r="K1372" s="5" t="s">
        <v>4</v>
      </c>
      <c r="L1372" s="97">
        <f>_xll.meDateFromTenor(L1371,"1D","FOLLOWING","TGT")</f>
        <v>44456</v>
      </c>
      <c r="M1372" s="95">
        <f ca="1"/>
        <v>6.1786314626918566E-3</v>
      </c>
      <c r="N1372" s="5" t="s">
        <v>4</v>
      </c>
      <c r="O1372" s="97">
        <f>_xll.meDateFromTenor(O1371,"1D","FOLLOWING","TGT")</f>
        <v>44456</v>
      </c>
      <c r="P1372" s="95">
        <f ca="1"/>
        <v>8.1795865489013228E-3</v>
      </c>
      <c r="Q1372" s="5" t="s">
        <v>4</v>
      </c>
      <c r="R1372" s="83" t="s">
        <v>4</v>
      </c>
    </row>
    <row r="1373" spans="1:18" x14ac:dyDescent="0.25">
      <c r="A1373" s="88">
        <v>1359</v>
      </c>
      <c r="B1373" s="82"/>
      <c r="C1373" s="97">
        <f>_xll.meDateFromTenor(C1372,"1D","FOLLOWING","TGT")</f>
        <v>44459</v>
      </c>
      <c r="D1373" s="95">
        <f ca="1"/>
        <v>2.4530891809262378E-3</v>
      </c>
      <c r="E1373" s="92"/>
      <c r="F1373" s="97">
        <f>_xll.meDateFromTenor(F1372,"1D","FOLLOWING","TGT")</f>
        <v>44459</v>
      </c>
      <c r="G1373" s="95">
        <f ca="1"/>
        <v>3.2196673459069323E-3</v>
      </c>
      <c r="H1373" s="92" t="s">
        <v>4</v>
      </c>
      <c r="I1373" s="97">
        <f>_xll.meDateFromTenor(I1372,"1D","FOLLOWING","TGT")</f>
        <v>44459</v>
      </c>
      <c r="J1373" s="95">
        <f ca="1"/>
        <v>4.4484141883086937E-3</v>
      </c>
      <c r="K1373" s="5" t="s">
        <v>4</v>
      </c>
      <c r="L1373" s="97">
        <f>_xll.meDateFromTenor(L1372,"1D","FOLLOWING","TGT")</f>
        <v>44459</v>
      </c>
      <c r="M1373" s="95">
        <f ca="1"/>
        <v>6.2017736299610632E-3</v>
      </c>
      <c r="N1373" s="5" t="s">
        <v>4</v>
      </c>
      <c r="O1373" s="97">
        <f>_xll.meDateFromTenor(O1372,"1D","FOLLOWING","TGT")</f>
        <v>44459</v>
      </c>
      <c r="P1373" s="95">
        <f ca="1"/>
        <v>8.2014447441018067E-3</v>
      </c>
      <c r="Q1373" s="5" t="s">
        <v>4</v>
      </c>
      <c r="R1373" s="83" t="s">
        <v>4</v>
      </c>
    </row>
    <row r="1374" spans="1:18" x14ac:dyDescent="0.25">
      <c r="A1374" s="88">
        <v>1360</v>
      </c>
      <c r="B1374" s="82"/>
      <c r="C1374" s="97">
        <f>_xll.meDateFromTenor(C1373,"1D","FOLLOWING","TGT")</f>
        <v>44460</v>
      </c>
      <c r="D1374" s="95">
        <f ca="1"/>
        <v>2.4621892742213713E-3</v>
      </c>
      <c r="E1374" s="92"/>
      <c r="F1374" s="97">
        <f>_xll.meDateFromTenor(F1373,"1D","FOLLOWING","TGT")</f>
        <v>44460</v>
      </c>
      <c r="G1374" s="95">
        <f ca="1"/>
        <v>3.2268195296131356E-3</v>
      </c>
      <c r="H1374" s="92" t="s">
        <v>4</v>
      </c>
      <c r="I1374" s="97">
        <f>_xll.meDateFromTenor(I1373,"1D","FOLLOWING","TGT")</f>
        <v>44460</v>
      </c>
      <c r="J1374" s="95">
        <f ca="1"/>
        <v>4.4564062721005049E-3</v>
      </c>
      <c r="K1374" s="5" t="s">
        <v>4</v>
      </c>
      <c r="L1374" s="97">
        <f>_xll.meDateFromTenor(L1373,"1D","FOLLOWING","TGT")</f>
        <v>44460</v>
      </c>
      <c r="M1374" s="95">
        <f ca="1"/>
        <v>6.2094947937359445E-3</v>
      </c>
      <c r="N1374" s="5" t="s">
        <v>4</v>
      </c>
      <c r="O1374" s="97">
        <f>_xll.meDateFromTenor(O1373,"1D","FOLLOWING","TGT")</f>
        <v>44460</v>
      </c>
      <c r="P1374" s="95">
        <f ca="1"/>
        <v>8.2087300683097442E-3</v>
      </c>
      <c r="Q1374" s="5" t="s">
        <v>4</v>
      </c>
      <c r="R1374" s="83" t="s">
        <v>4</v>
      </c>
    </row>
    <row r="1375" spans="1:18" x14ac:dyDescent="0.25">
      <c r="A1375" s="88">
        <v>1361</v>
      </c>
      <c r="B1375" s="82"/>
      <c r="C1375" s="97">
        <f>_xll.meDateFromTenor(C1374,"1D","FOLLOWING","TGT")</f>
        <v>44461</v>
      </c>
      <c r="D1375" s="95">
        <f ca="1"/>
        <v>2.471282327110691E-3</v>
      </c>
      <c r="E1375" s="92"/>
      <c r="F1375" s="97">
        <f>_xll.meDateFromTenor(F1374,"1D","FOLLOWING","TGT")</f>
        <v>44461</v>
      </c>
      <c r="G1375" s="95">
        <f ca="1"/>
        <v>3.2339775779033292E-3</v>
      </c>
      <c r="H1375" s="92" t="s">
        <v>4</v>
      </c>
      <c r="I1375" s="97">
        <f>_xll.meDateFromTenor(I1374,"1D","FOLLOWING","TGT")</f>
        <v>44461</v>
      </c>
      <c r="J1375" s="95">
        <f ca="1"/>
        <v>4.4644004706555843E-3</v>
      </c>
      <c r="K1375" s="5" t="s">
        <v>4</v>
      </c>
      <c r="L1375" s="97">
        <f>_xll.meDateFromTenor(L1374,"1D","FOLLOWING","TGT")</f>
        <v>44461</v>
      </c>
      <c r="M1375" s="95">
        <f ca="1"/>
        <v>6.2172195246134642E-3</v>
      </c>
      <c r="N1375" s="5" t="s">
        <v>4</v>
      </c>
      <c r="O1375" s="97">
        <f>_xll.meDateFromTenor(O1374,"1D","FOLLOWING","TGT")</f>
        <v>44461</v>
      </c>
      <c r="P1375" s="95">
        <f ca="1"/>
        <v>8.216015016316771E-3</v>
      </c>
      <c r="Q1375" s="5" t="s">
        <v>4</v>
      </c>
      <c r="R1375" s="83" t="s">
        <v>4</v>
      </c>
    </row>
    <row r="1376" spans="1:18" x14ac:dyDescent="0.25">
      <c r="A1376" s="88">
        <v>1362</v>
      </c>
      <c r="B1376" s="82"/>
      <c r="C1376" s="97">
        <f>_xll.meDateFromTenor(C1375,"1D","FOLLOWING","TGT")</f>
        <v>44462</v>
      </c>
      <c r="D1376" s="95">
        <f ca="1"/>
        <v>2.4803683394791776E-3</v>
      </c>
      <c r="E1376" s="92"/>
      <c r="F1376" s="97">
        <f>_xll.meDateFromTenor(F1375,"1D","FOLLOWING","TGT")</f>
        <v>44462</v>
      </c>
      <c r="G1376" s="95">
        <f ca="1"/>
        <v>3.2411436292452563E-3</v>
      </c>
      <c r="H1376" s="92" t="s">
        <v>4</v>
      </c>
      <c r="I1376" s="97">
        <f>_xll.meDateFromTenor(I1375,"1D","FOLLOWING","TGT")</f>
        <v>44462</v>
      </c>
      <c r="J1376" s="95">
        <f ca="1"/>
        <v>4.4723968277006164E-3</v>
      </c>
      <c r="K1376" s="5" t="s">
        <v>4</v>
      </c>
      <c r="L1376" s="97">
        <f>_xll.meDateFromTenor(L1375,"1D","FOLLOWING","TGT")</f>
        <v>44462</v>
      </c>
      <c r="M1376" s="95">
        <f ca="1"/>
        <v>6.2249478304496602E-3</v>
      </c>
      <c r="N1376" s="5" t="s">
        <v>4</v>
      </c>
      <c r="O1376" s="97">
        <f>_xll.meDateFromTenor(O1375,"1D","FOLLOWING","TGT")</f>
        <v>44462</v>
      </c>
      <c r="P1376" s="95">
        <f ca="1"/>
        <v>8.223299584660013E-3</v>
      </c>
      <c r="Q1376" s="5" t="s">
        <v>4</v>
      </c>
      <c r="R1376" s="83" t="s">
        <v>4</v>
      </c>
    </row>
    <row r="1377" spans="1:18" x14ac:dyDescent="0.25">
      <c r="A1377" s="88">
        <v>1363</v>
      </c>
      <c r="B1377" s="82"/>
      <c r="C1377" s="97">
        <f>_xll.meDateFromTenor(C1376,"1D","FOLLOWING","TGT")</f>
        <v>44463</v>
      </c>
      <c r="D1377" s="95">
        <f ca="1"/>
        <v>2.489447311938342E-3</v>
      </c>
      <c r="E1377" s="92"/>
      <c r="F1377" s="97">
        <f>_xll.meDateFromTenor(F1376,"1D","FOLLOWING","TGT")</f>
        <v>44463</v>
      </c>
      <c r="G1377" s="95">
        <f ca="1"/>
        <v>3.2483198221066583E-3</v>
      </c>
      <c r="H1377" s="92" t="s">
        <v>4</v>
      </c>
      <c r="I1377" s="97">
        <f>_xll.meDateFromTenor(I1376,"1D","FOLLOWING","TGT")</f>
        <v>44463</v>
      </c>
      <c r="J1377" s="95">
        <f ca="1"/>
        <v>4.4803953869622815E-3</v>
      </c>
      <c r="K1377" s="5" t="s">
        <v>4</v>
      </c>
      <c r="L1377" s="97">
        <f>_xll.meDateFromTenor(L1376,"1D","FOLLOWING","TGT")</f>
        <v>44463</v>
      </c>
      <c r="M1377" s="95">
        <f ca="1"/>
        <v>6.232679719100573E-3</v>
      </c>
      <c r="N1377" s="5" t="s">
        <v>4</v>
      </c>
      <c r="O1377" s="97">
        <f>_xll.meDateFromTenor(O1376,"1D","FOLLOWING","TGT")</f>
        <v>44463</v>
      </c>
      <c r="P1377" s="95">
        <f ca="1"/>
        <v>8.2305837698765892E-3</v>
      </c>
      <c r="Q1377" s="5" t="s">
        <v>4</v>
      </c>
      <c r="R1377" s="83" t="s">
        <v>4</v>
      </c>
    </row>
    <row r="1378" spans="1:18" x14ac:dyDescent="0.25">
      <c r="A1378" s="88">
        <v>1364</v>
      </c>
      <c r="B1378" s="82"/>
      <c r="C1378" s="97">
        <f>_xll.meDateFromTenor(C1377,"1D","FOLLOWING","TGT")</f>
        <v>44466</v>
      </c>
      <c r="D1378" s="95">
        <f ca="1"/>
        <v>2.5166419920954475E-3</v>
      </c>
      <c r="E1378" s="92"/>
      <c r="F1378" s="97">
        <f>_xll.meDateFromTenor(F1377,"1D","FOLLOWING","TGT")</f>
        <v>44466</v>
      </c>
      <c r="G1378" s="95">
        <f ca="1"/>
        <v>3.2699306344851757E-3</v>
      </c>
      <c r="H1378" s="92" t="s">
        <v>4</v>
      </c>
      <c r="I1378" s="97">
        <f>_xll.meDateFromTenor(I1377,"1D","FOLLOWING","TGT")</f>
        <v>44466</v>
      </c>
      <c r="J1378" s="95">
        <f ca="1"/>
        <v>4.5044047153139227E-3</v>
      </c>
      <c r="K1378" s="5" t="s">
        <v>4</v>
      </c>
      <c r="L1378" s="97">
        <f>_xll.meDateFromTenor(L1377,"1D","FOLLOWING","TGT")</f>
        <v>44466</v>
      </c>
      <c r="M1378" s="95">
        <f ca="1"/>
        <v>6.2558969605020151E-3</v>
      </c>
      <c r="N1378" s="5" t="s">
        <v>4</v>
      </c>
      <c r="O1378" s="97">
        <f>_xll.meDateFromTenor(O1377,"1D","FOLLOWING","TGT")</f>
        <v>44466</v>
      </c>
      <c r="P1378" s="95">
        <f ca="1"/>
        <v>8.2524339921375527E-3</v>
      </c>
      <c r="Q1378" s="5" t="s">
        <v>4</v>
      </c>
      <c r="R1378" s="83" t="s">
        <v>4</v>
      </c>
    </row>
    <row r="1379" spans="1:18" x14ac:dyDescent="0.25">
      <c r="A1379" s="88">
        <v>1365</v>
      </c>
      <c r="B1379" s="82"/>
      <c r="C1379" s="97">
        <f>_xll.meDateFromTenor(C1378,"1D","FOLLOWING","TGT")</f>
        <v>44467</v>
      </c>
      <c r="D1379" s="95">
        <f ca="1"/>
        <v>2.5256928072390217E-3</v>
      </c>
      <c r="E1379" s="92"/>
      <c r="F1379" s="97">
        <f>_xll.meDateFromTenor(F1378,"1D","FOLLOWING","TGT")</f>
        <v>44467</v>
      </c>
      <c r="G1379" s="95">
        <f ca="1"/>
        <v>3.2771687781019288E-3</v>
      </c>
      <c r="H1379" s="92" t="s">
        <v>4</v>
      </c>
      <c r="I1379" s="97">
        <f>_xll.meDateFromTenor(I1378,"1D","FOLLOWING","TGT")</f>
        <v>44467</v>
      </c>
      <c r="J1379" s="95">
        <f ca="1"/>
        <v>4.512412520708959E-3</v>
      </c>
      <c r="K1379" s="5" t="s">
        <v>4</v>
      </c>
      <c r="L1379" s="97">
        <f>_xll.meDateFromTenor(L1378,"1D","FOLLOWING","TGT")</f>
        <v>44467</v>
      </c>
      <c r="M1379" s="95">
        <f ca="1"/>
        <v>6.2636432589721945E-3</v>
      </c>
      <c r="N1379" s="5" t="s">
        <v>4</v>
      </c>
      <c r="O1379" s="97">
        <f>_xll.meDateFromTenor(O1378,"1D","FOLLOWING","TGT")</f>
        <v>44467</v>
      </c>
      <c r="P1379" s="95">
        <f ca="1"/>
        <v>8.2597166102186936E-3</v>
      </c>
      <c r="Q1379" s="5" t="s">
        <v>4</v>
      </c>
      <c r="R1379" s="83" t="s">
        <v>4</v>
      </c>
    </row>
    <row r="1380" spans="1:18" x14ac:dyDescent="0.25">
      <c r="A1380" s="88">
        <v>1366</v>
      </c>
      <c r="B1380" s="82"/>
      <c r="C1380" s="97">
        <f>_xll.meDateFromTenor(C1379,"1D","FOLLOWING","TGT")</f>
        <v>44468</v>
      </c>
      <c r="D1380" s="95">
        <f ca="1"/>
        <v>2.5347365839150093E-3</v>
      </c>
      <c r="E1380" s="92"/>
      <c r="F1380" s="97">
        <f>_xll.meDateFromTenor(F1379,"1D","FOLLOWING","TGT")</f>
        <v>44468</v>
      </c>
      <c r="G1380" s="95">
        <f ca="1"/>
        <v>3.2844277555768792E-3</v>
      </c>
      <c r="H1380" s="92" t="s">
        <v>4</v>
      </c>
      <c r="I1380" s="97">
        <f>_xll.meDateFromTenor(I1379,"1D","FOLLOWING","TGT")</f>
        <v>44468</v>
      </c>
      <c r="J1380" s="95">
        <f ca="1"/>
        <v>4.5204227469540443E-3</v>
      </c>
      <c r="K1380" s="5" t="s">
        <v>4</v>
      </c>
      <c r="L1380" s="97">
        <f>_xll.meDateFromTenor(L1379,"1D","FOLLOWING","TGT")</f>
        <v>44468</v>
      </c>
      <c r="M1380" s="95">
        <f ca="1"/>
        <v>6.2713931795372879E-3</v>
      </c>
      <c r="N1380" s="5" t="s">
        <v>4</v>
      </c>
      <c r="O1380" s="97">
        <f>_xll.meDateFromTenor(O1379,"1D","FOLLOWING","TGT")</f>
        <v>44468</v>
      </c>
      <c r="P1380" s="95">
        <f ca="1"/>
        <v>8.2669988278587792E-3</v>
      </c>
      <c r="Q1380" s="5" t="s">
        <v>4</v>
      </c>
      <c r="R1380" s="83" t="s">
        <v>4</v>
      </c>
    </row>
    <row r="1381" spans="1:18" x14ac:dyDescent="0.25">
      <c r="A1381" s="88">
        <v>1367</v>
      </c>
      <c r="B1381" s="82"/>
      <c r="C1381" s="97">
        <f>_xll.meDateFromTenor(C1380,"1D","FOLLOWING","TGT")</f>
        <v>44469</v>
      </c>
      <c r="D1381" s="95">
        <f ca="1"/>
        <v>2.5437733223356851E-3</v>
      </c>
      <c r="E1381" s="92"/>
      <c r="F1381" s="97">
        <f>_xll.meDateFromTenor(F1380,"1D","FOLLOWING","TGT")</f>
        <v>44469</v>
      </c>
      <c r="G1381" s="95">
        <f ca="1"/>
        <v>3.2917097053777704E-3</v>
      </c>
      <c r="H1381" s="92" t="s">
        <v>4</v>
      </c>
      <c r="I1381" s="97">
        <f>_xll.meDateFromTenor(I1380,"1D","FOLLOWING","TGT")</f>
        <v>44469</v>
      </c>
      <c r="J1381" s="95">
        <f ca="1"/>
        <v>4.5284354377758606E-3</v>
      </c>
      <c r="K1381" s="5" t="s">
        <v>4</v>
      </c>
      <c r="L1381" s="97">
        <f>_xll.meDateFromTenor(L1380,"1D","FOLLOWING","TGT")</f>
        <v>44469</v>
      </c>
      <c r="M1381" s="95">
        <f ca="1"/>
        <v>6.2791467300533366E-3</v>
      </c>
      <c r="N1381" s="5" t="s">
        <v>4</v>
      </c>
      <c r="O1381" s="97">
        <f>_xll.meDateFromTenor(O1380,"1D","FOLLOWING","TGT")</f>
        <v>44469</v>
      </c>
      <c r="P1381" s="95">
        <f ca="1"/>
        <v>8.2742806415949319E-3</v>
      </c>
      <c r="Q1381" s="5" t="s">
        <v>4</v>
      </c>
      <c r="R1381" s="83" t="s">
        <v>4</v>
      </c>
    </row>
    <row r="1382" spans="1:18" x14ac:dyDescent="0.25">
      <c r="A1382" s="88">
        <v>1368</v>
      </c>
      <c r="B1382" s="82"/>
      <c r="C1382" s="97">
        <f>_xll.meDateFromTenor(C1381,"1D","FOLLOWING","TGT")</f>
        <v>44470</v>
      </c>
      <c r="D1382" s="95">
        <f ca="1"/>
        <v>2.5528030228678666E-3</v>
      </c>
      <c r="E1382" s="92"/>
      <c r="F1382" s="97">
        <f>_xll.meDateFromTenor(F1381,"1D","FOLLOWING","TGT")</f>
        <v>44470</v>
      </c>
      <c r="G1382" s="95">
        <f ca="1"/>
        <v>3.2990167659723464E-3</v>
      </c>
      <c r="H1382" s="92" t="s">
        <v>4</v>
      </c>
      <c r="I1382" s="97">
        <f>_xll.meDateFromTenor(I1381,"1D","FOLLOWING","TGT")</f>
        <v>44470</v>
      </c>
      <c r="J1382" s="95">
        <f ca="1"/>
        <v>4.5364506369010918E-3</v>
      </c>
      <c r="K1382" s="5" t="s">
        <v>4</v>
      </c>
      <c r="L1382" s="97">
        <f>_xll.meDateFromTenor(L1381,"1D","FOLLOWING","TGT")</f>
        <v>44470</v>
      </c>
      <c r="M1382" s="95">
        <f ca="1"/>
        <v>6.2869039183763792E-3</v>
      </c>
      <c r="N1382" s="5" t="s">
        <v>4</v>
      </c>
      <c r="O1382" s="97">
        <f>_xll.meDateFromTenor(O1381,"1D","FOLLOWING","TGT")</f>
        <v>44470</v>
      </c>
      <c r="P1382" s="95">
        <f ca="1"/>
        <v>8.2815620479642759E-3</v>
      </c>
      <c r="Q1382" s="5" t="s">
        <v>4</v>
      </c>
      <c r="R1382" s="83" t="s">
        <v>4</v>
      </c>
    </row>
    <row r="1383" spans="1:18" x14ac:dyDescent="0.25">
      <c r="A1383" s="88">
        <v>1369</v>
      </c>
      <c r="B1383" s="82"/>
      <c r="C1383" s="97">
        <f>_xll.meDateFromTenor(C1382,"1D","FOLLOWING","TGT")</f>
        <v>44473</v>
      </c>
      <c r="D1383" s="95">
        <f ca="1"/>
        <v>2.5798498987616991E-3</v>
      </c>
      <c r="E1383" s="92"/>
      <c r="F1383" s="97">
        <f>_xll.meDateFromTenor(F1382,"1D","FOLLOWING","TGT")</f>
        <v>44473</v>
      </c>
      <c r="G1383" s="95">
        <f ca="1"/>
        <v>3.3211099971956213E-3</v>
      </c>
      <c r="H1383" s="92" t="s">
        <v>4</v>
      </c>
      <c r="I1383" s="97">
        <f>_xll.meDateFromTenor(I1382,"1D","FOLLOWING","TGT")</f>
        <v>44473</v>
      </c>
      <c r="J1383" s="95">
        <f ca="1"/>
        <v>4.5605117213640984E-3</v>
      </c>
      <c r="K1383" s="5" t="s">
        <v>4</v>
      </c>
      <c r="L1383" s="97">
        <f>_xll.meDateFromTenor(L1382,"1D","FOLLOWING","TGT")</f>
        <v>44473</v>
      </c>
      <c r="M1383" s="95">
        <f ca="1"/>
        <v>6.3101973887478647E-3</v>
      </c>
      <c r="N1383" s="5" t="s">
        <v>4</v>
      </c>
      <c r="O1383" s="97">
        <f>_xll.meDateFromTenor(O1382,"1D","FOLLOWING","TGT")</f>
        <v>44473</v>
      </c>
      <c r="P1383" s="95">
        <f ca="1"/>
        <v>8.3034037882426682E-3</v>
      </c>
      <c r="Q1383" s="5" t="s">
        <v>4</v>
      </c>
      <c r="R1383" s="83" t="s">
        <v>4</v>
      </c>
    </row>
    <row r="1384" spans="1:18" x14ac:dyDescent="0.25">
      <c r="A1384" s="88">
        <v>1370</v>
      </c>
      <c r="B1384" s="82"/>
      <c r="C1384" s="97">
        <f>_xll.meDateFromTenor(C1383,"1D","FOLLOWING","TGT")</f>
        <v>44474</v>
      </c>
      <c r="D1384" s="95">
        <f ca="1"/>
        <v>2.5888514500840287E-3</v>
      </c>
      <c r="E1384" s="92"/>
      <c r="F1384" s="97">
        <f>_xll.meDateFromTenor(F1383,"1D","FOLLOWING","TGT")</f>
        <v>44474</v>
      </c>
      <c r="G1384" s="95">
        <f ca="1"/>
        <v>3.3285383639892968E-3</v>
      </c>
      <c r="H1384" s="92" t="s">
        <v>4</v>
      </c>
      <c r="I1384" s="97">
        <f>_xll.meDateFromTenor(I1383,"1D","FOLLOWING","TGT")</f>
        <v>44474</v>
      </c>
      <c r="J1384" s="95">
        <f ca="1"/>
        <v>4.5685373909698105E-3</v>
      </c>
      <c r="K1384" s="5" t="s">
        <v>4</v>
      </c>
      <c r="L1384" s="97">
        <f>_xll.meDateFromTenor(L1383,"1D","FOLLOWING","TGT")</f>
        <v>44474</v>
      </c>
      <c r="M1384" s="95">
        <f ca="1"/>
        <v>6.317969206859275E-3</v>
      </c>
      <c r="N1384" s="5" t="s">
        <v>4</v>
      </c>
      <c r="O1384" s="97">
        <f>_xll.meDateFromTenor(O1383,"1D","FOLLOWING","TGT")</f>
        <v>44474</v>
      </c>
      <c r="P1384" s="95">
        <f ca="1"/>
        <v>8.3106835305159898E-3</v>
      </c>
      <c r="Q1384" s="5" t="s">
        <v>4</v>
      </c>
      <c r="R1384" s="83" t="s">
        <v>4</v>
      </c>
    </row>
    <row r="1385" spans="1:18" x14ac:dyDescent="0.25">
      <c r="A1385" s="88">
        <v>1371</v>
      </c>
      <c r="B1385" s="82"/>
      <c r="C1385" s="97">
        <f>_xll.meDateFromTenor(C1384,"1D","FOLLOWING","TGT")</f>
        <v>44475</v>
      </c>
      <c r="D1385" s="95">
        <f ca="1"/>
        <v>2.5978459645703555E-3</v>
      </c>
      <c r="E1385" s="92"/>
      <c r="F1385" s="97">
        <f>_xll.meDateFromTenor(F1384,"1D","FOLLOWING","TGT")</f>
        <v>44475</v>
      </c>
      <c r="G1385" s="95">
        <f ca="1"/>
        <v>3.3359994039969258E-3</v>
      </c>
      <c r="H1385" s="92" t="s">
        <v>4</v>
      </c>
      <c r="I1385" s="97">
        <f>_xll.meDateFromTenor(I1384,"1D","FOLLOWING","TGT")</f>
        <v>44475</v>
      </c>
      <c r="J1385" s="95">
        <f ca="1"/>
        <v>4.5765657875123551E-3</v>
      </c>
      <c r="K1385" s="5" t="s">
        <v>4</v>
      </c>
      <c r="L1385" s="97">
        <f>_xll.meDateFromTenor(L1384,"1D","FOLLOWING","TGT")</f>
        <v>44475</v>
      </c>
      <c r="M1385" s="95">
        <f ca="1"/>
        <v>6.3257447020578792E-3</v>
      </c>
      <c r="N1385" s="5" t="s">
        <v>4</v>
      </c>
      <c r="O1385" s="97">
        <f>_xll.meDateFromTenor(O1384,"1D","FOLLOWING","TGT")</f>
        <v>44475</v>
      </c>
      <c r="P1385" s="95">
        <f ca="1"/>
        <v>8.3179628481081166E-3</v>
      </c>
      <c r="Q1385" s="5" t="s">
        <v>4</v>
      </c>
      <c r="R1385" s="83" t="s">
        <v>4</v>
      </c>
    </row>
    <row r="1386" spans="1:18" x14ac:dyDescent="0.25">
      <c r="A1386" s="88">
        <v>1372</v>
      </c>
      <c r="B1386" s="82"/>
      <c r="C1386" s="97">
        <f>_xll.meDateFromTenor(C1385,"1D","FOLLOWING","TGT")</f>
        <v>44476</v>
      </c>
      <c r="D1386" s="95">
        <f ca="1"/>
        <v>2.6068334429090179E-3</v>
      </c>
      <c r="E1386" s="92"/>
      <c r="F1386" s="97">
        <f>_xll.meDateFromTenor(F1385,"1D","FOLLOWING","TGT")</f>
        <v>44476</v>
      </c>
      <c r="G1386" s="95">
        <f ca="1"/>
        <v>3.3434921257677959E-3</v>
      </c>
      <c r="H1386" s="92" t="s">
        <v>4</v>
      </c>
      <c r="I1386" s="97">
        <f>_xll.meDateFromTenor(I1385,"1D","FOLLOWING","TGT")</f>
        <v>44476</v>
      </c>
      <c r="J1386" s="95">
        <f ca="1"/>
        <v>4.58459695471841E-3</v>
      </c>
      <c r="K1386" s="5" t="s">
        <v>4</v>
      </c>
      <c r="L1386" s="97">
        <f>_xll.meDateFromTenor(L1385,"1D","FOLLOWING","TGT")</f>
        <v>44476</v>
      </c>
      <c r="M1386" s="95">
        <f ca="1"/>
        <v>6.3335238821997141E-3</v>
      </c>
      <c r="N1386" s="5" t="s">
        <v>4</v>
      </c>
      <c r="O1386" s="97">
        <f>_xll.meDateFromTenor(O1385,"1D","FOLLOWING","TGT")</f>
        <v>44476</v>
      </c>
      <c r="P1386" s="95">
        <f ca="1"/>
        <v>8.325241737556166E-3</v>
      </c>
      <c r="Q1386" s="5" t="s">
        <v>4</v>
      </c>
      <c r="R1386" s="83" t="s">
        <v>4</v>
      </c>
    </row>
    <row r="1387" spans="1:18" x14ac:dyDescent="0.25">
      <c r="A1387" s="88">
        <v>1373</v>
      </c>
      <c r="B1387" s="82"/>
      <c r="C1387" s="97">
        <f>_xll.meDateFromTenor(C1386,"1D","FOLLOWING","TGT")</f>
        <v>44477</v>
      </c>
      <c r="D1387" s="95">
        <f ca="1"/>
        <v>2.6158138850735924E-3</v>
      </c>
      <c r="E1387" s="92"/>
      <c r="F1387" s="97">
        <f>_xll.meDateFromTenor(F1386,"1D","FOLLOWING","TGT")</f>
        <v>44477</v>
      </c>
      <c r="G1387" s="95">
        <f ca="1"/>
        <v>3.3510155378511973E-3</v>
      </c>
      <c r="H1387" s="92" t="s">
        <v>4</v>
      </c>
      <c r="I1387" s="97">
        <f>_xll.meDateFromTenor(I1386,"1D","FOLLOWING","TGT")</f>
        <v>44477</v>
      </c>
      <c r="J1387" s="95">
        <f ca="1"/>
        <v>4.5926309363146581E-3</v>
      </c>
      <c r="K1387" s="5" t="s">
        <v>4</v>
      </c>
      <c r="L1387" s="97">
        <f>_xll.meDateFromTenor(L1386,"1D","FOLLOWING","TGT")</f>
        <v>44477</v>
      </c>
      <c r="M1387" s="95">
        <f ca="1"/>
        <v>6.3413067551408202E-3</v>
      </c>
      <c r="N1387" s="5" t="s">
        <v>4</v>
      </c>
      <c r="O1387" s="97">
        <f>_xll.meDateFromTenor(O1386,"1D","FOLLOWING","TGT")</f>
        <v>44477</v>
      </c>
      <c r="P1387" s="95">
        <f ca="1"/>
        <v>8.3325201953972604E-3</v>
      </c>
      <c r="Q1387" s="5" t="s">
        <v>4</v>
      </c>
      <c r="R1387" s="83" t="s">
        <v>4</v>
      </c>
    </row>
    <row r="1388" spans="1:18" x14ac:dyDescent="0.25">
      <c r="A1388" s="88">
        <v>1374</v>
      </c>
      <c r="B1388" s="82"/>
      <c r="C1388" s="97">
        <f>_xll.meDateFromTenor(C1387,"1D","FOLLOWING","TGT")</f>
        <v>44480</v>
      </c>
      <c r="D1388" s="95">
        <f ca="1"/>
        <v>2.6427129980586272E-3</v>
      </c>
      <c r="E1388" s="92"/>
      <c r="F1388" s="97">
        <f>_xll.meDateFromTenor(F1387,"1D","FOLLOWING","TGT")</f>
        <v>44480</v>
      </c>
      <c r="G1388" s="95">
        <f ca="1"/>
        <v>3.3737600014694968E-3</v>
      </c>
      <c r="H1388" s="92" t="s">
        <v>4</v>
      </c>
      <c r="I1388" s="97">
        <f>_xll.meDateFromTenor(I1387,"1D","FOLLOWING","TGT")</f>
        <v>44480</v>
      </c>
      <c r="J1388" s="95">
        <f ca="1"/>
        <v>4.6167502047113904E-3</v>
      </c>
      <c r="K1388" s="5" t="s">
        <v>4</v>
      </c>
      <c r="L1388" s="97">
        <f>_xll.meDateFromTenor(L1387,"1D","FOLLOWING","TGT")</f>
        <v>44480</v>
      </c>
      <c r="M1388" s="95">
        <f ca="1"/>
        <v>6.364677609320156E-3</v>
      </c>
      <c r="N1388" s="5" t="s">
        <v>4</v>
      </c>
      <c r="O1388" s="97">
        <f>_xll.meDateFromTenor(O1387,"1D","FOLLOWING","TGT")</f>
        <v>44480</v>
      </c>
      <c r="P1388" s="95">
        <f ca="1"/>
        <v>8.354352944650029E-3</v>
      </c>
      <c r="Q1388" s="5" t="s">
        <v>4</v>
      </c>
      <c r="R1388" s="83" t="s">
        <v>4</v>
      </c>
    </row>
    <row r="1389" spans="1:18" x14ac:dyDescent="0.25">
      <c r="A1389" s="88">
        <v>1375</v>
      </c>
      <c r="B1389" s="82"/>
      <c r="C1389" s="97">
        <f>_xll.meDateFromTenor(C1388,"1D","FOLLOWING","TGT")</f>
        <v>44481</v>
      </c>
      <c r="D1389" s="95">
        <f ca="1"/>
        <v>2.651665298670336E-3</v>
      </c>
      <c r="E1389" s="92"/>
      <c r="F1389" s="97">
        <f>_xll.meDateFromTenor(F1388,"1D","FOLLOWING","TGT")</f>
        <v>44481</v>
      </c>
      <c r="G1389" s="95">
        <f ca="1"/>
        <v>3.3813962602959264E-3</v>
      </c>
      <c r="H1389" s="92" t="s">
        <v>4</v>
      </c>
      <c r="I1389" s="97">
        <f>_xll.meDateFromTenor(I1388,"1D","FOLLOWING","TGT")</f>
        <v>44481</v>
      </c>
      <c r="J1389" s="95">
        <f ca="1"/>
        <v>4.6247958811352378E-3</v>
      </c>
      <c r="K1389" s="5" t="s">
        <v>4</v>
      </c>
      <c r="L1389" s="97">
        <f>_xll.meDateFromTenor(L1388,"1D","FOLLOWING","TGT")</f>
        <v>44481</v>
      </c>
      <c r="M1389" s="95">
        <f ca="1"/>
        <v>6.3724753320187361E-3</v>
      </c>
      <c r="N1389" s="5" t="s">
        <v>4</v>
      </c>
      <c r="O1389" s="97">
        <f>_xll.meDateFromTenor(O1388,"1D","FOLLOWING","TGT")</f>
        <v>44481</v>
      </c>
      <c r="P1389" s="95">
        <f ca="1"/>
        <v>8.3616296414345207E-3</v>
      </c>
      <c r="Q1389" s="5" t="s">
        <v>4</v>
      </c>
      <c r="R1389" s="83" t="s">
        <v>4</v>
      </c>
    </row>
    <row r="1390" spans="1:18" x14ac:dyDescent="0.25">
      <c r="A1390" s="88">
        <v>1376</v>
      </c>
      <c r="B1390" s="82"/>
      <c r="C1390" s="97">
        <f>_xll.meDateFromTenor(C1389,"1D","FOLLOWING","TGT")</f>
        <v>44482</v>
      </c>
      <c r="D1390" s="95">
        <f ca="1"/>
        <v>2.6606105645603506E-3</v>
      </c>
      <c r="E1390" s="92"/>
      <c r="F1390" s="97">
        <f>_xll.meDateFromTenor(F1389,"1D","FOLLOWING","TGT")</f>
        <v>44482</v>
      </c>
      <c r="G1390" s="95">
        <f ca="1"/>
        <v>3.3890582521813443E-3</v>
      </c>
      <c r="H1390" s="92" t="s">
        <v>4</v>
      </c>
      <c r="I1390" s="97">
        <f>_xll.meDateFromTenor(I1389,"1D","FOLLOWING","TGT")</f>
        <v>44482</v>
      </c>
      <c r="J1390" s="95">
        <f ca="1"/>
        <v>4.6328445905826961E-3</v>
      </c>
      <c r="K1390" s="5" t="s">
        <v>4</v>
      </c>
      <c r="L1390" s="97">
        <f>_xll.meDateFromTenor(L1389,"1D","FOLLOWING","TGT")</f>
        <v>44482</v>
      </c>
      <c r="M1390" s="95">
        <f ca="1"/>
        <v>6.3802767867967899E-3</v>
      </c>
      <c r="N1390" s="5" t="s">
        <v>4</v>
      </c>
      <c r="O1390" s="97">
        <f>_xll.meDateFromTenor(O1389,"1D","FOLLOWING","TGT")</f>
        <v>44482</v>
      </c>
      <c r="P1390" s="95">
        <f ca="1"/>
        <v>8.3689058892976714E-3</v>
      </c>
      <c r="Q1390" s="5" t="s">
        <v>4</v>
      </c>
      <c r="R1390" s="83" t="s">
        <v>4</v>
      </c>
    </row>
    <row r="1391" spans="1:18" x14ac:dyDescent="0.25">
      <c r="A1391" s="88">
        <v>1377</v>
      </c>
      <c r="B1391" s="82"/>
      <c r="C1391" s="97">
        <f>_xll.meDateFromTenor(C1390,"1D","FOLLOWING","TGT")</f>
        <v>44483</v>
      </c>
      <c r="D1391" s="95">
        <f ca="1"/>
        <v>2.6695487961845288E-3</v>
      </c>
      <c r="E1391" s="92"/>
      <c r="F1391" s="97">
        <f>_xll.meDateFromTenor(F1390,"1D","FOLLOWING","TGT")</f>
        <v>44483</v>
      </c>
      <c r="G1391" s="95">
        <f ca="1"/>
        <v>3.3967449856750335E-3</v>
      </c>
      <c r="H1391" s="92" t="s">
        <v>4</v>
      </c>
      <c r="I1391" s="97">
        <f>_xll.meDateFromTenor(I1390,"1D","FOLLOWING","TGT")</f>
        <v>44483</v>
      </c>
      <c r="J1391" s="95">
        <f ca="1"/>
        <v>4.6408963767804413E-3</v>
      </c>
      <c r="K1391" s="5" t="s">
        <v>4</v>
      </c>
      <c r="L1391" s="97">
        <f>_xll.meDateFromTenor(L1390,"1D","FOLLOWING","TGT")</f>
        <v>44483</v>
      </c>
      <c r="M1391" s="95">
        <f ca="1"/>
        <v>6.3880819815103464E-3</v>
      </c>
      <c r="N1391" s="5" t="s">
        <v>4</v>
      </c>
      <c r="O1391" s="97">
        <f>_xll.meDateFromTenor(O1390,"1D","FOLLOWING","TGT")</f>
        <v>44483</v>
      </c>
      <c r="P1391" s="95">
        <f ca="1"/>
        <v>8.3761816847765964E-3</v>
      </c>
      <c r="Q1391" s="5" t="s">
        <v>4</v>
      </c>
      <c r="R1391" s="83" t="s">
        <v>4</v>
      </c>
    </row>
    <row r="1392" spans="1:18" x14ac:dyDescent="0.25">
      <c r="A1392" s="88">
        <v>1378</v>
      </c>
      <c r="B1392" s="82"/>
      <c r="C1392" s="97">
        <f>_xll.meDateFromTenor(C1391,"1D","FOLLOWING","TGT")</f>
        <v>44484</v>
      </c>
      <c r="D1392" s="95">
        <f ca="1"/>
        <v>2.6784799934300718E-3</v>
      </c>
      <c r="E1392" s="92"/>
      <c r="F1392" s="97">
        <f>_xll.meDateFromTenor(F1391,"1D","FOLLOWING","TGT")</f>
        <v>44484</v>
      </c>
      <c r="G1392" s="95">
        <f ca="1"/>
        <v>3.4044554693262873E-3</v>
      </c>
      <c r="H1392" s="92" t="s">
        <v>4</v>
      </c>
      <c r="I1392" s="97">
        <f>_xll.meDateFromTenor(I1391,"1D","FOLLOWING","TGT")</f>
        <v>44484</v>
      </c>
      <c r="J1392" s="95">
        <f ca="1"/>
        <v>4.6489512834551605E-3</v>
      </c>
      <c r="K1392" s="5" t="s">
        <v>4</v>
      </c>
      <c r="L1392" s="97">
        <f>_xll.meDateFromTenor(L1391,"1D","FOLLOWING","TGT")</f>
        <v>44484</v>
      </c>
      <c r="M1392" s="95">
        <f ca="1"/>
        <v>6.3958909240154514E-3</v>
      </c>
      <c r="N1392" s="5" t="s">
        <v>4</v>
      </c>
      <c r="O1392" s="97">
        <f>_xll.meDateFromTenor(O1391,"1D","FOLLOWING","TGT")</f>
        <v>44484</v>
      </c>
      <c r="P1392" s="95">
        <f ca="1"/>
        <v>8.3834570244084219E-3</v>
      </c>
      <c r="Q1392" s="5" t="s">
        <v>4</v>
      </c>
      <c r="R1392" s="83" t="s">
        <v>4</v>
      </c>
    </row>
    <row r="1393" spans="1:18" x14ac:dyDescent="0.25">
      <c r="A1393" s="88">
        <v>1379</v>
      </c>
      <c r="B1393" s="82"/>
      <c r="C1393" s="97">
        <f>_xll.meDateFromTenor(C1392,"1D","FOLLOWING","TGT")</f>
        <v>44487</v>
      </c>
      <c r="D1393" s="95">
        <f ca="1"/>
        <v>2.7052313826325669E-3</v>
      </c>
      <c r="E1393" s="92"/>
      <c r="F1393" s="97">
        <f>_xll.meDateFromTenor(F1392,"1D","FOLLOWING","TGT")</f>
        <v>44487</v>
      </c>
      <c r="G1393" s="95">
        <f ca="1"/>
        <v>3.4277195067183449E-3</v>
      </c>
      <c r="H1393" s="92" t="s">
        <v>4</v>
      </c>
      <c r="I1393" s="97">
        <f>_xll.meDateFromTenor(I1392,"1D","FOLLOWING","TGT")</f>
        <v>44487</v>
      </c>
      <c r="J1393" s="95">
        <f ca="1"/>
        <v>4.6731351636079823E-3</v>
      </c>
      <c r="K1393" s="5" t="s">
        <v>4</v>
      </c>
      <c r="L1393" s="97">
        <f>_xll.meDateFromTenor(L1392,"1D","FOLLOWING","TGT")</f>
        <v>44487</v>
      </c>
      <c r="M1393" s="95">
        <f ca="1"/>
        <v>6.4193403168404436E-3</v>
      </c>
      <c r="N1393" s="5" t="s">
        <v>4</v>
      </c>
      <c r="O1393" s="97">
        <f>_xll.meDateFromTenor(O1392,"1D","FOLLOWING","TGT")</f>
        <v>44487</v>
      </c>
      <c r="P1393" s="95">
        <f ca="1"/>
        <v>8.4052802735925195E-3</v>
      </c>
      <c r="Q1393" s="5" t="s">
        <v>4</v>
      </c>
      <c r="R1393" s="83" t="s">
        <v>4</v>
      </c>
    </row>
    <row r="1394" spans="1:18" x14ac:dyDescent="0.25">
      <c r="A1394" s="88">
        <v>1380</v>
      </c>
      <c r="B1394" s="82"/>
      <c r="C1394" s="97">
        <f>_xll.meDateFromTenor(C1393,"1D","FOLLOWING","TGT")</f>
        <v>44488</v>
      </c>
      <c r="D1394" s="95">
        <f ca="1"/>
        <v>2.7141344456940164E-3</v>
      </c>
      <c r="E1394" s="92"/>
      <c r="F1394" s="97">
        <f>_xll.meDateFromTenor(F1393,"1D","FOLLOWING","TGT")</f>
        <v>44488</v>
      </c>
      <c r="G1394" s="95">
        <f ca="1"/>
        <v>3.4355150764927632E-3</v>
      </c>
      <c r="H1394" s="92" t="s">
        <v>4</v>
      </c>
      <c r="I1394" s="97">
        <f>_xll.meDateFromTenor(I1393,"1D","FOLLOWING","TGT")</f>
        <v>44488</v>
      </c>
      <c r="J1394" s="95">
        <f ca="1"/>
        <v>4.6812029894574203E-3</v>
      </c>
      <c r="K1394" s="5" t="s">
        <v>4</v>
      </c>
      <c r="L1394" s="97">
        <f>_xll.meDateFromTenor(L1393,"1D","FOLLOWING","TGT")</f>
        <v>44488</v>
      </c>
      <c r="M1394" s="95">
        <f ca="1"/>
        <v>6.4271643290721324E-3</v>
      </c>
      <c r="N1394" s="5" t="s">
        <v>4</v>
      </c>
      <c r="O1394" s="97">
        <f>_xll.meDateFromTenor(O1393,"1D","FOLLOWING","TGT")</f>
        <v>44488</v>
      </c>
      <c r="P1394" s="95">
        <f ca="1"/>
        <v>8.4125537552071656E-3</v>
      </c>
      <c r="Q1394" s="5" t="s">
        <v>4</v>
      </c>
      <c r="R1394" s="83" t="s">
        <v>4</v>
      </c>
    </row>
    <row r="1395" spans="1:18" x14ac:dyDescent="0.25">
      <c r="A1395" s="88">
        <v>1381</v>
      </c>
      <c r="B1395" s="82"/>
      <c r="C1395" s="97">
        <f>_xll.meDateFromTenor(C1394,"1D","FOLLOWING","TGT")</f>
        <v>44489</v>
      </c>
      <c r="D1395" s="95">
        <f ca="1"/>
        <v>2.7230304760028634E-3</v>
      </c>
      <c r="E1395" s="92"/>
      <c r="F1395" s="97">
        <f>_xll.meDateFromTenor(F1394,"1D","FOLLOWING","TGT")</f>
        <v>44489</v>
      </c>
      <c r="G1395" s="95">
        <f ca="1"/>
        <v>3.4433294391711979E-3</v>
      </c>
      <c r="H1395" s="92" t="s">
        <v>4</v>
      </c>
      <c r="I1395" s="97">
        <f>_xll.meDateFromTenor(I1394,"1D","FOLLOWING","TGT")</f>
        <v>44489</v>
      </c>
      <c r="J1395" s="95">
        <f ca="1"/>
        <v>4.6892741544172431E-3</v>
      </c>
      <c r="K1395" s="5" t="s">
        <v>4</v>
      </c>
      <c r="L1395" s="97">
        <f>_xll.meDateFromTenor(L1394,"1D","FOLLOWING","TGT")</f>
        <v>44489</v>
      </c>
      <c r="M1395" s="95">
        <f ca="1"/>
        <v>6.434992128375565E-3</v>
      </c>
      <c r="N1395" s="5" t="s">
        <v>4</v>
      </c>
      <c r="O1395" s="97">
        <f>_xll.meDateFromTenor(O1394,"1D","FOLLOWING","TGT")</f>
        <v>44489</v>
      </c>
      <c r="P1395" s="95">
        <f ca="1"/>
        <v>8.4198267636603208E-3</v>
      </c>
      <c r="Q1395" s="5" t="s">
        <v>4</v>
      </c>
      <c r="R1395" s="83" t="s">
        <v>4</v>
      </c>
    </row>
    <row r="1396" spans="1:18" x14ac:dyDescent="0.25">
      <c r="A1396" s="88">
        <v>1382</v>
      </c>
      <c r="B1396" s="82"/>
      <c r="C1396" s="97">
        <f>_xll.meDateFromTenor(C1395,"1D","FOLLOWING","TGT")</f>
        <v>44490</v>
      </c>
      <c r="D1396" s="95">
        <f ca="1"/>
        <v>2.7319194733670393E-3</v>
      </c>
      <c r="E1396" s="92"/>
      <c r="F1396" s="97">
        <f>_xll.meDateFromTenor(F1395,"1D","FOLLOWING","TGT")</f>
        <v>44490</v>
      </c>
      <c r="G1396" s="95">
        <f ca="1"/>
        <v>3.4511616033029375E-3</v>
      </c>
      <c r="H1396" s="92" t="s">
        <v>4</v>
      </c>
      <c r="I1396" s="97">
        <f>_xll.meDateFromTenor(I1395,"1D","FOLLOWING","TGT")</f>
        <v>44490</v>
      </c>
      <c r="J1396" s="95">
        <f ca="1"/>
        <v>4.6973487022141328E-3</v>
      </c>
      <c r="K1396" s="5" t="s">
        <v>4</v>
      </c>
      <c r="L1396" s="97">
        <f>_xll.meDateFromTenor(L1395,"1D","FOLLOWING","TGT")</f>
        <v>44490</v>
      </c>
      <c r="M1396" s="95">
        <f ca="1"/>
        <v>6.4428237226067803E-3</v>
      </c>
      <c r="N1396" s="5" t="s">
        <v>4</v>
      </c>
      <c r="O1396" s="97">
        <f>_xll.meDateFromTenor(O1395,"1D","FOLLOWING","TGT")</f>
        <v>44490</v>
      </c>
      <c r="P1396" s="95">
        <f ca="1"/>
        <v>8.4270992954891058E-3</v>
      </c>
      <c r="Q1396" s="5" t="s">
        <v>4</v>
      </c>
      <c r="R1396" s="83" t="s">
        <v>4</v>
      </c>
    </row>
    <row r="1397" spans="1:18" x14ac:dyDescent="0.25">
      <c r="A1397" s="88">
        <v>1383</v>
      </c>
      <c r="B1397" s="82"/>
      <c r="C1397" s="97">
        <f>_xll.meDateFromTenor(C1396,"1D","FOLLOWING","TGT")</f>
        <v>44491</v>
      </c>
      <c r="D1397" s="95">
        <f ca="1"/>
        <v>2.7408014384042723E-3</v>
      </c>
      <c r="E1397" s="92"/>
      <c r="F1397" s="97">
        <f>_xll.meDateFromTenor(F1396,"1D","FOLLOWING","TGT")</f>
        <v>44491</v>
      </c>
      <c r="G1397" s="95">
        <f ca="1"/>
        <v>3.4590105774372801E-3</v>
      </c>
      <c r="H1397" s="92" t="s">
        <v>4</v>
      </c>
      <c r="I1397" s="97">
        <f>_xll.meDateFromTenor(I1396,"1D","FOLLOWING","TGT")</f>
        <v>44491</v>
      </c>
      <c r="J1397" s="95">
        <f ca="1"/>
        <v>4.7054266765747801E-3</v>
      </c>
      <c r="K1397" s="5" t="s">
        <v>4</v>
      </c>
      <c r="L1397" s="97">
        <f>_xll.meDateFromTenor(L1396,"1D","FOLLOWING","TGT")</f>
        <v>44491</v>
      </c>
      <c r="M1397" s="95">
        <f ca="1"/>
        <v>6.4506591196218229E-3</v>
      </c>
      <c r="N1397" s="5" t="s">
        <v>4</v>
      </c>
      <c r="O1397" s="97">
        <f>_xll.meDateFromTenor(O1396,"1D","FOLLOWING","TGT")</f>
        <v>44491</v>
      </c>
      <c r="P1397" s="95">
        <f ca="1"/>
        <v>8.43437134723065E-3</v>
      </c>
      <c r="Q1397" s="5" t="s">
        <v>4</v>
      </c>
      <c r="R1397" s="83" t="s">
        <v>4</v>
      </c>
    </row>
    <row r="1398" spans="1:18" x14ac:dyDescent="0.25">
      <c r="A1398" s="88">
        <v>1384</v>
      </c>
      <c r="B1398" s="82"/>
      <c r="C1398" s="97">
        <f>_xll.meDateFromTenor(C1397,"1D","FOLLOWING","TGT")</f>
        <v>44494</v>
      </c>
      <c r="D1398" s="95">
        <f ca="1"/>
        <v>2.7674051415891299E-3</v>
      </c>
      <c r="E1398" s="92"/>
      <c r="F1398" s="97">
        <f>_xll.meDateFromTenor(F1397,"1D","FOLLOWING","TGT")</f>
        <v>44494</v>
      </c>
      <c r="G1398" s="95">
        <f ca="1"/>
        <v>3.4826484453487879E-3</v>
      </c>
      <c r="H1398" s="92" t="s">
        <v>4</v>
      </c>
      <c r="I1398" s="97">
        <f>_xll.meDateFromTenor(I1397,"1D","FOLLOWING","TGT")</f>
        <v>44494</v>
      </c>
      <c r="J1398" s="95">
        <f ca="1"/>
        <v>4.7296815963060491E-3</v>
      </c>
      <c r="K1398" s="5" t="s">
        <v>4</v>
      </c>
      <c r="L1398" s="97">
        <f>_xll.meDateFromTenor(L1397,"1D","FOLLOWING","TGT")</f>
        <v>44494</v>
      </c>
      <c r="M1398" s="95">
        <f ca="1"/>
        <v>6.4741882059302786E-3</v>
      </c>
      <c r="N1398" s="5" t="s">
        <v>4</v>
      </c>
      <c r="O1398" s="97">
        <f>_xll.meDateFromTenor(O1397,"1D","FOLLOWING","TGT")</f>
        <v>44494</v>
      </c>
      <c r="P1398" s="95">
        <f ca="1"/>
        <v>8.4561845873030207E-3</v>
      </c>
      <c r="Q1398" s="5" t="s">
        <v>4</v>
      </c>
      <c r="R1398" s="83" t="s">
        <v>4</v>
      </c>
    </row>
    <row r="1399" spans="1:18" x14ac:dyDescent="0.25">
      <c r="A1399" s="88">
        <v>1385</v>
      </c>
      <c r="B1399" s="82"/>
      <c r="C1399" s="97">
        <f>_xll.meDateFromTenor(C1398,"1D","FOLLOWING","TGT")</f>
        <v>44495</v>
      </c>
      <c r="D1399" s="95">
        <f ca="1"/>
        <v>2.7762589794422254E-3</v>
      </c>
      <c r="E1399" s="92"/>
      <c r="F1399" s="97">
        <f>_xll.meDateFromTenor(F1398,"1D","FOLLOWING","TGT")</f>
        <v>44495</v>
      </c>
      <c r="G1399" s="95">
        <f ca="1"/>
        <v>3.4905547449864227E-3</v>
      </c>
      <c r="H1399" s="92" t="s">
        <v>4</v>
      </c>
      <c r="I1399" s="97">
        <f>_xll.meDateFromTenor(I1398,"1D","FOLLOWING","TGT")</f>
        <v>44495</v>
      </c>
      <c r="J1399" s="95">
        <f ca="1"/>
        <v>4.7377737141885284E-3</v>
      </c>
      <c r="K1399" s="5" t="s">
        <v>4</v>
      </c>
      <c r="L1399" s="97">
        <f>_xll.meDateFromTenor(L1398,"1D","FOLLOWING","TGT")</f>
        <v>44495</v>
      </c>
      <c r="M1399" s="95">
        <f ca="1"/>
        <v>6.4820388926410078E-3</v>
      </c>
      <c r="N1399" s="5" t="s">
        <v>4</v>
      </c>
      <c r="O1399" s="97">
        <f>_xll.meDateFromTenor(O1398,"1D","FOLLOWING","TGT")</f>
        <v>44495</v>
      </c>
      <c r="P1399" s="95">
        <f ca="1"/>
        <v>8.4634546840667985E-3</v>
      </c>
      <c r="Q1399" s="5" t="s">
        <v>4</v>
      </c>
      <c r="R1399" s="83" t="s">
        <v>4</v>
      </c>
    </row>
    <row r="1400" spans="1:18" x14ac:dyDescent="0.25">
      <c r="A1400" s="88">
        <v>1386</v>
      </c>
      <c r="B1400" s="82"/>
      <c r="C1400" s="97">
        <f>_xll.meDateFromTenor(C1399,"1D","FOLLOWING","TGT")</f>
        <v>44496</v>
      </c>
      <c r="D1400" s="95">
        <f ca="1"/>
        <v>2.7851057861114636E-3</v>
      </c>
      <c r="E1400" s="92"/>
      <c r="F1400" s="97">
        <f>_xll.meDateFromTenor(F1399,"1D","FOLLOWING","TGT")</f>
        <v>44496</v>
      </c>
      <c r="G1400" s="95">
        <f ca="1"/>
        <v>3.498472897373108E-3</v>
      </c>
      <c r="H1400" s="92" t="s">
        <v>4</v>
      </c>
      <c r="I1400" s="97">
        <f>_xll.meDateFromTenor(I1399,"1D","FOLLOWING","TGT")</f>
        <v>44496</v>
      </c>
      <c r="J1400" s="95">
        <f ca="1"/>
        <v>4.7458694772681727E-3</v>
      </c>
      <c r="K1400" s="5" t="s">
        <v>4</v>
      </c>
      <c r="L1400" s="97">
        <f>_xll.meDateFromTenor(L1399,"1D","FOLLOWING","TGT")</f>
        <v>44496</v>
      </c>
      <c r="M1400" s="95">
        <f ca="1"/>
        <v>6.4898934214157591E-3</v>
      </c>
      <c r="N1400" s="5" t="s">
        <v>4</v>
      </c>
      <c r="O1400" s="97">
        <f>_xll.meDateFromTenor(O1399,"1D","FOLLOWING","TGT")</f>
        <v>44496</v>
      </c>
      <c r="P1400" s="95">
        <f ca="1"/>
        <v>8.4707242834289442E-3</v>
      </c>
      <c r="Q1400" s="5" t="s">
        <v>4</v>
      </c>
      <c r="R1400" s="83" t="s">
        <v>4</v>
      </c>
    </row>
    <row r="1401" spans="1:18" x14ac:dyDescent="0.25">
      <c r="A1401" s="88">
        <v>1387</v>
      </c>
      <c r="B1401" s="82"/>
      <c r="C1401" s="97">
        <f>_xll.meDateFromTenor(C1400,"1D","FOLLOWING","TGT")</f>
        <v>44497</v>
      </c>
      <c r="D1401" s="95">
        <f ca="1"/>
        <v>2.7939455618946063E-3</v>
      </c>
      <c r="E1401" s="92"/>
      <c r="F1401" s="97">
        <f>_xll.meDateFromTenor(F1400,"1D","FOLLOWING","TGT")</f>
        <v>44497</v>
      </c>
      <c r="G1401" s="95">
        <f ca="1"/>
        <v>3.5064019110581332E-3</v>
      </c>
      <c r="H1401" s="92" t="s">
        <v>4</v>
      </c>
      <c r="I1401" s="97">
        <f>_xll.meDateFromTenor(I1400,"1D","FOLLOWING","TGT")</f>
        <v>44497</v>
      </c>
      <c r="J1401" s="95">
        <f ca="1"/>
        <v>4.7539689292716656E-3</v>
      </c>
      <c r="K1401" s="5" t="s">
        <v>4</v>
      </c>
      <c r="L1401" s="97">
        <f>_xll.meDateFromTenor(L1400,"1D","FOLLOWING","TGT")</f>
        <v>44497</v>
      </c>
      <c r="M1401" s="95">
        <f ca="1"/>
        <v>6.4977518001105702E-3</v>
      </c>
      <c r="N1401" s="5" t="s">
        <v>4</v>
      </c>
      <c r="O1401" s="97">
        <f>_xll.meDateFromTenor(O1400,"1D","FOLLOWING","TGT")</f>
        <v>44497</v>
      </c>
      <c r="P1401" s="95">
        <f ca="1"/>
        <v>8.4779933819265751E-3</v>
      </c>
      <c r="Q1401" s="5" t="s">
        <v>4</v>
      </c>
      <c r="R1401" s="83" t="s">
        <v>4</v>
      </c>
    </row>
    <row r="1402" spans="1:18" x14ac:dyDescent="0.25">
      <c r="A1402" s="88">
        <v>1388</v>
      </c>
      <c r="B1402" s="82"/>
      <c r="C1402" s="97">
        <f>_xll.meDateFromTenor(C1401,"1D","FOLLOWING","TGT")</f>
        <v>44498</v>
      </c>
      <c r="D1402" s="95">
        <f ca="1"/>
        <v>2.8027783069215495E-3</v>
      </c>
      <c r="E1402" s="92"/>
      <c r="F1402" s="97">
        <f>_xll.meDateFromTenor(F1401,"1D","FOLLOWING","TGT")</f>
        <v>44498</v>
      </c>
      <c r="G1402" s="95">
        <f ca="1"/>
        <v>3.5143407945907893E-3</v>
      </c>
      <c r="H1402" s="92" t="s">
        <v>4</v>
      </c>
      <c r="I1402" s="97">
        <f>_xll.meDateFromTenor(I1401,"1D","FOLLOWING","TGT")</f>
        <v>44498</v>
      </c>
      <c r="J1402" s="95">
        <f ca="1"/>
        <v>4.7620721139256892E-3</v>
      </c>
      <c r="K1402" s="5" t="s">
        <v>4</v>
      </c>
      <c r="L1402" s="97">
        <f>_xll.meDateFromTenor(L1401,"1D","FOLLOWING","TGT")</f>
        <v>44498</v>
      </c>
      <c r="M1402" s="95">
        <f ca="1"/>
        <v>6.5056140365814816E-3</v>
      </c>
      <c r="N1402" s="5" t="s">
        <v>4</v>
      </c>
      <c r="O1402" s="97">
        <f>_xll.meDateFromTenor(O1401,"1D","FOLLOWING","TGT")</f>
        <v>44498</v>
      </c>
      <c r="P1402" s="95">
        <f ca="1"/>
        <v>8.4852619760968188E-3</v>
      </c>
      <c r="Q1402" s="5" t="s">
        <v>4</v>
      </c>
      <c r="R1402" s="83" t="s">
        <v>4</v>
      </c>
    </row>
    <row r="1403" spans="1:18" x14ac:dyDescent="0.25">
      <c r="A1403" s="88">
        <v>1389</v>
      </c>
      <c r="B1403" s="82"/>
      <c r="C1403" s="97">
        <f>_xll.meDateFromTenor(C1402,"1D","FOLLOWING","TGT")</f>
        <v>44501</v>
      </c>
      <c r="D1403" s="95">
        <f ca="1"/>
        <v>2.8292343600235803E-3</v>
      </c>
      <c r="E1403" s="92"/>
      <c r="F1403" s="97">
        <f>_xll.meDateFromTenor(F1402,"1D","FOLLOWING","TGT")</f>
        <v>44501</v>
      </c>
      <c r="G1403" s="95">
        <f ca="1"/>
        <v>3.5382067497674433E-3</v>
      </c>
      <c r="H1403" s="92" t="s">
        <v>4</v>
      </c>
      <c r="I1403" s="97">
        <f>_xll.meDateFromTenor(I1402,"1D","FOLLOWING","TGT")</f>
        <v>44501</v>
      </c>
      <c r="J1403" s="95">
        <f ca="1"/>
        <v>4.7864045010577701E-3</v>
      </c>
      <c r="K1403" s="5" t="s">
        <v>4</v>
      </c>
      <c r="L1403" s="97">
        <f>_xll.meDateFromTenor(L1402,"1D","FOLLOWING","TGT")</f>
        <v>44501</v>
      </c>
      <c r="M1403" s="95">
        <f ca="1"/>
        <v>6.5292239712112093E-3</v>
      </c>
      <c r="N1403" s="5" t="s">
        <v>4</v>
      </c>
      <c r="O1403" s="97">
        <f>_xll.meDateFromTenor(O1402,"1D","FOLLOWING","TGT")</f>
        <v>44501</v>
      </c>
      <c r="P1403" s="95">
        <f ca="1"/>
        <v>8.5070646980144101E-3</v>
      </c>
      <c r="Q1403" s="5" t="s">
        <v>4</v>
      </c>
      <c r="R1403" s="83" t="s">
        <v>4</v>
      </c>
    </row>
    <row r="1404" spans="1:18" x14ac:dyDescent="0.25">
      <c r="A1404" s="88">
        <v>1390</v>
      </c>
      <c r="B1404" s="82"/>
      <c r="C1404" s="97">
        <f>_xll.meDateFromTenor(C1403,"1D","FOLLOWING","TGT")</f>
        <v>44502</v>
      </c>
      <c r="D1404" s="95">
        <f ca="1"/>
        <v>2.8380389846600629E-3</v>
      </c>
      <c r="E1404" s="92"/>
      <c r="F1404" s="97">
        <f>_xll.meDateFromTenor(F1403,"1D","FOLLOWING","TGT")</f>
        <v>44502</v>
      </c>
      <c r="G1404" s="95">
        <f ca="1"/>
        <v>3.5461751981835268E-3</v>
      </c>
      <c r="H1404" s="92" t="s">
        <v>4</v>
      </c>
      <c r="I1404" s="97">
        <f>_xll.meDateFromTenor(I1403,"1D","FOLLOWING","TGT")</f>
        <v>44502</v>
      </c>
      <c r="J1404" s="95">
        <f ca="1"/>
        <v>4.7945230535807442E-3</v>
      </c>
      <c r="K1404" s="5" t="s">
        <v>4</v>
      </c>
      <c r="L1404" s="97">
        <f>_xll.meDateFromTenor(L1403,"1D","FOLLOWING","TGT")</f>
        <v>44502</v>
      </c>
      <c r="M1404" s="95">
        <f ca="1"/>
        <v>6.5371017173469171E-3</v>
      </c>
      <c r="N1404" s="5" t="s">
        <v>4</v>
      </c>
      <c r="O1404" s="97">
        <f>_xll.meDateFromTenor(O1403,"1D","FOLLOWING","TGT")</f>
        <v>44502</v>
      </c>
      <c r="P1404" s="95">
        <f ca="1"/>
        <v>8.5143312402463107E-3</v>
      </c>
      <c r="Q1404" s="5" t="s">
        <v>4</v>
      </c>
      <c r="R1404" s="83" t="s">
        <v>4</v>
      </c>
    </row>
    <row r="1405" spans="1:18" x14ac:dyDescent="0.25">
      <c r="A1405" s="88">
        <v>1391</v>
      </c>
      <c r="B1405" s="82"/>
      <c r="C1405" s="97">
        <f>_xll.meDateFromTenor(C1404,"1D","FOLLOWING","TGT")</f>
        <v>44503</v>
      </c>
      <c r="D1405" s="95">
        <f ca="1"/>
        <v>2.8468365796929795E-3</v>
      </c>
      <c r="E1405" s="92"/>
      <c r="F1405" s="97">
        <f>_xll.meDateFromTenor(F1404,"1D","FOLLOWING","TGT")</f>
        <v>44503</v>
      </c>
      <c r="G1405" s="95">
        <f ca="1"/>
        <v>3.554148584687659E-3</v>
      </c>
      <c r="H1405" s="92" t="s">
        <v>4</v>
      </c>
      <c r="I1405" s="97">
        <f>_xll.meDateFromTenor(I1404,"1D","FOLLOWING","TGT")</f>
        <v>44503</v>
      </c>
      <c r="J1405" s="95">
        <f ca="1"/>
        <v>4.8026455573876642E-3</v>
      </c>
      <c r="K1405" s="5" t="s">
        <v>4</v>
      </c>
      <c r="L1405" s="97">
        <f>_xll.meDateFromTenor(L1404,"1D","FOLLOWING","TGT")</f>
        <v>44503</v>
      </c>
      <c r="M1405" s="95">
        <f ca="1"/>
        <v>6.5449833605389206E-3</v>
      </c>
      <c r="N1405" s="5" t="s">
        <v>4</v>
      </c>
      <c r="O1405" s="97">
        <f>_xll.meDateFromTenor(O1404,"1D","FOLLOWING","TGT")</f>
        <v>44503</v>
      </c>
      <c r="P1405" s="95">
        <f ca="1"/>
        <v>8.5215972608364277E-3</v>
      </c>
      <c r="Q1405" s="5" t="s">
        <v>4</v>
      </c>
      <c r="R1405" s="83" t="s">
        <v>4</v>
      </c>
    </row>
    <row r="1406" spans="1:18" x14ac:dyDescent="0.25">
      <c r="A1406" s="88">
        <v>1392</v>
      </c>
      <c r="B1406" s="82"/>
      <c r="C1406" s="97">
        <f>_xll.meDateFromTenor(C1405,"1D","FOLLOWING","TGT")</f>
        <v>44504</v>
      </c>
      <c r="D1406" s="95">
        <f ca="1"/>
        <v>2.8556271453412663E-3</v>
      </c>
      <c r="E1406" s="92"/>
      <c r="F1406" s="97">
        <f>_xll.meDateFromTenor(F1405,"1D","FOLLOWING","TGT")</f>
        <v>44504</v>
      </c>
      <c r="G1406" s="95">
        <f ca="1"/>
        <v>3.5621260452989626E-3</v>
      </c>
      <c r="H1406" s="92" t="s">
        <v>4</v>
      </c>
      <c r="I1406" s="97">
        <f>_xll.meDateFromTenor(I1405,"1D","FOLLOWING","TGT")</f>
        <v>44504</v>
      </c>
      <c r="J1406" s="95">
        <f ca="1"/>
        <v>4.8107720562052111E-3</v>
      </c>
      <c r="K1406" s="5" t="s">
        <v>4</v>
      </c>
      <c r="L1406" s="97">
        <f>_xll.meDateFromTenor(L1405,"1D","FOLLOWING","TGT")</f>
        <v>44504</v>
      </c>
      <c r="M1406" s="95">
        <f ca="1"/>
        <v>6.5528689086432621E-3</v>
      </c>
      <c r="N1406" s="5" t="s">
        <v>4</v>
      </c>
      <c r="O1406" s="97">
        <f>_xll.meDateFromTenor(O1405,"1D","FOLLOWING","TGT")</f>
        <v>44504</v>
      </c>
      <c r="P1406" s="95">
        <f ca="1"/>
        <v>8.528862756321887E-3</v>
      </c>
      <c r="Q1406" s="5" t="s">
        <v>4</v>
      </c>
      <c r="R1406" s="83" t="s">
        <v>4</v>
      </c>
    </row>
    <row r="1407" spans="1:18" x14ac:dyDescent="0.25">
      <c r="A1407" s="88">
        <v>1393</v>
      </c>
      <c r="B1407" s="82"/>
      <c r="C1407" s="97">
        <f>_xll.meDateFromTenor(C1406,"1D","FOLLOWING","TGT")</f>
        <v>44505</v>
      </c>
      <c r="D1407" s="95">
        <f ca="1"/>
        <v>2.8644106819764037E-3</v>
      </c>
      <c r="E1407" s="92"/>
      <c r="F1407" s="97">
        <f>_xll.meDateFromTenor(F1406,"1D","FOLLOWING","TGT")</f>
        <v>44505</v>
      </c>
      <c r="G1407" s="95">
        <f ca="1"/>
        <v>3.5701067415305236E-3</v>
      </c>
      <c r="H1407" s="92" t="s">
        <v>4</v>
      </c>
      <c r="I1407" s="97">
        <f>_xll.meDateFromTenor(I1406,"1D","FOLLOWING","TGT")</f>
        <v>44505</v>
      </c>
      <c r="J1407" s="95">
        <f ca="1"/>
        <v>4.8189025937600671E-3</v>
      </c>
      <c r="K1407" s="5" t="s">
        <v>4</v>
      </c>
      <c r="L1407" s="97">
        <f>_xll.meDateFromTenor(L1406,"1D","FOLLOWING","TGT")</f>
        <v>44505</v>
      </c>
      <c r="M1407" s="95">
        <f ca="1"/>
        <v>6.5607583695159802E-3</v>
      </c>
      <c r="N1407" s="5" t="s">
        <v>4</v>
      </c>
      <c r="O1407" s="97">
        <f>_xll.meDateFromTenor(O1406,"1D","FOLLOWING","TGT")</f>
        <v>44505</v>
      </c>
      <c r="P1407" s="95">
        <f ca="1"/>
        <v>8.5361277232398093E-3</v>
      </c>
      <c r="Q1407" s="5" t="s">
        <v>4</v>
      </c>
      <c r="R1407" s="83" t="s">
        <v>4</v>
      </c>
    </row>
    <row r="1408" spans="1:18" x14ac:dyDescent="0.25">
      <c r="A1408" s="88">
        <v>1394</v>
      </c>
      <c r="B1408" s="82"/>
      <c r="C1408" s="97">
        <f>_xll.meDateFromTenor(C1407,"1D","FOLLOWING","TGT")</f>
        <v>44508</v>
      </c>
      <c r="D1408" s="95">
        <f ca="1"/>
        <v>2.8907191195721715E-3</v>
      </c>
      <c r="E1408" s="92"/>
      <c r="F1408" s="97">
        <f>_xll.meDateFromTenor(F1407,"1D","FOLLOWING","TGT")</f>
        <v>44508</v>
      </c>
      <c r="G1408" s="95">
        <f ca="1"/>
        <v>3.5940598590776243E-3</v>
      </c>
      <c r="H1408" s="92" t="s">
        <v>4</v>
      </c>
      <c r="I1408" s="97">
        <f>_xll.meDateFromTenor(I1407,"1D","FOLLOWING","TGT")</f>
        <v>44508</v>
      </c>
      <c r="J1408" s="95">
        <f ca="1"/>
        <v>4.8433188761153219E-3</v>
      </c>
      <c r="K1408" s="5" t="s">
        <v>4</v>
      </c>
      <c r="L1408" s="97">
        <f>_xll.meDateFromTenor(L1407,"1D","FOLLOWING","TGT")</f>
        <v>44508</v>
      </c>
      <c r="M1408" s="95">
        <f ca="1"/>
        <v>6.5844503073047879E-3</v>
      </c>
      <c r="N1408" s="5" t="s">
        <v>4</v>
      </c>
      <c r="O1408" s="97">
        <f>_xll.meDateFromTenor(O1407,"1D","FOLLOWING","TGT")</f>
        <v>44508</v>
      </c>
      <c r="P1408" s="95">
        <f ca="1"/>
        <v>8.5579194179595773E-3</v>
      </c>
      <c r="Q1408" s="5" t="s">
        <v>4</v>
      </c>
      <c r="R1408" s="83" t="s">
        <v>4</v>
      </c>
    </row>
    <row r="1409" spans="1:18" x14ac:dyDescent="0.25">
      <c r="A1409" s="88">
        <v>1395</v>
      </c>
      <c r="B1409" s="82"/>
      <c r="C1409" s="97">
        <f>_xll.meDateFromTenor(C1408,"1D","FOLLOWING","TGT")</f>
        <v>44509</v>
      </c>
      <c r="D1409" s="95">
        <f ca="1"/>
        <v>2.8994745420769519E-3</v>
      </c>
      <c r="E1409" s="92"/>
      <c r="F1409" s="97">
        <f>_xll.meDateFromTenor(F1408,"1D","FOLLOWING","TGT")</f>
        <v>44509</v>
      </c>
      <c r="G1409" s="95">
        <f ca="1"/>
        <v>3.6020451129210908E-3</v>
      </c>
      <c r="H1409" s="92" t="s">
        <v>4</v>
      </c>
      <c r="I1409" s="97">
        <f>_xll.meDateFromTenor(I1408,"1D","FOLLOWING","TGT")</f>
        <v>44509</v>
      </c>
      <c r="J1409" s="95">
        <f ca="1"/>
        <v>4.8514660058862459E-3</v>
      </c>
      <c r="K1409" s="5" t="s">
        <v>4</v>
      </c>
      <c r="L1409" s="97">
        <f>_xll.meDateFromTenor(L1408,"1D","FOLLOWING","TGT")</f>
        <v>44509</v>
      </c>
      <c r="M1409" s="95">
        <f ca="1"/>
        <v>6.5923554978114069E-3</v>
      </c>
      <c r="N1409" s="5" t="s">
        <v>4</v>
      </c>
      <c r="O1409" s="97">
        <f>_xll.meDateFromTenor(O1408,"1D","FOLLOWING","TGT")</f>
        <v>44509</v>
      </c>
      <c r="P1409" s="95">
        <f ca="1"/>
        <v>8.5651822359785763E-3</v>
      </c>
      <c r="Q1409" s="5" t="s">
        <v>4</v>
      </c>
      <c r="R1409" s="83" t="s">
        <v>4</v>
      </c>
    </row>
    <row r="1410" spans="1:18" x14ac:dyDescent="0.25">
      <c r="A1410" s="88">
        <v>1396</v>
      </c>
      <c r="B1410" s="82"/>
      <c r="C1410" s="97">
        <f>_xll.meDateFromTenor(C1409,"1D","FOLLOWING","TGT")</f>
        <v>44510</v>
      </c>
      <c r="D1410" s="95">
        <f ca="1"/>
        <v>2.9082229366508283E-3</v>
      </c>
      <c r="E1410" s="92"/>
      <c r="F1410" s="97">
        <f>_xll.meDateFromTenor(F1409,"1D","FOLLOWING","TGT")</f>
        <v>44510</v>
      </c>
      <c r="G1410" s="95">
        <f ca="1"/>
        <v>3.610029409950252E-3</v>
      </c>
      <c r="H1410" s="92" t="s">
        <v>4</v>
      </c>
      <c r="I1410" s="97">
        <f>_xll.meDateFromTenor(I1409,"1D","FOLLOWING","TGT")</f>
        <v>44510</v>
      </c>
      <c r="J1410" s="95">
        <f ca="1"/>
        <v>4.8596173930278942E-3</v>
      </c>
      <c r="K1410" s="5" t="s">
        <v>4</v>
      </c>
      <c r="L1410" s="97">
        <f>_xll.meDateFromTenor(L1409,"1D","FOLLOWING","TGT")</f>
        <v>44510</v>
      </c>
      <c r="M1410" s="95">
        <f ca="1"/>
        <v>6.6002646403666007E-3</v>
      </c>
      <c r="N1410" s="5" t="s">
        <v>4</v>
      </c>
      <c r="O1410" s="97">
        <f>_xll.meDateFromTenor(O1409,"1D","FOLLOWING","TGT")</f>
        <v>44510</v>
      </c>
      <c r="P1410" s="95">
        <f ca="1"/>
        <v>8.5724445081156488E-3</v>
      </c>
      <c r="Q1410" s="5" t="s">
        <v>4</v>
      </c>
      <c r="R1410" s="83" t="s">
        <v>4</v>
      </c>
    </row>
    <row r="1411" spans="1:18" x14ac:dyDescent="0.25">
      <c r="A1411" s="88">
        <v>1397</v>
      </c>
      <c r="B1411" s="82"/>
      <c r="C1411" s="97">
        <f>_xll.meDateFromTenor(C1410,"1D","FOLLOWING","TGT")</f>
        <v>44511</v>
      </c>
      <c r="D1411" s="95">
        <f ca="1"/>
        <v>2.9169643034254733E-3</v>
      </c>
      <c r="E1411" s="92"/>
      <c r="F1411" s="97">
        <f>_xll.meDateFromTenor(F1410,"1D","FOLLOWING","TGT")</f>
        <v>44511</v>
      </c>
      <c r="G1411" s="95">
        <f ca="1"/>
        <v>3.6180119116781956E-3</v>
      </c>
      <c r="H1411" s="92" t="s">
        <v>4</v>
      </c>
      <c r="I1411" s="97">
        <f>_xll.meDateFromTenor(I1410,"1D","FOLLOWING","TGT")</f>
        <v>44511</v>
      </c>
      <c r="J1411" s="95">
        <f ca="1"/>
        <v>4.8677730812669486E-3</v>
      </c>
      <c r="K1411" s="5" t="s">
        <v>4</v>
      </c>
      <c r="L1411" s="97">
        <f>_xll.meDateFromTenor(L1410,"1D","FOLLOWING","TGT")</f>
        <v>44511</v>
      </c>
      <c r="M1411" s="95">
        <f ca="1"/>
        <v>6.6081777428264096E-3</v>
      </c>
      <c r="N1411" s="5" t="s">
        <v>4</v>
      </c>
      <c r="O1411" s="97">
        <f>_xll.meDateFromTenor(O1410,"1D","FOLLOWING","TGT")</f>
        <v>44511</v>
      </c>
      <c r="P1411" s="95">
        <f ca="1"/>
        <v>8.579706230907919E-3</v>
      </c>
      <c r="Q1411" s="5" t="s">
        <v>4</v>
      </c>
      <c r="R1411" s="83" t="s">
        <v>4</v>
      </c>
    </row>
    <row r="1412" spans="1:18" x14ac:dyDescent="0.25">
      <c r="A1412" s="88">
        <v>1398</v>
      </c>
      <c r="B1412" s="82"/>
      <c r="C1412" s="97">
        <f>_xll.meDateFromTenor(C1411,"1D","FOLLOWING","TGT")</f>
        <v>44512</v>
      </c>
      <c r="D1412" s="95">
        <f ca="1"/>
        <v>2.9256986427816933E-3</v>
      </c>
      <c r="E1412" s="92"/>
      <c r="F1412" s="97">
        <f>_xll.meDateFromTenor(F1411,"1D","FOLLOWING","TGT")</f>
        <v>44512</v>
      </c>
      <c r="G1412" s="95">
        <f ca="1"/>
        <v>3.6259917796180089E-3</v>
      </c>
      <c r="H1412" s="92" t="s">
        <v>4</v>
      </c>
      <c r="I1412" s="97">
        <f>_xll.meDateFromTenor(I1411,"1D","FOLLOWING","TGT")</f>
        <v>44512</v>
      </c>
      <c r="J1412" s="95">
        <f ca="1"/>
        <v>4.8759331143300912E-3</v>
      </c>
      <c r="K1412" s="5" t="s">
        <v>4</v>
      </c>
      <c r="L1412" s="97">
        <f>_xll.meDateFromTenor(L1411,"1D","FOLLOWING","TGT")</f>
        <v>44512</v>
      </c>
      <c r="M1412" s="95">
        <f ca="1"/>
        <v>6.6160948130468697E-3</v>
      </c>
      <c r="N1412" s="5" t="s">
        <v>4</v>
      </c>
      <c r="O1412" s="97">
        <f>_xll.meDateFromTenor(O1411,"1D","FOLLOWING","TGT")</f>
        <v>44512</v>
      </c>
      <c r="P1412" s="95">
        <f ca="1"/>
        <v>8.5869674008925041E-3</v>
      </c>
      <c r="Q1412" s="5" t="s">
        <v>4</v>
      </c>
      <c r="R1412" s="83" t="s">
        <v>4</v>
      </c>
    </row>
    <row r="1413" spans="1:18" x14ac:dyDescent="0.25">
      <c r="A1413" s="88">
        <v>1399</v>
      </c>
      <c r="B1413" s="82"/>
      <c r="C1413" s="97">
        <f>_xll.meDateFromTenor(C1412,"1D","FOLLOWING","TGT")</f>
        <v>44515</v>
      </c>
      <c r="D1413" s="95">
        <f ca="1"/>
        <v>2.9518594975270762E-3</v>
      </c>
      <c r="E1413" s="92"/>
      <c r="F1413" s="97">
        <f>_xll.meDateFromTenor(F1412,"1D","FOLLOWING","TGT")</f>
        <v>44515</v>
      </c>
      <c r="G1413" s="95">
        <f ca="1"/>
        <v>3.6499071958395433E-3</v>
      </c>
      <c r="H1413" s="92" t="s">
        <v>4</v>
      </c>
      <c r="I1413" s="97">
        <f>_xll.meDateFromTenor(I1412,"1D","FOLLOWING","TGT")</f>
        <v>44515</v>
      </c>
      <c r="J1413" s="95">
        <f ca="1"/>
        <v>4.9004397197308838E-3</v>
      </c>
      <c r="K1413" s="5" t="s">
        <v>4</v>
      </c>
      <c r="L1413" s="97">
        <f>_xll.meDateFromTenor(L1412,"1D","FOLLOWING","TGT")</f>
        <v>44515</v>
      </c>
      <c r="M1413" s="95">
        <f ca="1"/>
        <v>6.639869908832567E-3</v>
      </c>
      <c r="N1413" s="5" t="s">
        <v>4</v>
      </c>
      <c r="O1413" s="97">
        <f>_xll.meDateFromTenor(O1412,"1D","FOLLOWING","TGT")</f>
        <v>44515</v>
      </c>
      <c r="P1413" s="95">
        <f ca="1"/>
        <v>8.6087475593714016E-3</v>
      </c>
      <c r="Q1413" s="5" t="s">
        <v>4</v>
      </c>
      <c r="R1413" s="83" t="s">
        <v>4</v>
      </c>
    </row>
    <row r="1414" spans="1:18" x14ac:dyDescent="0.25">
      <c r="A1414" s="88">
        <v>1400</v>
      </c>
      <c r="B1414" s="82"/>
      <c r="C1414" s="97">
        <f>_xll.meDateFromTenor(C1413,"1D","FOLLOWING","TGT")</f>
        <v>44516</v>
      </c>
      <c r="D1414" s="95">
        <f ca="1"/>
        <v>2.9605657288063192E-3</v>
      </c>
      <c r="E1414" s="92"/>
      <c r="F1414" s="97">
        <f>_xll.meDateFromTenor(F1413,"1D","FOLLOWING","TGT")</f>
        <v>44516</v>
      </c>
      <c r="G1414" s="95">
        <f ca="1"/>
        <v>3.6578681437577113E-3</v>
      </c>
      <c r="H1414" s="92" t="s">
        <v>4</v>
      </c>
      <c r="I1414" s="97">
        <f>_xll.meDateFromTenor(I1413,"1D","FOLLOWING","TGT")</f>
        <v>44516</v>
      </c>
      <c r="J1414" s="95">
        <f ca="1"/>
        <v>4.9086175693572121E-3</v>
      </c>
      <c r="K1414" s="5" t="s">
        <v>4</v>
      </c>
      <c r="L1414" s="97">
        <f>_xll.meDateFromTenor(L1413,"1D","FOLLOWING","TGT")</f>
        <v>44516</v>
      </c>
      <c r="M1414" s="95">
        <f ca="1"/>
        <v>6.6478029286560335E-3</v>
      </c>
      <c r="N1414" s="5" t="s">
        <v>4</v>
      </c>
      <c r="O1414" s="97">
        <f>_xll.meDateFromTenor(O1413,"1D","FOLLOWING","TGT")</f>
        <v>44516</v>
      </c>
      <c r="P1414" s="95">
        <f ca="1"/>
        <v>8.6160064834964814E-3</v>
      </c>
      <c r="Q1414" s="5" t="s">
        <v>4</v>
      </c>
      <c r="R1414" s="83" t="s">
        <v>4</v>
      </c>
    </row>
    <row r="1415" spans="1:18" x14ac:dyDescent="0.25">
      <c r="A1415" s="88">
        <v>1401</v>
      </c>
      <c r="B1415" s="82"/>
      <c r="C1415" s="97">
        <f>_xll.meDateFromTenor(C1414,"1D","FOLLOWING","TGT")</f>
        <v>44517</v>
      </c>
      <c r="D1415" s="95">
        <f ca="1"/>
        <v>2.969264933666782E-3</v>
      </c>
      <c r="E1415" s="92"/>
      <c r="F1415" s="97">
        <f>_xll.meDateFromTenor(F1414,"1D","FOLLOWING","TGT")</f>
        <v>44517</v>
      </c>
      <c r="G1415" s="95">
        <f ca="1"/>
        <v>3.6658222654531833E-3</v>
      </c>
      <c r="H1415" s="92" t="s">
        <v>4</v>
      </c>
      <c r="I1415" s="97">
        <f>_xll.meDateFromTenor(I1414,"1D","FOLLOWING","TGT")</f>
        <v>44517</v>
      </c>
      <c r="J1415" s="95">
        <f ca="1"/>
        <v>4.9167999824410412E-3</v>
      </c>
      <c r="K1415" s="5" t="s">
        <v>4</v>
      </c>
      <c r="L1415" s="97">
        <f>_xll.meDateFromTenor(L1414,"1D","FOLLOWING","TGT")</f>
        <v>44517</v>
      </c>
      <c r="M1415" s="95">
        <f ca="1"/>
        <v>6.6557399555203503E-3</v>
      </c>
      <c r="N1415" s="5" t="s">
        <v>4</v>
      </c>
      <c r="O1415" s="97">
        <f>_xll.meDateFromTenor(O1414,"1D","FOLLOWING","TGT")</f>
        <v>44517</v>
      </c>
      <c r="P1415" s="95">
        <f ca="1"/>
        <v>8.6232648374994902E-3</v>
      </c>
      <c r="Q1415" s="5" t="s">
        <v>4</v>
      </c>
      <c r="R1415" s="83" t="s">
        <v>4</v>
      </c>
    </row>
    <row r="1416" spans="1:18" x14ac:dyDescent="0.25">
      <c r="A1416" s="88">
        <v>1402</v>
      </c>
      <c r="B1416" s="82"/>
      <c r="C1416" s="97">
        <f>_xll.meDateFromTenor(C1415,"1D","FOLLOWING","TGT")</f>
        <v>44518</v>
      </c>
      <c r="D1416" s="95">
        <f ca="1"/>
        <v>2.9779571121690829E-3</v>
      </c>
      <c r="E1416" s="92"/>
      <c r="F1416" s="97">
        <f>_xll.meDateFromTenor(F1415,"1D","FOLLOWING","TGT")</f>
        <v>44518</v>
      </c>
      <c r="G1416" s="95">
        <f ca="1"/>
        <v>3.6737687224390522E-3</v>
      </c>
      <c r="H1416" s="92" t="s">
        <v>4</v>
      </c>
      <c r="I1416" s="97">
        <f>_xll.meDateFromTenor(I1415,"1D","FOLLOWING","TGT")</f>
        <v>44518</v>
      </c>
      <c r="J1416" s="95">
        <f ca="1"/>
        <v>4.9249870027090557E-3</v>
      </c>
      <c r="K1416" s="5" t="s">
        <v>4</v>
      </c>
      <c r="L1416" s="97">
        <f>_xll.meDateFromTenor(L1415,"1D","FOLLOWING","TGT")</f>
        <v>44518</v>
      </c>
      <c r="M1416" s="95">
        <f ca="1"/>
        <v>6.6636809972815594E-3</v>
      </c>
      <c r="N1416" s="5" t="s">
        <v>4</v>
      </c>
      <c r="O1416" s="97">
        <f>_xll.meDateFromTenor(O1415,"1D","FOLLOWING","TGT")</f>
        <v>44518</v>
      </c>
      <c r="P1416" s="95">
        <f ca="1"/>
        <v>8.630522617917552E-3</v>
      </c>
      <c r="Q1416" s="5" t="s">
        <v>4</v>
      </c>
      <c r="R1416" s="83" t="s">
        <v>4</v>
      </c>
    </row>
    <row r="1417" spans="1:18" x14ac:dyDescent="0.25">
      <c r="A1417" s="88">
        <v>1403</v>
      </c>
      <c r="B1417" s="82"/>
      <c r="C1417" s="97">
        <f>_xll.meDateFromTenor(C1416,"1D","FOLLOWING","TGT")</f>
        <v>44519</v>
      </c>
      <c r="D1417" s="95">
        <f ca="1"/>
        <v>2.986642264767525E-3</v>
      </c>
      <c r="E1417" s="92"/>
      <c r="F1417" s="97">
        <f>_xll.meDateFromTenor(F1416,"1D","FOLLOWING","TGT")</f>
        <v>44519</v>
      </c>
      <c r="G1417" s="95">
        <f ca="1"/>
        <v>3.681706676228403E-3</v>
      </c>
      <c r="H1417" s="92" t="s">
        <v>4</v>
      </c>
      <c r="I1417" s="97">
        <f>_xll.meDateFromTenor(I1416,"1D","FOLLOWING","TGT")</f>
        <v>44519</v>
      </c>
      <c r="J1417" s="95">
        <f ca="1"/>
        <v>4.933178673887941E-3</v>
      </c>
      <c r="K1417" s="5" t="s">
        <v>4</v>
      </c>
      <c r="L1417" s="97">
        <f>_xll.meDateFromTenor(L1416,"1D","FOLLOWING","TGT")</f>
        <v>44519</v>
      </c>
      <c r="M1417" s="95">
        <f ca="1"/>
        <v>6.6716260617956996E-3</v>
      </c>
      <c r="N1417" s="5" t="s">
        <v>4</v>
      </c>
      <c r="O1417" s="97">
        <f>_xll.meDateFromTenor(O1416,"1D","FOLLOWING","TGT")</f>
        <v>44519</v>
      </c>
      <c r="P1417" s="95">
        <f ca="1"/>
        <v>8.6377798212877895E-3</v>
      </c>
      <c r="Q1417" s="5" t="s">
        <v>4</v>
      </c>
      <c r="R1417" s="83" t="s">
        <v>4</v>
      </c>
    </row>
    <row r="1418" spans="1:18" x14ac:dyDescent="0.25">
      <c r="A1418" s="88">
        <v>1404</v>
      </c>
      <c r="B1418" s="82"/>
      <c r="C1418" s="97">
        <f>_xll.meDateFromTenor(C1417,"1D","FOLLOWING","TGT")</f>
        <v>44522</v>
      </c>
      <c r="D1418" s="95">
        <f ca="1"/>
        <v>3.0126555678877676E-3</v>
      </c>
      <c r="E1418" s="92"/>
      <c r="F1418" s="97">
        <f>_xll.meDateFromTenor(F1417,"1D","FOLLOWING","TGT")</f>
        <v>44522</v>
      </c>
      <c r="G1418" s="95">
        <f ca="1"/>
        <v>3.7054611335482208E-3</v>
      </c>
      <c r="H1418" s="92" t="s">
        <v>4</v>
      </c>
      <c r="I1418" s="97">
        <f>_xll.meDateFromTenor(I1417,"1D","FOLLOWING","TGT")</f>
        <v>44522</v>
      </c>
      <c r="J1418" s="95">
        <f ca="1"/>
        <v>4.9577820301566307E-3</v>
      </c>
      <c r="K1418" s="5" t="s">
        <v>4</v>
      </c>
      <c r="L1418" s="97">
        <f>_xll.meDateFromTenor(L1417,"1D","FOLLOWING","TGT")</f>
        <v>44522</v>
      </c>
      <c r="M1418" s="95">
        <f ca="1"/>
        <v>6.695485470416089E-3</v>
      </c>
      <c r="N1418" s="5" t="s">
        <v>4</v>
      </c>
      <c r="O1418" s="97">
        <f>_xll.meDateFromTenor(O1417,"1D","FOLLOWING","TGT")</f>
        <v>44522</v>
      </c>
      <c r="P1418" s="95">
        <f ca="1"/>
        <v>8.6595479344827551E-3</v>
      </c>
      <c r="Q1418" s="5" t="s">
        <v>4</v>
      </c>
      <c r="R1418" s="83" t="s">
        <v>4</v>
      </c>
    </row>
    <row r="1419" spans="1:18" x14ac:dyDescent="0.25">
      <c r="A1419" s="88">
        <v>1405</v>
      </c>
      <c r="B1419" s="82"/>
      <c r="C1419" s="97">
        <f>_xll.meDateFromTenor(C1418,"1D","FOLLOWING","TGT")</f>
        <v>44523</v>
      </c>
      <c r="D1419" s="95">
        <f ca="1"/>
        <v>3.0213126181735106E-3</v>
      </c>
      <c r="E1419" s="92"/>
      <c r="F1419" s="97">
        <f>_xll.meDateFromTenor(F1418,"1D","FOLLOWING","TGT")</f>
        <v>44523</v>
      </c>
      <c r="G1419" s="95">
        <f ca="1"/>
        <v>3.7133566896823734E-3</v>
      </c>
      <c r="H1419" s="92" t="s">
        <v>4</v>
      </c>
      <c r="I1419" s="97">
        <f>_xll.meDateFromTenor(I1418,"1D","FOLLOWING","TGT")</f>
        <v>44523</v>
      </c>
      <c r="J1419" s="95">
        <f ca="1"/>
        <v>4.9659927422458158E-3</v>
      </c>
      <c r="K1419" s="5" t="s">
        <v>4</v>
      </c>
      <c r="L1419" s="97">
        <f>_xll.meDateFromTenor(L1418,"1D","FOLLOWING","TGT")</f>
        <v>44523</v>
      </c>
      <c r="M1419" s="95">
        <f ca="1"/>
        <v>6.7034467045023428E-3</v>
      </c>
      <c r="N1419" s="5" t="s">
        <v>4</v>
      </c>
      <c r="O1419" s="97">
        <f>_xll.meDateFromTenor(O1418,"1D","FOLLOWING","TGT")</f>
        <v>44523</v>
      </c>
      <c r="P1419" s="95">
        <f ca="1"/>
        <v>8.6668027950329053E-3</v>
      </c>
      <c r="Q1419" s="5" t="s">
        <v>4</v>
      </c>
      <c r="R1419" s="83" t="s">
        <v>4</v>
      </c>
    </row>
    <row r="1420" spans="1:18" x14ac:dyDescent="0.25">
      <c r="A1420" s="88">
        <v>1406</v>
      </c>
      <c r="B1420" s="82"/>
      <c r="C1420" s="97">
        <f>_xll.meDateFromTenor(C1419,"1D","FOLLOWING","TGT")</f>
        <v>44524</v>
      </c>
      <c r="D1420" s="95">
        <f ca="1"/>
        <v>3.0299626434879823E-3</v>
      </c>
      <c r="E1420" s="92"/>
      <c r="F1420" s="97">
        <f>_xll.meDateFromTenor(F1419,"1D","FOLLOWING","TGT")</f>
        <v>44524</v>
      </c>
      <c r="G1420" s="95">
        <f ca="1"/>
        <v>3.7212395501854457E-3</v>
      </c>
      <c r="H1420" s="92" t="s">
        <v>4</v>
      </c>
      <c r="I1420" s="97">
        <f>_xll.meDateFromTenor(I1419,"1D","FOLLOWING","TGT")</f>
        <v>44524</v>
      </c>
      <c r="J1420" s="95">
        <f ca="1"/>
        <v>4.9742083238792836E-3</v>
      </c>
      <c r="K1420" s="5" t="s">
        <v>4</v>
      </c>
      <c r="L1420" s="97">
        <f>_xll.meDateFromTenor(L1419,"1D","FOLLOWING","TGT")</f>
        <v>44524</v>
      </c>
      <c r="M1420" s="95">
        <f ca="1"/>
        <v>6.7114120006217231E-3</v>
      </c>
      <c r="N1420" s="5" t="s">
        <v>4</v>
      </c>
      <c r="O1420" s="97">
        <f>_xll.meDateFromTenor(O1419,"1D","FOLLOWING","TGT")</f>
        <v>44524</v>
      </c>
      <c r="P1420" s="95">
        <f ca="1"/>
        <v>8.6740570612208381E-3</v>
      </c>
      <c r="Q1420" s="5" t="s">
        <v>4</v>
      </c>
      <c r="R1420" s="83" t="s">
        <v>4</v>
      </c>
    </row>
    <row r="1421" spans="1:18" x14ac:dyDescent="0.25">
      <c r="A1421" s="88">
        <v>1407</v>
      </c>
      <c r="B1421" s="82"/>
      <c r="C1421" s="97">
        <f>_xll.meDateFromTenor(C1420,"1D","FOLLOWING","TGT")</f>
        <v>44525</v>
      </c>
      <c r="D1421" s="95">
        <f ca="1"/>
        <v>3.0386056439657416E-3</v>
      </c>
      <c r="E1421" s="92"/>
      <c r="F1421" s="97">
        <f>_xll.meDateFromTenor(F1420,"1D","FOLLOWING","TGT")</f>
        <v>44525</v>
      </c>
      <c r="G1421" s="95">
        <f ca="1"/>
        <v>3.7291088765705237E-3</v>
      </c>
      <c r="H1421" s="92" t="s">
        <v>4</v>
      </c>
      <c r="I1421" s="97">
        <f>_xll.meDateFromTenor(I1420,"1D","FOLLOWING","TGT")</f>
        <v>44525</v>
      </c>
      <c r="J1421" s="95">
        <f ca="1"/>
        <v>4.982428818783715E-3</v>
      </c>
      <c r="K1421" s="5" t="s">
        <v>4</v>
      </c>
      <c r="L1421" s="97">
        <f>_xll.meDateFromTenor(L1420,"1D","FOLLOWING","TGT")</f>
        <v>44525</v>
      </c>
      <c r="M1421" s="95">
        <f ca="1"/>
        <v>6.7193813666302695E-3</v>
      </c>
      <c r="N1421" s="5" t="s">
        <v>4</v>
      </c>
      <c r="O1421" s="97">
        <f>_xll.meDateFromTenor(O1420,"1D","FOLLOWING","TGT")</f>
        <v>44525</v>
      </c>
      <c r="P1421" s="95">
        <f ca="1"/>
        <v>8.6813107295836758E-3</v>
      </c>
      <c r="Q1421" s="5" t="s">
        <v>4</v>
      </c>
      <c r="R1421" s="83" t="s">
        <v>4</v>
      </c>
    </row>
    <row r="1422" spans="1:18" x14ac:dyDescent="0.25">
      <c r="A1422" s="88">
        <v>1408</v>
      </c>
      <c r="B1422" s="82"/>
      <c r="C1422" s="97">
        <f>_xll.meDateFromTenor(C1421,"1D","FOLLOWING","TGT")</f>
        <v>44526</v>
      </c>
      <c r="D1422" s="95">
        <f ca="1"/>
        <v>3.0472416195084229E-3</v>
      </c>
      <c r="E1422" s="92"/>
      <c r="F1422" s="97">
        <f>_xll.meDateFromTenor(F1421,"1D","FOLLOWING","TGT")</f>
        <v>44526</v>
      </c>
      <c r="G1422" s="95">
        <f ca="1"/>
        <v>3.7369638303506934E-3</v>
      </c>
      <c r="H1422" s="92" t="s">
        <v>4</v>
      </c>
      <c r="I1422" s="97">
        <f>_xll.meDateFromTenor(I1421,"1D","FOLLOWING","TGT")</f>
        <v>44526</v>
      </c>
      <c r="J1422" s="95">
        <f ca="1"/>
        <v>4.9906542706857912E-3</v>
      </c>
      <c r="K1422" s="5" t="s">
        <v>4</v>
      </c>
      <c r="L1422" s="97">
        <f>_xll.meDateFromTenor(L1421,"1D","FOLLOWING","TGT")</f>
        <v>44526</v>
      </c>
      <c r="M1422" s="95">
        <f ca="1"/>
        <v>6.7273548103840199E-3</v>
      </c>
      <c r="N1422" s="5" t="s">
        <v>4</v>
      </c>
      <c r="O1422" s="97">
        <f>_xll.meDateFromTenor(O1421,"1D","FOLLOWING","TGT")</f>
        <v>44526</v>
      </c>
      <c r="P1422" s="95">
        <f ca="1"/>
        <v>8.6885637966585411E-3</v>
      </c>
      <c r="Q1422" s="5" t="s">
        <v>4</v>
      </c>
      <c r="R1422" s="83" t="s">
        <v>4</v>
      </c>
    </row>
    <row r="1423" spans="1:18" x14ac:dyDescent="0.25">
      <c r="A1423" s="88">
        <v>1409</v>
      </c>
      <c r="B1423" s="82"/>
      <c r="C1423" s="97">
        <f>_xll.meDateFromTenor(C1422,"1D","FOLLOWING","TGT")</f>
        <v>44529</v>
      </c>
      <c r="D1423" s="95">
        <f ca="1"/>
        <v>3.0731074007830372E-3</v>
      </c>
      <c r="E1423" s="92"/>
      <c r="F1423" s="97">
        <f>_xll.meDateFromTenor(F1422,"1D","FOLLOWING","TGT")</f>
        <v>44529</v>
      </c>
      <c r="G1423" s="95">
        <f ca="1"/>
        <v>3.760434071192649E-3</v>
      </c>
      <c r="H1423" s="92" t="s">
        <v>4</v>
      </c>
      <c r="I1423" s="97">
        <f>_xll.meDateFromTenor(I1422,"1D","FOLLOWING","TGT")</f>
        <v>44529</v>
      </c>
      <c r="J1423" s="95">
        <f ca="1"/>
        <v>5.0153608056447418E-3</v>
      </c>
      <c r="K1423" s="5" t="s">
        <v>4</v>
      </c>
      <c r="L1423" s="97">
        <f>_xll.meDateFromTenor(L1422,"1D","FOLLOWING","TGT")</f>
        <v>44529</v>
      </c>
      <c r="M1423" s="95">
        <f ca="1"/>
        <v>6.7512996866769129E-3</v>
      </c>
      <c r="N1423" s="5" t="s">
        <v>4</v>
      </c>
      <c r="O1423" s="97">
        <f>_xll.meDateFromTenor(O1422,"1D","FOLLOWING","TGT")</f>
        <v>44529</v>
      </c>
      <c r="P1423" s="95">
        <f ca="1"/>
        <v>8.7103193555265277E-3</v>
      </c>
      <c r="Q1423" s="5" t="s">
        <v>4</v>
      </c>
      <c r="R1423" s="83" t="s">
        <v>4</v>
      </c>
    </row>
    <row r="1424" spans="1:18" x14ac:dyDescent="0.25">
      <c r="A1424" s="88">
        <v>1410</v>
      </c>
      <c r="B1424" s="82"/>
      <c r="C1424" s="97">
        <f>_xll.meDateFromTenor(C1423,"1D","FOLLOWING","TGT")</f>
        <v>44530</v>
      </c>
      <c r="D1424" s="95">
        <f ca="1"/>
        <v>3.0817152798086056E-3</v>
      </c>
      <c r="E1424" s="92"/>
      <c r="F1424" s="97">
        <f>_xll.meDateFromTenor(F1423,"1D","FOLLOWING","TGT")</f>
        <v>44530</v>
      </c>
      <c r="G1424" s="95">
        <f ca="1"/>
        <v>3.7682231496840705E-3</v>
      </c>
      <c r="H1424" s="92" t="s">
        <v>4</v>
      </c>
      <c r="I1424" s="97">
        <f>_xll.meDateFromTenor(I1423,"1D","FOLLOWING","TGT")</f>
        <v>44530</v>
      </c>
      <c r="J1424" s="95">
        <f ca="1"/>
        <v>5.0236065228042382E-3</v>
      </c>
      <c r="K1424" s="5" t="s">
        <v>4</v>
      </c>
      <c r="L1424" s="97">
        <f>_xll.meDateFromTenor(L1423,"1D","FOLLOWING","TGT")</f>
        <v>44530</v>
      </c>
      <c r="M1424" s="95">
        <f ca="1"/>
        <v>6.7592895199718858E-3</v>
      </c>
      <c r="N1424" s="5" t="s">
        <v>4</v>
      </c>
      <c r="O1424" s="97">
        <f>_xll.meDateFromTenor(O1423,"1D","FOLLOWING","TGT")</f>
        <v>44530</v>
      </c>
      <c r="P1424" s="95">
        <f ca="1"/>
        <v>8.7175699828207272E-3</v>
      </c>
      <c r="Q1424" s="5" t="s">
        <v>4</v>
      </c>
      <c r="R1424" s="83" t="s">
        <v>4</v>
      </c>
    </row>
    <row r="1425" spans="1:18" x14ac:dyDescent="0.25">
      <c r="A1425" s="88">
        <v>1411</v>
      </c>
      <c r="B1425" s="82"/>
      <c r="C1425" s="97">
        <f>_xll.meDateFromTenor(C1424,"1D","FOLLOWING","TGT")</f>
        <v>44531</v>
      </c>
      <c r="D1425" s="95">
        <f ca="1"/>
        <v>3.0903161351505393E-3</v>
      </c>
      <c r="E1425" s="92"/>
      <c r="F1425" s="97">
        <f>_xll.meDateFromTenor(F1424,"1D","FOLLOWING","TGT")</f>
        <v>44531</v>
      </c>
      <c r="G1425" s="95">
        <f ca="1"/>
        <v>3.7759936631360244E-3</v>
      </c>
      <c r="H1425" s="92" t="s">
        <v>4</v>
      </c>
      <c r="I1425" s="97">
        <f>_xll.meDateFromTenor(I1424,"1D","FOLLOWING","TGT")</f>
        <v>44531</v>
      </c>
      <c r="J1425" s="95">
        <f ca="1"/>
        <v>5.0318574155947962E-3</v>
      </c>
      <c r="K1425" s="5" t="s">
        <v>4</v>
      </c>
      <c r="L1425" s="97">
        <f>_xll.meDateFromTenor(L1424,"1D","FOLLOWING","TGT")</f>
        <v>44531</v>
      </c>
      <c r="M1425" s="95">
        <f ca="1"/>
        <v>6.7672834702922624E-3</v>
      </c>
      <c r="N1425" s="5" t="s">
        <v>4</v>
      </c>
      <c r="O1425" s="97">
        <f>_xll.meDateFromTenor(O1424,"1D","FOLLOWING","TGT")</f>
        <v>44531</v>
      </c>
      <c r="P1425" s="95">
        <f ca="1"/>
        <v>8.7248199915125647E-3</v>
      </c>
      <c r="Q1425" s="5" t="s">
        <v>4</v>
      </c>
      <c r="R1425" s="83" t="s">
        <v>4</v>
      </c>
    </row>
    <row r="1426" spans="1:18" x14ac:dyDescent="0.25">
      <c r="A1426" s="88">
        <v>1412</v>
      </c>
      <c r="B1426" s="82"/>
      <c r="C1426" s="97">
        <f>_xll.meDateFromTenor(C1425,"1D","FOLLOWING","TGT")</f>
        <v>44532</v>
      </c>
      <c r="D1426" s="95">
        <f ca="1"/>
        <v>3.0989066843369883E-3</v>
      </c>
      <c r="E1426" s="92"/>
      <c r="F1426" s="97">
        <f>_xll.meDateFromTenor(F1425,"1D","FOLLOWING","TGT")</f>
        <v>44532</v>
      </c>
      <c r="G1426" s="95">
        <f ca="1"/>
        <v>3.783744773061596E-3</v>
      </c>
      <c r="H1426" s="92" t="s">
        <v>4</v>
      </c>
      <c r="I1426" s="97">
        <f>_xll.meDateFromTenor(I1425,"1D","FOLLOWING","TGT")</f>
        <v>44532</v>
      </c>
      <c r="J1426" s="95">
        <f ca="1"/>
        <v>5.0401135277430972E-3</v>
      </c>
      <c r="K1426" s="5" t="s">
        <v>4</v>
      </c>
      <c r="L1426" s="97">
        <f>_xll.meDateFromTenor(L1425,"1D","FOLLOWING","TGT")</f>
        <v>44532</v>
      </c>
      <c r="M1426" s="95">
        <f ca="1"/>
        <v>6.7752815454940832E-3</v>
      </c>
      <c r="N1426" s="5" t="s">
        <v>4</v>
      </c>
      <c r="O1426" s="97">
        <f>_xll.meDateFromTenor(O1425,"1D","FOLLOWING","TGT")</f>
        <v>44532</v>
      </c>
      <c r="P1426" s="95">
        <f ca="1"/>
        <v>8.7320693781391644E-3</v>
      </c>
      <c r="Q1426" s="5" t="s">
        <v>4</v>
      </c>
      <c r="R1426" s="83" t="s">
        <v>4</v>
      </c>
    </row>
    <row r="1427" spans="1:18" x14ac:dyDescent="0.25">
      <c r="A1427" s="88">
        <v>1413</v>
      </c>
      <c r="B1427" s="82"/>
      <c r="C1427" s="97">
        <f>_xll.meDateFromTenor(C1426,"1D","FOLLOWING","TGT")</f>
        <v>44533</v>
      </c>
      <c r="D1427" s="95">
        <f ca="1"/>
        <v>3.1074737968463939E-3</v>
      </c>
      <c r="E1427" s="92"/>
      <c r="F1427" s="97">
        <f>_xll.meDateFromTenor(F1426,"1D","FOLLOWING","TGT")</f>
        <v>44533</v>
      </c>
      <c r="G1427" s="95">
        <f ca="1"/>
        <v>3.7914758169176957E-3</v>
      </c>
      <c r="H1427" s="92" t="s">
        <v>4</v>
      </c>
      <c r="I1427" s="97">
        <f>_xll.meDateFromTenor(I1426,"1D","FOLLOWING","TGT")</f>
        <v>44533</v>
      </c>
      <c r="J1427" s="95">
        <f ca="1"/>
        <v>5.0483748858711226E-3</v>
      </c>
      <c r="K1427" s="5" t="s">
        <v>4</v>
      </c>
      <c r="L1427" s="97">
        <f>_xll.meDateFromTenor(L1426,"1D","FOLLOWING","TGT")</f>
        <v>44533</v>
      </c>
      <c r="M1427" s="95">
        <f ca="1"/>
        <v>6.7832837452190256E-3</v>
      </c>
      <c r="N1427" s="5" t="s">
        <v>4</v>
      </c>
      <c r="O1427" s="97">
        <f>_xll.meDateFromTenor(O1426,"1D","FOLLOWING","TGT")</f>
        <v>44533</v>
      </c>
      <c r="P1427" s="95">
        <f ca="1"/>
        <v>8.7393181392376434E-3</v>
      </c>
      <c r="Q1427" s="5" t="s">
        <v>4</v>
      </c>
      <c r="R1427" s="83" t="s">
        <v>4</v>
      </c>
    </row>
    <row r="1428" spans="1:18" x14ac:dyDescent="0.25">
      <c r="A1428" s="88">
        <v>1414</v>
      </c>
      <c r="B1428" s="82"/>
      <c r="C1428" s="97">
        <f>_xll.meDateFromTenor(C1427,"1D","FOLLOWING","TGT")</f>
        <v>44536</v>
      </c>
      <c r="D1428" s="95">
        <f ca="1"/>
        <v>3.1330148086088361E-3</v>
      </c>
      <c r="E1428" s="92"/>
      <c r="F1428" s="97">
        <f>_xll.meDateFromTenor(F1427,"1D","FOLLOWING","TGT")</f>
        <v>44536</v>
      </c>
      <c r="G1428" s="95">
        <f ca="1"/>
        <v>3.8145496681664163E-3</v>
      </c>
      <c r="H1428" s="92" t="s">
        <v>4</v>
      </c>
      <c r="I1428" s="97">
        <f>_xll.meDateFromTenor(I1427,"1D","FOLLOWING","TGT")</f>
        <v>44536</v>
      </c>
      <c r="J1428" s="95">
        <f ca="1"/>
        <v>5.0731899497464183E-3</v>
      </c>
      <c r="K1428" s="5" t="s">
        <v>4</v>
      </c>
      <c r="L1428" s="97">
        <f>_xll.meDateFromTenor(L1427,"1D","FOLLOWING","TGT")</f>
        <v>44536</v>
      </c>
      <c r="M1428" s="95">
        <f ca="1"/>
        <v>6.807314726517473E-3</v>
      </c>
      <c r="N1428" s="5" t="s">
        <v>4</v>
      </c>
      <c r="O1428" s="97">
        <f>_xll.meDateFromTenor(O1427,"1D","FOLLOWING","TGT")</f>
        <v>44536</v>
      </c>
      <c r="P1428" s="95">
        <f ca="1"/>
        <v>8.7610606347356002E-3</v>
      </c>
      <c r="Q1428" s="5" t="s">
        <v>4</v>
      </c>
      <c r="R1428" s="83" t="s">
        <v>4</v>
      </c>
    </row>
    <row r="1429" spans="1:18" x14ac:dyDescent="0.25">
      <c r="A1429" s="88">
        <v>1415</v>
      </c>
      <c r="B1429" s="82"/>
      <c r="C1429" s="97">
        <f>_xll.meDateFromTenor(C1428,"1D","FOLLOWING","TGT")</f>
        <v>44537</v>
      </c>
      <c r="D1429" s="95">
        <f ca="1"/>
        <v>3.1414750341238751E-3</v>
      </c>
      <c r="E1429" s="92"/>
      <c r="F1429" s="97">
        <f>_xll.meDateFromTenor(F1428,"1D","FOLLOWING","TGT")</f>
        <v>44537</v>
      </c>
      <c r="G1429" s="95">
        <f ca="1"/>
        <v>3.8222019157295268E-3</v>
      </c>
      <c r="H1429" s="92" t="s">
        <v>4</v>
      </c>
      <c r="I1429" s="97">
        <f>_xll.meDateFromTenor(I1428,"1D","FOLLOWING","TGT")</f>
        <v>44537</v>
      </c>
      <c r="J1429" s="95">
        <f ca="1"/>
        <v>5.0814717711968119E-3</v>
      </c>
      <c r="K1429" s="5" t="s">
        <v>4</v>
      </c>
      <c r="L1429" s="97">
        <f>_xll.meDateFromTenor(L1428,"1D","FOLLOWING","TGT")</f>
        <v>44537</v>
      </c>
      <c r="M1429" s="95">
        <f ca="1"/>
        <v>6.8153330428910733E-3</v>
      </c>
      <c r="N1429" s="5" t="s">
        <v>4</v>
      </c>
      <c r="O1429" s="97">
        <f>_xll.meDateFromTenor(O1428,"1D","FOLLOWING","TGT")</f>
        <v>44537</v>
      </c>
      <c r="P1429" s="95">
        <f ca="1"/>
        <v>8.7683068590928316E-3</v>
      </c>
      <c r="Q1429" s="5" t="s">
        <v>4</v>
      </c>
      <c r="R1429" s="83" t="s">
        <v>4</v>
      </c>
    </row>
    <row r="1430" spans="1:18" x14ac:dyDescent="0.25">
      <c r="A1430" s="88">
        <v>1416</v>
      </c>
      <c r="B1430" s="82"/>
      <c r="C1430" s="97">
        <f>_xll.meDateFromTenor(C1429,"1D","FOLLOWING","TGT")</f>
        <v>44538</v>
      </c>
      <c r="D1430" s="95">
        <f ca="1"/>
        <v>3.1499085351360812E-3</v>
      </c>
      <c r="E1430" s="92"/>
      <c r="F1430" s="97">
        <f>_xll.meDateFromTenor(F1429,"1D","FOLLOWING","TGT")</f>
        <v>44538</v>
      </c>
      <c r="G1430" s="95">
        <f ca="1"/>
        <v>3.8298350071594377E-3</v>
      </c>
      <c r="H1430" s="92" t="s">
        <v>4</v>
      </c>
      <c r="I1430" s="97">
        <f>_xll.meDateFromTenor(I1429,"1D","FOLLOWING","TGT")</f>
        <v>44538</v>
      </c>
      <c r="J1430" s="95">
        <f ca="1"/>
        <v>5.0897585612239647E-3</v>
      </c>
      <c r="K1430" s="5" t="s">
        <v>4</v>
      </c>
      <c r="L1430" s="97">
        <f>_xll.meDateFromTenor(L1429,"1D","FOLLOWING","TGT")</f>
        <v>44538</v>
      </c>
      <c r="M1430" s="95">
        <f ca="1"/>
        <v>6.8233552848515205E-3</v>
      </c>
      <c r="N1430" s="5" t="s">
        <v>4</v>
      </c>
      <c r="O1430" s="97">
        <f>_xll.meDateFromTenor(O1429,"1D","FOLLOWING","TGT")</f>
        <v>44538</v>
      </c>
      <c r="P1430" s="95">
        <f ca="1"/>
        <v>8.7755524406075563E-3</v>
      </c>
      <c r="Q1430" s="5" t="s">
        <v>4</v>
      </c>
      <c r="R1430" s="83" t="s">
        <v>4</v>
      </c>
    </row>
    <row r="1431" spans="1:18" x14ac:dyDescent="0.25">
      <c r="A1431" s="88">
        <v>1417</v>
      </c>
      <c r="B1431" s="82"/>
      <c r="C1431" s="97">
        <f>_xll.meDateFromTenor(C1430,"1D","FOLLOWING","TGT")</f>
        <v>44539</v>
      </c>
      <c r="D1431" s="95">
        <f ca="1"/>
        <v>3.1583153109677742E-3</v>
      </c>
      <c r="E1431" s="92"/>
      <c r="F1431" s="97">
        <f>_xll.meDateFromTenor(F1430,"1D","FOLLOWING","TGT")</f>
        <v>44539</v>
      </c>
      <c r="G1431" s="95">
        <f ca="1"/>
        <v>3.837449159632167E-3</v>
      </c>
      <c r="H1431" s="92" t="s">
        <v>4</v>
      </c>
      <c r="I1431" s="97">
        <f>_xll.meDateFromTenor(I1430,"1D","FOLLOWING","TGT")</f>
        <v>44539</v>
      </c>
      <c r="J1431" s="95">
        <f ca="1"/>
        <v>5.0980502609263402E-3</v>
      </c>
      <c r="K1431" s="5" t="s">
        <v>4</v>
      </c>
      <c r="L1431" s="97">
        <f>_xll.meDateFromTenor(L1430,"1D","FOLLOWING","TGT")</f>
        <v>44539</v>
      </c>
      <c r="M1431" s="95">
        <f ca="1"/>
        <v>6.831381410968688E-3</v>
      </c>
      <c r="N1431" s="5" t="s">
        <v>4</v>
      </c>
      <c r="O1431" s="97">
        <f>_xll.meDateFromTenor(O1430,"1D","FOLLOWING","TGT")</f>
        <v>44539</v>
      </c>
      <c r="P1431" s="95">
        <f ca="1"/>
        <v>8.7827973758168969E-3</v>
      </c>
      <c r="Q1431" s="5" t="s">
        <v>4</v>
      </c>
      <c r="R1431" s="83" t="s">
        <v>4</v>
      </c>
    </row>
    <row r="1432" spans="1:18" x14ac:dyDescent="0.25">
      <c r="A1432" s="88">
        <v>1418</v>
      </c>
      <c r="B1432" s="82"/>
      <c r="C1432" s="97">
        <f>_xll.meDateFromTenor(C1431,"1D","FOLLOWING","TGT")</f>
        <v>44540</v>
      </c>
      <c r="D1432" s="95">
        <f ca="1"/>
        <v>3.1666953603106673E-3</v>
      </c>
      <c r="E1432" s="92"/>
      <c r="F1432" s="97">
        <f>_xll.meDateFromTenor(F1431,"1D","FOLLOWING","TGT")</f>
        <v>44540</v>
      </c>
      <c r="G1432" s="95">
        <f ca="1"/>
        <v>3.8450445903237336E-3</v>
      </c>
      <c r="H1432" s="92" t="s">
        <v>4</v>
      </c>
      <c r="I1432" s="97">
        <f>_xll.meDateFromTenor(I1431,"1D","FOLLOWING","TGT")</f>
        <v>44540</v>
      </c>
      <c r="J1432" s="95">
        <f ca="1"/>
        <v>5.1063468114024083E-3</v>
      </c>
      <c r="K1432" s="5" t="s">
        <v>4</v>
      </c>
      <c r="L1432" s="97">
        <f>_xll.meDateFromTenor(L1431,"1D","FOLLOWING","TGT")</f>
        <v>44540</v>
      </c>
      <c r="M1432" s="95">
        <f ca="1"/>
        <v>6.8394113798124481E-3</v>
      </c>
      <c r="N1432" s="5" t="s">
        <v>4</v>
      </c>
      <c r="O1432" s="97">
        <f>_xll.meDateFromTenor(O1431,"1D","FOLLOWING","TGT")</f>
        <v>44540</v>
      </c>
      <c r="P1432" s="95">
        <f ca="1"/>
        <v>8.7900416612579756E-3</v>
      </c>
      <c r="Q1432" s="5" t="s">
        <v>4</v>
      </c>
      <c r="R1432" s="83" t="s">
        <v>4</v>
      </c>
    </row>
    <row r="1433" spans="1:18" x14ac:dyDescent="0.25">
      <c r="A1433" s="88">
        <v>1419</v>
      </c>
      <c r="B1433" s="82"/>
      <c r="C1433" s="97">
        <f>_xll.meDateFromTenor(C1432,"1D","FOLLOWING","TGT")</f>
        <v>44543</v>
      </c>
      <c r="D1433" s="95">
        <f ca="1"/>
        <v>3.1916751401421806E-3</v>
      </c>
      <c r="E1433" s="92"/>
      <c r="F1433" s="97">
        <f>_xll.meDateFromTenor(F1432,"1D","FOLLOWING","TGT")</f>
        <v>44543</v>
      </c>
      <c r="G1433" s="95">
        <f ca="1"/>
        <v>3.8677207234716427E-3</v>
      </c>
      <c r="H1433" s="92" t="s">
        <v>4</v>
      </c>
      <c r="I1433" s="97">
        <f>_xll.meDateFromTenor(I1432,"1D","FOLLOWING","TGT")</f>
        <v>44543</v>
      </c>
      <c r="J1433" s="95">
        <f ca="1"/>
        <v>5.1312649784574131E-3</v>
      </c>
      <c r="K1433" s="5" t="s">
        <v>4</v>
      </c>
      <c r="L1433" s="97">
        <f>_xll.meDateFromTenor(L1432,"1D","FOLLOWING","TGT")</f>
        <v>44543</v>
      </c>
      <c r="M1433" s="95">
        <f ca="1"/>
        <v>6.863523928402007E-3</v>
      </c>
      <c r="N1433" s="5" t="s">
        <v>4</v>
      </c>
      <c r="O1433" s="97">
        <f>_xll.meDateFromTenor(O1432,"1D","FOLLOWING","TGT")</f>
        <v>44543</v>
      </c>
      <c r="P1433" s="95">
        <f ca="1"/>
        <v>8.8117705843428536E-3</v>
      </c>
      <c r="Q1433" s="5" t="s">
        <v>4</v>
      </c>
      <c r="R1433" s="83" t="s">
        <v>4</v>
      </c>
    </row>
    <row r="1434" spans="1:18" x14ac:dyDescent="0.25">
      <c r="A1434" s="88">
        <v>1420</v>
      </c>
      <c r="B1434" s="82"/>
      <c r="C1434" s="97">
        <f>_xll.meDateFromTenor(C1433,"1D","FOLLOWING","TGT")</f>
        <v>44544</v>
      </c>
      <c r="D1434" s="95">
        <f ca="1"/>
        <v>3.1999482738036544E-3</v>
      </c>
      <c r="E1434" s="92"/>
      <c r="F1434" s="97">
        <f>_xll.meDateFromTenor(F1433,"1D","FOLLOWING","TGT")</f>
        <v>44544</v>
      </c>
      <c r="G1434" s="95">
        <f ca="1"/>
        <v>3.8752434387987426E-3</v>
      </c>
      <c r="H1434" s="92" t="s">
        <v>4</v>
      </c>
      <c r="I1434" s="97">
        <f>_xll.meDateFromTenor(I1433,"1D","FOLLOWING","TGT")</f>
        <v>44544</v>
      </c>
      <c r="J1434" s="95">
        <f ca="1"/>
        <v>5.1395803430129023E-3</v>
      </c>
      <c r="K1434" s="5" t="s">
        <v>4</v>
      </c>
      <c r="L1434" s="97">
        <f>_xll.meDateFromTenor(L1433,"1D","FOLLOWING","TGT")</f>
        <v>44544</v>
      </c>
      <c r="M1434" s="95">
        <f ca="1"/>
        <v>6.8715688538508587E-3</v>
      </c>
      <c r="N1434" s="5" t="s">
        <v>4</v>
      </c>
      <c r="O1434" s="97">
        <f>_xll.meDateFromTenor(O1433,"1D","FOLLOWING","TGT")</f>
        <v>44544</v>
      </c>
      <c r="P1434" s="95">
        <f ca="1"/>
        <v>8.8190122360820977E-3</v>
      </c>
      <c r="Q1434" s="5" t="s">
        <v>4</v>
      </c>
      <c r="R1434" s="83" t="s">
        <v>4</v>
      </c>
    </row>
    <row r="1435" spans="1:18" x14ac:dyDescent="0.25">
      <c r="A1435" s="88">
        <v>1421</v>
      </c>
      <c r="B1435" s="82"/>
      <c r="C1435" s="97">
        <f>_xll.meDateFromTenor(C1434,"1D","FOLLOWING","TGT")</f>
        <v>44545</v>
      </c>
      <c r="D1435" s="95">
        <f ca="1"/>
        <v>3.2081946758033553E-3</v>
      </c>
      <c r="E1435" s="92"/>
      <c r="F1435" s="97">
        <f>_xll.meDateFromTenor(F1434,"1D","FOLLOWING","TGT")</f>
        <v>44545</v>
      </c>
      <c r="G1435" s="95">
        <f ca="1"/>
        <v>3.8827485182247761E-3</v>
      </c>
      <c r="H1435" s="92" t="s">
        <v>4</v>
      </c>
      <c r="I1435" s="97">
        <f>_xll.meDateFromTenor(I1434,"1D","FOLLOWING","TGT")</f>
        <v>44545</v>
      </c>
      <c r="J1435" s="95">
        <f ca="1"/>
        <v>5.1479002638344156E-3</v>
      </c>
      <c r="K1435" s="5" t="s">
        <v>4</v>
      </c>
      <c r="L1435" s="97">
        <f>_xll.meDateFromTenor(L1434,"1D","FOLLOWING","TGT")</f>
        <v>44545</v>
      </c>
      <c r="M1435" s="95">
        <f ca="1"/>
        <v>6.8796174148756713E-3</v>
      </c>
      <c r="N1435" s="5" t="s">
        <v>4</v>
      </c>
      <c r="O1435" s="97">
        <f>_xll.meDateFromTenor(O1434,"1D","FOLLOWING","TGT")</f>
        <v>44545</v>
      </c>
      <c r="P1435" s="95">
        <f ca="1"/>
        <v>8.8262532207386956E-3</v>
      </c>
      <c r="Q1435" s="5" t="s">
        <v>4</v>
      </c>
      <c r="R1435" s="83" t="s">
        <v>4</v>
      </c>
    </row>
    <row r="1436" spans="1:18" x14ac:dyDescent="0.25">
      <c r="A1436" s="88">
        <v>1422</v>
      </c>
      <c r="B1436" s="82"/>
      <c r="C1436" s="97">
        <f>_xll.meDateFromTenor(C1435,"1D","FOLLOWING","TGT")</f>
        <v>44546</v>
      </c>
      <c r="D1436" s="95">
        <f ca="1"/>
        <v>3.2164143454058713E-3</v>
      </c>
      <c r="E1436" s="92"/>
      <c r="F1436" s="97">
        <f>_xll.meDateFromTenor(F1435,"1D","FOLLOWING","TGT")</f>
        <v>44546</v>
      </c>
      <c r="G1436" s="95">
        <f ca="1"/>
        <v>3.8902361789257592E-3</v>
      </c>
      <c r="H1436" s="92" t="s">
        <v>4</v>
      </c>
      <c r="I1436" s="97">
        <f>_xll.meDateFromTenor(I1435,"1D","FOLLOWING","TGT")</f>
        <v>44546</v>
      </c>
      <c r="J1436" s="95">
        <f ca="1"/>
        <v>5.1562246820204159E-3</v>
      </c>
      <c r="K1436" s="5" t="s">
        <v>4</v>
      </c>
      <c r="L1436" s="97">
        <f>_xll.meDateFromTenor(L1435,"1D","FOLLOWING","TGT")</f>
        <v>44546</v>
      </c>
      <c r="M1436" s="95">
        <f ca="1"/>
        <v>6.8876695700463113E-3</v>
      </c>
      <c r="N1436" s="5" t="s">
        <v>4</v>
      </c>
      <c r="O1436" s="97">
        <f>_xll.meDateFromTenor(O1435,"1D","FOLLOWING","TGT")</f>
        <v>44546</v>
      </c>
      <c r="P1436" s="95">
        <f ca="1"/>
        <v>8.8334935348497595E-3</v>
      </c>
      <c r="Q1436" s="5" t="s">
        <v>4</v>
      </c>
      <c r="R1436" s="83" t="s">
        <v>4</v>
      </c>
    </row>
    <row r="1437" spans="1:18" x14ac:dyDescent="0.25">
      <c r="A1437" s="88">
        <v>1423</v>
      </c>
      <c r="B1437" s="82"/>
      <c r="C1437" s="97">
        <f>_xll.meDateFromTenor(C1436,"1D","FOLLOWING","TGT")</f>
        <v>44547</v>
      </c>
      <c r="D1437" s="95">
        <f ca="1"/>
        <v>3.2246072810722115E-3</v>
      </c>
      <c r="E1437" s="92"/>
      <c r="F1437" s="97">
        <f>_xll.meDateFromTenor(F1436,"1D","FOLLOWING","TGT")</f>
        <v>44547</v>
      </c>
      <c r="G1437" s="95">
        <f ca="1"/>
        <v>3.8977066380777104E-3</v>
      </c>
      <c r="H1437" s="92" t="s">
        <v>4</v>
      </c>
      <c r="I1437" s="97">
        <f>_xll.meDateFromTenor(I1436,"1D","FOLLOWING","TGT")</f>
        <v>44547</v>
      </c>
      <c r="J1437" s="95">
        <f ca="1"/>
        <v>5.1645535386693709E-3</v>
      </c>
      <c r="K1437" s="5" t="s">
        <v>4</v>
      </c>
      <c r="L1437" s="97">
        <f>_xll.meDateFromTenor(L1436,"1D","FOLLOWING","TGT")</f>
        <v>44547</v>
      </c>
      <c r="M1437" s="95">
        <f ca="1"/>
        <v>6.8957252779326536E-3</v>
      </c>
      <c r="N1437" s="5" t="s">
        <v>4</v>
      </c>
      <c r="O1437" s="97">
        <f>_xll.meDateFromTenor(O1436,"1D","FOLLOWING","TGT")</f>
        <v>44547</v>
      </c>
      <c r="P1437" s="95">
        <f ca="1"/>
        <v>8.8407331749524171E-3</v>
      </c>
      <c r="Q1437" s="5" t="s">
        <v>4</v>
      </c>
      <c r="R1437" s="83" t="s">
        <v>4</v>
      </c>
    </row>
    <row r="1438" spans="1:18" x14ac:dyDescent="0.25">
      <c r="A1438" s="88">
        <v>1424</v>
      </c>
      <c r="B1438" s="82"/>
      <c r="C1438" s="97">
        <f>_xll.meDateFromTenor(C1437,"1D","FOLLOWING","TGT")</f>
        <v>44550</v>
      </c>
      <c r="D1438" s="95">
        <f ca="1"/>
        <v>3.2490256761501524E-3</v>
      </c>
      <c r="E1438" s="92"/>
      <c r="F1438" s="97">
        <f>_xll.meDateFromTenor(F1437,"1D","FOLLOWING","TGT")</f>
        <v>44550</v>
      </c>
      <c r="G1438" s="95">
        <f ca="1"/>
        <v>3.9200169779995608E-3</v>
      </c>
      <c r="H1438" s="92" t="s">
        <v>4</v>
      </c>
      <c r="I1438" s="97">
        <f>_xll.meDateFromTenor(I1437,"1D","FOLLOWING","TGT")</f>
        <v>44550</v>
      </c>
      <c r="J1438" s="95">
        <f ca="1"/>
        <v>5.1895661503786267E-3</v>
      </c>
      <c r="K1438" s="5" t="s">
        <v>4</v>
      </c>
      <c r="L1438" s="97">
        <f>_xll.meDateFromTenor(L1437,"1D","FOLLOWING","TGT")</f>
        <v>44550</v>
      </c>
      <c r="M1438" s="95">
        <f ca="1"/>
        <v>6.9199133035846173E-3</v>
      </c>
      <c r="N1438" s="5" t="s">
        <v>4</v>
      </c>
      <c r="O1438" s="97">
        <f>_xll.meDateFromTenor(O1437,"1D","FOLLOWING","TGT")</f>
        <v>44550</v>
      </c>
      <c r="P1438" s="95">
        <f ca="1"/>
        <v>8.8624480165811655E-3</v>
      </c>
      <c r="Q1438" s="5" t="s">
        <v>4</v>
      </c>
      <c r="R1438" s="83" t="s">
        <v>4</v>
      </c>
    </row>
    <row r="1439" spans="1:18" x14ac:dyDescent="0.25">
      <c r="A1439" s="88">
        <v>1425</v>
      </c>
      <c r="B1439" s="82"/>
      <c r="C1439" s="97">
        <f>_xll.meDateFromTenor(C1438,"1D","FOLLOWING","TGT")</f>
        <v>44551</v>
      </c>
      <c r="D1439" s="95">
        <f ca="1"/>
        <v>3.2571116666606503E-3</v>
      </c>
      <c r="E1439" s="92"/>
      <c r="F1439" s="97">
        <f>_xll.meDateFromTenor(F1438,"1D","FOLLOWING","TGT")</f>
        <v>44551</v>
      </c>
      <c r="G1439" s="95">
        <f ca="1"/>
        <v>3.9274208027155729E-3</v>
      </c>
      <c r="H1439" s="92" t="s">
        <v>4</v>
      </c>
      <c r="I1439" s="97">
        <f>_xll.meDateFromTenor(I1438,"1D","FOLLOWING","TGT")</f>
        <v>44551</v>
      </c>
      <c r="J1439" s="95">
        <f ca="1"/>
        <v>5.1979121718640619E-3</v>
      </c>
      <c r="K1439" s="5" t="s">
        <v>4</v>
      </c>
      <c r="L1439" s="97">
        <f>_xll.meDateFromTenor(L1438,"1D","FOLLOWING","TGT")</f>
        <v>44551</v>
      </c>
      <c r="M1439" s="95">
        <f ca="1"/>
        <v>6.9279828080324951E-3</v>
      </c>
      <c r="N1439" s="5" t="s">
        <v>4</v>
      </c>
      <c r="O1439" s="97">
        <f>_xll.meDateFromTenor(O1438,"1D","FOLLOWING","TGT")</f>
        <v>44551</v>
      </c>
      <c r="P1439" s="95">
        <f ca="1"/>
        <v>8.8696849260214115E-3</v>
      </c>
      <c r="Q1439" s="5" t="s">
        <v>4</v>
      </c>
      <c r="R1439" s="83" t="s">
        <v>4</v>
      </c>
    </row>
    <row r="1440" spans="1:18" x14ac:dyDescent="0.25">
      <c r="A1440" s="88">
        <v>1426</v>
      </c>
      <c r="B1440" s="82"/>
      <c r="C1440" s="97">
        <f>_xll.meDateFromTenor(C1439,"1D","FOLLOWING","TGT")</f>
        <v>44552</v>
      </c>
      <c r="D1440" s="95">
        <f ca="1"/>
        <v>3.2651709181377164E-3</v>
      </c>
      <c r="E1440" s="92"/>
      <c r="F1440" s="97">
        <f>_xll.meDateFromTenor(F1439,"1D","FOLLOWING","TGT")</f>
        <v>44552</v>
      </c>
      <c r="G1440" s="95">
        <f ca="1"/>
        <v>3.9348085117626467E-3</v>
      </c>
      <c r="H1440" s="92" t="s">
        <v>4</v>
      </c>
      <c r="I1440" s="97">
        <f>_xll.meDateFromTenor(I1439,"1D","FOLLOWING","TGT")</f>
        <v>44552</v>
      </c>
      <c r="J1440" s="95">
        <f ca="1"/>
        <v>5.2062623373047836E-3</v>
      </c>
      <c r="K1440" s="5" t="s">
        <v>4</v>
      </c>
      <c r="L1440" s="97">
        <f>_xll.meDateFromTenor(L1439,"1D","FOLLOWING","TGT")</f>
        <v>44552</v>
      </c>
      <c r="M1440" s="95">
        <f ca="1"/>
        <v>6.9360556580454367E-3</v>
      </c>
      <c r="N1440" s="5" t="s">
        <v>4</v>
      </c>
      <c r="O1440" s="97">
        <f>_xll.meDateFromTenor(O1439,"1D","FOLLOWING","TGT")</f>
        <v>44552</v>
      </c>
      <c r="P1440" s="95">
        <f ca="1"/>
        <v>8.8769211441388617E-3</v>
      </c>
      <c r="Q1440" s="5" t="s">
        <v>4</v>
      </c>
      <c r="R1440" s="83" t="s">
        <v>4</v>
      </c>
    </row>
    <row r="1441" spans="1:18" x14ac:dyDescent="0.25">
      <c r="A1441" s="88">
        <v>1427</v>
      </c>
      <c r="B1441" s="82"/>
      <c r="C1441" s="97">
        <f>_xll.meDateFromTenor(C1440,"1D","FOLLOWING","TGT")</f>
        <v>44553</v>
      </c>
      <c r="D1441" s="95">
        <f ca="1"/>
        <v>3.2732034295408496E-3</v>
      </c>
      <c r="E1441" s="92"/>
      <c r="F1441" s="97">
        <f>_xll.meDateFromTenor(F1440,"1D","FOLLOWING","TGT")</f>
        <v>44553</v>
      </c>
      <c r="G1441" s="95">
        <f ca="1"/>
        <v>3.9421803223167991E-3</v>
      </c>
      <c r="H1441" s="92" t="s">
        <v>4</v>
      </c>
      <c r="I1441" s="97">
        <f>_xll.meDateFromTenor(I1440,"1D","FOLLOWING","TGT")</f>
        <v>44553</v>
      </c>
      <c r="J1441" s="95">
        <f ca="1"/>
        <v>5.2146165877992529E-3</v>
      </c>
      <c r="K1441" s="5" t="s">
        <v>4</v>
      </c>
      <c r="L1441" s="97">
        <f>_xll.meDateFromTenor(L1440,"1D","FOLLOWING","TGT")</f>
        <v>44553</v>
      </c>
      <c r="M1441" s="95">
        <f ca="1"/>
        <v>6.9441318121933153E-3</v>
      </c>
      <c r="N1441" s="5" t="s">
        <v>4</v>
      </c>
      <c r="O1441" s="97">
        <f>_xll.meDateFromTenor(O1440,"1D","FOLLOWING","TGT")</f>
        <v>44553</v>
      </c>
      <c r="P1441" s="95">
        <f ca="1"/>
        <v>8.8841566674706333E-3</v>
      </c>
      <c r="Q1441" s="5" t="s">
        <v>4</v>
      </c>
      <c r="R1441" s="83" t="s">
        <v>4</v>
      </c>
    </row>
    <row r="1442" spans="1:18" x14ac:dyDescent="0.25">
      <c r="A1442" s="88">
        <v>1428</v>
      </c>
      <c r="B1442" s="82"/>
      <c r="C1442" s="97">
        <f>_xll.meDateFromTenor(C1441,"1D","FOLLOWING","TGT")</f>
        <v>44554</v>
      </c>
      <c r="D1442" s="95">
        <f ca="1"/>
        <v>3.2812091999034898E-3</v>
      </c>
      <c r="E1442" s="92"/>
      <c r="F1442" s="97">
        <f>_xll.meDateFromTenor(F1441,"1D","FOLLOWING","TGT")</f>
        <v>44554</v>
      </c>
      <c r="G1442" s="95">
        <f ca="1"/>
        <v>3.9495364515540528E-3</v>
      </c>
      <c r="H1442" s="92" t="s">
        <v>4</v>
      </c>
      <c r="I1442" s="97">
        <f>_xll.meDateFromTenor(I1441,"1D","FOLLOWING","TGT")</f>
        <v>44554</v>
      </c>
      <c r="J1442" s="95">
        <f ca="1"/>
        <v>5.2229748644459437E-3</v>
      </c>
      <c r="K1442" s="5" t="s">
        <v>4</v>
      </c>
      <c r="L1442" s="97">
        <f>_xll.meDateFromTenor(L1441,"1D","FOLLOWING","TGT")</f>
        <v>44554</v>
      </c>
      <c r="M1442" s="95">
        <f ca="1"/>
        <v>6.9522112290460059E-3</v>
      </c>
      <c r="N1442" s="5" t="s">
        <v>4</v>
      </c>
      <c r="O1442" s="97">
        <f>_xll.meDateFromTenor(O1441,"1D","FOLLOWING","TGT")</f>
        <v>44554</v>
      </c>
      <c r="P1442" s="95">
        <f ca="1"/>
        <v>8.8913914925538556E-3</v>
      </c>
      <c r="Q1442" s="5" t="s">
        <v>4</v>
      </c>
      <c r="R1442" s="83" t="s">
        <v>4</v>
      </c>
    </row>
    <row r="1443" spans="1:18" x14ac:dyDescent="0.25">
      <c r="A1443" s="88">
        <v>1429</v>
      </c>
      <c r="B1443" s="82"/>
      <c r="C1443" s="97">
        <f>_xll.meDateFromTenor(C1442,"1D","FOLLOWING","TGT")</f>
        <v>44557</v>
      </c>
      <c r="D1443" s="95">
        <f ca="1"/>
        <v>3.3050660530891118E-3</v>
      </c>
      <c r="E1443" s="92"/>
      <c r="F1443" s="97">
        <f>_xll.meDateFromTenor(F1442,"1D","FOLLOWING","TGT")</f>
        <v>44557</v>
      </c>
      <c r="G1443" s="95">
        <f ca="1"/>
        <v>3.9715129231246002E-3</v>
      </c>
      <c r="H1443" s="92" t="s">
        <v>4</v>
      </c>
      <c r="I1443" s="97">
        <f>_xll.meDateFromTenor(I1442,"1D","FOLLOWING","TGT")</f>
        <v>44557</v>
      </c>
      <c r="J1443" s="95">
        <f ca="1"/>
        <v>5.2480732622839877E-3</v>
      </c>
      <c r="K1443" s="5" t="s">
        <v>4</v>
      </c>
      <c r="L1443" s="97">
        <f>_xll.meDateFromTenor(L1442,"1D","FOLLOWING","TGT")</f>
        <v>44557</v>
      </c>
      <c r="M1443" s="95">
        <f ca="1"/>
        <v>6.9764686415316754E-3</v>
      </c>
      <c r="N1443" s="5" t="s">
        <v>4</v>
      </c>
      <c r="O1443" s="97">
        <f>_xll.meDateFromTenor(O1442,"1D","FOLLOWING","TGT")</f>
        <v>44557</v>
      </c>
      <c r="P1443" s="95">
        <f ca="1"/>
        <v>8.9130917436834201E-3</v>
      </c>
      <c r="Q1443" s="5" t="s">
        <v>4</v>
      </c>
      <c r="R1443" s="83" t="s">
        <v>4</v>
      </c>
    </row>
    <row r="1444" spans="1:18" x14ac:dyDescent="0.25">
      <c r="A1444" s="88">
        <v>1430</v>
      </c>
      <c r="B1444" s="82"/>
      <c r="C1444" s="97">
        <f>_xll.meDateFromTenor(C1443,"1D","FOLLOWING","TGT")</f>
        <v>44558</v>
      </c>
      <c r="D1444" s="95">
        <f ca="1"/>
        <v>3.3129648475520579E-3</v>
      </c>
      <c r="E1444" s="92"/>
      <c r="F1444" s="97">
        <f>_xll.meDateFromTenor(F1443,"1D","FOLLOWING","TGT")</f>
        <v>44558</v>
      </c>
      <c r="G1444" s="95">
        <f ca="1"/>
        <v>3.9788084988544399E-3</v>
      </c>
      <c r="H1444" s="92" t="s">
        <v>4</v>
      </c>
      <c r="I1444" s="97">
        <f>_xll.meDateFromTenor(I1443,"1D","FOLLOWING","TGT")</f>
        <v>44558</v>
      </c>
      <c r="J1444" s="95">
        <f ca="1"/>
        <v>5.256447054524215E-3</v>
      </c>
      <c r="K1444" s="5" t="s">
        <v>4</v>
      </c>
      <c r="L1444" s="97">
        <f>_xll.meDateFromTenor(L1443,"1D","FOLLOWING","TGT")</f>
        <v>44558</v>
      </c>
      <c r="M1444" s="95">
        <f ca="1"/>
        <v>6.9845606949023387E-3</v>
      </c>
      <c r="N1444" s="5" t="s">
        <v>4</v>
      </c>
      <c r="O1444" s="97">
        <f>_xll.meDateFromTenor(O1443,"1D","FOLLOWING","TGT")</f>
        <v>44558</v>
      </c>
      <c r="P1444" s="95">
        <f ca="1"/>
        <v>8.920323741143649E-3</v>
      </c>
      <c r="Q1444" s="5" t="s">
        <v>4</v>
      </c>
      <c r="R1444" s="83" t="s">
        <v>4</v>
      </c>
    </row>
    <row r="1445" spans="1:18" x14ac:dyDescent="0.25">
      <c r="A1445" s="88">
        <v>1431</v>
      </c>
      <c r="B1445" s="82"/>
      <c r="C1445" s="97">
        <f>_xll.meDateFromTenor(C1444,"1D","FOLLOWING","TGT")</f>
        <v>44559</v>
      </c>
      <c r="D1445" s="95">
        <f ca="1"/>
        <v>3.3208368957982071E-3</v>
      </c>
      <c r="E1445" s="92"/>
      <c r="F1445" s="97">
        <f>_xll.meDateFromTenor(F1444,"1D","FOLLOWING","TGT")</f>
        <v>44559</v>
      </c>
      <c r="G1445" s="95">
        <f ca="1"/>
        <v>3.9860894791474717E-3</v>
      </c>
      <c r="H1445" s="92" t="s">
        <v>4</v>
      </c>
      <c r="I1445" s="97">
        <f>_xll.meDateFromTenor(I1444,"1D","FOLLOWING","TGT")</f>
        <v>44559</v>
      </c>
      <c r="J1445" s="95">
        <f ca="1"/>
        <v>5.2648245784089904E-3</v>
      </c>
      <c r="K1445" s="5" t="s">
        <v>4</v>
      </c>
      <c r="L1445" s="97">
        <f>_xll.meDateFromTenor(L1444,"1D","FOLLOWING","TGT")</f>
        <v>44559</v>
      </c>
      <c r="M1445" s="95">
        <f ca="1"/>
        <v>6.992655803827178E-3</v>
      </c>
      <c r="N1445" s="5" t="s">
        <v>4</v>
      </c>
      <c r="O1445" s="97">
        <f>_xll.meDateFromTenor(O1444,"1D","FOLLOWING","TGT")</f>
        <v>44559</v>
      </c>
      <c r="P1445" s="95">
        <f ca="1"/>
        <v>8.9275550230409357E-3</v>
      </c>
      <c r="Q1445" s="5" t="s">
        <v>4</v>
      </c>
      <c r="R1445" s="83" t="s">
        <v>4</v>
      </c>
    </row>
    <row r="1446" spans="1:18" x14ac:dyDescent="0.25">
      <c r="A1446" s="88">
        <v>1432</v>
      </c>
      <c r="B1446" s="82"/>
      <c r="C1446" s="97">
        <f>_xll.meDateFromTenor(C1445,"1D","FOLLOWING","TGT")</f>
        <v>44560</v>
      </c>
      <c r="D1446" s="95">
        <f ca="1"/>
        <v>3.3286821962319468E-3</v>
      </c>
      <c r="E1446" s="92"/>
      <c r="F1446" s="97">
        <f>_xll.meDateFromTenor(F1445,"1D","FOLLOWING","TGT")</f>
        <v>44560</v>
      </c>
      <c r="G1446" s="95">
        <f ca="1"/>
        <v>3.9933560811797183E-3</v>
      </c>
      <c r="H1446" s="92" t="s">
        <v>4</v>
      </c>
      <c r="I1446" s="97">
        <f>_xll.meDateFromTenor(I1445,"1D","FOLLOWING","TGT")</f>
        <v>44560</v>
      </c>
      <c r="J1446" s="95">
        <f ca="1"/>
        <v>5.2732057750367817E-3</v>
      </c>
      <c r="K1446" s="5" t="s">
        <v>4</v>
      </c>
      <c r="L1446" s="97">
        <f>_xll.meDateFromTenor(L1445,"1D","FOLLOWING","TGT")</f>
        <v>44560</v>
      </c>
      <c r="M1446" s="95">
        <f ca="1"/>
        <v>7.0007539268760631E-3</v>
      </c>
      <c r="N1446" s="5" t="s">
        <v>4</v>
      </c>
      <c r="O1446" s="97">
        <f>_xll.meDateFromTenor(O1445,"1D","FOLLOWING","TGT")</f>
        <v>44560</v>
      </c>
      <c r="P1446" s="95">
        <f ca="1"/>
        <v>8.9347855859124026E-3</v>
      </c>
      <c r="Q1446" s="5" t="s">
        <v>4</v>
      </c>
      <c r="R1446" s="83" t="s">
        <v>4</v>
      </c>
    </row>
    <row r="1447" spans="1:18" x14ac:dyDescent="0.25">
      <c r="A1447" s="88">
        <v>1433</v>
      </c>
      <c r="B1447" s="82"/>
      <c r="C1447" s="97">
        <f>_xll.meDateFromTenor(C1446,"1D","FOLLOWING","TGT")</f>
        <v>44561</v>
      </c>
      <c r="D1447" s="95">
        <f ca="1"/>
        <v>3.3365007476693354E-3</v>
      </c>
      <c r="E1447" s="92"/>
      <c r="F1447" s="97">
        <f>_xll.meDateFromTenor(F1446,"1D","FOLLOWING","TGT")</f>
        <v>44561</v>
      </c>
      <c r="G1447" s="95">
        <f ca="1"/>
        <v>4.0006085221271932E-3</v>
      </c>
      <c r="H1447" s="92" t="s">
        <v>4</v>
      </c>
      <c r="I1447" s="97">
        <f>_xll.meDateFromTenor(I1446,"1D","FOLLOWING","TGT")</f>
        <v>44561</v>
      </c>
      <c r="J1447" s="95">
        <f ca="1"/>
        <v>5.2815905855060552E-3</v>
      </c>
      <c r="K1447" s="5" t="s">
        <v>4</v>
      </c>
      <c r="L1447" s="97">
        <f>_xll.meDateFromTenor(L1446,"1D","FOLLOWING","TGT")</f>
        <v>44561</v>
      </c>
      <c r="M1447" s="95">
        <f ca="1"/>
        <v>7.0088550226188699E-3</v>
      </c>
      <c r="N1447" s="5" t="s">
        <v>4</v>
      </c>
      <c r="O1447" s="97">
        <f>_xll.meDateFromTenor(O1446,"1D","FOLLOWING","TGT")</f>
        <v>44561</v>
      </c>
      <c r="P1447" s="95">
        <f ca="1"/>
        <v>8.9420154262951686E-3</v>
      </c>
      <c r="Q1447" s="5" t="s">
        <v>4</v>
      </c>
      <c r="R1447" s="83" t="s">
        <v>4</v>
      </c>
    </row>
    <row r="1448" spans="1:18" x14ac:dyDescent="0.25">
      <c r="A1448" s="88">
        <v>1434</v>
      </c>
      <c r="B1448" s="82"/>
      <c r="C1448" s="97">
        <f>_xll.meDateFromTenor(C1447,"1D","FOLLOWING","TGT")</f>
        <v>44564</v>
      </c>
      <c r="D1448" s="95">
        <f ca="1"/>
        <v>3.3597958979825204E-3</v>
      </c>
      <c r="E1448" s="92"/>
      <c r="F1448" s="97">
        <f>_xll.meDateFromTenor(F1447,"1D","FOLLOWING","TGT")</f>
        <v>44564</v>
      </c>
      <c r="G1448" s="95">
        <f ca="1"/>
        <v>4.0222830502211881E-3</v>
      </c>
      <c r="H1448" s="92" t="s">
        <v>4</v>
      </c>
      <c r="I1448" s="97">
        <f>_xll.meDateFromTenor(I1447,"1D","FOLLOWING","TGT")</f>
        <v>44564</v>
      </c>
      <c r="J1448" s="95">
        <f ca="1"/>
        <v>5.3067661109474284E-3</v>
      </c>
      <c r="K1448" s="5" t="s">
        <v>4</v>
      </c>
      <c r="L1448" s="97">
        <f>_xll.meDateFromTenor(L1447,"1D","FOLLOWING","TGT")</f>
        <v>44564</v>
      </c>
      <c r="M1448" s="95">
        <f ca="1"/>
        <v>7.0331757317095376E-3</v>
      </c>
      <c r="N1448" s="5" t="s">
        <v>4</v>
      </c>
      <c r="O1448" s="97">
        <f>_xll.meDateFromTenor(O1447,"1D","FOLLOWING","TGT")</f>
        <v>44564</v>
      </c>
      <c r="P1448" s="95">
        <f ca="1"/>
        <v>8.9637005778824986E-3</v>
      </c>
      <c r="Q1448" s="5" t="s">
        <v>4</v>
      </c>
      <c r="R1448" s="83" t="s">
        <v>4</v>
      </c>
    </row>
    <row r="1449" spans="1:18" x14ac:dyDescent="0.25">
      <c r="A1449" s="88">
        <v>1435</v>
      </c>
      <c r="B1449" s="82"/>
      <c r="C1449" s="97">
        <f>_xll.meDateFromTenor(C1448,"1D","FOLLOWING","TGT")</f>
        <v>44565</v>
      </c>
      <c r="D1449" s="95">
        <f ca="1"/>
        <v>3.367507442871176E-3</v>
      </c>
      <c r="E1449" s="92"/>
      <c r="F1449" s="97">
        <f>_xll.meDateFromTenor(F1448,"1D","FOLLOWING","TGT")</f>
        <v>44565</v>
      </c>
      <c r="G1449" s="95">
        <f ca="1"/>
        <v>4.0294814986656579E-3</v>
      </c>
      <c r="H1449" s="92" t="s">
        <v>4</v>
      </c>
      <c r="I1449" s="97">
        <f>_xll.meDateFromTenor(I1448,"1D","FOLLOWING","TGT")</f>
        <v>44565</v>
      </c>
      <c r="J1449" s="95">
        <f ca="1"/>
        <v>5.3151647877672931E-3</v>
      </c>
      <c r="K1449" s="5" t="s">
        <v>4</v>
      </c>
      <c r="L1449" s="97">
        <f>_xll.meDateFromTenor(L1448,"1D","FOLLOWING","TGT")</f>
        <v>44565</v>
      </c>
      <c r="M1449" s="95">
        <f ca="1"/>
        <v>7.041288303926755E-3</v>
      </c>
      <c r="N1449" s="5" t="s">
        <v>4</v>
      </c>
      <c r="O1449" s="97">
        <f>_xll.meDateFromTenor(O1448,"1D","FOLLOWING","TGT")</f>
        <v>44565</v>
      </c>
      <c r="P1449" s="95">
        <f ca="1"/>
        <v>8.9709274936816928E-3</v>
      </c>
      <c r="Q1449" s="5" t="s">
        <v>4</v>
      </c>
      <c r="R1449" s="83" t="s">
        <v>4</v>
      </c>
    </row>
    <row r="1450" spans="1:18" x14ac:dyDescent="0.25">
      <c r="A1450" s="88">
        <v>1436</v>
      </c>
      <c r="B1450" s="82"/>
      <c r="C1450" s="97">
        <f>_xll.meDateFromTenor(C1449,"1D","FOLLOWING","TGT")</f>
        <v>44566</v>
      </c>
      <c r="D1450" s="95">
        <f ca="1"/>
        <v>3.375192233251445E-3</v>
      </c>
      <c r="E1450" s="92"/>
      <c r="F1450" s="97">
        <f>_xll.meDateFromTenor(F1449,"1D","FOLLOWING","TGT")</f>
        <v>44566</v>
      </c>
      <c r="G1450" s="95">
        <f ca="1"/>
        <v>4.0366697523607498E-3</v>
      </c>
      <c r="H1450" s="92" t="s">
        <v>4</v>
      </c>
      <c r="I1450" s="97">
        <f>_xll.meDateFromTenor(I1449,"1D","FOLLOWING","TGT")</f>
        <v>44566</v>
      </c>
      <c r="J1450" s="95">
        <f ca="1"/>
        <v>5.323566783920969E-3</v>
      </c>
      <c r="K1450" s="5" t="s">
        <v>4</v>
      </c>
      <c r="L1450" s="97">
        <f>_xll.meDateFromTenor(L1449,"1D","FOLLOWING","TGT")</f>
        <v>44566</v>
      </c>
      <c r="M1450" s="95">
        <f ca="1"/>
        <v>7.0494036416872564E-3</v>
      </c>
      <c r="N1450" s="5" t="s">
        <v>4</v>
      </c>
      <c r="O1450" s="97">
        <f>_xll.meDateFromTenor(O1449,"1D","FOLLOWING","TGT")</f>
        <v>44566</v>
      </c>
      <c r="P1450" s="95">
        <f ca="1"/>
        <v>8.9781536696778002E-3</v>
      </c>
      <c r="Q1450" s="5" t="s">
        <v>4</v>
      </c>
      <c r="R1450" s="83" t="s">
        <v>4</v>
      </c>
    </row>
    <row r="1451" spans="1:18" x14ac:dyDescent="0.25">
      <c r="A1451" s="88">
        <v>1437</v>
      </c>
      <c r="B1451" s="82"/>
      <c r="C1451" s="97">
        <f>_xll.meDateFromTenor(C1450,"1D","FOLLOWING","TGT")</f>
        <v>44567</v>
      </c>
      <c r="D1451" s="95">
        <f ca="1"/>
        <v>3.3828502681132466E-3</v>
      </c>
      <c r="E1451" s="92"/>
      <c r="F1451" s="97">
        <f>_xll.meDateFromTenor(F1450,"1D","FOLLOWING","TGT")</f>
        <v>44567</v>
      </c>
      <c r="G1451" s="95">
        <f ca="1"/>
        <v>4.0438509089377843E-3</v>
      </c>
      <c r="H1451" s="92" t="s">
        <v>4</v>
      </c>
      <c r="I1451" s="97">
        <f>_xll.meDateFromTenor(I1450,"1D","FOLLOWING","TGT")</f>
        <v>44567</v>
      </c>
      <c r="J1451" s="95">
        <f ca="1"/>
        <v>5.3319720405069267E-3</v>
      </c>
      <c r="K1451" s="5" t="s">
        <v>4</v>
      </c>
      <c r="L1451" s="97">
        <f>_xll.meDateFromTenor(L1450,"1D","FOLLOWING","TGT")</f>
        <v>44567</v>
      </c>
      <c r="M1451" s="95">
        <f ca="1"/>
        <v>7.0575217035609133E-3</v>
      </c>
      <c r="N1451" s="5" t="s">
        <v>4</v>
      </c>
      <c r="O1451" s="97">
        <f>_xll.meDateFromTenor(O1450,"1D","FOLLOWING","TGT")</f>
        <v>44567</v>
      </c>
      <c r="P1451" s="95">
        <f ca="1"/>
        <v>8.9853791024079397E-3</v>
      </c>
      <c r="Q1451" s="5" t="s">
        <v>4</v>
      </c>
      <c r="R1451" s="83" t="s">
        <v>4</v>
      </c>
    </row>
    <row r="1452" spans="1:18" x14ac:dyDescent="0.25">
      <c r="A1452" s="88">
        <v>1438</v>
      </c>
      <c r="B1452" s="82"/>
      <c r="C1452" s="97">
        <f>_xll.meDateFromTenor(C1451,"1D","FOLLOWING","TGT")</f>
        <v>44568</v>
      </c>
      <c r="D1452" s="95">
        <f ca="1"/>
        <v>3.3904815463585702E-3</v>
      </c>
      <c r="E1452" s="92"/>
      <c r="F1452" s="97">
        <f>_xll.meDateFromTenor(F1451,"1D","FOLLOWING","TGT")</f>
        <v>44568</v>
      </c>
      <c r="G1452" s="95">
        <f ca="1"/>
        <v>4.0510280660280779E-3</v>
      </c>
      <c r="H1452" s="92" t="s">
        <v>4</v>
      </c>
      <c r="I1452" s="97">
        <f>_xll.meDateFromTenor(I1451,"1D","FOLLOWING","TGT")</f>
        <v>44568</v>
      </c>
      <c r="J1452" s="95">
        <f ca="1"/>
        <v>5.3403804986236307E-3</v>
      </c>
      <c r="K1452" s="5" t="s">
        <v>4</v>
      </c>
      <c r="L1452" s="97">
        <f>_xll.meDateFromTenor(L1451,"1D","FOLLOWING","TGT")</f>
        <v>44568</v>
      </c>
      <c r="M1452" s="95">
        <f ca="1"/>
        <v>7.0656424481176016E-3</v>
      </c>
      <c r="N1452" s="5" t="s">
        <v>4</v>
      </c>
      <c r="O1452" s="97">
        <f>_xll.meDateFromTenor(O1451,"1D","FOLLOWING","TGT")</f>
        <v>44568</v>
      </c>
      <c r="P1452" s="95">
        <f ca="1"/>
        <v>8.9926037884092355E-3</v>
      </c>
      <c r="Q1452" s="5" t="s">
        <v>4</v>
      </c>
      <c r="R1452" s="83" t="s">
        <v>4</v>
      </c>
    </row>
    <row r="1453" spans="1:18" x14ac:dyDescent="0.25">
      <c r="A1453" s="88">
        <v>1439</v>
      </c>
      <c r="B1453" s="82"/>
      <c r="C1453" s="97">
        <f>_xll.meDateFromTenor(C1452,"1D","FOLLOWING","TGT")</f>
        <v>44571</v>
      </c>
      <c r="D1453" s="95">
        <f ca="1"/>
        <v>3.4132148289123254E-3</v>
      </c>
      <c r="E1453" s="92"/>
      <c r="F1453" s="97">
        <f>_xll.meDateFromTenor(F1452,"1D","FOLLOWING","TGT")</f>
        <v>44571</v>
      </c>
      <c r="G1453" s="95">
        <f ca="1"/>
        <v>4.0725665166917004E-3</v>
      </c>
      <c r="H1453" s="92" t="s">
        <v>4</v>
      </c>
      <c r="I1453" s="97">
        <f>_xll.meDateFromTenor(I1452,"1D","FOLLOWING","TGT")</f>
        <v>44571</v>
      </c>
      <c r="J1453" s="95">
        <f ca="1"/>
        <v>5.3656244931428749E-3</v>
      </c>
      <c r="K1453" s="5" t="s">
        <v>4</v>
      </c>
      <c r="L1453" s="97">
        <f>_xll.meDateFromTenor(L1452,"1D","FOLLOWING","TGT")</f>
        <v>44571</v>
      </c>
      <c r="M1453" s="95">
        <f ca="1"/>
        <v>7.0900203635845703E-3</v>
      </c>
      <c r="N1453" s="5" t="s">
        <v>4</v>
      </c>
      <c r="O1453" s="97">
        <f>_xll.meDateFromTenor(O1452,"1D","FOLLOWING","TGT")</f>
        <v>44571</v>
      </c>
      <c r="P1453" s="95">
        <f ca="1"/>
        <v>9.0142733314112818E-3</v>
      </c>
      <c r="Q1453" s="5" t="s">
        <v>4</v>
      </c>
      <c r="R1453" s="83" t="s">
        <v>4</v>
      </c>
    </row>
    <row r="1454" spans="1:18" x14ac:dyDescent="0.25">
      <c r="A1454" s="88">
        <v>1440</v>
      </c>
      <c r="B1454" s="82"/>
      <c r="C1454" s="97">
        <f>_xll.meDateFromTenor(C1453,"1D","FOLLOWING","TGT")</f>
        <v>44572</v>
      </c>
      <c r="D1454" s="95">
        <f ca="1"/>
        <v>3.4207390688512085E-3</v>
      </c>
      <c r="E1454" s="92"/>
      <c r="F1454" s="97">
        <f>_xll.meDateFromTenor(F1453,"1D","FOLLOWING","TGT")</f>
        <v>44572</v>
      </c>
      <c r="G1454" s="95">
        <f ca="1"/>
        <v>4.0797586521482149E-3</v>
      </c>
      <c r="H1454" s="92" t="s">
        <v>4</v>
      </c>
      <c r="I1454" s="97">
        <f>_xll.meDateFromTenor(I1453,"1D","FOLLOWING","TGT")</f>
        <v>44572</v>
      </c>
      <c r="J1454" s="95">
        <f ca="1"/>
        <v>5.374045168367223E-3</v>
      </c>
      <c r="K1454" s="5" t="s">
        <v>4</v>
      </c>
      <c r="L1454" s="97">
        <f>_xll.meDateFromTenor(L1453,"1D","FOLLOWING","TGT")</f>
        <v>44572</v>
      </c>
      <c r="M1454" s="95">
        <f ca="1"/>
        <v>7.0981514245721062E-3</v>
      </c>
      <c r="N1454" s="5" t="s">
        <v>4</v>
      </c>
      <c r="O1454" s="97">
        <f>_xll.meDateFromTenor(O1453,"1D","FOLLOWING","TGT")</f>
        <v>44572</v>
      </c>
      <c r="P1454" s="95">
        <f ca="1"/>
        <v>9.0214949958684256E-3</v>
      </c>
      <c r="Q1454" s="5" t="s">
        <v>4</v>
      </c>
      <c r="R1454" s="83" t="s">
        <v>4</v>
      </c>
    </row>
    <row r="1455" spans="1:18" x14ac:dyDescent="0.25">
      <c r="A1455" s="88">
        <v>1441</v>
      </c>
      <c r="B1455" s="82"/>
      <c r="C1455" s="97">
        <f>_xll.meDateFromTenor(C1454,"1D","FOLLOWING","TGT")</f>
        <v>44573</v>
      </c>
      <c r="D1455" s="95">
        <f ca="1"/>
        <v>3.4282365461029141E-3</v>
      </c>
      <c r="E1455" s="92"/>
      <c r="F1455" s="97">
        <f>_xll.meDateFromTenor(F1454,"1D","FOLLOWING","TGT")</f>
        <v>44573</v>
      </c>
      <c r="G1455" s="95">
        <f ca="1"/>
        <v>4.08696227627458E-3</v>
      </c>
      <c r="H1455" s="92" t="s">
        <v>4</v>
      </c>
      <c r="I1455" s="97">
        <f>_xll.meDateFromTenor(I1454,"1D","FOLLOWING","TGT")</f>
        <v>44573</v>
      </c>
      <c r="J1455" s="95">
        <f ca="1"/>
        <v>5.3824687506146499E-3</v>
      </c>
      <c r="K1455" s="5" t="s">
        <v>4</v>
      </c>
      <c r="L1455" s="97">
        <f>_xll.meDateFromTenor(L1454,"1D","FOLLOWING","TGT")</f>
        <v>44573</v>
      </c>
      <c r="M1455" s="95">
        <f ca="1"/>
        <v>7.1062849610920341E-3</v>
      </c>
      <c r="N1455" s="5" t="s">
        <v>4</v>
      </c>
      <c r="O1455" s="97">
        <f>_xll.meDateFromTenor(O1454,"1D","FOLLOWING","TGT")</f>
        <v>44573</v>
      </c>
      <c r="P1455" s="95">
        <f ca="1"/>
        <v>9.0287158962823345E-3</v>
      </c>
      <c r="Q1455" s="5" t="s">
        <v>4</v>
      </c>
      <c r="R1455" s="83" t="s">
        <v>4</v>
      </c>
    </row>
    <row r="1456" spans="1:18" x14ac:dyDescent="0.25">
      <c r="A1456" s="88">
        <v>1442</v>
      </c>
      <c r="B1456" s="82"/>
      <c r="C1456" s="97">
        <f>_xll.meDateFromTenor(C1455,"1D","FOLLOWING","TGT")</f>
        <v>44574</v>
      </c>
      <c r="D1456" s="95">
        <f ca="1"/>
        <v>3.4357072598236726E-3</v>
      </c>
      <c r="E1456" s="92"/>
      <c r="F1456" s="97">
        <f>_xll.meDateFromTenor(F1455,"1D","FOLLOWING","TGT")</f>
        <v>44574</v>
      </c>
      <c r="G1456" s="95">
        <f ca="1"/>
        <v>4.0941804867021146E-3</v>
      </c>
      <c r="H1456" s="92" t="s">
        <v>4</v>
      </c>
      <c r="I1456" s="97">
        <f>_xll.meDateFromTenor(I1455,"1D","FOLLOWING","TGT")</f>
        <v>44574</v>
      </c>
      <c r="J1456" s="95">
        <f ca="1"/>
        <v>5.3908951809836202E-3</v>
      </c>
      <c r="K1456" s="5" t="s">
        <v>4</v>
      </c>
      <c r="L1456" s="97">
        <f>_xll.meDateFromTenor(L1455,"1D","FOLLOWING","TGT")</f>
        <v>44574</v>
      </c>
      <c r="M1456" s="95">
        <f ca="1"/>
        <v>7.1144209317142298E-3</v>
      </c>
      <c r="N1456" s="5" t="s">
        <v>4</v>
      </c>
      <c r="O1456" s="97">
        <f>_xll.meDateFromTenor(O1455,"1D","FOLLOWING","TGT")</f>
        <v>44574</v>
      </c>
      <c r="P1456" s="95">
        <f ca="1"/>
        <v>9.0359360291901326E-3</v>
      </c>
      <c r="Q1456" s="5" t="s">
        <v>4</v>
      </c>
      <c r="R1456" s="83" t="s">
        <v>4</v>
      </c>
    </row>
    <row r="1457" spans="1:18" x14ac:dyDescent="0.25">
      <c r="A1457" s="88">
        <v>1443</v>
      </c>
      <c r="B1457" s="82"/>
      <c r="C1457" s="97">
        <f>_xll.meDateFromTenor(C1456,"1D","FOLLOWING","TGT")</f>
        <v>44575</v>
      </c>
      <c r="D1457" s="95">
        <f ca="1"/>
        <v>3.4431512088595184E-3</v>
      </c>
      <c r="E1457" s="92"/>
      <c r="F1457" s="97">
        <f>_xll.meDateFromTenor(F1456,"1D","FOLLOWING","TGT")</f>
        <v>44575</v>
      </c>
      <c r="G1457" s="95">
        <f ca="1"/>
        <v>4.1014163810621351E-3</v>
      </c>
      <c r="H1457" s="92" t="s">
        <v>4</v>
      </c>
      <c r="I1457" s="97">
        <f>_xll.meDateFromTenor(I1456,"1D","FOLLOWING","TGT")</f>
        <v>44575</v>
      </c>
      <c r="J1457" s="95">
        <f ca="1"/>
        <v>5.3993244005725999E-3</v>
      </c>
      <c r="K1457" s="5" t="s">
        <v>4</v>
      </c>
      <c r="L1457" s="97">
        <f>_xll.meDateFromTenor(L1456,"1D","FOLLOWING","TGT")</f>
        <v>44575</v>
      </c>
      <c r="M1457" s="95">
        <f ca="1"/>
        <v>7.122559295008565E-3</v>
      </c>
      <c r="N1457" s="5" t="s">
        <v>4</v>
      </c>
      <c r="O1457" s="97">
        <f>_xll.meDateFromTenor(O1456,"1D","FOLLOWING","TGT")</f>
        <v>44575</v>
      </c>
      <c r="P1457" s="95">
        <f ca="1"/>
        <v>9.0431553911289406E-3</v>
      </c>
      <c r="Q1457" s="5" t="s">
        <v>4</v>
      </c>
      <c r="R1457" s="83" t="s">
        <v>4</v>
      </c>
    </row>
    <row r="1458" spans="1:18" x14ac:dyDescent="0.25">
      <c r="A1458" s="88">
        <v>1444</v>
      </c>
      <c r="B1458" s="82"/>
      <c r="C1458" s="97">
        <f>_xll.meDateFromTenor(C1457,"1D","FOLLOWING","TGT")</f>
        <v>44578</v>
      </c>
      <c r="D1458" s="95">
        <f ca="1"/>
        <v>3.4653224555643014E-3</v>
      </c>
      <c r="E1458" s="92"/>
      <c r="F1458" s="97">
        <f>_xll.meDateFromTenor(F1457,"1D","FOLLOWING","TGT")</f>
        <v>44578</v>
      </c>
      <c r="G1458" s="95">
        <f ca="1"/>
        <v>4.1232611440502973E-3</v>
      </c>
      <c r="H1458" s="92" t="s">
        <v>4</v>
      </c>
      <c r="I1458" s="97">
        <f>_xll.meDateFromTenor(I1457,"1D","FOLLOWING","TGT")</f>
        <v>44578</v>
      </c>
      <c r="J1458" s="95">
        <f ca="1"/>
        <v>5.4246282056442602E-3</v>
      </c>
      <c r="K1458" s="5" t="s">
        <v>4</v>
      </c>
      <c r="L1458" s="97">
        <f>_xll.meDateFromTenor(L1457,"1D","FOLLOWING","TGT")</f>
        <v>44578</v>
      </c>
      <c r="M1458" s="95">
        <f ca="1"/>
        <v>7.1469883266231339E-3</v>
      </c>
      <c r="N1458" s="5" t="s">
        <v>4</v>
      </c>
      <c r="O1458" s="97">
        <f>_xll.meDateFromTenor(O1457,"1D","FOLLOWING","TGT")</f>
        <v>44578</v>
      </c>
      <c r="P1458" s="95">
        <f ca="1"/>
        <v>9.0648088165026543E-3</v>
      </c>
      <c r="Q1458" s="5" t="s">
        <v>4</v>
      </c>
      <c r="R1458" s="83" t="s">
        <v>4</v>
      </c>
    </row>
    <row r="1459" spans="1:18" x14ac:dyDescent="0.25">
      <c r="A1459" s="88">
        <v>1445</v>
      </c>
      <c r="B1459" s="82"/>
      <c r="C1459" s="97">
        <f>_xll.meDateFromTenor(C1458,"1D","FOLLOWING","TGT")</f>
        <v>44579</v>
      </c>
      <c r="D1459" s="95">
        <f ca="1"/>
        <v>3.4726593335872025E-3</v>
      </c>
      <c r="E1459" s="92"/>
      <c r="F1459" s="97">
        <f>_xll.meDateFromTenor(F1458,"1D","FOLLOWING","TGT")</f>
        <v>44579</v>
      </c>
      <c r="G1459" s="95">
        <f ca="1"/>
        <v>4.1305987504534451E-3</v>
      </c>
      <c r="H1459" s="92" t="s">
        <v>4</v>
      </c>
      <c r="I1459" s="97">
        <f>_xll.meDateFromTenor(I1458,"1D","FOLLOWING","TGT")</f>
        <v>44579</v>
      </c>
      <c r="J1459" s="95">
        <f ca="1"/>
        <v>5.4330679930979404E-3</v>
      </c>
      <c r="K1459" s="5" t="s">
        <v>4</v>
      </c>
      <c r="L1459" s="97">
        <f>_xll.meDateFromTenor(L1458,"1D","FOLLOWING","TGT")</f>
        <v>44579</v>
      </c>
      <c r="M1459" s="95">
        <f ca="1"/>
        <v>7.1551358463047537E-3</v>
      </c>
      <c r="N1459" s="5" t="s">
        <v>4</v>
      </c>
      <c r="O1459" s="97">
        <f>_xll.meDateFromTenor(O1458,"1D","FOLLOWING","TGT")</f>
        <v>44579</v>
      </c>
      <c r="P1459" s="95">
        <f ca="1"/>
        <v>9.0720250599367266E-3</v>
      </c>
      <c r="Q1459" s="5" t="s">
        <v>4</v>
      </c>
      <c r="R1459" s="83" t="s">
        <v>4</v>
      </c>
    </row>
    <row r="1460" spans="1:18" x14ac:dyDescent="0.25">
      <c r="A1460" s="88">
        <v>1446</v>
      </c>
      <c r="B1460" s="82"/>
      <c r="C1460" s="97">
        <f>_xll.meDateFromTenor(C1459,"1D","FOLLOWING","TGT")</f>
        <v>44580</v>
      </c>
      <c r="D1460" s="95">
        <f ca="1"/>
        <v>3.4799694411604687E-3</v>
      </c>
      <c r="E1460" s="92"/>
      <c r="F1460" s="97">
        <f>_xll.meDateFromTenor(F1459,"1D","FOLLOWING","TGT")</f>
        <v>44580</v>
      </c>
      <c r="G1460" s="95">
        <f ca="1"/>
        <v>4.1379695289456685E-3</v>
      </c>
      <c r="H1460" s="92" t="s">
        <v>4</v>
      </c>
      <c r="I1460" s="97">
        <f>_xll.meDateFromTenor(I1459,"1D","FOLLOWING","TGT")</f>
        <v>44580</v>
      </c>
      <c r="J1460" s="95">
        <f ca="1"/>
        <v>5.4415102752639593E-3</v>
      </c>
      <c r="K1460" s="5" t="s">
        <v>4</v>
      </c>
      <c r="L1460" s="97">
        <f>_xll.meDateFromTenor(L1459,"1D","FOLLOWING","TGT")</f>
        <v>44580</v>
      </c>
      <c r="M1460" s="95">
        <f ca="1"/>
        <v>7.1632855515078751E-3</v>
      </c>
      <c r="N1460" s="5" t="s">
        <v>4</v>
      </c>
      <c r="O1460" s="97">
        <f>_xll.meDateFromTenor(O1459,"1D","FOLLOWING","TGT")</f>
        <v>44580</v>
      </c>
      <c r="P1460" s="95">
        <f ca="1"/>
        <v>9.0792405150874212E-3</v>
      </c>
      <c r="Q1460" s="5" t="s">
        <v>4</v>
      </c>
      <c r="R1460" s="83" t="s">
        <v>4</v>
      </c>
    </row>
    <row r="1461" spans="1:18" x14ac:dyDescent="0.25">
      <c r="A1461" s="88">
        <v>1447</v>
      </c>
      <c r="B1461" s="82"/>
      <c r="C1461" s="97">
        <f>_xll.meDateFromTenor(C1460,"1D","FOLLOWING","TGT")</f>
        <v>44581</v>
      </c>
      <c r="D1461" s="95">
        <f ca="1"/>
        <v>3.4872527771425688E-3</v>
      </c>
      <c r="E1461" s="92"/>
      <c r="F1461" s="97">
        <f>_xll.meDateFromTenor(F1460,"1D","FOLLOWING","TGT")</f>
        <v>44581</v>
      </c>
      <c r="G1461" s="95">
        <f ca="1"/>
        <v>4.1453765771582883E-3</v>
      </c>
      <c r="H1461" s="92" t="s">
        <v>4</v>
      </c>
      <c r="I1461" s="97">
        <f>_xll.meDateFromTenor(I1460,"1D","FOLLOWING","TGT")</f>
        <v>44581</v>
      </c>
      <c r="J1461" s="95">
        <f ca="1"/>
        <v>5.449954993240789E-3</v>
      </c>
      <c r="K1461" s="5" t="s">
        <v>4</v>
      </c>
      <c r="L1461" s="97">
        <f>_xll.meDateFromTenor(L1460,"1D","FOLLOWING","TGT")</f>
        <v>44581</v>
      </c>
      <c r="M1461" s="95">
        <f ca="1"/>
        <v>7.1714374008023723E-3</v>
      </c>
      <c r="N1461" s="5" t="s">
        <v>4</v>
      </c>
      <c r="O1461" s="97">
        <f>_xll.meDateFromTenor(O1460,"1D","FOLLOWING","TGT")</f>
        <v>44581</v>
      </c>
      <c r="P1461" s="95">
        <f ca="1"/>
        <v>9.0864551784918587E-3</v>
      </c>
      <c r="Q1461" s="5" t="s">
        <v>4</v>
      </c>
      <c r="R1461" s="83" t="s">
        <v>4</v>
      </c>
    </row>
    <row r="1462" spans="1:18" x14ac:dyDescent="0.25">
      <c r="A1462" s="88">
        <v>1448</v>
      </c>
      <c r="B1462" s="82"/>
      <c r="C1462" s="97">
        <f>_xll.meDateFromTenor(C1461,"1D","FOLLOWING","TGT")</f>
        <v>44582</v>
      </c>
      <c r="D1462" s="95">
        <f ca="1"/>
        <v>3.494509339663443E-3</v>
      </c>
      <c r="E1462" s="92"/>
      <c r="F1462" s="97">
        <f>_xll.meDateFromTenor(F1461,"1D","FOLLOWING","TGT")</f>
        <v>44582</v>
      </c>
      <c r="G1462" s="95">
        <f ca="1"/>
        <v>4.1528229927226233E-3</v>
      </c>
      <c r="H1462" s="92" t="s">
        <v>4</v>
      </c>
      <c r="I1462" s="97">
        <f>_xll.meDateFromTenor(I1461,"1D","FOLLOWING","TGT")</f>
        <v>44582</v>
      </c>
      <c r="J1462" s="95">
        <f ca="1"/>
        <v>5.4584020881268923E-3</v>
      </c>
      <c r="K1462" s="5" t="s">
        <v>4</v>
      </c>
      <c r="L1462" s="97">
        <f>_xll.meDateFromTenor(L1461,"1D","FOLLOWING","TGT")</f>
        <v>44582</v>
      </c>
      <c r="M1462" s="95">
        <f ca="1"/>
        <v>7.1795913527581221E-3</v>
      </c>
      <c r="N1462" s="5" t="s">
        <v>4</v>
      </c>
      <c r="O1462" s="97">
        <f>_xll.meDateFromTenor(O1461,"1D","FOLLOWING","TGT")</f>
        <v>44582</v>
      </c>
      <c r="P1462" s="95">
        <f ca="1"/>
        <v>9.0936690466871632E-3</v>
      </c>
      <c r="Q1462" s="5" t="s">
        <v>4</v>
      </c>
      <c r="R1462" s="83" t="s">
        <v>4</v>
      </c>
    </row>
    <row r="1463" spans="1:18" x14ac:dyDescent="0.25">
      <c r="A1463" s="88">
        <v>1449</v>
      </c>
      <c r="B1463" s="82"/>
      <c r="C1463" s="97">
        <f>_xll.meDateFromTenor(C1462,"1D","FOLLOWING","TGT")</f>
        <v>44585</v>
      </c>
      <c r="D1463" s="95">
        <f ca="1"/>
        <v>3.5161183782828065E-3</v>
      </c>
      <c r="E1463" s="92"/>
      <c r="F1463" s="97">
        <f>_xll.meDateFromTenor(F1462,"1D","FOLLOWING","TGT")</f>
        <v>44585</v>
      </c>
      <c r="G1463" s="95">
        <f ca="1"/>
        <v>4.175429419839085E-3</v>
      </c>
      <c r="H1463" s="92" t="s">
        <v>4</v>
      </c>
      <c r="I1463" s="97">
        <f>_xll.meDateFromTenor(I1462,"1D","FOLLOWING","TGT")</f>
        <v>44585</v>
      </c>
      <c r="J1463" s="95">
        <f ca="1"/>
        <v>5.4837570452255062E-3</v>
      </c>
      <c r="K1463" s="5" t="s">
        <v>4</v>
      </c>
      <c r="L1463" s="97">
        <f>_xll.meDateFromTenor(L1462,"1D","FOLLOWING","TGT")</f>
        <v>44585</v>
      </c>
      <c r="M1463" s="95">
        <f ca="1"/>
        <v>7.2040654102915862E-3</v>
      </c>
      <c r="N1463" s="5" t="s">
        <v>4</v>
      </c>
      <c r="O1463" s="97">
        <f>_xll.meDateFromTenor(O1462,"1D","FOLLOWING","TGT")</f>
        <v>44585</v>
      </c>
      <c r="P1463" s="95">
        <f ca="1"/>
        <v>9.1153058453894917E-3</v>
      </c>
      <c r="Q1463" s="5" t="s">
        <v>4</v>
      </c>
      <c r="R1463" s="83" t="s">
        <v>4</v>
      </c>
    </row>
    <row r="1464" spans="1:18" x14ac:dyDescent="0.25">
      <c r="A1464" s="88">
        <v>1450</v>
      </c>
      <c r="B1464" s="82"/>
      <c r="C1464" s="97">
        <f>_xll.meDateFromTenor(C1463,"1D","FOLLOWING","TGT")</f>
        <v>44586</v>
      </c>
      <c r="D1464" s="95">
        <f ca="1"/>
        <v>3.5232678371792669E-3</v>
      </c>
      <c r="E1464" s="92"/>
      <c r="F1464" s="97">
        <f>_xll.meDateFromTenor(F1463,"1D","FOLLOWING","TGT")</f>
        <v>44586</v>
      </c>
      <c r="G1464" s="95">
        <f ca="1"/>
        <v>4.183064281123452E-3</v>
      </c>
      <c r="H1464" s="92" t="s">
        <v>4</v>
      </c>
      <c r="I1464" s="97">
        <f>_xll.meDateFromTenor(I1463,"1D","FOLLOWING","TGT")</f>
        <v>44586</v>
      </c>
      <c r="J1464" s="95">
        <f ca="1"/>
        <v>5.4922130587333655E-3</v>
      </c>
      <c r="K1464" s="5" t="s">
        <v>4</v>
      </c>
      <c r="L1464" s="97">
        <f>_xll.meDateFromTenor(L1463,"1D","FOLLOWING","TGT")</f>
        <v>44586</v>
      </c>
      <c r="M1464" s="95">
        <f ca="1"/>
        <v>7.2122273585910586E-3</v>
      </c>
      <c r="N1464" s="5" t="s">
        <v>4</v>
      </c>
      <c r="O1464" s="97">
        <f>_xll.meDateFromTenor(O1463,"1D","FOLLOWING","TGT")</f>
        <v>44586</v>
      </c>
      <c r="P1464" s="95">
        <f ca="1"/>
        <v>9.1225164981194803E-3</v>
      </c>
      <c r="Q1464" s="5" t="s">
        <v>4</v>
      </c>
      <c r="R1464" s="83" t="s">
        <v>4</v>
      </c>
    </row>
    <row r="1465" spans="1:18" x14ac:dyDescent="0.25">
      <c r="A1465" s="88">
        <v>1451</v>
      </c>
      <c r="B1465" s="82"/>
      <c r="C1465" s="97">
        <f>_xll.meDateFromTenor(C1464,"1D","FOLLOWING","TGT")</f>
        <v>44587</v>
      </c>
      <c r="D1465" s="95">
        <f ca="1"/>
        <v>3.5303905171739647E-3</v>
      </c>
      <c r="E1465" s="92"/>
      <c r="F1465" s="97">
        <f>_xll.meDateFromTenor(F1464,"1D","FOLLOWING","TGT")</f>
        <v>44587</v>
      </c>
      <c r="G1465" s="95">
        <f ca="1"/>
        <v>4.1907539979161232E-3</v>
      </c>
      <c r="H1465" s="92" t="s">
        <v>4</v>
      </c>
      <c r="I1465" s="97">
        <f>_xll.meDateFromTenor(I1464,"1D","FOLLOWING","TGT")</f>
        <v>44587</v>
      </c>
      <c r="J1465" s="95">
        <f ca="1"/>
        <v>5.500671154642831E-3</v>
      </c>
      <c r="K1465" s="5" t="s">
        <v>4</v>
      </c>
      <c r="L1465" s="97">
        <f>_xll.meDateFromTenor(L1464,"1D","FOLLOWING","TGT")</f>
        <v>44587</v>
      </c>
      <c r="M1465" s="95">
        <f ca="1"/>
        <v>7.2203912024011415E-3</v>
      </c>
      <c r="N1465" s="5" t="s">
        <v>4</v>
      </c>
      <c r="O1465" s="97">
        <f>_xll.meDateFromTenor(O1464,"1D","FOLLOWING","TGT")</f>
        <v>44587</v>
      </c>
      <c r="P1465" s="95">
        <f ca="1"/>
        <v>9.1297263383259449E-3</v>
      </c>
      <c r="Q1465" s="5" t="s">
        <v>4</v>
      </c>
      <c r="R1465" s="83" t="s">
        <v>4</v>
      </c>
    </row>
    <row r="1466" spans="1:18" x14ac:dyDescent="0.25">
      <c r="A1466" s="88">
        <v>1452</v>
      </c>
      <c r="B1466" s="82"/>
      <c r="C1466" s="97">
        <f>_xll.meDateFromTenor(C1465,"1D","FOLLOWING","TGT")</f>
        <v>44588</v>
      </c>
      <c r="D1466" s="95">
        <f ca="1"/>
        <v>3.5374864168904452E-3</v>
      </c>
      <c r="E1466" s="92"/>
      <c r="F1466" s="97">
        <f>_xll.meDateFromTenor(F1465,"1D","FOLLOWING","TGT")</f>
        <v>44588</v>
      </c>
      <c r="G1466" s="95">
        <f ca="1"/>
        <v>4.1985016678484175E-3</v>
      </c>
      <c r="H1466" s="92" t="s">
        <v>4</v>
      </c>
      <c r="I1466" s="97">
        <f>_xll.meDateFromTenor(I1465,"1D","FOLLOWING","TGT")</f>
        <v>44588</v>
      </c>
      <c r="J1466" s="95">
        <f ca="1"/>
        <v>5.5091312740523672E-3</v>
      </c>
      <c r="K1466" s="5" t="s">
        <v>4</v>
      </c>
      <c r="L1466" s="97">
        <f>_xll.meDateFromTenor(L1465,"1D","FOLLOWING","TGT")</f>
        <v>44588</v>
      </c>
      <c r="M1466" s="95">
        <f ca="1"/>
        <v>7.2285569002917115E-3</v>
      </c>
      <c r="N1466" s="5" t="s">
        <v>4</v>
      </c>
      <c r="O1466" s="97">
        <f>_xll.meDateFromTenor(O1465,"1D","FOLLOWING","TGT")</f>
        <v>44588</v>
      </c>
      <c r="P1466" s="95">
        <f ca="1"/>
        <v>9.1369353625460076E-3</v>
      </c>
      <c r="Q1466" s="5" t="s">
        <v>4</v>
      </c>
      <c r="R1466" s="83" t="s">
        <v>4</v>
      </c>
    </row>
    <row r="1467" spans="1:18" x14ac:dyDescent="0.25">
      <c r="A1467" s="88">
        <v>1453</v>
      </c>
      <c r="B1467" s="82"/>
      <c r="C1467" s="97">
        <f>_xll.meDateFromTenor(C1466,"1D","FOLLOWING","TGT")</f>
        <v>44589</v>
      </c>
      <c r="D1467" s="95">
        <f ca="1"/>
        <v>3.544555535445193E-3</v>
      </c>
      <c r="E1467" s="92"/>
      <c r="F1467" s="97">
        <f>_xll.meDateFromTenor(F1466,"1D","FOLLOWING","TGT")</f>
        <v>44589</v>
      </c>
      <c r="G1467" s="95">
        <f ca="1"/>
        <v>4.2063103885516488E-3</v>
      </c>
      <c r="H1467" s="92" t="s">
        <v>4</v>
      </c>
      <c r="I1467" s="97">
        <f>_xll.meDateFromTenor(I1466,"1D","FOLLOWING","TGT")</f>
        <v>44589</v>
      </c>
      <c r="J1467" s="95">
        <f ca="1"/>
        <v>5.5175933580604384E-3</v>
      </c>
      <c r="K1467" s="5" t="s">
        <v>4</v>
      </c>
      <c r="L1467" s="97">
        <f>_xll.meDateFromTenor(L1466,"1D","FOLLOWING","TGT")</f>
        <v>44589</v>
      </c>
      <c r="M1467" s="95">
        <f ca="1"/>
        <v>7.2367244108326343E-3</v>
      </c>
      <c r="N1467" s="5" t="s">
        <v>4</v>
      </c>
      <c r="O1467" s="97">
        <f>_xll.meDateFromTenor(O1466,"1D","FOLLOWING","TGT")</f>
        <v>44589</v>
      </c>
      <c r="P1467" s="95">
        <f ca="1"/>
        <v>9.1441435673167877E-3</v>
      </c>
      <c r="Q1467" s="5" t="s">
        <v>4</v>
      </c>
      <c r="R1467" s="83" t="s">
        <v>4</v>
      </c>
    </row>
    <row r="1468" spans="1:18" x14ac:dyDescent="0.25">
      <c r="A1468" s="88">
        <v>1454</v>
      </c>
      <c r="B1468" s="82"/>
      <c r="C1468" s="97">
        <f>_xll.meDateFromTenor(C1467,"1D","FOLLOWING","TGT")</f>
        <v>44592</v>
      </c>
      <c r="D1468" s="95">
        <f ca="1"/>
        <v>3.5656021903802682E-3</v>
      </c>
      <c r="E1468" s="92"/>
      <c r="F1468" s="97">
        <f>_xll.meDateFromTenor(F1467,"1D","FOLLOWING","TGT")</f>
        <v>44592</v>
      </c>
      <c r="G1468" s="95">
        <f ca="1"/>
        <v>4.2301338316001686E-3</v>
      </c>
      <c r="H1468" s="92" t="s">
        <v>4</v>
      </c>
      <c r="I1468" s="97">
        <f>_xll.meDateFromTenor(I1467,"1D","FOLLOWING","TGT")</f>
        <v>44592</v>
      </c>
      <c r="J1468" s="95">
        <f ca="1"/>
        <v>5.5429908086605459E-3</v>
      </c>
      <c r="K1468" s="5" t="s">
        <v>4</v>
      </c>
      <c r="L1468" s="97">
        <f>_xll.meDateFromTenor(L1467,"1D","FOLLOWING","TGT")</f>
        <v>44592</v>
      </c>
      <c r="M1468" s="95">
        <f ca="1"/>
        <v>7.2612374040562947E-3</v>
      </c>
      <c r="N1468" s="5" t="s">
        <v>4</v>
      </c>
      <c r="O1468" s="97">
        <f>_xll.meDateFromTenor(O1467,"1D","FOLLOWING","TGT")</f>
        <v>44592</v>
      </c>
      <c r="P1468" s="95">
        <f ca="1"/>
        <v>9.1657632303046802E-3</v>
      </c>
      <c r="Q1468" s="5" t="s">
        <v>4</v>
      </c>
      <c r="R1468" s="83" t="s">
        <v>4</v>
      </c>
    </row>
    <row r="1469" spans="1:18" x14ac:dyDescent="0.25">
      <c r="A1469" s="88">
        <v>1455</v>
      </c>
      <c r="B1469" s="82"/>
      <c r="C1469" s="97">
        <f>_xll.meDateFromTenor(C1468,"1D","FOLLOWING","TGT")</f>
        <v>44593</v>
      </c>
      <c r="D1469" s="95">
        <f ca="1"/>
        <v>3.5725641712673895E-3</v>
      </c>
      <c r="E1469" s="92"/>
      <c r="F1469" s="97">
        <f>_xll.meDateFromTenor(F1468,"1D","FOLLOWING","TGT")</f>
        <v>44593</v>
      </c>
      <c r="G1469" s="95">
        <f ca="1"/>
        <v>4.2382177317003443E-3</v>
      </c>
      <c r="H1469" s="92" t="s">
        <v>4</v>
      </c>
      <c r="I1469" s="97">
        <f>_xll.meDateFromTenor(I1468,"1D","FOLLOWING","TGT")</f>
        <v>44593</v>
      </c>
      <c r="J1469" s="95">
        <f ca="1"/>
        <v>5.5514601620474313E-3</v>
      </c>
      <c r="K1469" s="5" t="s">
        <v>4</v>
      </c>
      <c r="L1469" s="97">
        <f>_xll.meDateFromTenor(L1468,"1D","FOLLOWING","TGT")</f>
        <v>44593</v>
      </c>
      <c r="M1469" s="95">
        <f ca="1"/>
        <v>7.2694117508973824E-3</v>
      </c>
      <c r="N1469" s="5" t="s">
        <v>4</v>
      </c>
      <c r="O1469" s="97">
        <f>_xll.meDateFromTenor(O1468,"1D","FOLLOWING","TGT")</f>
        <v>44593</v>
      </c>
      <c r="P1469" s="95">
        <f ca="1"/>
        <v>9.1729681226495659E-3</v>
      </c>
      <c r="Q1469" s="5" t="s">
        <v>4</v>
      </c>
      <c r="R1469" s="83" t="s">
        <v>4</v>
      </c>
    </row>
    <row r="1470" spans="1:18" x14ac:dyDescent="0.25">
      <c r="A1470" s="88">
        <v>1456</v>
      </c>
      <c r="B1470" s="82"/>
      <c r="C1470" s="97">
        <f>_xll.meDateFromTenor(C1469,"1D","FOLLOWING","TGT")</f>
        <v>44594</v>
      </c>
      <c r="D1470" s="95">
        <f ca="1"/>
        <v>3.5794993645785755E-3</v>
      </c>
      <c r="E1470" s="92"/>
      <c r="F1470" s="97">
        <f>_xll.meDateFromTenor(F1469,"1D","FOLLOWING","TGT")</f>
        <v>44594</v>
      </c>
      <c r="G1470" s="95">
        <f ca="1"/>
        <v>4.2463781707280483E-3</v>
      </c>
      <c r="H1470" s="92" t="s">
        <v>4</v>
      </c>
      <c r="I1470" s="97">
        <f>_xll.meDateFromTenor(I1469,"1D","FOLLOWING","TGT")</f>
        <v>44594</v>
      </c>
      <c r="J1470" s="95">
        <f ca="1"/>
        <v>5.5599311855251861E-3</v>
      </c>
      <c r="K1470" s="5" t="s">
        <v>4</v>
      </c>
      <c r="L1470" s="97">
        <f>_xll.meDateFromTenor(L1469,"1D","FOLLOWING","TGT")</f>
        <v>44594</v>
      </c>
      <c r="M1470" s="95">
        <f ca="1"/>
        <v>7.2775877032381919E-3</v>
      </c>
      <c r="N1470" s="5" t="s">
        <v>4</v>
      </c>
      <c r="O1470" s="97">
        <f>_xll.meDateFromTenor(O1469,"1D","FOLLOWING","TGT")</f>
        <v>44594</v>
      </c>
      <c r="P1470" s="95">
        <f ca="1"/>
        <v>9.1801721782307812E-3</v>
      </c>
      <c r="Q1470" s="5" t="s">
        <v>4</v>
      </c>
      <c r="R1470" s="83" t="s">
        <v>4</v>
      </c>
    </row>
    <row r="1471" spans="1:18" x14ac:dyDescent="0.25">
      <c r="A1471" s="88">
        <v>1457</v>
      </c>
      <c r="B1471" s="82"/>
      <c r="C1471" s="97">
        <f>_xll.meDateFromTenor(C1470,"1D","FOLLOWING","TGT")</f>
        <v>44595</v>
      </c>
      <c r="D1471" s="95">
        <f ca="1"/>
        <v>3.5864077693539276E-3</v>
      </c>
      <c r="E1471" s="92"/>
      <c r="F1471" s="97">
        <f>_xll.meDateFromTenor(F1470,"1D","FOLLOWING","TGT")</f>
        <v>44595</v>
      </c>
      <c r="G1471" s="95">
        <f ca="1"/>
        <v>4.2546166405089073E-3</v>
      </c>
      <c r="H1471" s="92" t="s">
        <v>4</v>
      </c>
      <c r="I1471" s="97">
        <f>_xll.meDateFromTenor(I1470,"1D","FOLLOWING","TGT")</f>
        <v>44595</v>
      </c>
      <c r="J1471" s="95">
        <f ca="1"/>
        <v>5.5684038201922756E-3</v>
      </c>
      <c r="K1471" s="5" t="s">
        <v>4</v>
      </c>
      <c r="L1471" s="97">
        <f>_xll.meDateFromTenor(L1470,"1D","FOLLOWING","TGT")</f>
        <v>44595</v>
      </c>
      <c r="M1471" s="95">
        <f ca="1"/>
        <v>7.2857652196485975E-3</v>
      </c>
      <c r="N1471" s="5" t="s">
        <v>4</v>
      </c>
      <c r="O1471" s="97">
        <f>_xll.meDateFromTenor(O1470,"1D","FOLLOWING","TGT")</f>
        <v>44595</v>
      </c>
      <c r="P1471" s="95">
        <f ca="1"/>
        <v>9.1873753935854501E-3</v>
      </c>
      <c r="Q1471" s="5" t="s">
        <v>4</v>
      </c>
      <c r="R1471" s="83" t="s">
        <v>4</v>
      </c>
    </row>
    <row r="1472" spans="1:18" x14ac:dyDescent="0.25">
      <c r="A1472" s="88">
        <v>1458</v>
      </c>
      <c r="B1472" s="82"/>
      <c r="C1472" s="97">
        <f>_xll.meDateFromTenor(C1471,"1D","FOLLOWING","TGT")</f>
        <v>44596</v>
      </c>
      <c r="D1472" s="95">
        <f ca="1"/>
        <v>3.5932893841632563E-3</v>
      </c>
      <c r="E1472" s="92"/>
      <c r="F1472" s="97">
        <f>_xll.meDateFromTenor(F1471,"1D","FOLLOWING","TGT")</f>
        <v>44596</v>
      </c>
      <c r="G1472" s="95">
        <f ca="1"/>
        <v>4.2629282096457687E-3</v>
      </c>
      <c r="H1472" s="92" t="s">
        <v>4</v>
      </c>
      <c r="I1472" s="97">
        <f>_xll.meDateFromTenor(I1471,"1D","FOLLOWING","TGT")</f>
        <v>44596</v>
      </c>
      <c r="J1472" s="95">
        <f ca="1"/>
        <v>5.5768780071471669E-3</v>
      </c>
      <c r="K1472" s="5" t="s">
        <v>4</v>
      </c>
      <c r="L1472" s="97">
        <f>_xll.meDateFromTenor(L1471,"1D","FOLLOWING","TGT")</f>
        <v>44596</v>
      </c>
      <c r="M1472" s="95">
        <f ca="1"/>
        <v>7.2939442586984682E-3</v>
      </c>
      <c r="N1472" s="5" t="s">
        <v>4</v>
      </c>
      <c r="O1472" s="97">
        <f>_xll.meDateFromTenor(O1471,"1D","FOLLOWING","TGT")</f>
        <v>44596</v>
      </c>
      <c r="P1472" s="95">
        <f ca="1"/>
        <v>9.1945777652506933E-3</v>
      </c>
      <c r="Q1472" s="5" t="s">
        <v>4</v>
      </c>
      <c r="R1472" s="83" t="s">
        <v>4</v>
      </c>
    </row>
    <row r="1473" spans="1:18" x14ac:dyDescent="0.25">
      <c r="A1473" s="88">
        <v>1459</v>
      </c>
      <c r="B1473" s="82"/>
      <c r="C1473" s="97">
        <f>_xll.meDateFromTenor(C1472,"1D","FOLLOWING","TGT")</f>
        <v>44599</v>
      </c>
      <c r="D1473" s="95">
        <f ca="1"/>
        <v>3.6137734768668661E-3</v>
      </c>
      <c r="E1473" s="92"/>
      <c r="F1473" s="97">
        <f>_xll.meDateFromTenor(F1472,"1D","FOLLOWING","TGT")</f>
        <v>44599</v>
      </c>
      <c r="G1473" s="95">
        <f ca="1"/>
        <v>4.2882361411639026E-3</v>
      </c>
      <c r="H1473" s="92" t="s">
        <v>4</v>
      </c>
      <c r="I1473" s="97">
        <f>_xll.meDateFromTenor(I1472,"1D","FOLLOWING","TGT")</f>
        <v>44599</v>
      </c>
      <c r="J1473" s="95">
        <f ca="1"/>
        <v>5.6023092927233089E-3</v>
      </c>
      <c r="K1473" s="5" t="s">
        <v>4</v>
      </c>
      <c r="L1473" s="97">
        <f>_xll.meDateFromTenor(L1472,"1D","FOLLOWING","TGT")</f>
        <v>44599</v>
      </c>
      <c r="M1473" s="95">
        <f ca="1"/>
        <v>7.3184900973836163E-3</v>
      </c>
      <c r="N1473" s="5" t="s">
        <v>4</v>
      </c>
      <c r="O1473" s="97">
        <f>_xll.meDateFromTenor(O1472,"1D","FOLLOWING","TGT")</f>
        <v>44599</v>
      </c>
      <c r="P1473" s="95">
        <f ca="1"/>
        <v>9.2161797834810957E-3</v>
      </c>
      <c r="Q1473" s="5" t="s">
        <v>4</v>
      </c>
      <c r="R1473" s="83" t="s">
        <v>4</v>
      </c>
    </row>
    <row r="1474" spans="1:18" x14ac:dyDescent="0.25">
      <c r="A1474" s="88">
        <v>1460</v>
      </c>
      <c r="B1474" s="82"/>
      <c r="C1474" s="97">
        <f>_xll.meDateFromTenor(C1473,"1D","FOLLOWING","TGT")</f>
        <v>44600</v>
      </c>
      <c r="D1474" s="95">
        <f ca="1"/>
        <v>3.6205479196631529E-3</v>
      </c>
      <c r="E1474" s="92"/>
      <c r="F1474" s="97">
        <f>_xll.meDateFromTenor(F1473,"1D","FOLLOWING","TGT")</f>
        <v>44600</v>
      </c>
      <c r="G1474" s="95">
        <f ca="1"/>
        <v>4.29677473569631E-3</v>
      </c>
      <c r="H1474" s="92" t="s">
        <v>4</v>
      </c>
      <c r="I1474" s="97">
        <f>_xll.meDateFromTenor(I1473,"1D","FOLLOWING","TGT")</f>
        <v>44600</v>
      </c>
      <c r="J1474" s="95">
        <f ca="1"/>
        <v>5.6107890998140673E-3</v>
      </c>
      <c r="K1474" s="5" t="s">
        <v>4</v>
      </c>
      <c r="L1474" s="97">
        <f>_xll.meDateFromTenor(L1473,"1D","FOLLOWING","TGT")</f>
        <v>44600</v>
      </c>
      <c r="M1474" s="95">
        <f ca="1"/>
        <v>7.326674812690088E-3</v>
      </c>
      <c r="N1474" s="5" t="s">
        <v>4</v>
      </c>
      <c r="O1474" s="97">
        <f>_xll.meDateFromTenor(O1473,"1D","FOLLOWING","TGT")</f>
        <v>44600</v>
      </c>
      <c r="P1474" s="95">
        <f ca="1"/>
        <v>9.2233787457598644E-3</v>
      </c>
      <c r="Q1474" s="5" t="s">
        <v>4</v>
      </c>
      <c r="R1474" s="83" t="s">
        <v>4</v>
      </c>
    </row>
    <row r="1475" spans="1:18" x14ac:dyDescent="0.25">
      <c r="A1475" s="88">
        <v>1461</v>
      </c>
      <c r="B1475" s="82"/>
      <c r="C1475" s="97">
        <f>_xll.meDateFromTenor(C1474,"1D","FOLLOWING","TGT")</f>
        <v>44601</v>
      </c>
      <c r="D1475" s="95">
        <f ca="1"/>
        <v>3.6272955667104867E-3</v>
      </c>
      <c r="E1475" s="92"/>
      <c r="F1475" s="97">
        <f>_xll.meDateFromTenor(F1474,"1D","FOLLOWING","TGT")</f>
        <v>44601</v>
      </c>
      <c r="G1475" s="95">
        <f ca="1"/>
        <v>4.3053537435704886E-3</v>
      </c>
      <c r="H1475" s="92" t="s">
        <v>4</v>
      </c>
      <c r="I1475" s="97">
        <f>_xll.meDateFromTenor(I1474,"1D","FOLLOWING","TGT")</f>
        <v>44601</v>
      </c>
      <c r="J1475" s="95">
        <f ca="1"/>
        <v>5.6192701646849584E-3</v>
      </c>
      <c r="K1475" s="5" t="s">
        <v>4</v>
      </c>
      <c r="L1475" s="97">
        <f>_xll.meDateFromTenor(L1474,"1D","FOLLOWING","TGT")</f>
        <v>44601</v>
      </c>
      <c r="M1475" s="95">
        <f ca="1"/>
        <v>7.3348608434853904E-3</v>
      </c>
      <c r="N1475" s="5" t="s">
        <v>4</v>
      </c>
      <c r="O1475" s="97">
        <f>_xll.meDateFromTenor(O1474,"1D","FOLLOWING","TGT")</f>
        <v>44601</v>
      </c>
      <c r="P1475" s="95">
        <f ca="1"/>
        <v>9.2305768470348128E-3</v>
      </c>
      <c r="Q1475" s="5" t="s">
        <v>4</v>
      </c>
      <c r="R1475" s="83" t="s">
        <v>4</v>
      </c>
    </row>
    <row r="1476" spans="1:18" x14ac:dyDescent="0.25">
      <c r="A1476" s="88">
        <v>1462</v>
      </c>
      <c r="B1476" s="82"/>
      <c r="C1476" s="97">
        <f>_xll.meDateFromTenor(C1475,"1D","FOLLOWING","TGT")</f>
        <v>44602</v>
      </c>
      <c r="D1476" s="95">
        <f ca="1"/>
        <v>3.6340164158692456E-3</v>
      </c>
      <c r="E1476" s="92"/>
      <c r="F1476" s="97">
        <f>_xll.meDateFromTenor(F1475,"1D","FOLLOWING","TGT")</f>
        <v>44602</v>
      </c>
      <c r="G1476" s="95">
        <f ca="1"/>
        <v>4.3139666275835934E-3</v>
      </c>
      <c r="H1476" s="92" t="s">
        <v>4</v>
      </c>
      <c r="I1476" s="97">
        <f>_xll.meDateFromTenor(I1475,"1D","FOLLOWING","TGT")</f>
        <v>44602</v>
      </c>
      <c r="J1476" s="95">
        <f ca="1"/>
        <v>5.6277524284344491E-3</v>
      </c>
      <c r="K1476" s="5" t="s">
        <v>4</v>
      </c>
      <c r="L1476" s="97">
        <f>_xll.meDateFromTenor(L1475,"1D","FOLLOWING","TGT")</f>
        <v>44602</v>
      </c>
      <c r="M1476" s="95">
        <f ca="1"/>
        <v>7.3430481483393968E-3</v>
      </c>
      <c r="N1476" s="5" t="s">
        <v>4</v>
      </c>
      <c r="O1476" s="97">
        <f>_xll.meDateFromTenor(O1475,"1D","FOLLOWING","TGT")</f>
        <v>44602</v>
      </c>
      <c r="P1476" s="95">
        <f ca="1"/>
        <v>9.2377740838430721E-3</v>
      </c>
      <c r="Q1476" s="5" t="s">
        <v>4</v>
      </c>
      <c r="R1476" s="83" t="s">
        <v>4</v>
      </c>
    </row>
    <row r="1477" spans="1:18" x14ac:dyDescent="0.25">
      <c r="A1477" s="88">
        <v>1463</v>
      </c>
      <c r="B1477" s="82"/>
      <c r="C1477" s="97">
        <f>_xll.meDateFromTenor(C1476,"1D","FOLLOWING","TGT")</f>
        <v>44603</v>
      </c>
      <c r="D1477" s="95">
        <f ca="1"/>
        <v>3.6407104669182733E-3</v>
      </c>
      <c r="E1477" s="92"/>
      <c r="F1477" s="97">
        <f>_xll.meDateFromTenor(F1476,"1D","FOLLOWING","TGT")</f>
        <v>44603</v>
      </c>
      <c r="G1477" s="95">
        <f ca="1"/>
        <v>4.3226068505327758E-3</v>
      </c>
      <c r="H1477" s="92" t="s">
        <v>4</v>
      </c>
      <c r="I1477" s="97">
        <f>_xll.meDateFromTenor(I1476,"1D","FOLLOWING","TGT")</f>
        <v>44603</v>
      </c>
      <c r="J1477" s="95">
        <f ca="1"/>
        <v>5.636235832161004E-3</v>
      </c>
      <c r="K1477" s="5" t="s">
        <v>4</v>
      </c>
      <c r="L1477" s="97">
        <f>_xll.meDateFromTenor(L1476,"1D","FOLLOWING","TGT")</f>
        <v>44603</v>
      </c>
      <c r="M1477" s="95">
        <f ca="1"/>
        <v>7.3512366858219805E-3</v>
      </c>
      <c r="N1477" s="5" t="s">
        <v>4</v>
      </c>
      <c r="O1477" s="97">
        <f>_xll.meDateFromTenor(O1476,"1D","FOLLOWING","TGT")</f>
        <v>44603</v>
      </c>
      <c r="P1477" s="95">
        <f ca="1"/>
        <v>9.244970452721761E-3</v>
      </c>
      <c r="Q1477" s="5" t="s">
        <v>4</v>
      </c>
      <c r="R1477" s="83" t="s">
        <v>4</v>
      </c>
    </row>
    <row r="1478" spans="1:18" x14ac:dyDescent="0.25">
      <c r="A1478" s="88">
        <v>1464</v>
      </c>
      <c r="B1478" s="82"/>
      <c r="C1478" s="97">
        <f>_xll.meDateFromTenor(C1477,"1D","FOLLOWING","TGT")</f>
        <v>44606</v>
      </c>
      <c r="D1478" s="95">
        <f ca="1"/>
        <v>3.6606318154133177E-3</v>
      </c>
      <c r="E1478" s="92"/>
      <c r="F1478" s="97">
        <f>_xll.meDateFromTenor(F1477,"1D","FOLLOWING","TGT")</f>
        <v>44606</v>
      </c>
      <c r="G1478" s="95">
        <f ca="1"/>
        <v>4.3486261809683319E-3</v>
      </c>
      <c r="H1478" s="92" t="s">
        <v>4</v>
      </c>
      <c r="I1478" s="97">
        <f>_xll.meDateFromTenor(I1477,"1D","FOLLOWING","TGT")</f>
        <v>44606</v>
      </c>
      <c r="J1478" s="95">
        <f ca="1"/>
        <v>5.6616922941877248E-3</v>
      </c>
      <c r="K1478" s="5" t="s">
        <v>4</v>
      </c>
      <c r="L1478" s="97">
        <f>_xll.meDateFromTenor(L1477,"1D","FOLLOWING","TGT")</f>
        <v>44606</v>
      </c>
      <c r="M1478" s="95">
        <f ca="1"/>
        <v>7.3758092797399201E-3</v>
      </c>
      <c r="N1478" s="5" t="s">
        <v>4</v>
      </c>
      <c r="O1478" s="97">
        <f>_xll.meDateFromTenor(O1477,"1D","FOLLOWING","TGT")</f>
        <v>44606</v>
      </c>
      <c r="P1478" s="95">
        <f ca="1"/>
        <v>9.2665543171516276E-3</v>
      </c>
      <c r="Q1478" s="5" t="s">
        <v>4</v>
      </c>
      <c r="R1478" s="83" t="s">
        <v>4</v>
      </c>
    </row>
    <row r="1479" spans="1:18" x14ac:dyDescent="0.25">
      <c r="A1479" s="88">
        <v>1465</v>
      </c>
      <c r="B1479" s="82"/>
      <c r="C1479" s="97">
        <f>_xll.meDateFromTenor(C1478,"1D","FOLLOWING","TGT")</f>
        <v>44607</v>
      </c>
      <c r="D1479" s="95">
        <f ca="1"/>
        <v>3.6672186595549938E-3</v>
      </c>
      <c r="E1479" s="92"/>
      <c r="F1479" s="97">
        <f>_xll.meDateFromTenor(F1478,"1D","FOLLOWING","TGT")</f>
        <v>44607</v>
      </c>
      <c r="G1479" s="95">
        <f ca="1"/>
        <v>4.3573103876333634E-3</v>
      </c>
      <c r="H1479" s="92" t="s">
        <v>4</v>
      </c>
      <c r="I1479" s="97">
        <f>_xll.meDateFromTenor(I1478,"1D","FOLLOWING","TGT")</f>
        <v>44607</v>
      </c>
      <c r="J1479" s="95">
        <f ca="1"/>
        <v>5.6701796688072006E-3</v>
      </c>
      <c r="K1479" s="5" t="s">
        <v>4</v>
      </c>
      <c r="L1479" s="97">
        <f>_xll.meDateFromTenor(L1478,"1D","FOLLOWING","TGT")</f>
        <v>44607</v>
      </c>
      <c r="M1479" s="95">
        <f ca="1"/>
        <v>7.3840023334355376E-3</v>
      </c>
      <c r="N1479" s="5" t="s">
        <v>4</v>
      </c>
      <c r="O1479" s="97">
        <f>_xll.meDateFromTenor(O1478,"1D","FOLLOWING","TGT")</f>
        <v>44607</v>
      </c>
      <c r="P1479" s="95">
        <f ca="1"/>
        <v>9.273747179683255E-3</v>
      </c>
      <c r="Q1479" s="5" t="s">
        <v>4</v>
      </c>
      <c r="R1479" s="83" t="s">
        <v>4</v>
      </c>
    </row>
    <row r="1480" spans="1:18" x14ac:dyDescent="0.25">
      <c r="A1480" s="88">
        <v>1466</v>
      </c>
      <c r="B1480" s="82"/>
      <c r="C1480" s="97">
        <f>_xll.meDateFromTenor(C1479,"1D","FOLLOWING","TGT")</f>
        <v>44608</v>
      </c>
      <c r="D1480" s="95">
        <f ca="1"/>
        <v>3.6737786986038579E-3</v>
      </c>
      <c r="E1480" s="92"/>
      <c r="F1480" s="97">
        <f>_xll.meDateFromTenor(F1479,"1D","FOLLOWING","TGT")</f>
        <v>44608</v>
      </c>
      <c r="G1480" s="95">
        <f ca="1"/>
        <v>4.365989247220245E-3</v>
      </c>
      <c r="H1480" s="92" t="s">
        <v>4</v>
      </c>
      <c r="I1480" s="97">
        <f>_xll.meDateFromTenor(I1479,"1D","FOLLOWING","TGT")</f>
        <v>44608</v>
      </c>
      <c r="J1480" s="95">
        <f ca="1"/>
        <v>5.6786678888960749E-3</v>
      </c>
      <c r="K1480" s="5" t="s">
        <v>4</v>
      </c>
      <c r="L1480" s="97">
        <f>_xll.meDateFromTenor(L1479,"1D","FOLLOWING","TGT")</f>
        <v>44608</v>
      </c>
      <c r="M1480" s="95">
        <f ca="1"/>
        <v>7.3921964126090972E-3</v>
      </c>
      <c r="N1480" s="5" t="s">
        <v>4</v>
      </c>
      <c r="O1480" s="97">
        <f>_xll.meDateFromTenor(O1479,"1D","FOLLOWING","TGT")</f>
        <v>44608</v>
      </c>
      <c r="P1480" s="95">
        <f ca="1"/>
        <v>9.280939156970926E-3</v>
      </c>
      <c r="Q1480" s="5" t="s">
        <v>4</v>
      </c>
      <c r="R1480" s="83" t="s">
        <v>4</v>
      </c>
    </row>
    <row r="1481" spans="1:18" x14ac:dyDescent="0.25">
      <c r="A1481" s="88">
        <v>1467</v>
      </c>
      <c r="B1481" s="82"/>
      <c r="C1481" s="97">
        <f>_xll.meDateFromTenor(C1480,"1D","FOLLOWING","TGT")</f>
        <v>44609</v>
      </c>
      <c r="D1481" s="95">
        <f ca="1"/>
        <v>3.680311931629543E-3</v>
      </c>
      <c r="E1481" s="92"/>
      <c r="F1481" s="97">
        <f>_xll.meDateFromTenor(F1480,"1D","FOLLOWING","TGT")</f>
        <v>44609</v>
      </c>
      <c r="G1481" s="95">
        <f ca="1"/>
        <v>4.3746562225261262E-3</v>
      </c>
      <c r="H1481" s="92" t="s">
        <v>4</v>
      </c>
      <c r="I1481" s="97">
        <f>_xll.meDateFromTenor(I1480,"1D","FOLLOWING","TGT")</f>
        <v>44609</v>
      </c>
      <c r="J1481" s="95">
        <f ca="1"/>
        <v>5.6871568955528138E-3</v>
      </c>
      <c r="K1481" s="5" t="s">
        <v>4</v>
      </c>
      <c r="L1481" s="97">
        <f>_xll.meDateFromTenor(L1480,"1D","FOLLOWING","TGT")</f>
        <v>44609</v>
      </c>
      <c r="M1481" s="95">
        <f ca="1"/>
        <v>7.4003914758304715E-3</v>
      </c>
      <c r="N1481" s="5" t="s">
        <v>4</v>
      </c>
      <c r="O1481" s="97">
        <f>_xll.meDateFromTenor(O1480,"1D","FOLLOWING","TGT")</f>
        <v>44609</v>
      </c>
      <c r="P1481" s="95">
        <f ca="1"/>
        <v>9.2881302455517564E-3</v>
      </c>
      <c r="Q1481" s="5" t="s">
        <v>4</v>
      </c>
      <c r="R1481" s="83" t="s">
        <v>4</v>
      </c>
    </row>
    <row r="1482" spans="1:18" x14ac:dyDescent="0.25">
      <c r="A1482" s="88">
        <v>1468</v>
      </c>
      <c r="B1482" s="82"/>
      <c r="C1482" s="97">
        <f>_xll.meDateFromTenor(C1481,"1D","FOLLOWING","TGT")</f>
        <v>44610</v>
      </c>
      <c r="D1482" s="95">
        <f ca="1"/>
        <v>3.6868183572316138E-3</v>
      </c>
      <c r="E1482" s="92"/>
      <c r="F1482" s="97">
        <f>_xll.meDateFromTenor(F1481,"1D","FOLLOWING","TGT")</f>
        <v>44610</v>
      </c>
      <c r="G1482" s="95">
        <f ca="1"/>
        <v>4.383304776348163E-3</v>
      </c>
      <c r="H1482" s="92" t="s">
        <v>4</v>
      </c>
      <c r="I1482" s="97">
        <f>_xll.meDateFromTenor(I1481,"1D","FOLLOWING","TGT")</f>
        <v>44610</v>
      </c>
      <c r="J1482" s="95">
        <f ca="1"/>
        <v>5.6956466298758801E-3</v>
      </c>
      <c r="K1482" s="5" t="s">
        <v>4</v>
      </c>
      <c r="L1482" s="97">
        <f>_xll.meDateFromTenor(L1481,"1D","FOLLOWING","TGT")</f>
        <v>44610</v>
      </c>
      <c r="M1482" s="95">
        <f ca="1"/>
        <v>7.4085874816695318E-3</v>
      </c>
      <c r="N1482" s="5" t="s">
        <v>4</v>
      </c>
      <c r="O1482" s="97">
        <f>_xll.meDateFromTenor(O1481,"1D","FOLLOWING","TGT")</f>
        <v>44610</v>
      </c>
      <c r="P1482" s="95">
        <f ca="1"/>
        <v>9.2953204419628736E-3</v>
      </c>
      <c r="Q1482" s="5" t="s">
        <v>4</v>
      </c>
      <c r="R1482" s="83" t="s">
        <v>4</v>
      </c>
    </row>
    <row r="1483" spans="1:18" x14ac:dyDescent="0.25">
      <c r="A1483" s="88">
        <v>1469</v>
      </c>
      <c r="B1483" s="82"/>
      <c r="C1483" s="97">
        <f>_xll.meDateFromTenor(C1482,"1D","FOLLOWING","TGT")</f>
        <v>44613</v>
      </c>
      <c r="D1483" s="95">
        <f ca="1"/>
        <v>3.7061767769821508E-3</v>
      </c>
      <c r="E1483" s="92"/>
      <c r="F1483" s="97">
        <f>_xll.meDateFromTenor(F1482,"1D","FOLLOWING","TGT")</f>
        <v>44613</v>
      </c>
      <c r="G1483" s="95">
        <f ca="1"/>
        <v>4.4090745368827403E-3</v>
      </c>
      <c r="H1483" s="92" t="s">
        <v>4</v>
      </c>
      <c r="I1483" s="97">
        <f>_xll.meDateFromTenor(I1482,"1D","FOLLOWING","TGT")</f>
        <v>44613</v>
      </c>
      <c r="J1483" s="95">
        <f ca="1"/>
        <v>5.7211196098277172E-3</v>
      </c>
      <c r="K1483" s="5" t="s">
        <v>4</v>
      </c>
      <c r="L1483" s="97">
        <f>_xll.meDateFromTenor(L1482,"1D","FOLLOWING","TGT")</f>
        <v>44613</v>
      </c>
      <c r="M1483" s="95">
        <f ca="1"/>
        <v>7.4331807405915605E-3</v>
      </c>
      <c r="N1483" s="5" t="s">
        <v>4</v>
      </c>
      <c r="O1483" s="97">
        <f>_xll.meDateFromTenor(O1482,"1D","FOLLOWING","TGT")</f>
        <v>44613</v>
      </c>
      <c r="P1483" s="95">
        <f ca="1"/>
        <v>9.3168856435491502E-3</v>
      </c>
      <c r="Q1483" s="5" t="s">
        <v>4</v>
      </c>
      <c r="R1483" s="83" t="s">
        <v>4</v>
      </c>
    </row>
    <row r="1484" spans="1:18" x14ac:dyDescent="0.25">
      <c r="A1484" s="88">
        <v>1470</v>
      </c>
      <c r="B1484" s="82"/>
      <c r="C1484" s="97">
        <f>_xll.meDateFromTenor(C1483,"1D","FOLLOWING","TGT")</f>
        <v>44614</v>
      </c>
      <c r="D1484" s="95">
        <f ca="1"/>
        <v>3.7125759601555064E-3</v>
      </c>
      <c r="E1484" s="92"/>
      <c r="F1484" s="97">
        <f>_xll.meDateFromTenor(F1483,"1D","FOLLOWING","TGT")</f>
        <v>44614</v>
      </c>
      <c r="G1484" s="95">
        <f ca="1"/>
        <v>4.4175840327409337E-3</v>
      </c>
      <c r="H1484" s="92" t="s">
        <v>4</v>
      </c>
      <c r="I1484" s="97">
        <f>_xll.meDateFromTenor(I1483,"1D","FOLLOWING","TGT")</f>
        <v>44614</v>
      </c>
      <c r="J1484" s="95">
        <f ca="1"/>
        <v>5.7296116658007634E-3</v>
      </c>
      <c r="K1484" s="5" t="s">
        <v>4</v>
      </c>
      <c r="L1484" s="97">
        <f>_xll.meDateFromTenor(L1483,"1D","FOLLOWING","TGT")</f>
        <v>44614</v>
      </c>
      <c r="M1484" s="95">
        <f ca="1"/>
        <v>7.4413801026000943E-3</v>
      </c>
      <c r="N1484" s="5" t="s">
        <v>4</v>
      </c>
      <c r="O1484" s="97">
        <f>_xll.meDateFromTenor(O1483,"1D","FOLLOWING","TGT")</f>
        <v>44614</v>
      </c>
      <c r="P1484" s="95">
        <f ca="1"/>
        <v>9.3240722366526273E-3</v>
      </c>
      <c r="Q1484" s="5" t="s">
        <v>4</v>
      </c>
      <c r="R1484" s="83" t="s">
        <v>4</v>
      </c>
    </row>
    <row r="1485" spans="1:18" x14ac:dyDescent="0.25">
      <c r="A1485" s="88">
        <v>1471</v>
      </c>
      <c r="B1485" s="82"/>
      <c r="C1485" s="97">
        <f>_xll.meDateFromTenor(C1484,"1D","FOLLOWING","TGT")</f>
        <v>44615</v>
      </c>
      <c r="D1485" s="95">
        <f ca="1"/>
        <v>3.7189483296287129E-3</v>
      </c>
      <c r="E1485" s="92"/>
      <c r="F1485" s="97">
        <f>_xll.meDateFromTenor(F1484,"1D","FOLLOWING","TGT")</f>
        <v>44615</v>
      </c>
      <c r="G1485" s="95">
        <f ca="1"/>
        <v>4.4260424211010506E-3</v>
      </c>
      <c r="H1485" s="92" t="s">
        <v>4</v>
      </c>
      <c r="I1485" s="97">
        <f>_xll.meDateFromTenor(I1484,"1D","FOLLOWING","TGT")</f>
        <v>44615</v>
      </c>
      <c r="J1485" s="95">
        <f ca="1"/>
        <v>5.7381041549324696E-3</v>
      </c>
      <c r="K1485" s="5" t="s">
        <v>4</v>
      </c>
      <c r="L1485" s="97">
        <f>_xll.meDateFromTenor(L1484,"1D","FOLLOWING","TGT")</f>
        <v>44615</v>
      </c>
      <c r="M1485" s="95">
        <f ca="1"/>
        <v>7.4495802000756799E-3</v>
      </c>
      <c r="N1485" s="5" t="s">
        <v>4</v>
      </c>
      <c r="O1485" s="97">
        <f>_xll.meDateFromTenor(O1484,"1D","FOLLOWING","TGT")</f>
        <v>44615</v>
      </c>
      <c r="P1485" s="95">
        <f ca="1"/>
        <v>9.3312579202719983E-3</v>
      </c>
      <c r="Q1485" s="5" t="s">
        <v>4</v>
      </c>
      <c r="R1485" s="83" t="s">
        <v>4</v>
      </c>
    </row>
    <row r="1486" spans="1:18" x14ac:dyDescent="0.25">
      <c r="A1486" s="88">
        <v>1472</v>
      </c>
      <c r="B1486" s="82"/>
      <c r="C1486" s="97">
        <f>_xll.meDateFromTenor(C1485,"1D","FOLLOWING","TGT")</f>
        <v>44616</v>
      </c>
      <c r="D1486" s="95">
        <f ca="1"/>
        <v>3.7252938840945937E-3</v>
      </c>
      <c r="E1486" s="92"/>
      <c r="F1486" s="97">
        <f>_xll.meDateFromTenor(F1485,"1D","FOLLOWING","TGT")</f>
        <v>44616</v>
      </c>
      <c r="G1486" s="95">
        <f ca="1"/>
        <v>4.4344431647602416E-3</v>
      </c>
      <c r="H1486" s="92" t="s">
        <v>4</v>
      </c>
      <c r="I1486" s="97">
        <f>_xll.meDateFromTenor(I1485,"1D","FOLLOWING","TGT")</f>
        <v>44616</v>
      </c>
      <c r="J1486" s="95">
        <f ca="1"/>
        <v>5.7465970183212993E-3</v>
      </c>
      <c r="K1486" s="5" t="s">
        <v>4</v>
      </c>
      <c r="L1486" s="97">
        <f>_xll.meDateFromTenor(L1485,"1D","FOLLOWING","TGT")</f>
        <v>44616</v>
      </c>
      <c r="M1486" s="95">
        <f ca="1"/>
        <v>7.4577809915881855E-3</v>
      </c>
      <c r="N1486" s="5" t="s">
        <v>4</v>
      </c>
      <c r="O1486" s="97">
        <f>_xll.meDateFromTenor(O1485,"1D","FOLLOWING","TGT")</f>
        <v>44616</v>
      </c>
      <c r="P1486" s="95">
        <f ca="1"/>
        <v>9.3384426909443822E-3</v>
      </c>
      <c r="Q1486" s="5" t="s">
        <v>4</v>
      </c>
      <c r="R1486" s="83" t="s">
        <v>4</v>
      </c>
    </row>
    <row r="1487" spans="1:18" x14ac:dyDescent="0.25">
      <c r="A1487" s="88">
        <v>1473</v>
      </c>
      <c r="B1487" s="82"/>
      <c r="C1487" s="97">
        <f>_xll.meDateFromTenor(C1486,"1D","FOLLOWING","TGT")</f>
        <v>44617</v>
      </c>
      <c r="D1487" s="95">
        <f ca="1"/>
        <v>3.7316126219977264E-3</v>
      </c>
      <c r="E1487" s="92"/>
      <c r="F1487" s="97">
        <f>_xll.meDateFromTenor(F1486,"1D","FOLLOWING","TGT")</f>
        <v>44617</v>
      </c>
      <c r="G1487" s="95">
        <f ca="1"/>
        <v>4.4427797265156671E-3</v>
      </c>
      <c r="H1487" s="92" t="s">
        <v>4</v>
      </c>
      <c r="I1487" s="97">
        <f>_xll.meDateFromTenor(I1486,"1D","FOLLOWING","TGT")</f>
        <v>44617</v>
      </c>
      <c r="J1487" s="95">
        <f ca="1"/>
        <v>5.7550901970657249E-3</v>
      </c>
      <c r="K1487" s="5" t="s">
        <v>4</v>
      </c>
      <c r="L1487" s="97">
        <f>_xll.meDateFromTenor(L1486,"1D","FOLLOWING","TGT")</f>
        <v>44617</v>
      </c>
      <c r="M1487" s="95">
        <f ca="1"/>
        <v>7.4659824357074887E-3</v>
      </c>
      <c r="N1487" s="5" t="s">
        <v>4</v>
      </c>
      <c r="O1487" s="97">
        <f>_xll.meDateFromTenor(O1486,"1D","FOLLOWING","TGT")</f>
        <v>44617</v>
      </c>
      <c r="P1487" s="95">
        <f ca="1"/>
        <v>9.3456265452069118E-3</v>
      </c>
      <c r="Q1487" s="5" t="s">
        <v>4</v>
      </c>
      <c r="R1487" s="83" t="s">
        <v>4</v>
      </c>
    </row>
    <row r="1488" spans="1:18" x14ac:dyDescent="0.25">
      <c r="A1488" s="88">
        <v>1474</v>
      </c>
      <c r="B1488" s="82"/>
      <c r="C1488" s="97">
        <f>_xll.meDateFromTenor(C1487,"1D","FOLLOWING","TGT")</f>
        <v>44620</v>
      </c>
      <c r="D1488" s="95">
        <f ca="1"/>
        <v>3.7504079251262645E-3</v>
      </c>
      <c r="E1488" s="92"/>
      <c r="F1488" s="97">
        <f>_xll.meDateFromTenor(F1487,"1D","FOLLOWING","TGT")</f>
        <v>44620</v>
      </c>
      <c r="G1488" s="95">
        <f ca="1"/>
        <v>4.4673389483308656E-3</v>
      </c>
      <c r="H1488" s="92" t="s">
        <v>4</v>
      </c>
      <c r="I1488" s="97">
        <f>_xll.meDateFromTenor(I1487,"1D","FOLLOWING","TGT")</f>
        <v>44620</v>
      </c>
      <c r="J1488" s="95">
        <f ca="1"/>
        <v>5.7805710364172199E-3</v>
      </c>
      <c r="K1488" s="5" t="s">
        <v>4</v>
      </c>
      <c r="L1488" s="97">
        <f>_xll.meDateFromTenor(L1487,"1D","FOLLOWING","TGT")</f>
        <v>44620</v>
      </c>
      <c r="M1488" s="95">
        <f ca="1"/>
        <v>7.4905902694049021E-3</v>
      </c>
      <c r="N1488" s="5" t="s">
        <v>4</v>
      </c>
      <c r="O1488" s="97">
        <f>_xll.meDateFromTenor(O1487,"1D","FOLLOWING","TGT")</f>
        <v>44620</v>
      </c>
      <c r="P1488" s="95">
        <f ca="1"/>
        <v>9.3671725749065477E-3</v>
      </c>
      <c r="Q1488" s="5" t="s">
        <v>4</v>
      </c>
      <c r="R1488" s="83" t="s">
        <v>4</v>
      </c>
    </row>
    <row r="1489" spans="1:18" x14ac:dyDescent="0.25">
      <c r="A1489" s="88">
        <v>1475</v>
      </c>
      <c r="B1489" s="82"/>
      <c r="C1489" s="97">
        <f>_xll.meDateFromTenor(C1488,"1D","FOLLOWING","TGT")</f>
        <v>44621</v>
      </c>
      <c r="D1489" s="95">
        <f ca="1"/>
        <v>3.7566193847731189E-3</v>
      </c>
      <c r="E1489" s="92"/>
      <c r="F1489" s="97">
        <f>_xll.meDateFromTenor(F1488,"1D","FOLLOWING","TGT")</f>
        <v>44621</v>
      </c>
      <c r="G1489" s="95">
        <f ca="1"/>
        <v>4.4753534104427515E-3</v>
      </c>
      <c r="H1489" s="92" t="s">
        <v>4</v>
      </c>
      <c r="I1489" s="97">
        <f>_xll.meDateFromTenor(I1488,"1D","FOLLOWING","TGT")</f>
        <v>44621</v>
      </c>
      <c r="J1489" s="95">
        <f ca="1"/>
        <v>5.7890648875686792E-3</v>
      </c>
      <c r="K1489" s="5" t="s">
        <v>4</v>
      </c>
      <c r="L1489" s="97">
        <f>_xll.meDateFromTenor(L1488,"1D","FOLLOWING","TGT")</f>
        <v>44621</v>
      </c>
      <c r="M1489" s="95">
        <f ca="1"/>
        <v>7.4987939096501175E-3</v>
      </c>
      <c r="N1489" s="5" t="s">
        <v>4</v>
      </c>
      <c r="O1489" s="97">
        <f>_xll.meDateFromTenor(O1488,"1D","FOLLOWING","TGT")</f>
        <v>44621</v>
      </c>
      <c r="P1489" s="95">
        <f ca="1"/>
        <v>9.3743527289008519E-3</v>
      </c>
      <c r="Q1489" s="5" t="s">
        <v>4</v>
      </c>
      <c r="R1489" s="83" t="s">
        <v>4</v>
      </c>
    </row>
    <row r="1490" spans="1:18" x14ac:dyDescent="0.25">
      <c r="A1490" s="88">
        <v>1476</v>
      </c>
      <c r="B1490" s="82"/>
      <c r="C1490" s="97">
        <f>_xll.meDateFromTenor(C1489,"1D","FOLLOWING","TGT")</f>
        <v>44622</v>
      </c>
      <c r="D1490" s="95">
        <f ca="1"/>
        <v>3.7628139747003519E-3</v>
      </c>
      <c r="E1490" s="92"/>
      <c r="F1490" s="97">
        <f>_xll.meDateFromTenor(F1489,"1D","FOLLOWING","TGT")</f>
        <v>44622</v>
      </c>
      <c r="G1490" s="95">
        <f ca="1"/>
        <v>4.483271004636637E-3</v>
      </c>
      <c r="H1490" s="92" t="s">
        <v>4</v>
      </c>
      <c r="I1490" s="97">
        <f>_xll.meDateFromTenor(I1489,"1D","FOLLOWING","TGT")</f>
        <v>44622</v>
      </c>
      <c r="J1490" s="95">
        <f ca="1"/>
        <v>5.7975587595680634E-3</v>
      </c>
      <c r="K1490" s="5" t="s">
        <v>4</v>
      </c>
      <c r="L1490" s="97">
        <f>_xll.meDateFromTenor(L1489,"1D","FOLLOWING","TGT")</f>
        <v>44622</v>
      </c>
      <c r="M1490" s="95">
        <f ca="1"/>
        <v>7.5069979953514918E-3</v>
      </c>
      <c r="N1490" s="5" t="s">
        <v>4</v>
      </c>
      <c r="O1490" s="97">
        <f>_xll.meDateFromTenor(O1489,"1D","FOLLOWING","TGT")</f>
        <v>44622</v>
      </c>
      <c r="P1490" s="95">
        <f ca="1"/>
        <v>9.381531949170907E-3</v>
      </c>
      <c r="Q1490" s="5" t="s">
        <v>4</v>
      </c>
      <c r="R1490" s="83" t="s">
        <v>4</v>
      </c>
    </row>
    <row r="1491" spans="1:18" x14ac:dyDescent="0.25">
      <c r="A1491" s="88">
        <v>1477</v>
      </c>
      <c r="B1491" s="82"/>
      <c r="C1491" s="97">
        <f>_xll.meDateFromTenor(C1490,"1D","FOLLOWING","TGT")</f>
        <v>44623</v>
      </c>
      <c r="D1491" s="95">
        <f ca="1"/>
        <v>3.7690315071396974E-3</v>
      </c>
      <c r="E1491" s="92"/>
      <c r="F1491" s="97">
        <f>_xll.meDateFromTenor(F1490,"1D","FOLLOWING","TGT")</f>
        <v>44623</v>
      </c>
      <c r="G1491" s="95">
        <f ca="1"/>
        <v>4.4910872378316306E-3</v>
      </c>
      <c r="H1491" s="92" t="s">
        <v>4</v>
      </c>
      <c r="I1491" s="97">
        <f>_xll.meDateFromTenor(I1490,"1D","FOLLOWING","TGT")</f>
        <v>44623</v>
      </c>
      <c r="J1491" s="95">
        <f ca="1"/>
        <v>5.8060526011713253E-3</v>
      </c>
      <c r="K1491" s="5" t="s">
        <v>4</v>
      </c>
      <c r="L1491" s="97">
        <f>_xll.meDateFromTenor(L1490,"1D","FOLLOWING","TGT")</f>
        <v>44623</v>
      </c>
      <c r="M1491" s="95">
        <f ca="1"/>
        <v>7.5152024850788967E-3</v>
      </c>
      <c r="N1491" s="5" t="s">
        <v>4</v>
      </c>
      <c r="O1491" s="97">
        <f>_xll.meDateFromTenor(O1490,"1D","FOLLOWING","TGT")</f>
        <v>44623</v>
      </c>
      <c r="P1491" s="95">
        <f ca="1"/>
        <v>9.3887102322538322E-3</v>
      </c>
      <c r="Q1491" s="5" t="s">
        <v>4</v>
      </c>
      <c r="R1491" s="83" t="s">
        <v>4</v>
      </c>
    </row>
    <row r="1492" spans="1:18" x14ac:dyDescent="0.25">
      <c r="A1492" s="88">
        <v>1478</v>
      </c>
      <c r="B1492" s="82"/>
      <c r="C1492" s="97">
        <f>_xll.meDateFromTenor(C1491,"1D","FOLLOWING","TGT")</f>
        <v>44624</v>
      </c>
      <c r="D1492" s="95">
        <f ca="1"/>
        <v>3.7752819370440172E-3</v>
      </c>
      <c r="E1492" s="92"/>
      <c r="F1492" s="97">
        <f>_xll.meDateFromTenor(F1491,"1D","FOLLOWING","TGT")</f>
        <v>44624</v>
      </c>
      <c r="G1492" s="95">
        <f ca="1"/>
        <v>4.4988057934346763E-3</v>
      </c>
      <c r="H1492" s="92" t="s">
        <v>4</v>
      </c>
      <c r="I1492" s="97">
        <f>_xll.meDateFromTenor(I1491,"1D","FOLLOWING","TGT")</f>
        <v>44624</v>
      </c>
      <c r="J1492" s="95">
        <f ca="1"/>
        <v>5.8145463917643903E-3</v>
      </c>
      <c r="K1492" s="5" t="s">
        <v>4</v>
      </c>
      <c r="L1492" s="97">
        <f>_xll.meDateFromTenor(L1491,"1D","FOLLOWING","TGT")</f>
        <v>44624</v>
      </c>
      <c r="M1492" s="95">
        <f ca="1"/>
        <v>7.5234073374022131E-3</v>
      </c>
      <c r="N1492" s="5" t="s">
        <v>4</v>
      </c>
      <c r="O1492" s="97">
        <f>_xll.meDateFromTenor(O1491,"1D","FOLLOWING","TGT")</f>
        <v>44624</v>
      </c>
      <c r="P1492" s="95">
        <f ca="1"/>
        <v>9.3958875746867551E-3</v>
      </c>
      <c r="Q1492" s="5" t="s">
        <v>4</v>
      </c>
      <c r="R1492" s="83" t="s">
        <v>4</v>
      </c>
    </row>
    <row r="1493" spans="1:18" x14ac:dyDescent="0.25">
      <c r="A1493" s="88">
        <v>1479</v>
      </c>
      <c r="B1493" s="82"/>
      <c r="C1493" s="97">
        <f>_xll.meDateFromTenor(C1492,"1D","FOLLOWING","TGT")</f>
        <v>44627</v>
      </c>
      <c r="D1493" s="95">
        <f ca="1"/>
        <v>3.7942306352376498E-3</v>
      </c>
      <c r="E1493" s="92"/>
      <c r="F1493" s="97">
        <f>_xll.meDateFromTenor(F1492,"1D","FOLLOWING","TGT")</f>
        <v>44627</v>
      </c>
      <c r="G1493" s="95">
        <f ca="1"/>
        <v>4.5214326699810313E-3</v>
      </c>
      <c r="H1493" s="92" t="s">
        <v>4</v>
      </c>
      <c r="I1493" s="97">
        <f>_xll.meDateFromTenor(I1492,"1D","FOLLOWING","TGT")</f>
        <v>44627</v>
      </c>
      <c r="J1493" s="95">
        <f ca="1"/>
        <v>5.8400273279164503E-3</v>
      </c>
      <c r="K1493" s="5" t="s">
        <v>4</v>
      </c>
      <c r="L1493" s="97">
        <f>_xll.meDateFromTenor(L1492,"1D","FOLLOWING","TGT")</f>
        <v>44627</v>
      </c>
      <c r="M1493" s="95">
        <f ca="1"/>
        <v>7.5480236556463081E-3</v>
      </c>
      <c r="N1493" s="5" t="s">
        <v>4</v>
      </c>
      <c r="O1493" s="97">
        <f>_xll.meDateFromTenor(O1492,"1D","FOLLOWING","TGT")</f>
        <v>44627</v>
      </c>
      <c r="P1493" s="95">
        <f ca="1"/>
        <v>9.4174139234567012E-3</v>
      </c>
      <c r="Q1493" s="5" t="s">
        <v>4</v>
      </c>
      <c r="R1493" s="83" t="s">
        <v>4</v>
      </c>
    </row>
    <row r="1494" spans="1:18" x14ac:dyDescent="0.25">
      <c r="A1494" s="88">
        <v>1480</v>
      </c>
      <c r="B1494" s="82"/>
      <c r="C1494" s="97">
        <f>_xll.meDateFromTenor(C1493,"1D","FOLLOWING","TGT")</f>
        <v>44628</v>
      </c>
      <c r="D1494" s="95">
        <f ca="1"/>
        <v>3.8006126783987071E-3</v>
      </c>
      <c r="E1494" s="92"/>
      <c r="F1494" s="97">
        <f>_xll.meDateFromTenor(F1493,"1D","FOLLOWING","TGT")</f>
        <v>44628</v>
      </c>
      <c r="G1494" s="95">
        <f ca="1"/>
        <v>4.5288177905052057E-3</v>
      </c>
      <c r="H1494" s="92" t="s">
        <v>4</v>
      </c>
      <c r="I1494" s="97">
        <f>_xll.meDateFromTenor(I1493,"1D","FOLLOWING","TGT")</f>
        <v>44628</v>
      </c>
      <c r="J1494" s="95">
        <f ca="1"/>
        <v>5.8485207849027889E-3</v>
      </c>
      <c r="K1494" s="5" t="s">
        <v>4</v>
      </c>
      <c r="L1494" s="97">
        <f>_xll.meDateFromTenor(L1493,"1D","FOLLOWING","TGT")</f>
        <v>44628</v>
      </c>
      <c r="M1494" s="95">
        <f ca="1"/>
        <v>7.5562295440519704E-3</v>
      </c>
      <c r="N1494" s="5" t="s">
        <v>4</v>
      </c>
      <c r="O1494" s="97">
        <f>_xll.meDateFromTenor(O1493,"1D","FOLLOWING","TGT")</f>
        <v>44628</v>
      </c>
      <c r="P1494" s="95">
        <f ca="1"/>
        <v>9.4245874686608184E-3</v>
      </c>
      <c r="Q1494" s="5" t="s">
        <v>4</v>
      </c>
      <c r="R1494" s="83" t="s">
        <v>4</v>
      </c>
    </row>
    <row r="1495" spans="1:18" x14ac:dyDescent="0.25">
      <c r="A1495" s="88">
        <v>1481</v>
      </c>
      <c r="B1495" s="82"/>
      <c r="C1495" s="97">
        <f>_xll.meDateFromTenor(C1494,"1D","FOLLOWING","TGT")</f>
        <v>44629</v>
      </c>
      <c r="D1495" s="95">
        <f ca="1"/>
        <v>3.8070276308599382E-3</v>
      </c>
      <c r="E1495" s="92"/>
      <c r="F1495" s="97">
        <f>_xll.meDateFromTenor(F1494,"1D","FOLLOWING","TGT")</f>
        <v>44629</v>
      </c>
      <c r="G1495" s="95">
        <f ca="1"/>
        <v>4.5361338710818988E-3</v>
      </c>
      <c r="H1495" s="92" t="s">
        <v>4</v>
      </c>
      <c r="I1495" s="97">
        <f>_xll.meDateFromTenor(I1494,"1D","FOLLOWING","TGT")</f>
        <v>44629</v>
      </c>
      <c r="J1495" s="95">
        <f ca="1"/>
        <v>5.8570141260959677E-3</v>
      </c>
      <c r="K1495" s="5" t="s">
        <v>4</v>
      </c>
      <c r="L1495" s="97">
        <f>_xll.meDateFromTenor(L1494,"1D","FOLLOWING","TGT")</f>
        <v>44629</v>
      </c>
      <c r="M1495" s="95">
        <f ca="1"/>
        <v>7.5644355879029013E-3</v>
      </c>
      <c r="N1495" s="5" t="s">
        <v>4</v>
      </c>
      <c r="O1495" s="97">
        <f>_xll.meDateFromTenor(O1494,"1D","FOLLOWING","TGT")</f>
        <v>44629</v>
      </c>
      <c r="P1495" s="95">
        <f ca="1"/>
        <v>9.4317600559005402E-3</v>
      </c>
      <c r="Q1495" s="5" t="s">
        <v>4</v>
      </c>
      <c r="R1495" s="83" t="s">
        <v>4</v>
      </c>
    </row>
    <row r="1496" spans="1:18" x14ac:dyDescent="0.25">
      <c r="A1496" s="88">
        <v>1482</v>
      </c>
      <c r="B1496" s="82"/>
      <c r="C1496" s="97">
        <f>_xll.meDateFromTenor(C1495,"1D","FOLLOWING","TGT")</f>
        <v>44630</v>
      </c>
      <c r="D1496" s="95">
        <f ca="1"/>
        <v>3.813475494939933E-3</v>
      </c>
      <c r="E1496" s="92"/>
      <c r="F1496" s="97">
        <f>_xll.meDateFromTenor(F1495,"1D","FOLLOWING","TGT")</f>
        <v>44630</v>
      </c>
      <c r="G1496" s="95">
        <f ca="1"/>
        <v>4.5433866392400038E-3</v>
      </c>
      <c r="H1496" s="92" t="s">
        <v>4</v>
      </c>
      <c r="I1496" s="97">
        <f>_xll.meDateFromTenor(I1495,"1D","FOLLOWING","TGT")</f>
        <v>44630</v>
      </c>
      <c r="J1496" s="95">
        <f ca="1"/>
        <v>5.8655073385393934E-3</v>
      </c>
      <c r="K1496" s="5" t="s">
        <v>4</v>
      </c>
      <c r="L1496" s="97">
        <f>_xll.meDateFromTenor(L1495,"1D","FOLLOWING","TGT")</f>
        <v>44630</v>
      </c>
      <c r="M1496" s="95">
        <f ca="1"/>
        <v>7.5726417457689741E-3</v>
      </c>
      <c r="N1496" s="5" t="s">
        <v>4</v>
      </c>
      <c r="O1496" s="97">
        <f>_xll.meDateFromTenor(O1495,"1D","FOLLOWING","TGT")</f>
        <v>44630</v>
      </c>
      <c r="P1496" s="95">
        <f ca="1"/>
        <v>9.4389316817129875E-3</v>
      </c>
      <c r="Q1496" s="5" t="s">
        <v>4</v>
      </c>
      <c r="R1496" s="83" t="s">
        <v>4</v>
      </c>
    </row>
    <row r="1497" spans="1:18" x14ac:dyDescent="0.25">
      <c r="A1497" s="88">
        <v>1483</v>
      </c>
      <c r="B1497" s="82"/>
      <c r="C1497" s="97">
        <f>_xll.meDateFromTenor(C1496,"1D","FOLLOWING","TGT")</f>
        <v>44631</v>
      </c>
      <c r="D1497" s="95">
        <f ca="1"/>
        <v>3.8199562728709058E-3</v>
      </c>
      <c r="E1497" s="92"/>
      <c r="F1497" s="97">
        <f>_xll.meDateFromTenor(F1496,"1D","FOLLOWING","TGT")</f>
        <v>44631</v>
      </c>
      <c r="G1497" s="95">
        <f ca="1"/>
        <v>4.5505818225084153E-3</v>
      </c>
      <c r="H1497" s="92" t="s">
        <v>4</v>
      </c>
      <c r="I1497" s="97">
        <f>_xll.meDateFromTenor(I1496,"1D","FOLLOWING","TGT")</f>
        <v>44631</v>
      </c>
      <c r="J1497" s="95">
        <f ca="1"/>
        <v>5.8740004092764763E-3</v>
      </c>
      <c r="K1497" s="5" t="s">
        <v>4</v>
      </c>
      <c r="L1497" s="97">
        <f>_xll.meDateFromTenor(L1496,"1D","FOLLOWING","TGT")</f>
        <v>44631</v>
      </c>
      <c r="M1497" s="95">
        <f ca="1"/>
        <v>7.5808479762200613E-3</v>
      </c>
      <c r="N1497" s="5" t="s">
        <v>4</v>
      </c>
      <c r="O1497" s="97">
        <f>_xll.meDateFromTenor(O1496,"1D","FOLLOWING","TGT")</f>
        <v>44631</v>
      </c>
      <c r="P1497" s="95">
        <f ca="1"/>
        <v>9.4461023426352878E-3</v>
      </c>
      <c r="Q1497" s="5" t="s">
        <v>4</v>
      </c>
      <c r="R1497" s="83" t="s">
        <v>4</v>
      </c>
    </row>
    <row r="1498" spans="1:18" x14ac:dyDescent="0.25">
      <c r="A1498" s="88">
        <v>1484</v>
      </c>
      <c r="B1498" s="82"/>
      <c r="C1498" s="97">
        <f>_xll.meDateFromTenor(C1497,"1D","FOLLOWING","TGT")</f>
        <v>44634</v>
      </c>
      <c r="D1498" s="95">
        <f ca="1"/>
        <v>3.8395961138086854E-3</v>
      </c>
      <c r="E1498" s="92"/>
      <c r="F1498" s="97">
        <f>_xll.meDateFromTenor(F1497,"1D","FOLLOWING","TGT")</f>
        <v>44634</v>
      </c>
      <c r="G1498" s="95">
        <f ca="1"/>
        <v>4.571879138264426E-3</v>
      </c>
      <c r="H1498" s="92" t="s">
        <v>4</v>
      </c>
      <c r="I1498" s="97">
        <f>_xll.meDateFromTenor(I1497,"1D","FOLLOWING","TGT")</f>
        <v>44634</v>
      </c>
      <c r="J1498" s="95">
        <f ca="1"/>
        <v>5.8994786416837327E-3</v>
      </c>
      <c r="K1498" s="5" t="s">
        <v>4</v>
      </c>
      <c r="L1498" s="97">
        <f>_xll.meDateFromTenor(L1497,"1D","FOLLOWING","TGT")</f>
        <v>44634</v>
      </c>
      <c r="M1498" s="95">
        <f ca="1"/>
        <v>7.6054666887821389E-3</v>
      </c>
      <c r="N1498" s="5" t="s">
        <v>4</v>
      </c>
      <c r="O1498" s="97">
        <f>_xll.meDateFromTenor(O1497,"1D","FOLLOWING","TGT")</f>
        <v>44634</v>
      </c>
      <c r="P1498" s="95">
        <f ca="1"/>
        <v>9.4676085014324899E-3</v>
      </c>
      <c r="Q1498" s="5" t="s">
        <v>4</v>
      </c>
      <c r="R1498" s="83" t="s">
        <v>4</v>
      </c>
    </row>
    <row r="1499" spans="1:18" x14ac:dyDescent="0.25">
      <c r="A1499" s="88">
        <v>1485</v>
      </c>
      <c r="B1499" s="82"/>
      <c r="C1499" s="97">
        <f>_xll.meDateFromTenor(C1498,"1D","FOLLOWING","TGT")</f>
        <v>44635</v>
      </c>
      <c r="D1499" s="95">
        <f ca="1"/>
        <v>3.8462085710295746E-3</v>
      </c>
      <c r="E1499" s="92"/>
      <c r="F1499" s="97">
        <f>_xll.meDateFromTenor(F1498,"1D","FOLLOWING","TGT")</f>
        <v>44635</v>
      </c>
      <c r="G1499" s="95">
        <f ca="1"/>
        <v>4.5789012572630024E-3</v>
      </c>
      <c r="H1499" s="92" t="s">
        <v>4</v>
      </c>
      <c r="I1499" s="97">
        <f>_xll.meDateFromTenor(I1498,"1D","FOLLOWING","TGT")</f>
        <v>44635</v>
      </c>
      <c r="J1499" s="95">
        <f ca="1"/>
        <v>5.9079710160295186E-3</v>
      </c>
      <c r="K1499" s="5" t="s">
        <v>4</v>
      </c>
      <c r="L1499" s="97">
        <f>_xll.meDateFromTenor(L1498,"1D","FOLLOWING","TGT")</f>
        <v>44635</v>
      </c>
      <c r="M1499" s="95">
        <f ca="1"/>
        <v>7.6136727952720125E-3</v>
      </c>
      <c r="N1499" s="5" t="s">
        <v>4</v>
      </c>
      <c r="O1499" s="97">
        <f>_xll.meDateFromTenor(O1498,"1D","FOLLOWING","TGT")</f>
        <v>44635</v>
      </c>
      <c r="P1499" s="95">
        <f ca="1"/>
        <v>9.4747752681654026E-3</v>
      </c>
      <c r="Q1499" s="5" t="s">
        <v>4</v>
      </c>
      <c r="R1499" s="83" t="s">
        <v>4</v>
      </c>
    </row>
    <row r="1500" spans="1:18" x14ac:dyDescent="0.25">
      <c r="A1500" s="88">
        <v>1486</v>
      </c>
      <c r="B1500" s="82"/>
      <c r="C1500" s="97">
        <f>_xll.meDateFromTenor(C1499,"1D","FOLLOWING","TGT")</f>
        <v>44636</v>
      </c>
      <c r="D1500" s="95">
        <f ca="1"/>
        <v>3.8528539541400342E-3</v>
      </c>
      <c r="E1500" s="92"/>
      <c r="F1500" s="97">
        <f>_xll.meDateFromTenor(F1499,"1D","FOLLOWING","TGT")</f>
        <v>44636</v>
      </c>
      <c r="G1500" s="95">
        <f ca="1"/>
        <v>4.5858944290163581E-3</v>
      </c>
      <c r="H1500" s="92" t="s">
        <v>4</v>
      </c>
      <c r="I1500" s="97">
        <f>_xll.meDateFromTenor(I1499,"1D","FOLLOWING","TGT")</f>
        <v>44636</v>
      </c>
      <c r="J1500" s="95">
        <f ca="1"/>
        <v>5.9164631838860005E-3</v>
      </c>
      <c r="K1500" s="5" t="s">
        <v>4</v>
      </c>
      <c r="L1500" s="97">
        <f>_xll.meDateFromTenor(L1499,"1D","FOLLOWING","TGT")</f>
        <v>44636</v>
      </c>
      <c r="M1500" s="95">
        <f ca="1"/>
        <v>7.6218787671962661E-3</v>
      </c>
      <c r="N1500" s="5" t="s">
        <v>4</v>
      </c>
      <c r="O1500" s="97">
        <f>_xll.meDateFromTenor(O1499,"1D","FOLLOWING","TGT")</f>
        <v>44636</v>
      </c>
      <c r="P1500" s="95">
        <f ca="1"/>
        <v>9.4819410526937771E-3</v>
      </c>
      <c r="Q1500" s="5" t="s">
        <v>4</v>
      </c>
      <c r="R1500" s="83" t="s">
        <v>4</v>
      </c>
    </row>
    <row r="1501" spans="1:18" x14ac:dyDescent="0.25">
      <c r="A1501" s="88">
        <v>1487</v>
      </c>
      <c r="B1501" s="82"/>
      <c r="C1501" s="97">
        <f>_xll.meDateFromTenor(C1500,"1D","FOLLOWING","TGT")</f>
        <v>44637</v>
      </c>
      <c r="D1501" s="95">
        <f ca="1"/>
        <v>3.859532265797716E-3</v>
      </c>
      <c r="E1501" s="92"/>
      <c r="F1501" s="97">
        <f>_xll.meDateFromTenor(F1500,"1D","FOLLOWING","TGT")</f>
        <v>44637</v>
      </c>
      <c r="G1501" s="95">
        <f ca="1"/>
        <v>4.5928643810533819E-3</v>
      </c>
      <c r="H1501" s="92" t="s">
        <v>4</v>
      </c>
      <c r="I1501" s="97">
        <f>_xll.meDateFromTenor(I1500,"1D","FOLLOWING","TGT")</f>
        <v>44637</v>
      </c>
      <c r="J1501" s="95">
        <f ca="1"/>
        <v>5.9249551322965877E-3</v>
      </c>
      <c r="K1501" s="5" t="s">
        <v>4</v>
      </c>
      <c r="L1501" s="97">
        <f>_xll.meDateFromTenor(L1500,"1D","FOLLOWING","TGT")</f>
        <v>44637</v>
      </c>
      <c r="M1501" s="95">
        <f ca="1"/>
        <v>7.6300845631247713E-3</v>
      </c>
      <c r="N1501" s="5" t="s">
        <v>4</v>
      </c>
      <c r="O1501" s="97">
        <f>_xll.meDateFromTenor(O1500,"1D","FOLLOWING","TGT")</f>
        <v>44637</v>
      </c>
      <c r="P1501" s="95">
        <f ca="1"/>
        <v>9.4891058515547289E-3</v>
      </c>
      <c r="Q1501" s="5" t="s">
        <v>4</v>
      </c>
      <c r="R1501" s="83" t="s">
        <v>4</v>
      </c>
    </row>
    <row r="1502" spans="1:18" x14ac:dyDescent="0.25">
      <c r="A1502" s="88">
        <v>1488</v>
      </c>
      <c r="B1502" s="82"/>
      <c r="C1502" s="97">
        <f>_xll.meDateFromTenor(C1501,"1D","FOLLOWING","TGT")</f>
        <v>44638</v>
      </c>
      <c r="D1502" s="95">
        <f ca="1"/>
        <v>3.8662435079375168E-3</v>
      </c>
      <c r="E1502" s="92"/>
      <c r="F1502" s="97">
        <f>_xll.meDateFromTenor(F1501,"1D","FOLLOWING","TGT")</f>
        <v>44638</v>
      </c>
      <c r="G1502" s="95">
        <f ca="1"/>
        <v>4.5998168409029736E-3</v>
      </c>
      <c r="H1502" s="92" t="s">
        <v>4</v>
      </c>
      <c r="I1502" s="97">
        <f>_xll.meDateFromTenor(I1501,"1D","FOLLOWING","TGT")</f>
        <v>44638</v>
      </c>
      <c r="J1502" s="95">
        <f ca="1"/>
        <v>5.933446848304688E-3</v>
      </c>
      <c r="K1502" s="5" t="s">
        <v>4</v>
      </c>
      <c r="L1502" s="97">
        <f>_xll.meDateFromTenor(L1501,"1D","FOLLOWING","TGT")</f>
        <v>44638</v>
      </c>
      <c r="M1502" s="95">
        <f ca="1"/>
        <v>7.6382901416273989E-3</v>
      </c>
      <c r="N1502" s="5" t="s">
        <v>4</v>
      </c>
      <c r="O1502" s="97">
        <f>_xll.meDateFromTenor(O1501,"1D","FOLLOWING","TGT")</f>
        <v>44638</v>
      </c>
      <c r="P1502" s="95">
        <f ca="1"/>
        <v>9.4962696612853875E-3</v>
      </c>
      <c r="Q1502" s="5" t="s">
        <v>4</v>
      </c>
      <c r="R1502" s="83" t="s">
        <v>4</v>
      </c>
    </row>
    <row r="1503" spans="1:18" x14ac:dyDescent="0.25">
      <c r="A1503" s="88">
        <v>1489</v>
      </c>
      <c r="B1503" s="82"/>
      <c r="C1503" s="97">
        <f>_xll.meDateFromTenor(C1502,"1D","FOLLOWING","TGT")</f>
        <v>44641</v>
      </c>
      <c r="D1503" s="95">
        <f ca="1"/>
        <v>3.886574843205759E-3</v>
      </c>
      <c r="E1503" s="92"/>
      <c r="F1503" s="97">
        <f>_xll.meDateFromTenor(F1502,"1D","FOLLOWING","TGT")</f>
        <v>44641</v>
      </c>
      <c r="G1503" s="95">
        <f ca="1"/>
        <v>4.6206265426160737E-3</v>
      </c>
      <c r="H1503" s="92" t="s">
        <v>4</v>
      </c>
      <c r="I1503" s="97">
        <f>_xll.meDateFromTenor(I1502,"1D","FOLLOWING","TGT")</f>
        <v>44641</v>
      </c>
      <c r="J1503" s="95">
        <f ca="1"/>
        <v>5.9589204723481436E-3</v>
      </c>
      <c r="K1503" s="5" t="s">
        <v>4</v>
      </c>
      <c r="L1503" s="97">
        <f>_xll.meDateFromTenor(L1502,"1D","FOLLOWING","TGT")</f>
        <v>44641</v>
      </c>
      <c r="M1503" s="95">
        <f ca="1"/>
        <v>7.6629051582787567E-3</v>
      </c>
      <c r="N1503" s="5" t="s">
        <v>4</v>
      </c>
      <c r="O1503" s="97">
        <f>_xll.meDateFromTenor(O1502,"1D","FOLLOWING","TGT")</f>
        <v>44641</v>
      </c>
      <c r="P1503" s="95">
        <f ca="1"/>
        <v>9.5177551210667982E-3</v>
      </c>
      <c r="Q1503" s="5" t="s">
        <v>4</v>
      </c>
      <c r="R1503" s="83" t="s">
        <v>4</v>
      </c>
    </row>
    <row r="1504" spans="1:18" x14ac:dyDescent="0.25">
      <c r="A1504" s="88">
        <v>1490</v>
      </c>
      <c r="B1504" s="82"/>
      <c r="C1504" s="97">
        <f>_xll.meDateFromTenor(C1503,"1D","FOLLOWING","TGT")</f>
        <v>44642</v>
      </c>
      <c r="D1504" s="95">
        <f ca="1"/>
        <v>3.8934178326748281E-3</v>
      </c>
      <c r="E1504" s="92"/>
      <c r="F1504" s="97">
        <f>_xll.meDateFromTenor(F1503,"1D","FOLLOWING","TGT")</f>
        <v>44642</v>
      </c>
      <c r="G1504" s="95">
        <f ca="1"/>
        <v>4.6275663090048665E-3</v>
      </c>
      <c r="H1504" s="92" t="s">
        <v>4</v>
      </c>
      <c r="I1504" s="97">
        <f>_xll.meDateFromTenor(I1503,"1D","FOLLOWING","TGT")</f>
        <v>44642</v>
      </c>
      <c r="J1504" s="95">
        <f ca="1"/>
        <v>5.9674111291803762E-3</v>
      </c>
      <c r="K1504" s="5" t="s">
        <v>4</v>
      </c>
      <c r="L1504" s="97">
        <f>_xll.meDateFromTenor(L1503,"1D","FOLLOWING","TGT")</f>
        <v>44642</v>
      </c>
      <c r="M1504" s="95">
        <f ca="1"/>
        <v>7.6711094527766111E-3</v>
      </c>
      <c r="N1504" s="5" t="s">
        <v>4</v>
      </c>
      <c r="O1504" s="97">
        <f>_xll.meDateFromTenor(O1503,"1D","FOLLOWING","TGT")</f>
        <v>44642</v>
      </c>
      <c r="P1504" s="95">
        <f ca="1"/>
        <v>9.5249149396474889E-3</v>
      </c>
      <c r="Q1504" s="5" t="s">
        <v>4</v>
      </c>
      <c r="R1504" s="83" t="s">
        <v>4</v>
      </c>
    </row>
    <row r="1505" spans="1:18" x14ac:dyDescent="0.25">
      <c r="A1505" s="88">
        <v>1491</v>
      </c>
      <c r="B1505" s="82"/>
      <c r="C1505" s="97">
        <f>_xll.meDateFromTenor(C1504,"1D","FOLLOWING","TGT")</f>
        <v>44643</v>
      </c>
      <c r="D1505" s="95">
        <f ca="1"/>
        <v>3.9002937651821945E-3</v>
      </c>
      <c r="E1505" s="92"/>
      <c r="F1505" s="97">
        <f>_xll.meDateFromTenor(F1504,"1D","FOLLOWING","TGT")</f>
        <v>44643</v>
      </c>
      <c r="G1505" s="95">
        <f ca="1"/>
        <v>4.6345172208506931E-3</v>
      </c>
      <c r="H1505" s="92" t="s">
        <v>4</v>
      </c>
      <c r="I1505" s="97">
        <f>_xll.meDateFromTenor(I1504,"1D","FOLLOWING","TGT")</f>
        <v>44643</v>
      </c>
      <c r="J1505" s="95">
        <f ca="1"/>
        <v>5.9759014888271624E-3</v>
      </c>
      <c r="K1505" s="5" t="s">
        <v>4</v>
      </c>
      <c r="L1505" s="97">
        <f>_xll.meDateFromTenor(L1504,"1D","FOLLOWING","TGT")</f>
        <v>44643</v>
      </c>
      <c r="M1505" s="95">
        <f ca="1"/>
        <v>7.6793133226979518E-3</v>
      </c>
      <c r="N1505" s="5" t="s">
        <v>4</v>
      </c>
      <c r="O1505" s="97">
        <f>_xll.meDateFromTenor(O1504,"1D","FOLLOWING","TGT")</f>
        <v>44643</v>
      </c>
      <c r="P1505" s="95">
        <f ca="1"/>
        <v>9.5320737517834951E-3</v>
      </c>
      <c r="Q1505" s="5" t="s">
        <v>4</v>
      </c>
      <c r="R1505" s="83" t="s">
        <v>4</v>
      </c>
    </row>
    <row r="1506" spans="1:18" x14ac:dyDescent="0.25">
      <c r="A1506" s="88">
        <v>1492</v>
      </c>
      <c r="B1506" s="82"/>
      <c r="C1506" s="97">
        <f>_xll.meDateFromTenor(C1505,"1D","FOLLOWING","TGT")</f>
        <v>44644</v>
      </c>
      <c r="D1506" s="95">
        <f ca="1"/>
        <v>3.9072026430826412E-3</v>
      </c>
      <c r="E1506" s="92"/>
      <c r="F1506" s="97">
        <f>_xll.meDateFromTenor(F1505,"1D","FOLLOWING","TGT")</f>
        <v>44644</v>
      </c>
      <c r="G1506" s="95">
        <f ca="1"/>
        <v>4.6414850056824509E-3</v>
      </c>
      <c r="H1506" s="92" t="s">
        <v>4</v>
      </c>
      <c r="I1506" s="97">
        <f>_xll.meDateFromTenor(I1505,"1D","FOLLOWING","TGT")</f>
        <v>44644</v>
      </c>
      <c r="J1506" s="95">
        <f ca="1"/>
        <v>5.9843915383319098E-3</v>
      </c>
      <c r="K1506" s="5" t="s">
        <v>4</v>
      </c>
      <c r="L1506" s="97">
        <f>_xll.meDateFromTenor(L1505,"1D","FOLLOWING","TGT")</f>
        <v>44644</v>
      </c>
      <c r="M1506" s="95">
        <f ca="1"/>
        <v>7.6875167266126539E-3</v>
      </c>
      <c r="N1506" s="5" t="s">
        <v>4</v>
      </c>
      <c r="O1506" s="97">
        <f>_xll.meDateFromTenor(O1505,"1D","FOLLOWING","TGT")</f>
        <v>44644</v>
      </c>
      <c r="P1506" s="95">
        <f ca="1"/>
        <v>9.5392315540119392E-3</v>
      </c>
      <c r="Q1506" s="5" t="s">
        <v>4</v>
      </c>
      <c r="R1506" s="83" t="s">
        <v>4</v>
      </c>
    </row>
    <row r="1507" spans="1:18" x14ac:dyDescent="0.25">
      <c r="A1507" s="88">
        <v>1493</v>
      </c>
      <c r="B1507" s="82"/>
      <c r="C1507" s="97">
        <f>_xll.meDateFromTenor(C1506,"1D","FOLLOWING","TGT")</f>
        <v>44645</v>
      </c>
      <c r="D1507" s="95">
        <f ca="1"/>
        <v>3.9141444689843041E-3</v>
      </c>
      <c r="E1507" s="92"/>
      <c r="F1507" s="97">
        <f>_xll.meDateFromTenor(F1506,"1D","FOLLOWING","TGT")</f>
        <v>44645</v>
      </c>
      <c r="G1507" s="95">
        <f ca="1"/>
        <v>4.6484753910290321E-3</v>
      </c>
      <c r="H1507" s="92" t="s">
        <v>4</v>
      </c>
      <c r="I1507" s="97">
        <f>_xll.meDateFromTenor(I1506,"1D","FOLLOWING","TGT")</f>
        <v>44645</v>
      </c>
      <c r="J1507" s="95">
        <f ca="1"/>
        <v>5.9928812647380286E-3</v>
      </c>
      <c r="K1507" s="5" t="s">
        <v>4</v>
      </c>
      <c r="L1507" s="97">
        <f>_xll.meDateFromTenor(L1506,"1D","FOLLOWING","TGT")</f>
        <v>44645</v>
      </c>
      <c r="M1507" s="95">
        <f ca="1"/>
        <v>7.6957196230905906E-3</v>
      </c>
      <c r="N1507" s="5" t="s">
        <v>4</v>
      </c>
      <c r="O1507" s="97">
        <f>_xll.meDateFromTenor(O1506,"1D","FOLLOWING","TGT")</f>
        <v>44645</v>
      </c>
      <c r="P1507" s="95">
        <f ca="1"/>
        <v>9.5463883428699384E-3</v>
      </c>
      <c r="Q1507" s="5" t="s">
        <v>4</v>
      </c>
      <c r="R1507" s="83" t="s">
        <v>4</v>
      </c>
    </row>
    <row r="1508" spans="1:18" x14ac:dyDescent="0.25">
      <c r="A1508" s="88">
        <v>1494</v>
      </c>
      <c r="B1508" s="82"/>
      <c r="C1508" s="97">
        <f>_xll.meDateFromTenor(C1507,"1D","FOLLOWING","TGT")</f>
        <v>44648</v>
      </c>
      <c r="D1508" s="95">
        <f ca="1"/>
        <v>3.9351676598016194E-3</v>
      </c>
      <c r="E1508" s="92"/>
      <c r="F1508" s="97">
        <f>_xll.meDateFromTenor(F1507,"1D","FOLLOWING","TGT")</f>
        <v>44648</v>
      </c>
      <c r="G1508" s="95">
        <f ca="1"/>
        <v>4.6696394254466594E-3</v>
      </c>
      <c r="H1508" s="92" t="s">
        <v>4</v>
      </c>
      <c r="I1508" s="97">
        <f>_xll.meDateFromTenor(I1507,"1D","FOLLOWING","TGT")</f>
        <v>44648</v>
      </c>
      <c r="J1508" s="95">
        <f ca="1"/>
        <v>6.0183483757986819E-3</v>
      </c>
      <c r="K1508" s="5" t="s">
        <v>4</v>
      </c>
      <c r="L1508" s="97">
        <f>_xll.meDateFromTenor(L1507,"1D","FOLLOWING","TGT")</f>
        <v>44648</v>
      </c>
      <c r="M1508" s="95">
        <f ca="1"/>
        <v>7.7203248536025261E-3</v>
      </c>
      <c r="N1508" s="5" t="s">
        <v>4</v>
      </c>
      <c r="O1508" s="97">
        <f>_xll.meDateFromTenor(O1507,"1D","FOLLOWING","TGT")</f>
        <v>44648</v>
      </c>
      <c r="P1508" s="95">
        <f ca="1"/>
        <v>9.5678525945925089E-3</v>
      </c>
      <c r="Q1508" s="5" t="s">
        <v>4</v>
      </c>
      <c r="R1508" s="83" t="s">
        <v>4</v>
      </c>
    </row>
    <row r="1509" spans="1:18" x14ac:dyDescent="0.25">
      <c r="A1509" s="88">
        <v>1495</v>
      </c>
      <c r="B1509" s="82"/>
      <c r="C1509" s="97">
        <f>_xll.meDateFromTenor(C1508,"1D","FOLLOWING","TGT")</f>
        <v>44649</v>
      </c>
      <c r="D1509" s="95">
        <f ca="1"/>
        <v>3.9422413026779513E-3</v>
      </c>
      <c r="E1509" s="92"/>
      <c r="F1509" s="97">
        <f>_xll.meDateFromTenor(F1508,"1D","FOLLOWING","TGT")</f>
        <v>44649</v>
      </c>
      <c r="G1509" s="95">
        <f ca="1"/>
        <v>4.6767774881414769E-3</v>
      </c>
      <c r="H1509" s="92" t="s">
        <v>4</v>
      </c>
      <c r="I1509" s="97">
        <f>_xll.meDateFromTenor(I1508,"1D","FOLLOWING","TGT")</f>
        <v>44649</v>
      </c>
      <c r="J1509" s="95">
        <f ca="1"/>
        <v>6.0268366802443607E-3</v>
      </c>
      <c r="K1509" s="5" t="s">
        <v>4</v>
      </c>
      <c r="L1509" s="97">
        <f>_xll.meDateFromTenor(L1508,"1D","FOLLOWING","TGT")</f>
        <v>44649</v>
      </c>
      <c r="M1509" s="95">
        <f ca="1"/>
        <v>7.728525306032125E-3</v>
      </c>
      <c r="N1509" s="5" t="s">
        <v>4</v>
      </c>
      <c r="O1509" s="97">
        <f>_xll.meDateFromTenor(O1508,"1D","FOLLOWING","TGT")</f>
        <v>44649</v>
      </c>
      <c r="P1509" s="95">
        <f ca="1"/>
        <v>9.5750052953399618E-3</v>
      </c>
      <c r="Q1509" s="5" t="s">
        <v>4</v>
      </c>
      <c r="R1509" s="83" t="s">
        <v>4</v>
      </c>
    </row>
    <row r="1510" spans="1:18" x14ac:dyDescent="0.25">
      <c r="A1510" s="88">
        <v>1496</v>
      </c>
      <c r="B1510" s="82"/>
      <c r="C1510" s="97">
        <f>_xll.meDateFromTenor(C1509,"1D","FOLLOWING","TGT")</f>
        <v>44650</v>
      </c>
      <c r="D1510" s="95">
        <f ca="1"/>
        <v>3.9493479062973069E-3</v>
      </c>
      <c r="E1510" s="92"/>
      <c r="F1510" s="97">
        <f>_xll.meDateFromTenor(F1509,"1D","FOLLOWING","TGT")</f>
        <v>44650</v>
      </c>
      <c r="G1510" s="95">
        <f ca="1"/>
        <v>4.6839667889955871E-3</v>
      </c>
      <c r="H1510" s="92" t="s">
        <v>4</v>
      </c>
      <c r="I1510" s="97">
        <f>_xll.meDateFromTenor(I1509,"1D","FOLLOWING","TGT")</f>
        <v>44650</v>
      </c>
      <c r="J1510" s="95">
        <f ca="1"/>
        <v>6.035324596808448E-3</v>
      </c>
      <c r="K1510" s="5" t="s">
        <v>4</v>
      </c>
      <c r="L1510" s="97">
        <f>_xll.meDateFromTenor(L1509,"1D","FOLLOWING","TGT")</f>
        <v>44650</v>
      </c>
      <c r="M1510" s="95">
        <f ca="1"/>
        <v>7.7367250438743181E-3</v>
      </c>
      <c r="N1510" s="5" t="s">
        <v>4</v>
      </c>
      <c r="O1510" s="97">
        <f>_xll.meDateFromTenor(O1509,"1D","FOLLOWING","TGT")</f>
        <v>44650</v>
      </c>
      <c r="P1510" s="95">
        <f ca="1"/>
        <v>9.5821569654025822E-3</v>
      </c>
      <c r="Q1510" s="5" t="s">
        <v>4</v>
      </c>
      <c r="R1510" s="83" t="s">
        <v>4</v>
      </c>
    </row>
    <row r="1511" spans="1:18" x14ac:dyDescent="0.25">
      <c r="A1511" s="88">
        <v>1497</v>
      </c>
      <c r="B1511" s="82"/>
      <c r="C1511" s="97">
        <f>_xll.meDateFromTenor(C1510,"1D","FOLLOWING","TGT")</f>
        <v>44651</v>
      </c>
      <c r="D1511" s="95">
        <f ca="1"/>
        <v>3.9564874728061916E-3</v>
      </c>
      <c r="E1511" s="92"/>
      <c r="F1511" s="97">
        <f>_xll.meDateFromTenor(F1510,"1D","FOLLOWING","TGT")</f>
        <v>44651</v>
      </c>
      <c r="G1511" s="95">
        <f ca="1"/>
        <v>4.6912130555378882E-3</v>
      </c>
      <c r="H1511" s="92" t="s">
        <v>4</v>
      </c>
      <c r="I1511" s="97">
        <f>_xll.meDateFromTenor(I1510,"1D","FOLLOWING","TGT")</f>
        <v>44651</v>
      </c>
      <c r="J1511" s="95">
        <f ca="1"/>
        <v>6.0438121125343568E-3</v>
      </c>
      <c r="K1511" s="5" t="s">
        <v>4</v>
      </c>
      <c r="L1511" s="97">
        <f>_xll.meDateFromTenor(L1510,"1D","FOLLOWING","TGT")</f>
        <v>44651</v>
      </c>
      <c r="M1511" s="95">
        <f ca="1"/>
        <v>7.7449240256989831E-3</v>
      </c>
      <c r="N1511" s="5" t="s">
        <v>4</v>
      </c>
      <c r="O1511" s="97">
        <f>_xll.meDateFromTenor(O1510,"1D","FOLLOWING","TGT")</f>
        <v>44651</v>
      </c>
      <c r="P1511" s="95">
        <f ca="1"/>
        <v>9.5893076013174958E-3</v>
      </c>
      <c r="Q1511" s="5" t="s">
        <v>4</v>
      </c>
      <c r="R1511" s="83" t="s">
        <v>4</v>
      </c>
    </row>
    <row r="1512" spans="1:18" x14ac:dyDescent="0.25">
      <c r="A1512" s="88">
        <v>1498</v>
      </c>
      <c r="B1512" s="82"/>
      <c r="C1512" s="97">
        <f>_xll.meDateFromTenor(C1511,"1D","FOLLOWING","TGT")</f>
        <v>44652</v>
      </c>
      <c r="D1512" s="95">
        <f ca="1"/>
        <v>3.963660005468661E-3</v>
      </c>
      <c r="E1512" s="92"/>
      <c r="F1512" s="97">
        <f>_xll.meDateFromTenor(F1511,"1D","FOLLOWING","TGT")</f>
        <v>44652</v>
      </c>
      <c r="G1512" s="95">
        <f ca="1"/>
        <v>4.6985220152972714E-3</v>
      </c>
      <c r="H1512" s="92" t="s">
        <v>4</v>
      </c>
      <c r="I1512" s="97">
        <f>_xll.meDateFromTenor(I1511,"1D","FOLLOWING","TGT")</f>
        <v>44652</v>
      </c>
      <c r="J1512" s="95">
        <f ca="1"/>
        <v>6.0522992144654919E-3</v>
      </c>
      <c r="K1512" s="5" t="s">
        <v>4</v>
      </c>
      <c r="L1512" s="97">
        <f>_xll.meDateFromTenor(L1511,"1D","FOLLOWING","TGT")</f>
        <v>44652</v>
      </c>
      <c r="M1512" s="95">
        <f ca="1"/>
        <v>7.7531222100759925E-3</v>
      </c>
      <c r="N1512" s="5" t="s">
        <v>4</v>
      </c>
      <c r="O1512" s="97">
        <f>_xll.meDateFromTenor(O1511,"1D","FOLLOWING","TGT")</f>
        <v>44652</v>
      </c>
      <c r="P1512" s="95">
        <f ca="1"/>
        <v>9.5964571996218218E-3</v>
      </c>
      <c r="Q1512" s="5" t="s">
        <v>4</v>
      </c>
      <c r="R1512" s="83" t="s">
        <v>4</v>
      </c>
    </row>
    <row r="1513" spans="1:18" x14ac:dyDescent="0.25">
      <c r="A1513" s="88">
        <v>1499</v>
      </c>
      <c r="B1513" s="82"/>
      <c r="C1513" s="97">
        <f>_xll.meDateFromTenor(C1512,"1D","FOLLOWING","TGT")</f>
        <v>44655</v>
      </c>
      <c r="D1513" s="95">
        <f ca="1"/>
        <v>3.9853754225387394E-3</v>
      </c>
      <c r="E1513" s="92"/>
      <c r="F1513" s="97">
        <f>_xll.meDateFromTenor(F1512,"1D","FOLLOWING","TGT")</f>
        <v>44655</v>
      </c>
      <c r="G1513" s="95">
        <f ca="1"/>
        <v>4.720882329166857E-3</v>
      </c>
      <c r="H1513" s="92" t="s">
        <v>4</v>
      </c>
      <c r="I1513" s="97">
        <f>_xll.meDateFromTenor(I1512,"1D","FOLLOWING","TGT")</f>
        <v>44655</v>
      </c>
      <c r="J1513" s="95">
        <f ca="1"/>
        <v>6.0777579079243412E-3</v>
      </c>
      <c r="K1513" s="5" t="s">
        <v>4</v>
      </c>
      <c r="L1513" s="97">
        <f>_xll.meDateFromTenor(L1512,"1D","FOLLOWING","TGT")</f>
        <v>44655</v>
      </c>
      <c r="M1513" s="95">
        <f ca="1"/>
        <v>7.7777115642198051E-3</v>
      </c>
      <c r="N1513" s="5" t="s">
        <v>4</v>
      </c>
      <c r="O1513" s="97">
        <f>_xll.meDateFromTenor(O1512,"1D","FOLLOWING","TGT")</f>
        <v>44655</v>
      </c>
      <c r="P1513" s="95">
        <f ca="1"/>
        <v>9.6178997342424976E-3</v>
      </c>
      <c r="Q1513" s="5" t="s">
        <v>4</v>
      </c>
      <c r="R1513" s="83" t="s">
        <v>4</v>
      </c>
    </row>
    <row r="1514" spans="1:18" x14ac:dyDescent="0.25">
      <c r="A1514" s="88">
        <v>1500</v>
      </c>
      <c r="B1514" s="82"/>
      <c r="C1514" s="98">
        <f>_xll.meDateFromTenor(C1513,"1D","FOLLOWING","TGT")</f>
        <v>44656</v>
      </c>
      <c r="D1514" s="96">
        <f ca="1"/>
        <v>3.9926798436691335E-3</v>
      </c>
      <c r="E1514" s="92"/>
      <c r="F1514" s="98">
        <f>_xll.meDateFromTenor(F1513,"1D","FOLLOWING","TGT")</f>
        <v>44656</v>
      </c>
      <c r="G1514" s="96">
        <f ca="1"/>
        <v>4.7284977195783144E-3</v>
      </c>
      <c r="H1514" s="92" t="s">
        <v>4</v>
      </c>
      <c r="I1514" s="98">
        <f>_xll.meDateFromTenor(I1513,"1D","FOLLOWING","TGT")</f>
        <v>44656</v>
      </c>
      <c r="J1514" s="96">
        <f ca="1"/>
        <v>6.0862432251104666E-3</v>
      </c>
      <c r="K1514" s="5" t="s">
        <v>4</v>
      </c>
      <c r="L1514" s="98">
        <f>_xll.meDateFromTenor(L1513,"1D","FOLLOWING","TGT")</f>
        <v>44656</v>
      </c>
      <c r="M1514" s="96">
        <f ca="1"/>
        <v>7.7859061445049137E-3</v>
      </c>
      <c r="N1514" s="5" t="s">
        <v>4</v>
      </c>
      <c r="O1514" s="98">
        <f>_xll.meDateFromTenor(O1513,"1D","FOLLOWING","TGT")</f>
        <v>44656</v>
      </c>
      <c r="P1514" s="96">
        <f ca="1"/>
        <v>9.6250451474756953E-3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0"/>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0.97123986828175912</v>
      </c>
      <c r="D5" s="345">
        <f>COB+3650</f>
        <v>46171</v>
      </c>
      <c r="E5" s="324"/>
      <c r="F5" s="131"/>
      <c r="G5" s="317"/>
      <c r="H5" s="129"/>
      <c r="I5" s="322">
        <f t="array" aca="1" ref="I5:I8" ca="1">IF(AND(NOW(),isEUROISLoaded),_xll.meCurveDiscountFactors(J5:J8,$J$23,$J$24),"Load Curve")</f>
        <v>1.0038838591126606</v>
      </c>
      <c r="J5" s="345">
        <f>COB+365</f>
        <v>42886</v>
      </c>
      <c r="K5" s="324"/>
      <c r="L5" s="131"/>
    </row>
    <row r="6" spans="2:12" s="125" customFormat="1" x14ac:dyDescent="0.25">
      <c r="B6" s="129"/>
      <c r="C6" s="322"/>
      <c r="D6" s="326"/>
      <c r="E6" s="327"/>
      <c r="F6" s="131"/>
      <c r="G6" s="317"/>
      <c r="H6" s="129"/>
      <c r="I6" s="322">
        <f ca="1"/>
        <v>1.0081767074091657</v>
      </c>
      <c r="J6" s="231">
        <f>J5+365</f>
        <v>43251</v>
      </c>
      <c r="K6" s="327"/>
      <c r="L6" s="131"/>
    </row>
    <row r="7" spans="2:12" s="125" customFormat="1" x14ac:dyDescent="0.25">
      <c r="B7" s="129"/>
      <c r="C7" s="322"/>
      <c r="D7" s="326"/>
      <c r="E7" s="327"/>
      <c r="F7" s="131"/>
      <c r="G7" s="317"/>
      <c r="H7" s="129"/>
      <c r="I7" s="322">
        <f ca="1"/>
        <v>1.0118064198467935</v>
      </c>
      <c r="J7" s="231">
        <f>J6+365</f>
        <v>43616</v>
      </c>
      <c r="K7" s="327"/>
      <c r="L7" s="131"/>
    </row>
    <row r="8" spans="2:12" s="125" customFormat="1" x14ac:dyDescent="0.25">
      <c r="B8" s="129"/>
      <c r="C8" s="325"/>
      <c r="D8" s="328"/>
      <c r="E8" s="329"/>
      <c r="F8" s="131"/>
      <c r="G8" s="317"/>
      <c r="H8" s="129"/>
      <c r="I8" s="325">
        <f ca="1"/>
        <v>1.0140397511461843</v>
      </c>
      <c r="J8" s="347">
        <f>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IF(AND(NOW(),isEUROISLoaded),_xll.meCurveDiscountFactorsFromYearFractions(D18,D23,D24),"Load Curve")</f>
        <v>1.0018279077407679</v>
      </c>
      <c r="D18" s="323">
        <v>0.5</v>
      </c>
      <c r="E18" s="324"/>
      <c r="F18" s="131"/>
      <c r="G18" s="317"/>
      <c r="H18" s="129"/>
      <c r="I18" s="322">
        <f t="array" aca="1" ref="I18:I21" ca="1">IF(AND(NOW(),isEUROISLoaded),_xll.meCurveDiscountFactorsFromYearFractions(J18:J21,$J$23,$J$24),"Load Curve")</f>
        <v>1.0018279077407679</v>
      </c>
      <c r="J18" s="323">
        <v>0.5</v>
      </c>
      <c r="K18" s="324"/>
      <c r="L18" s="131"/>
    </row>
    <row r="19" spans="2:12" x14ac:dyDescent="0.25">
      <c r="B19" s="129"/>
      <c r="C19" s="322"/>
      <c r="D19" s="326"/>
      <c r="E19" s="327"/>
      <c r="F19" s="131"/>
      <c r="G19" s="317"/>
      <c r="H19" s="129"/>
      <c r="I19" s="322">
        <f ca="1"/>
        <v>1.0060356296007971</v>
      </c>
      <c r="J19" s="326">
        <v>1.5</v>
      </c>
      <c r="K19" s="327"/>
      <c r="L19" s="131"/>
    </row>
    <row r="20" spans="2:12" x14ac:dyDescent="0.25">
      <c r="B20" s="129"/>
      <c r="C20" s="322"/>
      <c r="D20" s="326"/>
      <c r="E20" s="327"/>
      <c r="F20" s="131"/>
      <c r="G20" s="317"/>
      <c r="H20" s="129"/>
      <c r="I20" s="322">
        <f ca="1"/>
        <v>1.0081833845718569</v>
      </c>
      <c r="J20" s="326">
        <v>2</v>
      </c>
      <c r="K20" s="327"/>
      <c r="L20" s="131"/>
    </row>
    <row r="21" spans="2:12" x14ac:dyDescent="0.25">
      <c r="B21" s="129"/>
      <c r="C21" s="325"/>
      <c r="D21" s="328"/>
      <c r="E21" s="329"/>
      <c r="F21" s="131"/>
      <c r="G21" s="317"/>
      <c r="H21" s="129"/>
      <c r="I21" s="325">
        <f ca="1"/>
        <v>1.0101271415237301</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34" t="s">
        <v>387</v>
      </c>
      <c r="D24" s="335" t="s">
        <v>9</v>
      </c>
      <c r="E24" s="336"/>
      <c r="F24" s="131"/>
      <c r="G24" s="317"/>
      <c r="H24" s="129"/>
      <c r="I24" s="334" t="s">
        <v>387</v>
      </c>
      <c r="J24" s="335" t="s">
        <v>9</v>
      </c>
      <c r="K24" s="336"/>
      <c r="L24" s="131"/>
    </row>
    <row r="25" spans="2:12" x14ac:dyDescent="0.25">
      <c r="B25" s="133"/>
      <c r="C25" s="337"/>
      <c r="D25" s="239"/>
      <c r="E25" s="239"/>
      <c r="F25" s="135"/>
      <c r="G25" s="317"/>
      <c r="H25" s="133"/>
      <c r="I25" s="337"/>
      <c r="J25" s="239"/>
      <c r="K25" s="239"/>
      <c r="L25" s="135"/>
    </row>
    <row r="26" spans="2:12" x14ac:dyDescent="0.25">
      <c r="B26" s="317"/>
      <c r="C26" s="338"/>
      <c r="D26" s="339"/>
      <c r="E26" s="339"/>
      <c r="F26" s="317"/>
      <c r="G26" s="317"/>
      <c r="H26" s="317"/>
      <c r="I26" s="338"/>
      <c r="J26" s="339"/>
      <c r="K26" s="339"/>
      <c r="L26" s="317"/>
    </row>
    <row r="27" spans="2:12" x14ac:dyDescent="0.25">
      <c r="B27" s="317"/>
      <c r="C27" s="340"/>
      <c r="D27" s="339"/>
      <c r="E27" s="339"/>
      <c r="F27" s="317"/>
      <c r="G27" s="317"/>
      <c r="H27" s="317"/>
      <c r="I27" s="340"/>
      <c r="J27" s="339"/>
      <c r="K27" s="339"/>
      <c r="L27" s="317"/>
    </row>
    <row r="28" spans="2:12" x14ac:dyDescent="0.25">
      <c r="B28" s="151" t="s">
        <v>388</v>
      </c>
      <c r="C28" s="316"/>
      <c r="D28" s="313"/>
      <c r="E28" s="313"/>
      <c r="F28" s="125"/>
      <c r="G28" s="317"/>
      <c r="H28" s="151" t="s">
        <v>389</v>
      </c>
      <c r="I28" s="316"/>
      <c r="J28" s="313"/>
      <c r="K28" s="313"/>
      <c r="L28" s="125"/>
    </row>
    <row r="29" spans="2:12" x14ac:dyDescent="0.25">
      <c r="B29" s="126"/>
      <c r="C29" s="318"/>
      <c r="D29" s="240"/>
      <c r="E29" s="240"/>
      <c r="F29" s="128"/>
      <c r="G29" s="317"/>
      <c r="H29" s="126"/>
      <c r="I29" s="318"/>
      <c r="J29" s="240"/>
      <c r="K29" s="240"/>
      <c r="L29" s="128"/>
    </row>
    <row r="30" spans="2:12" x14ac:dyDescent="0.25">
      <c r="B30" s="129"/>
      <c r="C30" s="319" t="s">
        <v>385</v>
      </c>
      <c r="D30" s="320" t="s">
        <v>390</v>
      </c>
      <c r="E30" s="321"/>
      <c r="F30" s="131" t="s">
        <v>4</v>
      </c>
      <c r="G30" s="317"/>
      <c r="H30" s="129"/>
      <c r="I30" s="319" t="s">
        <v>385</v>
      </c>
      <c r="J30" s="320" t="s">
        <v>390</v>
      </c>
      <c r="K30" s="321"/>
      <c r="L30" s="131" t="s">
        <v>4</v>
      </c>
    </row>
    <row r="31" spans="2:12" x14ac:dyDescent="0.25">
      <c r="B31" s="129"/>
      <c r="C31" s="322">
        <f ca="1">IF(AND(NOW(),isEUROISLoaded),_xll.meCurveDiscountFactorsFromTenors(D31,$D$36,$D$37,$D$38,$D$39),"Load Curve")</f>
        <v>1.0018279077407679</v>
      </c>
      <c r="D31" s="323" t="s">
        <v>94</v>
      </c>
      <c r="E31" s="324"/>
      <c r="F31" s="131"/>
      <c r="G31" s="317"/>
      <c r="H31" s="129"/>
      <c r="I31" s="322">
        <f t="array" aca="1" ref="I31:I34" ca="1">IF(AND(NOW(),isEUROISLoaded),_xll.meCurveDiscountFactorsFromTenors(J31:J34,$J$36,$J$37,$J$38,$J$39),"Load Curve")</f>
        <v>1.0018279077407679</v>
      </c>
      <c r="J31" s="323" t="s">
        <v>94</v>
      </c>
      <c r="K31" s="324"/>
      <c r="L31" s="131"/>
    </row>
    <row r="32" spans="2:12" x14ac:dyDescent="0.25">
      <c r="B32" s="129"/>
      <c r="C32" s="322"/>
      <c r="D32" s="326"/>
      <c r="E32" s="327"/>
      <c r="F32" s="131"/>
      <c r="G32" s="317"/>
      <c r="H32" s="129"/>
      <c r="I32" s="322">
        <f ca="1"/>
        <v>1.0038838591126606</v>
      </c>
      <c r="J32" s="326" t="s">
        <v>159</v>
      </c>
      <c r="K32" s="327"/>
      <c r="L32" s="131"/>
    </row>
    <row r="33" spans="2:12" x14ac:dyDescent="0.25">
      <c r="B33" s="129"/>
      <c r="C33" s="322"/>
      <c r="D33" s="326"/>
      <c r="E33" s="327"/>
      <c r="F33" s="131"/>
      <c r="G33" s="317"/>
      <c r="H33" s="129"/>
      <c r="I33" s="322">
        <f ca="1"/>
        <v>1.0060346293594908</v>
      </c>
      <c r="J33" s="326" t="s">
        <v>58</v>
      </c>
      <c r="K33" s="327"/>
      <c r="L33" s="131"/>
    </row>
    <row r="34" spans="2:12" x14ac:dyDescent="0.25">
      <c r="B34" s="129"/>
      <c r="C34" s="325"/>
      <c r="D34" s="328"/>
      <c r="E34" s="329"/>
      <c r="F34" s="131"/>
      <c r="G34" s="317"/>
      <c r="H34" s="129"/>
      <c r="I34" s="325">
        <f ca="1"/>
        <v>1.0081767074091657</v>
      </c>
      <c r="J34" s="328" t="s">
        <v>47</v>
      </c>
      <c r="K34" s="329"/>
      <c r="L34" s="131"/>
    </row>
    <row r="35" spans="2:12" x14ac:dyDescent="0.25">
      <c r="B35" s="129"/>
      <c r="C35" s="330"/>
      <c r="D35" s="172"/>
      <c r="E35" s="172"/>
      <c r="F35" s="131"/>
      <c r="G35" s="317"/>
      <c r="H35" s="129"/>
      <c r="I35" s="330"/>
      <c r="J35" s="172"/>
      <c r="K35" s="172"/>
      <c r="L35" s="131"/>
    </row>
    <row r="36" spans="2:12" x14ac:dyDescent="0.25">
      <c r="B36" s="129"/>
      <c r="C36" s="331" t="s">
        <v>391</v>
      </c>
      <c r="D36" s="332" t="s">
        <v>78</v>
      </c>
      <c r="E36" s="333"/>
      <c r="F36" s="131"/>
      <c r="G36" s="317"/>
      <c r="H36" s="129"/>
      <c r="I36" s="331" t="s">
        <v>391</v>
      </c>
      <c r="J36" s="332" t="s">
        <v>78</v>
      </c>
      <c r="K36" s="333"/>
      <c r="L36" s="131"/>
    </row>
    <row r="37" spans="2:12" x14ac:dyDescent="0.25">
      <c r="B37" s="129"/>
      <c r="C37" s="341" t="s">
        <v>387</v>
      </c>
      <c r="D37" s="342" t="s">
        <v>9</v>
      </c>
      <c r="E37" s="343"/>
      <c r="F37" s="131"/>
      <c r="G37" s="344"/>
      <c r="H37" s="129"/>
      <c r="I37" s="341" t="s">
        <v>387</v>
      </c>
      <c r="J37" s="342" t="s">
        <v>9</v>
      </c>
      <c r="K37" s="343"/>
      <c r="L37" s="131"/>
    </row>
    <row r="38" spans="2:12" x14ac:dyDescent="0.25">
      <c r="B38" s="129"/>
      <c r="C38" s="341" t="s">
        <v>392</v>
      </c>
      <c r="D38" s="342" t="s">
        <v>22</v>
      </c>
      <c r="E38" s="343"/>
      <c r="F38" s="131"/>
      <c r="G38" s="344"/>
      <c r="H38" s="129"/>
      <c r="I38" s="341" t="s">
        <v>392</v>
      </c>
      <c r="J38" s="342" t="s">
        <v>22</v>
      </c>
      <c r="K38" s="343"/>
      <c r="L38" s="131"/>
    </row>
    <row r="39" spans="2:12" x14ac:dyDescent="0.25">
      <c r="B39" s="129"/>
      <c r="C39" s="334" t="s">
        <v>1</v>
      </c>
      <c r="D39" s="335" t="s">
        <v>2</v>
      </c>
      <c r="E39" s="336"/>
      <c r="F39" s="131"/>
      <c r="G39" s="344"/>
      <c r="H39" s="129"/>
      <c r="I39" s="334" t="s">
        <v>1</v>
      </c>
      <c r="J39" s="335" t="s">
        <v>2</v>
      </c>
      <c r="K39" s="336"/>
      <c r="L39" s="131"/>
    </row>
    <row r="40" spans="2:12" x14ac:dyDescent="0.25">
      <c r="B40" s="133"/>
      <c r="C40" s="337"/>
      <c r="D40" s="239"/>
      <c r="E40" s="239"/>
      <c r="F40" s="135"/>
      <c r="G40" s="317"/>
      <c r="H40" s="133"/>
      <c r="I40" s="337"/>
      <c r="J40" s="239"/>
      <c r="K40" s="239"/>
      <c r="L40" s="135"/>
    </row>
    <row r="41" spans="2:12" x14ac:dyDescent="0.25">
      <c r="B41" s="317"/>
      <c r="C41" s="338"/>
      <c r="D41" s="339"/>
      <c r="E41" s="339"/>
      <c r="F41" s="317"/>
      <c r="G41" s="317"/>
      <c r="H41" s="317"/>
      <c r="I41" s="338"/>
      <c r="J41" s="339"/>
      <c r="K41" s="339"/>
      <c r="L41" s="317"/>
    </row>
    <row r="42" spans="2:12" x14ac:dyDescent="0.25">
      <c r="B42" s="317"/>
      <c r="C42" s="338"/>
      <c r="D42" s="339"/>
      <c r="E42" s="339"/>
      <c r="F42" s="317"/>
      <c r="G42" s="317"/>
      <c r="H42" s="317"/>
      <c r="I42" s="338"/>
      <c r="J42" s="339"/>
      <c r="K42" s="339"/>
      <c r="L42" s="317"/>
    </row>
    <row r="43" spans="2:12" x14ac:dyDescent="0.25">
      <c r="B43" s="151" t="s">
        <v>393</v>
      </c>
      <c r="C43" s="316"/>
      <c r="D43" s="313"/>
      <c r="E43" s="339"/>
      <c r="F43" s="125"/>
      <c r="G43" s="317"/>
      <c r="H43" s="151" t="s">
        <v>394</v>
      </c>
      <c r="I43" s="316"/>
      <c r="J43" s="313"/>
      <c r="K43" s="313"/>
      <c r="L43" s="125"/>
    </row>
    <row r="44" spans="2:12" x14ac:dyDescent="0.25">
      <c r="B44" s="126"/>
      <c r="C44" s="318"/>
      <c r="D44" s="240"/>
      <c r="E44" s="240"/>
      <c r="F44" s="128"/>
      <c r="G44" s="317"/>
      <c r="H44" s="126"/>
      <c r="I44" s="318"/>
      <c r="J44" s="240"/>
      <c r="K44" s="240"/>
      <c r="L44" s="128"/>
    </row>
    <row r="45" spans="2:12" x14ac:dyDescent="0.25">
      <c r="B45" s="129"/>
      <c r="C45" s="319" t="s">
        <v>385</v>
      </c>
      <c r="D45" s="320" t="s">
        <v>13</v>
      </c>
      <c r="E45" s="321" t="s">
        <v>14</v>
      </c>
      <c r="F45" s="131" t="s">
        <v>4</v>
      </c>
      <c r="G45" s="317"/>
      <c r="H45" s="129"/>
      <c r="I45" s="319" t="s">
        <v>385</v>
      </c>
      <c r="J45" s="320" t="s">
        <v>13</v>
      </c>
      <c r="K45" s="321" t="s">
        <v>14</v>
      </c>
      <c r="L45" s="131" t="s">
        <v>4</v>
      </c>
    </row>
    <row r="46" spans="2:12" x14ac:dyDescent="0.25">
      <c r="B46" s="129"/>
      <c r="C46" s="322">
        <f ca="1">IF(AND(NOW(),isEUROISLoaded),_xll.meCurveDiscountFactorsForwardStarting(D46,E46,$D$36,$D$37),"Load Curve")</f>
        <v>1.0007641873866457</v>
      </c>
      <c r="D46" s="345">
        <f>COB</f>
        <v>42521</v>
      </c>
      <c r="E46" s="346">
        <v>42601</v>
      </c>
      <c r="F46" s="131"/>
      <c r="G46" s="317"/>
      <c r="H46" s="129"/>
      <c r="I46" s="322">
        <f t="array" aca="1" ref="I46:I49" ca="1">IF(AND(NOW(),isEUROISLoaded),_xll.meCurveDiscountFactorsForwardStarting($J$46:$J$49,$K$46:$K$49,$J$36,$J$37),"Load Curve")</f>
        <v>1.0018279077407679</v>
      </c>
      <c r="J46" s="345">
        <f>COB</f>
        <v>42521</v>
      </c>
      <c r="K46" s="346">
        <f ca="1">IF(NOW(),_xll.meDateFromTenor(J46,J31))</f>
        <v>42704</v>
      </c>
      <c r="L46" s="131"/>
    </row>
    <row r="47" spans="2:12" x14ac:dyDescent="0.25">
      <c r="B47" s="129"/>
      <c r="C47" s="322"/>
      <c r="D47" s="231"/>
      <c r="E47" s="232"/>
      <c r="F47" s="131"/>
      <c r="G47" s="317"/>
      <c r="H47" s="129"/>
      <c r="I47" s="322">
        <f ca="1"/>
        <v>1.0038838591126606</v>
      </c>
      <c r="J47" s="231">
        <f>COB</f>
        <v>42521</v>
      </c>
      <c r="K47" s="232">
        <f ca="1">IF(NOW(),_xll.meDateFromTenor(J47,J32))</f>
        <v>42886</v>
      </c>
      <c r="L47" s="131"/>
    </row>
    <row r="48" spans="2:12" x14ac:dyDescent="0.25">
      <c r="B48" s="129"/>
      <c r="C48" s="322"/>
      <c r="D48" s="231"/>
      <c r="E48" s="232"/>
      <c r="F48" s="131"/>
      <c r="G48" s="317"/>
      <c r="H48" s="129"/>
      <c r="I48" s="322">
        <f ca="1"/>
        <v>1.0060346293594908</v>
      </c>
      <c r="J48" s="231">
        <f>COB</f>
        <v>42521</v>
      </c>
      <c r="K48" s="232">
        <f ca="1">IF(NOW(),_xll.meDateFromTenor(J48,J33))</f>
        <v>43069</v>
      </c>
      <c r="L48" s="131"/>
    </row>
    <row r="49" spans="2:12" x14ac:dyDescent="0.25">
      <c r="B49" s="129"/>
      <c r="C49" s="325"/>
      <c r="D49" s="347"/>
      <c r="E49" s="348"/>
      <c r="F49" s="131"/>
      <c r="G49" s="317"/>
      <c r="H49" s="129"/>
      <c r="I49" s="325">
        <f ca="1"/>
        <v>1.0081767074091657</v>
      </c>
      <c r="J49" s="347">
        <f>COB</f>
        <v>42521</v>
      </c>
      <c r="K49" s="348">
        <f ca="1">IF(NOW(),_xll.meDateFromTenor(J49,J34))</f>
        <v>43251</v>
      </c>
      <c r="L49" s="131"/>
    </row>
    <row r="50" spans="2:12" x14ac:dyDescent="0.25">
      <c r="B50" s="133"/>
      <c r="C50" s="337"/>
      <c r="D50" s="239"/>
      <c r="E50" s="239"/>
      <c r="F50" s="135"/>
      <c r="G50" s="317"/>
      <c r="H50" s="133"/>
      <c r="I50" s="337"/>
      <c r="J50" s="239"/>
      <c r="K50" s="239"/>
      <c r="L50" s="135"/>
    </row>
    <row r="51" spans="2:12" x14ac:dyDescent="0.25">
      <c r="B51" s="317"/>
      <c r="C51" s="338"/>
      <c r="D51" s="339"/>
      <c r="E51" s="339"/>
      <c r="F51" s="317"/>
      <c r="G51" s="317"/>
      <c r="H51" s="317"/>
      <c r="I51" s="338"/>
      <c r="J51" s="339"/>
      <c r="K51" s="339"/>
      <c r="L51" s="317"/>
    </row>
    <row r="52" spans="2:12" x14ac:dyDescent="0.25">
      <c r="B52" s="317"/>
      <c r="C52" s="338"/>
      <c r="D52" s="339"/>
      <c r="E52" s="339"/>
      <c r="F52" s="317"/>
      <c r="G52" s="317"/>
      <c r="H52" s="317"/>
      <c r="I52" s="338"/>
      <c r="J52" s="339"/>
      <c r="K52" s="339"/>
      <c r="L52" s="317"/>
    </row>
    <row r="53" spans="2:12" x14ac:dyDescent="0.25">
      <c r="B53" s="151" t="s">
        <v>395</v>
      </c>
      <c r="C53" s="316"/>
      <c r="D53" s="313"/>
      <c r="E53" s="339"/>
      <c r="F53" s="125"/>
      <c r="G53" s="317"/>
      <c r="H53" s="151" t="s">
        <v>396</v>
      </c>
      <c r="I53" s="316"/>
      <c r="J53" s="313"/>
      <c r="K53" s="313"/>
      <c r="L53" s="125"/>
    </row>
    <row r="54" spans="2:12" x14ac:dyDescent="0.25">
      <c r="B54" s="126"/>
      <c r="C54" s="318"/>
      <c r="D54" s="240"/>
      <c r="E54" s="240"/>
      <c r="F54" s="128"/>
      <c r="G54" s="317"/>
      <c r="H54" s="126"/>
      <c r="I54" s="318"/>
      <c r="J54" s="240"/>
      <c r="K54" s="240"/>
      <c r="L54" s="128"/>
    </row>
    <row r="55" spans="2:12" x14ac:dyDescent="0.25">
      <c r="B55" s="129"/>
      <c r="C55" s="319" t="s">
        <v>385</v>
      </c>
      <c r="D55" s="320" t="s">
        <v>13</v>
      </c>
      <c r="E55" s="321" t="s">
        <v>386</v>
      </c>
      <c r="F55" s="131" t="s">
        <v>4</v>
      </c>
      <c r="G55" s="317"/>
      <c r="H55" s="129"/>
      <c r="I55" s="319" t="s">
        <v>385</v>
      </c>
      <c r="J55" s="320" t="s">
        <v>13</v>
      </c>
      <c r="K55" s="321" t="s">
        <v>386</v>
      </c>
      <c r="L55" s="131" t="s">
        <v>4</v>
      </c>
    </row>
    <row r="56" spans="2:12" x14ac:dyDescent="0.25">
      <c r="B56" s="129"/>
      <c r="C56" s="322">
        <f ca="1">IF(AND(NOW(),isEUROISLoaded),_xll.meCurveDiscountFactorsForwardStartingFromYearFractions(D56,E56,$D$36,$D$37,$D$38,$D$39),"Load Curve")</f>
        <v>1.0018279077407679</v>
      </c>
      <c r="D56" s="345">
        <f>COB</f>
        <v>42521</v>
      </c>
      <c r="E56" s="349">
        <v>0.5</v>
      </c>
      <c r="F56" s="131"/>
      <c r="G56" s="317"/>
      <c r="H56" s="129"/>
      <c r="I56" s="322">
        <f t="array" aca="1" ref="I56:I59" ca="1">IF(AND(NOW(),isEUROISLoaded),_xll.meCurveDiscountFactorsForwardStartingFromYearFractions($J$56:$J$59,$K$56:$K$59,$J$36,$J$37,$J$38,$J$39),"Load Curve")</f>
        <v>1.0007739172143864</v>
      </c>
      <c r="J56" s="345">
        <v>42419</v>
      </c>
      <c r="K56" s="349">
        <v>0.5</v>
      </c>
      <c r="L56" s="131"/>
    </row>
    <row r="57" spans="2:12" x14ac:dyDescent="0.25">
      <c r="B57" s="129"/>
      <c r="C57" s="322"/>
      <c r="D57" s="231"/>
      <c r="E57" s="350"/>
      <c r="F57" s="131"/>
      <c r="G57" s="317"/>
      <c r="H57" s="129"/>
      <c r="I57" s="322">
        <f ca="1"/>
        <v>1.0010619618651857</v>
      </c>
      <c r="J57" s="231">
        <f>_xll.meDateFromTenor(J56,"1M")</f>
        <v>42448</v>
      </c>
      <c r="K57" s="350">
        <v>0.5</v>
      </c>
      <c r="L57" s="131"/>
    </row>
    <row r="58" spans="2:12" x14ac:dyDescent="0.25">
      <c r="B58" s="129"/>
      <c r="C58" s="322"/>
      <c r="D58" s="231"/>
      <c r="E58" s="350"/>
      <c r="F58" s="131"/>
      <c r="G58" s="317"/>
      <c r="H58" s="129"/>
      <c r="I58" s="322">
        <f ca="1"/>
        <v>1.0013818274962532</v>
      </c>
      <c r="J58" s="231">
        <f>_xll.meDateFromTenor(J57,"1M")</f>
        <v>42479</v>
      </c>
      <c r="K58" s="350">
        <v>0.5</v>
      </c>
      <c r="L58" s="131"/>
    </row>
    <row r="59" spans="2:12" x14ac:dyDescent="0.25">
      <c r="B59" s="129"/>
      <c r="C59" s="325"/>
      <c r="D59" s="347"/>
      <c r="E59" s="351"/>
      <c r="F59" s="131"/>
      <c r="G59" s="317"/>
      <c r="H59" s="129"/>
      <c r="I59" s="325">
        <f ca="1"/>
        <v>1.0017003484217426</v>
      </c>
      <c r="J59" s="347">
        <f>_xll.meDateFromTenor(J58,"1M")</f>
        <v>42509</v>
      </c>
      <c r="K59" s="351">
        <v>0.5</v>
      </c>
      <c r="L59" s="131"/>
    </row>
    <row r="60" spans="2:12" x14ac:dyDescent="0.25">
      <c r="B60" s="133"/>
      <c r="C60" s="337"/>
      <c r="D60" s="239"/>
      <c r="E60" s="239"/>
      <c r="F60" s="135"/>
      <c r="G60" s="317"/>
      <c r="H60" s="133"/>
      <c r="I60" s="337"/>
      <c r="J60" s="239"/>
      <c r="K60" s="239"/>
      <c r="L60" s="135"/>
    </row>
    <row r="61" spans="2:12" x14ac:dyDescent="0.25">
      <c r="B61" s="317"/>
      <c r="C61" s="338"/>
      <c r="D61" s="339"/>
      <c r="E61" s="339"/>
      <c r="F61" s="317"/>
      <c r="G61" s="317"/>
      <c r="H61" s="317"/>
      <c r="I61" s="338"/>
      <c r="J61" s="339"/>
      <c r="K61" s="339"/>
      <c r="L61" s="317"/>
    </row>
    <row r="62" spans="2:12" x14ac:dyDescent="0.25">
      <c r="B62" s="317"/>
      <c r="C62" s="316"/>
      <c r="D62" s="339"/>
      <c r="E62" s="339"/>
      <c r="F62" s="317"/>
      <c r="G62" s="317"/>
      <c r="H62" s="317"/>
      <c r="I62" s="338"/>
      <c r="J62" s="339"/>
      <c r="K62" s="339"/>
      <c r="L62" s="317"/>
    </row>
    <row r="63" spans="2:12" x14ac:dyDescent="0.25">
      <c r="B63" s="151" t="s">
        <v>397</v>
      </c>
      <c r="C63" s="316"/>
      <c r="D63" s="313"/>
      <c r="E63" s="339"/>
      <c r="F63" s="125"/>
      <c r="G63" s="317"/>
      <c r="H63" s="151" t="s">
        <v>398</v>
      </c>
      <c r="I63" s="316"/>
      <c r="J63" s="313"/>
      <c r="K63" s="313"/>
      <c r="L63" s="125"/>
    </row>
    <row r="64" spans="2:12" x14ac:dyDescent="0.25">
      <c r="B64" s="126"/>
      <c r="C64" s="318"/>
      <c r="D64" s="240"/>
      <c r="E64" s="240"/>
      <c r="F64" s="128"/>
      <c r="G64" s="317"/>
      <c r="H64" s="126"/>
      <c r="I64" s="318"/>
      <c r="J64" s="240"/>
      <c r="K64" s="240"/>
      <c r="L64" s="128"/>
    </row>
    <row r="65" spans="2:12" x14ac:dyDescent="0.25">
      <c r="B65" s="129"/>
      <c r="C65" s="352" t="s">
        <v>385</v>
      </c>
      <c r="D65" s="353" t="s">
        <v>13</v>
      </c>
      <c r="E65" s="353" t="s">
        <v>399</v>
      </c>
      <c r="F65" s="131" t="s">
        <v>4</v>
      </c>
      <c r="G65" s="317"/>
      <c r="H65" s="129"/>
      <c r="I65" s="352" t="s">
        <v>385</v>
      </c>
      <c r="J65" s="353" t="s">
        <v>13</v>
      </c>
      <c r="K65" s="353" t="s">
        <v>399</v>
      </c>
      <c r="L65" s="131" t="s">
        <v>4</v>
      </c>
    </row>
    <row r="66" spans="2:12" x14ac:dyDescent="0.25">
      <c r="B66" s="129"/>
      <c r="C66" s="322">
        <f ca="1">IF(AND(NOW(),isEUROISLoaded),_xll.meCurveDiscountFactorsForwardStartingFromTenor(D66,E66,$D$36,$D$37,$D$38,$D$39),"Load Curve")</f>
        <v>1.0007641873866457</v>
      </c>
      <c r="D66" s="354">
        <v>42419</v>
      </c>
      <c r="E66" s="354" t="s">
        <v>94</v>
      </c>
      <c r="F66" s="131"/>
      <c r="G66" s="317"/>
      <c r="H66" s="129"/>
      <c r="I66" s="322">
        <f t="array" aca="1" ref="I66:I69" ca="1">IF(AND(NOW(),isEUROISLoaded),_xll.meCurveDiscountFactorsForwardStartingFromTenor($J$66:$J$69,$K$66:$K$69,$J$36,$J$37,$J$38,$J$39),"Load Curve")</f>
        <v>1.0007641873866457</v>
      </c>
      <c r="J66" s="354">
        <v>42419</v>
      </c>
      <c r="K66" s="354" t="s">
        <v>94</v>
      </c>
      <c r="L66" s="131"/>
    </row>
    <row r="67" spans="2:12" x14ac:dyDescent="0.25">
      <c r="B67" s="129"/>
      <c r="C67" s="322"/>
      <c r="D67" s="355"/>
      <c r="E67" s="355"/>
      <c r="F67" s="131"/>
      <c r="G67" s="317"/>
      <c r="H67" s="129"/>
      <c r="I67" s="322">
        <f ca="1"/>
        <v>1.0010722785970672</v>
      </c>
      <c r="J67" s="355">
        <f>_xll.meDateFromTenor(J66,"1M")</f>
        <v>42448</v>
      </c>
      <c r="K67" s="355" t="s">
        <v>94</v>
      </c>
      <c r="L67" s="131"/>
    </row>
    <row r="68" spans="2:12" x14ac:dyDescent="0.25">
      <c r="B68" s="129"/>
      <c r="C68" s="322"/>
      <c r="D68" s="355"/>
      <c r="E68" s="355"/>
      <c r="F68" s="131"/>
      <c r="G68" s="317"/>
      <c r="H68" s="129"/>
      <c r="I68" s="322">
        <f ca="1"/>
        <v>1.0013818274962532</v>
      </c>
      <c r="J68" s="355">
        <f>_xll.meDateFromTenor(J67,"1M")</f>
        <v>42479</v>
      </c>
      <c r="K68" s="355" t="s">
        <v>94</v>
      </c>
      <c r="L68" s="131"/>
    </row>
    <row r="69" spans="2:12" x14ac:dyDescent="0.25">
      <c r="B69" s="129"/>
      <c r="C69" s="325"/>
      <c r="D69" s="356"/>
      <c r="E69" s="356"/>
      <c r="F69" s="131"/>
      <c r="G69" s="317"/>
      <c r="H69" s="129"/>
      <c r="I69" s="325">
        <f ca="1"/>
        <v>1.0017322368979504</v>
      </c>
      <c r="J69" s="356">
        <f>_xll.meDateFromTenor(J68,"1M")</f>
        <v>42509</v>
      </c>
      <c r="K69" s="356" t="s">
        <v>94</v>
      </c>
      <c r="L69" s="131"/>
    </row>
    <row r="70" spans="2:12" x14ac:dyDescent="0.25">
      <c r="B70" s="133"/>
      <c r="C70" s="337"/>
      <c r="D70" s="239"/>
      <c r="E70" s="239"/>
      <c r="F70" s="135"/>
      <c r="G70" s="317"/>
      <c r="H70" s="133"/>
      <c r="I70" s="337"/>
      <c r="J70" s="239"/>
      <c r="K70" s="239"/>
      <c r="L70" s="135"/>
    </row>
  </sheetData>
  <dataValidations count="1">
    <dataValidation type="list" allowBlank="1" showInputMessage="1" showErrorMessage="1" sqref="D38 J38">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2:Q88"/>
  <sheetViews>
    <sheetView showGridLines="0" tabSelected="1"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9" width="15.7109375" style="125" customWidth="1"/>
    <col min="10" max="10" width="4.7109375" style="125" customWidth="1"/>
    <col min="11" max="11" width="18" style="125" customWidth="1"/>
    <col min="12" max="16384" width="9.140625" style="125"/>
  </cols>
  <sheetData>
    <row r="2" spans="1:11" ht="23.25" x14ac:dyDescent="0.35">
      <c r="B2" s="242" t="s">
        <v>426</v>
      </c>
      <c r="K2" s="281"/>
    </row>
    <row r="3" spans="1:11" ht="23.25" x14ac:dyDescent="0.35">
      <c r="B3" s="281" t="s">
        <v>445</v>
      </c>
      <c r="F3" s="281"/>
      <c r="K3" s="281"/>
    </row>
    <row r="5" spans="1:11" x14ac:dyDescent="0.25">
      <c r="B5" s="357" t="s">
        <v>429</v>
      </c>
      <c r="E5" s="357" t="s">
        <v>427</v>
      </c>
      <c r="K5" s="435" t="s">
        <v>444</v>
      </c>
    </row>
    <row r="6" spans="1:11" ht="15" customHeight="1" x14ac:dyDescent="0.25">
      <c r="A6" s="257" t="s">
        <v>334</v>
      </c>
      <c r="B6" s="396" t="s">
        <v>214</v>
      </c>
      <c r="C6" s="354">
        <f>_xll.meDateFromTenor(COB,A7,C10,C11)</f>
        <v>42523</v>
      </c>
      <c r="D6" s="358">
        <v>0</v>
      </c>
      <c r="E6" s="399" t="str">
        <f t="array" aca="1" ref="E6:I22" ca="1">_xll.meProductSwapSchedule(_xll.meUtilityLVB(B6:C22))</f>
        <v>Fixing Date</v>
      </c>
      <c r="F6" s="400" t="str">
        <f ca="1"/>
        <v>Accrual Start</v>
      </c>
      <c r="G6" s="400" t="str">
        <f ca="1"/>
        <v>Accrual End</v>
      </c>
      <c r="H6" s="400" t="str">
        <f ca="1"/>
        <v>Accrual Period</v>
      </c>
      <c r="I6" s="401" t="str">
        <f ca="1"/>
        <v>Payment Date</v>
      </c>
      <c r="K6" s="436" t="s">
        <v>386</v>
      </c>
    </row>
    <row r="7" spans="1:11" ht="15" customHeight="1" x14ac:dyDescent="0.25">
      <c r="A7" s="258" t="s">
        <v>176</v>
      </c>
      <c r="B7" s="397" t="s">
        <v>215</v>
      </c>
      <c r="C7" s="369" t="s">
        <v>47</v>
      </c>
      <c r="D7" s="358">
        <v>1</v>
      </c>
      <c r="E7" s="402">
        <f ca="1"/>
        <v>42523</v>
      </c>
      <c r="F7" s="403">
        <f ca="1"/>
        <v>42523</v>
      </c>
      <c r="G7" s="403">
        <f ca="1"/>
        <v>42888</v>
      </c>
      <c r="H7" s="394">
        <f ca="1"/>
        <v>1</v>
      </c>
      <c r="I7" s="404">
        <f ca="1"/>
        <v>42888</v>
      </c>
      <c r="K7" s="437">
        <f ca="1">IF(ISNA($E7),NA(),_xll.meDateYearFraction(F7,G7,$C$8))</f>
        <v>1</v>
      </c>
    </row>
    <row r="8" spans="1:11" x14ac:dyDescent="0.25">
      <c r="B8" s="397" t="s">
        <v>18</v>
      </c>
      <c r="C8" s="359" t="s">
        <v>20</v>
      </c>
      <c r="D8" s="358">
        <v>2</v>
      </c>
      <c r="E8" s="402">
        <f ca="1"/>
        <v>42888</v>
      </c>
      <c r="F8" s="403">
        <f ca="1"/>
        <v>42888</v>
      </c>
      <c r="G8" s="403">
        <f ca="1"/>
        <v>43255</v>
      </c>
      <c r="H8" s="394">
        <f ca="1"/>
        <v>1.00556</v>
      </c>
      <c r="I8" s="404">
        <f ca="1"/>
        <v>43255</v>
      </c>
      <c r="K8" s="437">
        <f ca="1">IF(ISNA($E8),NA(),_xll.meDateYearFraction(F8,G8,$C$8))</f>
        <v>1.0055555555555555</v>
      </c>
    </row>
    <row r="9" spans="1:11" x14ac:dyDescent="0.25">
      <c r="B9" s="397" t="s">
        <v>400</v>
      </c>
      <c r="C9" s="359" t="s">
        <v>26</v>
      </c>
      <c r="D9" s="358">
        <v>3</v>
      </c>
      <c r="E9" s="402" t="e">
        <f ca="1"/>
        <v>#N/A</v>
      </c>
      <c r="F9" s="403" t="e">
        <f ca="1"/>
        <v>#N/A</v>
      </c>
      <c r="G9" s="403" t="e">
        <f ca="1"/>
        <v>#N/A</v>
      </c>
      <c r="H9" s="394" t="e">
        <f ca="1"/>
        <v>#N/A</v>
      </c>
      <c r="I9" s="404" t="e">
        <f ca="1"/>
        <v>#N/A</v>
      </c>
      <c r="K9" s="298" t="e">
        <f ca="1">IF(ISNA($E9),NA(),_xll.meDateYearFraction(F9,G9,$C$8))</f>
        <v>#N/A</v>
      </c>
    </row>
    <row r="10" spans="1:11" x14ac:dyDescent="0.25">
      <c r="B10" s="397" t="s">
        <v>401</v>
      </c>
      <c r="C10" s="360" t="s">
        <v>22</v>
      </c>
      <c r="D10" s="358">
        <v>4</v>
      </c>
      <c r="E10" s="402" t="e">
        <f ca="1"/>
        <v>#N/A</v>
      </c>
      <c r="F10" s="403" t="e">
        <f ca="1"/>
        <v>#N/A</v>
      </c>
      <c r="G10" s="403" t="e">
        <f ca="1"/>
        <v>#N/A</v>
      </c>
      <c r="H10" s="394" t="e">
        <f ca="1"/>
        <v>#N/A</v>
      </c>
      <c r="I10" s="404" t="e">
        <f ca="1"/>
        <v>#N/A</v>
      </c>
      <c r="K10" s="298" t="e">
        <f ca="1">IF(ISNA($E10),NA(),_xll.meDateYearFraction(F10,G10,$C$8))</f>
        <v>#N/A</v>
      </c>
    </row>
    <row r="11" spans="1:11" x14ac:dyDescent="0.25">
      <c r="B11" s="397" t="s">
        <v>402</v>
      </c>
      <c r="C11" s="361" t="s">
        <v>2</v>
      </c>
      <c r="D11" s="358">
        <v>5</v>
      </c>
      <c r="E11" s="402" t="e">
        <f ca="1"/>
        <v>#N/A</v>
      </c>
      <c r="F11" s="403" t="e">
        <f ca="1"/>
        <v>#N/A</v>
      </c>
      <c r="G11" s="403" t="e">
        <f ca="1"/>
        <v>#N/A</v>
      </c>
      <c r="H11" s="394" t="e">
        <f ca="1"/>
        <v>#N/A</v>
      </c>
      <c r="I11" s="404" t="e">
        <f ca="1"/>
        <v>#N/A</v>
      </c>
      <c r="K11" s="298" t="e">
        <f ca="1">IF(ISNA($E11),NA(),_xll.meDateYearFraction(F11,G11,$C$8))</f>
        <v>#N/A</v>
      </c>
    </row>
    <row r="12" spans="1:11" x14ac:dyDescent="0.25">
      <c r="B12" s="397" t="s">
        <v>403</v>
      </c>
      <c r="C12" s="359" t="s">
        <v>26</v>
      </c>
      <c r="D12" s="358">
        <v>6</v>
      </c>
      <c r="E12" s="402" t="e">
        <f ca="1"/>
        <v>#N/A</v>
      </c>
      <c r="F12" s="403" t="e">
        <f ca="1"/>
        <v>#N/A</v>
      </c>
      <c r="G12" s="403" t="e">
        <f ca="1"/>
        <v>#N/A</v>
      </c>
      <c r="H12" s="394" t="e">
        <f ca="1"/>
        <v>#N/A</v>
      </c>
      <c r="I12" s="404" t="e">
        <f ca="1"/>
        <v>#N/A</v>
      </c>
      <c r="K12" s="298" t="e">
        <f ca="1">IF(ISNA($E12),NA(),_xll.meDateYearFraction(F12,G12,$C$8))</f>
        <v>#N/A</v>
      </c>
    </row>
    <row r="13" spans="1:11" x14ac:dyDescent="0.25">
      <c r="B13" s="397" t="s">
        <v>404</v>
      </c>
      <c r="C13" s="360" t="s">
        <v>22</v>
      </c>
      <c r="D13" s="358">
        <v>7</v>
      </c>
      <c r="E13" s="402" t="e">
        <f ca="1"/>
        <v>#N/A</v>
      </c>
      <c r="F13" s="403" t="e">
        <f ca="1"/>
        <v>#N/A</v>
      </c>
      <c r="G13" s="403" t="e">
        <f ca="1"/>
        <v>#N/A</v>
      </c>
      <c r="H13" s="394" t="e">
        <f ca="1"/>
        <v>#N/A</v>
      </c>
      <c r="I13" s="404" t="e">
        <f ca="1"/>
        <v>#N/A</v>
      </c>
      <c r="K13" s="298" t="e">
        <f ca="1">IF(ISNA($E13),NA(),_xll.meDateYearFraction(F13,G13,$C$8))</f>
        <v>#N/A</v>
      </c>
    </row>
    <row r="14" spans="1:11" x14ac:dyDescent="0.25">
      <c r="B14" s="397" t="s">
        <v>405</v>
      </c>
      <c r="C14" s="286" t="s">
        <v>2</v>
      </c>
      <c r="D14" s="358">
        <v>8</v>
      </c>
      <c r="E14" s="402" t="e">
        <f ca="1"/>
        <v>#N/A</v>
      </c>
      <c r="F14" s="403" t="e">
        <f ca="1"/>
        <v>#N/A</v>
      </c>
      <c r="G14" s="403" t="e">
        <f ca="1"/>
        <v>#N/A</v>
      </c>
      <c r="H14" s="394" t="e">
        <f ca="1"/>
        <v>#N/A</v>
      </c>
      <c r="I14" s="404" t="e">
        <f ca="1"/>
        <v>#N/A</v>
      </c>
      <c r="K14" s="298" t="e">
        <f ca="1">IF(ISNA($E14),NA(),_xll.meDateYearFraction(F14,G14,$C$8))</f>
        <v>#N/A</v>
      </c>
    </row>
    <row r="15" spans="1:11" x14ac:dyDescent="0.25">
      <c r="B15" s="397" t="s">
        <v>406</v>
      </c>
      <c r="C15" s="362" t="s">
        <v>172</v>
      </c>
      <c r="D15" s="358">
        <v>9</v>
      </c>
      <c r="E15" s="402" t="e">
        <f ca="1"/>
        <v>#N/A</v>
      </c>
      <c r="F15" s="403" t="e">
        <f ca="1"/>
        <v>#N/A</v>
      </c>
      <c r="G15" s="403" t="e">
        <f ca="1"/>
        <v>#N/A</v>
      </c>
      <c r="H15" s="394" t="e">
        <f ca="1"/>
        <v>#N/A</v>
      </c>
      <c r="I15" s="404" t="e">
        <f ca="1"/>
        <v>#N/A</v>
      </c>
      <c r="K15" s="298" t="e">
        <f ca="1">IF(ISNA($E15),NA(),_xll.meDateYearFraction(F15,G15,$C$8))</f>
        <v>#N/A</v>
      </c>
    </row>
    <row r="16" spans="1:11" x14ac:dyDescent="0.25">
      <c r="B16" s="397" t="s">
        <v>407</v>
      </c>
      <c r="C16" s="363" t="s">
        <v>22</v>
      </c>
      <c r="D16" s="358">
        <v>10</v>
      </c>
      <c r="E16" s="402" t="e">
        <f ca="1"/>
        <v>#N/A</v>
      </c>
      <c r="F16" s="403" t="e">
        <f ca="1"/>
        <v>#N/A</v>
      </c>
      <c r="G16" s="403" t="e">
        <f ca="1"/>
        <v>#N/A</v>
      </c>
      <c r="H16" s="394" t="e">
        <f ca="1"/>
        <v>#N/A</v>
      </c>
      <c r="I16" s="404" t="e">
        <f ca="1"/>
        <v>#N/A</v>
      </c>
      <c r="K16" s="298" t="e">
        <f ca="1">IF(ISNA($E16),NA(),_xll.meDateYearFraction(F16,G16,$C$8))</f>
        <v>#N/A</v>
      </c>
    </row>
    <row r="17" spans="1:11" x14ac:dyDescent="0.25">
      <c r="B17" s="397" t="s">
        <v>408</v>
      </c>
      <c r="C17" s="286" t="s">
        <v>2</v>
      </c>
      <c r="D17" s="358">
        <v>11</v>
      </c>
      <c r="E17" s="402" t="e">
        <f ca="1"/>
        <v>#N/A</v>
      </c>
      <c r="F17" s="403" t="e">
        <f ca="1"/>
        <v>#N/A</v>
      </c>
      <c r="G17" s="403" t="e">
        <f ca="1"/>
        <v>#N/A</v>
      </c>
      <c r="H17" s="394" t="e">
        <f ca="1"/>
        <v>#N/A</v>
      </c>
      <c r="I17" s="404" t="e">
        <f ca="1"/>
        <v>#N/A</v>
      </c>
      <c r="K17" s="298" t="e">
        <f ca="1">IF(ISNA($E17),NA(),_xll.meDateYearFraction(F17,G17,$C$8))</f>
        <v>#N/A</v>
      </c>
    </row>
    <row r="18" spans="1:11" x14ac:dyDescent="0.25">
      <c r="B18" s="397" t="s">
        <v>409</v>
      </c>
      <c r="C18" s="364" t="s">
        <v>172</v>
      </c>
      <c r="D18" s="358">
        <v>12</v>
      </c>
      <c r="E18" s="402" t="e">
        <f ca="1"/>
        <v>#N/A</v>
      </c>
      <c r="F18" s="403" t="e">
        <f ca="1"/>
        <v>#N/A</v>
      </c>
      <c r="G18" s="403" t="e">
        <f ca="1"/>
        <v>#N/A</v>
      </c>
      <c r="H18" s="394" t="e">
        <f ca="1"/>
        <v>#N/A</v>
      </c>
      <c r="I18" s="404" t="e">
        <f ca="1"/>
        <v>#N/A</v>
      </c>
      <c r="K18" s="298" t="e">
        <f ca="1">IF(ISNA($E18),NA(),_xll.meDateYearFraction(F18,G18,$C$8))</f>
        <v>#N/A</v>
      </c>
    </row>
    <row r="19" spans="1:11" x14ac:dyDescent="0.25">
      <c r="B19" s="397" t="s">
        <v>410</v>
      </c>
      <c r="C19" s="365" t="s">
        <v>411</v>
      </c>
      <c r="D19" s="358">
        <v>13</v>
      </c>
      <c r="E19" s="402" t="e">
        <f ca="1"/>
        <v>#N/A</v>
      </c>
      <c r="F19" s="403" t="e">
        <f ca="1"/>
        <v>#N/A</v>
      </c>
      <c r="G19" s="403" t="e">
        <f ca="1"/>
        <v>#N/A</v>
      </c>
      <c r="H19" s="394" t="e">
        <f ca="1"/>
        <v>#N/A</v>
      </c>
      <c r="I19" s="404" t="e">
        <f ca="1"/>
        <v>#N/A</v>
      </c>
      <c r="K19" s="298" t="e">
        <f ca="1">IF(ISNA($E19),NA(),_xll.meDateYearFraction(F19,G19,$C$8))</f>
        <v>#N/A</v>
      </c>
    </row>
    <row r="20" spans="1:11" x14ac:dyDescent="0.25">
      <c r="B20" s="397" t="s">
        <v>412</v>
      </c>
      <c r="C20" s="366"/>
      <c r="D20" s="358">
        <v>14</v>
      </c>
      <c r="E20" s="402" t="e">
        <f ca="1"/>
        <v>#N/A</v>
      </c>
      <c r="F20" s="403" t="e">
        <f ca="1"/>
        <v>#N/A</v>
      </c>
      <c r="G20" s="403" t="e">
        <f ca="1"/>
        <v>#N/A</v>
      </c>
      <c r="H20" s="394" t="e">
        <f ca="1"/>
        <v>#N/A</v>
      </c>
      <c r="I20" s="404" t="e">
        <f ca="1"/>
        <v>#N/A</v>
      </c>
      <c r="K20" s="298" t="e">
        <f ca="1">IF(ISNA($E20),NA(),_xll.meDateYearFraction(F20,G20,$C$8))</f>
        <v>#N/A</v>
      </c>
    </row>
    <row r="21" spans="1:11" x14ac:dyDescent="0.25">
      <c r="B21" s="397" t="s">
        <v>413</v>
      </c>
      <c r="C21" s="366"/>
      <c r="D21" s="358">
        <v>15</v>
      </c>
      <c r="E21" s="402" t="e">
        <f ca="1"/>
        <v>#N/A</v>
      </c>
      <c r="F21" s="403" t="e">
        <f ca="1"/>
        <v>#N/A</v>
      </c>
      <c r="G21" s="403" t="e">
        <f ca="1"/>
        <v>#N/A</v>
      </c>
      <c r="H21" s="394" t="e">
        <f ca="1"/>
        <v>#N/A</v>
      </c>
      <c r="I21" s="404" t="e">
        <f ca="1"/>
        <v>#N/A</v>
      </c>
      <c r="K21" s="298" t="e">
        <f ca="1">IF(ISNA($E21),NA(),_xll.meDateYearFraction(F21,G21,$C$8))</f>
        <v>#N/A</v>
      </c>
    </row>
    <row r="22" spans="1:11" x14ac:dyDescent="0.25">
      <c r="B22" s="398" t="s">
        <v>414</v>
      </c>
      <c r="C22" s="367"/>
      <c r="D22" s="358">
        <v>18</v>
      </c>
      <c r="E22" s="405" t="e">
        <f ca="1"/>
        <v>#N/A</v>
      </c>
      <c r="F22" s="406" t="e">
        <f ca="1"/>
        <v>#N/A</v>
      </c>
      <c r="G22" s="406" t="e">
        <f ca="1"/>
        <v>#N/A</v>
      </c>
      <c r="H22" s="395" t="e">
        <f ca="1"/>
        <v>#N/A</v>
      </c>
      <c r="I22" s="407" t="e">
        <f ca="1"/>
        <v>#N/A</v>
      </c>
      <c r="K22" s="438" t="e">
        <f ca="1">IF(ISNA($E22),NA(),_xll.meDateYearFraction(F22,G22,$C$8))</f>
        <v>#N/A</v>
      </c>
    </row>
    <row r="24" spans="1:11" x14ac:dyDescent="0.25">
      <c r="B24" s="357" t="s">
        <v>428</v>
      </c>
      <c r="E24" s="357" t="s">
        <v>415</v>
      </c>
      <c r="K24" s="435" t="s">
        <v>444</v>
      </c>
    </row>
    <row r="25" spans="1:11" x14ac:dyDescent="0.25">
      <c r="A25" s="257" t="s">
        <v>334</v>
      </c>
      <c r="B25" s="396" t="s">
        <v>214</v>
      </c>
      <c r="C25" s="354">
        <f>C6</f>
        <v>42523</v>
      </c>
      <c r="D25" s="358">
        <v>0</v>
      </c>
      <c r="E25" s="399" t="str">
        <f t="array" aca="1" ref="E25:I41" ca="1">_xll.meProductSwapSchedule(_xll.meUtilityLVB(B25:C41))</f>
        <v>Fixing Date</v>
      </c>
      <c r="F25" s="400" t="str">
        <f ca="1"/>
        <v>Accrual Start</v>
      </c>
      <c r="G25" s="400" t="str">
        <f ca="1"/>
        <v>Accrual End</v>
      </c>
      <c r="H25" s="400" t="str">
        <f ca="1"/>
        <v>Accrual Period</v>
      </c>
      <c r="I25" s="401" t="str">
        <f ca="1"/>
        <v>Payment Date</v>
      </c>
      <c r="K25" s="436" t="s">
        <v>386</v>
      </c>
    </row>
    <row r="26" spans="1:11" x14ac:dyDescent="0.25">
      <c r="A26" s="258" t="s">
        <v>176</v>
      </c>
      <c r="B26" s="397" t="s">
        <v>215</v>
      </c>
      <c r="C26" s="369" t="str">
        <f>C7</f>
        <v>2Y</v>
      </c>
      <c r="D26" s="358">
        <v>1</v>
      </c>
      <c r="E26" s="402">
        <f ca="1"/>
        <v>42523</v>
      </c>
      <c r="F26" s="403">
        <f ca="1"/>
        <v>42523</v>
      </c>
      <c r="G26" s="403">
        <f ca="1"/>
        <v>42615</v>
      </c>
      <c r="H26" s="394">
        <f ca="1"/>
        <v>0.25555600000000001</v>
      </c>
      <c r="I26" s="404">
        <f ca="1"/>
        <v>42615</v>
      </c>
      <c r="K26" s="437">
        <f ca="1">IF(ISNA($E26),NA(),_xll.meDateYearFraction(F26,G26,$C$27))</f>
        <v>0.25555555555555554</v>
      </c>
    </row>
    <row r="27" spans="1:11" x14ac:dyDescent="0.25">
      <c r="B27" s="397" t="s">
        <v>18</v>
      </c>
      <c r="C27" s="359" t="s">
        <v>6</v>
      </c>
      <c r="D27" s="358">
        <v>2</v>
      </c>
      <c r="E27" s="402">
        <f ca="1"/>
        <v>42615</v>
      </c>
      <c r="F27" s="403">
        <f ca="1"/>
        <v>42615</v>
      </c>
      <c r="G27" s="403">
        <f ca="1"/>
        <v>42706</v>
      </c>
      <c r="H27" s="394">
        <f ca="1"/>
        <v>0.252778</v>
      </c>
      <c r="I27" s="404">
        <f ca="1"/>
        <v>42706</v>
      </c>
      <c r="K27" s="437">
        <f ca="1">IF(ISNA($E27),NA(),_xll.meDateYearFraction(F27,G27,$C$27))</f>
        <v>0.25277777777777777</v>
      </c>
    </row>
    <row r="28" spans="1:11" x14ac:dyDescent="0.25">
      <c r="B28" s="397" t="s">
        <v>400</v>
      </c>
      <c r="C28" s="425" t="s">
        <v>28</v>
      </c>
      <c r="D28" s="358">
        <v>3</v>
      </c>
      <c r="E28" s="402">
        <f ca="1"/>
        <v>42706</v>
      </c>
      <c r="F28" s="403">
        <f ca="1"/>
        <v>42706</v>
      </c>
      <c r="G28" s="403">
        <f ca="1"/>
        <v>42796</v>
      </c>
      <c r="H28" s="394">
        <f ca="1"/>
        <v>0.25</v>
      </c>
      <c r="I28" s="404">
        <f ca="1"/>
        <v>42796</v>
      </c>
      <c r="K28" s="437">
        <f ca="1">IF(ISNA($E28),NA(),_xll.meDateYearFraction(F28,G28,$C$27))</f>
        <v>0.25</v>
      </c>
    </row>
    <row r="29" spans="1:11" x14ac:dyDescent="0.25">
      <c r="B29" s="397" t="s">
        <v>401</v>
      </c>
      <c r="C29" s="426" t="s">
        <v>22</v>
      </c>
      <c r="D29" s="358">
        <v>4</v>
      </c>
      <c r="E29" s="402">
        <f ca="1"/>
        <v>42796</v>
      </c>
      <c r="F29" s="403">
        <f ca="1"/>
        <v>42796</v>
      </c>
      <c r="G29" s="403">
        <f ca="1"/>
        <v>42888</v>
      </c>
      <c r="H29" s="394">
        <f ca="1"/>
        <v>0.25555600000000001</v>
      </c>
      <c r="I29" s="404">
        <f ca="1"/>
        <v>42888</v>
      </c>
      <c r="K29" s="437">
        <f ca="1">IF(ISNA($E29),NA(),_xll.meDateYearFraction(F29,G29,$C$27))</f>
        <v>0.25555555555555554</v>
      </c>
    </row>
    <row r="30" spans="1:11" x14ac:dyDescent="0.25">
      <c r="B30" s="397" t="s">
        <v>402</v>
      </c>
      <c r="C30" s="427" t="s">
        <v>2</v>
      </c>
      <c r="D30" s="358">
        <v>5</v>
      </c>
      <c r="E30" s="402">
        <f ca="1"/>
        <v>42888</v>
      </c>
      <c r="F30" s="403">
        <f ca="1"/>
        <v>42888</v>
      </c>
      <c r="G30" s="403">
        <f ca="1"/>
        <v>42982</v>
      </c>
      <c r="H30" s="394">
        <f ca="1"/>
        <v>0.26111099999999998</v>
      </c>
      <c r="I30" s="404">
        <f ca="1"/>
        <v>42982</v>
      </c>
      <c r="K30" s="437">
        <f ca="1">IF(ISNA($E30),NA(),_xll.meDateYearFraction(F30,G30,$C$27))</f>
        <v>0.26111111111111113</v>
      </c>
    </row>
    <row r="31" spans="1:11" x14ac:dyDescent="0.25">
      <c r="B31" s="397" t="s">
        <v>403</v>
      </c>
      <c r="C31" s="425" t="s">
        <v>28</v>
      </c>
      <c r="D31" s="358">
        <v>6</v>
      </c>
      <c r="E31" s="402">
        <f ca="1"/>
        <v>42982</v>
      </c>
      <c r="F31" s="403">
        <f ca="1"/>
        <v>42982</v>
      </c>
      <c r="G31" s="403">
        <f ca="1"/>
        <v>43073</v>
      </c>
      <c r="H31" s="394">
        <f ca="1"/>
        <v>0.252778</v>
      </c>
      <c r="I31" s="404">
        <f ca="1"/>
        <v>43073</v>
      </c>
      <c r="K31" s="437">
        <f ca="1">IF(ISNA($E31),NA(),_xll.meDateYearFraction(F31,G31,$C$27))</f>
        <v>0.25277777777777777</v>
      </c>
    </row>
    <row r="32" spans="1:11" x14ac:dyDescent="0.25">
      <c r="B32" s="397" t="s">
        <v>404</v>
      </c>
      <c r="C32" s="426" t="s">
        <v>22</v>
      </c>
      <c r="D32" s="358">
        <v>7</v>
      </c>
      <c r="E32" s="402">
        <f ca="1"/>
        <v>43073</v>
      </c>
      <c r="F32" s="403">
        <f ca="1"/>
        <v>43073</v>
      </c>
      <c r="G32" s="403">
        <f ca="1"/>
        <v>43161</v>
      </c>
      <c r="H32" s="394">
        <f ca="1"/>
        <v>0.24444399999999999</v>
      </c>
      <c r="I32" s="404">
        <f ca="1"/>
        <v>43161</v>
      </c>
      <c r="K32" s="437">
        <f ca="1">IF(ISNA($E32),NA(),_xll.meDateYearFraction(F32,G32,$C$27))</f>
        <v>0.24444444444444444</v>
      </c>
    </row>
    <row r="33" spans="2:11" x14ac:dyDescent="0.25">
      <c r="B33" s="397" t="s">
        <v>405</v>
      </c>
      <c r="C33" s="426" t="s">
        <v>2</v>
      </c>
      <c r="D33" s="358">
        <v>8</v>
      </c>
      <c r="E33" s="402">
        <f ca="1"/>
        <v>43161</v>
      </c>
      <c r="F33" s="403">
        <f ca="1"/>
        <v>43161</v>
      </c>
      <c r="G33" s="403">
        <f ca="1"/>
        <v>43255</v>
      </c>
      <c r="H33" s="394">
        <f ca="1"/>
        <v>0.26111099999999998</v>
      </c>
      <c r="I33" s="404">
        <f ca="1"/>
        <v>43255</v>
      </c>
      <c r="K33" s="437">
        <f ca="1">IF(ISNA($E33),NA(),_xll.meDateYearFraction(F33,G33,$C$27))</f>
        <v>0.26111111111111113</v>
      </c>
    </row>
    <row r="34" spans="2:11" x14ac:dyDescent="0.25">
      <c r="B34" s="397" t="s">
        <v>406</v>
      </c>
      <c r="C34" s="428" t="s">
        <v>172</v>
      </c>
      <c r="D34" s="358">
        <v>9</v>
      </c>
      <c r="E34" s="402" t="e">
        <f ca="1"/>
        <v>#N/A</v>
      </c>
      <c r="F34" s="403" t="e">
        <f ca="1"/>
        <v>#N/A</v>
      </c>
      <c r="G34" s="403" t="e">
        <f ca="1"/>
        <v>#N/A</v>
      </c>
      <c r="H34" s="394" t="e">
        <f ca="1"/>
        <v>#N/A</v>
      </c>
      <c r="I34" s="404" t="e">
        <f ca="1"/>
        <v>#N/A</v>
      </c>
      <c r="K34" s="437" t="e">
        <f ca="1">IF(ISNA($E34),NA(),_xll.meDateYearFraction(F34,G34,$C$27))</f>
        <v>#N/A</v>
      </c>
    </row>
    <row r="35" spans="2:11" x14ac:dyDescent="0.25">
      <c r="B35" s="397" t="s">
        <v>407</v>
      </c>
      <c r="C35" s="429" t="s">
        <v>22</v>
      </c>
      <c r="D35" s="358">
        <v>10</v>
      </c>
      <c r="E35" s="402" t="e">
        <f ca="1"/>
        <v>#N/A</v>
      </c>
      <c r="F35" s="403" t="e">
        <f ca="1"/>
        <v>#N/A</v>
      </c>
      <c r="G35" s="403" t="e">
        <f ca="1"/>
        <v>#N/A</v>
      </c>
      <c r="H35" s="394" t="e">
        <f ca="1"/>
        <v>#N/A</v>
      </c>
      <c r="I35" s="404" t="e">
        <f ca="1"/>
        <v>#N/A</v>
      </c>
      <c r="K35" s="437" t="e">
        <f ca="1">IF(ISNA($E35),NA(),_xll.meDateYearFraction(F35,G35,$C$27))</f>
        <v>#N/A</v>
      </c>
    </row>
    <row r="36" spans="2:11" x14ac:dyDescent="0.25">
      <c r="B36" s="397" t="s">
        <v>408</v>
      </c>
      <c r="C36" s="426" t="s">
        <v>2</v>
      </c>
      <c r="D36" s="358">
        <v>11</v>
      </c>
      <c r="E36" s="402" t="e">
        <f ca="1"/>
        <v>#N/A</v>
      </c>
      <c r="F36" s="403" t="e">
        <f ca="1"/>
        <v>#N/A</v>
      </c>
      <c r="G36" s="403" t="e">
        <f ca="1"/>
        <v>#N/A</v>
      </c>
      <c r="H36" s="394" t="e">
        <f ca="1"/>
        <v>#N/A</v>
      </c>
      <c r="I36" s="404" t="e">
        <f ca="1"/>
        <v>#N/A</v>
      </c>
      <c r="K36" s="437" t="e">
        <f ca="1">IF(ISNA($E36),NA(),_xll.meDateYearFraction(F36,G36,$C$27))</f>
        <v>#N/A</v>
      </c>
    </row>
    <row r="37" spans="2:11" x14ac:dyDescent="0.25">
      <c r="B37" s="397" t="s">
        <v>409</v>
      </c>
      <c r="C37" s="430" t="s">
        <v>172</v>
      </c>
      <c r="D37" s="358">
        <v>12</v>
      </c>
      <c r="E37" s="402" t="e">
        <f ca="1"/>
        <v>#N/A</v>
      </c>
      <c r="F37" s="403" t="e">
        <f ca="1"/>
        <v>#N/A</v>
      </c>
      <c r="G37" s="403" t="e">
        <f ca="1"/>
        <v>#N/A</v>
      </c>
      <c r="H37" s="394" t="e">
        <f ca="1"/>
        <v>#N/A</v>
      </c>
      <c r="I37" s="404" t="e">
        <f ca="1"/>
        <v>#N/A</v>
      </c>
      <c r="K37" s="437" t="e">
        <f ca="1">IF(ISNA($E37),NA(),_xll.meDateYearFraction(F37,G37,$C$27))</f>
        <v>#N/A</v>
      </c>
    </row>
    <row r="38" spans="2:11" x14ac:dyDescent="0.25">
      <c r="B38" s="397" t="s">
        <v>410</v>
      </c>
      <c r="C38" s="427" t="s">
        <v>411</v>
      </c>
      <c r="D38" s="358">
        <v>13</v>
      </c>
      <c r="E38" s="402" t="e">
        <f ca="1"/>
        <v>#N/A</v>
      </c>
      <c r="F38" s="403" t="e">
        <f ca="1"/>
        <v>#N/A</v>
      </c>
      <c r="G38" s="403" t="e">
        <f ca="1"/>
        <v>#N/A</v>
      </c>
      <c r="H38" s="394" t="e">
        <f ca="1"/>
        <v>#N/A</v>
      </c>
      <c r="I38" s="404" t="e">
        <f ca="1"/>
        <v>#N/A</v>
      </c>
      <c r="K38" s="437" t="e">
        <f ca="1">IF(ISNA($E38),NA(),_xll.meDateYearFraction(F38,G38,$C$27))</f>
        <v>#N/A</v>
      </c>
    </row>
    <row r="39" spans="2:11" x14ac:dyDescent="0.25">
      <c r="B39" s="397" t="s">
        <v>412</v>
      </c>
      <c r="C39" s="366"/>
      <c r="D39" s="358">
        <v>14</v>
      </c>
      <c r="E39" s="402" t="e">
        <f ca="1"/>
        <v>#N/A</v>
      </c>
      <c r="F39" s="403" t="e">
        <f ca="1"/>
        <v>#N/A</v>
      </c>
      <c r="G39" s="403" t="e">
        <f ca="1"/>
        <v>#N/A</v>
      </c>
      <c r="H39" s="394" t="e">
        <f ca="1"/>
        <v>#N/A</v>
      </c>
      <c r="I39" s="404" t="e">
        <f ca="1"/>
        <v>#N/A</v>
      </c>
      <c r="K39" s="437" t="e">
        <f ca="1">IF(ISNA($E39),NA(),_xll.meDateYearFraction(F39,G39,$C$27))</f>
        <v>#N/A</v>
      </c>
    </row>
    <row r="40" spans="2:11" x14ac:dyDescent="0.25">
      <c r="B40" s="397" t="s">
        <v>413</v>
      </c>
      <c r="C40" s="366"/>
      <c r="D40" s="358">
        <v>15</v>
      </c>
      <c r="E40" s="402" t="e">
        <f ca="1"/>
        <v>#N/A</v>
      </c>
      <c r="F40" s="403" t="e">
        <f ca="1"/>
        <v>#N/A</v>
      </c>
      <c r="G40" s="403" t="e">
        <f ca="1"/>
        <v>#N/A</v>
      </c>
      <c r="H40" s="394" t="e">
        <f ca="1"/>
        <v>#N/A</v>
      </c>
      <c r="I40" s="404" t="e">
        <f ca="1"/>
        <v>#N/A</v>
      </c>
      <c r="K40" s="437" t="e">
        <f ca="1">IF(ISNA($E40),NA(),_xll.meDateYearFraction(F40,G40,$C$27))</f>
        <v>#N/A</v>
      </c>
    </row>
    <row r="41" spans="2:11" x14ac:dyDescent="0.25">
      <c r="B41" s="398" t="s">
        <v>414</v>
      </c>
      <c r="C41" s="367"/>
      <c r="D41" s="358">
        <v>18</v>
      </c>
      <c r="E41" s="405" t="e">
        <f ca="1"/>
        <v>#N/A</v>
      </c>
      <c r="F41" s="406" t="e">
        <f ca="1"/>
        <v>#N/A</v>
      </c>
      <c r="G41" s="406" t="e">
        <f ca="1"/>
        <v>#N/A</v>
      </c>
      <c r="H41" s="395" t="e">
        <f ca="1"/>
        <v>#N/A</v>
      </c>
      <c r="I41" s="407" t="e">
        <f ca="1"/>
        <v>#N/A</v>
      </c>
      <c r="K41" s="439" t="e">
        <f ca="1">IF(ISNA($E41),NA(),_xll.meDateYearFraction(F41,G41,$C$27))</f>
        <v>#N/A</v>
      </c>
    </row>
    <row r="42" spans="2:11" x14ac:dyDescent="0.25">
      <c r="E42" s="368"/>
    </row>
    <row r="43" spans="2:11" x14ac:dyDescent="0.25">
      <c r="E43" s="112"/>
      <c r="G43" s="421"/>
    </row>
    <row r="44" spans="2:11" x14ac:dyDescent="0.25">
      <c r="E44" s="420"/>
      <c r="G44" s="102"/>
    </row>
    <row r="45" spans="2:11" x14ac:dyDescent="0.25">
      <c r="E45" s="420"/>
      <c r="G45" s="423"/>
    </row>
    <row r="46" spans="2:11" x14ac:dyDescent="0.25">
      <c r="E46" s="419"/>
    </row>
    <row r="47" spans="2:11" x14ac:dyDescent="0.25">
      <c r="G47" s="421"/>
      <c r="H47" s="421"/>
    </row>
    <row r="48" spans="2:11"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55" spans="7:8" x14ac:dyDescent="0.25">
      <c r="G55" s="422"/>
      <c r="H55" s="421"/>
    </row>
    <row r="84" spans="12:17" ht="15" customHeight="1" x14ac:dyDescent="0.25">
      <c r="L84" s="450"/>
      <c r="N84" s="450" t="s">
        <v>176</v>
      </c>
      <c r="O84" s="450"/>
      <c r="P84" s="450"/>
    </row>
    <row r="85" spans="12:17" ht="15" customHeight="1" x14ac:dyDescent="0.25">
      <c r="L85" s="450"/>
      <c r="N85" s="450"/>
      <c r="O85" s="450"/>
      <c r="P85" s="450"/>
    </row>
    <row r="86" spans="12:17" ht="21.75" thickBot="1" x14ac:dyDescent="0.3">
      <c r="L86" s="411"/>
      <c r="M86" s="414"/>
      <c r="N86" s="415"/>
      <c r="O86" s="415"/>
      <c r="P86" s="415"/>
      <c r="Q86" s="412"/>
    </row>
    <row r="87" spans="12:17" ht="15.75" thickTop="1" x14ac:dyDescent="0.25">
      <c r="N87" s="413"/>
      <c r="O87" s="123"/>
      <c r="P87" s="123"/>
      <c r="Q87" s="413"/>
    </row>
    <row r="88" spans="12:17" ht="18.75" x14ac:dyDescent="0.25">
      <c r="L88" s="449" t="s">
        <v>434</v>
      </c>
      <c r="M88" s="449"/>
      <c r="N88" s="449"/>
      <c r="O88" s="449"/>
      <c r="P88" s="449" t="s">
        <v>436</v>
      </c>
      <c r="Q88" s="449"/>
    </row>
  </sheetData>
  <mergeCells count="4">
    <mergeCell ref="L88:O88"/>
    <mergeCell ref="P88:Q88"/>
    <mergeCell ref="L84:L85"/>
    <mergeCell ref="N84:P85"/>
  </mergeCells>
  <dataValidations count="5">
    <dataValidation type="list" allowBlank="1" showInputMessage="1" showErrorMessage="1" sqref="C27 C8">
      <formula1>"ACT/365,ACT/365_ISDA,ACT/360,30/360,30E/360,ACT/365FJ"</formula1>
    </dataValidation>
    <dataValidation type="list" allowBlank="1" showInputMessage="1" showErrorMessage="1" sqref="C38 C19">
      <formula1>"ADVANCE,ARREARS"</formula1>
    </dataValidation>
    <dataValidation type="list" allowBlank="1" showInputMessage="1" showErrorMessage="1" sqref="C29 C35 C32 C10 C16 C13">
      <formula1>"FOLLOWING,MOD_FOLLOWING,PRECEDING,MOD_PRECEDING,NO_CHANGE"</formula1>
    </dataValidation>
    <dataValidation type="list" allowBlank="1" showInputMessage="1" showErrorMessage="1" sqref="C31 C28 C12 C9">
      <formula1>"Annual,Semi-Annual,Quarterly,Monthly,Weekly"</formula1>
    </dataValidation>
    <dataValidation type="list" allowBlank="1" showInputMessage="1" showErrorMessage="1" sqref="C41 C22">
      <formula1>"TRUE,FALSE"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39997558519241921"/>
  </sheetPr>
  <dimension ref="A1:AI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9" width="15.7109375" style="125" customWidth="1"/>
    <col min="10" max="10" width="4.7109375" style="125" customWidth="1"/>
    <col min="11" max="11" width="18" style="125" customWidth="1"/>
    <col min="12" max="12" width="4.7109375" style="125" customWidth="1"/>
    <col min="13" max="13" width="15.28515625" style="125" customWidth="1"/>
    <col min="14" max="15" width="12.7109375" style="125" customWidth="1"/>
    <col min="16" max="16" width="13.140625" style="125" customWidth="1"/>
    <col min="17" max="17" width="12.7109375" style="125" customWidth="1"/>
    <col min="18" max="18" width="13.42578125" style="125" customWidth="1"/>
    <col min="19" max="19" width="4.7109375" style="125" customWidth="1"/>
    <col min="20" max="20" width="38.5703125" style="125" customWidth="1"/>
    <col min="21" max="21" width="20.7109375" style="125" customWidth="1"/>
    <col min="22" max="22" width="9.28515625" style="125" customWidth="1"/>
    <col min="23" max="16384" width="9.140625" style="125"/>
  </cols>
  <sheetData>
    <row r="1" spans="1:21" x14ac:dyDescent="0.25">
      <c r="M1" s="280"/>
    </row>
    <row r="2" spans="1:21" ht="23.25" x14ac:dyDescent="0.35">
      <c r="B2" s="242" t="s">
        <v>426</v>
      </c>
      <c r="F2" s="281" t="s">
        <v>445</v>
      </c>
      <c r="K2" s="281"/>
      <c r="M2" s="378"/>
      <c r="N2" s="115"/>
      <c r="O2" s="370"/>
    </row>
    <row r="4" spans="1:21" x14ac:dyDescent="0.25">
      <c r="B4" s="357" t="s">
        <v>429</v>
      </c>
      <c r="E4" s="357" t="s">
        <v>427</v>
      </c>
      <c r="K4" s="435" t="s">
        <v>444</v>
      </c>
      <c r="M4" s="357" t="s">
        <v>430</v>
      </c>
      <c r="T4" s="357" t="s">
        <v>432</v>
      </c>
    </row>
    <row r="5" spans="1:21" ht="15" customHeight="1" x14ac:dyDescent="0.25">
      <c r="A5" s="257" t="s">
        <v>334</v>
      </c>
      <c r="B5" s="396" t="s">
        <v>214</v>
      </c>
      <c r="C5" s="354">
        <f>_xll.meDateFromTenor(COB,A6,C9,C10)</f>
        <v>42523</v>
      </c>
      <c r="D5" s="358">
        <v>0</v>
      </c>
      <c r="E5" s="399" t="str">
        <f t="array" aca="1" ref="E5:I21" ca="1">_xll.meProductSwapSchedule(_xll.meUtilityLVB(B5:C21))</f>
        <v>Fixing Date</v>
      </c>
      <c r="F5" s="400" t="str">
        <f ca="1"/>
        <v>Accrual Start</v>
      </c>
      <c r="G5" s="400" t="str">
        <f ca="1"/>
        <v>Accrual End</v>
      </c>
      <c r="H5" s="400" t="str">
        <f ca="1"/>
        <v>Accrual Period</v>
      </c>
      <c r="I5" s="401" t="str">
        <f ca="1"/>
        <v>Payment Date</v>
      </c>
      <c r="K5" s="436" t="s">
        <v>386</v>
      </c>
      <c r="M5" s="379" t="s">
        <v>171</v>
      </c>
      <c r="N5" s="380" t="s">
        <v>216</v>
      </c>
      <c r="O5" s="381" t="s">
        <v>417</v>
      </c>
      <c r="P5" s="381" t="s">
        <v>416</v>
      </c>
      <c r="Q5" s="382" t="s">
        <v>418</v>
      </c>
      <c r="R5" s="408" t="s">
        <v>359</v>
      </c>
      <c r="T5" s="309" t="s">
        <v>171</v>
      </c>
      <c r="U5" s="310">
        <v>1000000</v>
      </c>
    </row>
    <row r="6" spans="1:21" ht="15" customHeight="1" x14ac:dyDescent="0.25">
      <c r="A6" s="258" t="s">
        <v>176</v>
      </c>
      <c r="B6" s="397" t="s">
        <v>215</v>
      </c>
      <c r="C6" s="369" t="s">
        <v>47</v>
      </c>
      <c r="D6" s="358">
        <v>1</v>
      </c>
      <c r="E6" s="402">
        <f ca="1"/>
        <v>42523</v>
      </c>
      <c r="F6" s="403">
        <f ca="1"/>
        <v>42523</v>
      </c>
      <c r="G6" s="403">
        <f ca="1"/>
        <v>42888</v>
      </c>
      <c r="H6" s="394">
        <f ca="1"/>
        <v>1</v>
      </c>
      <c r="I6" s="404">
        <f ca="1"/>
        <v>42888</v>
      </c>
      <c r="K6" s="437">
        <f ca="1">IF(ISNA($E6),NA(),_xll.meDateYearFraction(F6,G6,$C$7))</f>
        <v>1</v>
      </c>
      <c r="M6" s="383">
        <f t="shared" ref="M6:M21" ca="1" si="0">IF(ISNA(E6),NA(),$U$5)</f>
        <v>1000000</v>
      </c>
      <c r="N6" s="384">
        <f t="shared" ref="N6:N21" ca="1" si="1">IF(ISNA(E6),NA(),$U$23)</f>
        <v>0.01</v>
      </c>
      <c r="O6" s="385">
        <f t="shared" ref="O6:O21" ca="1" si="2">IF(ISNA(E6),NA(),M6*N6*H6)</f>
        <v>10000</v>
      </c>
      <c r="P6" s="386">
        <f ca="1">IF(ISNA(E6),NA(),_xll.meCurveDiscountFactorsForwardStarting(COB,$I6,$U$9,$U$11))</f>
        <v>1.003907355861789</v>
      </c>
      <c r="Q6" s="385">
        <f t="shared" ref="Q6:Q21" ca="1" si="3">IF(ISNA(E6),NA(),O6*P6)</f>
        <v>10039.073558617891</v>
      </c>
      <c r="R6" s="409" t="s">
        <v>359</v>
      </c>
      <c r="T6" s="245" t="s">
        <v>213</v>
      </c>
      <c r="U6" s="243" t="s">
        <v>209</v>
      </c>
    </row>
    <row r="7" spans="1:21" x14ac:dyDescent="0.25">
      <c r="B7" s="397" t="s">
        <v>18</v>
      </c>
      <c r="C7" s="359" t="s">
        <v>20</v>
      </c>
      <c r="D7" s="358">
        <v>2</v>
      </c>
      <c r="E7" s="402">
        <f ca="1"/>
        <v>42888</v>
      </c>
      <c r="F7" s="403">
        <f ca="1"/>
        <v>42888</v>
      </c>
      <c r="G7" s="403">
        <f ca="1"/>
        <v>43255</v>
      </c>
      <c r="H7" s="394">
        <f ca="1"/>
        <v>1.00556</v>
      </c>
      <c r="I7" s="404">
        <f ca="1"/>
        <v>43255</v>
      </c>
      <c r="K7" s="437">
        <f ca="1">IF(ISNA($E7),NA(),_xll.meDateYearFraction(F7,G7,$C$7))</f>
        <v>1.0055555555555555</v>
      </c>
      <c r="M7" s="383">
        <f t="shared" ca="1" si="0"/>
        <v>1000000</v>
      </c>
      <c r="N7" s="384">
        <f t="shared" ca="1" si="1"/>
        <v>0.01</v>
      </c>
      <c r="O7" s="385">
        <f t="shared" ca="1" si="2"/>
        <v>10055.6</v>
      </c>
      <c r="P7" s="386">
        <f ca="1">IF(ISNA(E7),NA(),_xll.meCurveDiscountFactorsForwardStarting(COB,$I7,$U$9,$U$11))</f>
        <v>1.0082223323895707</v>
      </c>
      <c r="Q7" s="385">
        <f t="shared" ca="1" si="3"/>
        <v>10138.280485576568</v>
      </c>
      <c r="R7" s="409" t="s">
        <v>359</v>
      </c>
      <c r="T7" s="245" t="s">
        <v>214</v>
      </c>
      <c r="U7" s="307">
        <v>42523</v>
      </c>
    </row>
    <row r="8" spans="1:21" x14ac:dyDescent="0.25">
      <c r="B8" s="397" t="s">
        <v>400</v>
      </c>
      <c r="C8" s="359" t="s">
        <v>26</v>
      </c>
      <c r="D8" s="358">
        <v>3</v>
      </c>
      <c r="E8" s="402" t="e">
        <f ca="1"/>
        <v>#N/A</v>
      </c>
      <c r="F8" s="403" t="e">
        <f ca="1"/>
        <v>#N/A</v>
      </c>
      <c r="G8" s="403" t="e">
        <f ca="1"/>
        <v>#N/A</v>
      </c>
      <c r="H8" s="394" t="e">
        <f ca="1"/>
        <v>#N/A</v>
      </c>
      <c r="I8" s="404" t="e">
        <f ca="1"/>
        <v>#N/A</v>
      </c>
      <c r="K8" s="298" t="e">
        <f ca="1">IF(ISNA($E8),NA(),_xll.meDateYearFraction(F8,G8,$C$7))</f>
        <v>#N/A</v>
      </c>
      <c r="M8" s="383" t="e">
        <f t="shared" ca="1" si="0"/>
        <v>#N/A</v>
      </c>
      <c r="N8" s="384" t="e">
        <f t="shared" ca="1" si="1"/>
        <v>#N/A</v>
      </c>
      <c r="O8" s="385" t="e">
        <f t="shared" ca="1" si="2"/>
        <v>#N/A</v>
      </c>
      <c r="P8" s="386" t="e">
        <f ca="1">IF(ISNA(E8),NA(),_xll.meCurveDiscountFactorsForwardStarting(COB,$I8,$U$9,$U$11))</f>
        <v>#N/A</v>
      </c>
      <c r="Q8" s="385" t="e">
        <f t="shared" ca="1" si="3"/>
        <v>#N/A</v>
      </c>
      <c r="R8" s="409" t="s">
        <v>359</v>
      </c>
      <c r="T8" s="245" t="s">
        <v>215</v>
      </c>
      <c r="U8" s="308" t="s">
        <v>446</v>
      </c>
    </row>
    <row r="9" spans="1:21" x14ac:dyDescent="0.25">
      <c r="B9" s="397" t="s">
        <v>401</v>
      </c>
      <c r="C9" s="360" t="s">
        <v>22</v>
      </c>
      <c r="D9" s="358">
        <v>4</v>
      </c>
      <c r="E9" s="402" t="e">
        <f ca="1"/>
        <v>#N/A</v>
      </c>
      <c r="F9" s="403" t="e">
        <f ca="1"/>
        <v>#N/A</v>
      </c>
      <c r="G9" s="403" t="e">
        <f ca="1"/>
        <v>#N/A</v>
      </c>
      <c r="H9" s="394" t="e">
        <f ca="1"/>
        <v>#N/A</v>
      </c>
      <c r="I9" s="404" t="e">
        <f ca="1"/>
        <v>#N/A</v>
      </c>
      <c r="K9" s="298" t="e">
        <f ca="1">IF(ISNA($E9),NA(),_xll.meDateYearFraction(F9,G9,$C$7))</f>
        <v>#N/A</v>
      </c>
      <c r="M9" s="383" t="e">
        <f t="shared" ca="1" si="0"/>
        <v>#N/A</v>
      </c>
      <c r="N9" s="384" t="e">
        <f t="shared" ca="1" si="1"/>
        <v>#N/A</v>
      </c>
      <c r="O9" s="385" t="e">
        <f t="shared" ca="1" si="2"/>
        <v>#N/A</v>
      </c>
      <c r="P9" s="386" t="e">
        <f ca="1">IF(ISNA(E9),NA(),_xll.meCurveDiscountFactorsForwardStarting(COB,$I9,$U$9,$U$11))</f>
        <v>#N/A</v>
      </c>
      <c r="Q9" s="385" t="e">
        <f t="shared" ca="1" si="3"/>
        <v>#N/A</v>
      </c>
      <c r="R9" s="409" t="s">
        <v>359</v>
      </c>
      <c r="T9" s="245" t="s">
        <v>80</v>
      </c>
      <c r="U9" s="308" t="s">
        <v>78</v>
      </c>
    </row>
    <row r="10" spans="1:21" x14ac:dyDescent="0.25">
      <c r="B10" s="397" t="s">
        <v>402</v>
      </c>
      <c r="C10" s="361" t="s">
        <v>2</v>
      </c>
      <c r="D10" s="358">
        <v>5</v>
      </c>
      <c r="E10" s="402" t="e">
        <f ca="1"/>
        <v>#N/A</v>
      </c>
      <c r="F10" s="403" t="e">
        <f ca="1"/>
        <v>#N/A</v>
      </c>
      <c r="G10" s="403" t="e">
        <f ca="1"/>
        <v>#N/A</v>
      </c>
      <c r="H10" s="394" t="e">
        <f ca="1"/>
        <v>#N/A</v>
      </c>
      <c r="I10" s="404" t="e">
        <f ca="1"/>
        <v>#N/A</v>
      </c>
      <c r="K10" s="298" t="e">
        <f ca="1">IF(ISNA($E10),NA(),_xll.meDateYearFraction(F10,G10,$C$7))</f>
        <v>#N/A</v>
      </c>
      <c r="M10" s="383" t="e">
        <f t="shared" ca="1" si="0"/>
        <v>#N/A</v>
      </c>
      <c r="N10" s="384" t="e">
        <f t="shared" ca="1" si="1"/>
        <v>#N/A</v>
      </c>
      <c r="O10" s="385" t="e">
        <f t="shared" ca="1" si="2"/>
        <v>#N/A</v>
      </c>
      <c r="P10" s="386" t="e">
        <f ca="1">IF(ISNA(E10),NA(),_xll.meCurveDiscountFactorsForwardStarting(COB,$I10,$U$9,$U$11))</f>
        <v>#N/A</v>
      </c>
      <c r="Q10" s="385" t="e">
        <f t="shared" ca="1" si="3"/>
        <v>#N/A</v>
      </c>
      <c r="R10" s="409" t="s">
        <v>359</v>
      </c>
      <c r="T10" s="245" t="s">
        <v>231</v>
      </c>
      <c r="U10" s="244" t="s">
        <v>170</v>
      </c>
    </row>
    <row r="11" spans="1:21" x14ac:dyDescent="0.25">
      <c r="B11" s="397" t="s">
        <v>403</v>
      </c>
      <c r="C11" s="359" t="s">
        <v>26</v>
      </c>
      <c r="D11" s="358">
        <v>6</v>
      </c>
      <c r="E11" s="402" t="e">
        <f ca="1"/>
        <v>#N/A</v>
      </c>
      <c r="F11" s="403" t="e">
        <f ca="1"/>
        <v>#N/A</v>
      </c>
      <c r="G11" s="403" t="e">
        <f ca="1"/>
        <v>#N/A</v>
      </c>
      <c r="H11" s="394" t="e">
        <f ca="1"/>
        <v>#N/A</v>
      </c>
      <c r="I11" s="404" t="e">
        <f ca="1"/>
        <v>#N/A</v>
      </c>
      <c r="K11" s="298" t="e">
        <f ca="1">IF(ISNA($E11),NA(),_xll.meDateYearFraction(F11,G11,$C$7))</f>
        <v>#N/A</v>
      </c>
      <c r="M11" s="383" t="e">
        <f t="shared" ca="1" si="0"/>
        <v>#N/A</v>
      </c>
      <c r="N11" s="384" t="e">
        <f t="shared" ca="1" si="1"/>
        <v>#N/A</v>
      </c>
      <c r="O11" s="385" t="e">
        <f t="shared" ca="1" si="2"/>
        <v>#N/A</v>
      </c>
      <c r="P11" s="386" t="e">
        <f ca="1">IF(ISNA(E11),NA(),_xll.meCurveDiscountFactorsForwardStarting(COB,$I11,$U$9,$U$11))</f>
        <v>#N/A</v>
      </c>
      <c r="Q11" s="385" t="e">
        <f t="shared" ca="1" si="3"/>
        <v>#N/A</v>
      </c>
      <c r="R11" s="409" t="s">
        <v>359</v>
      </c>
      <c r="T11" s="245" t="s">
        <v>232</v>
      </c>
      <c r="U11" s="311" t="s">
        <v>9</v>
      </c>
    </row>
    <row r="12" spans="1:21" x14ac:dyDescent="0.25">
      <c r="B12" s="397" t="s">
        <v>404</v>
      </c>
      <c r="C12" s="360" t="s">
        <v>22</v>
      </c>
      <c r="D12" s="358">
        <v>7</v>
      </c>
      <c r="E12" s="402" t="e">
        <f ca="1"/>
        <v>#N/A</v>
      </c>
      <c r="F12" s="403" t="e">
        <f ca="1"/>
        <v>#N/A</v>
      </c>
      <c r="G12" s="403" t="e">
        <f ca="1"/>
        <v>#N/A</v>
      </c>
      <c r="H12" s="394" t="e">
        <f ca="1"/>
        <v>#N/A</v>
      </c>
      <c r="I12" s="404" t="e">
        <f ca="1"/>
        <v>#N/A</v>
      </c>
      <c r="K12" s="298" t="e">
        <f ca="1">IF(ISNA($E12),NA(),_xll.meDateYearFraction(F12,G12,$C$7))</f>
        <v>#N/A</v>
      </c>
      <c r="M12" s="383" t="e">
        <f t="shared" ca="1" si="0"/>
        <v>#N/A</v>
      </c>
      <c r="N12" s="384" t="e">
        <f t="shared" ca="1" si="1"/>
        <v>#N/A</v>
      </c>
      <c r="O12" s="385" t="e">
        <f t="shared" ca="1" si="2"/>
        <v>#N/A</v>
      </c>
      <c r="P12" s="386" t="e">
        <f ca="1">IF(ISNA(E12),NA(),_xll.meCurveDiscountFactorsForwardStarting(COB,$I12,$U$9,$U$11))</f>
        <v>#N/A</v>
      </c>
      <c r="Q12" s="385" t="e">
        <f t="shared" ca="1" si="3"/>
        <v>#N/A</v>
      </c>
      <c r="R12" s="409" t="s">
        <v>359</v>
      </c>
      <c r="T12" s="245" t="s">
        <v>217</v>
      </c>
      <c r="U12" s="260" t="s">
        <v>26</v>
      </c>
    </row>
    <row r="13" spans="1:21" x14ac:dyDescent="0.25">
      <c r="B13" s="397" t="s">
        <v>405</v>
      </c>
      <c r="C13" s="286" t="s">
        <v>2</v>
      </c>
      <c r="D13" s="358">
        <v>8</v>
      </c>
      <c r="E13" s="402" t="e">
        <f ca="1"/>
        <v>#N/A</v>
      </c>
      <c r="F13" s="403" t="e">
        <f ca="1"/>
        <v>#N/A</v>
      </c>
      <c r="G13" s="403" t="e">
        <f ca="1"/>
        <v>#N/A</v>
      </c>
      <c r="H13" s="394" t="e">
        <f ca="1"/>
        <v>#N/A</v>
      </c>
      <c r="I13" s="404" t="e">
        <f ca="1"/>
        <v>#N/A</v>
      </c>
      <c r="K13" s="298" t="e">
        <f ca="1">IF(ISNA($E13),NA(),_xll.meDateYearFraction(F13,G13,$C$7))</f>
        <v>#N/A</v>
      </c>
      <c r="M13" s="383" t="e">
        <f t="shared" ca="1" si="0"/>
        <v>#N/A</v>
      </c>
      <c r="N13" s="384" t="e">
        <f t="shared" ca="1" si="1"/>
        <v>#N/A</v>
      </c>
      <c r="O13" s="385" t="e">
        <f t="shared" ca="1" si="2"/>
        <v>#N/A</v>
      </c>
      <c r="P13" s="386" t="e">
        <f ca="1">IF(ISNA(E13),NA(),_xll.meCurveDiscountFactorsForwardStarting(COB,$I13,$U$9,$U$11))</f>
        <v>#N/A</v>
      </c>
      <c r="Q13" s="385" t="e">
        <f t="shared" ca="1" si="3"/>
        <v>#N/A</v>
      </c>
      <c r="R13" s="409" t="s">
        <v>359</v>
      </c>
      <c r="T13" s="245" t="s">
        <v>218</v>
      </c>
      <c r="U13" s="259" t="s">
        <v>20</v>
      </c>
    </row>
    <row r="14" spans="1:21" x14ac:dyDescent="0.25">
      <c r="B14" s="397" t="s">
        <v>406</v>
      </c>
      <c r="C14" s="362" t="s">
        <v>172</v>
      </c>
      <c r="D14" s="358">
        <v>9</v>
      </c>
      <c r="E14" s="402" t="e">
        <f ca="1"/>
        <v>#N/A</v>
      </c>
      <c r="F14" s="403" t="e">
        <f ca="1"/>
        <v>#N/A</v>
      </c>
      <c r="G14" s="403" t="e">
        <f ca="1"/>
        <v>#N/A</v>
      </c>
      <c r="H14" s="394" t="e">
        <f ca="1"/>
        <v>#N/A</v>
      </c>
      <c r="I14" s="404" t="e">
        <f ca="1"/>
        <v>#N/A</v>
      </c>
      <c r="K14" s="298" t="e">
        <f ca="1">IF(ISNA($E14),NA(),_xll.meDateYearFraction(F14,G14,$C$7))</f>
        <v>#N/A</v>
      </c>
      <c r="M14" s="383" t="e">
        <f t="shared" ca="1" si="0"/>
        <v>#N/A</v>
      </c>
      <c r="N14" s="384" t="e">
        <f t="shared" ca="1" si="1"/>
        <v>#N/A</v>
      </c>
      <c r="O14" s="385" t="e">
        <f t="shared" ca="1" si="2"/>
        <v>#N/A</v>
      </c>
      <c r="P14" s="386" t="e">
        <f ca="1">IF(ISNA(E14),NA(),_xll.meCurveDiscountFactorsForwardStarting(COB,$I14,$U$9,$U$11))</f>
        <v>#N/A</v>
      </c>
      <c r="Q14" s="385" t="e">
        <f t="shared" ca="1" si="3"/>
        <v>#N/A</v>
      </c>
      <c r="R14" s="409" t="s">
        <v>359</v>
      </c>
      <c r="T14" s="245" t="s">
        <v>336</v>
      </c>
      <c r="U14" s="260" t="s">
        <v>22</v>
      </c>
    </row>
    <row r="15" spans="1:21" x14ac:dyDescent="0.25">
      <c r="B15" s="397" t="s">
        <v>407</v>
      </c>
      <c r="C15" s="363" t="s">
        <v>22</v>
      </c>
      <c r="D15" s="358">
        <v>10</v>
      </c>
      <c r="E15" s="402" t="e">
        <f ca="1"/>
        <v>#N/A</v>
      </c>
      <c r="F15" s="403" t="e">
        <f ca="1"/>
        <v>#N/A</v>
      </c>
      <c r="G15" s="403" t="e">
        <f ca="1"/>
        <v>#N/A</v>
      </c>
      <c r="H15" s="394" t="e">
        <f ca="1"/>
        <v>#N/A</v>
      </c>
      <c r="I15" s="404" t="e">
        <f ca="1"/>
        <v>#N/A</v>
      </c>
      <c r="K15" s="298" t="e">
        <f ca="1">IF(ISNA($E15),NA(),_xll.meDateYearFraction(F15,G15,$C$7))</f>
        <v>#N/A</v>
      </c>
      <c r="M15" s="383" t="e">
        <f t="shared" ca="1" si="0"/>
        <v>#N/A</v>
      </c>
      <c r="N15" s="384" t="e">
        <f t="shared" ca="1" si="1"/>
        <v>#N/A</v>
      </c>
      <c r="O15" s="385" t="e">
        <f t="shared" ca="1" si="2"/>
        <v>#N/A</v>
      </c>
      <c r="P15" s="386" t="e">
        <f ca="1">IF(ISNA(E15),NA(),_xll.meCurveDiscountFactorsForwardStarting(COB,$I15,$U$9,$U$11))</f>
        <v>#N/A</v>
      </c>
      <c r="Q15" s="385" t="e">
        <f t="shared" ca="1" si="3"/>
        <v>#N/A</v>
      </c>
      <c r="R15" s="409" t="s">
        <v>359</v>
      </c>
      <c r="T15" s="245" t="s">
        <v>338</v>
      </c>
      <c r="U15" s="260" t="s">
        <v>2</v>
      </c>
    </row>
    <row r="16" spans="1:21" x14ac:dyDescent="0.25">
      <c r="B16" s="397" t="s">
        <v>408</v>
      </c>
      <c r="C16" s="286" t="s">
        <v>2</v>
      </c>
      <c r="D16" s="358">
        <v>11</v>
      </c>
      <c r="E16" s="402" t="e">
        <f ca="1"/>
        <v>#N/A</v>
      </c>
      <c r="F16" s="403" t="e">
        <f ca="1"/>
        <v>#N/A</v>
      </c>
      <c r="G16" s="403" t="e">
        <f ca="1"/>
        <v>#N/A</v>
      </c>
      <c r="H16" s="394" t="e">
        <f ca="1"/>
        <v>#N/A</v>
      </c>
      <c r="I16" s="404" t="e">
        <f ca="1"/>
        <v>#N/A</v>
      </c>
      <c r="K16" s="298" t="e">
        <f ca="1">IF(ISNA($E16),NA(),_xll.meDateYearFraction(F16,G16,$C$7))</f>
        <v>#N/A</v>
      </c>
      <c r="M16" s="383" t="e">
        <f t="shared" ca="1" si="0"/>
        <v>#N/A</v>
      </c>
      <c r="N16" s="384" t="e">
        <f t="shared" ca="1" si="1"/>
        <v>#N/A</v>
      </c>
      <c r="O16" s="385" t="e">
        <f t="shared" ca="1" si="2"/>
        <v>#N/A</v>
      </c>
      <c r="P16" s="386" t="e">
        <f ca="1">IF(ISNA(E16),NA(),_xll.meCurveDiscountFactorsForwardStarting(COB,$I16,$U$9,$U$11))</f>
        <v>#N/A</v>
      </c>
      <c r="Q16" s="385" t="e">
        <f t="shared" ca="1" si="3"/>
        <v>#N/A</v>
      </c>
      <c r="R16" s="409" t="s">
        <v>359</v>
      </c>
      <c r="T16" s="245" t="s">
        <v>337</v>
      </c>
      <c r="U16" s="260" t="s">
        <v>22</v>
      </c>
    </row>
    <row r="17" spans="1:21" x14ac:dyDescent="0.25">
      <c r="B17" s="397" t="s">
        <v>409</v>
      </c>
      <c r="C17" s="364" t="s">
        <v>172</v>
      </c>
      <c r="D17" s="358">
        <v>12</v>
      </c>
      <c r="E17" s="402" t="e">
        <f ca="1"/>
        <v>#N/A</v>
      </c>
      <c r="F17" s="403" t="e">
        <f ca="1"/>
        <v>#N/A</v>
      </c>
      <c r="G17" s="403" t="e">
        <f ca="1"/>
        <v>#N/A</v>
      </c>
      <c r="H17" s="394" t="e">
        <f ca="1"/>
        <v>#N/A</v>
      </c>
      <c r="I17" s="404" t="e">
        <f ca="1"/>
        <v>#N/A</v>
      </c>
      <c r="K17" s="298" t="e">
        <f ca="1">IF(ISNA($E17),NA(),_xll.meDateYearFraction(F17,G17,$C$7))</f>
        <v>#N/A</v>
      </c>
      <c r="M17" s="383" t="e">
        <f t="shared" ca="1" si="0"/>
        <v>#N/A</v>
      </c>
      <c r="N17" s="384" t="e">
        <f t="shared" ca="1" si="1"/>
        <v>#N/A</v>
      </c>
      <c r="O17" s="385" t="e">
        <f t="shared" ca="1" si="2"/>
        <v>#N/A</v>
      </c>
      <c r="P17" s="386" t="e">
        <f ca="1">IF(ISNA(E17),NA(),_xll.meCurveDiscountFactorsForwardStarting(COB,$I17,$U$9,$U$11))</f>
        <v>#N/A</v>
      </c>
      <c r="Q17" s="385" t="e">
        <f t="shared" ca="1" si="3"/>
        <v>#N/A</v>
      </c>
      <c r="R17" s="409" t="s">
        <v>359</v>
      </c>
      <c r="T17" s="245" t="s">
        <v>339</v>
      </c>
      <c r="U17" s="260" t="s">
        <v>2</v>
      </c>
    </row>
    <row r="18" spans="1:21" x14ac:dyDescent="0.25">
      <c r="B18" s="397" t="s">
        <v>410</v>
      </c>
      <c r="C18" s="365" t="s">
        <v>411</v>
      </c>
      <c r="D18" s="358">
        <v>13</v>
      </c>
      <c r="E18" s="402" t="e">
        <f ca="1"/>
        <v>#N/A</v>
      </c>
      <c r="F18" s="403" t="e">
        <f ca="1"/>
        <v>#N/A</v>
      </c>
      <c r="G18" s="403" t="e">
        <f ca="1"/>
        <v>#N/A</v>
      </c>
      <c r="H18" s="394" t="e">
        <f ca="1"/>
        <v>#N/A</v>
      </c>
      <c r="I18" s="404" t="e">
        <f ca="1"/>
        <v>#N/A</v>
      </c>
      <c r="K18" s="298" t="e">
        <f ca="1">IF(ISNA($E18),NA(),_xll.meDateYearFraction(F18,G18,$C$7))</f>
        <v>#N/A</v>
      </c>
      <c r="M18" s="383" t="e">
        <f t="shared" ca="1" si="0"/>
        <v>#N/A</v>
      </c>
      <c r="N18" s="384" t="e">
        <f t="shared" ca="1" si="1"/>
        <v>#N/A</v>
      </c>
      <c r="O18" s="385" t="e">
        <f t="shared" ca="1" si="2"/>
        <v>#N/A</v>
      </c>
      <c r="P18" s="386" t="e">
        <f ca="1">IF(ISNA(E18),NA(),_xll.meCurveDiscountFactorsForwardStarting(COB,$I18,$U$9,$U$11))</f>
        <v>#N/A</v>
      </c>
      <c r="Q18" s="385" t="e">
        <f t="shared" ca="1" si="3"/>
        <v>#N/A</v>
      </c>
      <c r="R18" s="409" t="s">
        <v>359</v>
      </c>
      <c r="T18" s="245" t="s">
        <v>239</v>
      </c>
      <c r="U18" s="261"/>
    </row>
    <row r="19" spans="1:21" x14ac:dyDescent="0.25">
      <c r="B19" s="397" t="s">
        <v>412</v>
      </c>
      <c r="C19" s="366"/>
      <c r="D19" s="358">
        <v>14</v>
      </c>
      <c r="E19" s="402" t="e">
        <f ca="1"/>
        <v>#N/A</v>
      </c>
      <c r="F19" s="403" t="e">
        <f ca="1"/>
        <v>#N/A</v>
      </c>
      <c r="G19" s="403" t="e">
        <f ca="1"/>
        <v>#N/A</v>
      </c>
      <c r="H19" s="394" t="e">
        <f ca="1"/>
        <v>#N/A</v>
      </c>
      <c r="I19" s="404" t="e">
        <f ca="1"/>
        <v>#N/A</v>
      </c>
      <c r="K19" s="298" t="e">
        <f ca="1">IF(ISNA($E19),NA(),_xll.meDateYearFraction(F19,G19,$C$7))</f>
        <v>#N/A</v>
      </c>
      <c r="M19" s="383" t="e">
        <f t="shared" ca="1" si="0"/>
        <v>#N/A</v>
      </c>
      <c r="N19" s="384" t="e">
        <f t="shared" ca="1" si="1"/>
        <v>#N/A</v>
      </c>
      <c r="O19" s="385" t="e">
        <f t="shared" ca="1" si="2"/>
        <v>#N/A</v>
      </c>
      <c r="P19" s="386" t="e">
        <f ca="1">IF(ISNA(E19),NA(),_xll.meCurveDiscountFactorsForwardStarting(COB,$I19,$U$9,$U$11))</f>
        <v>#N/A</v>
      </c>
      <c r="Q19" s="385" t="e">
        <f t="shared" ca="1" si="3"/>
        <v>#N/A</v>
      </c>
      <c r="R19" s="409" t="s">
        <v>359</v>
      </c>
      <c r="T19" s="245" t="s">
        <v>240</v>
      </c>
      <c r="U19" s="261"/>
    </row>
    <row r="20" spans="1:21" x14ac:dyDescent="0.25">
      <c r="B20" s="397" t="s">
        <v>413</v>
      </c>
      <c r="C20" s="366"/>
      <c r="D20" s="358">
        <v>15</v>
      </c>
      <c r="E20" s="402" t="e">
        <f ca="1"/>
        <v>#N/A</v>
      </c>
      <c r="F20" s="403" t="e">
        <f ca="1"/>
        <v>#N/A</v>
      </c>
      <c r="G20" s="403" t="e">
        <f ca="1"/>
        <v>#N/A</v>
      </c>
      <c r="H20" s="394" t="e">
        <f ca="1"/>
        <v>#N/A</v>
      </c>
      <c r="I20" s="404" t="e">
        <f ca="1"/>
        <v>#N/A</v>
      </c>
      <c r="K20" s="298" t="e">
        <f ca="1">IF(ISNA($E20),NA(),_xll.meDateYearFraction(F20,G20,$C$7))</f>
        <v>#N/A</v>
      </c>
      <c r="M20" s="383" t="e">
        <f t="shared" ca="1" si="0"/>
        <v>#N/A</v>
      </c>
      <c r="N20" s="384" t="e">
        <f t="shared" ca="1" si="1"/>
        <v>#N/A</v>
      </c>
      <c r="O20" s="385" t="e">
        <f t="shared" ca="1" si="2"/>
        <v>#N/A</v>
      </c>
      <c r="P20" s="386" t="e">
        <f ca="1">IF(ISNA(E20),NA(),_xll.meCurveDiscountFactorsForwardStarting(COB,$I20,$U$9,$U$11))</f>
        <v>#N/A</v>
      </c>
      <c r="Q20" s="385" t="e">
        <f t="shared" ca="1" si="3"/>
        <v>#N/A</v>
      </c>
      <c r="R20" s="409" t="s">
        <v>359</v>
      </c>
      <c r="T20" s="245" t="s">
        <v>219</v>
      </c>
      <c r="U20" s="260" t="s">
        <v>364</v>
      </c>
    </row>
    <row r="21" spans="1:21" x14ac:dyDescent="0.25">
      <c r="B21" s="398" t="s">
        <v>414</v>
      </c>
      <c r="C21" s="367"/>
      <c r="D21" s="358">
        <v>18</v>
      </c>
      <c r="E21" s="405" t="e">
        <f ca="1"/>
        <v>#N/A</v>
      </c>
      <c r="F21" s="406" t="e">
        <f ca="1"/>
        <v>#N/A</v>
      </c>
      <c r="G21" s="406" t="e">
        <f ca="1"/>
        <v>#N/A</v>
      </c>
      <c r="H21" s="395" t="e">
        <f ca="1"/>
        <v>#N/A</v>
      </c>
      <c r="I21" s="407" t="e">
        <f ca="1"/>
        <v>#N/A</v>
      </c>
      <c r="K21" s="438" t="e">
        <f ca="1">IF(ISNA($E21),NA(),_xll.meDateYearFraction(F21,G21,$C$7))</f>
        <v>#N/A</v>
      </c>
      <c r="M21" s="387" t="e">
        <f t="shared" ca="1" si="0"/>
        <v>#N/A</v>
      </c>
      <c r="N21" s="388" t="e">
        <f t="shared" ca="1" si="1"/>
        <v>#N/A</v>
      </c>
      <c r="O21" s="389" t="e">
        <f t="shared" ca="1" si="2"/>
        <v>#N/A</v>
      </c>
      <c r="P21" s="390" t="e">
        <f ca="1">IF(ISNA(E21),NA(),_xll.meCurveDiscountFactorsForwardStarting(COB,$I21,$U$9,$U$11))</f>
        <v>#N/A</v>
      </c>
      <c r="Q21" s="389" t="e">
        <f t="shared" ca="1" si="3"/>
        <v>#N/A</v>
      </c>
      <c r="R21" s="410" t="s">
        <v>359</v>
      </c>
      <c r="T21" s="245" t="s">
        <v>220</v>
      </c>
      <c r="U21" s="259" t="s">
        <v>172</v>
      </c>
    </row>
    <row r="22" spans="1:21" x14ac:dyDescent="0.25">
      <c r="N22" s="264"/>
      <c r="T22" s="245" t="s">
        <v>221</v>
      </c>
      <c r="U22" s="259" t="s">
        <v>173</v>
      </c>
    </row>
    <row r="23" spans="1:21" x14ac:dyDescent="0.25">
      <c r="B23" s="357" t="s">
        <v>428</v>
      </c>
      <c r="E23" s="357" t="s">
        <v>415</v>
      </c>
      <c r="K23" s="435" t="s">
        <v>444</v>
      </c>
      <c r="M23" s="357" t="s">
        <v>431</v>
      </c>
      <c r="N23" s="264"/>
      <c r="T23" s="245" t="s">
        <v>216</v>
      </c>
      <c r="U23" s="303">
        <v>0.01</v>
      </c>
    </row>
    <row r="24" spans="1:21" x14ac:dyDescent="0.25">
      <c r="A24" s="257" t="s">
        <v>334</v>
      </c>
      <c r="B24" s="396" t="s">
        <v>214</v>
      </c>
      <c r="C24" s="354">
        <f>C5</f>
        <v>42523</v>
      </c>
      <c r="D24" s="358">
        <v>0</v>
      </c>
      <c r="E24" s="399" t="str">
        <f t="array" aca="1" ref="E24:I40" ca="1">_xll.meProductSwapSchedule(_xll.meUtilityLVB(B24:C40))</f>
        <v>Fixing Date</v>
      </c>
      <c r="F24" s="400" t="str">
        <f ca="1"/>
        <v>Accrual Start</v>
      </c>
      <c r="G24" s="400" t="str">
        <f ca="1"/>
        <v>Accrual End</v>
      </c>
      <c r="H24" s="400" t="str">
        <f ca="1"/>
        <v>Accrual Period</v>
      </c>
      <c r="I24" s="401" t="str">
        <f ca="1"/>
        <v>Payment Date</v>
      </c>
      <c r="K24" s="436" t="s">
        <v>386</v>
      </c>
      <c r="M24" s="379" t="s">
        <v>171</v>
      </c>
      <c r="N24" s="380" t="s">
        <v>419</v>
      </c>
      <c r="O24" s="381" t="s">
        <v>420</v>
      </c>
      <c r="P24" s="381" t="s">
        <v>417</v>
      </c>
      <c r="Q24" s="381" t="s">
        <v>416</v>
      </c>
      <c r="R24" s="391" t="s">
        <v>418</v>
      </c>
      <c r="T24" s="245" t="s">
        <v>222</v>
      </c>
      <c r="U24" s="262" t="s">
        <v>28</v>
      </c>
    </row>
    <row r="25" spans="1:21" x14ac:dyDescent="0.25">
      <c r="A25" s="258" t="s">
        <v>176</v>
      </c>
      <c r="B25" s="397" t="s">
        <v>215</v>
      </c>
      <c r="C25" s="369" t="str">
        <f>C6</f>
        <v>2Y</v>
      </c>
      <c r="D25" s="358">
        <v>1</v>
      </c>
      <c r="E25" s="402">
        <f ca="1"/>
        <v>42523</v>
      </c>
      <c r="F25" s="403">
        <f ca="1"/>
        <v>42523</v>
      </c>
      <c r="G25" s="403">
        <f ca="1"/>
        <v>42615</v>
      </c>
      <c r="H25" s="394">
        <f ca="1"/>
        <v>0.25555600000000001</v>
      </c>
      <c r="I25" s="404">
        <f ca="1"/>
        <v>42615</v>
      </c>
      <c r="K25" s="437">
        <f ca="1">IF(ISNA($E25),NA(),_xll.meDateYearFraction(F25,G25,$C$26))</f>
        <v>0.25555555555555554</v>
      </c>
      <c r="M25" s="383">
        <f t="shared" ref="M25:M40" ca="1" si="4">IF(ISNA(E25),NA(),$U$5)</f>
        <v>1000000</v>
      </c>
      <c r="N25" s="384">
        <f t="array" aca="1" ref="N25:N34" ca="1">_xll.meCurveForwardRates($E$25:$E$32,$U$9,$U$10)</f>
        <v>-2.6099999999999574E-3</v>
      </c>
      <c r="O25" s="385">
        <f t="shared" ref="O25:O40" ca="1" si="5">IF(ISNA(E25),NA(),$U$40)</f>
        <v>0</v>
      </c>
      <c r="P25" s="385">
        <f ca="1">IF(ISNA(E25),NA(),M25*(N25+(O25/10000))*H25)</f>
        <v>-667.00115999998911</v>
      </c>
      <c r="Q25" s="386">
        <f t="array" aca="1" ref="Q25" ca="1">IF(ISNA(E25),NA(),_xll.meCurveDiscountFactors($I$25:$I$32,$U$9,$U$10))</f>
        <v>1.0006868472979871</v>
      </c>
      <c r="R25" s="392">
        <f ca="1">IF(ISNA(E25),NA(),P25*Q25)</f>
        <v>-667.45928794448935</v>
      </c>
      <c r="T25" s="245" t="s">
        <v>223</v>
      </c>
      <c r="U25" s="259" t="s">
        <v>6</v>
      </c>
    </row>
    <row r="26" spans="1:21" x14ac:dyDescent="0.25">
      <c r="B26" s="397" t="s">
        <v>18</v>
      </c>
      <c r="C26" s="359" t="s">
        <v>6</v>
      </c>
      <c r="D26" s="358">
        <v>2</v>
      </c>
      <c r="E26" s="402">
        <f ca="1"/>
        <v>42615</v>
      </c>
      <c r="F26" s="403">
        <f ca="1"/>
        <v>42615</v>
      </c>
      <c r="G26" s="403">
        <f ca="1"/>
        <v>42706</v>
      </c>
      <c r="H26" s="394">
        <f ca="1"/>
        <v>0.252778</v>
      </c>
      <c r="I26" s="404">
        <f ca="1"/>
        <v>42706</v>
      </c>
      <c r="K26" s="437">
        <f ca="1">IF(ISNA($E26),NA(),_xll.meDateYearFraction(F26,G26,$C$26))</f>
        <v>0.25277777777777777</v>
      </c>
      <c r="M26" s="383">
        <f t="shared" ca="1" si="4"/>
        <v>1000000</v>
      </c>
      <c r="N26" s="384">
        <f ca="1"/>
        <v>-2.7531460990264122E-3</v>
      </c>
      <c r="O26" s="385">
        <f t="shared" ca="1" si="5"/>
        <v>0</v>
      </c>
      <c r="P26" s="385">
        <f t="shared" ref="P26:P40" ca="1" si="6">IF(ISNA(E26),NA(),M26*(N26+(O26/10000))*H26)</f>
        <v>-695.9347646196984</v>
      </c>
      <c r="Q26" s="386">
        <f ca="1">IF(ISNA(E26),NA(),_xll.meCurveDiscountFactorsForwardStarting(COB,$I26,$U$9,$U$11))</f>
        <v>1.0018491690936635</v>
      </c>
      <c r="R26" s="392">
        <f t="shared" ref="R26:R40" ca="1" si="7">IF(ISNA(E26),NA(),P26*Q26)</f>
        <v>-697.22166567763918</v>
      </c>
      <c r="T26" s="245" t="s">
        <v>344</v>
      </c>
      <c r="U26" s="260" t="s">
        <v>22</v>
      </c>
    </row>
    <row r="27" spans="1:21" x14ac:dyDescent="0.25">
      <c r="B27" s="397" t="s">
        <v>400</v>
      </c>
      <c r="C27" s="425" t="s">
        <v>28</v>
      </c>
      <c r="D27" s="358">
        <v>3</v>
      </c>
      <c r="E27" s="402">
        <f ca="1"/>
        <v>42706</v>
      </c>
      <c r="F27" s="403">
        <f ca="1"/>
        <v>42706</v>
      </c>
      <c r="G27" s="403">
        <f ca="1"/>
        <v>42796</v>
      </c>
      <c r="H27" s="394">
        <f ca="1"/>
        <v>0.25</v>
      </c>
      <c r="I27" s="404">
        <f ca="1"/>
        <v>42796</v>
      </c>
      <c r="K27" s="437">
        <f ca="1">IF(ISNA($E27),NA(),_xll.meDateYearFraction(F27,G27,$C$26))</f>
        <v>0.25</v>
      </c>
      <c r="M27" s="383">
        <f t="shared" ca="1" si="4"/>
        <v>1000000</v>
      </c>
      <c r="N27" s="384">
        <f ca="1"/>
        <v>-2.9269609269980293E-3</v>
      </c>
      <c r="O27" s="385">
        <f t="shared" ca="1" si="5"/>
        <v>0</v>
      </c>
      <c r="P27" s="385">
        <f t="shared" ca="1" si="6"/>
        <v>-731.7402317495073</v>
      </c>
      <c r="Q27" s="386">
        <f ca="1">IF(ISNA(E27),NA(),_xll.meCurveDiscountFactorsForwardStarting(COB,$I27,$U$9,$U$11))</f>
        <v>1.0028386370403466</v>
      </c>
      <c r="R27" s="392">
        <f t="shared" ca="1" si="7"/>
        <v>-733.81737667526329</v>
      </c>
      <c r="T27" s="245" t="s">
        <v>345</v>
      </c>
      <c r="U27" s="260" t="s">
        <v>2</v>
      </c>
    </row>
    <row r="28" spans="1:21" x14ac:dyDescent="0.25">
      <c r="B28" s="397" t="s">
        <v>401</v>
      </c>
      <c r="C28" s="426" t="s">
        <v>22</v>
      </c>
      <c r="D28" s="358">
        <v>4</v>
      </c>
      <c r="E28" s="402">
        <f ca="1"/>
        <v>42796</v>
      </c>
      <c r="F28" s="403">
        <f ca="1"/>
        <v>42796</v>
      </c>
      <c r="G28" s="403">
        <f ca="1"/>
        <v>42888</v>
      </c>
      <c r="H28" s="394">
        <f ca="1"/>
        <v>0.25555600000000001</v>
      </c>
      <c r="I28" s="404">
        <f ca="1"/>
        <v>42888</v>
      </c>
      <c r="K28" s="437">
        <f ca="1">IF(ISNA($E28),NA(),_xll.meDateYearFraction(F28,G28,$C$26))</f>
        <v>0.25555555555555554</v>
      </c>
      <c r="M28" s="383">
        <f t="shared" ca="1" si="4"/>
        <v>1000000</v>
      </c>
      <c r="N28" s="384">
        <f ca="1"/>
        <v>-3.0062327851322177E-3</v>
      </c>
      <c r="O28" s="385">
        <f t="shared" ca="1" si="5"/>
        <v>0</v>
      </c>
      <c r="P28" s="385">
        <f t="shared" ca="1" si="6"/>
        <v>-768.26082563724901</v>
      </c>
      <c r="Q28" s="386">
        <f ca="1">IF(ISNA(E28),NA(),_xll.meCurveDiscountFactorsForwardStarting(COB,$I28,$U$9,$U$11))</f>
        <v>1.003907355861789</v>
      </c>
      <c r="R28" s="392">
        <f t="shared" ca="1" si="7"/>
        <v>-771.26269407768564</v>
      </c>
      <c r="T28" s="245" t="s">
        <v>340</v>
      </c>
      <c r="U28" s="260" t="s">
        <v>22</v>
      </c>
    </row>
    <row r="29" spans="1:21" x14ac:dyDescent="0.25">
      <c r="B29" s="397" t="s">
        <v>402</v>
      </c>
      <c r="C29" s="427" t="s">
        <v>2</v>
      </c>
      <c r="D29" s="358">
        <v>5</v>
      </c>
      <c r="E29" s="402">
        <f ca="1"/>
        <v>42888</v>
      </c>
      <c r="F29" s="403">
        <f ca="1"/>
        <v>42888</v>
      </c>
      <c r="G29" s="403">
        <f ca="1"/>
        <v>42982</v>
      </c>
      <c r="H29" s="394">
        <f ca="1"/>
        <v>0.26111099999999998</v>
      </c>
      <c r="I29" s="404">
        <f ca="1"/>
        <v>42982</v>
      </c>
      <c r="K29" s="437">
        <f ca="1">IF(ISNA($E29),NA(),_xll.meDateYearFraction(F29,G29,$C$26))</f>
        <v>0.26111111111111113</v>
      </c>
      <c r="M29" s="383">
        <f t="shared" ca="1" si="4"/>
        <v>1000000</v>
      </c>
      <c r="N29" s="384">
        <f ca="1"/>
        <v>-3.0545985896766928E-3</v>
      </c>
      <c r="O29" s="385">
        <f t="shared" ca="1" si="5"/>
        <v>0</v>
      </c>
      <c r="P29" s="385">
        <f t="shared" ca="1" si="6"/>
        <v>-797.58929234907089</v>
      </c>
      <c r="Q29" s="386">
        <f ca="1">IF(ISNA(E29),NA(),_xll.meCurveDiscountFactorsForwardStarting(COB,$I29,$U$9,$U$11))</f>
        <v>1.00501184125139</v>
      </c>
      <c r="R29" s="392">
        <f t="shared" ca="1" si="7"/>
        <v>-801.58668326613292</v>
      </c>
      <c r="T29" s="245" t="s">
        <v>341</v>
      </c>
      <c r="U29" s="260" t="s">
        <v>2</v>
      </c>
    </row>
    <row r="30" spans="1:21" x14ac:dyDescent="0.25">
      <c r="B30" s="397" t="s">
        <v>403</v>
      </c>
      <c r="C30" s="425" t="s">
        <v>28</v>
      </c>
      <c r="D30" s="358">
        <v>6</v>
      </c>
      <c r="E30" s="402">
        <f ca="1"/>
        <v>42982</v>
      </c>
      <c r="F30" s="403">
        <f ca="1"/>
        <v>42982</v>
      </c>
      <c r="G30" s="403">
        <f ca="1"/>
        <v>43073</v>
      </c>
      <c r="H30" s="394">
        <f ca="1"/>
        <v>0.252778</v>
      </c>
      <c r="I30" s="404">
        <f ca="1"/>
        <v>43073</v>
      </c>
      <c r="K30" s="437">
        <f ca="1">IF(ISNA($E30),NA(),_xll.meDateYearFraction(F30,G30,$C$26))</f>
        <v>0.25277777777777777</v>
      </c>
      <c r="M30" s="383">
        <f t="shared" ca="1" si="4"/>
        <v>1000000</v>
      </c>
      <c r="N30" s="384">
        <f ca="1"/>
        <v>-3.074241853587218E-3</v>
      </c>
      <c r="O30" s="385">
        <f t="shared" ca="1" si="5"/>
        <v>0</v>
      </c>
      <c r="P30" s="385">
        <f t="shared" ca="1" si="6"/>
        <v>-777.10070726606978</v>
      </c>
      <c r="Q30" s="386">
        <f ca="1">IF(ISNA(E30),NA(),_xll.meCurveDiscountFactorsForwardStarting(COB,$I30,$U$9,$U$11))</f>
        <v>1.0060818829840912</v>
      </c>
      <c r="R30" s="392">
        <f t="shared" ca="1" si="7"/>
        <v>-781.82694283451656</v>
      </c>
      <c r="T30" s="245" t="s">
        <v>342</v>
      </c>
      <c r="U30" s="260" t="s">
        <v>22</v>
      </c>
    </row>
    <row r="31" spans="1:21" x14ac:dyDescent="0.25">
      <c r="B31" s="397" t="s">
        <v>404</v>
      </c>
      <c r="C31" s="426" t="s">
        <v>22</v>
      </c>
      <c r="D31" s="358">
        <v>7</v>
      </c>
      <c r="E31" s="402">
        <f ca="1"/>
        <v>43073</v>
      </c>
      <c r="F31" s="403">
        <f ca="1"/>
        <v>43073</v>
      </c>
      <c r="G31" s="403">
        <f ca="1"/>
        <v>43161</v>
      </c>
      <c r="H31" s="394">
        <f ca="1"/>
        <v>0.24444399999999999</v>
      </c>
      <c r="I31" s="404">
        <f ca="1"/>
        <v>43161</v>
      </c>
      <c r="K31" s="437">
        <f ca="1">IF(ISNA($E31),NA(),_xll.meDateYearFraction(F31,G31,$C$26))</f>
        <v>0.24444444444444444</v>
      </c>
      <c r="M31" s="383">
        <f t="shared" ca="1" si="4"/>
        <v>1000000</v>
      </c>
      <c r="N31" s="384">
        <f ca="1"/>
        <v>-3.052332592556994E-3</v>
      </c>
      <c r="O31" s="385">
        <f t="shared" ca="1" si="5"/>
        <v>0</v>
      </c>
      <c r="P31" s="385">
        <f t="shared" ca="1" si="6"/>
        <v>-746.1243882550018</v>
      </c>
      <c r="Q31" s="386">
        <f ca="1">IF(ISNA(E31),NA(),_xll.meCurveDiscountFactorsForwardStarting(COB,$I31,$U$9,$U$11))</f>
        <v>1.0071254439091653</v>
      </c>
      <c r="R31" s="392">
        <f t="shared" ca="1" si="7"/>
        <v>-751.440855732773</v>
      </c>
      <c r="T31" s="245" t="s">
        <v>343</v>
      </c>
      <c r="U31" s="260" t="s">
        <v>2</v>
      </c>
    </row>
    <row r="32" spans="1:21" x14ac:dyDescent="0.25">
      <c r="B32" s="397" t="s">
        <v>405</v>
      </c>
      <c r="C32" s="426" t="s">
        <v>2</v>
      </c>
      <c r="D32" s="358">
        <v>8</v>
      </c>
      <c r="E32" s="402">
        <f ca="1"/>
        <v>43161</v>
      </c>
      <c r="F32" s="403">
        <f ca="1"/>
        <v>43161</v>
      </c>
      <c r="G32" s="403">
        <f ca="1"/>
        <v>43255</v>
      </c>
      <c r="H32" s="394">
        <f ca="1"/>
        <v>0.26111099999999998</v>
      </c>
      <c r="I32" s="404">
        <f ca="1"/>
        <v>43255</v>
      </c>
      <c r="K32" s="437">
        <f ca="1">IF(ISNA($E32),NA(),_xll.meDateYearFraction(F32,G32,$C$26))</f>
        <v>0.26111111111111113</v>
      </c>
      <c r="M32" s="383">
        <f t="shared" ca="1" si="4"/>
        <v>1000000</v>
      </c>
      <c r="N32" s="384">
        <f ca="1"/>
        <v>-2.9381121986047491E-3</v>
      </c>
      <c r="O32" s="385">
        <f t="shared" ca="1" si="5"/>
        <v>0</v>
      </c>
      <c r="P32" s="385">
        <f t="shared" ca="1" si="6"/>
        <v>-767.17341428988459</v>
      </c>
      <c r="Q32" s="386">
        <f ca="1">IF(ISNA(E32),NA(),_xll.meCurveDiscountFactorsForwardStarting(COB,$I32,$U$9,$U$11))</f>
        <v>1.0082223323895707</v>
      </c>
      <c r="R32" s="392">
        <f t="shared" ca="1" si="7"/>
        <v>-773.4813691026178</v>
      </c>
      <c r="T32" s="245" t="s">
        <v>241</v>
      </c>
      <c r="U32" s="261"/>
    </row>
    <row r="33" spans="2:21" x14ac:dyDescent="0.25">
      <c r="B33" s="397" t="s">
        <v>406</v>
      </c>
      <c r="C33" s="428" t="s">
        <v>172</v>
      </c>
      <c r="D33" s="358">
        <v>9</v>
      </c>
      <c r="E33" s="402" t="e">
        <f ca="1"/>
        <v>#N/A</v>
      </c>
      <c r="F33" s="403" t="e">
        <f ca="1"/>
        <v>#N/A</v>
      </c>
      <c r="G33" s="403" t="e">
        <f ca="1"/>
        <v>#N/A</v>
      </c>
      <c r="H33" s="394" t="e">
        <f ca="1"/>
        <v>#N/A</v>
      </c>
      <c r="I33" s="404" t="e">
        <f ca="1"/>
        <v>#N/A</v>
      </c>
      <c r="K33" s="437" t="e">
        <f ca="1">IF(ISNA($E33),NA(),_xll.meDateYearFraction(F33,G33,$C$26))</f>
        <v>#N/A</v>
      </c>
      <c r="M33" s="383" t="e">
        <f t="shared" ca="1" si="4"/>
        <v>#N/A</v>
      </c>
      <c r="N33" s="384" t="e">
        <f ca="1"/>
        <v>#N/A</v>
      </c>
      <c r="O33" s="385" t="e">
        <f t="shared" ca="1" si="5"/>
        <v>#N/A</v>
      </c>
      <c r="P33" s="385" t="e">
        <f t="shared" ca="1" si="6"/>
        <v>#N/A</v>
      </c>
      <c r="Q33" s="386" t="e">
        <f ca="1">IF(ISNA(E33),NA(),_xll.meCurveDiscountFactorsForwardStarting(COB,$I33,$U$9,$U$11))</f>
        <v>#N/A</v>
      </c>
      <c r="R33" s="392" t="e">
        <f t="shared" ca="1" si="7"/>
        <v>#N/A</v>
      </c>
      <c r="T33" s="245" t="s">
        <v>242</v>
      </c>
      <c r="U33" s="261"/>
    </row>
    <row r="34" spans="2:21" x14ac:dyDescent="0.25">
      <c r="B34" s="397" t="s">
        <v>407</v>
      </c>
      <c r="C34" s="429" t="s">
        <v>22</v>
      </c>
      <c r="D34" s="358">
        <v>10</v>
      </c>
      <c r="E34" s="402" t="e">
        <f ca="1"/>
        <v>#N/A</v>
      </c>
      <c r="F34" s="403" t="e">
        <f ca="1"/>
        <v>#N/A</v>
      </c>
      <c r="G34" s="403" t="e">
        <f ca="1"/>
        <v>#N/A</v>
      </c>
      <c r="H34" s="394" t="e">
        <f ca="1"/>
        <v>#N/A</v>
      </c>
      <c r="I34" s="404" t="e">
        <f ca="1"/>
        <v>#N/A</v>
      </c>
      <c r="K34" s="437" t="e">
        <f ca="1">IF(ISNA($E34),NA(),_xll.meDateYearFraction(F34,G34,$C$26))</f>
        <v>#N/A</v>
      </c>
      <c r="M34" s="383" t="e">
        <f t="shared" ca="1" si="4"/>
        <v>#N/A</v>
      </c>
      <c r="N34" s="384" t="e">
        <f ca="1"/>
        <v>#N/A</v>
      </c>
      <c r="O34" s="385" t="e">
        <f t="shared" ca="1" si="5"/>
        <v>#N/A</v>
      </c>
      <c r="P34" s="385" t="e">
        <f t="shared" ca="1" si="6"/>
        <v>#N/A</v>
      </c>
      <c r="Q34" s="386" t="e">
        <f ca="1">IF(ISNA(E34),NA(),_xll.meCurveDiscountFactorsForwardStarting(COB,$I34,$U$9,$U$11))</f>
        <v>#N/A</v>
      </c>
      <c r="R34" s="392" t="e">
        <f t="shared" ca="1" si="7"/>
        <v>#N/A</v>
      </c>
      <c r="T34" s="245" t="s">
        <v>224</v>
      </c>
      <c r="U34" s="260" t="s">
        <v>364</v>
      </c>
    </row>
    <row r="35" spans="2:21" x14ac:dyDescent="0.25">
      <c r="B35" s="397" t="s">
        <v>408</v>
      </c>
      <c r="C35" s="426" t="s">
        <v>2</v>
      </c>
      <c r="D35" s="358">
        <v>11</v>
      </c>
      <c r="E35" s="402" t="e">
        <f ca="1"/>
        <v>#N/A</v>
      </c>
      <c r="F35" s="403" t="e">
        <f ca="1"/>
        <v>#N/A</v>
      </c>
      <c r="G35" s="403" t="e">
        <f ca="1"/>
        <v>#N/A</v>
      </c>
      <c r="H35" s="394" t="e">
        <f ca="1"/>
        <v>#N/A</v>
      </c>
      <c r="I35" s="404" t="e">
        <f ca="1"/>
        <v>#N/A</v>
      </c>
      <c r="K35" s="437" t="e">
        <f ca="1">IF(ISNA($E35),NA(),_xll.meDateYearFraction(F35,G35,$C$26))</f>
        <v>#N/A</v>
      </c>
      <c r="M35" s="383" t="e">
        <f t="shared" ca="1" si="4"/>
        <v>#N/A</v>
      </c>
      <c r="N35" s="384" t="e">
        <f t="shared" ref="N35:N40" ca="1" si="8">IF(ISNA(E35),NA(),$N$2)</f>
        <v>#N/A</v>
      </c>
      <c r="O35" s="385" t="e">
        <f t="shared" ca="1" si="5"/>
        <v>#N/A</v>
      </c>
      <c r="P35" s="385" t="e">
        <f t="shared" ca="1" si="6"/>
        <v>#N/A</v>
      </c>
      <c r="Q35" s="386" t="e">
        <f ca="1">IF(ISNA(E35),NA(),_xll.meCurveDiscountFactorsForwardStarting(COB,$I35,$U$9,$U$11))</f>
        <v>#N/A</v>
      </c>
      <c r="R35" s="392" t="e">
        <f t="shared" ca="1" si="7"/>
        <v>#N/A</v>
      </c>
      <c r="T35" s="245" t="s">
        <v>225</v>
      </c>
      <c r="U35" s="259" t="s">
        <v>172</v>
      </c>
    </row>
    <row r="36" spans="2:21" x14ac:dyDescent="0.25">
      <c r="B36" s="397" t="s">
        <v>409</v>
      </c>
      <c r="C36" s="430" t="s">
        <v>172</v>
      </c>
      <c r="D36" s="358">
        <v>12</v>
      </c>
      <c r="E36" s="402" t="e">
        <f ca="1"/>
        <v>#N/A</v>
      </c>
      <c r="F36" s="403" t="e">
        <f ca="1"/>
        <v>#N/A</v>
      </c>
      <c r="G36" s="403" t="e">
        <f ca="1"/>
        <v>#N/A</v>
      </c>
      <c r="H36" s="394" t="e">
        <f ca="1"/>
        <v>#N/A</v>
      </c>
      <c r="I36" s="404" t="e">
        <f ca="1"/>
        <v>#N/A</v>
      </c>
      <c r="K36" s="437" t="e">
        <f ca="1">IF(ISNA($E36),NA(),_xll.meDateYearFraction(F36,G36,$C$26))</f>
        <v>#N/A</v>
      </c>
      <c r="M36" s="383" t="e">
        <f t="shared" ca="1" si="4"/>
        <v>#N/A</v>
      </c>
      <c r="N36" s="384" t="e">
        <f t="shared" ca="1" si="8"/>
        <v>#N/A</v>
      </c>
      <c r="O36" s="385" t="e">
        <f t="shared" ca="1" si="5"/>
        <v>#N/A</v>
      </c>
      <c r="P36" s="385" t="e">
        <f t="shared" ca="1" si="6"/>
        <v>#N/A</v>
      </c>
      <c r="Q36" s="386" t="e">
        <f ca="1">IF(ISNA(E36),NA(),_xll.meCurveDiscountFactorsForwardStarting(COB,$I36,$U$9,$U$11))</f>
        <v>#N/A</v>
      </c>
      <c r="R36" s="392" t="e">
        <f t="shared" ca="1" si="7"/>
        <v>#N/A</v>
      </c>
      <c r="T36" s="245" t="s">
        <v>226</v>
      </c>
      <c r="U36" s="263"/>
    </row>
    <row r="37" spans="2:21" x14ac:dyDescent="0.25">
      <c r="B37" s="397" t="s">
        <v>410</v>
      </c>
      <c r="C37" s="427" t="s">
        <v>411</v>
      </c>
      <c r="D37" s="358">
        <v>13</v>
      </c>
      <c r="E37" s="402" t="e">
        <f ca="1"/>
        <v>#N/A</v>
      </c>
      <c r="F37" s="403" t="e">
        <f ca="1"/>
        <v>#N/A</v>
      </c>
      <c r="G37" s="403" t="e">
        <f ca="1"/>
        <v>#N/A</v>
      </c>
      <c r="H37" s="394" t="e">
        <f ca="1"/>
        <v>#N/A</v>
      </c>
      <c r="I37" s="404" t="e">
        <f ca="1"/>
        <v>#N/A</v>
      </c>
      <c r="K37" s="437" t="e">
        <f ca="1">IF(ISNA($E37),NA(),_xll.meDateYearFraction(F37,G37,$C$26))</f>
        <v>#N/A</v>
      </c>
      <c r="M37" s="383" t="e">
        <f t="shared" ca="1" si="4"/>
        <v>#N/A</v>
      </c>
      <c r="N37" s="384" t="e">
        <f t="shared" ca="1" si="8"/>
        <v>#N/A</v>
      </c>
      <c r="O37" s="385" t="e">
        <f t="shared" ca="1" si="5"/>
        <v>#N/A</v>
      </c>
      <c r="P37" s="385" t="e">
        <f t="shared" ca="1" si="6"/>
        <v>#N/A</v>
      </c>
      <c r="Q37" s="386" t="e">
        <f ca="1">IF(ISNA(E37),NA(),_xll.meCurveDiscountFactorsForwardStarting(COB,$I37,$U$9,$U$11))</f>
        <v>#N/A</v>
      </c>
      <c r="R37" s="392" t="e">
        <f t="shared" ca="1" si="7"/>
        <v>#N/A</v>
      </c>
      <c r="T37" s="245" t="s">
        <v>227</v>
      </c>
      <c r="U37" s="263"/>
    </row>
    <row r="38" spans="2:21" x14ac:dyDescent="0.25">
      <c r="B38" s="397" t="s">
        <v>412</v>
      </c>
      <c r="C38" s="366"/>
      <c r="D38" s="358">
        <v>14</v>
      </c>
      <c r="E38" s="402" t="e">
        <f ca="1"/>
        <v>#N/A</v>
      </c>
      <c r="F38" s="403" t="e">
        <f ca="1"/>
        <v>#N/A</v>
      </c>
      <c r="G38" s="403" t="e">
        <f ca="1"/>
        <v>#N/A</v>
      </c>
      <c r="H38" s="394" t="e">
        <f ca="1"/>
        <v>#N/A</v>
      </c>
      <c r="I38" s="404" t="e">
        <f ca="1"/>
        <v>#N/A</v>
      </c>
      <c r="K38" s="437" t="e">
        <f ca="1">IF(ISNA($E38),NA(),_xll.meDateYearFraction(F38,G38,$C$26))</f>
        <v>#N/A</v>
      </c>
      <c r="M38" s="383" t="e">
        <f t="shared" ca="1" si="4"/>
        <v>#N/A</v>
      </c>
      <c r="N38" s="384" t="e">
        <f t="shared" ca="1" si="8"/>
        <v>#N/A</v>
      </c>
      <c r="O38" s="385" t="e">
        <f t="shared" ca="1" si="5"/>
        <v>#N/A</v>
      </c>
      <c r="P38" s="385" t="e">
        <f t="shared" ca="1" si="6"/>
        <v>#N/A</v>
      </c>
      <c r="Q38" s="386" t="e">
        <f ca="1">IF(ISNA(E38),NA(),_xll.meCurveDiscountFactorsForwardStarting(COB,$I38,$U$9,$U$11))</f>
        <v>#N/A</v>
      </c>
      <c r="R38" s="392" t="e">
        <f t="shared" ca="1" si="7"/>
        <v>#N/A</v>
      </c>
      <c r="T38" s="245" t="s">
        <v>228</v>
      </c>
      <c r="U38" s="259" t="s">
        <v>172</v>
      </c>
    </row>
    <row r="39" spans="2:21" x14ac:dyDescent="0.25">
      <c r="B39" s="397" t="s">
        <v>413</v>
      </c>
      <c r="C39" s="366"/>
      <c r="D39" s="358">
        <v>15</v>
      </c>
      <c r="E39" s="402" t="e">
        <f ca="1"/>
        <v>#N/A</v>
      </c>
      <c r="F39" s="403" t="e">
        <f ca="1"/>
        <v>#N/A</v>
      </c>
      <c r="G39" s="403" t="e">
        <f ca="1"/>
        <v>#N/A</v>
      </c>
      <c r="H39" s="394" t="e">
        <f ca="1"/>
        <v>#N/A</v>
      </c>
      <c r="I39" s="404" t="e">
        <f ca="1"/>
        <v>#N/A</v>
      </c>
      <c r="K39" s="437" t="e">
        <f ca="1">IF(ISNA($E39),NA(),_xll.meDateYearFraction(F39,G39,$C$26))</f>
        <v>#N/A</v>
      </c>
      <c r="M39" s="383" t="e">
        <f t="shared" ca="1" si="4"/>
        <v>#N/A</v>
      </c>
      <c r="N39" s="384" t="e">
        <f t="shared" ca="1" si="8"/>
        <v>#N/A</v>
      </c>
      <c r="O39" s="385" t="e">
        <f t="shared" ca="1" si="5"/>
        <v>#N/A</v>
      </c>
      <c r="P39" s="385" t="e">
        <f t="shared" ca="1" si="6"/>
        <v>#N/A</v>
      </c>
      <c r="Q39" s="386" t="e">
        <f ca="1">IF(ISNA(E39),NA(),_xll.meCurveDiscountFactorsForwardStarting(COB,$I39,$U$9,$U$11))</f>
        <v>#N/A</v>
      </c>
      <c r="R39" s="392" t="e">
        <f t="shared" ca="1" si="7"/>
        <v>#N/A</v>
      </c>
      <c r="T39" s="245" t="s">
        <v>230</v>
      </c>
      <c r="U39" s="259" t="s">
        <v>173</v>
      </c>
    </row>
    <row r="40" spans="2:21" x14ac:dyDescent="0.25">
      <c r="B40" s="398" t="s">
        <v>414</v>
      </c>
      <c r="C40" s="367"/>
      <c r="D40" s="358">
        <v>18</v>
      </c>
      <c r="E40" s="405" t="e">
        <f ca="1"/>
        <v>#N/A</v>
      </c>
      <c r="F40" s="406" t="e">
        <f ca="1"/>
        <v>#N/A</v>
      </c>
      <c r="G40" s="406" t="e">
        <f ca="1"/>
        <v>#N/A</v>
      </c>
      <c r="H40" s="395" t="e">
        <f ca="1"/>
        <v>#N/A</v>
      </c>
      <c r="I40" s="407" t="e">
        <f ca="1"/>
        <v>#N/A</v>
      </c>
      <c r="K40" s="439" t="e">
        <f ca="1">IF(ISNA($E40),NA(),_xll.meDateYearFraction(F40,G40,$C$26))</f>
        <v>#N/A</v>
      </c>
      <c r="M40" s="387" t="e">
        <f t="shared" ca="1" si="4"/>
        <v>#N/A</v>
      </c>
      <c r="N40" s="388" t="e">
        <f t="shared" ca="1" si="8"/>
        <v>#N/A</v>
      </c>
      <c r="O40" s="389" t="e">
        <f t="shared" ca="1" si="5"/>
        <v>#N/A</v>
      </c>
      <c r="P40" s="389" t="e">
        <f t="shared" ca="1" si="6"/>
        <v>#N/A</v>
      </c>
      <c r="Q40" s="390" t="e">
        <f ca="1">IF(ISNA(E40),NA(),_xll.meCurveDiscountFactorsForwardStarting(COB,$I40,$U$9,$U$11))</f>
        <v>#N/A</v>
      </c>
      <c r="R40" s="393" t="e">
        <f t="shared" ca="1" si="7"/>
        <v>#N/A</v>
      </c>
      <c r="T40" s="246" t="s">
        <v>229</v>
      </c>
      <c r="U40" s="312">
        <v>0</v>
      </c>
    </row>
    <row r="41" spans="2:21" x14ac:dyDescent="0.25">
      <c r="E41" s="368"/>
    </row>
    <row r="42" spans="2:21" x14ac:dyDescent="0.25">
      <c r="E42" s="112"/>
      <c r="G42" s="424"/>
      <c r="M42" s="378" t="s">
        <v>424</v>
      </c>
      <c r="T42" s="378" t="s">
        <v>425</v>
      </c>
    </row>
    <row r="43" spans="2:21" x14ac:dyDescent="0.25">
      <c r="E43" s="420"/>
      <c r="G43" s="102"/>
      <c r="M43" s="126" t="s">
        <v>329</v>
      </c>
      <c r="N43" s="373">
        <f ca="1">Q44/Q45</f>
        <v>-2.962775427450643E-3</v>
      </c>
      <c r="O43" s="372"/>
      <c r="P43" s="198" t="s">
        <v>421</v>
      </c>
      <c r="Q43" s="371">
        <f ca="1">SUMIF(Q6:Q21,"&lt;&gt;#N/A")</f>
        <v>20177.354044194457</v>
      </c>
      <c r="R43" s="128"/>
      <c r="T43" s="247" t="s">
        <v>329</v>
      </c>
      <c r="U43" s="248">
        <f ca="1">IF(AND(NOW(),isEUR12MLLoaded),_xll.meProductSwapParRate($T$5:$U$40,FALSE),"Load Curve")</f>
        <v>-2.9628517302551275E-3</v>
      </c>
    </row>
    <row r="44" spans="2:21" x14ac:dyDescent="0.25">
      <c r="E44" s="420"/>
      <c r="G44" s="423"/>
      <c r="M44" s="129" t="s">
        <v>330</v>
      </c>
      <c r="N44" s="374">
        <f ca="1">IF(U6="RECEIVER",Q43-Q44,Q44-Q43)</f>
        <v>26155.450919505576</v>
      </c>
      <c r="O44" s="375"/>
      <c r="P44" s="199" t="s">
        <v>422</v>
      </c>
      <c r="Q44" s="374">
        <f ca="1">SUMIF(R25:R40,"&lt;&gt;#N/A")</f>
        <v>-5978.0968753111183</v>
      </c>
      <c r="R44" s="131"/>
      <c r="T44" s="249" t="s">
        <v>330</v>
      </c>
      <c r="U44" s="251">
        <f ca="1">IF(AND(NOW(),isEUR12MLLoaded),_xll.meProductSwapPV($T$5:$U$40,FALSE),"Load Curve")</f>
        <v>26155.546792074219</v>
      </c>
    </row>
    <row r="45" spans="2:21" x14ac:dyDescent="0.25">
      <c r="E45" s="424"/>
      <c r="M45" s="129" t="s">
        <v>175</v>
      </c>
      <c r="N45" s="374">
        <f ca="1">Q45/10000</f>
        <v>201.77354044194453</v>
      </c>
      <c r="O45" s="375"/>
      <c r="P45" s="130" t="s">
        <v>423</v>
      </c>
      <c r="Q45" s="374">
        <f ca="1">SUMPRODUCT(H6:H7,P6:P7)*$U$5</f>
        <v>2017735.4044194454</v>
      </c>
      <c r="R45" s="131"/>
      <c r="T45" s="249" t="s">
        <v>331</v>
      </c>
      <c r="U45" s="251">
        <f ca="1">IF(AND(NOW(),isEUR12MLLoaded),_xll.meProductSwapPV01($T$5:$U$40,FALSE),"Load Curve")</f>
        <v>201.77309234313017</v>
      </c>
    </row>
    <row r="46" spans="2:21" x14ac:dyDescent="0.25">
      <c r="G46" s="424"/>
      <c r="H46" s="424"/>
      <c r="M46" s="376"/>
      <c r="N46" s="377"/>
      <c r="O46" s="377"/>
      <c r="P46" s="134"/>
      <c r="Q46" s="134"/>
      <c r="R46" s="135"/>
      <c r="T46" s="250" t="s">
        <v>332</v>
      </c>
      <c r="U46" s="252">
        <f ca="1">IF(AND(NOW(),isEUR12MLLoaded),_xll.meProductSwapDV01($T$5:$U$40,FALSE),"Load Curve")</f>
        <v>206.12156921900737</v>
      </c>
    </row>
    <row r="47" spans="2:21" x14ac:dyDescent="0.25">
      <c r="G47" s="422"/>
      <c r="H47" s="424"/>
    </row>
    <row r="48" spans="2:21" x14ac:dyDescent="0.25">
      <c r="G48" s="422"/>
      <c r="H48" s="424"/>
    </row>
    <row r="49" spans="7:8" x14ac:dyDescent="0.25">
      <c r="G49" s="422"/>
      <c r="H49" s="424"/>
    </row>
    <row r="50" spans="7:8" x14ac:dyDescent="0.25">
      <c r="G50" s="422"/>
      <c r="H50" s="424"/>
    </row>
    <row r="51" spans="7:8" x14ac:dyDescent="0.25">
      <c r="G51" s="422"/>
      <c r="H51" s="424"/>
    </row>
    <row r="52" spans="7:8" x14ac:dyDescent="0.25">
      <c r="G52" s="422"/>
      <c r="H52" s="424"/>
    </row>
    <row r="53" spans="7:8" x14ac:dyDescent="0.25">
      <c r="G53" s="422"/>
      <c r="H53" s="424"/>
    </row>
    <row r="54" spans="7:8" x14ac:dyDescent="0.25">
      <c r="G54" s="422"/>
      <c r="H54" s="424"/>
    </row>
    <row r="83" spans="23:35" x14ac:dyDescent="0.25">
      <c r="X83" s="450" t="s">
        <v>176</v>
      </c>
      <c r="Y83" s="450"/>
      <c r="Z83" s="450"/>
      <c r="AB83" s="450" t="s">
        <v>94</v>
      </c>
      <c r="AC83" s="450"/>
      <c r="AD83" s="450"/>
      <c r="AF83" s="450" t="s">
        <v>176</v>
      </c>
      <c r="AG83" s="450"/>
      <c r="AH83" s="450"/>
    </row>
    <row r="84" spans="23:35" x14ac:dyDescent="0.25">
      <c r="X84" s="450"/>
      <c r="Y84" s="450"/>
      <c r="Z84" s="450"/>
      <c r="AB84" s="450"/>
      <c r="AC84" s="450"/>
      <c r="AD84" s="450"/>
      <c r="AF84" s="450"/>
      <c r="AG84" s="450"/>
      <c r="AH84" s="450"/>
    </row>
    <row r="85" spans="23:35" ht="21.75" thickBot="1" x14ac:dyDescent="0.3">
      <c r="W85" s="414"/>
      <c r="X85" s="415"/>
      <c r="Y85" s="415"/>
      <c r="Z85" s="415"/>
      <c r="AA85" s="412"/>
      <c r="AB85" s="411"/>
      <c r="AC85" s="411"/>
      <c r="AD85" s="411"/>
      <c r="AE85" s="414"/>
      <c r="AF85" s="415"/>
      <c r="AG85" s="415"/>
      <c r="AH85" s="415"/>
      <c r="AI85" s="412"/>
    </row>
    <row r="86" spans="23:35" ht="15.75" thickTop="1" x14ac:dyDescent="0.25">
      <c r="X86" s="413"/>
      <c r="Y86" s="123"/>
      <c r="AA86" s="413"/>
      <c r="AF86" s="413"/>
      <c r="AG86" s="123"/>
      <c r="AH86" s="123"/>
      <c r="AI86" s="413"/>
    </row>
    <row r="87" spans="23:35" ht="18.75" x14ac:dyDescent="0.25">
      <c r="W87" s="449" t="s">
        <v>433</v>
      </c>
      <c r="X87" s="449"/>
      <c r="Y87" s="449" t="s">
        <v>435</v>
      </c>
      <c r="Z87" s="449"/>
      <c r="AA87" s="449"/>
      <c r="AB87" s="449"/>
      <c r="AC87" s="416"/>
      <c r="AD87" s="449" t="s">
        <v>434</v>
      </c>
      <c r="AE87" s="449"/>
      <c r="AF87" s="449"/>
      <c r="AG87" s="449"/>
      <c r="AH87" s="449" t="s">
        <v>436</v>
      </c>
      <c r="AI87" s="449"/>
    </row>
  </sheetData>
  <mergeCells count="7">
    <mergeCell ref="X83:Z84"/>
    <mergeCell ref="AB83:AD84"/>
    <mergeCell ref="AF83:AH84"/>
    <mergeCell ref="W87:X87"/>
    <mergeCell ref="Y87:AB87"/>
    <mergeCell ref="AD87:AG87"/>
    <mergeCell ref="AH87:AI87"/>
  </mergeCells>
  <dataValidations count="11">
    <dataValidation type="list" allowBlank="1" showInputMessage="1" showErrorMessage="1" sqref="U15 U27 U29 U31 U17">
      <formula1>"TGT,NYB:LNB,LNB,TKB:LNB"</formula1>
    </dataValidation>
    <dataValidation type="list" allowBlank="1" showInputMessage="1" showErrorMessage="1" sqref="U22 U39">
      <formula1>"None,ShortStart,ShortEnd,LongStart,LongEnd"</formula1>
    </dataValidation>
    <dataValidation type="list" allowBlank="1" showInputMessage="1" showErrorMessage="1" sqref="U13 U25">
      <formula1>"30/360,ACT/360,ACT/365"</formula1>
    </dataValidation>
    <dataValidation type="list" allowBlank="1" showInputMessage="1" showErrorMessage="1" sqref="U24 U12">
      <formula1>"Annual,Semi-Annual,Quarterly,Monthly"</formula1>
    </dataValidation>
    <dataValidation type="list" allowBlank="1" showInputMessage="1" showErrorMessage="1" sqref="U14 U16 U28 U30 U26">
      <formula1>"MOD_FOLLOWING,FOLLOWING,MOD_PRECEDING,PRECEDING,NO_CHANGE"</formula1>
    </dataValidation>
    <dataValidation type="list" allowBlank="1" showInputMessage="1" showErrorMessage="1" sqref="U6">
      <formula1>"PAYER,RECEIVER"</formula1>
    </dataValidation>
    <dataValidation type="list" allowBlank="1" showInputMessage="1" showErrorMessage="1" sqref="C40 C21">
      <formula1>"TRUE,FALSE"</formula1>
    </dataValidation>
    <dataValidation type="list" allowBlank="1" showInputMessage="1" showErrorMessage="1" sqref="C30 C27 C11 C8">
      <formula1>"Annual,Semi-Annual,Quarterly,Monthly,Weekly"</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7 C18">
      <formula1>"ADVANCE,ARREARS"</formula1>
    </dataValidation>
    <dataValidation type="list" allowBlank="1" showInputMessage="1" showErrorMessage="1" sqref="C26 C7">
      <formula1>"ACT/365,ACT/365_ISDA,ACT/360,30/360,30E/360,ACT/365FJ"</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65170.695918903562</v>
      </c>
    </row>
    <row r="48" spans="2:3" x14ac:dyDescent="0.25">
      <c r="B48" s="266" t="s">
        <v>174</v>
      </c>
      <c r="C48" s="292">
        <f ca="1">IF(AND(NOW(),isEUROISLoaded),_xll.meProductOISParRate(B8:C44,FALSE),"Load Curve")</f>
        <v>-2.7164574233614958E-3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1.6525017073490192E-4</v>
      </c>
      <c r="D48" s="253"/>
      <c r="E48" s="253"/>
      <c r="F48" s="253"/>
      <c r="G48" s="253"/>
      <c r="H48" s="253"/>
    </row>
    <row r="49" spans="2:8" x14ac:dyDescent="0.25">
      <c r="B49" s="249" t="s">
        <v>330</v>
      </c>
      <c r="C49" s="251">
        <f ca="1">IF(AND(NOW(),isEUR12MLLoaded),_xll.meProductSwapPV(B9:C44,FALSE),"Load Curve")</f>
        <v>49684.436929201889</v>
      </c>
      <c r="D49" s="253"/>
      <c r="E49" s="253"/>
      <c r="F49" s="253"/>
      <c r="G49" s="253"/>
      <c r="H49" s="253"/>
    </row>
    <row r="50" spans="2:8" x14ac:dyDescent="0.25">
      <c r="B50" s="249" t="s">
        <v>331</v>
      </c>
      <c r="C50" s="251">
        <f ca="1">IF(AND(NOW(),isEUR12MLLoaded),_xll.meProductSwapPV01(B9:C44,FALSE),"Load Curve")</f>
        <v>505.19268707127401</v>
      </c>
      <c r="D50" s="253"/>
      <c r="E50" s="253"/>
      <c r="F50" s="253"/>
      <c r="G50" s="253"/>
      <c r="H50" s="253"/>
    </row>
    <row r="51" spans="2:8" x14ac:dyDescent="0.25">
      <c r="B51" s="250" t="s">
        <v>332</v>
      </c>
      <c r="C51" s="252">
        <f ca="1">IF(AND(NOW(),isEUR12MLLoaded),_xll.meProductSwapDV01(B9:C44,FALSE),"Load Curve")</f>
        <v>521.45378750255395</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74</vt:i4>
      </vt:variant>
    </vt:vector>
  </HeadingPairs>
  <TitlesOfParts>
    <vt:vector size="86" baseType="lpstr">
      <vt:lpstr>Settings</vt:lpstr>
      <vt:lpstr>EUROIS</vt:lpstr>
      <vt:lpstr>EUR3ML</vt:lpstr>
      <vt:lpstr>EUR6ML</vt:lpstr>
      <vt:lpstr>EUR1ML</vt:lpstr>
      <vt:lpstr>EUR12ML</vt:lpstr>
      <vt:lpstr>Forwards</vt:lpstr>
      <vt:lpstr>DiscountFactors</vt:lpstr>
      <vt:lpstr>SwapSchedule</vt:lpstr>
      <vt:lpstr>ManualPriceIRS</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ManualPriceIRS!SwapDealInfo</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2016-06-22T17:36:03Z</dcterms:modified>
</cp:coreProperties>
</file>