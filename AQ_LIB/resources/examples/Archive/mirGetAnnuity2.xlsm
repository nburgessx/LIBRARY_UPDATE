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definedNames>
    <definedName name="COB">#REF!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teVector">Example!$A$14:$A$16</definedName>
    <definedName name="DayCount">Example!$B$9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nterpolation">Example!$B$11</definedName>
    <definedName name="isEUR3MLLoaded">#REF!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7" i="22" l="1"/>
  <c r="B14" i="22"/>
  <c r="B5" i="22" l="1"/>
  <c r="A14" i="22" l="1"/>
  <c r="A15" i="22" s="1"/>
  <c r="A16" i="22" s="1"/>
  <c r="D7" i="2"/>
  <c r="D8" i="2" l="1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<sst xmlns="http://schemas.openxmlformats.org/spreadsheetml/2006/main" count="362" uniqueCount="171">
  <si>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</si>
  <si>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</si>
  <si>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</si>
  <si>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</si>
  <si>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</si>
  <si>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</si>
  <si>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</si>
  <si>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</si>
  <si>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</si>
  <si>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</si>
  <si>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</si>
  <si>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</si>
  <si>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</si>
  <si>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</si>
  <si>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</si>
  <si>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</si>
  <si>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</si>
  <si>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</si>
  <si>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</si>
  <si>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</si>
  <si>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</si>
  <si>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</si>
  <si>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</si>
  <si>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</si>
  <si>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</si>
  <si>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</si>
  <si>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</si>
  <si>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</si>
  <si>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</si>
  <si>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</si>
  <si>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</si>
  <si>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</si>
  <si>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</si>
  <si>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</si>
  <si>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</si>
  <si>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</si>
  <si>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</si>
  <si>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</si>
  <si>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</si>
  <si>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</si>
  <si>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</si>
  <si>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</si>
  <si>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</si>
  <si>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</si>
  <si>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</si>
  <si>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</si>
  <si>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</si>
  <si>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</si>
  <si>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</si>
  <si>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</si>
  <si>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</si>
  <si>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</si>
  <si>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</si>
  <si>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</si>
  <si>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</si>
  <si>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</si>
  <si>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</si>
  <si>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</si>
  <si>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</si>
  <si>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</si>
  <si>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</si>
  <si>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</si>
  <si>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</si>
  <si>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</si>
  <si>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</si>
  <si>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</si>
  <si>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</si>
  <si>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</si>
  <si>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</si>
  <si>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</si>
  <si>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</si>
  <si>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</si>
  <si>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</si>
  <si>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</si>
  <si>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</si>
  <si>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</si>
  <si>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</si>
  <si>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</si>
  <si>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</si>
  <si>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</si>
  <si>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</si>
  <si>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</si>
  <si>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</si>
  <si>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</si>
  <si>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</si>
  <si>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</si>
  <si>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</si>
  <si>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</si>
  <si>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</si>
  <si>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</si>
  <si>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</si>
  <si>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</si>
  <si>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</si>
  <si>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</si>
  <si>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</si>
  <si>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</si>
  <si>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</si>
  <si>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</si>
  <si>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</si>
  <si>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</si>
  <si>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</si>
  <si>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</si>
  <si>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</si>
  <si>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</si>
  <si>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</si>
  <si>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</si>
  <si>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</si>
  <si>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</si>
  <si>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</si>
  <si>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</si>
  <si>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</si>
  <si>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</si>
  <si>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</si>
  <si>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</si>
  <si>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</si>
  <si>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</si>
  <si>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</si>
  <si>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</si>
  <si>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</si>
  <si>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</si>
  <si>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</si>
  <si>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</si>
  <si>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</si>
  <si>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</si>
  <si>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</si>
  <si>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</si>
  <si>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</si>
  <si>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</si>
  <si>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</si>
  <si>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</si>
  <si>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</si>
  <si>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</si>
  <si>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</si>
  <si>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</si>
  <si>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</si>
  <si>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</si>
  <si>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</si>
  <si>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</si>
  <si>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</si>
  <si>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</si>
  <si>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</si>
  <si>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</si>
  <si>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</si>
  <si>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</si>
  <si>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</si>
  <si>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</si>
  <si>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</si>
  <si>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</si>
  <si>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</si>
  <si>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</si>
  <si>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</si>
  <si>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</si>
  <si>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</si>
  <si>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</si>
  <si>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</si>
  <si>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</si>
  <si>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</si>
  <si>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</si>
  <si>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TradeDate</t>
  </si>
  <si>
    <t>2D</t>
  </si>
  <si>
    <t>1Y</t>
  </si>
  <si>
    <t>CurveID</t>
    <phoneticPr fontId="7"/>
  </si>
  <si>
    <t>CurveName</t>
    <phoneticPr fontId="7"/>
  </si>
  <si>
    <t>SpotLag</t>
    <phoneticPr fontId="7"/>
  </si>
  <si>
    <t>ValueDate</t>
    <phoneticPr fontId="7"/>
  </si>
  <si>
    <t>Term</t>
    <phoneticPr fontId="7"/>
  </si>
  <si>
    <t>DayCount</t>
    <phoneticPr fontId="7"/>
  </si>
  <si>
    <t>Interpolation</t>
    <phoneticPr fontId="7"/>
  </si>
  <si>
    <t>Spline</t>
    <phoneticPr fontId="7"/>
  </si>
  <si>
    <t>mirGetAnnuity2</t>
  </si>
  <si>
    <t>DateVector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</si>
</sst>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</cellStyleXfs>
  <cellXfs count="131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18" fillId="0" borderId="0" xfId="3" applyFont="1" applyAlignment="1">
      <alignment horizontal="center" vertical="center"/>
    </xf>
    <xf numFmtId="0" fontId="6" fillId="3" borderId="1" xfId="5" applyFont="1" applyFill="1" applyBorder="1">
      <alignment vertical="center"/>
    </xf>
    <xf numFmtId="0" fontId="6" fillId="3" borderId="4" xfId="5" applyFont="1" applyFill="1" applyBorder="1">
      <alignment vertical="center"/>
    </xf>
    <xf numFmtId="0" fontId="6" fillId="4" borderId="4" xfId="6" applyFont="1" applyFill="1" applyBorder="1"/>
    <xf numFmtId="0" fontId="6" fillId="3" borderId="11" xfId="5" applyFont="1" applyFill="1" applyBorder="1">
      <alignment vertical="center"/>
    </xf>
    <xf numFmtId="38" fontId="6" fillId="5" borderId="1" xfId="4" applyFont="1" applyFill="1" applyBorder="1" applyAlignment="1">
      <alignment horizontal="center" vertical="center"/>
    </xf>
    <xf numFmtId="38" fontId="6" fillId="5" borderId="4" xfId="4" applyFont="1" applyFill="1" applyBorder="1" applyAlignment="1">
      <alignment horizontal="center" vertical="center"/>
    </xf>
    <xf numFmtId="38" fontId="6" fillId="5" borderId="11" xfId="4" applyFont="1" applyFill="1" applyBorder="1" applyAlignment="1">
      <alignment horizontal="center" vertical="center"/>
    </xf>
    <xf numFmtId="15" fontId="6" fillId="5" borderId="4" xfId="5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5" fontId="0" fillId="0" borderId="0" xfId="0" applyNumberFormat="1"/>
    <xf numFmtId="14" fontId="6" fillId="3" borderId="6" xfId="5" applyNumberFormat="1" applyFont="1" applyFill="1" applyBorder="1" applyAlignment="1">
      <alignment horizontal="center" vertical="center"/>
    </xf>
    <xf numFmtId="0" fontId="0" fillId="0" borderId="0" xfId="0"/>
    <xf numFmtId="15" fontId="0" fillId="0" borderId="0" xfId="0" applyNumberFormat="1" applyAlignment="1">
      <alignment horizontal="center"/>
    </xf>
    <xf numFmtId="167" fontId="6" fillId="0" borderId="8" xfId="4" applyNumberFormat="1" applyFont="1" applyFill="1" applyBorder="1" applyAlignment="1">
      <alignment horizontal="center" vertical="center"/>
    </xf>
  </cellXfs>
  <cellStyles count="8">
    <cellStyle name="Comma [0]" xfId="2" builtinId="6"/>
    <cellStyle name="Comma [0] 2" xfId="4"/>
    <cellStyle name="Normal" xfId="0" builtinId="0"/>
    <cellStyle name="Normal 2" xfId="3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topLeftCell="A55" workbookViewId="0">
      <selection activeCell="D64" sqref="D64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(0.46800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topLeftCell="A7" workbookViewId="0">
      <selection activeCell="I30" sqref="I30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(0.24900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8"/>
  <sheetViews>
    <sheetView tabSelected="1" workbookViewId="0">
      <selection activeCell="F11" sqref="F11"/>
    </sheetView>
  </sheetViews>
  <sheetFormatPr defaultRowHeight="15"/>
  <cols>
    <col min="1" max="1" width="20.5703125" customWidth="1"/>
    <col min="2" max="2" width="37.85546875" customWidth="1"/>
    <col min="3" max="3" width="10.140625" bestFit="1" customWidth="1"/>
    <col min="4" max="4" width="11.28515625" customWidth="1"/>
    <col min="6" max="6" width="9.85546875" bestFit="1" customWidth="1"/>
  </cols>
  <sheetData>
    <row r="2" spans="1:6">
      <c r="A2" s="115" t="s">
        <v>157</v>
      </c>
      <c r="B2" s="114"/>
    </row>
    <row r="3" spans="1:6">
      <c r="A3" s="117" t="s">
        <v>161</v>
      </c>
      <c r="B3" s="121" t="s">
        <v>81</v>
      </c>
    </row>
    <row r="4" spans="1:6">
      <c r="A4" s="118" t="s">
        <v>162</v>
      </c>
      <c r="B4" s="125" t="s">
        <v>9</v>
      </c>
    </row>
    <row r="5" spans="1:6">
      <c r="A5" s="118" t="s">
        <v>158</v>
      </c>
      <c r="B5" s="124">
        <f ca="1">TODAY()</f>
        <v>42466</v>
      </c>
    </row>
    <row r="6" spans="1:6">
      <c r="A6" s="118" t="s">
        <v>163</v>
      </c>
      <c r="B6" s="122" t="s">
        <v>159</v>
      </c>
    </row>
    <row r="7" spans="1:6">
      <c r="A7" s="119" t="s">
        <v>164</v>
      </c>
      <c r="B7" s="124">
        <f ca="1">_xll.mirGetDate(B5,B6,"FOLLOWING",B10)</f>
        <v>42468</v>
      </c>
      <c r="C7" s="126"/>
      <c r="D7" s="126"/>
      <c r="E7" s="126"/>
      <c r="F7" s="126"/>
    </row>
    <row r="8" spans="1:6">
      <c r="A8" s="119" t="s">
        <v>165</v>
      </c>
      <c r="B8" s="122" t="s">
        <v>160</v>
      </c>
    </row>
    <row r="9" spans="1:6" s="128" customFormat="1">
      <c r="A9" s="118" t="s">
        <v>166</v>
      </c>
      <c r="B9" s="122" t="s">
        <v>6</v>
      </c>
    </row>
    <row r="10" spans="1:6">
      <c r="A10" s="118" t="s">
        <v>1</v>
      </c>
      <c r="B10" s="122" t="s">
        <v>2</v>
      </c>
    </row>
    <row r="11" spans="1:6">
      <c r="A11" s="120" t="s">
        <v>167</v>
      </c>
      <c r="B11" s="123" t="s">
        <v>168</v>
      </c>
    </row>
    <row r="13" spans="1:6">
      <c r="A13" s="127" t="s">
        <v>170</v>
      </c>
      <c r="B13" s="127" t="s">
        <v>169</v>
      </c>
    </row>
    <row r="14" spans="1:6">
      <c r="A14" s="129">
        <f ca="1">B7</f>
        <v>42468</v>
      </c>
      <c r="B14" s="130">
        <f ca="1">_xll.mirGetAnnuity2(CurveId,DateVector,DayCount,Interpolation,CurveName)</f>
        <v>0.16681309049948556</v>
      </c>
    </row>
    <row r="15" spans="1:6">
      <c r="A15" s="129">
        <f ca="1">A14+30</f>
        <v>42498</v>
      </c>
      <c r="B15" s="114"/>
    </row>
    <row r="16" spans="1:6">
      <c r="A16" s="129">
        <f ca="1">A15+30</f>
        <v>42528</v>
      </c>
      <c r="B16" s="116"/>
    </row>
    <row r="17" spans="1:1">
      <c r="A17" s="126"/>
    </row>
    <row r="18" spans="1:1">
      <c r="A18" s="126"/>
    </row>
  </sheetData>
  <dataValidations count="3">
    <dataValidation type="list" allowBlank="1" showInputMessage="1" showErrorMessage="1" sqref="B9">
      <formula1>" ACT/ACT, ACT/365,ACT/360, '30/360, 30E/360, ACT/365FJ,ACT/365_ISDA"</formula1>
    </dataValidation>
    <dataValidation imeMode="halfAlpha" allowBlank="1" showInputMessage="1" showErrorMessage="1" sqref="B8"/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EUR OIS</vt:lpstr>
      <vt:lpstr>EUR SWAP 6ML</vt:lpstr>
      <vt:lpstr>Example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DateVector</vt:lpstr>
      <vt:lpstr>DayCount</vt:lpstr>
      <vt:lpstr>FRA.Conventions</vt:lpstr>
      <vt:lpstr>FRA.MarketDataX3</vt:lpstr>
      <vt:lpstr>FRA.MarketDataX6</vt:lpstr>
      <vt:lpstr>Futures.Conventions</vt:lpstr>
      <vt:lpstr>Futures.MarketData</vt:lpstr>
      <vt:lpstr>Interpolation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2016-04-06T16:59:25Z</dcterms:modified>
</cp:coreProperties>
</file>