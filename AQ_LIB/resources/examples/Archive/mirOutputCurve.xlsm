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2"/>
  </bookViews>
  <sheets>
    <sheet name="EUR OIS" sheetId="2" r:id="rId1"/>
    <sheet name="EUR SWAP 6ML" sheetId="3" r:id="rId2"/>
    <sheet name="Example" sheetId="22" r:id="rId3"/>
  </sheets>
  <definedNames>
    <definedName name="Calendar">Example!#REF!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Id">Example!$B$3</definedName>
    <definedName name="CurveName">Example!$B$4</definedName>
    <definedName name="DayCount">Example!#REF!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equency">Example!#REF!</definedName>
    <definedName name="FromDate">Example!#REF!</definedName>
    <definedName name="Futures.Conventions">'EUR SWAP 6ML'!$C$72:$D$85</definedName>
    <definedName name="Futures.MarketData">'EUR SWAP 6ML'!$F$73:$J$85</definedName>
    <definedName name="Interpolation">Example!#REF!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lidingRule">Example!#REF!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oDate">Example!#REF!</definedName>
  </definedNames>
  <calcPr calcId="145621" calcMode="manual" calcOnSave="0"/>
</workbook>
</file>

<file path=xl/calcChain.xml><?xml version="1.0" encoding="utf-8"?>
<calcChain xmlns="http://schemas.openxmlformats.org/spreadsheetml/2006/main">
  <c r="A8" i="22" l="1" a="1"/>
  <c r="D7" i="2"/>
  <c r="D8" i="2" l="1"/>
  <c r="C19" i="22"/>
  <c r="A11" i="22"/>
  <c r="B16" i="22"/>
  <c r="C21" i="22"/>
  <c r="B11" i="22"/>
  <c r="C16" i="22"/>
  <c r="A22" i="22"/>
  <c r="C11" i="22"/>
  <c r="A17" i="22"/>
  <c r="C23" i="22"/>
  <c r="B13" i="22"/>
  <c r="C18" i="22"/>
  <c r="A20" i="22"/>
  <c r="C13" i="22"/>
  <c r="C8" i="22"/>
  <c r="A9" i="22"/>
  <c r="A21" i="22"/>
  <c r="B21" i="22"/>
  <c r="A12" i="22"/>
  <c r="B17" i="22"/>
  <c r="A8" i="22"/>
  <c r="B12" i="22"/>
  <c r="C17" i="22"/>
  <c r="A23" i="22"/>
  <c r="C12" i="22"/>
  <c r="A18" i="22"/>
  <c r="B23" i="22"/>
  <c r="A13" i="22"/>
  <c r="B18" i="22"/>
  <c r="B9" i="22"/>
  <c r="C14" i="22"/>
  <c r="A19" i="22"/>
  <c r="A14" i="22"/>
  <c r="B19" i="22"/>
  <c r="B14" i="22"/>
  <c r="A16" i="22"/>
  <c r="B22" i="22"/>
  <c r="C22" i="22"/>
  <c r="B8" i="22"/>
  <c r="C10" i="22"/>
  <c r="C9" i="22"/>
  <c r="A15" i="22"/>
  <c r="B20" i="22"/>
  <c r="A10" i="22"/>
  <c r="B15" i="22"/>
  <c r="C20" i="22"/>
  <c r="B10" i="22"/>
  <c r="C15" i="22"/>
  <c r="D8" i="3"/>
  <c r="D9" i="3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<sst xmlns="http://schemas.openxmlformats.org/spreadsheetml/2006/main" count="352" uniqueCount="163">
  <si>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</si>
  <si>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</si>
  <si>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</si>
  <si>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</si>
  <si>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</si>
  <si>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</si>
  <si>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</si>
  <si>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</si>
  <si>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</si>
  <si>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</si>
  <si>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</si>
  <si>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</si>
  <si>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</si>
  <si>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</si>
  <si>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</si>
  <si>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</si>
  <si>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</si>
  <si>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</si>
  <si>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</si>
  <si>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</si>
  <si>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</si>
  <si>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</si>
  <si>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</si>
  <si>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</si>
  <si>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</si>
  <si>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</si>
  <si>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</si>
  <si>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</si>
  <si>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</si>
  <si>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</si>
  <si>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</si>
  <si>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</si>
  <si>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</si>
  <si>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</si>
  <si>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</si>
  <si>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</si>
  <si>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</si>
  <si>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</si>
  <si>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</si>
  <si>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</si>
  <si>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</si>
  <si>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</si>
  <si>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</si>
  <si>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</si>
  <si>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</si>
  <si>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</si>
  <si>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</si>
  <si>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</si>
  <si>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</si>
  <si>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</si>
  <si>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</si>
  <si>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</si>
  <si>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</si>
  <si>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</si>
  <si>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</si>
  <si>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</si>
  <si>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</si>
  <si>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</si>
  <si>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</si>
  <si>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</si>
  <si>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</si>
  <si>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</si>
  <si>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</si>
  <si>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</si>
  <si>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</si>
  <si>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</si>
  <si>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</si>
  <si>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</si>
  <si>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</si>
  <si>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</si>
  <si>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</si>
  <si>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</si>
  <si>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</si>
  <si>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</si>
  <si>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</si>
  <si>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</si>
  <si>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</si>
  <si>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</si>
  <si>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</si>
  <si>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</si>
  <si>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</si>
  <si>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</si>
  <si>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</si>
  <si>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</si>
  <si>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</si>
  <si>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</si>
  <si>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</si>
  <si>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</si>
  <si>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</si>
  <si>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</si>
  <si>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</si>
  <si>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</si>
  <si>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</si>
  <si>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</si>
  <si>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</si>
  <si>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</si>
  <si>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</si>
  <si>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</si>
  <si>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</si>
  <si>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</si>
  <si>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</si>
  <si>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</si>
  <si>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</si>
  <si>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</si>
  <si>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</si>
  <si>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</si>
  <si>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</si>
  <si>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</si>
  <si>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</si>
  <si>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</si>
  <si>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</si>
  <si>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</si>
  <si>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</si>
  <si>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</si>
  <si>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</si>
  <si>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</si>
  <si>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</si>
  <si>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</si>
  <si>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</si>
  <si>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</si>
  <si>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</si>
  <si>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</si>
  <si>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</si>
  <si>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</si>
  <si>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</si>
  <si>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</si>
  <si>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</si>
  <si>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</si>
  <si>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</si>
  <si>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</si>
  <si>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</si>
  <si>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</si>
  <si>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</si>
  <si>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</si>
  <si>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</si>
  <si>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</si>
  <si>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</si>
  <si>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</si>
  <si>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</si>
  <si>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</si>
  <si>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</si>
  <si>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</si>
  <si>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</si>
  <si>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</si>
  <si>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</si>
  <si>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</si>
  <si>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</si>
  <si>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</si>
  <si>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</si>
  <si>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</si>
  <si>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</si>
  <si>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</si>
  <si>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</si>
  <si>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</si>
  <si>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</si>
  <si>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OIS:EUROIS:EURDF:EURDF_NOCSA</t>
  </si>
  <si>
    <t>Curve Loaded</t>
  </si>
  <si>
    <t>Parameters</t>
  </si>
  <si>
    <t>CurveID</t>
    <phoneticPr fontId="7"/>
  </si>
  <si>
    <t>CurveName</t>
    <phoneticPr fontId="7"/>
  </si>
  <si>
    <t>mirOutPutCurve</t>
  </si>
  <si>
    <t>DiscountFactors</t>
  </si>
  <si>
    <t>DiscountFactors2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</si>
</sst>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0.0000000000000"/>
  </numFmts>
  <fonts count="2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1" fillId="0" borderId="0">
      <alignment vertical="center"/>
    </xf>
    <xf numFmtId="38" fontId="21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3" fillId="0" borderId="0"/>
    <xf numFmtId="9" fontId="21" fillId="0" borderId="0" applyFont="0" applyFill="0" applyBorder="0" applyAlignment="0" applyProtection="0">
      <alignment vertical="center"/>
    </xf>
  </cellStyleXfs>
  <cellXfs count="13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21" fillId="0" borderId="0" xfId="3">
      <alignment vertical="center"/>
    </xf>
    <xf numFmtId="0" fontId="18" fillId="0" borderId="0" xfId="3" applyFont="1">
      <alignment vertical="center"/>
    </xf>
    <xf numFmtId="0" fontId="0" fillId="0" borderId="17" xfId="0" applyBorder="1"/>
    <xf numFmtId="14" fontId="6" fillId="3" borderId="0" xfId="5" applyNumberFormat="1" applyFont="1" applyFill="1" applyBorder="1">
      <alignment vertical="center"/>
    </xf>
    <xf numFmtId="0" fontId="0" fillId="0" borderId="19" xfId="0" applyBorder="1"/>
    <xf numFmtId="0" fontId="0" fillId="0" borderId="18" xfId="0" applyBorder="1"/>
    <xf numFmtId="167" fontId="6" fillId="0" borderId="0" xfId="4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6" fillId="3" borderId="24" xfId="5" applyFont="1" applyFill="1" applyBorder="1">
      <alignment vertical="center"/>
    </xf>
    <xf numFmtId="38" fontId="6" fillId="4" borderId="25" xfId="4" applyFont="1" applyFill="1" applyBorder="1" applyAlignment="1">
      <alignment horizontal="center" vertical="center"/>
    </xf>
    <xf numFmtId="0" fontId="6" fillId="3" borderId="26" xfId="5" applyFont="1" applyFill="1" applyBorder="1">
      <alignment vertical="center"/>
    </xf>
    <xf numFmtId="0" fontId="6" fillId="0" borderId="27" xfId="0" applyFont="1" applyFill="1" applyBorder="1" applyAlignment="1">
      <alignment horizontal="center" vertical="center"/>
    </xf>
    <xf numFmtId="0" fontId="0" fillId="0" borderId="16" xfId="0" applyBorder="1"/>
    <xf numFmtId="0" fontId="0" fillId="0" borderId="23" xfId="0" applyBorder="1"/>
  </cellXfs>
  <cellStyles count="8">
    <cellStyle name="Comma [0]" xfId="2" builtinId="6"/>
    <cellStyle name="Comma [0] 2" xfId="4"/>
    <cellStyle name="Normal" xfId="0" builtinId="0"/>
    <cellStyle name="Normal 2" xfId="3"/>
    <cellStyle name="Percent 2" xfId="7"/>
    <cellStyle name="標準_DegitalOption_test" xfId="6"/>
    <cellStyle name="標準_Input_OutPut20060417" xfId="1"/>
    <cellStyle name="標準_VanillaSheetSample" xfId="5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>
      <selection activeCell="D13" sqref="D13"/>
    </sheetView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91</v>
      </c>
    </row>
    <row r="3" spans="2:14">
      <c r="B3" s="65"/>
    </row>
    <row r="4" spans="2:14">
      <c r="B4" s="65"/>
    </row>
    <row r="5" spans="2:14">
      <c r="B5" s="65" t="s">
        <v>80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OIS OIS Curve has been set (0.49600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12" t="s">
        <v>156</v>
      </c>
      <c r="D8" s="113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90</v>
      </c>
      <c r="D13" s="110" t="s">
        <v>155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142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145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>
      <selection activeCell="I30" sqref="I30"/>
    </sheetView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t="s">
        <v>149</v>
      </c>
    </row>
    <row r="3" spans="2:12">
      <c r="B3" t="s">
        <v>150</v>
      </c>
    </row>
    <row r="6" spans="2:12">
      <c r="B6" s="56" t="s">
        <v>92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92</v>
      </c>
      <c r="D8" s="61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(0.26500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12" t="s">
        <v>156</v>
      </c>
      <c r="D9" s="113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27</v>
      </c>
      <c r="D29" s="108" t="s">
        <v>135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 t="s">
        <v>99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100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101</v>
      </c>
      <c r="D37" s="10"/>
      <c r="E37" s="10"/>
      <c r="F37" s="49" t="s">
        <v>108</v>
      </c>
      <c r="G37" s="10"/>
      <c r="H37" s="10"/>
      <c r="I37" s="49" t="s">
        <v>146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102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153</v>
      </c>
      <c r="J39" s="75">
        <v>-2.8E-3</v>
      </c>
      <c r="K39" s="78"/>
      <c r="L39" s="55"/>
    </row>
    <row r="40" spans="2:12">
      <c r="B40" s="5"/>
      <c r="C40" s="28" t="s">
        <v>103</v>
      </c>
      <c r="D40" s="35" t="s">
        <v>104</v>
      </c>
      <c r="E40" s="9"/>
      <c r="F40" s="29" t="s">
        <v>27</v>
      </c>
      <c r="G40" s="35" t="s">
        <v>105</v>
      </c>
      <c r="H40" s="10"/>
      <c r="I40" s="72" t="s">
        <v>152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106</v>
      </c>
      <c r="G41" s="69">
        <v>2</v>
      </c>
      <c r="H41" s="10"/>
      <c r="I41" s="72" t="s">
        <v>109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154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110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111</v>
      </c>
      <c r="D50" s="10"/>
      <c r="E50" s="10"/>
      <c r="F50" s="49" t="s">
        <v>147</v>
      </c>
      <c r="G50" s="10"/>
      <c r="H50" s="10"/>
      <c r="I50" s="49" t="s">
        <v>148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102</v>
      </c>
      <c r="D52" s="35" t="s">
        <v>6</v>
      </c>
      <c r="E52" s="9"/>
      <c r="F52" s="71"/>
      <c r="G52" s="75"/>
      <c r="H52" s="10"/>
      <c r="I52" s="71" t="s">
        <v>115</v>
      </c>
      <c r="J52" s="75">
        <v>-1.2900000000000001E-3</v>
      </c>
      <c r="K52" s="78"/>
      <c r="L52" s="55"/>
    </row>
    <row r="53" spans="2:12">
      <c r="B53" s="5"/>
      <c r="C53" s="28" t="s">
        <v>112</v>
      </c>
      <c r="D53" s="35">
        <v>2</v>
      </c>
      <c r="E53" s="9"/>
      <c r="F53" s="72"/>
      <c r="G53" s="76"/>
      <c r="H53" s="10"/>
      <c r="I53" s="72" t="s">
        <v>116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-1.33E-3</v>
      </c>
      <c r="K54" s="78"/>
      <c r="L54" s="55"/>
    </row>
    <row r="55" spans="2:12">
      <c r="B55" s="5"/>
      <c r="C55" s="28" t="s">
        <v>107</v>
      </c>
      <c r="D55" s="35" t="b">
        <v>0</v>
      </c>
      <c r="E55" s="9"/>
      <c r="F55" s="72"/>
      <c r="G55" s="76"/>
      <c r="H55" s="10"/>
      <c r="I55" s="72" t="s">
        <v>118</v>
      </c>
      <c r="J55" s="76">
        <v>-1.3900000000000002E-3</v>
      </c>
      <c r="K55" s="78"/>
      <c r="L55" s="55"/>
    </row>
    <row r="56" spans="2:12">
      <c r="B56" s="5"/>
      <c r="C56" s="28" t="s">
        <v>113</v>
      </c>
      <c r="D56" s="35" t="b">
        <v>1</v>
      </c>
      <c r="E56" s="9"/>
      <c r="F56" s="72"/>
      <c r="G56" s="76"/>
      <c r="H56" s="10"/>
      <c r="I56" s="72" t="s">
        <v>119</v>
      </c>
      <c r="J56" s="76">
        <v>-1.4399999999999999E-3</v>
      </c>
      <c r="K56" s="78"/>
      <c r="L56" s="55"/>
    </row>
    <row r="57" spans="2:12">
      <c r="B57" s="5"/>
      <c r="C57" s="28" t="s">
        <v>114</v>
      </c>
      <c r="D57" s="35">
        <v>2</v>
      </c>
      <c r="E57" s="9"/>
      <c r="F57" s="72"/>
      <c r="G57" s="76"/>
      <c r="H57" s="10"/>
      <c r="I57" s="72" t="s">
        <v>120</v>
      </c>
      <c r="J57" s="76">
        <v>-1.4399999999999999E-3</v>
      </c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 t="s">
        <v>121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122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123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124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125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126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127</v>
      </c>
      <c r="D71" s="10"/>
      <c r="E71" s="10"/>
      <c r="F71" s="49" t="s">
        <v>129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151</v>
      </c>
      <c r="G72" s="97" t="s">
        <v>13</v>
      </c>
      <c r="H72" s="97" t="s">
        <v>14</v>
      </c>
      <c r="I72" s="97" t="s">
        <v>12</v>
      </c>
      <c r="J72" s="97" t="s">
        <v>128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130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131</v>
      </c>
      <c r="D92" s="10"/>
      <c r="E92" s="10"/>
      <c r="F92" s="49" t="s">
        <v>132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102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133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134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136</v>
      </c>
      <c r="D98" s="35" t="s">
        <v>135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137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107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106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138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139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140</v>
      </c>
      <c r="D105" s="35" t="s">
        <v>141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142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 t="s">
        <v>143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 t="s">
        <v>144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 t="s">
        <v>145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23"/>
  <sheetViews>
    <sheetView tabSelected="1" workbookViewId="0">
      <selection activeCell="H5" sqref="H5"/>
    </sheetView>
  </sheetViews>
  <sheetFormatPr defaultRowHeight="15"/>
  <cols>
    <col min="1" max="1" width="20.5703125" customWidth="1"/>
    <col min="2" max="2" width="35.42578125" customWidth="1"/>
    <col min="3" max="3" width="19.140625" customWidth="1"/>
    <col min="7" max="7" width="13" customWidth="1"/>
  </cols>
  <sheetData>
    <row r="2" spans="1:4">
      <c r="A2" s="115" t="s">
        <v>157</v>
      </c>
      <c r="B2" s="114"/>
    </row>
    <row r="3" spans="1:4">
      <c r="A3" s="126" t="s">
        <v>158</v>
      </c>
      <c r="B3" s="127" t="s">
        <v>81</v>
      </c>
    </row>
    <row r="4" spans="1:4">
      <c r="A4" s="128" t="s">
        <v>159</v>
      </c>
      <c r="B4" s="129" t="s">
        <v>9</v>
      </c>
    </row>
    <row r="6" spans="1:4">
      <c r="A6" s="117" t="s">
        <v>160</v>
      </c>
      <c r="B6" s="120"/>
      <c r="C6" s="122"/>
    </row>
    <row r="7" spans="1:4" s="121" customFormat="1">
      <c r="A7" s="122" t="s">
        <v>11</v>
      </c>
      <c r="B7" s="120" t="s">
        <v>161</v>
      </c>
      <c r="C7" s="122" t="s">
        <v>162</v>
      </c>
    </row>
    <row r="8" spans="1:4">
      <c r="A8" s="130">
        <f t="array" ref="A8:C23">_xll.mirOutPutCurve($B$3,$B$4)</f>
        <v>0</v>
      </c>
      <c r="B8" s="131">
        <v>1</v>
      </c>
      <c r="C8" s="116" t="e">
        <v>#N/A</v>
      </c>
      <c r="D8" s="121"/>
    </row>
    <row r="9" spans="1:4">
      <c r="A9" s="119">
        <v>8.1967213114753079E-3</v>
      </c>
      <c r="B9" s="122">
        <v>1.0000202504100708</v>
      </c>
      <c r="C9" s="118" t="e">
        <v>#N/A</v>
      </c>
      <c r="D9" s="121"/>
    </row>
    <row r="10" spans="1:4">
      <c r="A10" s="119">
        <v>1.0928961748633892E-2</v>
      </c>
      <c r="B10" s="122">
        <v>1.0000296673561051</v>
      </c>
      <c r="C10" s="118" t="e">
        <v>#N/A</v>
      </c>
      <c r="D10" s="121"/>
    </row>
    <row r="11" spans="1:4">
      <c r="A11" s="119">
        <v>1.3661202185792254E-2</v>
      </c>
      <c r="B11" s="122">
        <v>1.0000390843908165</v>
      </c>
      <c r="C11" s="118" t="e">
        <v>#N/A</v>
      </c>
      <c r="D11" s="121"/>
    </row>
    <row r="12" spans="1:4">
      <c r="A12" s="119">
        <v>1.6393442622950838E-2</v>
      </c>
      <c r="B12" s="122">
        <v>1.0000485015142055</v>
      </c>
      <c r="C12" s="118" t="e">
        <v>#N/A</v>
      </c>
      <c r="D12" s="121"/>
    </row>
    <row r="13" spans="1:4">
      <c r="A13" s="119">
        <v>1.91256830601092E-2</v>
      </c>
      <c r="B13" s="122">
        <v>1.0000579187262737</v>
      </c>
      <c r="C13" s="118" t="e">
        <v>#N/A</v>
      </c>
      <c r="D13" s="121"/>
    </row>
    <row r="14" spans="1:4">
      <c r="A14" s="119">
        <v>2.732240437158473E-2</v>
      </c>
      <c r="B14" s="122">
        <v>1.0000861711606088</v>
      </c>
      <c r="C14" s="118" t="e">
        <v>#N/A</v>
      </c>
      <c r="D14" s="121"/>
    </row>
    <row r="15" spans="1:4">
      <c r="A15" s="119">
        <v>3.0054644808743092E-2</v>
      </c>
      <c r="B15" s="122">
        <v>1.0000955887274026</v>
      </c>
      <c r="C15" s="118" t="e">
        <v>#N/A</v>
      </c>
      <c r="D15" s="121"/>
    </row>
    <row r="16" spans="1:4">
      <c r="A16" s="119">
        <v>3.2786885245901676E-2</v>
      </c>
      <c r="B16" s="122">
        <v>1.0001050063828794</v>
      </c>
      <c r="C16" s="118" t="e">
        <v>#N/A</v>
      </c>
      <c r="D16" s="121"/>
    </row>
    <row r="17" spans="1:4">
      <c r="A17" s="119">
        <v>3.5519125683060038E-2</v>
      </c>
      <c r="B17" s="122">
        <v>1.0001144241270397</v>
      </c>
      <c r="C17" s="118" t="e">
        <v>#N/A</v>
      </c>
      <c r="D17" s="121"/>
    </row>
    <row r="18" spans="1:4">
      <c r="A18" s="119">
        <v>3.8251366120218622E-2</v>
      </c>
      <c r="B18" s="122">
        <v>1.0001238419598848</v>
      </c>
      <c r="C18" s="118" t="e">
        <v>#N/A</v>
      </c>
      <c r="D18" s="121"/>
    </row>
    <row r="19" spans="1:4">
      <c r="A19" s="119">
        <v>4.644808743169393E-2</v>
      </c>
      <c r="B19" s="122">
        <v>1.000152096256604</v>
      </c>
      <c r="C19" s="118" t="e">
        <v>#N/A</v>
      </c>
      <c r="D19" s="121"/>
    </row>
    <row r="20" spans="1:4">
      <c r="A20" s="119">
        <v>4.9180327868852514E-2</v>
      </c>
      <c r="B20" s="122">
        <v>1.0001615144441982</v>
      </c>
      <c r="C20" s="118" t="e">
        <v>#N/A</v>
      </c>
      <c r="D20" s="121"/>
    </row>
    <row r="21" spans="1:4">
      <c r="A21" s="119">
        <v>5.1912568306010876E-2</v>
      </c>
      <c r="B21" s="122">
        <v>1.0001709327204811</v>
      </c>
      <c r="C21" s="118" t="e">
        <v>#N/A</v>
      </c>
      <c r="D21" s="121"/>
    </row>
    <row r="22" spans="1:4">
      <c r="A22" s="119">
        <v>5.464480874316946E-2</v>
      </c>
      <c r="B22" s="122">
        <v>1.0001803510854539</v>
      </c>
      <c r="C22" s="118" t="e">
        <v>#N/A</v>
      </c>
      <c r="D22" s="121"/>
    </row>
    <row r="23" spans="1:4">
      <c r="A23" s="123">
        <v>5.7377049180327822E-2</v>
      </c>
      <c r="B23" s="124">
        <v>1.0001897695391169</v>
      </c>
      <c r="C23" s="125" t="e">
        <v>#N/A</v>
      </c>
      <c r="D23" s="121"/>
    </row>
  </sheetData>
  <dataValidations count="1">
    <dataValidation type="list" allowBlank="1" showInputMessage="1" showErrorMessage="1" sqref="B4">
      <formula1>"OIS,STD"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29</vt:i4>
      </vt:variant>
    </vt:vector>
  </HeadingPairs>
  <TitlesOfParts>
    <vt:vector size="32" baseType="lpstr">
      <vt:lpstr>EUR OIS</vt:lpstr>
      <vt:lpstr>EUR SWAP 6ML</vt:lpstr>
      <vt:lpstr>Example</vt:lpstr>
      <vt:lpstr>Curve.BuildProperties</vt:lpstr>
      <vt:lpstr>Curve.CollectionName</vt:lpstr>
      <vt:lpstr>Curve.MarketDataTable</vt:lpstr>
      <vt:lpstr>Curve.OISIndexName</vt:lpstr>
      <vt:lpstr>CurveId</vt:lpstr>
      <vt:lpstr>CurveName</vt:lpstr>
      <vt:lpstr>FRA.Conventions</vt:lpstr>
      <vt:lpstr>FRA.MarketDataX3</vt:lpstr>
      <vt:lpstr>FRA.MarketDataX6</vt:lpstr>
      <vt:lpstr>Futures.Conventions</vt:lpstr>
      <vt:lpstr>Futures.MarketData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dcterms:created xsi:type="dcterms:W3CDTF">2016-03-11T11:47:18Z</dcterms:created>
  <dcterms:modified xsi:type="dcterms:W3CDTF">2016-04-06T16:38:59Z</dcterms:modified>
</cp:coreProperties>
</file>