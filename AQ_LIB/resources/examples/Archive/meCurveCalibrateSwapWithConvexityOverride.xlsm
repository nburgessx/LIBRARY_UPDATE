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9980" windowHeight="7665" tabRatio="703" activeTab="1"/>
  </bookViews>
  <sheets>
    <sheet name="EUR OIS" sheetId="2" r:id="rId1"/>
    <sheet name="EUR SWAP 3ML" sheetId="3" r:id="rId2"/>
  </sheets>
  <definedNames>
    <definedName name="ApplyTension">#REF!</definedName>
    <definedName name="CalcMode">#REF!</definedName>
    <definedName name="COB">#REF!</definedName>
    <definedName name="Curve.BuildProperties">'EUR OIS'!$E$20:$F$24</definedName>
    <definedName name="Curve.CollectionName">'EUR OIS'!$F$11</definedName>
    <definedName name="Curve.MarketDataTable">'EUR OIS'!$F$12</definedName>
    <definedName name="Curve.OISIndexName">'EUR OIS'!$F$13</definedName>
    <definedName name="EURNumericalRisk.RiskFormula">#REF!</definedName>
    <definedName name="EURNumericalRisk.Totals">#REF!</definedName>
    <definedName name="EURSwaps.Portfolio">#REF!</definedName>
    <definedName name="FRA.Conventions">'EUR SWAP 3ML'!$D$51:$E$64</definedName>
    <definedName name="FRA.MarketDataX3">'EUR SWAP 3ML'!$G$52:$H$64</definedName>
    <definedName name="FRA.MarketDataX6">'EUR SWAP 3ML'!$J$52:$K$64</definedName>
    <definedName name="Futures.Conventions">'EUR SWAP 3ML'!$D$72:$E$85</definedName>
    <definedName name="Futures.MarketData">'EUR SWAP 3ML'!$G$73:$K$85</definedName>
    <definedName name="Info" localSheetId="0">'EUR OIS'!$C:$D</definedName>
    <definedName name="Info" localSheetId="1">'EUR SWAP 3ML'!$C:$C</definedName>
    <definedName name="Interpolation">#REF!</definedName>
    <definedName name="interpolationFunction">#REF!</definedName>
    <definedName name="isEUR12MLLoaded">#REF!</definedName>
    <definedName name="isEUR1MLLoaded">#REF!</definedName>
    <definedName name="isEUR3MLLoaded">'EUR SWAP 3ML'!$E$9</definedName>
    <definedName name="isEUR6MLLoaded">#REF!</definedName>
    <definedName name="isEUROISLoaded">'EUR OIS'!$F$8</definedName>
    <definedName name="Libor.Conventions">'EUR SWAP 3ML'!$G$38:$H$43</definedName>
    <definedName name="Libor.MarketData">'EUR SWAP 3ML'!$J$39:$K$43</definedName>
    <definedName name="LiborOISBasis.Conventions">'EUR OIS'!$E$64:$F$89</definedName>
    <definedName name="LiborOISBasis.MarketData">'EUR OIS'!$H$65:$I$89</definedName>
    <definedName name="LiborSwap.Conventions">'EUR OIS'!$K$64:$L$89</definedName>
    <definedName name="LiborSwap.MarketData">'EUR OIS'!$N$65:$O$89</definedName>
    <definedName name="MoneyMarket.Conventions">'EUR SWAP 3ML'!$D$38:$E$43</definedName>
    <definedName name="OIS.Conventions">'EUR OIS'!$E$31:$F$57</definedName>
    <definedName name="OIS.FixingTable">'EUR OIS'!$N$32:$O$57</definedName>
    <definedName name="OIS.MarketData">'EUR OIS'!$H$32:$L$57</definedName>
    <definedName name="Settings.ForecastCurveSet">#REF!</definedName>
    <definedName name="Settings.LookupTable.DiscountCurve">#REF!</definedName>
    <definedName name="Settings.LookupTable.ForecastCurve">#REF!</definedName>
    <definedName name="Settings.Risk.BumpMode">#REF!</definedName>
    <definedName name="Settings.Risk.BumpSize">#REF!</definedName>
    <definedName name="STDCurve.Buildproperties">'EUR SWAP 3ML'!$D$22:$E$31</definedName>
    <definedName name="STDCurve.CollectionName">'EUR SWAP 3ML'!$E$13</definedName>
    <definedName name="STDCurve.IndexName">'EUR SWAP 3ML'!$E$15</definedName>
    <definedName name="STDCurve.StaticDataTable">'EUR SWAP 3ML'!$E$14</definedName>
    <definedName name="Swap.Conventions">'EUR SWAP 3ML'!$D$93:$E$111</definedName>
    <definedName name="Swap.MarketData">'EUR SWAP 3ML'!$G$94:$I$111</definedName>
    <definedName name="TenorBasisCurve.EUR3ML.ForwardStarting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Curve6M6M.BuildProperties">#REF!</definedName>
    <definedName name="TenorBasisSwap3M6M.Convention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K72" i="3" l="1"/>
  <c r="F74" i="3" l="1"/>
  <c r="F75" i="3" s="1"/>
  <c r="F76" i="3" s="1"/>
  <c r="F77" i="3" s="1"/>
  <c r="F78" i="3" s="1"/>
  <c r="F79" i="3" s="1"/>
  <c r="F80" i="3" s="1"/>
  <c r="F81" i="3" s="1"/>
  <c r="E8" i="3"/>
  <c r="F7" i="2"/>
  <c r="E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F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E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<sst xmlns="http://schemas.openxmlformats.org/spreadsheetml/2006/main" count="357" uniqueCount="177">
  <si>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</si>
  <si>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</si>
  <si>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</si>
  <si>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</si>
  <si>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</si>
  <si>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</si>
  <si>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</si>
  <si>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</si>
  <si>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</si>
  <si>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</si>
  <si>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</si>
  <si>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</si>
  <si>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</si>
  <si>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</si>
  <si>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</si>
  <si>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</si>
  <si>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</si>
  <si>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</si>
  <si>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</si>
  <si>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</si>
  <si>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</si>
  <si>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</si>
  <si>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</si>
  <si>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</si>
  <si>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</si>
  <si>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</si>
  <si>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</si>
  <si>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</si>
  <si>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</si>
  <si>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</si>
  <si>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</si>
  <si>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</si>
  <si>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</si>
  <si>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</si>
  <si>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</si>
  <si>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</si>
  <si>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</si>
  <si>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</si>
  <si>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</si>
  <si>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</si>
  <si>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</si>
  <si>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</si>
  <si>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</si>
  <si>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</si>
  <si>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</si>
  <si>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</si>
  <si>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</si>
  <si>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</si>
  <si>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</si>
  <si>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</si>
  <si>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</si>
  <si>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</si>
  <si>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</si>
  <si>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</si>
  <si>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</si>
  <si>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</si>
  <si>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</si>
  <si>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</si>
  <si>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</si>
  <si>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</si>
  <si>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</si>
  <si>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</si>
  <si>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</si>
  <si>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</si>
  <si>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</si>
  <si>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</si>
  <si>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</si>
  <si>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</si>
  <si>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</si>
  <si>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</si>
  <si>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</si>
  <si>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</si>
  <si>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</si>
  <si>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</si>
  <si>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</si>
  <si>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</si>
  <si>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</si>
  <si>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StaticDataTable</t>
  </si>
  <si>
    <t>CurveCollection</t>
  </si>
  <si>
    <t>IndexName(s)</t>
  </si>
  <si>
    <t>STD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</si>
  <si>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</si>
  <si>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</si>
  <si>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</si>
  <si>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</si>
  <si>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</si>
  <si>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</si>
  <si>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</si>
  <si>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</si>
  <si>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</si>
  <si>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</si>
  <si>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</si>
  <si>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</si>
  <si>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</si>
  <si>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</si>
  <si>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</si>
  <si>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</si>
  <si>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</si>
  <si>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</si>
  <si>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</si>
  <si>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Futures Data</t>
  </si>
  <si>
    <t>Swap Instruments</t>
  </si>
  <si>
    <t>Swap Conventions</t>
  </si>
  <si>
    <t>Swap Data</t>
  </si>
  <si>
    <t>DayCountFloat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</si>
  <si>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</si>
  <si>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</si>
  <si>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</si>
  <si>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</si>
  <si>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</si>
  <si>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</si>
  <si>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</si>
  <si>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</si>
  <si>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</si>
  <si>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Act/360</t>
  </si>
  <si>
    <t>3M</t>
  </si>
  <si>
    <t>1M</t>
  </si>
  <si>
    <t>OIS:EUROIS:EURDF:EURDF_NOCSA</t>
  </si>
  <si>
    <t>MeanReversion</t>
  </si>
  <si>
    <t>Curve Loaded</t>
  </si>
  <si>
    <t>STD:EUR3ML</t>
  </si>
  <si>
    <t>ERU6 Comdty</t>
  </si>
  <si>
    <t>ERV6 Comdty</t>
  </si>
  <si>
    <t>ERX6 Comdty</t>
  </si>
  <si>
    <t>ERZ6 Comdty</t>
  </si>
  <si>
    <t>ERH7 Comdty</t>
  </si>
  <si>
    <t>ERM7 Comdty</t>
  </si>
  <si>
    <t>ERU7 Comdty</t>
  </si>
  <si>
    <t>ERZ7 Comdty</t>
  </si>
  <si>
    <t>ERH8 Comdty</t>
  </si>
  <si>
    <t>EomDay</t>
  </si>
  <si>
    <t>SmoothShortEnd</t>
  </si>
  <si>
    <t>50Y</t>
  </si>
  <si>
    <t>Libor Fixing Data</t>
  </si>
  <si>
    <t>Money Market O/N and T/N Conventions</t>
  </si>
  <si>
    <t>Libor Fixing Conventions</t>
  </si>
  <si>
    <t>meCurveCalibrateOIS</t>
  </si>
  <si>
    <t>meCurveCalibrateSwap</t>
  </si>
  <si>
    <t>The OIS Swaps must be input in order and the OIS Instrument</t>
  </si>
  <si>
    <t>Tenors must match those listed in the LIBOR-OIS Spread</t>
  </si>
  <si>
    <t>table below</t>
  </si>
  <si>
    <t>Important Note:</t>
  </si>
  <si>
    <t xml:space="preserve">The LIBOR-OIS Spreads must be input in order and the </t>
  </si>
  <si>
    <t>Tenors must match those listed in the OIS Swap table above</t>
  </si>
  <si>
    <t>OISFixingTable,"OISBasisConventions","OISBasisMarketData","SwapConventions","SwapMarketData")</t>
  </si>
  <si>
    <r>
      <t>meCurveCalibrateOIS</t>
    </r>
    <r>
      <rPr>
        <i/>
        <sz val="18"/>
        <rFont val="Calibri"/>
        <family val="2"/>
        <scheme val="minor"/>
      </rPr>
      <t>("CurveCollection","StaticDataTable","CurveIndex","CurveBuildProperties","OISConventions","OISMarketData",</t>
    </r>
  </si>
  <si>
    <t>"FuturesConventions","FuturesRates","ConvexityAdjustmentConventions","ConvexityAdjustmentMarketData")</t>
  </si>
  <si>
    <t>LiborConventions,"LiborFixingTable","SwapConventions","SwapMarketData", "FRAConventions","FRAMarketData3M","FRAMarketData6M",</t>
  </si>
  <si>
    <r>
      <t>meCurveCalibrateSwap</t>
    </r>
    <r>
      <rPr>
        <sz val="18"/>
        <rFont val="Calibri"/>
        <family val="2"/>
        <scheme val="minor"/>
      </rPr>
      <t>("CurveCollection","StaticDataTable","CurveIndex","CurveBuildProperties","MoneyMarketConventions",</t>
    </r>
  </si>
  <si>
    <t>UseConvexAdjustment</t>
  </si>
  <si>
    <t>CurveCollection:
Name of the Curve Group, usually grouped by Currency</t>
  </si>
  <si>
    <t>StaticDataTable: ( Case Sensitive! )
A hard-coded reference to a property file table used to lookup default curve parameters if not specified</t>
  </si>
  <si>
    <t>IndexName:
A user defined name(s) for the output curve index, mutliple aliases allowed. e.g. EUROIS, EUR3ML, EUR6ML</t>
  </si>
  <si>
    <t>AsOfDate:
The curve build Date</t>
  </si>
  <si>
    <t>Currency:
The curve currency</t>
  </si>
  <si>
    <t>Interpolation:
The interpolation method used for getting the OIS discount factors</t>
  </si>
  <si>
    <t>fn_SplineInterpolation</t>
  </si>
  <si>
    <t>YieldGen.Interpolation:
The interpolation method used for generating the target curve forecast rates</t>
  </si>
  <si>
    <t>Calendar:
The fixed leg calendar</t>
  </si>
  <si>
    <t>Daycount:
The fixed leg daycount</t>
  </si>
  <si>
    <t>Frequency:
The fixed leg frequency</t>
  </si>
  <si>
    <t>ResetLag:
The float fixing lag</t>
  </si>
  <si>
    <t>SlidingRule:
The fixed leg BusinessDayAdjustment</t>
  </si>
  <si>
    <t>IsEomRoll:
Use the End of Month Roll Convention for swaps traded on End of Month</t>
  </si>
  <si>
    <t>iseomroll</t>
  </si>
  <si>
    <t>EomDay:
Day to be considered month end</t>
  </si>
  <si>
    <t>eomday</t>
  </si>
  <si>
    <t>GenerateMethod:
Compounding method, can be "DailyCompounding" or remove this key and value for no compounding</t>
  </si>
  <si>
    <t>FirstRate:
This field controls the first rate to be used for curve construction; "ShortMarket" implies include short end cash instruments. Removing this key and value will start curve construction from the Swaps instruments</t>
  </si>
  <si>
    <t>ShortTermConvention:
The OIS compound method to be used. Can be "ArithmeticAverage" and if the key and value are removed will default to GeometricAverage</t>
  </si>
  <si>
    <t>LongTermConvention:
A flag to indicate if Libor OIS Spread instruments should be used on the Long End of the OIS Curve; Can be "LOBASIS" to use Libor OIS Spread instruments and if the key and value are removed only OIS Swap Outrights will be used</t>
  </si>
  <si>
    <t>LongTerm:
The starting tenor (inclusive) for Libor-OIS Spread Instruments</t>
  </si>
  <si>
    <t>LongTerm.GenerateMethod:
The compounding method for Libor OIS Spread instruments. Can be "DailyAveraging" or remove this key and value for no compounding.</t>
  </si>
  <si>
    <t>Epsilon:
The solver precision to be used when calibrating the curve</t>
  </si>
  <si>
    <t>MaxLoop:
The maximum number of iterations to allow when calibrating the curve</t>
  </si>
  <si>
    <t>SmoothShortEnd:
This flag controls if instruments before the Central Bank Swaps such as O/N and T/N rates should be included in the calibration routine; True = Include instruments such as O/N and T/N before Central Bank Swaps and false will exclude such instruments.</t>
  </si>
  <si>
    <t>* These fixings are used in the tenor basis curves see 'SpotRateTerm'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</si>
</sst>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%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8"/>
      <color rgb="FF0000FF"/>
      <name val="Calibri"/>
      <family val="2"/>
      <scheme val="minor"/>
    </font>
    <font>
      <i/>
      <sz val="18"/>
      <name val="Calibri"/>
      <family val="2"/>
      <scheme val="minor"/>
    </font>
    <font>
      <sz val="18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68">
    <xf numFmtId="0" fontId="0" fillId="0" borderId="0" xfId="0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7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6" fillId="2" borderId="12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164" fontId="0" fillId="0" borderId="0" xfId="0" quotePrefix="1" applyNumberFormat="1" applyAlignment="1">
      <alignment horizontal="center" vertical="center"/>
    </xf>
    <xf numFmtId="0" fontId="23" fillId="2" borderId="0" xfId="0" applyFont="1" applyFill="1" applyBorder="1"/>
    <xf numFmtId="167" fontId="6" fillId="2" borderId="0" xfId="0" applyNumberFormat="1" applyFont="1" applyFill="1" applyBorder="1" applyAlignment="1">
      <alignment horizontal="center" vertical="center"/>
    </xf>
    <xf numFmtId="167" fontId="6" fillId="2" borderId="0" xfId="0" applyNumberFormat="1" applyFont="1" applyFill="1" applyBorder="1"/>
    <xf numFmtId="0" fontId="6" fillId="0" borderId="4" xfId="0" applyFont="1" applyFill="1" applyBorder="1" applyAlignment="1">
      <alignment horizontal="center"/>
    </xf>
    <xf numFmtId="0" fontId="0" fillId="0" borderId="0" xfId="0"/>
    <xf numFmtId="0" fontId="0" fillId="2" borderId="2" xfId="0" applyFill="1" applyBorder="1"/>
    <xf numFmtId="0" fontId="0" fillId="2" borderId="9" xfId="0" applyFill="1" applyBorder="1"/>
    <xf numFmtId="0" fontId="0" fillId="2" borderId="0" xfId="0" applyFill="1" applyBorder="1"/>
    <xf numFmtId="0" fontId="6" fillId="2" borderId="0" xfId="0" applyFont="1" applyFill="1" applyBorder="1"/>
    <xf numFmtId="0" fontId="0" fillId="2" borderId="12" xfId="0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11" fontId="9" fillId="0" borderId="10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2" fillId="0" borderId="0" xfId="0" applyFont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0" fontId="9" fillId="0" borderId="10" xfId="0" applyNumberFormat="1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left" vertical="center" wrapText="1"/>
    </xf>
    <xf numFmtId="0" fontId="7" fillId="0" borderId="15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4" xfId="0" applyFont="1" applyFill="1" applyBorder="1" applyAlignment="1">
      <alignment horizontal="left" vertical="center" wrapText="1"/>
    </xf>
    <xf numFmtId="0" fontId="7" fillId="0" borderId="1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5" fillId="0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9" fillId="0" borderId="10" xfId="0" applyFont="1" applyFill="1" applyBorder="1" applyAlignment="1">
      <alignment vertical="center"/>
    </xf>
    <xf numFmtId="0" fontId="9" fillId="0" borderId="13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13" fillId="0" borderId="15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6" fillId="0" borderId="11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left" vertical="center"/>
    </xf>
    <xf numFmtId="0" fontId="24" fillId="0" borderId="0" xfId="0" applyFont="1"/>
    <xf numFmtId="0" fontId="25" fillId="0" borderId="0" xfId="0" applyFont="1"/>
    <xf numFmtId="0" fontId="9" fillId="3" borderId="9" xfId="0" applyFont="1" applyFill="1" applyBorder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5" fontId="9" fillId="3" borderId="0" xfId="0" applyNumberFormat="1" applyFont="1" applyFill="1" applyBorder="1" applyAlignment="1">
      <alignment horizontal="center" vertical="center"/>
    </xf>
    <xf numFmtId="15" fontId="9" fillId="3" borderId="10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9" fillId="0" borderId="13" xfId="0" applyFont="1" applyFill="1" applyBorder="1" applyAlignment="1">
      <alignment horizontal="center" vertical="center"/>
    </xf>
    <xf numFmtId="0" fontId="21" fillId="0" borderId="0" xfId="0" applyFont="1"/>
    <xf numFmtId="0" fontId="0" fillId="0" borderId="0" xfId="0" applyFont="1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26" fillId="0" borderId="0" xfId="0" applyFont="1"/>
    <xf numFmtId="0" fontId="9" fillId="4" borderId="10" xfId="0" applyFont="1" applyFill="1" applyBorder="1" applyAlignment="1">
      <alignment horizontal="center" vertical="center"/>
    </xf>
    <xf numFmtId="164" fontId="9" fillId="4" borderId="10" xfId="2" quotePrefix="1" applyNumberFormat="1" applyFont="1" applyFill="1" applyBorder="1" applyAlignment="1">
      <alignment horizontal="center" vertical="center"/>
    </xf>
    <xf numFmtId="164" fontId="9" fillId="4" borderId="10" xfId="2" applyNumberFormat="1" applyFont="1" applyFill="1" applyBorder="1" applyAlignment="1">
      <alignment horizontal="center" vertical="center"/>
    </xf>
    <xf numFmtId="164" fontId="9" fillId="4" borderId="10" xfId="0" applyNumberFormat="1" applyFont="1" applyFill="1" applyBorder="1" applyAlignment="1">
      <alignment horizontal="center"/>
    </xf>
    <xf numFmtId="164" fontId="9" fillId="4" borderId="13" xfId="0" applyNumberFormat="1" applyFont="1" applyFill="1" applyBorder="1" applyAlignment="1">
      <alignment horizontal="center"/>
    </xf>
    <xf numFmtId="0" fontId="22" fillId="2" borderId="12" xfId="0" applyFont="1" applyFill="1" applyBorder="1" applyAlignment="1">
      <alignment horizontal="left" vertical="center"/>
    </xf>
    <xf numFmtId="0" fontId="22" fillId="0" borderId="4" xfId="0" applyFont="1" applyFill="1" applyBorder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FFFFCC"/>
      <color rgb="FF00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9525</xdr:rowOff>
    </xdr:from>
    <xdr:to>
      <xdr:col>0</xdr:col>
      <xdr:colOff>543093</xdr:colOff>
      <xdr:row>5</xdr:row>
      <xdr:rowOff>168841</xdr:rowOff>
    </xdr:to>
    <xdr:pic macro="[0]!ShowHideInfo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981075"/>
          <a:ext cx="352593" cy="3498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00000"/>
  </sheetPr>
  <dimension ref="B2:P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110.7109375" style="80" hidden="1" customWidth="1"/>
    <col min="4" max="4" width="4.7109375" style="80" hidden="1" customWidth="1"/>
    <col min="5" max="5" width="25.140625" style="122" bestFit="1" customWidth="1"/>
    <col min="6" max="6" width="32.7109375" style="127" customWidth="1"/>
    <col min="7" max="7" width="4.7109375" style="80" customWidth="1"/>
    <col min="8" max="10" width="10.7109375" customWidth="1"/>
    <col min="11" max="11" width="13.7109375" customWidth="1"/>
    <col min="12" max="12" width="18.28515625" customWidth="1"/>
    <col min="13" max="13" width="4.7109375" style="80" customWidth="1"/>
    <col min="14" max="15" width="10.7109375" customWidth="1"/>
    <col min="16" max="16" width="2.7109375" customWidth="1"/>
  </cols>
  <sheetData>
    <row r="2" spans="2:16" ht="23.25" x14ac:dyDescent="0.35">
      <c r="B2" s="147" t="s">
        <v>145</v>
      </c>
      <c r="C2" s="97"/>
      <c r="D2" s="97"/>
    </row>
    <row r="3" spans="2:16" ht="23.25" x14ac:dyDescent="0.35">
      <c r="B3" s="148" t="s">
        <v>144</v>
      </c>
      <c r="C3" s="97"/>
      <c r="D3" s="97"/>
    </row>
    <row r="4" spans="2:16" x14ac:dyDescent="0.25">
      <c r="B4" s="44"/>
      <c r="C4" s="97"/>
      <c r="D4" s="97"/>
    </row>
    <row r="5" spans="2:16" x14ac:dyDescent="0.25">
      <c r="B5" s="44" t="s">
        <v>136</v>
      </c>
      <c r="C5" s="97"/>
      <c r="D5" s="97"/>
    </row>
    <row r="6" spans="2:16" x14ac:dyDescent="0.25">
      <c r="B6" s="1"/>
      <c r="C6" s="81"/>
      <c r="D6" s="81"/>
      <c r="E6" s="133"/>
      <c r="F6" s="90"/>
      <c r="G6" s="90"/>
      <c r="H6" s="2"/>
      <c r="I6" s="2"/>
      <c r="J6" s="2"/>
      <c r="K6" s="2"/>
      <c r="L6" s="2"/>
      <c r="M6" s="81"/>
      <c r="N6" s="2"/>
      <c r="O6" s="2"/>
      <c r="P6" s="3"/>
    </row>
    <row r="7" spans="2:16" x14ac:dyDescent="0.25">
      <c r="B7" s="4"/>
      <c r="C7" s="92"/>
      <c r="D7" s="83"/>
      <c r="E7" s="134" t="s">
        <v>136</v>
      </c>
      <c r="F7" s="96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(0.03100 sec)</v>
      </c>
      <c r="G7" s="116"/>
      <c r="H7" s="43"/>
      <c r="I7" s="5"/>
      <c r="J7" s="5"/>
      <c r="K7" s="5"/>
      <c r="L7" s="5"/>
      <c r="M7" s="83"/>
      <c r="N7" s="5"/>
      <c r="O7" s="5"/>
      <c r="P7" s="6"/>
    </row>
    <row r="8" spans="2:16" x14ac:dyDescent="0.25">
      <c r="B8" s="4"/>
      <c r="C8" s="83"/>
      <c r="D8" s="83"/>
      <c r="E8" s="135" t="s">
        <v>119</v>
      </c>
      <c r="F8" s="108"/>
      <c r="G8" s="108"/>
      <c r="H8" s="5"/>
      <c r="I8" s="5"/>
      <c r="J8" s="5"/>
      <c r="K8" s="5"/>
      <c r="L8" s="5"/>
      <c r="M8" s="83"/>
      <c r="N8" s="5"/>
      <c r="O8" s="5"/>
      <c r="P8" s="6"/>
    </row>
    <row r="9" spans="2:16" x14ac:dyDescent="0.25">
      <c r="B9" s="4"/>
      <c r="C9" s="83"/>
      <c r="D9" s="83"/>
      <c r="E9" s="136"/>
      <c r="F9" s="95"/>
      <c r="G9" s="95"/>
      <c r="H9" s="5"/>
      <c r="I9" s="5"/>
      <c r="J9" s="5"/>
      <c r="K9" s="5"/>
      <c r="L9" s="5"/>
      <c r="M9" s="83"/>
      <c r="N9" s="5"/>
      <c r="O9" s="5"/>
      <c r="P9" s="6"/>
    </row>
    <row r="10" spans="2:16" x14ac:dyDescent="0.25">
      <c r="B10" s="4"/>
      <c r="C10" s="85"/>
      <c r="D10" s="83"/>
      <c r="E10" s="137" t="s">
        <v>0</v>
      </c>
      <c r="F10" s="94"/>
      <c r="G10" s="117"/>
      <c r="H10" s="5"/>
      <c r="I10" s="5"/>
      <c r="J10" s="5"/>
      <c r="K10" s="5"/>
      <c r="L10" s="5"/>
      <c r="M10" s="83"/>
      <c r="N10" s="5"/>
      <c r="O10" s="5"/>
      <c r="P10" s="6"/>
    </row>
    <row r="11" spans="2:16" ht="30" x14ac:dyDescent="0.25">
      <c r="B11" s="4"/>
      <c r="C11" s="109" t="s">
        <v>150</v>
      </c>
      <c r="D11" s="83"/>
      <c r="E11" s="138" t="s">
        <v>78</v>
      </c>
      <c r="F11" s="104" t="s">
        <v>76</v>
      </c>
      <c r="G11" s="117"/>
      <c r="H11" s="5"/>
      <c r="I11" s="5"/>
      <c r="J11" s="5"/>
      <c r="K11" s="5"/>
      <c r="L11" s="5"/>
      <c r="M11" s="83"/>
      <c r="N11" s="5"/>
      <c r="O11" s="5"/>
      <c r="P11" s="6"/>
    </row>
    <row r="12" spans="2:16" ht="30" x14ac:dyDescent="0.25">
      <c r="B12" s="4"/>
      <c r="C12" s="109" t="s">
        <v>151</v>
      </c>
      <c r="D12" s="83"/>
      <c r="E12" s="139" t="s">
        <v>77</v>
      </c>
      <c r="F12" s="105" t="s">
        <v>9</v>
      </c>
      <c r="G12" s="117"/>
      <c r="H12" s="5"/>
      <c r="I12" s="5"/>
      <c r="J12" s="5"/>
      <c r="K12" s="5"/>
      <c r="L12" s="5"/>
      <c r="M12" s="83"/>
      <c r="N12" s="5"/>
      <c r="O12" s="5"/>
      <c r="P12" s="6"/>
    </row>
    <row r="13" spans="2:16" ht="30" x14ac:dyDescent="0.25">
      <c r="B13" s="4"/>
      <c r="C13" s="109" t="s">
        <v>152</v>
      </c>
      <c r="D13" s="83"/>
      <c r="E13" s="141" t="s">
        <v>79</v>
      </c>
      <c r="F13" s="106" t="s">
        <v>117</v>
      </c>
      <c r="G13" s="117"/>
      <c r="H13" s="5"/>
      <c r="I13" s="5"/>
      <c r="J13" s="5" t="s">
        <v>4</v>
      </c>
      <c r="K13" s="5" t="s">
        <v>4</v>
      </c>
      <c r="L13" s="5" t="s">
        <v>4</v>
      </c>
      <c r="M13" s="83"/>
      <c r="N13" s="5" t="s">
        <v>4</v>
      </c>
      <c r="O13" s="5" t="s">
        <v>4</v>
      </c>
      <c r="P13" s="6" t="s">
        <v>4</v>
      </c>
    </row>
    <row r="14" spans="2:16" x14ac:dyDescent="0.25">
      <c r="B14" s="9"/>
      <c r="C14" s="85"/>
      <c r="D14" s="85"/>
      <c r="E14" s="125"/>
      <c r="F14" s="128"/>
      <c r="G14" s="85"/>
      <c r="H14" s="10"/>
      <c r="I14" s="10"/>
      <c r="J14" s="10"/>
      <c r="K14" s="10"/>
      <c r="L14" s="10"/>
      <c r="M14" s="85"/>
      <c r="N14" s="10"/>
      <c r="O14" s="10"/>
      <c r="P14" s="11"/>
    </row>
    <row r="17" spans="2:16" x14ac:dyDescent="0.25">
      <c r="B17" s="40" t="s">
        <v>66</v>
      </c>
      <c r="C17" s="93"/>
      <c r="D17" s="93"/>
    </row>
    <row r="18" spans="2:16" x14ac:dyDescent="0.25">
      <c r="B18" s="1"/>
      <c r="C18" s="81"/>
      <c r="D18" s="81"/>
      <c r="E18" s="133"/>
      <c r="F18" s="90"/>
      <c r="G18" s="90"/>
      <c r="H18" s="2"/>
      <c r="I18" s="2"/>
      <c r="J18" s="45"/>
      <c r="K18" s="2"/>
      <c r="L18" s="2"/>
      <c r="M18" s="81"/>
      <c r="N18" s="2"/>
      <c r="O18" s="2"/>
      <c r="P18" s="3"/>
    </row>
    <row r="19" spans="2:16" x14ac:dyDescent="0.25">
      <c r="B19" s="4"/>
      <c r="C19" s="83"/>
      <c r="D19" s="83"/>
      <c r="E19" s="137" t="s">
        <v>66</v>
      </c>
      <c r="F19" s="91"/>
      <c r="G19" s="118"/>
      <c r="H19" s="5"/>
      <c r="I19" s="5"/>
      <c r="J19" s="5"/>
      <c r="K19" s="5"/>
      <c r="L19" s="5"/>
      <c r="M19" s="83"/>
      <c r="N19" s="5"/>
      <c r="O19" s="5"/>
      <c r="P19" s="6"/>
    </row>
    <row r="20" spans="2:16" ht="30" x14ac:dyDescent="0.25">
      <c r="B20" s="4"/>
      <c r="C20" s="109" t="s">
        <v>153</v>
      </c>
      <c r="D20" s="82"/>
      <c r="E20" s="138" t="s">
        <v>10</v>
      </c>
      <c r="F20" s="104">
        <v>42521</v>
      </c>
      <c r="G20" s="118"/>
      <c r="H20" s="5"/>
      <c r="I20" s="5"/>
      <c r="J20" s="5"/>
      <c r="K20" s="5"/>
      <c r="L20" s="5"/>
      <c r="M20" s="83"/>
      <c r="N20" s="5"/>
      <c r="O20" s="5"/>
      <c r="P20" s="6"/>
    </row>
    <row r="21" spans="2:16" ht="30" x14ac:dyDescent="0.25">
      <c r="B21" s="4"/>
      <c r="C21" s="109" t="s">
        <v>154</v>
      </c>
      <c r="D21" s="82"/>
      <c r="E21" s="139" t="s">
        <v>16</v>
      </c>
      <c r="F21" s="105" t="s">
        <v>17</v>
      </c>
      <c r="G21" s="118"/>
      <c r="H21" s="5"/>
      <c r="I21" s="5"/>
      <c r="J21" s="5"/>
      <c r="K21" s="5"/>
      <c r="L21" s="5"/>
      <c r="M21" s="83"/>
      <c r="N21" s="5"/>
      <c r="O21" s="5"/>
      <c r="P21" s="6"/>
    </row>
    <row r="22" spans="2:16" ht="30" x14ac:dyDescent="0.25">
      <c r="B22" s="4"/>
      <c r="C22" s="109" t="s">
        <v>155</v>
      </c>
      <c r="D22" s="82"/>
      <c r="E22" s="139" t="s">
        <v>81</v>
      </c>
      <c r="F22" s="107" t="s">
        <v>156</v>
      </c>
      <c r="G22" s="118"/>
      <c r="H22" s="5"/>
      <c r="I22" s="5"/>
      <c r="J22" s="5"/>
      <c r="K22" s="5"/>
      <c r="L22" s="5"/>
      <c r="M22" s="83"/>
      <c r="N22" s="5"/>
      <c r="O22" s="5"/>
      <c r="P22" s="6"/>
    </row>
    <row r="23" spans="2:16" ht="30" x14ac:dyDescent="0.25">
      <c r="B23" s="4"/>
      <c r="C23" s="114" t="s">
        <v>157</v>
      </c>
      <c r="D23" s="82"/>
      <c r="E23" s="139" t="s">
        <v>24</v>
      </c>
      <c r="F23" s="107" t="s">
        <v>156</v>
      </c>
      <c r="G23" s="118"/>
      <c r="H23" s="5"/>
      <c r="I23" s="5"/>
      <c r="J23" s="5"/>
      <c r="K23" s="5"/>
      <c r="L23" s="5"/>
      <c r="M23" s="83"/>
      <c r="N23" s="5"/>
      <c r="O23" s="5"/>
      <c r="P23" s="6"/>
    </row>
    <row r="24" spans="2:16" x14ac:dyDescent="0.25">
      <c r="B24" s="4"/>
      <c r="C24" s="115"/>
      <c r="D24" s="83"/>
      <c r="E24" s="141"/>
      <c r="F24" s="106"/>
      <c r="G24" s="118"/>
      <c r="H24" s="5"/>
      <c r="I24" s="5"/>
      <c r="J24" s="5"/>
      <c r="K24" s="5"/>
      <c r="L24" s="5"/>
      <c r="M24" s="83"/>
      <c r="N24" s="5"/>
      <c r="O24" s="5"/>
      <c r="P24" s="6"/>
    </row>
    <row r="25" spans="2:16" x14ac:dyDescent="0.25">
      <c r="B25" s="9"/>
      <c r="C25" s="85"/>
      <c r="D25" s="85"/>
      <c r="E25" s="125"/>
      <c r="F25" s="128"/>
      <c r="G25" s="85"/>
      <c r="H25" s="10"/>
      <c r="I25" s="10"/>
      <c r="J25" s="10"/>
      <c r="K25" s="10"/>
      <c r="L25" s="10"/>
      <c r="M25" s="85"/>
      <c r="N25" s="10"/>
      <c r="O25" s="10"/>
      <c r="P25" s="11"/>
    </row>
    <row r="27" spans="2:16" x14ac:dyDescent="0.25">
      <c r="H27" s="46"/>
    </row>
    <row r="28" spans="2:16" x14ac:dyDescent="0.25">
      <c r="B28" s="40" t="s">
        <v>75</v>
      </c>
      <c r="C28" s="93"/>
      <c r="D28" s="93"/>
    </row>
    <row r="29" spans="2:16" x14ac:dyDescent="0.25">
      <c r="B29" s="1"/>
      <c r="C29" s="81"/>
      <c r="D29" s="81"/>
      <c r="E29" s="123"/>
      <c r="F29" s="129"/>
      <c r="G29" s="81"/>
      <c r="H29" s="2"/>
      <c r="I29" s="2"/>
      <c r="J29" s="2"/>
      <c r="K29" s="2"/>
      <c r="L29" s="2"/>
      <c r="M29" s="81"/>
      <c r="N29" s="2"/>
      <c r="O29" s="2"/>
      <c r="P29" s="3"/>
    </row>
    <row r="30" spans="2:16" x14ac:dyDescent="0.25">
      <c r="B30" s="4"/>
      <c r="C30" s="83"/>
      <c r="D30" s="83"/>
      <c r="E30" s="143" t="s">
        <v>5</v>
      </c>
      <c r="F30" s="130"/>
      <c r="G30" s="84"/>
      <c r="H30" s="34" t="s">
        <v>68</v>
      </c>
      <c r="I30" s="8"/>
      <c r="J30" s="8"/>
      <c r="K30" s="8"/>
      <c r="L30" s="8"/>
      <c r="M30" s="84"/>
      <c r="N30" s="34" t="s">
        <v>70</v>
      </c>
      <c r="O30" s="8"/>
      <c r="P30" s="39"/>
    </row>
    <row r="31" spans="2:16" ht="30" x14ac:dyDescent="0.25">
      <c r="B31" s="4"/>
      <c r="C31" s="110" t="s">
        <v>158</v>
      </c>
      <c r="D31" s="82"/>
      <c r="E31" s="138" t="s">
        <v>3</v>
      </c>
      <c r="F31" s="86" t="s">
        <v>2</v>
      </c>
      <c r="G31" s="84"/>
      <c r="H31" s="41" t="s">
        <v>11</v>
      </c>
      <c r="I31" s="41" t="s">
        <v>12</v>
      </c>
      <c r="J31" s="41" t="s">
        <v>13</v>
      </c>
      <c r="K31" s="41" t="s">
        <v>14</v>
      </c>
      <c r="L31" s="41" t="s">
        <v>8</v>
      </c>
      <c r="M31" s="84"/>
      <c r="N31" s="41" t="s">
        <v>71</v>
      </c>
      <c r="O31" s="41" t="s">
        <v>12</v>
      </c>
      <c r="P31" s="39"/>
    </row>
    <row r="32" spans="2:16" ht="30" x14ac:dyDescent="0.25">
      <c r="B32" s="4"/>
      <c r="C32" s="110" t="s">
        <v>159</v>
      </c>
      <c r="D32" s="82"/>
      <c r="E32" s="139" t="s">
        <v>7</v>
      </c>
      <c r="F32" s="87" t="s">
        <v>6</v>
      </c>
      <c r="G32" s="84"/>
      <c r="H32" s="14" t="s">
        <v>44</v>
      </c>
      <c r="I32" s="12">
        <v>-3.4499999999999999E-3</v>
      </c>
      <c r="J32" s="13" t="s">
        <v>35</v>
      </c>
      <c r="K32" s="13" t="s">
        <v>35</v>
      </c>
      <c r="L32" s="31" t="b">
        <v>1</v>
      </c>
      <c r="M32" s="84"/>
      <c r="N32" s="37"/>
      <c r="O32" s="35"/>
      <c r="P32" s="39"/>
    </row>
    <row r="33" spans="2:16" ht="30" x14ac:dyDescent="0.25">
      <c r="B33" s="4"/>
      <c r="C33" s="110" t="s">
        <v>160</v>
      </c>
      <c r="D33" s="82"/>
      <c r="E33" s="139" t="s">
        <v>25</v>
      </c>
      <c r="F33" s="87" t="s">
        <v>26</v>
      </c>
      <c r="G33" s="84"/>
      <c r="H33" s="149" t="s">
        <v>46</v>
      </c>
      <c r="I33" s="150">
        <v>-3.4000000000000002E-3</v>
      </c>
      <c r="J33" s="151">
        <v>42523</v>
      </c>
      <c r="K33" s="151">
        <v>42572</v>
      </c>
      <c r="L33" s="152" t="b">
        <v>1</v>
      </c>
      <c r="M33" s="84"/>
      <c r="N33" s="37"/>
      <c r="O33" s="35"/>
      <c r="P33" s="39"/>
    </row>
    <row r="34" spans="2:16" ht="30" x14ac:dyDescent="0.25">
      <c r="B34" s="4"/>
      <c r="C34" s="110" t="s">
        <v>161</v>
      </c>
      <c r="D34" s="82"/>
      <c r="E34" s="139" t="s">
        <v>15</v>
      </c>
      <c r="F34" s="87" t="s">
        <v>30</v>
      </c>
      <c r="G34" s="84"/>
      <c r="H34" s="149" t="s">
        <v>47</v>
      </c>
      <c r="I34" s="150">
        <v>-3.4999999999999996E-3</v>
      </c>
      <c r="J34" s="151">
        <v>42572</v>
      </c>
      <c r="K34" s="151">
        <v>42621</v>
      </c>
      <c r="L34" s="152" t="b">
        <v>1</v>
      </c>
      <c r="M34" s="84"/>
      <c r="N34" s="37"/>
      <c r="O34" s="35"/>
      <c r="P34" s="39"/>
    </row>
    <row r="35" spans="2:16" ht="30" x14ac:dyDescent="0.25">
      <c r="B35" s="4"/>
      <c r="C35" s="110" t="s">
        <v>162</v>
      </c>
      <c r="D35" s="82"/>
      <c r="E35" s="139" t="s">
        <v>23</v>
      </c>
      <c r="F35" s="87" t="s">
        <v>22</v>
      </c>
      <c r="G35" s="84"/>
      <c r="H35" s="149" t="s">
        <v>49</v>
      </c>
      <c r="I35" s="150">
        <v>-3.7099999999999998E-3</v>
      </c>
      <c r="J35" s="151">
        <v>42621</v>
      </c>
      <c r="K35" s="151">
        <v>42663</v>
      </c>
      <c r="L35" s="152" t="b">
        <v>1</v>
      </c>
      <c r="M35" s="84"/>
      <c r="N35" s="37"/>
      <c r="O35" s="35"/>
      <c r="P35" s="39"/>
    </row>
    <row r="36" spans="2:16" ht="30" x14ac:dyDescent="0.25">
      <c r="B36" s="4"/>
      <c r="C36" s="110" t="s">
        <v>163</v>
      </c>
      <c r="D36" s="82"/>
      <c r="E36" s="139" t="s">
        <v>164</v>
      </c>
      <c r="F36" s="87" t="b">
        <v>1</v>
      </c>
      <c r="G36" s="84"/>
      <c r="H36" s="149" t="s">
        <v>51</v>
      </c>
      <c r="I36" s="150">
        <v>-3.82E-3</v>
      </c>
      <c r="J36" s="151">
        <v>42663</v>
      </c>
      <c r="K36" s="151">
        <v>42712</v>
      </c>
      <c r="L36" s="152" t="b">
        <v>1</v>
      </c>
      <c r="M36" s="84"/>
      <c r="N36" s="37"/>
      <c r="O36" s="35"/>
      <c r="P36" s="39"/>
    </row>
    <row r="37" spans="2:16" ht="30" x14ac:dyDescent="0.25">
      <c r="B37" s="4"/>
      <c r="C37" s="110" t="s">
        <v>165</v>
      </c>
      <c r="D37" s="82"/>
      <c r="E37" s="139" t="s">
        <v>166</v>
      </c>
      <c r="F37" s="88">
        <v>31</v>
      </c>
      <c r="G37" s="84"/>
      <c r="H37" s="14" t="s">
        <v>54</v>
      </c>
      <c r="I37" s="12">
        <v>-3.82E-3</v>
      </c>
      <c r="J37" s="13" t="s">
        <v>35</v>
      </c>
      <c r="K37" s="13" t="s">
        <v>35</v>
      </c>
      <c r="L37" s="31" t="b">
        <v>1</v>
      </c>
      <c r="M37" s="84"/>
      <c r="N37" s="37"/>
      <c r="O37" s="35"/>
      <c r="P37" s="39"/>
    </row>
    <row r="38" spans="2:16" ht="30" x14ac:dyDescent="0.25">
      <c r="B38" s="4"/>
      <c r="C38" s="110" t="s">
        <v>167</v>
      </c>
      <c r="D38" s="82"/>
      <c r="E38" s="139" t="s">
        <v>31</v>
      </c>
      <c r="F38" s="87" t="s">
        <v>32</v>
      </c>
      <c r="G38" s="84"/>
      <c r="H38" s="14" t="s">
        <v>56</v>
      </c>
      <c r="I38" s="12">
        <v>-3.9500000000000004E-3</v>
      </c>
      <c r="J38" s="13" t="s">
        <v>35</v>
      </c>
      <c r="K38" s="13" t="s">
        <v>35</v>
      </c>
      <c r="L38" s="31" t="b">
        <v>1</v>
      </c>
      <c r="M38" s="84"/>
      <c r="N38" s="37"/>
      <c r="O38" s="35"/>
      <c r="P38" s="39"/>
    </row>
    <row r="39" spans="2:16" ht="45" x14ac:dyDescent="0.25">
      <c r="B39" s="4"/>
      <c r="C39" s="110" t="s">
        <v>168</v>
      </c>
      <c r="D39" s="82"/>
      <c r="E39" s="139" t="s">
        <v>33</v>
      </c>
      <c r="F39" s="87" t="s">
        <v>34</v>
      </c>
      <c r="G39" s="84"/>
      <c r="H39" s="14" t="s">
        <v>45</v>
      </c>
      <c r="I39" s="12">
        <v>-4.0100000000000005E-3</v>
      </c>
      <c r="J39" s="13" t="s">
        <v>35</v>
      </c>
      <c r="K39" s="13" t="s">
        <v>35</v>
      </c>
      <c r="L39" s="31" t="b">
        <v>1</v>
      </c>
      <c r="M39" s="84"/>
      <c r="N39" s="37"/>
      <c r="O39" s="35"/>
      <c r="P39" s="39"/>
    </row>
    <row r="40" spans="2:16" ht="45" x14ac:dyDescent="0.25">
      <c r="B40" s="4"/>
      <c r="C40" s="110" t="s">
        <v>169</v>
      </c>
      <c r="D40" s="82"/>
      <c r="E40" s="139" t="s">
        <v>36</v>
      </c>
      <c r="F40" s="87" t="s">
        <v>37</v>
      </c>
      <c r="G40" s="84"/>
      <c r="H40" s="14" t="s">
        <v>41</v>
      </c>
      <c r="I40" s="12">
        <v>-3.8500000000000001E-3</v>
      </c>
      <c r="J40" s="13" t="s">
        <v>35</v>
      </c>
      <c r="K40" s="13" t="s">
        <v>35</v>
      </c>
      <c r="L40" s="31" t="b">
        <v>1</v>
      </c>
      <c r="M40" s="84"/>
      <c r="N40" s="37"/>
      <c r="O40" s="35"/>
      <c r="P40" s="39"/>
    </row>
    <row r="41" spans="2:16" ht="45" x14ac:dyDescent="0.25">
      <c r="B41" s="4"/>
      <c r="C41" s="110" t="s">
        <v>170</v>
      </c>
      <c r="D41" s="82"/>
      <c r="E41" s="139" t="s">
        <v>38</v>
      </c>
      <c r="F41" s="87" t="s">
        <v>39</v>
      </c>
      <c r="G41" s="84"/>
      <c r="H41" s="14" t="s">
        <v>48</v>
      </c>
      <c r="I41" s="12">
        <v>-3.4200000000000003E-3</v>
      </c>
      <c r="J41" s="13" t="s">
        <v>35</v>
      </c>
      <c r="K41" s="13" t="s">
        <v>35</v>
      </c>
      <c r="L41" s="31" t="b">
        <v>1</v>
      </c>
      <c r="M41" s="84"/>
      <c r="N41" s="37"/>
      <c r="O41" s="35"/>
      <c r="P41" s="39"/>
    </row>
    <row r="42" spans="2:16" ht="30" x14ac:dyDescent="0.25">
      <c r="B42" s="4"/>
      <c r="C42" s="110" t="s">
        <v>171</v>
      </c>
      <c r="D42" s="82"/>
      <c r="E42" s="139" t="s">
        <v>40</v>
      </c>
      <c r="F42" s="87" t="s">
        <v>41</v>
      </c>
      <c r="G42" s="84"/>
      <c r="H42" s="14" t="s">
        <v>50</v>
      </c>
      <c r="I42" s="12">
        <v>-2.7100000000000002E-3</v>
      </c>
      <c r="J42" s="13" t="s">
        <v>35</v>
      </c>
      <c r="K42" s="13" t="s">
        <v>35</v>
      </c>
      <c r="L42" s="31" t="b">
        <v>1</v>
      </c>
      <c r="M42" s="84"/>
      <c r="N42" s="37"/>
      <c r="O42" s="35"/>
      <c r="P42" s="39"/>
    </row>
    <row r="43" spans="2:16" ht="45" x14ac:dyDescent="0.25">
      <c r="B43" s="4"/>
      <c r="C43" s="110" t="s">
        <v>172</v>
      </c>
      <c r="D43" s="82"/>
      <c r="E43" s="139" t="s">
        <v>42</v>
      </c>
      <c r="F43" s="87" t="s">
        <v>43</v>
      </c>
      <c r="G43" s="84"/>
      <c r="H43" s="14" t="s">
        <v>52</v>
      </c>
      <c r="I43" s="12">
        <v>-1.7599999999999998E-3</v>
      </c>
      <c r="J43" s="13" t="s">
        <v>35</v>
      </c>
      <c r="K43" s="13" t="s">
        <v>35</v>
      </c>
      <c r="L43" s="31" t="b">
        <v>1</v>
      </c>
      <c r="M43" s="84"/>
      <c r="N43" s="37"/>
      <c r="O43" s="35"/>
      <c r="P43" s="39"/>
    </row>
    <row r="44" spans="2:16" ht="30" x14ac:dyDescent="0.25">
      <c r="B44" s="4"/>
      <c r="C44" s="110" t="s">
        <v>173</v>
      </c>
      <c r="D44" s="82"/>
      <c r="E44" s="139" t="s">
        <v>109</v>
      </c>
      <c r="F44" s="89">
        <v>1E-10</v>
      </c>
      <c r="G44" s="84"/>
      <c r="H44" s="14" t="s">
        <v>53</v>
      </c>
      <c r="I44" s="12">
        <v>-6.6E-4</v>
      </c>
      <c r="J44" s="13" t="s">
        <v>35</v>
      </c>
      <c r="K44" s="13" t="s">
        <v>35</v>
      </c>
      <c r="L44" s="31" t="b">
        <v>1</v>
      </c>
      <c r="M44" s="84"/>
      <c r="N44" s="37"/>
      <c r="O44" s="35"/>
      <c r="P44" s="39"/>
    </row>
    <row r="45" spans="2:16" ht="30" x14ac:dyDescent="0.25">
      <c r="B45" s="4"/>
      <c r="C45" s="110" t="s">
        <v>174</v>
      </c>
      <c r="D45" s="82"/>
      <c r="E45" s="139" t="s">
        <v>110</v>
      </c>
      <c r="F45" s="103">
        <v>1000</v>
      </c>
      <c r="G45" s="84"/>
      <c r="H45" s="14" t="s">
        <v>55</v>
      </c>
      <c r="I45" s="12">
        <v>5.5000000000000003E-4</v>
      </c>
      <c r="J45" s="13" t="s">
        <v>35</v>
      </c>
      <c r="K45" s="13" t="s">
        <v>35</v>
      </c>
      <c r="L45" s="31" t="b">
        <v>1</v>
      </c>
      <c r="M45" s="84"/>
      <c r="N45" s="37"/>
      <c r="O45" s="35"/>
      <c r="P45" s="39"/>
    </row>
    <row r="46" spans="2:16" ht="60" x14ac:dyDescent="0.25">
      <c r="B46" s="4"/>
      <c r="C46" s="111" t="s">
        <v>175</v>
      </c>
      <c r="D46" s="82"/>
      <c r="E46" s="139" t="s">
        <v>131</v>
      </c>
      <c r="F46" s="87" t="b">
        <v>1</v>
      </c>
      <c r="G46" s="84"/>
      <c r="H46" s="14" t="s">
        <v>57</v>
      </c>
      <c r="I46" s="12">
        <v>1.7499999999999998E-3</v>
      </c>
      <c r="J46" s="13" t="s">
        <v>35</v>
      </c>
      <c r="K46" s="13" t="s">
        <v>35</v>
      </c>
      <c r="L46" s="31" t="b">
        <v>1</v>
      </c>
      <c r="M46" s="84"/>
      <c r="N46" s="37"/>
      <c r="O46" s="35"/>
      <c r="P46" s="39"/>
    </row>
    <row r="47" spans="2:16" x14ac:dyDescent="0.25">
      <c r="B47" s="4"/>
      <c r="C47" s="112"/>
      <c r="D47" s="82"/>
      <c r="E47" s="144"/>
      <c r="F47" s="87"/>
      <c r="G47" s="84"/>
      <c r="H47" s="14" t="s">
        <v>58</v>
      </c>
      <c r="I47" s="12">
        <v>2.8399999999999996E-3</v>
      </c>
      <c r="J47" s="13" t="s">
        <v>35</v>
      </c>
      <c r="K47" s="13" t="s">
        <v>35</v>
      </c>
      <c r="L47" s="31" t="b">
        <v>1</v>
      </c>
      <c r="M47" s="84"/>
      <c r="N47" s="37"/>
      <c r="O47" s="35"/>
      <c r="P47" s="39"/>
    </row>
    <row r="48" spans="2:16" x14ac:dyDescent="0.25">
      <c r="B48" s="4"/>
      <c r="C48" s="112"/>
      <c r="D48" s="82"/>
      <c r="E48" s="144"/>
      <c r="F48" s="131"/>
      <c r="G48" s="84"/>
      <c r="H48" s="14" t="s">
        <v>59</v>
      </c>
      <c r="I48" s="12">
        <v>3.8600000000000001E-3</v>
      </c>
      <c r="J48" s="13" t="s">
        <v>35</v>
      </c>
      <c r="K48" s="13" t="s">
        <v>35</v>
      </c>
      <c r="L48" s="31" t="b">
        <v>1</v>
      </c>
      <c r="M48" s="84"/>
      <c r="N48" s="37"/>
      <c r="O48" s="35"/>
      <c r="P48" s="39"/>
    </row>
    <row r="49" spans="2:16" x14ac:dyDescent="0.25">
      <c r="B49" s="4"/>
      <c r="C49" s="112" t="s">
        <v>141</v>
      </c>
      <c r="D49" s="82"/>
      <c r="E49" s="144"/>
      <c r="F49" s="131"/>
      <c r="G49" s="84"/>
      <c r="H49" s="14" t="s">
        <v>60</v>
      </c>
      <c r="I49" s="12">
        <v>4.7699999999999999E-3</v>
      </c>
      <c r="J49" s="13" t="s">
        <v>35</v>
      </c>
      <c r="K49" s="13" t="s">
        <v>35</v>
      </c>
      <c r="L49" s="31" t="b">
        <v>1</v>
      </c>
      <c r="M49" s="84"/>
      <c r="N49" s="37"/>
      <c r="O49" s="35"/>
      <c r="P49" s="39"/>
    </row>
    <row r="50" spans="2:16" x14ac:dyDescent="0.25">
      <c r="B50" s="4"/>
      <c r="C50" s="119" t="s">
        <v>138</v>
      </c>
      <c r="D50" s="82"/>
      <c r="E50" s="144"/>
      <c r="F50" s="131"/>
      <c r="G50" s="84"/>
      <c r="H50" s="14" t="s">
        <v>61</v>
      </c>
      <c r="I50" s="12">
        <v>6.8799999999999998E-3</v>
      </c>
      <c r="J50" s="13" t="s">
        <v>35</v>
      </c>
      <c r="K50" s="13" t="s">
        <v>35</v>
      </c>
      <c r="L50" s="31" t="b">
        <v>1</v>
      </c>
      <c r="M50" s="84"/>
      <c r="N50" s="37"/>
      <c r="O50" s="35"/>
      <c r="P50" s="39"/>
    </row>
    <row r="51" spans="2:16" x14ac:dyDescent="0.25">
      <c r="B51" s="4"/>
      <c r="C51" s="119" t="s">
        <v>139</v>
      </c>
      <c r="D51" s="82"/>
      <c r="E51" s="144"/>
      <c r="F51" s="131"/>
      <c r="G51" s="84"/>
      <c r="H51" s="14" t="s">
        <v>62</v>
      </c>
      <c r="I51" s="12">
        <v>8.7100000000000007E-3</v>
      </c>
      <c r="J51" s="13" t="s">
        <v>35</v>
      </c>
      <c r="K51" s="13" t="s">
        <v>35</v>
      </c>
      <c r="L51" s="31" t="b">
        <v>1</v>
      </c>
      <c r="M51" s="84"/>
      <c r="N51" s="37"/>
      <c r="O51" s="35"/>
      <c r="P51" s="39"/>
    </row>
    <row r="52" spans="2:16" x14ac:dyDescent="0.25">
      <c r="B52" s="4"/>
      <c r="C52" s="119" t="s">
        <v>140</v>
      </c>
      <c r="D52" s="82"/>
      <c r="E52" s="144"/>
      <c r="F52" s="131"/>
      <c r="G52" s="84"/>
      <c r="H52" s="14" t="s">
        <v>63</v>
      </c>
      <c r="I52" s="12">
        <v>9.3600000000000003E-3</v>
      </c>
      <c r="J52" s="13" t="s">
        <v>35</v>
      </c>
      <c r="K52" s="13" t="s">
        <v>35</v>
      </c>
      <c r="L52" s="31" t="b">
        <v>1</v>
      </c>
      <c r="M52" s="84"/>
      <c r="N52" s="37"/>
      <c r="O52" s="35"/>
      <c r="P52" s="39"/>
    </row>
    <row r="53" spans="2:16" x14ac:dyDescent="0.25">
      <c r="B53" s="4"/>
      <c r="C53" s="112"/>
      <c r="D53" s="82"/>
      <c r="E53" s="144"/>
      <c r="F53" s="131"/>
      <c r="G53" s="84"/>
      <c r="H53" s="14" t="s">
        <v>64</v>
      </c>
      <c r="I53" s="12">
        <v>9.6100000000000005E-3</v>
      </c>
      <c r="J53" s="13" t="s">
        <v>35</v>
      </c>
      <c r="K53" s="13" t="s">
        <v>35</v>
      </c>
      <c r="L53" s="31" t="b">
        <v>1</v>
      </c>
      <c r="M53" s="84"/>
      <c r="N53" s="37"/>
      <c r="O53" s="35"/>
      <c r="P53" s="39"/>
    </row>
    <row r="54" spans="2:16" x14ac:dyDescent="0.25">
      <c r="B54" s="4"/>
      <c r="C54" s="112"/>
      <c r="D54" s="82"/>
      <c r="E54" s="144"/>
      <c r="F54" s="131"/>
      <c r="G54" s="84"/>
      <c r="H54" s="14" t="s">
        <v>65</v>
      </c>
      <c r="I54" s="12">
        <v>9.7299999999999991E-3</v>
      </c>
      <c r="J54" s="13" t="s">
        <v>35</v>
      </c>
      <c r="K54" s="13" t="s">
        <v>35</v>
      </c>
      <c r="L54" s="31" t="b">
        <v>1</v>
      </c>
      <c r="M54" s="84"/>
      <c r="N54" s="37"/>
      <c r="O54" s="35"/>
      <c r="P54" s="39"/>
    </row>
    <row r="55" spans="2:16" x14ac:dyDescent="0.25">
      <c r="B55" s="4"/>
      <c r="C55" s="112"/>
      <c r="D55" s="82"/>
      <c r="E55" s="144"/>
      <c r="F55" s="131"/>
      <c r="G55" s="84"/>
      <c r="H55" s="14" t="s">
        <v>132</v>
      </c>
      <c r="I55" s="12">
        <v>9.3200000000000002E-3</v>
      </c>
      <c r="J55" s="13" t="s">
        <v>35</v>
      </c>
      <c r="K55" s="13" t="s">
        <v>35</v>
      </c>
      <c r="L55" s="31" t="b">
        <v>1</v>
      </c>
      <c r="M55" s="84"/>
      <c r="N55" s="37"/>
      <c r="O55" s="35"/>
      <c r="P55" s="39"/>
    </row>
    <row r="56" spans="2:16" x14ac:dyDescent="0.25">
      <c r="B56" s="4"/>
      <c r="C56" s="112"/>
      <c r="D56" s="82"/>
      <c r="E56" s="144"/>
      <c r="F56" s="131"/>
      <c r="G56" s="84"/>
      <c r="H56" s="14"/>
      <c r="I56" s="12"/>
      <c r="J56" s="13"/>
      <c r="K56" s="13"/>
      <c r="L56" s="31"/>
      <c r="M56" s="84"/>
      <c r="N56" s="37"/>
      <c r="O56" s="35"/>
      <c r="P56" s="39"/>
    </row>
    <row r="57" spans="2:16" x14ac:dyDescent="0.25">
      <c r="B57" s="4"/>
      <c r="C57" s="113"/>
      <c r="D57" s="82"/>
      <c r="E57" s="145"/>
      <c r="F57" s="132"/>
      <c r="G57" s="84"/>
      <c r="H57" s="15"/>
      <c r="I57" s="16"/>
      <c r="J57" s="32"/>
      <c r="K57" s="32"/>
      <c r="L57" s="33"/>
      <c r="M57" s="84"/>
      <c r="N57" s="38"/>
      <c r="O57" s="36"/>
      <c r="P57" s="39"/>
    </row>
    <row r="58" spans="2:16" x14ac:dyDescent="0.25">
      <c r="B58" s="9"/>
      <c r="C58" s="85"/>
      <c r="D58" s="85"/>
      <c r="E58" s="125"/>
      <c r="F58" s="128"/>
      <c r="G58" s="85"/>
      <c r="H58" s="10"/>
      <c r="I58" s="10"/>
      <c r="J58" s="10"/>
      <c r="K58" s="10"/>
      <c r="L58" s="10"/>
      <c r="M58" s="85"/>
      <c r="N58" s="10"/>
      <c r="O58" s="10"/>
      <c r="P58" s="11"/>
    </row>
    <row r="61" spans="2:16" x14ac:dyDescent="0.25">
      <c r="B61" s="40" t="s">
        <v>74</v>
      </c>
      <c r="C61" s="93"/>
      <c r="D61" s="93"/>
    </row>
    <row r="62" spans="2:16" x14ac:dyDescent="0.25">
      <c r="B62" s="1"/>
      <c r="C62" s="81"/>
      <c r="D62" s="81"/>
      <c r="E62" s="123"/>
      <c r="F62" s="129"/>
      <c r="G62" s="81"/>
      <c r="H62" s="2"/>
      <c r="I62" s="2"/>
      <c r="J62" s="2"/>
      <c r="K62" s="2"/>
      <c r="L62" s="2"/>
      <c r="M62" s="81"/>
      <c r="N62" s="2"/>
      <c r="O62" s="2"/>
      <c r="P62" s="3"/>
    </row>
    <row r="63" spans="2:16" x14ac:dyDescent="0.25">
      <c r="B63" s="4"/>
      <c r="C63" s="83"/>
      <c r="D63" s="83"/>
      <c r="E63" s="143" t="s">
        <v>67</v>
      </c>
      <c r="F63" s="130"/>
      <c r="G63" s="84"/>
      <c r="H63" s="34" t="s">
        <v>69</v>
      </c>
      <c r="I63" s="8"/>
      <c r="J63" s="8"/>
      <c r="K63" s="34" t="s">
        <v>72</v>
      </c>
      <c r="L63" s="8"/>
      <c r="M63" s="84"/>
      <c r="N63" s="34" t="s">
        <v>73</v>
      </c>
      <c r="O63" s="8"/>
      <c r="P63" s="39"/>
    </row>
    <row r="64" spans="2:16" ht="30" x14ac:dyDescent="0.25">
      <c r="B64" s="4"/>
      <c r="C64" s="110" t="s">
        <v>158</v>
      </c>
      <c r="D64" s="82"/>
      <c r="E64" s="138" t="s">
        <v>1</v>
      </c>
      <c r="F64" s="86" t="s">
        <v>2</v>
      </c>
      <c r="G64" s="84"/>
      <c r="H64" s="41" t="s">
        <v>11</v>
      </c>
      <c r="I64" s="41" t="s">
        <v>12</v>
      </c>
      <c r="J64" s="8"/>
      <c r="K64" s="17" t="s">
        <v>3</v>
      </c>
      <c r="L64" s="24" t="s">
        <v>2</v>
      </c>
      <c r="M64" s="84"/>
      <c r="N64" s="41" t="s">
        <v>11</v>
      </c>
      <c r="O64" s="41" t="s">
        <v>12</v>
      </c>
      <c r="P64" s="39"/>
    </row>
    <row r="65" spans="2:16" ht="30" x14ac:dyDescent="0.25">
      <c r="B65" s="4"/>
      <c r="C65" s="110" t="s">
        <v>159</v>
      </c>
      <c r="D65" s="82"/>
      <c r="E65" s="139" t="s">
        <v>18</v>
      </c>
      <c r="F65" s="87" t="s">
        <v>6</v>
      </c>
      <c r="G65" s="84"/>
      <c r="H65" s="14" t="s">
        <v>45</v>
      </c>
      <c r="I65" s="35">
        <v>1.1099999999999999E-3</v>
      </c>
      <c r="J65" s="8"/>
      <c r="K65" s="18" t="s">
        <v>19</v>
      </c>
      <c r="L65" s="25" t="s">
        <v>20</v>
      </c>
      <c r="M65" s="84"/>
      <c r="N65" s="14" t="s">
        <v>45</v>
      </c>
      <c r="O65" s="35">
        <v>-2.9299999999999999E-3</v>
      </c>
      <c r="P65" s="39"/>
    </row>
    <row r="66" spans="2:16" ht="30" x14ac:dyDescent="0.25">
      <c r="B66" s="4"/>
      <c r="C66" s="110" t="s">
        <v>160</v>
      </c>
      <c r="D66" s="82"/>
      <c r="E66" s="139" t="s">
        <v>27</v>
      </c>
      <c r="F66" s="87" t="s">
        <v>28</v>
      </c>
      <c r="G66" s="84"/>
      <c r="H66" s="14" t="s">
        <v>41</v>
      </c>
      <c r="I66" s="35">
        <v>1.1800000000000001E-3</v>
      </c>
      <c r="J66" s="8"/>
      <c r="K66" s="18" t="s">
        <v>29</v>
      </c>
      <c r="L66" s="25" t="s">
        <v>26</v>
      </c>
      <c r="M66" s="84"/>
      <c r="N66" s="14" t="s">
        <v>41</v>
      </c>
      <c r="O66" s="35">
        <v>-2.7100000000000002E-3</v>
      </c>
      <c r="P66" s="39"/>
    </row>
    <row r="67" spans="2:16" ht="30" x14ac:dyDescent="0.25">
      <c r="B67" s="4"/>
      <c r="C67" s="110" t="s">
        <v>162</v>
      </c>
      <c r="D67" s="82"/>
      <c r="E67" s="139" t="s">
        <v>21</v>
      </c>
      <c r="F67" s="87" t="s">
        <v>22</v>
      </c>
      <c r="G67" s="84"/>
      <c r="H67" s="14" t="s">
        <v>48</v>
      </c>
      <c r="I67" s="35">
        <v>1.24E-3</v>
      </c>
      <c r="J67" s="8"/>
      <c r="K67" s="18" t="s">
        <v>23</v>
      </c>
      <c r="L67" s="25" t="s">
        <v>22</v>
      </c>
      <c r="M67" s="84"/>
      <c r="N67" s="14" t="s">
        <v>48</v>
      </c>
      <c r="O67" s="35">
        <v>-2.2200000000000002E-3</v>
      </c>
      <c r="P67" s="39"/>
    </row>
    <row r="68" spans="2:16" x14ac:dyDescent="0.25">
      <c r="B68" s="4"/>
      <c r="C68" s="112"/>
      <c r="D68" s="82"/>
      <c r="E68" s="139"/>
      <c r="F68" s="87"/>
      <c r="G68" s="84"/>
      <c r="H68" s="14" t="s">
        <v>50</v>
      </c>
      <c r="I68" s="35">
        <v>1.2600000000000001E-3</v>
      </c>
      <c r="J68" s="8"/>
      <c r="K68" s="18"/>
      <c r="L68" s="25"/>
      <c r="M68" s="84"/>
      <c r="N68" s="14" t="s">
        <v>50</v>
      </c>
      <c r="O68" s="35">
        <v>-1.48E-3</v>
      </c>
      <c r="P68" s="39"/>
    </row>
    <row r="69" spans="2:16" x14ac:dyDescent="0.25">
      <c r="B69" s="4"/>
      <c r="C69" s="112"/>
      <c r="D69" s="82"/>
      <c r="E69" s="139"/>
      <c r="F69" s="87"/>
      <c r="G69" s="84"/>
      <c r="H69" s="14" t="s">
        <v>52</v>
      </c>
      <c r="I69" s="35">
        <v>1.2600000000000001E-3</v>
      </c>
      <c r="J69" s="8"/>
      <c r="K69" s="19"/>
      <c r="L69" s="25"/>
      <c r="M69" s="84"/>
      <c r="N69" s="14" t="s">
        <v>52</v>
      </c>
      <c r="O69" s="35">
        <v>-5.0999999999999993E-4</v>
      </c>
      <c r="P69" s="39"/>
    </row>
    <row r="70" spans="2:16" x14ac:dyDescent="0.25">
      <c r="B70" s="4"/>
      <c r="C70" s="112"/>
      <c r="D70" s="82"/>
      <c r="E70" s="139"/>
      <c r="F70" s="88"/>
      <c r="G70" s="84"/>
      <c r="H70" s="14" t="s">
        <v>53</v>
      </c>
      <c r="I70" s="35">
        <v>1.25E-3</v>
      </c>
      <c r="J70" s="8"/>
      <c r="K70" s="20"/>
      <c r="L70" s="26"/>
      <c r="M70" s="84"/>
      <c r="N70" s="14" t="s">
        <v>53</v>
      </c>
      <c r="O70" s="35">
        <v>5.9999999999999995E-4</v>
      </c>
      <c r="P70" s="39"/>
    </row>
    <row r="71" spans="2:16" x14ac:dyDescent="0.25">
      <c r="B71" s="4"/>
      <c r="C71" s="112"/>
      <c r="D71" s="82"/>
      <c r="E71" s="139"/>
      <c r="F71" s="87"/>
      <c r="G71" s="84"/>
      <c r="H71" s="14" t="s">
        <v>55</v>
      </c>
      <c r="I71" s="35">
        <v>1.2199999999999999E-3</v>
      </c>
      <c r="J71" s="8"/>
      <c r="K71" s="18"/>
      <c r="L71" s="25"/>
      <c r="M71" s="84"/>
      <c r="N71" s="14" t="s">
        <v>55</v>
      </c>
      <c r="O71" s="35">
        <v>1.8E-3</v>
      </c>
      <c r="P71" s="39"/>
    </row>
    <row r="72" spans="2:16" x14ac:dyDescent="0.25">
      <c r="B72" s="4"/>
      <c r="C72" s="112"/>
      <c r="D72" s="82"/>
      <c r="E72" s="139"/>
      <c r="F72" s="87"/>
      <c r="G72" s="84"/>
      <c r="H72" s="14" t="s">
        <v>57</v>
      </c>
      <c r="I72" s="35">
        <v>1.1900000000000001E-3</v>
      </c>
      <c r="J72" s="8"/>
      <c r="K72" s="18"/>
      <c r="L72" s="25"/>
      <c r="M72" s="84"/>
      <c r="N72" s="14" t="s">
        <v>57</v>
      </c>
      <c r="O72" s="35">
        <v>2.98E-3</v>
      </c>
      <c r="P72" s="39"/>
    </row>
    <row r="73" spans="2:16" x14ac:dyDescent="0.25">
      <c r="B73" s="4"/>
      <c r="C73" s="112"/>
      <c r="D73" s="82"/>
      <c r="E73" s="139"/>
      <c r="F73" s="87"/>
      <c r="G73" s="84"/>
      <c r="H73" s="14" t="s">
        <v>58</v>
      </c>
      <c r="I73" s="35">
        <v>1.1800000000000001E-3</v>
      </c>
      <c r="J73" s="8"/>
      <c r="K73" s="18"/>
      <c r="L73" s="25"/>
      <c r="M73" s="84"/>
      <c r="N73" s="14" t="s">
        <v>58</v>
      </c>
      <c r="O73" s="35">
        <v>4.0799999999999994E-3</v>
      </c>
      <c r="P73" s="39"/>
    </row>
    <row r="74" spans="2:16" x14ac:dyDescent="0.25">
      <c r="B74" s="4"/>
      <c r="C74" s="112"/>
      <c r="D74" s="82"/>
      <c r="E74" s="139"/>
      <c r="F74" s="87"/>
      <c r="G74" s="84"/>
      <c r="H74" s="14" t="s">
        <v>59</v>
      </c>
      <c r="I74" s="35">
        <v>1.16E-3</v>
      </c>
      <c r="J74" s="8"/>
      <c r="K74" s="18"/>
      <c r="L74" s="25"/>
      <c r="M74" s="84"/>
      <c r="N74" s="14" t="s">
        <v>59</v>
      </c>
      <c r="O74" s="35">
        <v>5.1000000000000004E-3</v>
      </c>
      <c r="P74" s="39"/>
    </row>
    <row r="75" spans="2:16" x14ac:dyDescent="0.25">
      <c r="B75" s="4"/>
      <c r="C75" s="112" t="s">
        <v>141</v>
      </c>
      <c r="D75" s="82"/>
      <c r="E75" s="139"/>
      <c r="F75" s="87"/>
      <c r="G75" s="84"/>
      <c r="H75" s="14" t="s">
        <v>60</v>
      </c>
      <c r="I75" s="35">
        <v>1.15E-3</v>
      </c>
      <c r="J75" s="8"/>
      <c r="K75" s="18"/>
      <c r="L75" s="25"/>
      <c r="M75" s="84"/>
      <c r="N75" s="14" t="s">
        <v>60</v>
      </c>
      <c r="O75" s="35">
        <v>6.0099999999999997E-3</v>
      </c>
      <c r="P75" s="39"/>
    </row>
    <row r="76" spans="2:16" x14ac:dyDescent="0.25">
      <c r="B76" s="4"/>
      <c r="C76" s="119" t="s">
        <v>142</v>
      </c>
      <c r="D76" s="82"/>
      <c r="E76" s="139"/>
      <c r="F76" s="87"/>
      <c r="G76" s="84"/>
      <c r="H76" s="14" t="s">
        <v>61</v>
      </c>
      <c r="I76" s="35">
        <v>1.08E-3</v>
      </c>
      <c r="J76" s="8"/>
      <c r="K76" s="19"/>
      <c r="L76" s="25"/>
      <c r="M76" s="84"/>
      <c r="N76" s="14" t="s">
        <v>61</v>
      </c>
      <c r="O76" s="35">
        <v>8.0700000000000008E-3</v>
      </c>
      <c r="P76" s="39"/>
    </row>
    <row r="77" spans="2:16" x14ac:dyDescent="0.25">
      <c r="B77" s="4"/>
      <c r="C77" s="119" t="s">
        <v>143</v>
      </c>
      <c r="D77" s="82"/>
      <c r="E77" s="146"/>
      <c r="F77" s="131"/>
      <c r="G77" s="84"/>
      <c r="H77" s="14" t="s">
        <v>62</v>
      </c>
      <c r="I77" s="35">
        <v>9.5999999999999992E-4</v>
      </c>
      <c r="J77" s="8"/>
      <c r="K77" s="21"/>
      <c r="L77" s="27"/>
      <c r="M77" s="84"/>
      <c r="N77" s="14" t="s">
        <v>62</v>
      </c>
      <c r="O77" s="35">
        <v>9.8099999999999993E-3</v>
      </c>
      <c r="P77" s="39"/>
    </row>
    <row r="78" spans="2:16" x14ac:dyDescent="0.25">
      <c r="B78" s="4"/>
      <c r="C78" s="119"/>
      <c r="D78" s="82"/>
      <c r="E78" s="146"/>
      <c r="F78" s="89"/>
      <c r="G78" s="84"/>
      <c r="H78" s="14" t="s">
        <v>63</v>
      </c>
      <c r="I78" s="35">
        <v>8.5999999999999998E-4</v>
      </c>
      <c r="J78" s="8"/>
      <c r="K78" s="21"/>
      <c r="L78" s="28"/>
      <c r="M78" s="84"/>
      <c r="N78" s="14" t="s">
        <v>63</v>
      </c>
      <c r="O78" s="35">
        <v>1.0369999999999999E-2</v>
      </c>
      <c r="P78" s="39"/>
    </row>
    <row r="79" spans="2:16" x14ac:dyDescent="0.25">
      <c r="B79" s="4"/>
      <c r="C79" s="112"/>
      <c r="D79" s="82"/>
      <c r="E79" s="146"/>
      <c r="F79" s="131"/>
      <c r="G79" s="84"/>
      <c r="H79" s="14" t="s">
        <v>64</v>
      </c>
      <c r="I79" s="35">
        <v>7.7000000000000007E-4</v>
      </c>
      <c r="J79" s="8"/>
      <c r="K79" s="21"/>
      <c r="L79" s="27"/>
      <c r="M79" s="84"/>
      <c r="N79" s="14" t="s">
        <v>64</v>
      </c>
      <c r="O79" s="35">
        <v>1.0529999999999999E-2</v>
      </c>
      <c r="P79" s="39"/>
    </row>
    <row r="80" spans="2:16" x14ac:dyDescent="0.25">
      <c r="B80" s="4"/>
      <c r="C80" s="112"/>
      <c r="D80" s="82"/>
      <c r="E80" s="144"/>
      <c r="F80" s="87"/>
      <c r="G80" s="84"/>
      <c r="H80" s="14" t="s">
        <v>65</v>
      </c>
      <c r="I80" s="35">
        <v>6.4000000000000005E-4</v>
      </c>
      <c r="J80" s="8"/>
      <c r="K80" s="22"/>
      <c r="L80" s="25"/>
      <c r="M80" s="84"/>
      <c r="N80" s="14" t="s">
        <v>65</v>
      </c>
      <c r="O80" s="35">
        <v>1.0529999999999999E-2</v>
      </c>
      <c r="P80" s="39"/>
    </row>
    <row r="81" spans="2:16" x14ac:dyDescent="0.25">
      <c r="B81" s="4"/>
      <c r="C81" s="112"/>
      <c r="D81" s="82"/>
      <c r="E81" s="144"/>
      <c r="F81" s="131"/>
      <c r="G81" s="84"/>
      <c r="H81" s="14" t="s">
        <v>132</v>
      </c>
      <c r="I81" s="35">
        <v>5.5999999999999995E-4</v>
      </c>
      <c r="J81" s="8"/>
      <c r="K81" s="22"/>
      <c r="L81" s="29"/>
      <c r="M81" s="84"/>
      <c r="N81" s="14" t="s">
        <v>132</v>
      </c>
      <c r="O81" s="35">
        <v>1.0029999999999999E-2</v>
      </c>
      <c r="P81" s="39"/>
    </row>
    <row r="82" spans="2:16" x14ac:dyDescent="0.25">
      <c r="B82" s="4"/>
      <c r="C82" s="112"/>
      <c r="D82" s="82"/>
      <c r="E82" s="144"/>
      <c r="F82" s="131"/>
      <c r="G82" s="84"/>
      <c r="H82" s="14"/>
      <c r="I82" s="35"/>
      <c r="J82" s="8"/>
      <c r="K82" s="22"/>
      <c r="L82" s="29"/>
      <c r="M82" s="84"/>
      <c r="N82" s="14"/>
      <c r="O82" s="35"/>
      <c r="P82" s="39"/>
    </row>
    <row r="83" spans="2:16" x14ac:dyDescent="0.25">
      <c r="B83" s="4"/>
      <c r="C83" s="112"/>
      <c r="D83" s="82"/>
      <c r="E83" s="144"/>
      <c r="F83" s="131"/>
      <c r="G83" s="84"/>
      <c r="H83" s="14"/>
      <c r="I83" s="35"/>
      <c r="J83" s="8"/>
      <c r="K83" s="22"/>
      <c r="L83" s="29"/>
      <c r="M83" s="84"/>
      <c r="N83" s="14"/>
      <c r="O83" s="35"/>
      <c r="P83" s="39"/>
    </row>
    <row r="84" spans="2:16" x14ac:dyDescent="0.25">
      <c r="B84" s="4"/>
      <c r="C84" s="112"/>
      <c r="D84" s="82"/>
      <c r="E84" s="144"/>
      <c r="F84" s="131"/>
      <c r="G84" s="84"/>
      <c r="H84" s="14"/>
      <c r="I84" s="35"/>
      <c r="J84" s="8"/>
      <c r="K84" s="22"/>
      <c r="L84" s="29"/>
      <c r="M84" s="84"/>
      <c r="N84" s="14"/>
      <c r="O84" s="35"/>
      <c r="P84" s="39"/>
    </row>
    <row r="85" spans="2:16" x14ac:dyDescent="0.25">
      <c r="B85" s="4"/>
      <c r="C85" s="112"/>
      <c r="D85" s="82"/>
      <c r="E85" s="144"/>
      <c r="F85" s="131"/>
      <c r="G85" s="84"/>
      <c r="H85" s="14"/>
      <c r="I85" s="35"/>
      <c r="J85" s="8"/>
      <c r="K85" s="22"/>
      <c r="L85" s="29"/>
      <c r="M85" s="84"/>
      <c r="N85" s="14"/>
      <c r="O85" s="35"/>
      <c r="P85" s="39"/>
    </row>
    <row r="86" spans="2:16" x14ac:dyDescent="0.25">
      <c r="B86" s="4"/>
      <c r="C86" s="112"/>
      <c r="D86" s="82"/>
      <c r="E86" s="144"/>
      <c r="F86" s="131"/>
      <c r="G86" s="84"/>
      <c r="H86" s="14"/>
      <c r="I86" s="35"/>
      <c r="J86" s="8"/>
      <c r="K86" s="22"/>
      <c r="L86" s="29"/>
      <c r="M86" s="84"/>
      <c r="N86" s="14"/>
      <c r="O86" s="35"/>
      <c r="P86" s="39"/>
    </row>
    <row r="87" spans="2:16" x14ac:dyDescent="0.25">
      <c r="B87" s="4"/>
      <c r="C87" s="112"/>
      <c r="D87" s="82"/>
      <c r="E87" s="144"/>
      <c r="F87" s="131"/>
      <c r="G87" s="84"/>
      <c r="H87" s="14"/>
      <c r="I87" s="35"/>
      <c r="J87" s="8"/>
      <c r="K87" s="22"/>
      <c r="L87" s="29"/>
      <c r="M87" s="84"/>
      <c r="N87" s="14"/>
      <c r="O87" s="35"/>
      <c r="P87" s="39"/>
    </row>
    <row r="88" spans="2:16" x14ac:dyDescent="0.25">
      <c r="B88" s="4"/>
      <c r="C88" s="112"/>
      <c r="D88" s="82"/>
      <c r="E88" s="144"/>
      <c r="F88" s="131"/>
      <c r="G88" s="84"/>
      <c r="H88" s="14"/>
      <c r="I88" s="35"/>
      <c r="J88" s="8"/>
      <c r="K88" s="22"/>
      <c r="L88" s="29"/>
      <c r="M88" s="84"/>
      <c r="N88" s="14"/>
      <c r="O88" s="35"/>
      <c r="P88" s="39"/>
    </row>
    <row r="89" spans="2:16" x14ac:dyDescent="0.25">
      <c r="B89" s="4"/>
      <c r="C89" s="113"/>
      <c r="D89" s="82"/>
      <c r="E89" s="145"/>
      <c r="F89" s="132"/>
      <c r="G89" s="84"/>
      <c r="H89" s="15"/>
      <c r="I89" s="36"/>
      <c r="J89" s="8"/>
      <c r="K89" s="23"/>
      <c r="L89" s="30"/>
      <c r="M89" s="84"/>
      <c r="N89" s="15"/>
      <c r="O89" s="36"/>
      <c r="P89" s="39"/>
    </row>
    <row r="90" spans="2:16" x14ac:dyDescent="0.25">
      <c r="B90" s="9"/>
      <c r="C90" s="85"/>
      <c r="D90" s="85"/>
      <c r="E90" s="125"/>
      <c r="F90" s="128"/>
      <c r="G90" s="85"/>
      <c r="H90" s="10"/>
      <c r="I90" s="10"/>
      <c r="J90" s="10"/>
      <c r="K90" s="10"/>
      <c r="L90" s="10"/>
      <c r="M90" s="85"/>
      <c r="N90" s="10"/>
      <c r="O90" s="10"/>
      <c r="P90" s="11"/>
    </row>
  </sheetData>
  <dataValidations count="1">
    <dataValidation type="list" allowBlank="1" showInputMessage="1" showErrorMessage="1" sqref="F22:F23 G19:G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00000"/>
  </sheetPr>
  <dimension ref="A1:R113"/>
  <sheetViews>
    <sheetView showGridLines="0" tabSelected="1" topLeftCell="A46" workbookViewId="0">
      <selection activeCell="E79" sqref="E79"/>
    </sheetView>
  </sheetViews>
  <sheetFormatPr defaultRowHeight="15" outlineLevelRow="1" x14ac:dyDescent="0.25"/>
  <cols>
    <col min="2" max="2" width="2.7109375" customWidth="1"/>
    <col min="3" max="3" width="4.7109375" style="80" customWidth="1"/>
    <col min="4" max="4" width="21.85546875" style="122" customWidth="1"/>
    <col min="5" max="5" width="32.7109375" style="127" customWidth="1"/>
    <col min="7" max="8" width="18.7109375" customWidth="1"/>
    <col min="9" max="9" width="12.7109375" customWidth="1"/>
    <col min="10" max="10" width="14.28515625" customWidth="1"/>
    <col min="11" max="11" width="15.140625" customWidth="1"/>
    <col min="12" max="13" width="18.7109375" customWidth="1"/>
    <col min="14" max="14" width="4.7109375" customWidth="1"/>
    <col min="16" max="16" width="13.85546875" customWidth="1"/>
    <col min="17" max="17" width="3.85546875" customWidth="1"/>
    <col min="18" max="18" width="11.85546875" customWidth="1"/>
    <col min="19" max="19" width="8.5703125" bestFit="1" customWidth="1"/>
  </cols>
  <sheetData>
    <row r="1" spans="1:14" x14ac:dyDescent="0.25">
      <c r="A1" s="80"/>
    </row>
    <row r="2" spans="1:14" ht="23.25" x14ac:dyDescent="0.35">
      <c r="A2" s="80"/>
      <c r="B2" s="160" t="s">
        <v>148</v>
      </c>
      <c r="C2" s="93"/>
    </row>
    <row r="3" spans="1:14" ht="23.25" x14ac:dyDescent="0.35">
      <c r="B3" s="156" t="s">
        <v>147</v>
      </c>
    </row>
    <row r="4" spans="1:14" ht="23.25" x14ac:dyDescent="0.35">
      <c r="B4" s="156" t="s">
        <v>146</v>
      </c>
    </row>
    <row r="5" spans="1:14" s="157" customFormat="1" x14ac:dyDescent="0.25">
      <c r="D5" s="158"/>
      <c r="E5" s="159"/>
    </row>
    <row r="6" spans="1:14" x14ac:dyDescent="0.25">
      <c r="B6" s="40" t="s">
        <v>137</v>
      </c>
      <c r="C6" s="93"/>
    </row>
    <row r="7" spans="1:14" x14ac:dyDescent="0.25">
      <c r="B7" s="1"/>
      <c r="C7" s="81"/>
      <c r="D7" s="133"/>
      <c r="E7" s="90"/>
      <c r="F7" s="2"/>
      <c r="G7" s="2"/>
      <c r="H7" s="2"/>
      <c r="I7" s="2"/>
      <c r="J7" s="2"/>
      <c r="K7" s="2"/>
      <c r="L7" s="2"/>
      <c r="M7" s="2"/>
      <c r="N7" s="3"/>
    </row>
    <row r="8" spans="1:14" x14ac:dyDescent="0.25">
      <c r="B8" s="4"/>
      <c r="C8" s="83"/>
      <c r="D8" s="134" t="s">
        <v>137</v>
      </c>
      <c r="E8" s="96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(0.00000 sec)</v>
      </c>
      <c r="F8" s="42"/>
      <c r="G8" s="43"/>
      <c r="H8" s="5"/>
      <c r="I8" s="83"/>
      <c r="J8" s="5"/>
      <c r="K8" s="5"/>
      <c r="L8" s="5"/>
      <c r="M8" s="5"/>
      <c r="N8" s="6"/>
    </row>
    <row r="9" spans="1:14" x14ac:dyDescent="0.25">
      <c r="B9" s="4"/>
      <c r="C9" s="83"/>
      <c r="D9" s="135" t="s">
        <v>119</v>
      </c>
      <c r="E9" s="108" t="b">
        <f ca="1">LEFT(E8,5)=STDCurve.CollectionName</f>
        <v>1</v>
      </c>
      <c r="F9" s="5"/>
      <c r="G9" s="5"/>
      <c r="H9" s="5"/>
      <c r="I9" s="5"/>
      <c r="J9" s="5"/>
      <c r="K9" s="5"/>
      <c r="L9" s="5"/>
      <c r="M9" s="5"/>
      <c r="N9" s="6"/>
    </row>
    <row r="10" spans="1:14" x14ac:dyDescent="0.25">
      <c r="B10" s="4"/>
      <c r="C10" s="83"/>
      <c r="D10" s="124"/>
      <c r="E10" s="95"/>
      <c r="F10" s="5"/>
      <c r="G10" s="5"/>
      <c r="H10" s="5"/>
      <c r="I10" s="5"/>
      <c r="J10" s="5"/>
      <c r="K10" s="5"/>
      <c r="L10" s="5"/>
      <c r="M10" s="5"/>
      <c r="N10" s="6"/>
    </row>
    <row r="11" spans="1:14" x14ac:dyDescent="0.25">
      <c r="B11" s="4"/>
      <c r="C11" s="83"/>
      <c r="D11" s="136"/>
      <c r="E11" s="95"/>
      <c r="F11" s="5"/>
      <c r="G11" s="5"/>
      <c r="H11" s="5"/>
      <c r="I11" s="5"/>
      <c r="J11" s="5"/>
      <c r="K11" s="5"/>
      <c r="L11" s="5"/>
      <c r="M11" s="5"/>
      <c r="N11" s="6"/>
    </row>
    <row r="12" spans="1:14" outlineLevel="1" x14ac:dyDescent="0.25">
      <c r="B12" s="4"/>
      <c r="C12" s="83"/>
      <c r="D12" s="137" t="s">
        <v>0</v>
      </c>
      <c r="E12" s="94"/>
      <c r="F12" s="5"/>
      <c r="G12" s="5"/>
      <c r="H12" s="5"/>
      <c r="I12" s="5"/>
      <c r="J12" s="5"/>
      <c r="K12" s="5"/>
      <c r="L12" s="5"/>
      <c r="M12" s="5"/>
      <c r="N12" s="6"/>
    </row>
    <row r="13" spans="1:14" outlineLevel="1" x14ac:dyDescent="0.25">
      <c r="B13" s="4"/>
      <c r="C13" s="83"/>
      <c r="D13" s="138" t="s">
        <v>78</v>
      </c>
      <c r="E13" s="104" t="s">
        <v>76</v>
      </c>
      <c r="F13" s="5"/>
      <c r="G13" s="5"/>
      <c r="H13" s="5"/>
      <c r="I13" s="5"/>
      <c r="J13" s="5"/>
      <c r="K13" s="5"/>
      <c r="L13" s="5"/>
      <c r="M13" s="5"/>
      <c r="N13" s="6"/>
    </row>
    <row r="14" spans="1:14" outlineLevel="1" x14ac:dyDescent="0.25">
      <c r="B14" s="4"/>
      <c r="C14" s="83"/>
      <c r="D14" s="139" t="s">
        <v>77</v>
      </c>
      <c r="E14" s="105" t="s">
        <v>80</v>
      </c>
      <c r="F14" s="5"/>
      <c r="G14" s="5"/>
      <c r="H14" s="5"/>
      <c r="I14" s="5"/>
      <c r="J14" s="5"/>
      <c r="K14" s="5"/>
      <c r="L14" s="5"/>
      <c r="M14" s="5"/>
      <c r="N14" s="6"/>
    </row>
    <row r="15" spans="1:14" outlineLevel="1" x14ac:dyDescent="0.25">
      <c r="B15" s="4"/>
      <c r="C15" s="83"/>
      <c r="D15" s="141" t="s">
        <v>79</v>
      </c>
      <c r="E15" s="106" t="s">
        <v>120</v>
      </c>
      <c r="F15" s="5"/>
      <c r="G15" s="5"/>
      <c r="H15" s="5"/>
      <c r="I15" s="5" t="s">
        <v>4</v>
      </c>
      <c r="J15" s="5" t="s">
        <v>4</v>
      </c>
      <c r="K15" s="5" t="s">
        <v>4</v>
      </c>
      <c r="L15" s="5"/>
      <c r="M15" s="5"/>
      <c r="N15" s="6" t="s">
        <v>4</v>
      </c>
    </row>
    <row r="16" spans="1:14" outlineLevel="1" x14ac:dyDescent="0.25">
      <c r="B16" s="9"/>
      <c r="C16" s="85"/>
      <c r="D16" s="125"/>
      <c r="E16" s="128"/>
      <c r="F16" s="10"/>
      <c r="G16" s="10"/>
      <c r="H16" s="10"/>
      <c r="I16" s="10"/>
      <c r="J16" s="10"/>
      <c r="K16" s="10"/>
      <c r="L16" s="10"/>
      <c r="M16" s="10"/>
      <c r="N16" s="11"/>
    </row>
    <row r="17" spans="2:14" outlineLevel="1" x14ac:dyDescent="0.25"/>
    <row r="18" spans="2:14" outlineLevel="1" x14ac:dyDescent="0.25"/>
    <row r="19" spans="2:14" outlineLevel="1" x14ac:dyDescent="0.25">
      <c r="B19" s="40" t="s">
        <v>66</v>
      </c>
      <c r="C19" s="93"/>
    </row>
    <row r="20" spans="2:14" outlineLevel="1" x14ac:dyDescent="0.25">
      <c r="B20" s="1"/>
      <c r="C20" s="81"/>
      <c r="D20" s="133"/>
      <c r="E20" s="90"/>
      <c r="F20" s="2"/>
      <c r="G20" s="2"/>
      <c r="H20" s="2"/>
      <c r="I20" s="45"/>
      <c r="J20" s="2"/>
      <c r="K20" s="2"/>
      <c r="L20" s="2"/>
      <c r="M20" s="2"/>
      <c r="N20" s="3"/>
    </row>
    <row r="21" spans="2:14" outlineLevel="1" x14ac:dyDescent="0.25">
      <c r="B21" s="4"/>
      <c r="C21" s="83"/>
      <c r="D21" s="137" t="s">
        <v>66</v>
      </c>
      <c r="E21" s="91"/>
      <c r="F21" s="5"/>
      <c r="G21" s="5"/>
      <c r="H21" s="5"/>
      <c r="I21" s="5"/>
      <c r="J21" s="5"/>
      <c r="K21" s="5"/>
      <c r="L21" s="5"/>
      <c r="M21" s="5"/>
      <c r="N21" s="6"/>
    </row>
    <row r="22" spans="2:14" outlineLevel="1" x14ac:dyDescent="0.25">
      <c r="B22" s="4"/>
      <c r="C22" s="83"/>
      <c r="D22" s="138" t="s">
        <v>10</v>
      </c>
      <c r="E22" s="104">
        <v>42521</v>
      </c>
      <c r="F22" s="5"/>
      <c r="G22" s="5"/>
      <c r="H22" s="5"/>
      <c r="I22" s="5"/>
      <c r="J22" s="5"/>
      <c r="K22" s="5"/>
      <c r="L22" s="5"/>
      <c r="M22" s="5"/>
      <c r="N22" s="6"/>
    </row>
    <row r="23" spans="2:14" outlineLevel="1" x14ac:dyDescent="0.25">
      <c r="B23" s="4"/>
      <c r="C23" s="83"/>
      <c r="D23" s="139" t="s">
        <v>16</v>
      </c>
      <c r="E23" s="105" t="s">
        <v>17</v>
      </c>
      <c r="F23" s="5"/>
      <c r="G23" s="5"/>
      <c r="H23" s="5"/>
      <c r="I23" s="5"/>
      <c r="J23" s="5"/>
      <c r="K23" s="5"/>
      <c r="L23" s="5"/>
      <c r="M23" s="5"/>
      <c r="N23" s="6"/>
    </row>
    <row r="24" spans="2:14" outlineLevel="1" x14ac:dyDescent="0.25">
      <c r="B24" s="4"/>
      <c r="C24" s="83"/>
      <c r="D24" s="139" t="s">
        <v>81</v>
      </c>
      <c r="E24" s="107" t="s">
        <v>156</v>
      </c>
      <c r="F24" s="5"/>
      <c r="G24" s="5"/>
      <c r="H24" s="5"/>
      <c r="I24" s="5"/>
      <c r="J24" s="5"/>
      <c r="K24" s="5"/>
      <c r="L24" s="5"/>
      <c r="M24" s="5"/>
      <c r="N24" s="6"/>
    </row>
    <row r="25" spans="2:14" outlineLevel="1" x14ac:dyDescent="0.25">
      <c r="B25" s="4"/>
      <c r="C25" s="83"/>
      <c r="D25" s="139" t="s">
        <v>24</v>
      </c>
      <c r="E25" s="107" t="s">
        <v>156</v>
      </c>
      <c r="F25" s="5"/>
      <c r="G25" s="5"/>
      <c r="H25" s="5"/>
      <c r="I25" s="5"/>
      <c r="J25" s="5"/>
      <c r="K25" s="5"/>
      <c r="L25" s="5"/>
      <c r="M25" s="5"/>
      <c r="N25" s="6"/>
    </row>
    <row r="26" spans="2:14" outlineLevel="1" x14ac:dyDescent="0.25">
      <c r="B26" s="4"/>
      <c r="C26" s="83"/>
      <c r="D26" s="139" t="s">
        <v>83</v>
      </c>
      <c r="E26" s="105" t="b">
        <v>0</v>
      </c>
      <c r="F26" s="5"/>
      <c r="G26" s="5"/>
      <c r="H26" s="5"/>
      <c r="I26" s="5"/>
      <c r="J26" s="5"/>
      <c r="K26" s="5"/>
      <c r="L26" s="5"/>
      <c r="M26" s="5"/>
      <c r="N26" s="6"/>
    </row>
    <row r="27" spans="2:14" outlineLevel="1" x14ac:dyDescent="0.25">
      <c r="B27" s="4"/>
      <c r="C27" s="83"/>
      <c r="D27" s="139" t="s">
        <v>82</v>
      </c>
      <c r="E27" s="105" t="b">
        <v>1</v>
      </c>
      <c r="F27" s="5"/>
      <c r="G27" s="5"/>
      <c r="H27" s="5"/>
      <c r="I27" s="5"/>
      <c r="J27" s="5"/>
      <c r="K27" s="5"/>
      <c r="L27" s="5"/>
      <c r="M27" s="5"/>
      <c r="N27" s="6"/>
    </row>
    <row r="28" spans="2:14" outlineLevel="1" x14ac:dyDescent="0.25">
      <c r="B28" s="4"/>
      <c r="C28" s="83"/>
      <c r="D28" s="139" t="s">
        <v>27</v>
      </c>
      <c r="E28" s="105" t="s">
        <v>28</v>
      </c>
      <c r="F28" s="5"/>
      <c r="G28" s="5"/>
      <c r="H28" s="5"/>
      <c r="I28" s="5"/>
      <c r="J28" s="5"/>
      <c r="K28" s="5"/>
      <c r="L28" s="5"/>
      <c r="M28" s="5"/>
      <c r="N28" s="6"/>
    </row>
    <row r="29" spans="2:14" outlineLevel="1" x14ac:dyDescent="0.25">
      <c r="B29" s="4"/>
      <c r="C29" s="83"/>
      <c r="D29" s="139" t="s">
        <v>84</v>
      </c>
      <c r="E29" s="105" t="s">
        <v>9</v>
      </c>
      <c r="F29" s="5"/>
      <c r="G29" s="5"/>
      <c r="H29" s="5"/>
      <c r="I29" s="5"/>
      <c r="J29" s="5"/>
      <c r="K29" s="5"/>
      <c r="L29" s="5"/>
      <c r="M29" s="5"/>
      <c r="N29" s="6"/>
    </row>
    <row r="30" spans="2:14" outlineLevel="1" x14ac:dyDescent="0.25">
      <c r="B30" s="4"/>
      <c r="C30" s="83"/>
      <c r="D30" s="139"/>
      <c r="E30" s="105"/>
      <c r="F30" s="5"/>
      <c r="G30" s="5"/>
      <c r="H30" s="5"/>
      <c r="I30" s="5"/>
      <c r="J30" s="5"/>
      <c r="K30" s="5"/>
      <c r="L30" s="5"/>
      <c r="M30" s="5"/>
      <c r="N30" s="6"/>
    </row>
    <row r="31" spans="2:14" outlineLevel="1" x14ac:dyDescent="0.25">
      <c r="B31" s="4"/>
      <c r="C31" s="83"/>
      <c r="D31" s="141"/>
      <c r="E31" s="106"/>
      <c r="F31" s="5"/>
      <c r="G31" s="5"/>
      <c r="H31" s="5"/>
      <c r="I31" s="5"/>
      <c r="J31" s="5"/>
      <c r="K31" s="5"/>
      <c r="L31" s="5"/>
      <c r="M31" s="5"/>
      <c r="N31" s="6"/>
    </row>
    <row r="32" spans="2:14" outlineLevel="1" x14ac:dyDescent="0.25">
      <c r="B32" s="9"/>
      <c r="C32" s="85"/>
      <c r="D32" s="125"/>
      <c r="E32" s="128"/>
      <c r="F32" s="10"/>
      <c r="G32" s="10"/>
      <c r="H32" s="10"/>
      <c r="I32" s="10"/>
      <c r="J32" s="10"/>
      <c r="K32" s="10"/>
      <c r="L32" s="10"/>
      <c r="M32" s="10"/>
      <c r="N32" s="11"/>
    </row>
    <row r="33" spans="2:14" outlineLevel="1" x14ac:dyDescent="0.25"/>
    <row r="34" spans="2:14" outlineLevel="1" x14ac:dyDescent="0.25"/>
    <row r="35" spans="2:14" outlineLevel="1" x14ac:dyDescent="0.25">
      <c r="B35" s="40" t="s">
        <v>85</v>
      </c>
      <c r="C35" s="93"/>
    </row>
    <row r="36" spans="2:14" outlineLevel="1" x14ac:dyDescent="0.25">
      <c r="B36" s="1"/>
      <c r="C36" s="81"/>
      <c r="D36" s="123"/>
      <c r="E36" s="129"/>
      <c r="F36" s="2"/>
      <c r="G36" s="2"/>
      <c r="H36" s="2"/>
      <c r="I36" s="2"/>
      <c r="J36" s="2"/>
      <c r="K36" s="2"/>
      <c r="L36" s="2"/>
      <c r="M36" s="2"/>
      <c r="N36" s="3"/>
    </row>
    <row r="37" spans="2:14" outlineLevel="1" x14ac:dyDescent="0.25">
      <c r="B37" s="4"/>
      <c r="C37" s="83"/>
      <c r="D37" s="143" t="s">
        <v>134</v>
      </c>
      <c r="E37" s="130"/>
      <c r="F37" s="8"/>
      <c r="G37" s="34" t="s">
        <v>135</v>
      </c>
      <c r="H37" s="8"/>
      <c r="I37" s="8"/>
      <c r="J37" s="34" t="s">
        <v>133</v>
      </c>
      <c r="K37" s="8"/>
      <c r="L37" s="8"/>
      <c r="M37" s="8"/>
      <c r="N37" s="39"/>
    </row>
    <row r="38" spans="2:14" outlineLevel="1" x14ac:dyDescent="0.25">
      <c r="B38" s="4"/>
      <c r="C38" s="83"/>
      <c r="D38" s="138" t="s">
        <v>1</v>
      </c>
      <c r="E38" s="86" t="s">
        <v>2</v>
      </c>
      <c r="F38" s="5"/>
      <c r="G38" s="120" t="s">
        <v>1</v>
      </c>
      <c r="H38" s="86" t="s">
        <v>2</v>
      </c>
      <c r="I38" s="8"/>
      <c r="J38" s="53" t="s">
        <v>11</v>
      </c>
      <c r="K38" s="53" t="s">
        <v>12</v>
      </c>
      <c r="L38" s="53"/>
      <c r="M38" s="53"/>
      <c r="N38" s="39"/>
    </row>
    <row r="39" spans="2:14" outlineLevel="1" x14ac:dyDescent="0.25">
      <c r="B39" s="4"/>
      <c r="C39" s="83"/>
      <c r="D39" s="139" t="s">
        <v>86</v>
      </c>
      <c r="E39" s="87" t="s">
        <v>6</v>
      </c>
      <c r="F39" s="7"/>
      <c r="G39" s="79" t="s">
        <v>18</v>
      </c>
      <c r="H39" s="99" t="s">
        <v>6</v>
      </c>
      <c r="I39" s="8"/>
      <c r="J39" s="47" t="s">
        <v>116</v>
      </c>
      <c r="K39" s="50">
        <v>-3.49E-3</v>
      </c>
      <c r="L39" s="53"/>
      <c r="M39" s="53"/>
      <c r="N39" s="39"/>
    </row>
    <row r="40" spans="2:14" outlineLevel="1" x14ac:dyDescent="0.25">
      <c r="B40" s="4"/>
      <c r="C40" s="83"/>
      <c r="D40" s="139" t="s">
        <v>87</v>
      </c>
      <c r="E40" s="87" t="s">
        <v>88</v>
      </c>
      <c r="F40" s="7"/>
      <c r="G40" s="79" t="s">
        <v>27</v>
      </c>
      <c r="H40" s="87" t="s">
        <v>89</v>
      </c>
      <c r="I40" s="8"/>
      <c r="J40" s="48" t="s">
        <v>115</v>
      </c>
      <c r="K40" s="51">
        <v>-2.6099999999999999E-3</v>
      </c>
      <c r="L40" s="53"/>
      <c r="M40" s="53"/>
      <c r="N40" s="39"/>
    </row>
    <row r="41" spans="2:14" outlineLevel="1" x14ac:dyDescent="0.25">
      <c r="B41" s="4"/>
      <c r="C41" s="83"/>
      <c r="D41" s="139"/>
      <c r="E41" s="87"/>
      <c r="F41" s="7"/>
      <c r="G41" s="79" t="s">
        <v>90</v>
      </c>
      <c r="H41" s="99">
        <v>2</v>
      </c>
      <c r="I41" s="8"/>
      <c r="J41" s="48" t="s">
        <v>92</v>
      </c>
      <c r="K41" s="51">
        <v>-1.5299999999999999E-3</v>
      </c>
      <c r="L41" s="53"/>
      <c r="M41" s="53"/>
      <c r="N41" s="39"/>
    </row>
    <row r="42" spans="2:14" outlineLevel="1" x14ac:dyDescent="0.25">
      <c r="B42" s="4"/>
      <c r="C42" s="83"/>
      <c r="D42" s="139"/>
      <c r="E42" s="87"/>
      <c r="F42" s="7"/>
      <c r="G42" s="79" t="s">
        <v>21</v>
      </c>
      <c r="H42" s="99" t="s">
        <v>22</v>
      </c>
      <c r="I42" s="8"/>
      <c r="J42" s="48" t="s">
        <v>54</v>
      </c>
      <c r="K42" s="51">
        <v>-1.4999999999999999E-4</v>
      </c>
      <c r="L42" s="53"/>
      <c r="M42" s="53"/>
      <c r="N42" s="39"/>
    </row>
    <row r="43" spans="2:14" outlineLevel="1" x14ac:dyDescent="0.25">
      <c r="B43" s="4"/>
      <c r="C43" s="83"/>
      <c r="D43" s="145"/>
      <c r="E43" s="132"/>
      <c r="F43" s="7"/>
      <c r="G43" s="121"/>
      <c r="H43" s="100"/>
      <c r="I43" s="8"/>
      <c r="J43" s="49"/>
      <c r="K43" s="52"/>
      <c r="L43" s="53"/>
      <c r="M43" s="53"/>
      <c r="N43" s="39"/>
    </row>
    <row r="44" spans="2:14" outlineLevel="1" x14ac:dyDescent="0.25">
      <c r="B44" s="4"/>
      <c r="C44" s="83"/>
      <c r="D44" s="126"/>
      <c r="E44" s="154"/>
      <c r="F44" s="7"/>
      <c r="G44" s="8"/>
      <c r="H44" s="8"/>
      <c r="I44" s="8"/>
      <c r="J44" s="74" t="s">
        <v>176</v>
      </c>
      <c r="K44" s="8"/>
      <c r="L44" s="8"/>
      <c r="M44" s="8"/>
      <c r="N44" s="39"/>
    </row>
    <row r="45" spans="2:14" outlineLevel="1" x14ac:dyDescent="0.25">
      <c r="B45" s="9"/>
      <c r="C45" s="85"/>
      <c r="D45" s="125"/>
      <c r="E45" s="128"/>
      <c r="F45" s="10"/>
      <c r="G45" s="10"/>
      <c r="H45" s="10"/>
      <c r="I45" s="10"/>
      <c r="J45" s="10"/>
      <c r="K45" s="10"/>
      <c r="L45" s="10"/>
      <c r="M45" s="10"/>
      <c r="N45" s="11"/>
    </row>
    <row r="46" spans="2:14" outlineLevel="1" x14ac:dyDescent="0.25"/>
    <row r="47" spans="2:14" outlineLevel="1" x14ac:dyDescent="0.25"/>
    <row r="48" spans="2:14" outlineLevel="1" x14ac:dyDescent="0.25">
      <c r="B48" s="40" t="s">
        <v>93</v>
      </c>
      <c r="C48" s="93"/>
    </row>
    <row r="49" spans="2:14" outlineLevel="1" x14ac:dyDescent="0.25">
      <c r="B49" s="1"/>
      <c r="C49" s="81"/>
      <c r="D49" s="123"/>
      <c r="E49" s="129"/>
      <c r="F49" s="2"/>
      <c r="G49" s="2"/>
      <c r="H49" s="2"/>
      <c r="I49" s="2"/>
      <c r="J49" s="2"/>
      <c r="K49" s="2"/>
      <c r="L49" s="2"/>
      <c r="M49" s="2"/>
      <c r="N49" s="3"/>
    </row>
    <row r="50" spans="2:14" outlineLevel="1" x14ac:dyDescent="0.25">
      <c r="B50" s="4"/>
      <c r="C50" s="83"/>
      <c r="D50" s="143" t="s">
        <v>94</v>
      </c>
      <c r="E50" s="130"/>
      <c r="F50" s="8"/>
      <c r="G50" s="34" t="s">
        <v>111</v>
      </c>
      <c r="H50" s="8"/>
      <c r="I50" s="8"/>
      <c r="J50" s="34" t="s">
        <v>112</v>
      </c>
      <c r="K50" s="8"/>
      <c r="L50" s="8"/>
      <c r="M50" s="8"/>
      <c r="N50" s="39"/>
    </row>
    <row r="51" spans="2:14" outlineLevel="1" x14ac:dyDescent="0.25">
      <c r="B51" s="4"/>
      <c r="C51" s="83"/>
      <c r="D51" s="138"/>
      <c r="E51" s="86"/>
      <c r="F51" s="5"/>
      <c r="G51" s="53" t="s">
        <v>11</v>
      </c>
      <c r="H51" s="53" t="s">
        <v>12</v>
      </c>
      <c r="I51" s="8"/>
      <c r="J51" s="53" t="s">
        <v>11</v>
      </c>
      <c r="K51" s="53" t="s">
        <v>12</v>
      </c>
      <c r="L51" s="53"/>
      <c r="M51" s="53"/>
      <c r="N51" s="39"/>
    </row>
    <row r="52" spans="2:14" outlineLevel="1" x14ac:dyDescent="0.25">
      <c r="B52" s="4"/>
      <c r="C52" s="83"/>
      <c r="D52" s="139"/>
      <c r="E52" s="87"/>
      <c r="F52" s="7"/>
      <c r="G52" s="47"/>
      <c r="H52" s="50"/>
      <c r="I52" s="8"/>
      <c r="J52" s="47"/>
      <c r="K52" s="50"/>
      <c r="L52" s="53"/>
      <c r="M52" s="53"/>
      <c r="N52" s="39"/>
    </row>
    <row r="53" spans="2:14" outlineLevel="1" x14ac:dyDescent="0.25">
      <c r="B53" s="4"/>
      <c r="C53" s="83"/>
      <c r="D53" s="139"/>
      <c r="E53" s="87"/>
      <c r="F53" s="7"/>
      <c r="G53" s="48"/>
      <c r="H53" s="51"/>
      <c r="I53" s="8"/>
      <c r="J53" s="48"/>
      <c r="K53" s="51"/>
      <c r="L53" s="53"/>
      <c r="M53" s="53"/>
      <c r="N53" s="39"/>
    </row>
    <row r="54" spans="2:14" outlineLevel="1" x14ac:dyDescent="0.25">
      <c r="B54" s="4"/>
      <c r="C54" s="83"/>
      <c r="D54" s="139"/>
      <c r="E54" s="87"/>
      <c r="F54" s="7"/>
      <c r="G54" s="48"/>
      <c r="H54" s="51"/>
      <c r="I54" s="8"/>
      <c r="J54" s="48"/>
      <c r="K54" s="51"/>
      <c r="L54" s="53"/>
      <c r="M54" s="53"/>
      <c r="N54" s="39"/>
    </row>
    <row r="55" spans="2:14" outlineLevel="1" x14ac:dyDescent="0.25">
      <c r="B55" s="4"/>
      <c r="C55" s="83"/>
      <c r="D55" s="139"/>
      <c r="E55" s="87"/>
      <c r="F55" s="7"/>
      <c r="G55" s="48"/>
      <c r="H55" s="51"/>
      <c r="I55" s="8"/>
      <c r="J55" s="48"/>
      <c r="K55" s="51"/>
      <c r="L55" s="53"/>
      <c r="M55" s="53"/>
      <c r="N55" s="39"/>
    </row>
    <row r="56" spans="2:14" outlineLevel="1" x14ac:dyDescent="0.25">
      <c r="B56" s="4"/>
      <c r="C56" s="83"/>
      <c r="D56" s="139"/>
      <c r="E56" s="87"/>
      <c r="F56" s="7"/>
      <c r="G56" s="48"/>
      <c r="H56" s="51"/>
      <c r="I56" s="8"/>
      <c r="J56" s="48"/>
      <c r="K56" s="51"/>
      <c r="L56" s="53"/>
      <c r="M56" s="53"/>
      <c r="N56" s="39"/>
    </row>
    <row r="57" spans="2:14" outlineLevel="1" x14ac:dyDescent="0.25">
      <c r="B57" s="4"/>
      <c r="C57" s="83"/>
      <c r="D57" s="139"/>
      <c r="E57" s="87"/>
      <c r="F57" s="7"/>
      <c r="G57" s="48"/>
      <c r="H57" s="51"/>
      <c r="I57" s="8"/>
      <c r="J57" s="48"/>
      <c r="K57" s="51"/>
      <c r="L57" s="53"/>
      <c r="M57" s="53"/>
      <c r="N57" s="39"/>
    </row>
    <row r="58" spans="2:14" outlineLevel="1" x14ac:dyDescent="0.25">
      <c r="B58" s="4"/>
      <c r="C58" s="83"/>
      <c r="D58" s="139"/>
      <c r="E58" s="87"/>
      <c r="F58" s="7"/>
      <c r="G58" s="48"/>
      <c r="H58" s="51"/>
      <c r="I58" s="8"/>
      <c r="J58" s="48"/>
      <c r="K58" s="51"/>
      <c r="L58" s="53"/>
      <c r="M58" s="53"/>
      <c r="N58" s="39"/>
    </row>
    <row r="59" spans="2:14" outlineLevel="1" x14ac:dyDescent="0.25">
      <c r="B59" s="4"/>
      <c r="C59" s="83"/>
      <c r="D59" s="139"/>
      <c r="E59" s="87"/>
      <c r="F59" s="7"/>
      <c r="G59" s="48"/>
      <c r="H59" s="51"/>
      <c r="I59" s="8"/>
      <c r="J59" s="48"/>
      <c r="K59" s="51"/>
      <c r="L59" s="53"/>
      <c r="M59" s="53"/>
      <c r="N59" s="39"/>
    </row>
    <row r="60" spans="2:14" outlineLevel="1" x14ac:dyDescent="0.25">
      <c r="B60" s="4"/>
      <c r="C60" s="83"/>
      <c r="D60" s="139"/>
      <c r="E60" s="87"/>
      <c r="F60" s="7"/>
      <c r="G60" s="48"/>
      <c r="H60" s="51"/>
      <c r="I60" s="8"/>
      <c r="J60" s="48"/>
      <c r="K60" s="51"/>
      <c r="L60" s="53"/>
      <c r="M60" s="53"/>
      <c r="N60" s="39"/>
    </row>
    <row r="61" spans="2:14" outlineLevel="1" x14ac:dyDescent="0.25">
      <c r="B61" s="4"/>
      <c r="C61" s="83"/>
      <c r="D61" s="139"/>
      <c r="E61" s="87"/>
      <c r="F61" s="7"/>
      <c r="G61" s="48"/>
      <c r="H61" s="51"/>
      <c r="I61" s="8"/>
      <c r="J61" s="48"/>
      <c r="K61" s="51"/>
      <c r="L61" s="53"/>
      <c r="M61" s="53"/>
      <c r="N61" s="39"/>
    </row>
    <row r="62" spans="2:14" outlineLevel="1" x14ac:dyDescent="0.25">
      <c r="B62" s="4"/>
      <c r="C62" s="83"/>
      <c r="D62" s="139"/>
      <c r="E62" s="87"/>
      <c r="F62" s="7"/>
      <c r="G62" s="48"/>
      <c r="H62" s="51"/>
      <c r="I62" s="8"/>
      <c r="J62" s="48"/>
      <c r="K62" s="51"/>
      <c r="L62" s="53"/>
      <c r="M62" s="53"/>
      <c r="N62" s="39"/>
    </row>
    <row r="63" spans="2:14" outlineLevel="1" x14ac:dyDescent="0.25">
      <c r="B63" s="4"/>
      <c r="C63" s="83"/>
      <c r="D63" s="139"/>
      <c r="E63" s="87"/>
      <c r="F63" s="7"/>
      <c r="G63" s="48"/>
      <c r="H63" s="51"/>
      <c r="I63" s="8"/>
      <c r="J63" s="48"/>
      <c r="K63" s="51"/>
      <c r="L63" s="53"/>
      <c r="M63" s="53"/>
      <c r="N63" s="39"/>
    </row>
    <row r="64" spans="2:14" outlineLevel="1" x14ac:dyDescent="0.25">
      <c r="B64" s="4"/>
      <c r="C64" s="83"/>
      <c r="D64" s="145"/>
      <c r="E64" s="132"/>
      <c r="F64" s="7"/>
      <c r="G64" s="49"/>
      <c r="H64" s="52"/>
      <c r="I64" s="8"/>
      <c r="J64" s="49"/>
      <c r="K64" s="52"/>
      <c r="L64" s="53"/>
      <c r="M64" s="53"/>
      <c r="N64" s="39"/>
    </row>
    <row r="65" spans="2:18" outlineLevel="1" x14ac:dyDescent="0.25">
      <c r="B65" s="4"/>
      <c r="C65" s="83"/>
      <c r="D65" s="126"/>
      <c r="E65" s="154"/>
      <c r="F65" s="7"/>
      <c r="G65" s="8"/>
      <c r="H65" s="8"/>
      <c r="I65" s="8"/>
      <c r="J65" s="8"/>
      <c r="K65" s="8"/>
      <c r="L65" s="53"/>
      <c r="M65" s="53"/>
      <c r="N65" s="39"/>
    </row>
    <row r="66" spans="2:18" outlineLevel="1" x14ac:dyDescent="0.25">
      <c r="B66" s="9"/>
      <c r="C66" s="85"/>
      <c r="D66" s="125"/>
      <c r="E66" s="128"/>
      <c r="F66" s="10"/>
      <c r="G66" s="10"/>
      <c r="H66" s="10"/>
      <c r="I66" s="10"/>
      <c r="J66" s="10"/>
      <c r="K66" s="10"/>
      <c r="L66" s="10"/>
      <c r="M66" s="10"/>
      <c r="N66" s="11"/>
    </row>
    <row r="69" spans="2:18" x14ac:dyDescent="0.25">
      <c r="B69" s="40" t="s">
        <v>97</v>
      </c>
      <c r="C69" s="93"/>
    </row>
    <row r="70" spans="2:18" x14ac:dyDescent="0.25">
      <c r="B70" s="1"/>
      <c r="C70" s="81"/>
      <c r="D70" s="123"/>
      <c r="E70" s="129"/>
      <c r="F70" s="2"/>
      <c r="G70" s="2"/>
      <c r="H70" s="2"/>
      <c r="I70" s="2"/>
      <c r="J70" s="2"/>
      <c r="K70" s="2"/>
      <c r="L70" s="2"/>
      <c r="M70" s="2"/>
      <c r="N70" s="3"/>
    </row>
    <row r="71" spans="2:18" x14ac:dyDescent="0.25">
      <c r="B71" s="4"/>
      <c r="C71" s="83"/>
      <c r="D71" s="143" t="s">
        <v>98</v>
      </c>
      <c r="E71" s="130"/>
      <c r="F71" s="8"/>
      <c r="G71" s="34" t="s">
        <v>100</v>
      </c>
      <c r="H71" s="8"/>
      <c r="I71" s="8"/>
      <c r="J71" s="8"/>
      <c r="K71" s="8"/>
      <c r="L71" s="8"/>
      <c r="M71" s="8"/>
      <c r="N71" s="39"/>
      <c r="P71" s="80"/>
      <c r="Q71" s="80"/>
      <c r="R71" s="80"/>
    </row>
    <row r="72" spans="2:18" x14ac:dyDescent="0.25">
      <c r="B72" s="4"/>
      <c r="C72" s="83"/>
      <c r="D72" s="138" t="s">
        <v>3</v>
      </c>
      <c r="E72" s="86" t="s">
        <v>2</v>
      </c>
      <c r="F72" s="5"/>
      <c r="G72" s="68" t="s">
        <v>113</v>
      </c>
      <c r="H72" s="68" t="s">
        <v>13</v>
      </c>
      <c r="I72" s="68" t="s">
        <v>14</v>
      </c>
      <c r="J72" s="68" t="s">
        <v>12</v>
      </c>
      <c r="K72" s="166" t="str">
        <f ca="1">IF(E79,"ConvexityAdjustment","Volatility")</f>
        <v>ConvexityAdjustment</v>
      </c>
      <c r="L72" s="108"/>
      <c r="M72" s="73"/>
      <c r="N72" s="39"/>
      <c r="P72" s="80"/>
      <c r="Q72" s="80"/>
      <c r="R72" s="80"/>
    </row>
    <row r="73" spans="2:18" x14ac:dyDescent="0.25">
      <c r="B73" s="4"/>
      <c r="C73" s="83"/>
      <c r="D73" s="139" t="s">
        <v>7</v>
      </c>
      <c r="E73" s="87" t="s">
        <v>114</v>
      </c>
      <c r="F73" s="76">
        <v>4</v>
      </c>
      <c r="G73" s="54" t="s">
        <v>121</v>
      </c>
      <c r="H73" s="55">
        <v>42634</v>
      </c>
      <c r="I73" s="55">
        <v>42725</v>
      </c>
      <c r="J73" s="56">
        <v>100.28</v>
      </c>
      <c r="K73" s="162">
        <v>1E-4</v>
      </c>
      <c r="L73" s="108"/>
      <c r="M73" s="73"/>
      <c r="N73" s="39"/>
      <c r="P73" s="80"/>
      <c r="Q73" s="80"/>
      <c r="R73" s="80"/>
    </row>
    <row r="74" spans="2:18" x14ac:dyDescent="0.25">
      <c r="B74" s="4"/>
      <c r="C74" s="83"/>
      <c r="D74" s="139" t="s">
        <v>15</v>
      </c>
      <c r="E74" s="87" t="s">
        <v>99</v>
      </c>
      <c r="F74" s="76">
        <f>F73+1</f>
        <v>5</v>
      </c>
      <c r="G74" s="57" t="s">
        <v>122</v>
      </c>
      <c r="H74" s="55">
        <v>42662</v>
      </c>
      <c r="I74" s="55">
        <v>42753</v>
      </c>
      <c r="J74" s="56">
        <v>100.285</v>
      </c>
      <c r="K74" s="162">
        <v>1E-4</v>
      </c>
      <c r="L74" s="108"/>
      <c r="M74" s="73"/>
      <c r="N74" s="39"/>
      <c r="P74" s="80"/>
      <c r="Q74" s="80"/>
      <c r="R74" s="80"/>
    </row>
    <row r="75" spans="2:18" x14ac:dyDescent="0.25">
      <c r="B75" s="4"/>
      <c r="C75" s="83"/>
      <c r="D75" s="139" t="s">
        <v>23</v>
      </c>
      <c r="E75" s="102" t="s">
        <v>22</v>
      </c>
      <c r="F75" s="76">
        <f t="shared" ref="F75:F81" si="0">F74+1</f>
        <v>6</v>
      </c>
      <c r="G75" s="58" t="s">
        <v>123</v>
      </c>
      <c r="H75" s="59">
        <v>42690</v>
      </c>
      <c r="I75" s="59">
        <v>42781</v>
      </c>
      <c r="J75" s="60">
        <v>100.29</v>
      </c>
      <c r="K75" s="162">
        <v>1E-4</v>
      </c>
      <c r="L75" s="108"/>
      <c r="M75" s="73"/>
      <c r="N75" s="39"/>
      <c r="P75" s="80"/>
      <c r="Q75" s="80"/>
      <c r="R75" s="80"/>
    </row>
    <row r="76" spans="2:18" x14ac:dyDescent="0.25">
      <c r="B76" s="4"/>
      <c r="C76" s="83"/>
      <c r="D76" s="139" t="s">
        <v>118</v>
      </c>
      <c r="E76" s="101">
        <v>0.03</v>
      </c>
      <c r="F76" s="76">
        <f t="shared" si="0"/>
        <v>7</v>
      </c>
      <c r="G76" s="58" t="s">
        <v>124</v>
      </c>
      <c r="H76" s="59">
        <v>42725</v>
      </c>
      <c r="I76" s="59">
        <v>42809</v>
      </c>
      <c r="J76" s="60">
        <v>100.295</v>
      </c>
      <c r="K76" s="162">
        <v>1E-4</v>
      </c>
      <c r="L76" s="108"/>
      <c r="M76" s="73"/>
      <c r="N76" s="39"/>
      <c r="P76" s="80"/>
      <c r="Q76" s="80"/>
      <c r="R76" s="80"/>
    </row>
    <row r="77" spans="2:18" x14ac:dyDescent="0.25">
      <c r="B77" s="4"/>
      <c r="C77" s="83"/>
      <c r="D77" s="139" t="s">
        <v>95</v>
      </c>
      <c r="E77" s="87" t="b">
        <v>1</v>
      </c>
      <c r="F77" s="76">
        <f t="shared" si="0"/>
        <v>8</v>
      </c>
      <c r="G77" s="58" t="s">
        <v>125</v>
      </c>
      <c r="H77" s="59">
        <v>42809</v>
      </c>
      <c r="I77" s="59">
        <v>42907</v>
      </c>
      <c r="J77" s="60">
        <v>100.3</v>
      </c>
      <c r="K77" s="162">
        <v>1E-4</v>
      </c>
      <c r="L77" s="108"/>
      <c r="M77" s="73"/>
      <c r="N77" s="39"/>
      <c r="P77" s="80"/>
      <c r="Q77" s="80"/>
      <c r="R77" s="80"/>
    </row>
    <row r="78" spans="2:18" x14ac:dyDescent="0.25">
      <c r="B78" s="4"/>
      <c r="C78" s="83"/>
      <c r="D78" s="139" t="s">
        <v>96</v>
      </c>
      <c r="E78" s="87">
        <v>2</v>
      </c>
      <c r="F78" s="76">
        <f t="shared" si="0"/>
        <v>9</v>
      </c>
      <c r="G78" s="58" t="s">
        <v>126</v>
      </c>
      <c r="H78" s="59">
        <v>42907</v>
      </c>
      <c r="I78" s="59">
        <v>42998</v>
      </c>
      <c r="J78" s="60">
        <v>100.30500000000001</v>
      </c>
      <c r="K78" s="162">
        <v>1E-4</v>
      </c>
      <c r="L78" s="108"/>
      <c r="M78" s="73"/>
      <c r="N78" s="39"/>
      <c r="P78" s="80"/>
      <c r="Q78" s="80"/>
      <c r="R78" s="80"/>
    </row>
    <row r="79" spans="2:18" x14ac:dyDescent="0.25">
      <c r="B79" s="4"/>
      <c r="C79" s="83"/>
      <c r="D79" s="167" t="s">
        <v>149</v>
      </c>
      <c r="E79" s="161" t="b">
        <v>1</v>
      </c>
      <c r="F79" s="76">
        <f t="shared" si="0"/>
        <v>10</v>
      </c>
      <c r="G79" s="58" t="s">
        <v>127</v>
      </c>
      <c r="H79" s="59">
        <v>42998</v>
      </c>
      <c r="I79" s="59">
        <v>43089</v>
      </c>
      <c r="J79" s="60">
        <v>100.30500000000001</v>
      </c>
      <c r="K79" s="162">
        <v>1E-4</v>
      </c>
      <c r="L79" s="108"/>
      <c r="M79" s="73"/>
      <c r="N79" s="39"/>
      <c r="P79" s="80"/>
      <c r="Q79" s="80"/>
      <c r="R79" s="80"/>
    </row>
    <row r="80" spans="2:18" x14ac:dyDescent="0.25">
      <c r="B80" s="4"/>
      <c r="C80" s="83"/>
      <c r="D80" s="139"/>
      <c r="E80" s="87"/>
      <c r="F80" s="76">
        <f t="shared" si="0"/>
        <v>11</v>
      </c>
      <c r="G80" s="58" t="s">
        <v>128</v>
      </c>
      <c r="H80" s="59">
        <v>43089</v>
      </c>
      <c r="I80" s="59">
        <v>43180</v>
      </c>
      <c r="J80" s="60">
        <v>100.3</v>
      </c>
      <c r="K80" s="162">
        <v>1E-4</v>
      </c>
      <c r="L80" s="108"/>
      <c r="M80" s="73"/>
      <c r="N80" s="39"/>
      <c r="P80" s="80"/>
      <c r="Q80" s="80"/>
      <c r="R80" s="80"/>
    </row>
    <row r="81" spans="2:18" x14ac:dyDescent="0.25">
      <c r="B81" s="4"/>
      <c r="C81" s="83"/>
      <c r="D81" s="139"/>
      <c r="E81" s="87"/>
      <c r="F81" s="76">
        <f t="shared" si="0"/>
        <v>12</v>
      </c>
      <c r="G81" s="58" t="s">
        <v>129</v>
      </c>
      <c r="H81" s="59">
        <v>43180</v>
      </c>
      <c r="I81" s="59">
        <v>43271</v>
      </c>
      <c r="J81" s="60">
        <v>100.285</v>
      </c>
      <c r="K81" s="162">
        <v>1E-4</v>
      </c>
      <c r="L81" s="108"/>
      <c r="M81" s="73"/>
      <c r="N81" s="39"/>
      <c r="P81" s="80"/>
      <c r="Q81" s="80"/>
      <c r="R81" s="80"/>
    </row>
    <row r="82" spans="2:18" x14ac:dyDescent="0.25">
      <c r="B82" s="4"/>
      <c r="C82" s="83"/>
      <c r="D82" s="139"/>
      <c r="E82" s="87"/>
      <c r="F82" s="7"/>
      <c r="G82" s="61"/>
      <c r="H82" s="59"/>
      <c r="I82" s="59"/>
      <c r="J82" s="62"/>
      <c r="K82" s="163"/>
      <c r="L82" s="108"/>
      <c r="M82" s="73"/>
      <c r="N82" s="39"/>
      <c r="P82" s="80"/>
      <c r="Q82" s="80"/>
      <c r="R82" s="80"/>
    </row>
    <row r="83" spans="2:18" x14ac:dyDescent="0.25">
      <c r="B83" s="4"/>
      <c r="C83" s="83"/>
      <c r="D83" s="139"/>
      <c r="E83" s="87"/>
      <c r="F83" s="7"/>
      <c r="G83" s="63"/>
      <c r="H83" s="64"/>
      <c r="I83" s="64"/>
      <c r="J83" s="62"/>
      <c r="K83" s="164"/>
      <c r="L83" s="108"/>
      <c r="M83" s="73"/>
      <c r="N83" s="39"/>
      <c r="P83" s="80"/>
      <c r="Q83" s="80"/>
      <c r="R83" s="80"/>
    </row>
    <row r="84" spans="2:18" x14ac:dyDescent="0.25">
      <c r="B84" s="4"/>
      <c r="C84" s="83"/>
      <c r="D84" s="139"/>
      <c r="E84" s="87"/>
      <c r="F84" s="7"/>
      <c r="G84" s="63"/>
      <c r="H84" s="64"/>
      <c r="I84" s="64"/>
      <c r="J84" s="62"/>
      <c r="K84" s="164"/>
      <c r="L84" s="108"/>
      <c r="M84" s="73"/>
      <c r="N84" s="39"/>
      <c r="P84" s="80"/>
      <c r="Q84" s="80"/>
      <c r="R84" s="80"/>
    </row>
    <row r="85" spans="2:18" x14ac:dyDescent="0.25">
      <c r="B85" s="4"/>
      <c r="C85" s="83"/>
      <c r="D85" s="145"/>
      <c r="E85" s="155"/>
      <c r="F85" s="7"/>
      <c r="G85" s="65"/>
      <c r="H85" s="66"/>
      <c r="I85" s="66"/>
      <c r="J85" s="67"/>
      <c r="K85" s="165"/>
      <c r="L85" s="108"/>
      <c r="M85" s="73"/>
      <c r="N85" s="39"/>
      <c r="P85" s="80"/>
      <c r="Q85" s="80"/>
      <c r="R85" s="80"/>
    </row>
    <row r="86" spans="2:18" x14ac:dyDescent="0.25">
      <c r="B86" s="4"/>
      <c r="C86" s="83"/>
      <c r="D86" s="126"/>
      <c r="E86" s="154"/>
      <c r="F86" s="7"/>
      <c r="G86" s="8"/>
      <c r="H86" s="8"/>
      <c r="I86" s="8"/>
      <c r="J86" s="8"/>
      <c r="K86" s="8"/>
      <c r="L86" s="73"/>
      <c r="M86" s="73"/>
      <c r="N86" s="39"/>
    </row>
    <row r="87" spans="2:18" x14ac:dyDescent="0.25">
      <c r="B87" s="9"/>
      <c r="C87" s="85"/>
      <c r="D87" s="125"/>
      <c r="E87" s="128"/>
      <c r="F87" s="10"/>
      <c r="G87" s="10"/>
      <c r="H87" s="10"/>
      <c r="I87" s="10"/>
      <c r="J87" s="10"/>
      <c r="K87" s="10"/>
      <c r="L87" s="10"/>
      <c r="M87" s="10"/>
      <c r="N87" s="11"/>
    </row>
    <row r="90" spans="2:18" x14ac:dyDescent="0.25">
      <c r="B90" s="40" t="s">
        <v>101</v>
      </c>
      <c r="C90" s="93"/>
    </row>
    <row r="91" spans="2:18" x14ac:dyDescent="0.25">
      <c r="B91" s="1"/>
      <c r="C91" s="81"/>
      <c r="D91" s="123"/>
      <c r="E91" s="129"/>
      <c r="F91" s="2"/>
      <c r="G91" s="2"/>
      <c r="H91" s="2"/>
      <c r="I91" s="2"/>
      <c r="J91" s="2"/>
      <c r="K91" s="2"/>
      <c r="L91" s="2"/>
      <c r="M91" s="2"/>
      <c r="N91" s="3"/>
    </row>
    <row r="92" spans="2:18" x14ac:dyDescent="0.25">
      <c r="B92" s="4"/>
      <c r="C92" s="83"/>
      <c r="D92" s="143" t="s">
        <v>102</v>
      </c>
      <c r="E92" s="130"/>
      <c r="F92" s="8"/>
      <c r="G92" s="34" t="s">
        <v>103</v>
      </c>
      <c r="H92" s="8"/>
      <c r="I92" s="8"/>
      <c r="J92" s="8"/>
      <c r="K92" s="8"/>
      <c r="L92" s="8"/>
      <c r="M92" s="8"/>
      <c r="N92" s="39"/>
    </row>
    <row r="93" spans="2:18" x14ac:dyDescent="0.25">
      <c r="B93" s="4"/>
      <c r="C93" s="83"/>
      <c r="D93" s="153" t="s">
        <v>1</v>
      </c>
      <c r="E93" s="86" t="s">
        <v>2</v>
      </c>
      <c r="F93" s="5"/>
      <c r="G93" s="53" t="s">
        <v>11</v>
      </c>
      <c r="H93" s="53" t="s">
        <v>12</v>
      </c>
      <c r="I93" s="53" t="s">
        <v>8</v>
      </c>
      <c r="J93" s="8"/>
      <c r="K93" s="8"/>
      <c r="L93" s="8"/>
      <c r="M93" s="8"/>
      <c r="N93" s="39"/>
    </row>
    <row r="94" spans="2:18" x14ac:dyDescent="0.25">
      <c r="B94" s="4"/>
      <c r="C94" s="83"/>
      <c r="D94" s="140" t="s">
        <v>86</v>
      </c>
      <c r="E94" s="87" t="s">
        <v>20</v>
      </c>
      <c r="F94" s="7"/>
      <c r="G94" s="72" t="s">
        <v>41</v>
      </c>
      <c r="H94" s="69">
        <v>-2.65E-3</v>
      </c>
      <c r="I94" s="50" t="b">
        <v>1</v>
      </c>
      <c r="J94" s="77"/>
      <c r="K94" s="77"/>
      <c r="L94" s="77"/>
      <c r="M94" s="77"/>
      <c r="N94" s="39"/>
    </row>
    <row r="95" spans="2:18" x14ac:dyDescent="0.25">
      <c r="B95" s="4"/>
      <c r="C95" s="83"/>
      <c r="D95" s="140" t="s">
        <v>104</v>
      </c>
      <c r="E95" s="87" t="s">
        <v>6</v>
      </c>
      <c r="F95" s="7"/>
      <c r="G95" s="14" t="s">
        <v>48</v>
      </c>
      <c r="H95" s="70">
        <v>-2.0500000000000002E-3</v>
      </c>
      <c r="I95" s="51" t="b">
        <v>1</v>
      </c>
      <c r="J95" s="77"/>
      <c r="K95" s="77"/>
      <c r="L95" s="77"/>
      <c r="M95" s="77"/>
      <c r="N95" s="39"/>
    </row>
    <row r="96" spans="2:18" x14ac:dyDescent="0.25">
      <c r="B96" s="4"/>
      <c r="C96" s="83"/>
      <c r="D96" s="140" t="s">
        <v>27</v>
      </c>
      <c r="E96" s="87" t="s">
        <v>26</v>
      </c>
      <c r="F96" s="7"/>
      <c r="G96" s="14" t="s">
        <v>50</v>
      </c>
      <c r="H96" s="70">
        <v>-1.2475000000000001E-3</v>
      </c>
      <c r="I96" s="51" t="b">
        <v>1</v>
      </c>
      <c r="J96" s="77"/>
      <c r="K96" s="77"/>
      <c r="L96" s="77"/>
      <c r="M96" s="77"/>
      <c r="N96" s="39"/>
    </row>
    <row r="97" spans="2:16" x14ac:dyDescent="0.25">
      <c r="B97" s="4"/>
      <c r="C97" s="83"/>
      <c r="D97" s="140" t="s">
        <v>105</v>
      </c>
      <c r="E97" s="87" t="s">
        <v>28</v>
      </c>
      <c r="F97" s="7"/>
      <c r="G97" s="14" t="s">
        <v>52</v>
      </c>
      <c r="H97" s="70">
        <v>-2.4750000000000011E-4</v>
      </c>
      <c r="I97" s="51" t="b">
        <v>1</v>
      </c>
      <c r="J97" s="77"/>
      <c r="K97" s="77"/>
      <c r="L97" s="77"/>
      <c r="M97" s="77"/>
      <c r="N97" s="39"/>
    </row>
    <row r="98" spans="2:16" x14ac:dyDescent="0.25">
      <c r="B98" s="4"/>
      <c r="C98" s="83"/>
      <c r="D98" s="140" t="s">
        <v>106</v>
      </c>
      <c r="E98" s="107" t="s">
        <v>156</v>
      </c>
      <c r="F98" s="7"/>
      <c r="G98" s="14" t="s">
        <v>53</v>
      </c>
      <c r="H98" s="70">
        <v>9.0249999999999966E-4</v>
      </c>
      <c r="I98" s="51" t="b">
        <v>1</v>
      </c>
      <c r="J98" s="77"/>
      <c r="K98" s="77"/>
      <c r="L98" s="77"/>
      <c r="M98" s="77"/>
      <c r="N98" s="39"/>
    </row>
    <row r="99" spans="2:16" x14ac:dyDescent="0.25">
      <c r="B99" s="4"/>
      <c r="C99" s="83"/>
      <c r="D99" s="140" t="s">
        <v>91</v>
      </c>
      <c r="E99" s="87" t="b">
        <v>1</v>
      </c>
      <c r="F99" s="7"/>
      <c r="G99" s="14" t="s">
        <v>55</v>
      </c>
      <c r="H99" s="70">
        <v>2.1275000000000001E-3</v>
      </c>
      <c r="I99" s="51" t="b">
        <v>1</v>
      </c>
      <c r="J99" s="77"/>
      <c r="K99" s="77"/>
      <c r="L99" s="77"/>
      <c r="M99" s="77"/>
      <c r="N99" s="39"/>
    </row>
    <row r="100" spans="2:16" x14ac:dyDescent="0.25">
      <c r="B100" s="4"/>
      <c r="C100" s="83"/>
      <c r="D100" s="140" t="s">
        <v>130</v>
      </c>
      <c r="E100" s="87">
        <v>31</v>
      </c>
      <c r="F100" s="7"/>
      <c r="G100" s="14" t="s">
        <v>57</v>
      </c>
      <c r="H100" s="70">
        <v>3.3224999999999999E-3</v>
      </c>
      <c r="I100" s="51" t="b">
        <v>1</v>
      </c>
      <c r="J100" s="77"/>
      <c r="K100" s="77"/>
      <c r="L100" s="77"/>
      <c r="M100" s="77"/>
      <c r="N100" s="39"/>
    </row>
    <row r="101" spans="2:16" x14ac:dyDescent="0.25">
      <c r="B101" s="4"/>
      <c r="C101" s="83"/>
      <c r="D101" s="140" t="s">
        <v>90</v>
      </c>
      <c r="E101" s="87">
        <v>2</v>
      </c>
      <c r="F101" s="7"/>
      <c r="G101" s="14" t="s">
        <v>58</v>
      </c>
      <c r="H101" s="70">
        <v>4.4425000000000003E-3</v>
      </c>
      <c r="I101" s="51" t="b">
        <v>1</v>
      </c>
      <c r="J101" s="77"/>
      <c r="K101" s="77"/>
      <c r="L101" s="77"/>
      <c r="M101" s="77"/>
      <c r="N101" s="39"/>
    </row>
    <row r="102" spans="2:16" x14ac:dyDescent="0.25">
      <c r="B102" s="4"/>
      <c r="C102" s="83"/>
      <c r="D102" s="140" t="s">
        <v>21</v>
      </c>
      <c r="E102" s="98" t="s">
        <v>22</v>
      </c>
      <c r="F102" s="7"/>
      <c r="G102" s="14" t="s">
        <v>59</v>
      </c>
      <c r="H102" s="70">
        <v>5.43334E-3</v>
      </c>
      <c r="I102" s="51" t="b">
        <v>1</v>
      </c>
      <c r="J102" s="77"/>
      <c r="K102" s="77"/>
      <c r="L102" s="77"/>
      <c r="M102" s="77"/>
      <c r="N102" s="39"/>
    </row>
    <row r="103" spans="2:16" x14ac:dyDescent="0.25">
      <c r="B103" s="4"/>
      <c r="C103" s="83"/>
      <c r="D103" s="140" t="s">
        <v>107</v>
      </c>
      <c r="E103" s="87" t="b">
        <v>1</v>
      </c>
      <c r="F103" s="7"/>
      <c r="G103" s="14" t="s">
        <v>60</v>
      </c>
      <c r="H103" s="70">
        <v>6.3458400000000002E-3</v>
      </c>
      <c r="I103" s="51" t="b">
        <v>1</v>
      </c>
      <c r="J103" s="77"/>
      <c r="K103" s="77"/>
      <c r="L103" s="77"/>
      <c r="M103" s="77"/>
      <c r="N103" s="39"/>
    </row>
    <row r="104" spans="2:16" x14ac:dyDescent="0.25">
      <c r="B104" s="4"/>
      <c r="C104" s="83"/>
      <c r="D104" s="140" t="s">
        <v>108</v>
      </c>
      <c r="E104" s="87" t="b">
        <v>1</v>
      </c>
      <c r="F104" s="7"/>
      <c r="G104" s="14" t="s">
        <v>61</v>
      </c>
      <c r="H104" s="70">
        <v>8.432499999999999E-3</v>
      </c>
      <c r="I104" s="51" t="b">
        <v>1</v>
      </c>
      <c r="J104" s="77"/>
      <c r="K104" s="77"/>
      <c r="L104" s="77"/>
      <c r="M104" s="77"/>
      <c r="N104" s="39"/>
    </row>
    <row r="105" spans="2:16" x14ac:dyDescent="0.25">
      <c r="B105" s="4"/>
      <c r="C105" s="83"/>
      <c r="D105" s="140" t="s">
        <v>109</v>
      </c>
      <c r="E105" s="89">
        <v>1.0000000000000001E-9</v>
      </c>
      <c r="F105" s="7"/>
      <c r="G105" s="14" t="s">
        <v>62</v>
      </c>
      <c r="H105" s="70">
        <v>1.0167500000000001E-2</v>
      </c>
      <c r="I105" s="51" t="b">
        <v>1</v>
      </c>
      <c r="J105" s="77"/>
      <c r="K105" s="77"/>
      <c r="L105" s="77"/>
      <c r="M105" s="77"/>
      <c r="N105" s="39"/>
    </row>
    <row r="106" spans="2:16" x14ac:dyDescent="0.25">
      <c r="B106" s="4"/>
      <c r="C106" s="83"/>
      <c r="D106" s="140" t="s">
        <v>110</v>
      </c>
      <c r="E106" s="103">
        <v>1000</v>
      </c>
      <c r="F106" s="7"/>
      <c r="G106" s="14" t="s">
        <v>63</v>
      </c>
      <c r="H106" s="70">
        <v>1.069667E-2</v>
      </c>
      <c r="I106" s="51" t="b">
        <v>1</v>
      </c>
      <c r="J106" s="77"/>
      <c r="K106" s="77"/>
      <c r="L106" s="77"/>
      <c r="M106" s="77"/>
      <c r="N106" s="39"/>
    </row>
    <row r="107" spans="2:16" x14ac:dyDescent="0.25">
      <c r="B107" s="4"/>
      <c r="C107" s="83"/>
      <c r="D107" s="140"/>
      <c r="E107" s="87"/>
      <c r="F107" s="7"/>
      <c r="G107" s="14" t="s">
        <v>64</v>
      </c>
      <c r="H107" s="70">
        <v>1.08675E-2</v>
      </c>
      <c r="I107" s="51" t="b">
        <v>1</v>
      </c>
      <c r="J107" s="77"/>
      <c r="K107" s="77"/>
      <c r="L107" s="77"/>
      <c r="M107" s="77"/>
      <c r="N107" s="39"/>
    </row>
    <row r="108" spans="2:16" x14ac:dyDescent="0.25">
      <c r="B108" s="4"/>
      <c r="C108" s="83"/>
      <c r="D108" s="140"/>
      <c r="E108" s="87"/>
      <c r="F108" s="7"/>
      <c r="G108" s="14"/>
      <c r="H108" s="70"/>
      <c r="I108" s="51"/>
      <c r="J108" s="53"/>
      <c r="K108" s="78"/>
      <c r="L108" s="78"/>
      <c r="M108" s="78"/>
      <c r="N108" s="39"/>
    </row>
    <row r="109" spans="2:16" x14ac:dyDescent="0.25">
      <c r="B109" s="4"/>
      <c r="C109" s="83"/>
      <c r="D109" s="140"/>
      <c r="E109" s="87"/>
      <c r="F109" s="7"/>
      <c r="G109" s="14"/>
      <c r="H109" s="70"/>
      <c r="I109" s="51"/>
      <c r="J109" s="53"/>
      <c r="K109" s="78"/>
      <c r="L109" s="78"/>
      <c r="M109" s="78"/>
      <c r="N109" s="39"/>
    </row>
    <row r="110" spans="2:16" x14ac:dyDescent="0.25">
      <c r="B110" s="4"/>
      <c r="C110" s="83"/>
      <c r="D110" s="140"/>
      <c r="E110" s="87"/>
      <c r="F110" s="7"/>
      <c r="G110" s="14"/>
      <c r="H110" s="70"/>
      <c r="I110" s="51"/>
      <c r="J110" s="53"/>
      <c r="K110" s="8"/>
      <c r="L110" s="8"/>
      <c r="M110" s="8"/>
      <c r="N110" s="39"/>
      <c r="P110" s="75"/>
    </row>
    <row r="111" spans="2:16" x14ac:dyDescent="0.25">
      <c r="B111" s="4"/>
      <c r="C111" s="83"/>
      <c r="D111" s="142"/>
      <c r="E111" s="155"/>
      <c r="F111" s="7"/>
      <c r="G111" s="15"/>
      <c r="H111" s="71"/>
      <c r="I111" s="52"/>
      <c r="J111" s="53"/>
      <c r="K111" s="8"/>
      <c r="L111" s="8"/>
      <c r="M111" s="8"/>
      <c r="N111" s="39"/>
    </row>
    <row r="112" spans="2:16" x14ac:dyDescent="0.25">
      <c r="B112" s="4"/>
      <c r="C112" s="83"/>
      <c r="D112" s="126"/>
      <c r="E112" s="154"/>
      <c r="F112" s="7"/>
      <c r="G112" s="8"/>
      <c r="H112" s="8"/>
      <c r="I112" s="8"/>
      <c r="J112" s="8"/>
      <c r="K112" s="8"/>
      <c r="L112" s="8"/>
      <c r="M112" s="8"/>
      <c r="N112" s="39"/>
    </row>
    <row r="113" spans="2:14" x14ac:dyDescent="0.25">
      <c r="B113" s="9"/>
      <c r="C113" s="85"/>
      <c r="D113" s="125"/>
      <c r="E113" s="128"/>
      <c r="F113" s="10"/>
      <c r="G113" s="10"/>
      <c r="H113" s="10"/>
      <c r="I113" s="10"/>
      <c r="J113" s="10"/>
      <c r="K113" s="10"/>
      <c r="L113" s="10"/>
      <c r="M113" s="10"/>
      <c r="N113" s="11"/>
    </row>
  </sheetData>
  <dataValidations count="3">
    <dataValidation type="list" allowBlank="1" showInputMessage="1" showErrorMessage="1" sqref="E98 E24:E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75 E102">
      <formula1>"FOLLOWING,MOD_FOLLOWING,PRECEDING,MOD_PRECEEDING,NO_CHANGE"</formula1>
    </dataValidation>
    <dataValidation type="list" allowBlank="1" showInputMessage="1" showErrorMessage="1" sqref="E77 E79">
      <formula1>"TRUE,FALSE"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EUR OIS</vt:lpstr>
      <vt:lpstr>EUR SWAP 3ML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'EUR OIS'!Info</vt:lpstr>
      <vt:lpstr>'EUR SWAP 3ML'!Info</vt:lpstr>
      <vt:lpstr>isEUR3MLLoaded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2016-10-10T11:17:25Z</dcterms:modified>
</cp:coreProperties>
</file>