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300" windowHeight="7380" tabRatio="749" activeTab="2"/>
  </bookViews>
  <sheets>
    <sheet name="EUR Curve Config" sheetId="123" r:id="rId1"/>
    <sheet name="Build OIS Curve" sheetId="118" r:id="rId2"/>
    <sheet name="EUR OIS Swaps" sheetId="122" r:id="rId3"/>
  </sheets>
  <externalReferences>
    <externalReference r:id="rId4"/>
  </externalReferences>
  <definedNames>
    <definedName name="COB">'EUR Curve Config'!$F$20</definedName>
    <definedName name="Curve.BuildProperties">'EUR Curve Config'!$E$20:$F$24</definedName>
    <definedName name="Curve.CollectionName">'EUR Curve Config'!$F$11</definedName>
    <definedName name="Curve.MarketDataTable">'EUR Curve Config'!$F$12</definedName>
    <definedName name="Curve.OISIndexName">'EUR Curve Config'!$F$13</definedName>
    <definedName name="CurveLabels" localSheetId="1">'Build OIS Curve'!#REF!,'Build OIS Curve'!#REF!,'Build OIS Curve'!#REF!,'Build OIS Curve'!#REF!</definedName>
    <definedName name="EURSwaps.Portfolio">'[1]EUR IRS Portfolio'!$B$14:$I$51</definedName>
    <definedName name="FRA.Conventions">'[1]EUR SWAP 3ML'!$E$51:$F$64</definedName>
    <definedName name="Futures.Conventions">'[1]EUR SWAP 3ML'!$E$72:$F$85</definedName>
    <definedName name="Info" localSheetId="0">'EUR Curve Config'!$C:$D</definedName>
    <definedName name="isEUR12MLLoaded">'[1]EUR BASIS 12ML'!$G$8</definedName>
    <definedName name="isEUR1MLLoaded">'[1]EUR BASIS 1ML'!$G$8</definedName>
    <definedName name="isEUR3MLLoaded">'[1]EUR SWAP 3ML'!$F$9</definedName>
    <definedName name="isEUR6MLLoaded">'[1]EUR BASIS 6ML'!$G$8</definedName>
    <definedName name="isEUROISLoaded">'EUR Curve Config'!$F$8</definedName>
    <definedName name="isLoadedOISCurve">'Build OIS Curve'!$E$17</definedName>
    <definedName name="Libor.Conventions">'[1]EUR SWAP 3ML'!$H$38:$I$43</definedName>
    <definedName name="LiborOISBasis.Conventions">'EUR Curve Config'!$E$64:$F$89</definedName>
    <definedName name="LiborOISBasis.MarketData">'EUR Curve Config'!$H$65:$I$89</definedName>
    <definedName name="LiborSwap.Conventions">'EUR Curve Config'!$K$64:$L$89</definedName>
    <definedName name="LiborSwap.MarketData">'EUR Curve Config'!$N$65:$O$89</definedName>
    <definedName name="MoneyMarket.Conventions">'[1]EUR SWAP 3ML'!$E$38:$F$43</definedName>
    <definedName name="OIS.Conventions">'EUR Curve Config'!$E$31:$F$57</definedName>
    <definedName name="OIS.FixingTable">'EUR Curve Config'!$N$32:$O$57</definedName>
    <definedName name="OIS.MarketData">'EUR Curve Config'!$H$32:$L$57</definedName>
    <definedName name="STDCurve.Buildproperties">'[1]EUR SWAP 3ML'!$E$22:$F$31</definedName>
    <definedName name="STDCurve.CollectionName">'[1]EUR SWAP 3ML'!$F$13</definedName>
    <definedName name="STDCurve.IndexName">'[1]EUR SWAP 3ML'!$F$15</definedName>
    <definedName name="STDCurve.StaticDataTable">'[1]EUR SWAP 3ML'!$F$14</definedName>
    <definedName name="Swap.Conventions">'[1]EUR SWAP 3ML'!$E$93:$F$111</definedName>
    <definedName name="TenorBasisCurve.EUR3ML.ForwardStarting">'[1]EUR BASIS 6ML'!$I$35:$M$76</definedName>
    <definedName name="TenorBasisCurve3M6M.CollectionName">'[1]EUR BASIS 6ML'!$G$12</definedName>
    <definedName name="TenorBasisCurve3M6M.IndexName">'[1]EUR BASIS 6ML'!$G$14</definedName>
    <definedName name="TenorBasisCurve3M6M.StaticDataTable">'[1]EUR BASIS 6ML'!$G$13</definedName>
    <definedName name="TenorBasisCurve6M6M.BuildProperties">'[1]EUR BASIS 6ML'!$F$21:$G$27</definedName>
    <definedName name="TenorBasisSwap3M6M.Conventions">'[1]EUR BASIS 6ML'!$F$34:$G$76</definedName>
  </definedNames>
  <calcPr calcId="145621" calcMode="manual" calcOnSave="0"/>
</workbook>
</file>

<file path=xl/calcChain.xml><?xml version="1.0" encoding="utf-8"?>
<calcChain xmlns="http://schemas.openxmlformats.org/spreadsheetml/2006/main">
  <c r="K9" i="122" l="1"/>
  <c r="K10" i="122"/>
  <c r="K11" i="122"/>
  <c r="K12" i="122"/>
  <c r="K13" i="122"/>
  <c r="K21" i="122"/>
  <c r="H8" i="122"/>
  <c r="K8" i="122" s="1"/>
  <c r="H9" i="122"/>
  <c r="H10" i="122"/>
  <c r="H11" i="122"/>
  <c r="H12" i="122"/>
  <c r="H13" i="122"/>
  <c r="H14" i="122"/>
  <c r="K14" i="122" s="1"/>
  <c r="H15" i="122"/>
  <c r="K15" i="122" s="1"/>
  <c r="H16" i="122"/>
  <c r="K16" i="122" s="1"/>
  <c r="H17" i="122"/>
  <c r="K17" i="122" s="1"/>
  <c r="H18" i="122"/>
  <c r="K18" i="122" s="1"/>
  <c r="H19" i="122"/>
  <c r="K19" i="122" s="1"/>
  <c r="H20" i="122"/>
  <c r="K20" i="122" s="1"/>
  <c r="H21" i="122"/>
  <c r="H22" i="122"/>
  <c r="K22" i="122" s="1"/>
  <c r="H23" i="122"/>
  <c r="K23" i="122" s="1"/>
  <c r="H24" i="122"/>
  <c r="K24" i="122" s="1"/>
  <c r="H25" i="122"/>
  <c r="K25" i="122" s="1"/>
  <c r="H26" i="122"/>
  <c r="K26" i="122" s="1"/>
  <c r="H27" i="122"/>
  <c r="K27" i="122" s="1"/>
  <c r="H28" i="122"/>
  <c r="K28" i="122" s="1"/>
  <c r="H29" i="122"/>
  <c r="K29" i="122" s="1"/>
  <c r="H30" i="122"/>
  <c r="K30" i="122" s="1"/>
  <c r="H31" i="122"/>
  <c r="K31" i="122" s="1"/>
  <c r="I31" i="122"/>
  <c r="I30" i="122"/>
  <c r="I29" i="122"/>
  <c r="I28" i="122"/>
  <c r="I27" i="122"/>
  <c r="I26" i="122"/>
  <c r="I25" i="122"/>
  <c r="I24" i="122"/>
  <c r="I23" i="122"/>
  <c r="I22" i="122"/>
  <c r="I21" i="122"/>
  <c r="I20" i="122"/>
  <c r="I19" i="122"/>
  <c r="I18" i="122"/>
  <c r="I17" i="122"/>
  <c r="I16" i="122"/>
  <c r="I15" i="122"/>
  <c r="I14" i="122"/>
  <c r="I13" i="122"/>
  <c r="I12" i="122"/>
  <c r="I11" i="122"/>
  <c r="I10" i="122"/>
  <c r="I9" i="122"/>
  <c r="I8" i="122"/>
  <c r="F7" i="123"/>
  <c r="D17" i="118"/>
  <c r="C9" i="122"/>
  <c r="F8" i="123" l="1"/>
  <c r="C12" i="122" l="1"/>
  <c r="D46" i="118"/>
  <c r="D45" i="118"/>
  <c r="D44" i="118"/>
  <c r="D42" i="118"/>
  <c r="D41" i="118"/>
  <c r="D40" i="118"/>
  <c r="D39" i="118"/>
  <c r="D36" i="118"/>
  <c r="D34" i="118"/>
  <c r="D33" i="118"/>
  <c r="D32" i="118"/>
  <c r="D31" i="118"/>
  <c r="D30" i="118"/>
  <c r="D29" i="118"/>
  <c r="D28" i="118"/>
  <c r="D14" i="118"/>
  <c r="D13" i="118"/>
  <c r="D12" i="118"/>
  <c r="D10" i="118"/>
  <c r="D9" i="118"/>
  <c r="D8" i="118"/>
  <c r="D7" i="118"/>
  <c r="D6" i="118"/>
  <c r="L8" i="122"/>
  <c r="L9" i="122"/>
  <c r="L15" i="122"/>
  <c r="L26" i="122"/>
  <c r="L21" i="122"/>
  <c r="L27" i="122"/>
  <c r="L28" i="122"/>
  <c r="L16" i="122"/>
  <c r="L19" i="122"/>
  <c r="L24" i="122"/>
  <c r="L18" i="122"/>
  <c r="L20" i="122"/>
  <c r="L17" i="122"/>
  <c r="L12" i="122"/>
  <c r="L11" i="122"/>
  <c r="L14" i="122"/>
  <c r="L30" i="122"/>
  <c r="L25" i="122"/>
  <c r="L23" i="122"/>
  <c r="L29" i="122"/>
  <c r="L31" i="122"/>
  <c r="L10" i="122"/>
  <c r="L22" i="122"/>
  <c r="L13" i="122"/>
  <c r="E17" i="118" l="1"/>
  <c r="M8" i="122"/>
  <c r="M9" i="122"/>
  <c r="M30" i="122"/>
  <c r="M21" i="122"/>
  <c r="M15" i="122"/>
  <c r="M12" i="122"/>
  <c r="M14" i="122"/>
  <c r="M29" i="122"/>
  <c r="M31" i="122"/>
  <c r="M13" i="122"/>
  <c r="M24" i="122"/>
  <c r="M25" i="122"/>
  <c r="M16" i="122"/>
  <c r="M11" i="122"/>
  <c r="M22" i="122"/>
  <c r="M18" i="122"/>
  <c r="M10" i="122"/>
  <c r="M23" i="122"/>
  <c r="M27" i="122"/>
  <c r="M20" i="122"/>
  <c r="M17" i="122"/>
  <c r="M26" i="122"/>
  <c r="M28" i="122"/>
  <c r="M19" i="122"/>
  <c r="O29" i="122" l="1"/>
  <c r="O27" i="122"/>
  <c r="O15" i="122"/>
  <c r="O16" i="122"/>
  <c r="O21" i="122"/>
  <c r="O28" i="122"/>
  <c r="O31" i="122"/>
  <c r="O26" i="122"/>
  <c r="O17" i="122"/>
  <c r="O14" i="122"/>
  <c r="O22" i="122"/>
  <c r="O30" i="122"/>
  <c r="O20" i="122"/>
  <c r="O19" i="122"/>
  <c r="O23" i="122"/>
  <c r="O24" i="122"/>
  <c r="O18" i="122"/>
  <c r="O25" i="122"/>
</calcChain>
</file>

<file path=xl/comments1.xml><?xml version="1.0" encoding="utf-8"?>
<comments xmlns="http://schemas.openxmlformats.org/spreadsheetml/2006/main">
  <authors>
    <author>Nicholas Burgess</author>
  </authors>
  <commentList>
    <comment ref="F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Ye Joseph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OIS curve as forecast curve</t>
        </r>
      </text>
    </comment>
    <comment ref="D23" authorId="0">
      <text>
        <r>
          <rPr>
            <b/>
            <sz val="9"/>
            <color indexed="81"/>
            <rFont val="Tahoma"/>
            <family val="2"/>
          </rPr>
          <t>Spread on daily index rate, not spread on equivalent floating rates over accrual periods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OIS swap needs a series of historic fixings instead of one fixing rate. Not yet available.</t>
        </r>
      </text>
    </comment>
  </commentList>
</comments>
</file>

<file path=xl/sharedStrings.xml><?xml version="1.0" encoding="utf-8"?>
<sst xmlns="http://schemas.openxmlformats.org/spreadsheetml/2006/main" count="386" uniqueCount="185">
  <si>
    <t>TGT</t>
  </si>
  <si>
    <t>Frequency</t>
  </si>
  <si>
    <t>EUR</t>
  </si>
  <si>
    <t>ACT/360</t>
  </si>
  <si>
    <t>-</t>
  </si>
  <si>
    <t>Curve Names</t>
  </si>
  <si>
    <t xml:space="preserve"> </t>
  </si>
  <si>
    <t>50Y</t>
  </si>
  <si>
    <t>40Y</t>
  </si>
  <si>
    <t>30Y</t>
  </si>
  <si>
    <t>25Y</t>
  </si>
  <si>
    <t>20Y</t>
  </si>
  <si>
    <t>15Y</t>
  </si>
  <si>
    <t>12Y</t>
  </si>
  <si>
    <t>10Y</t>
  </si>
  <si>
    <t>7Y</t>
  </si>
  <si>
    <t>5Y</t>
  </si>
  <si>
    <t>4Y</t>
  </si>
  <si>
    <t>3Y</t>
  </si>
  <si>
    <t>MOD_FOLLOWING</t>
  </si>
  <si>
    <t>2Y</t>
  </si>
  <si>
    <t>18M</t>
  </si>
  <si>
    <t>Act/360</t>
  </si>
  <si>
    <t>STD</t>
  </si>
  <si>
    <t>ON</t>
  </si>
  <si>
    <t>Rate</t>
  </si>
  <si>
    <t>Term</t>
  </si>
  <si>
    <t>Quarterly</t>
  </si>
  <si>
    <t/>
  </si>
  <si>
    <t>SlidingRule</t>
  </si>
  <si>
    <t>yieldgen.interpolation</t>
  </si>
  <si>
    <t>9Y</t>
  </si>
  <si>
    <t>slidingrule</t>
  </si>
  <si>
    <t>Calendar</t>
  </si>
  <si>
    <t>8Y</t>
  </si>
  <si>
    <t>frequency</t>
  </si>
  <si>
    <t>Daycount</t>
  </si>
  <si>
    <t>arithmeticaverage</t>
  </si>
  <si>
    <t>shorttermconvention</t>
  </si>
  <si>
    <t>daycount</t>
  </si>
  <si>
    <t>6Y</t>
  </si>
  <si>
    <t>2d</t>
  </si>
  <si>
    <t>resetlag</t>
  </si>
  <si>
    <t>EndDate</t>
  </si>
  <si>
    <t>StartDate</t>
  </si>
  <si>
    <t>dailycompounding</t>
  </si>
  <si>
    <t>generatemethod</t>
  </si>
  <si>
    <t>Annual</t>
  </si>
  <si>
    <t>ShortMarket</t>
  </si>
  <si>
    <t>firstrate</t>
  </si>
  <si>
    <t>interpolation</t>
  </si>
  <si>
    <t>Currency</t>
  </si>
  <si>
    <t>30/360</t>
  </si>
  <si>
    <t>AsOfDate</t>
  </si>
  <si>
    <t>calendar</t>
  </si>
  <si>
    <t>OIS Conventions</t>
  </si>
  <si>
    <t>USD</t>
  </si>
  <si>
    <t>GBP</t>
  </si>
  <si>
    <t>JPY</t>
  </si>
  <si>
    <t>OIS</t>
  </si>
  <si>
    <t>3M6MBasis</t>
  </si>
  <si>
    <t>1M3MBasis</t>
  </si>
  <si>
    <t>XccyBasis</t>
  </si>
  <si>
    <t>12M</t>
  </si>
  <si>
    <t>daycountfix</t>
  </si>
  <si>
    <t>3M12MBasis</t>
  </si>
  <si>
    <t>11Y</t>
  </si>
  <si>
    <t>Notional</t>
  </si>
  <si>
    <t>PAYER</t>
  </si>
  <si>
    <t>FIXED LEG</t>
  </si>
  <si>
    <t>FLOAT LEG</t>
  </si>
  <si>
    <t>rollDay</t>
  </si>
  <si>
    <t>fixingLag</t>
  </si>
  <si>
    <t>0D</t>
  </si>
  <si>
    <t>firstFixing</t>
  </si>
  <si>
    <t>lastFixing</t>
  </si>
  <si>
    <t>paymentLag</t>
  </si>
  <si>
    <t>StubType</t>
  </si>
  <si>
    <t>2D</t>
  </si>
  <si>
    <t>Use</t>
  </si>
  <si>
    <t>EUSF1A</t>
  </si>
  <si>
    <t>EUSF2A</t>
  </si>
  <si>
    <t>EUSF3A</t>
  </si>
  <si>
    <t>EUSF4A</t>
  </si>
  <si>
    <t>longtermconvention</t>
  </si>
  <si>
    <t>longterm</t>
  </si>
  <si>
    <t>LOBASIS</t>
  </si>
  <si>
    <t>frequencyfix</t>
  </si>
  <si>
    <t>NOCSA</t>
  </si>
  <si>
    <t>USDYC</t>
  </si>
  <si>
    <t>EURYC</t>
  </si>
  <si>
    <t>GBPYC</t>
  </si>
  <si>
    <t>JPYYC</t>
  </si>
  <si>
    <t>FwdFXConstEUR</t>
  </si>
  <si>
    <t>FwdFXConstGBP</t>
  </si>
  <si>
    <t>FwdFXConstJPY</t>
  </si>
  <si>
    <t>PV</t>
  </si>
  <si>
    <t>longterm.generatemethod</t>
  </si>
  <si>
    <t>dailyaveraging</t>
  </si>
  <si>
    <t>EUR OIS Swap</t>
  </si>
  <si>
    <t>GEOMETRIC</t>
  </si>
  <si>
    <t>OIS Curve instrument prices</t>
  </si>
  <si>
    <t>Existing problems:</t>
  </si>
  <si>
    <t xml:space="preserve">1. Curves are stored using the curveID which is not unique. </t>
  </si>
  <si>
    <t>2. No handle is returned and hence it's not obvious what name to use to get certain curves</t>
  </si>
  <si>
    <t>3. No object caching. Object is rebuilt every time the function is run even though no inputs have changed.</t>
  </si>
  <si>
    <t>EUR Swap Curve</t>
  </si>
  <si>
    <t>EUR OIS Curve</t>
  </si>
  <si>
    <t>EUR Basis Curve</t>
  </si>
  <si>
    <t>Diff (Bps)</t>
  </si>
  <si>
    <t>100Y</t>
  </si>
  <si>
    <t>Build EURYC OIS Curve</t>
  </si>
  <si>
    <t>ShortEnd</t>
  </si>
  <si>
    <t>Instructions</t>
  </si>
  <si>
    <t>1. Refresh worksheets from Left to Right</t>
  </si>
  <si>
    <t>or</t>
  </si>
  <si>
    <t>2. Refresh using Ctrl + Shift + Alt + F9</t>
  </si>
  <si>
    <t>PayerReceiver</t>
  </si>
  <si>
    <t>EffectiveDate</t>
  </si>
  <si>
    <t>MaturityDate</t>
  </si>
  <si>
    <t>CurveCollection</t>
  </si>
  <si>
    <t>Spread</t>
  </si>
  <si>
    <t>businessDayAdjustment</t>
  </si>
  <si>
    <t>firstStubDate</t>
  </si>
  <si>
    <t>lastStubDate</t>
  </si>
  <si>
    <t>ForecastCurve</t>
  </si>
  <si>
    <t>DiscountCurve</t>
  </si>
  <si>
    <t>CompoundMethod</t>
  </si>
  <si>
    <t>NORMAL</t>
  </si>
  <si>
    <t>FixedRate</t>
  </si>
  <si>
    <t>isLoaded</t>
  </si>
  <si>
    <t>meProductOISParRate</t>
  </si>
  <si>
    <t>meProductOISPV</t>
  </si>
  <si>
    <t>Epsilon</t>
  </si>
  <si>
    <t>MaxLoop</t>
  </si>
  <si>
    <t>SmoothShortEnd</t>
  </si>
  <si>
    <r>
      <t>meCurveCalibrateOIS</t>
    </r>
    <r>
      <rPr>
        <i/>
        <sz val="18"/>
        <rFont val="Calibri"/>
        <family val="2"/>
        <scheme val="minor"/>
      </rPr>
      <t>("CurveCollection","StaticDataTable","CurveIndex","CurveBuildProperties","OISConventions","OISMarketData",</t>
    </r>
  </si>
  <si>
    <t>OISFixingTable,"OISBasisConventions","OISBasisMarketData","SwapConventions","SwapMarketData")</t>
  </si>
  <si>
    <t>meCurveCalibrateOIS</t>
  </si>
  <si>
    <t>Curve Loaded</t>
  </si>
  <si>
    <r>
      <rPr>
        <b/>
        <sz val="11"/>
        <rFont val="Calibri"/>
        <family val="2"/>
        <scheme val="minor"/>
      </rPr>
      <t xml:space="preserve">CurveCollection:
</t>
    </r>
    <r>
      <rPr>
        <sz val="11"/>
        <color rgb="FF0000FF"/>
        <rFont val="Calibri"/>
        <family val="2"/>
        <scheme val="minor"/>
      </rPr>
      <t>Name of the Curve Group, usually grouped by Currency</t>
    </r>
  </si>
  <si>
    <r>
      <rPr>
        <b/>
        <sz val="11"/>
        <rFont val="Calibri"/>
        <family val="2"/>
        <scheme val="minor"/>
      </rPr>
      <t xml:space="preserve">StaticDataTable: </t>
    </r>
    <r>
      <rPr>
        <b/>
        <sz val="11"/>
        <color rgb="FFFF0000"/>
        <rFont val="Calibri"/>
        <family val="2"/>
        <scheme val="minor"/>
      </rPr>
      <t>( Case Sensitive! )</t>
    </r>
    <r>
      <rPr>
        <b/>
        <sz val="11"/>
        <rFont val="Calibri"/>
        <family val="2"/>
        <scheme val="minor"/>
      </rPr>
      <t xml:space="preserve">
</t>
    </r>
    <r>
      <rPr>
        <sz val="11"/>
        <color rgb="FF0000FF"/>
        <rFont val="Calibri"/>
        <family val="2"/>
        <scheme val="minor"/>
      </rPr>
      <t>A hard-coded reference to a property file table used to lookup default curve parameters if not specified</t>
    </r>
  </si>
  <si>
    <t>StaticDataTable</t>
  </si>
  <si>
    <r>
      <rPr>
        <b/>
        <sz val="11"/>
        <rFont val="Calibri"/>
        <family val="2"/>
        <scheme val="minor"/>
      </rPr>
      <t xml:space="preserve">IndexName:
</t>
    </r>
    <r>
      <rPr>
        <sz val="11"/>
        <color rgb="FF0000FF"/>
        <rFont val="Calibri"/>
        <family val="2"/>
        <scheme val="minor"/>
      </rPr>
      <t>A user defined name(s) for the output curve index, mutliple aliases allowed. e.g. EUROIS, EUR3ML, EUR6ML</t>
    </r>
  </si>
  <si>
    <t>IndexName(s)</t>
  </si>
  <si>
    <t>OIS:EUROIS:EURDF:EURDF_NOCSA</t>
  </si>
  <si>
    <t>Curve Build Properties</t>
  </si>
  <si>
    <r>
      <rPr>
        <b/>
        <sz val="11"/>
        <rFont val="Calibri"/>
        <family val="2"/>
        <scheme val="minor"/>
      </rPr>
      <t xml:space="preserve">AsOfDate:
</t>
    </r>
    <r>
      <rPr>
        <sz val="11"/>
        <color rgb="FF0000FF"/>
        <rFont val="Calibri"/>
        <family val="2"/>
        <scheme val="minor"/>
      </rPr>
      <t>The curve build Date</t>
    </r>
  </si>
  <si>
    <r>
      <rPr>
        <b/>
        <sz val="11"/>
        <rFont val="Calibri"/>
        <family val="2"/>
        <scheme val="minor"/>
      </rPr>
      <t xml:space="preserve">Currency:
</t>
    </r>
    <r>
      <rPr>
        <sz val="11"/>
        <color rgb="FF0000FF"/>
        <rFont val="Calibri"/>
        <family val="2"/>
        <scheme val="minor"/>
      </rPr>
      <t>The curve currency</t>
    </r>
  </si>
  <si>
    <r>
      <rPr>
        <b/>
        <sz val="11"/>
        <rFont val="Calibri"/>
        <family val="2"/>
        <scheme val="minor"/>
      </rPr>
      <t xml:space="preserve">Interpolation:
</t>
    </r>
    <r>
      <rPr>
        <sz val="11"/>
        <color rgb="FF0000FF"/>
        <rFont val="Calibri"/>
        <family val="2"/>
        <scheme val="minor"/>
      </rPr>
      <t>The interpolation method used for getting the OIS discount factors</t>
    </r>
  </si>
  <si>
    <r>
      <rPr>
        <b/>
        <sz val="11"/>
        <rFont val="Calibri"/>
        <family val="2"/>
        <scheme val="minor"/>
      </rPr>
      <t xml:space="preserve">YieldGen.Interpolation:
</t>
    </r>
    <r>
      <rPr>
        <sz val="11"/>
        <color rgb="FF0000FF"/>
        <rFont val="Calibri"/>
        <family val="2"/>
        <scheme val="minor"/>
      </rPr>
      <t>The interpolation method used for generating the target curve forecast rates</t>
    </r>
  </si>
  <si>
    <t>Overnight Indexed Swaps</t>
  </si>
  <si>
    <t>OIS Par Rates</t>
  </si>
  <si>
    <t>OIS Fixing Table</t>
  </si>
  <si>
    <r>
      <t>Calendar:</t>
    </r>
    <r>
      <rPr>
        <sz val="11"/>
        <color rgb="FF0000FF"/>
        <rFont val="Calibri"/>
        <family val="2"/>
        <scheme val="minor"/>
      </rPr>
      <t xml:space="preserve">
The fixed leg calendar</t>
    </r>
  </si>
  <si>
    <t>Date</t>
  </si>
  <si>
    <r>
      <t>Daycount:</t>
    </r>
    <r>
      <rPr>
        <sz val="11"/>
        <color rgb="FF0000FF"/>
        <rFont val="Calibri"/>
        <family val="2"/>
        <scheme val="minor"/>
      </rPr>
      <t xml:space="preserve">
The fixed leg daycount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</si>
  <si>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fixed leg frequency</t>
    </r>
  </si>
  <si>
    <r>
      <t>ResetLag:</t>
    </r>
    <r>
      <rPr>
        <sz val="11"/>
        <color rgb="FF0000FF"/>
        <rFont val="Calibri"/>
        <family val="2"/>
        <scheme val="minor"/>
      </rPr>
      <t xml:space="preserve">
The float fixing lag</t>
    </r>
  </si>
  <si>
    <r>
      <t xml:space="preserve">SlidingRule:
</t>
    </r>
    <r>
      <rPr>
        <sz val="11"/>
        <color rgb="FF0000FF"/>
        <rFont val="Calibri"/>
        <family val="2"/>
        <scheme val="minor"/>
      </rPr>
      <t>The fixed leg BusinessDayAdjustment</t>
    </r>
  </si>
  <si>
    <r>
      <t xml:space="preserve">IsEomRoll:
</t>
    </r>
    <r>
      <rPr>
        <sz val="11"/>
        <color rgb="FF0000FF"/>
        <rFont val="Calibri"/>
        <family val="2"/>
        <scheme val="minor"/>
      </rPr>
      <t>Use the End of Month Roll Convention for swaps traded on End of Month</t>
    </r>
  </si>
  <si>
    <t>iseomroll</t>
    <phoneticPr fontId="0"/>
  </si>
  <si>
    <r>
      <t xml:space="preserve">EomDay:
</t>
    </r>
    <r>
      <rPr>
        <sz val="11"/>
        <color rgb="FF0000FF"/>
        <rFont val="Calibri"/>
        <family val="2"/>
        <scheme val="minor"/>
      </rPr>
      <t>Day to be considered month end</t>
    </r>
  </si>
  <si>
    <t>eomday</t>
    <phoneticPr fontId="0"/>
  </si>
  <si>
    <r>
      <t>GenerateMethod:</t>
    </r>
    <r>
      <rPr>
        <sz val="11"/>
        <color rgb="FF0000FF"/>
        <rFont val="Calibri"/>
        <family val="2"/>
        <scheme val="minor"/>
      </rPr>
      <t xml:space="preserve">
Compounding method, can be "DailyCompounding" or remove this key and value for no compounding</t>
    </r>
  </si>
  <si>
    <r>
      <t>FirstRate:</t>
    </r>
    <r>
      <rPr>
        <sz val="11"/>
        <color rgb="FF0000FF"/>
        <rFont val="Calibri"/>
        <family val="2"/>
        <scheme val="minor"/>
      </rPr>
      <t xml:space="preserve">
This field controls the first rate to be used for curve construction; "ShortMarket" implies include short end cash instruments. Removing this key and value will start curve construction from the Swaps instruments</t>
    </r>
  </si>
  <si>
    <r>
      <t xml:space="preserve">ShortTermConvention:
</t>
    </r>
    <r>
      <rPr>
        <sz val="11"/>
        <color rgb="FF0000FF"/>
        <rFont val="Calibri"/>
        <family val="2"/>
        <scheme val="minor"/>
      </rPr>
      <t>The OIS compound method to be used. Can be "ArithmeticAverage" and if the key and value are removed will default to GeometricAverage</t>
    </r>
  </si>
  <si>
    <r>
      <t>LongTermConvention:</t>
    </r>
    <r>
      <rPr>
        <sz val="11"/>
        <color rgb="FF0000FF"/>
        <rFont val="Calibri"/>
        <family val="2"/>
        <scheme val="minor"/>
      </rPr>
      <t xml:space="preserve">
A flag to indicate if Libor OIS Spread instruments should be used on the Long End of the OIS Curve; Can be "LOBASIS" to use Libor OIS Spread instruments and if the key and value are removed only OIS Swap Outrights will be used</t>
    </r>
  </si>
  <si>
    <r>
      <t xml:space="preserve">LongTerm:
</t>
    </r>
    <r>
      <rPr>
        <sz val="11"/>
        <color rgb="FF0000FF"/>
        <rFont val="Calibri"/>
        <family val="2"/>
        <scheme val="minor"/>
      </rPr>
      <t>The starting tenor (inclusive) for Libor-OIS Spread Instruments</t>
    </r>
  </si>
  <si>
    <r>
      <t xml:space="preserve">LongTerm.GenerateMethod:
</t>
    </r>
    <r>
      <rPr>
        <sz val="11"/>
        <color rgb="FF0000FF"/>
        <rFont val="Calibri"/>
        <family val="2"/>
        <scheme val="minor"/>
      </rPr>
      <t>The compounding method for Libor OIS Spread instruments. Can be "DailyAveraging" or remove this key and value for no compounding.</t>
    </r>
  </si>
  <si>
    <r>
      <t>Epsilon:</t>
    </r>
    <r>
      <rPr>
        <sz val="11"/>
        <color rgb="FF0000FF"/>
        <rFont val="Calibri"/>
        <family val="2"/>
        <scheme val="minor"/>
      </rPr>
      <t xml:space="preserve">
The solver precision to be used when calibrating the curve</t>
    </r>
  </si>
  <si>
    <r>
      <t>MaxLoop:</t>
    </r>
    <r>
      <rPr>
        <sz val="11"/>
        <color rgb="FF0000FF"/>
        <rFont val="Calibri"/>
        <family val="2"/>
        <scheme val="minor"/>
      </rPr>
      <t xml:space="preserve">
The maximum number of iterations to allow when calibrating the curve</t>
    </r>
  </si>
  <si>
    <r>
      <t>SmoothShortEnd:</t>
    </r>
    <r>
      <rPr>
        <sz val="11"/>
        <color rgb="FF0000FF"/>
        <rFont val="Calibri"/>
        <family val="2"/>
        <scheme val="minor"/>
      </rPr>
      <t xml:space="preserve">
This flag controls if instruments before the Central Bank Swaps such as O/N and T/N rates should be included in the calibration routine; True = Include instruments such as O/N and T/N before Central Bank Swaps and false will exclude such instruments.</t>
    </r>
  </si>
  <si>
    <t>Important Note:</t>
  </si>
  <si>
    <t>The OIS Swaps must be input in order and the OIS Instrument</t>
  </si>
  <si>
    <t>Tenors must match those listed in the LIBOR-OIS Spread</t>
  </si>
  <si>
    <t>table below</t>
  </si>
  <si>
    <t>Libor-OIS Basis Swaps</t>
  </si>
  <si>
    <t>Libor-OIS Tenor Basis Conventions</t>
  </si>
  <si>
    <t>Libor-OIS  Spreads</t>
  </si>
  <si>
    <t>Libor Swap Conventions</t>
  </si>
  <si>
    <t>Libor Swap  Rates</t>
  </si>
  <si>
    <t xml:space="preserve">The LIBOR-OIS Spreads must be input in order and the </t>
  </si>
  <si>
    <t>Tenors must match those listed in the OIS Swap table above</t>
  </si>
  <si>
    <t>fn_SplineInterpolation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</si>
</sst>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0.0000%"/>
    <numFmt numFmtId="170" formatCode="dd/m/yy"/>
    <numFmt numFmtId="171" formatCode="dd\-mmm\-yy;dd\-mmm\-yy;"/>
    <numFmt numFmtId="172" formatCode="_ * #,##0_ ;_ * \-#,##0_ ;_ * &quot;-&quot;_ ;_ @_ "/>
    <numFmt numFmtId="173" formatCode="0.000000000%"/>
    <numFmt numFmtId="174" formatCode="0.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8"/>
      <color rgb="FF0000FF"/>
      <name val="Calibri"/>
      <family val="2"/>
      <scheme val="minor"/>
    </font>
    <font>
      <i/>
      <sz val="18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66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" fillId="0" borderId="0">
      <alignment vertical="center"/>
    </xf>
    <xf numFmtId="0" fontId="14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5" fillId="6" borderId="0" applyNumberFormat="0" applyFont="0" applyBorder="0" applyAlignment="0" applyProtection="0"/>
    <xf numFmtId="168" fontId="17" fillId="7" borderId="0"/>
    <xf numFmtId="0" fontId="18" fillId="8" borderId="0" applyNumberFormat="0" applyBorder="0" applyAlignment="0">
      <alignment horizontal="center"/>
    </xf>
    <xf numFmtId="0" fontId="19" fillId="9" borderId="20">
      <alignment horizontal="center"/>
      <protection locked="0"/>
    </xf>
    <xf numFmtId="0" fontId="20" fillId="10" borderId="0" applyNumberFormat="0" applyFont="0" applyBorder="0" applyAlignment="0" applyProtection="0"/>
    <xf numFmtId="2" fontId="2" fillId="11" borderId="18" applyNumberFormat="0" applyBorder="0">
      <alignment horizontal="right" vertical="center"/>
    </xf>
    <xf numFmtId="2" fontId="21" fillId="12" borderId="21" applyBorder="0">
      <alignment horizontal="left" vertical="center"/>
    </xf>
    <xf numFmtId="10" fontId="22" fillId="5" borderId="0" applyBorder="0">
      <alignment horizontal="right"/>
      <protection locked="0"/>
    </xf>
    <xf numFmtId="15" fontId="22" fillId="5" borderId="17" applyBorder="0">
      <alignment horizontal="center"/>
      <protection locked="0"/>
    </xf>
    <xf numFmtId="15" fontId="22" fillId="5" borderId="0" applyBorder="0">
      <alignment horizontal="left"/>
      <protection locked="0"/>
    </xf>
    <xf numFmtId="2" fontId="23" fillId="13" borderId="21" applyNumberFormat="0">
      <alignment horizontal="center" vertical="center"/>
    </xf>
    <xf numFmtId="170" fontId="24" fillId="14" borderId="2" applyBorder="0">
      <alignment horizontal="left"/>
      <protection locked="0"/>
    </xf>
    <xf numFmtId="170" fontId="24" fillId="14" borderId="22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5" fillId="15" borderId="0" applyNumberFormat="0" applyFont="0" applyBorder="0" applyAlignment="0" applyProtection="0"/>
    <xf numFmtId="0" fontId="25" fillId="16" borderId="0" applyNumberFormat="0" applyFont="0" applyBorder="0" applyAlignment="0" applyProtection="0"/>
    <xf numFmtId="0" fontId="25" fillId="17" borderId="0" applyNumberFormat="0" applyFont="0" applyBorder="0" applyAlignment="0" applyProtection="0">
      <alignment horizontal="center"/>
    </xf>
    <xf numFmtId="0" fontId="25" fillId="18" borderId="23" applyNumberFormat="0" applyFont="0" applyBorder="0" applyAlignment="0" applyProtection="0"/>
    <xf numFmtId="0" fontId="25" fillId="19" borderId="23" applyNumberFormat="0" applyFont="0" applyBorder="0" applyAlignment="0"/>
    <xf numFmtId="0" fontId="25" fillId="20" borderId="23" applyNumberFormat="0" applyFont="0" applyBorder="0" applyAlignment="0"/>
    <xf numFmtId="0" fontId="15" fillId="21" borderId="0" applyNumberFormat="0" applyFont="0" applyBorder="0" applyAlignment="0" applyProtection="0">
      <alignment horizontal="center"/>
      <protection hidden="1"/>
    </xf>
    <xf numFmtId="0" fontId="2" fillId="6" borderId="0" applyNumberFormat="0" applyFont="0" applyBorder="0" applyAlignment="0" applyProtection="0">
      <protection hidden="1"/>
    </xf>
    <xf numFmtId="0" fontId="2" fillId="22" borderId="0" applyNumberFormat="0" applyFont="0" applyBorder="0" applyAlignment="0" applyProtection="0">
      <protection hidden="1"/>
    </xf>
    <xf numFmtId="0" fontId="2" fillId="23" borderId="0" applyNumberFormat="0" applyFont="0" applyBorder="0" applyAlignment="0" applyProtection="0">
      <protection hidden="1"/>
    </xf>
    <xf numFmtId="0" fontId="2" fillId="24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171" fontId="26" fillId="0" borderId="19" applyBorder="0">
      <alignment horizontal="center"/>
      <protection locked="0"/>
    </xf>
    <xf numFmtId="0" fontId="2" fillId="0" borderId="0">
      <alignment horizontal="left" wrapText="1"/>
    </xf>
    <xf numFmtId="9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172" fontId="2" fillId="0" borderId="0" applyFont="0" applyFill="0" applyBorder="0" applyAlignment="0" applyProtection="0"/>
    <xf numFmtId="0" fontId="14" fillId="0" borderId="0">
      <alignment vertical="center"/>
    </xf>
    <xf numFmtId="0" fontId="27" fillId="0" borderId="0">
      <alignment vertical="center"/>
    </xf>
    <xf numFmtId="0" fontId="11" fillId="0" borderId="0">
      <alignment vertical="center"/>
    </xf>
    <xf numFmtId="38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</cellStyleXfs>
  <cellXfs count="157">
    <xf numFmtId="0" fontId="0" fillId="0" borderId="0" xfId="0"/>
    <xf numFmtId="0" fontId="13" fillId="0" borderId="0" xfId="0" applyFont="1" applyAlignment="1">
      <alignment horizontal="center" vertical="center"/>
    </xf>
    <xf numFmtId="0" fontId="7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8" fillId="0" borderId="0" xfId="0" applyFont="1" applyAlignment="1">
      <alignment horizontal="center" vertical="center"/>
    </xf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6" fillId="0" borderId="0" xfId="0" applyFont="1"/>
    <xf numFmtId="0" fontId="2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4" borderId="3" xfId="0" applyFont="1" applyFill="1" applyBorder="1" applyAlignment="1">
      <alignment horizontal="left" vertical="center"/>
    </xf>
    <xf numFmtId="0" fontId="32" fillId="4" borderId="4" xfId="0" applyFont="1" applyFill="1" applyBorder="1" applyAlignment="1">
      <alignment horizontal="left" vertical="center"/>
    </xf>
    <xf numFmtId="0" fontId="32" fillId="4" borderId="4" xfId="0" quotePrefix="1" applyFont="1" applyFill="1" applyBorder="1" applyAlignment="1">
      <alignment horizontal="center" vertical="center"/>
    </xf>
    <xf numFmtId="0" fontId="32" fillId="4" borderId="4" xfId="0" quotePrefix="1" applyFont="1" applyFill="1" applyBorder="1" applyAlignment="1">
      <alignment horizontal="left" vertical="center"/>
    </xf>
    <xf numFmtId="0" fontId="7" fillId="27" borderId="3" xfId="0" applyFont="1" applyFill="1" applyBorder="1"/>
    <xf numFmtId="0" fontId="7" fillId="27" borderId="4" xfId="0" applyFont="1" applyFill="1" applyBorder="1"/>
    <xf numFmtId="0" fontId="7" fillId="27" borderId="25" xfId="0" applyFont="1" applyFill="1" applyBorder="1"/>
    <xf numFmtId="0" fontId="7" fillId="27" borderId="5" xfId="0" applyFont="1" applyFill="1" applyBorder="1"/>
    <xf numFmtId="0" fontId="30" fillId="27" borderId="4" xfId="0" applyFont="1" applyFill="1" applyBorder="1"/>
    <xf numFmtId="0" fontId="32" fillId="28" borderId="25" xfId="0" quotePrefix="1" applyFont="1" applyFill="1" applyBorder="1" applyAlignment="1">
      <alignment horizontal="center" vertical="center"/>
    </xf>
    <xf numFmtId="0" fontId="32" fillId="28" borderId="4" xfId="0" quotePrefix="1" applyFont="1" applyFill="1" applyBorder="1" applyAlignment="1">
      <alignment horizontal="left" vertical="center"/>
    </xf>
    <xf numFmtId="0" fontId="32" fillId="28" borderId="5" xfId="0" quotePrefix="1" applyFont="1" applyFill="1" applyBorder="1" applyAlignment="1">
      <alignment horizontal="left" vertical="center"/>
    </xf>
    <xf numFmtId="0" fontId="32" fillId="28" borderId="25" xfId="0" quotePrefix="1" applyFont="1" applyFill="1" applyBorder="1" applyAlignment="1">
      <alignment horizontal="left" vertical="center"/>
    </xf>
    <xf numFmtId="0" fontId="32" fillId="28" borderId="5" xfId="0" quotePrefix="1" applyFont="1" applyFill="1" applyBorder="1" applyAlignment="1">
      <alignment horizontal="center" vertical="center"/>
    </xf>
    <xf numFmtId="0" fontId="32" fillId="28" borderId="4" xfId="0" quotePrefix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3" fontId="0" fillId="0" borderId="0" xfId="0" applyNumberFormat="1"/>
    <xf numFmtId="174" fontId="0" fillId="0" borderId="27" xfId="54" applyNumberFormat="1" applyFont="1" applyBorder="1" applyAlignment="1">
      <alignment horizontal="center" vertical="center"/>
    </xf>
    <xf numFmtId="169" fontId="0" fillId="0" borderId="29" xfId="54" applyNumberFormat="1" applyFont="1" applyBorder="1" applyAlignment="1">
      <alignment horizontal="center" vertical="center"/>
    </xf>
    <xf numFmtId="169" fontId="0" fillId="0" borderId="30" xfId="54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0" borderId="22" xfId="0" applyFill="1" applyBorder="1" applyAlignment="1">
      <alignment horizontal="center" vertical="center"/>
    </xf>
    <xf numFmtId="0" fontId="0" fillId="30" borderId="28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28" xfId="0" applyFill="1" applyBorder="1" applyAlignment="1">
      <alignment horizontal="center" vertical="center"/>
    </xf>
    <xf numFmtId="0" fontId="0" fillId="31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9" borderId="28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3" fillId="0" borderId="0" xfId="0" applyFont="1"/>
    <xf numFmtId="0" fontId="34" fillId="0" borderId="0" xfId="0" applyFont="1"/>
    <xf numFmtId="169" fontId="0" fillId="0" borderId="0" xfId="0" applyNumberFormat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3" fontId="0" fillId="32" borderId="3" xfId="0" applyNumberFormat="1" applyFill="1" applyBorder="1" applyAlignment="1">
      <alignment horizontal="center"/>
    </xf>
    <xf numFmtId="15" fontId="0" fillId="0" borderId="4" xfId="0" quotePrefix="1" applyNumberFormat="1" applyBorder="1" applyAlignment="1">
      <alignment horizontal="center" vertical="center"/>
    </xf>
    <xf numFmtId="15" fontId="0" fillId="0" borderId="0" xfId="0" applyNumberFormat="1"/>
    <xf numFmtId="0" fontId="1" fillId="0" borderId="0" xfId="0" applyFont="1"/>
    <xf numFmtId="174" fontId="0" fillId="0" borderId="30" xfId="54" applyNumberFormat="1" applyFont="1" applyBorder="1" applyAlignment="1">
      <alignment horizontal="center" vertical="center"/>
    </xf>
    <xf numFmtId="0" fontId="0" fillId="27" borderId="3" xfId="0" applyFill="1" applyBorder="1"/>
    <xf numFmtId="15" fontId="0" fillId="0" borderId="3" xfId="0" applyNumberFormat="1" applyBorder="1" applyAlignment="1">
      <alignment horizontal="center" vertical="center"/>
    </xf>
    <xf numFmtId="0" fontId="0" fillId="27" borderId="4" xfId="0" applyFill="1" applyBorder="1"/>
    <xf numFmtId="0" fontId="0" fillId="27" borderId="5" xfId="0" applyFill="1" applyBorder="1"/>
    <xf numFmtId="15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6" fillId="0" borderId="0" xfId="0" applyFont="1"/>
    <xf numFmtId="0" fontId="38" fillId="0" borderId="0" xfId="0" applyFont="1"/>
    <xf numFmtId="0" fontId="0" fillId="0" borderId="0" xfId="0" applyAlignment="1">
      <alignment vertical="center"/>
    </xf>
    <xf numFmtId="0" fontId="37" fillId="0" borderId="0" xfId="0" applyFont="1"/>
    <xf numFmtId="0" fontId="0" fillId="28" borderId="11" xfId="0" applyFill="1" applyBorder="1"/>
    <xf numFmtId="0" fontId="0" fillId="28" borderId="12" xfId="0" applyFill="1" applyBorder="1"/>
    <xf numFmtId="0" fontId="10" fillId="28" borderId="12" xfId="0" applyFont="1" applyFill="1" applyBorder="1" applyAlignment="1">
      <alignment horizontal="left" vertical="center"/>
    </xf>
    <xf numFmtId="0" fontId="13" fillId="28" borderId="12" xfId="0" applyFont="1" applyFill="1" applyBorder="1" applyAlignment="1">
      <alignment horizontal="center" vertical="center"/>
    </xf>
    <xf numFmtId="0" fontId="0" fillId="28" borderId="13" xfId="0" applyFill="1" applyBorder="1"/>
    <xf numFmtId="0" fontId="0" fillId="28" borderId="6" xfId="0" applyFill="1" applyBorder="1"/>
    <xf numFmtId="0" fontId="1" fillId="28" borderId="0" xfId="0" applyFont="1" applyFill="1" applyBorder="1"/>
    <xf numFmtId="0" fontId="0" fillId="28" borderId="0" xfId="0" applyFill="1" applyBorder="1"/>
    <xf numFmtId="0" fontId="30" fillId="0" borderId="24" xfId="0" applyFont="1" applyFill="1" applyBorder="1" applyAlignment="1">
      <alignment horizontal="left" vertical="center"/>
    </xf>
    <xf numFmtId="0" fontId="39" fillId="0" borderId="16" xfId="0" applyFont="1" applyFill="1" applyBorder="1" applyAlignment="1">
      <alignment horizontal="left" vertical="center"/>
    </xf>
    <xf numFmtId="0" fontId="39" fillId="0" borderId="15" xfId="0" applyFont="1" applyFill="1" applyBorder="1" applyAlignment="1">
      <alignment horizontal="left" vertical="center"/>
    </xf>
    <xf numFmtId="0" fontId="39" fillId="0" borderId="14" xfId="0" applyFont="1" applyFill="1" applyBorder="1" applyAlignment="1">
      <alignment horizontal="center" vertical="center"/>
    </xf>
    <xf numFmtId="0" fontId="0" fillId="28" borderId="7" xfId="0" applyFill="1" applyBorder="1"/>
    <xf numFmtId="0" fontId="0" fillId="28" borderId="0" xfId="0" applyFont="1" applyFill="1" applyBorder="1" applyAlignment="1">
      <alignment horizontal="left" vertical="center"/>
    </xf>
    <xf numFmtId="0" fontId="0" fillId="28" borderId="0" xfId="0" applyFont="1" applyFill="1" applyBorder="1" applyAlignment="1">
      <alignment horizontal="center" vertical="center"/>
    </xf>
    <xf numFmtId="0" fontId="10" fillId="28" borderId="0" xfId="0" applyFont="1" applyFill="1" applyBorder="1" applyAlignment="1">
      <alignment horizontal="left" vertical="center"/>
    </xf>
    <xf numFmtId="0" fontId="13" fillId="28" borderId="0" xfId="0" applyFont="1" applyFill="1" applyBorder="1" applyAlignment="1">
      <alignment horizontal="center" vertical="center"/>
    </xf>
    <xf numFmtId="0" fontId="0" fillId="28" borderId="10" xfId="0" applyFill="1" applyBorder="1"/>
    <xf numFmtId="0" fontId="12" fillId="28" borderId="10" xfId="0" applyFont="1" applyFill="1" applyBorder="1" applyAlignment="1">
      <alignment horizontal="left" vertical="center"/>
    </xf>
    <xf numFmtId="0" fontId="35" fillId="28" borderId="10" xfId="0" applyFont="1" applyFill="1" applyBorder="1" applyAlignment="1">
      <alignment horizontal="center" vertical="center"/>
    </xf>
    <xf numFmtId="0" fontId="35" fillId="28" borderId="0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/>
    </xf>
    <xf numFmtId="15" fontId="32" fillId="0" borderId="3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left" vertical="center"/>
    </xf>
    <xf numFmtId="0" fontId="32" fillId="0" borderId="4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left" vertical="center"/>
    </xf>
    <xf numFmtId="0" fontId="32" fillId="0" borderId="5" xfId="0" applyFont="1" applyFill="1" applyBorder="1" applyAlignment="1">
      <alignment horizontal="center" vertical="center"/>
    </xf>
    <xf numFmtId="0" fontId="0" fillId="28" borderId="8" xfId="0" applyFill="1" applyBorder="1"/>
    <xf numFmtId="0" fontId="0" fillId="28" borderId="10" xfId="0" applyFill="1" applyBorder="1" applyAlignment="1">
      <alignment horizontal="left" vertical="center"/>
    </xf>
    <xf numFmtId="0" fontId="0" fillId="28" borderId="10" xfId="0" applyFill="1" applyBorder="1" applyAlignment="1">
      <alignment vertical="center"/>
    </xf>
    <xf numFmtId="0" fontId="0" fillId="28" borderId="9" xfId="0" applyFill="1" applyBorder="1"/>
    <xf numFmtId="0" fontId="41" fillId="28" borderId="12" xfId="0" applyFont="1" applyFill="1" applyBorder="1"/>
    <xf numFmtId="0" fontId="13" fillId="28" borderId="10" xfId="0" applyFont="1" applyFill="1" applyBorder="1" applyAlignment="1">
      <alignment horizontal="center" vertical="center"/>
    </xf>
    <xf numFmtId="0" fontId="39" fillId="28" borderId="0" xfId="0" applyFont="1" applyFill="1" applyBorder="1" applyAlignment="1">
      <alignment horizontal="center" vertical="center"/>
    </xf>
    <xf numFmtId="0" fontId="39" fillId="28" borderId="4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left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0" fillId="0" borderId="0" xfId="0" quotePrefix="1"/>
    <xf numFmtId="0" fontId="0" fillId="28" borderId="12" xfId="0" applyFill="1" applyBorder="1" applyAlignment="1">
      <alignment horizontal="left" vertical="center"/>
    </xf>
    <xf numFmtId="0" fontId="0" fillId="28" borderId="12" xfId="0" applyFill="1" applyBorder="1" applyAlignment="1">
      <alignment vertical="center"/>
    </xf>
    <xf numFmtId="0" fontId="12" fillId="28" borderId="0" xfId="0" applyFont="1" applyFill="1" applyBorder="1" applyAlignment="1">
      <alignment horizontal="left" vertical="center"/>
    </xf>
    <xf numFmtId="0" fontId="7" fillId="28" borderId="0" xfId="0" applyFont="1" applyFill="1" applyBorder="1" applyAlignment="1">
      <alignment vertical="center"/>
    </xf>
    <xf numFmtId="0" fontId="7" fillId="28" borderId="0" xfId="0" applyFont="1" applyFill="1" applyBorder="1"/>
    <xf numFmtId="0" fontId="12" fillId="28" borderId="0" xfId="0" applyFont="1" applyFill="1" applyBorder="1"/>
    <xf numFmtId="0" fontId="7" fillId="28" borderId="7" xfId="0" applyFont="1" applyFill="1" applyBorder="1"/>
    <xf numFmtId="0" fontId="12" fillId="0" borderId="24" xfId="0" applyFont="1" applyFill="1" applyBorder="1" applyAlignment="1">
      <alignment horizontal="left" vertical="center" wrapText="1"/>
    </xf>
    <xf numFmtId="0" fontId="32" fillId="0" borderId="13" xfId="0" applyFont="1" applyFill="1" applyBorder="1" applyAlignment="1">
      <alignment horizontal="center" vertical="center"/>
    </xf>
    <xf numFmtId="0" fontId="7" fillId="28" borderId="10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2" fillId="0" borderId="6" xfId="0" applyFont="1" applyFill="1" applyBorder="1" applyAlignment="1">
      <alignment horizontal="center" vertical="center"/>
    </xf>
    <xf numFmtId="168" fontId="32" fillId="0" borderId="0" xfId="0" applyNumberFormat="1" applyFont="1" applyFill="1" applyBorder="1" applyAlignment="1">
      <alignment horizontal="center" vertical="center"/>
    </xf>
    <xf numFmtId="15" fontId="32" fillId="0" borderId="0" xfId="0" applyNumberFormat="1" applyFont="1" applyFill="1" applyBorder="1" applyAlignment="1">
      <alignment horizontal="center" vertical="center"/>
    </xf>
    <xf numFmtId="15" fontId="32" fillId="0" borderId="7" xfId="0" applyNumberFormat="1" applyFont="1" applyFill="1" applyBorder="1" applyAlignment="1">
      <alignment horizontal="center" vertical="center"/>
    </xf>
    <xf numFmtId="15" fontId="32" fillId="0" borderId="6" xfId="0" applyNumberFormat="1" applyFont="1" applyFill="1" applyBorder="1" applyAlignment="1">
      <alignment horizontal="center" vertical="center"/>
    </xf>
    <xf numFmtId="168" fontId="32" fillId="0" borderId="7" xfId="0" applyNumberFormat="1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68" fontId="32" fillId="4" borderId="0" xfId="0" applyNumberFormat="1" applyFont="1" applyFill="1" applyBorder="1" applyAlignment="1">
      <alignment horizontal="center" vertical="center"/>
    </xf>
    <xf numFmtId="15" fontId="32" fillId="4" borderId="0" xfId="0" applyNumberFormat="1" applyFont="1" applyFill="1" applyBorder="1" applyAlignment="1">
      <alignment horizontal="center" vertical="center"/>
    </xf>
    <xf numFmtId="15" fontId="32" fillId="4" borderId="7" xfId="0" applyNumberFormat="1" applyFont="1" applyFill="1" applyBorder="1" applyAlignment="1">
      <alignment horizontal="center" vertical="center"/>
    </xf>
    <xf numFmtId="0" fontId="32" fillId="0" borderId="7" xfId="0" applyNumberFormat="1" applyFont="1" applyFill="1" applyBorder="1" applyAlignment="1">
      <alignment horizontal="center" vertical="center"/>
    </xf>
    <xf numFmtId="11" fontId="32" fillId="0" borderId="7" xfId="0" applyNumberFormat="1" applyFont="1" applyFill="1" applyBorder="1" applyAlignment="1">
      <alignment horizontal="center" vertical="center"/>
    </xf>
    <xf numFmtId="3" fontId="32" fillId="0" borderId="7" xfId="0" applyNumberFormat="1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left" vertical="center" wrapText="1"/>
    </xf>
    <xf numFmtId="0" fontId="12" fillId="0" borderId="4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vertical="center"/>
    </xf>
    <xf numFmtId="0" fontId="13" fillId="0" borderId="4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/>
    </xf>
    <xf numFmtId="0" fontId="32" fillId="0" borderId="9" xfId="0" applyFont="1" applyFill="1" applyBorder="1" applyAlignment="1">
      <alignment vertical="center"/>
    </xf>
    <xf numFmtId="0" fontId="32" fillId="0" borderId="8" xfId="0" applyFont="1" applyFill="1" applyBorder="1" applyAlignment="1">
      <alignment horizontal="center" vertical="center"/>
    </xf>
    <xf numFmtId="168" fontId="32" fillId="0" borderId="10" xfId="0" applyNumberFormat="1" applyFont="1" applyFill="1" applyBorder="1" applyAlignment="1">
      <alignment horizontal="center" vertical="center"/>
    </xf>
    <xf numFmtId="15" fontId="32" fillId="0" borderId="10" xfId="0" applyNumberFormat="1" applyFont="1" applyFill="1" applyBorder="1" applyAlignment="1">
      <alignment horizontal="center" vertical="center"/>
    </xf>
    <xf numFmtId="15" fontId="32" fillId="0" borderId="9" xfId="0" applyNumberFormat="1" applyFont="1" applyFill="1" applyBorder="1" applyAlignment="1">
      <alignment horizontal="center" vertical="center"/>
    </xf>
    <xf numFmtId="15" fontId="32" fillId="0" borderId="8" xfId="0" applyNumberFormat="1" applyFont="1" applyFill="1" applyBorder="1" applyAlignment="1">
      <alignment horizontal="center" vertical="center"/>
    </xf>
    <xf numFmtId="168" fontId="32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7" fillId="0" borderId="4" xfId="0" applyFont="1" applyFill="1" applyBorder="1"/>
    <xf numFmtId="0" fontId="7" fillId="0" borderId="4" xfId="0" applyFont="1" applyFill="1" applyBorder="1" applyAlignment="1"/>
    <xf numFmtId="0" fontId="6" fillId="0" borderId="4" xfId="0" applyFont="1" applyFill="1" applyBorder="1" applyAlignment="1">
      <alignment horizontal="left" vertical="center"/>
    </xf>
    <xf numFmtId="0" fontId="6" fillId="0" borderId="4" xfId="0" applyFont="1" applyFill="1" applyBorder="1" applyAlignment="1"/>
    <xf numFmtId="0" fontId="32" fillId="0" borderId="7" xfId="0" applyFont="1" applyFill="1" applyBorder="1" applyAlignment="1"/>
    <xf numFmtId="0" fontId="0" fillId="0" borderId="4" xfId="0" applyFont="1" applyFill="1" applyBorder="1"/>
    <xf numFmtId="0" fontId="32" fillId="0" borderId="7" xfId="0" applyFont="1" applyFill="1" applyBorder="1"/>
    <xf numFmtId="0" fontId="0" fillId="0" borderId="5" xfId="0" applyFont="1" applyFill="1" applyBorder="1"/>
    <xf numFmtId="0" fontId="32" fillId="0" borderId="9" xfId="0" applyFont="1" applyFill="1" applyBorder="1"/>
    <xf numFmtId="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5" fontId="0" fillId="0" borderId="19" xfId="0" applyNumberForma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8" fillId="0" borderId="0" xfId="0" applyFont="1" applyAlignment="1">
      <alignment horizontal="center" vertical="center"/>
    </xf>
  </cellXfs>
  <cellStyles count="55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" xfId="54" builtinId="5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  <color rgb="FFBC04A6"/>
      <color rgb="FF339933"/>
      <color rgb="FFFBFCDA"/>
      <color rgb="FF66FF33"/>
      <color rgb="FF00CC00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9525</xdr:rowOff>
    </xdr:from>
    <xdr:to>
      <xdr:col>0</xdr:col>
      <xdr:colOff>543093</xdr:colOff>
      <xdr:row>5</xdr:row>
      <xdr:rowOff>168841</xdr:rowOff>
    </xdr:to>
    <xdr:pic macro="[1]!ShowHideInfo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981075"/>
          <a:ext cx="352593" cy="3498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ProductOISExampl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UR OIS"/>
      <sheetName val="EUR SWAP 3ML"/>
      <sheetName val="EUR BASIS 6ML"/>
      <sheetName val="EUR BASIS 1ML"/>
      <sheetName val="EUR BASIS 12ML"/>
      <sheetName val="EUR Forwards"/>
      <sheetName val="EUR Calibration"/>
      <sheetName val="EUR OIS Price"/>
      <sheetName val="EUR IRS Price"/>
      <sheetName val="EUR Asset Swap Price"/>
      <sheetName val="EUR OIS Portfolio"/>
      <sheetName val="EUR IRS Portfolio"/>
      <sheetName val="EUR Numerical Risk"/>
      <sheetName val="meProductOISExample2"/>
    </sheetNames>
    <definedNames>
      <definedName name="ShowHideInfo"/>
    </definedNames>
    <sheetDataSet>
      <sheetData sheetId="0"/>
      <sheetData sheetId="1"/>
      <sheetData sheetId="2">
        <row r="9">
          <cell r="F9" t="b">
            <v>1</v>
          </cell>
        </row>
        <row r="13">
          <cell r="F13" t="str">
            <v>EURYC</v>
          </cell>
        </row>
        <row r="14">
          <cell r="F14" t="str">
            <v>STD</v>
          </cell>
        </row>
        <row r="15">
          <cell r="F15" t="str">
            <v>STD:EUR3ML</v>
          </cell>
        </row>
        <row r="22">
          <cell r="E22" t="str">
            <v>AsOfDate</v>
          </cell>
          <cell r="F22">
            <v>42521</v>
          </cell>
        </row>
        <row r="23">
          <cell r="E23" t="str">
            <v>Currency</v>
          </cell>
          <cell r="F23" t="str">
            <v>EUR</v>
          </cell>
        </row>
        <row r="24">
          <cell r="E24" t="str">
            <v>interpolation</v>
          </cell>
          <cell r="F24" t="str">
            <v>fn_SplineInterpolation</v>
          </cell>
        </row>
        <row r="25">
          <cell r="E25" t="str">
            <v>yieldgen.interpolation</v>
          </cell>
          <cell r="F25" t="str">
            <v>fn_SplineInterpolation</v>
          </cell>
        </row>
        <row r="26">
          <cell r="E26" t="str">
            <v>isfrause</v>
          </cell>
          <cell r="F26" t="b">
            <v>0</v>
          </cell>
        </row>
        <row r="27">
          <cell r="E27" t="str">
            <v>isfutureuse</v>
          </cell>
          <cell r="F27" t="b">
            <v>1</v>
          </cell>
        </row>
        <row r="28">
          <cell r="E28" t="str">
            <v>Frequency</v>
          </cell>
          <cell r="F28" t="str">
            <v>Quarterly</v>
          </cell>
        </row>
        <row r="29">
          <cell r="E29" t="str">
            <v>dfcurvename</v>
          </cell>
          <cell r="F29" t="str">
            <v>OIS</v>
          </cell>
        </row>
        <row r="38">
          <cell r="E38" t="str">
            <v>Calendar</v>
          </cell>
          <cell r="F38" t="str">
            <v>TGT</v>
          </cell>
          <cell r="H38" t="str">
            <v>Calendar</v>
          </cell>
          <cell r="I38" t="str">
            <v>TGT</v>
          </cell>
        </row>
        <row r="39">
          <cell r="E39" t="str">
            <v>DayCount</v>
          </cell>
          <cell r="F39" t="str">
            <v>ACT/360</v>
          </cell>
          <cell r="H39" t="str">
            <v>Daycount</v>
          </cell>
          <cell r="I39" t="str">
            <v>ACT/360</v>
          </cell>
        </row>
        <row r="40">
          <cell r="E40" t="str">
            <v>Slidingrule</v>
          </cell>
          <cell r="F40" t="str">
            <v>FOLLOWING</v>
          </cell>
          <cell r="H40" t="str">
            <v>Frequency</v>
          </cell>
          <cell r="I40" t="str">
            <v>Simple</v>
          </cell>
        </row>
        <row r="41">
          <cell r="H41" t="str">
            <v>Resetlag</v>
          </cell>
          <cell r="I41">
            <v>2</v>
          </cell>
        </row>
        <row r="42">
          <cell r="H42" t="str">
            <v>SlidingRule</v>
          </cell>
          <cell r="I42" t="str">
            <v>MOD_FOLLOWING</v>
          </cell>
        </row>
        <row r="72">
          <cell r="E72" t="str">
            <v>calendar</v>
          </cell>
          <cell r="F72" t="str">
            <v>TGT</v>
          </cell>
        </row>
        <row r="73">
          <cell r="E73" t="str">
            <v>daycount</v>
          </cell>
          <cell r="F73" t="str">
            <v>Act/360</v>
          </cell>
        </row>
        <row r="74">
          <cell r="E74" t="str">
            <v>resetlag</v>
          </cell>
          <cell r="F74" t="str">
            <v>2</v>
          </cell>
        </row>
        <row r="75">
          <cell r="E75" t="str">
            <v>slidingrule</v>
          </cell>
          <cell r="F75" t="str">
            <v>MOD_FOLLOWING</v>
          </cell>
        </row>
        <row r="76">
          <cell r="E76" t="str">
            <v>MeanReversion</v>
          </cell>
          <cell r="F76">
            <v>0.03</v>
          </cell>
        </row>
        <row r="77">
          <cell r="E77" t="str">
            <v>ApplyTension</v>
          </cell>
          <cell r="F77" t="b">
            <v>1</v>
          </cell>
        </row>
        <row r="78">
          <cell r="E78" t="str">
            <v>TensionGap</v>
          </cell>
          <cell r="F78">
            <v>2</v>
          </cell>
        </row>
        <row r="93">
          <cell r="E93" t="str">
            <v>Calendar</v>
          </cell>
          <cell r="F93" t="str">
            <v>TGT</v>
          </cell>
        </row>
        <row r="94">
          <cell r="E94" t="str">
            <v>DayCount</v>
          </cell>
          <cell r="F94" t="str">
            <v>30/360</v>
          </cell>
        </row>
        <row r="95">
          <cell r="E95" t="str">
            <v>DayCountFloat</v>
          </cell>
          <cell r="F95" t="str">
            <v>ACT/360</v>
          </cell>
        </row>
        <row r="96">
          <cell r="E96" t="str">
            <v>Frequency</v>
          </cell>
          <cell r="F96" t="str">
            <v>Annual</v>
          </cell>
        </row>
        <row r="97">
          <cell r="E97" t="str">
            <v>FrequencyFloat</v>
          </cell>
          <cell r="F97" t="str">
            <v>Quarterly</v>
          </cell>
        </row>
        <row r="98">
          <cell r="E98" t="str">
            <v>Interpolation</v>
          </cell>
          <cell r="F98" t="str">
            <v>fn_SplineInterpolation</v>
          </cell>
        </row>
        <row r="99">
          <cell r="E99" t="str">
            <v>IsEomRoll</v>
          </cell>
          <cell r="F99" t="b">
            <v>1</v>
          </cell>
        </row>
        <row r="100">
          <cell r="E100" t="str">
            <v>EomDay</v>
          </cell>
          <cell r="F100">
            <v>31</v>
          </cell>
        </row>
        <row r="101">
          <cell r="E101" t="str">
            <v>Resetlag</v>
          </cell>
          <cell r="F101">
            <v>2</v>
          </cell>
        </row>
        <row r="102">
          <cell r="E102" t="str">
            <v>SlidingRule</v>
          </cell>
          <cell r="F102" t="str">
            <v>MOD_FOLLOWING</v>
          </cell>
        </row>
        <row r="103">
          <cell r="E103" t="str">
            <v>IsNewtonraphson</v>
          </cell>
          <cell r="F103" t="b">
            <v>1</v>
          </cell>
        </row>
        <row r="104">
          <cell r="E104" t="str">
            <v>issimultaneouseq</v>
          </cell>
          <cell r="F104" t="b">
            <v>1</v>
          </cell>
        </row>
        <row r="105">
          <cell r="E105" t="str">
            <v>Epsilon</v>
          </cell>
          <cell r="F105">
            <v>1.0000000000000001E-9</v>
          </cell>
        </row>
        <row r="106">
          <cell r="E106" t="str">
            <v>MaxLoop</v>
          </cell>
          <cell r="F106">
            <v>1000</v>
          </cell>
        </row>
      </sheetData>
      <sheetData sheetId="3">
        <row r="8">
          <cell r="G8" t="b">
            <v>1</v>
          </cell>
        </row>
        <row r="12">
          <cell r="G12" t="str">
            <v>EURYC</v>
          </cell>
        </row>
        <row r="13">
          <cell r="G13" t="str">
            <v>3M6MBASIS</v>
          </cell>
        </row>
        <row r="14">
          <cell r="G14" t="str">
            <v>3M6MBASIS:EUR6ML</v>
          </cell>
        </row>
        <row r="21">
          <cell r="F21" t="str">
            <v>AsOfDate</v>
          </cell>
          <cell r="G21">
            <v>42521</v>
          </cell>
        </row>
        <row r="22">
          <cell r="F22" t="str">
            <v>Currency</v>
          </cell>
          <cell r="G22" t="str">
            <v>EUR</v>
          </cell>
        </row>
        <row r="23">
          <cell r="F23" t="str">
            <v>basis.interpolation</v>
          </cell>
          <cell r="G23" t="str">
            <v>fn_SplineInterpolation</v>
          </cell>
        </row>
        <row r="24">
          <cell r="F24" t="str">
            <v>isFwdBasis</v>
          </cell>
          <cell r="G24" t="b">
            <v>1</v>
          </cell>
        </row>
        <row r="25">
          <cell r="F25" t="str">
            <v>dfCurveName</v>
          </cell>
          <cell r="G25" t="str">
            <v>OIS</v>
          </cell>
        </row>
        <row r="34">
          <cell r="F34" t="str">
            <v>MarketName</v>
          </cell>
          <cell r="G34" t="str">
            <v>EUR3M6MBASIS</v>
          </cell>
        </row>
        <row r="35">
          <cell r="F35" t="str">
            <v>IsLeg1Spread</v>
          </cell>
          <cell r="G35" t="b">
            <v>1</v>
          </cell>
          <cell r="I35" t="str">
            <v>6M</v>
          </cell>
          <cell r="J35">
            <v>1.2999999999999999E-3</v>
          </cell>
          <cell r="K35" t="b">
            <v>1</v>
          </cell>
          <cell r="L35">
            <v>42523</v>
          </cell>
          <cell r="M35">
            <v>42706</v>
          </cell>
        </row>
        <row r="36">
          <cell r="F36" t="str">
            <v>Leg1cashlet.calendar</v>
          </cell>
          <cell r="G36" t="str">
            <v>TGT</v>
          </cell>
          <cell r="I36" t="str">
            <v>6M</v>
          </cell>
          <cell r="J36">
            <v>1.2999999999999999E-3</v>
          </cell>
          <cell r="K36" t="b">
            <v>1</v>
          </cell>
          <cell r="L36">
            <v>42706</v>
          </cell>
          <cell r="M36">
            <v>42888</v>
          </cell>
        </row>
        <row r="37">
          <cell r="F37" t="str">
            <v>Leg1cashlet.daycount</v>
          </cell>
          <cell r="G37" t="str">
            <v>Act/360</v>
          </cell>
          <cell r="I37" t="str">
            <v>6M</v>
          </cell>
          <cell r="J37">
            <v>1.2999999999999999E-3</v>
          </cell>
          <cell r="K37" t="b">
            <v>1</v>
          </cell>
          <cell r="L37">
            <v>42888</v>
          </cell>
          <cell r="M37">
            <v>43073</v>
          </cell>
        </row>
        <row r="38">
          <cell r="F38" t="str">
            <v>Leg1cashlet.frequency</v>
          </cell>
          <cell r="G38" t="str">
            <v>Quarterly</v>
          </cell>
          <cell r="I38" t="str">
            <v>6M</v>
          </cell>
          <cell r="J38">
            <v>1.2999999999999999E-3</v>
          </cell>
          <cell r="K38" t="b">
            <v>1</v>
          </cell>
          <cell r="L38">
            <v>43073</v>
          </cell>
          <cell r="M38">
            <v>43255</v>
          </cell>
        </row>
        <row r="39">
          <cell r="F39" t="str">
            <v>Leg1cashlet.slidingrule</v>
          </cell>
          <cell r="G39" t="str">
            <v>MOD_FOLLOWING</v>
          </cell>
          <cell r="I39" t="str">
            <v>3Y</v>
          </cell>
          <cell r="J39">
            <v>1.2999999999999999E-3</v>
          </cell>
          <cell r="K39" t="b">
            <v>0</v>
          </cell>
          <cell r="L39" t="str">
            <v>0y</v>
          </cell>
          <cell r="M39" t="str">
            <v>3Y</v>
          </cell>
        </row>
        <row r="40">
          <cell r="F40" t="str">
            <v>Leg1cashlet.spotlag</v>
          </cell>
          <cell r="G40" t="str">
            <v>2</v>
          </cell>
          <cell r="I40" t="str">
            <v>4Y</v>
          </cell>
          <cell r="J40">
            <v>1.3499999999999999E-3</v>
          </cell>
          <cell r="K40" t="b">
            <v>0</v>
          </cell>
          <cell r="L40" t="str">
            <v>0y</v>
          </cell>
          <cell r="M40" t="str">
            <v>4Y</v>
          </cell>
        </row>
        <row r="41">
          <cell r="F41" t="str">
            <v>Leg1discount</v>
          </cell>
          <cell r="G41" t="str">
            <v>OIS</v>
          </cell>
          <cell r="I41" t="str">
            <v>5Y</v>
          </cell>
          <cell r="J41">
            <v>1.39E-3</v>
          </cell>
          <cell r="K41" t="b">
            <v>0</v>
          </cell>
          <cell r="L41" t="str">
            <v>0y</v>
          </cell>
          <cell r="M41" t="str">
            <v>5Y</v>
          </cell>
        </row>
        <row r="42">
          <cell r="F42" t="str">
            <v>Leg1forecast</v>
          </cell>
          <cell r="G42" t="str">
            <v>EUR3ML</v>
          </cell>
          <cell r="I42" t="str">
            <v>6Y</v>
          </cell>
          <cell r="J42">
            <v>1.39E-3</v>
          </cell>
          <cell r="K42" t="b">
            <v>0</v>
          </cell>
          <cell r="L42" t="str">
            <v>0y</v>
          </cell>
          <cell r="M42" t="str">
            <v>6Y</v>
          </cell>
        </row>
        <row r="43">
          <cell r="F43" t="str">
            <v>Leg1index.accessary</v>
          </cell>
          <cell r="G43" t="str">
            <v>3M</v>
          </cell>
          <cell r="I43" t="str">
            <v>7Y</v>
          </cell>
          <cell r="J43">
            <v>1.3699999999999999E-3</v>
          </cell>
          <cell r="K43" t="b">
            <v>0</v>
          </cell>
          <cell r="L43" t="str">
            <v>0y</v>
          </cell>
          <cell r="M43" t="str">
            <v>7Y</v>
          </cell>
        </row>
        <row r="44">
          <cell r="F44" t="str">
            <v>Leg1index.daycount</v>
          </cell>
          <cell r="G44" t="str">
            <v>Act/360</v>
          </cell>
          <cell r="I44" t="str">
            <v>8Y</v>
          </cell>
          <cell r="J44">
            <v>1.3249999999999998E-3</v>
          </cell>
          <cell r="K44" t="b">
            <v>0</v>
          </cell>
          <cell r="L44" t="str">
            <v>0y</v>
          </cell>
          <cell r="M44" t="str">
            <v>8Y</v>
          </cell>
        </row>
        <row r="45">
          <cell r="F45" t="str">
            <v>Leg1index.fixing.calendar</v>
          </cell>
          <cell r="G45" t="str">
            <v>TGT</v>
          </cell>
          <cell r="I45" t="str">
            <v>9Y</v>
          </cell>
          <cell r="J45">
            <v>1.2599999999999998E-3</v>
          </cell>
          <cell r="K45" t="b">
            <v>0</v>
          </cell>
          <cell r="L45" t="str">
            <v>0y</v>
          </cell>
          <cell r="M45" t="str">
            <v>9Y</v>
          </cell>
        </row>
        <row r="46">
          <cell r="F46" t="str">
            <v>Leg1index.frequency</v>
          </cell>
          <cell r="G46" t="str">
            <v>Simple</v>
          </cell>
          <cell r="I46" t="str">
            <v>10Y</v>
          </cell>
          <cell r="J46">
            <v>1.1899999999999999E-3</v>
          </cell>
          <cell r="K46" t="b">
            <v>0</v>
          </cell>
          <cell r="L46" t="str">
            <v>0y</v>
          </cell>
          <cell r="M46" t="str">
            <v>10Y</v>
          </cell>
        </row>
        <row r="47">
          <cell r="F47" t="str">
            <v>Leg1index.payment.calendar</v>
          </cell>
          <cell r="G47" t="str">
            <v>TGT</v>
          </cell>
          <cell r="I47" t="str">
            <v>11Y</v>
          </cell>
          <cell r="J47">
            <v>1.1249999999999999E-3</v>
          </cell>
          <cell r="K47" t="b">
            <v>0</v>
          </cell>
          <cell r="L47" t="str">
            <v>0y</v>
          </cell>
          <cell r="M47" t="str">
            <v>11Y</v>
          </cell>
        </row>
        <row r="48">
          <cell r="F48" t="str">
            <v>Leg1index.resetlag</v>
          </cell>
          <cell r="G48">
            <v>2</v>
          </cell>
          <cell r="I48" t="str">
            <v>12Y</v>
          </cell>
          <cell r="J48">
            <v>1.0649999999999998E-3</v>
          </cell>
          <cell r="K48" t="b">
            <v>0</v>
          </cell>
          <cell r="L48" t="str">
            <v>0y</v>
          </cell>
          <cell r="M48" t="str">
            <v>12Y</v>
          </cell>
        </row>
        <row r="49">
          <cell r="F49" t="str">
            <v>Leg1index.slidingrule</v>
          </cell>
          <cell r="G49" t="str">
            <v>MOD_FOLLOWING</v>
          </cell>
          <cell r="I49" t="str">
            <v>15Y</v>
          </cell>
          <cell r="J49">
            <v>9.0999999999999978E-4</v>
          </cell>
          <cell r="K49" t="b">
            <v>0</v>
          </cell>
          <cell r="L49" t="str">
            <v>0y</v>
          </cell>
          <cell r="M49" t="str">
            <v>15Y</v>
          </cell>
        </row>
        <row r="50">
          <cell r="F50" t="str">
            <v>Leg2cashlet.calendar</v>
          </cell>
          <cell r="G50" t="str">
            <v>TGT</v>
          </cell>
          <cell r="I50" t="str">
            <v>20Y</v>
          </cell>
          <cell r="J50">
            <v>7.099999999999998E-4</v>
          </cell>
          <cell r="K50" t="b">
            <v>0</v>
          </cell>
          <cell r="L50" t="str">
            <v>0y</v>
          </cell>
          <cell r="M50" t="str">
            <v>20Y</v>
          </cell>
        </row>
        <row r="51">
          <cell r="F51" t="str">
            <v>Leg2cashlet.daycount</v>
          </cell>
          <cell r="G51" t="str">
            <v>Act/360</v>
          </cell>
          <cell r="I51" t="str">
            <v>25Y</v>
          </cell>
          <cell r="J51">
            <v>5.8249999999999979E-4</v>
          </cell>
          <cell r="K51" t="b">
            <v>0</v>
          </cell>
          <cell r="L51" t="str">
            <v>0y</v>
          </cell>
          <cell r="M51" t="str">
            <v>25Y</v>
          </cell>
        </row>
        <row r="52">
          <cell r="F52" t="str">
            <v>Leg2cashlet.frequency</v>
          </cell>
          <cell r="G52" t="str">
            <v>Semi-Annual</v>
          </cell>
          <cell r="I52" t="str">
            <v>30Y</v>
          </cell>
          <cell r="J52">
            <v>4.8999999999999988E-4</v>
          </cell>
          <cell r="K52" t="b">
            <v>0</v>
          </cell>
          <cell r="L52" t="str">
            <v>0y</v>
          </cell>
          <cell r="M52" t="str">
            <v>30Y</v>
          </cell>
        </row>
        <row r="53">
          <cell r="F53" t="str">
            <v>Leg2cashlet.slidingrule</v>
          </cell>
          <cell r="G53" t="str">
            <v>MOD_FOLLOWING</v>
          </cell>
        </row>
        <row r="54">
          <cell r="F54" t="str">
            <v>Leg2cashlet.spotlag</v>
          </cell>
          <cell r="G54" t="str">
            <v>2</v>
          </cell>
        </row>
        <row r="55">
          <cell r="F55" t="str">
            <v>Leg2discount</v>
          </cell>
          <cell r="G55" t="str">
            <v>OIS</v>
          </cell>
        </row>
        <row r="56">
          <cell r="F56" t="str">
            <v>Leg2forecast</v>
          </cell>
          <cell r="G56" t="str">
            <v>STD</v>
          </cell>
        </row>
        <row r="57">
          <cell r="F57" t="str">
            <v>Leg2index.accessary</v>
          </cell>
          <cell r="G57" t="str">
            <v>6M</v>
          </cell>
        </row>
        <row r="58">
          <cell r="F58" t="str">
            <v>Leg2index.daycount</v>
          </cell>
          <cell r="G58" t="str">
            <v>Act/360</v>
          </cell>
        </row>
        <row r="59">
          <cell r="F59" t="str">
            <v>Leg2index.fixing.calendar</v>
          </cell>
          <cell r="G59" t="str">
            <v>TGT</v>
          </cell>
        </row>
        <row r="60">
          <cell r="F60" t="str">
            <v>Leg2index.frequency</v>
          </cell>
          <cell r="G60" t="str">
            <v>Simple</v>
          </cell>
        </row>
        <row r="61">
          <cell r="F61" t="str">
            <v>Leg2index.payment.calendar</v>
          </cell>
          <cell r="G61" t="str">
            <v>TGT</v>
          </cell>
        </row>
        <row r="62">
          <cell r="F62" t="str">
            <v>Leg2index.resetlag</v>
          </cell>
          <cell r="G62">
            <v>2</v>
          </cell>
        </row>
        <row r="63">
          <cell r="F63" t="str">
            <v>Leg2index.slidingrule</v>
          </cell>
          <cell r="G63" t="str">
            <v>MOD_FOLLOWING</v>
          </cell>
        </row>
        <row r="64">
          <cell r="F64" t="str">
            <v>Target</v>
          </cell>
          <cell r="G64" t="str">
            <v>Leg2Forecast</v>
          </cell>
        </row>
        <row r="65">
          <cell r="F65" t="str">
            <v>issimultaneouseq</v>
          </cell>
          <cell r="G65" t="b">
            <v>1</v>
          </cell>
        </row>
        <row r="66">
          <cell r="F66" t="str">
            <v>fwdinterpolation</v>
          </cell>
          <cell r="G66" t="str">
            <v>fn_SplineInterpolation</v>
          </cell>
        </row>
        <row r="67">
          <cell r="F67" t="str">
            <v>isfwdinter</v>
          </cell>
          <cell r="G67" t="b">
            <v>1</v>
          </cell>
        </row>
        <row r="68">
          <cell r="F68" t="str">
            <v>issamegridindex</v>
          </cell>
          <cell r="G68" t="b">
            <v>1</v>
          </cell>
        </row>
        <row r="69">
          <cell r="F69" t="str">
            <v>spotrateterm</v>
          </cell>
          <cell r="G69" t="str">
            <v>6M</v>
          </cell>
        </row>
        <row r="70">
          <cell r="F70" t="str">
            <v>isyieldspreadcalc</v>
          </cell>
          <cell r="G70" t="b">
            <v>0</v>
          </cell>
        </row>
        <row r="71">
          <cell r="F71" t="str">
            <v>Epsilon</v>
          </cell>
          <cell r="G71">
            <v>1.0000000000000001E-9</v>
          </cell>
        </row>
        <row r="72">
          <cell r="F72" t="str">
            <v>MaxLoop</v>
          </cell>
          <cell r="G72">
            <v>1000</v>
          </cell>
        </row>
      </sheetData>
      <sheetData sheetId="4">
        <row r="8">
          <cell r="G8" t="b">
            <v>1</v>
          </cell>
        </row>
      </sheetData>
      <sheetData sheetId="5">
        <row r="8">
          <cell r="G8" t="b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14">
          <cell r="B14" t="str">
            <v>TradeID</v>
          </cell>
          <cell r="C14" t="str">
            <v>IRS_1Y</v>
          </cell>
          <cell r="D14" t="str">
            <v>IRS_2Y</v>
          </cell>
          <cell r="E14" t="str">
            <v>IRS_3Y</v>
          </cell>
          <cell r="F14" t="str">
            <v>IRS_4Y</v>
          </cell>
          <cell r="G14" t="str">
            <v>IRS_5Y</v>
          </cell>
          <cell r="H14" t="str">
            <v>IRS_10Y</v>
          </cell>
          <cell r="I14" t="str">
            <v>IRS_20Y</v>
          </cell>
        </row>
        <row r="15">
          <cell r="B15" t="str">
            <v>TradeType</v>
          </cell>
          <cell r="C15" t="str">
            <v>VanillaIRS</v>
          </cell>
          <cell r="D15" t="str">
            <v>VanillaIRS</v>
          </cell>
          <cell r="E15" t="str">
            <v>VanillaIRS</v>
          </cell>
          <cell r="F15" t="str">
            <v>VanillaIRS</v>
          </cell>
          <cell r="G15" t="str">
            <v>VanillaIRS</v>
          </cell>
          <cell r="H15" t="str">
            <v>VanillaIRS</v>
          </cell>
          <cell r="I15" t="str">
            <v>VanillaIRS</v>
          </cell>
        </row>
        <row r="16">
          <cell r="B16" t="str">
            <v>Notional</v>
          </cell>
          <cell r="C16">
            <v>1000000</v>
          </cell>
          <cell r="D16">
            <v>1000000</v>
          </cell>
          <cell r="E16">
            <v>1000000</v>
          </cell>
          <cell r="F16">
            <v>1000000</v>
          </cell>
          <cell r="G16">
            <v>1000000</v>
          </cell>
          <cell r="H16">
            <v>1000000</v>
          </cell>
          <cell r="I16">
            <v>1000000</v>
          </cell>
        </row>
        <row r="17">
          <cell r="B17" t="str">
            <v>PayerReceiver</v>
          </cell>
          <cell r="C17" t="str">
            <v>RECEIVER</v>
          </cell>
          <cell r="D17" t="str">
            <v>RECEIVER</v>
          </cell>
          <cell r="E17" t="str">
            <v>RECEIVER</v>
          </cell>
          <cell r="F17" t="str">
            <v>RECEIVER</v>
          </cell>
          <cell r="G17" t="str">
            <v>RECEIVER</v>
          </cell>
          <cell r="H17" t="str">
            <v>RECEIVER</v>
          </cell>
          <cell r="I17" t="str">
            <v>RECEIVER</v>
          </cell>
        </row>
        <row r="18">
          <cell r="B18" t="str">
            <v>EffectiveDate</v>
          </cell>
          <cell r="C18">
            <v>42523</v>
          </cell>
          <cell r="D18">
            <v>42523</v>
          </cell>
          <cell r="E18">
            <v>42523</v>
          </cell>
          <cell r="F18">
            <v>42523</v>
          </cell>
          <cell r="G18">
            <v>42523</v>
          </cell>
          <cell r="H18">
            <v>42523</v>
          </cell>
          <cell r="I18">
            <v>42523</v>
          </cell>
        </row>
        <row r="19">
          <cell r="B19" t="str">
            <v>MaturityDate</v>
          </cell>
          <cell r="C19" t="str">
            <v>1Y</v>
          </cell>
          <cell r="D19" t="str">
            <v>2Y</v>
          </cell>
          <cell r="E19" t="str">
            <v>3Y</v>
          </cell>
          <cell r="F19" t="str">
            <v>4Y</v>
          </cell>
          <cell r="G19" t="str">
            <v>5Y</v>
          </cell>
          <cell r="H19" t="str">
            <v>10Y</v>
          </cell>
          <cell r="I19" t="str">
            <v>20Y</v>
          </cell>
        </row>
        <row r="20">
          <cell r="B20" t="str">
            <v>FixedFrequency</v>
          </cell>
          <cell r="C20" t="str">
            <v>Annual</v>
          </cell>
          <cell r="D20" t="str">
            <v>Annual</v>
          </cell>
          <cell r="E20" t="str">
            <v>Annual</v>
          </cell>
          <cell r="F20" t="str">
            <v>Annual</v>
          </cell>
          <cell r="G20" t="str">
            <v>Annual</v>
          </cell>
          <cell r="H20" t="str">
            <v>Annual</v>
          </cell>
          <cell r="I20" t="str">
            <v>Annual</v>
          </cell>
        </row>
        <row r="21">
          <cell r="B21" t="str">
            <v>FixedDaycount</v>
          </cell>
          <cell r="C21" t="str">
            <v>30/360</v>
          </cell>
          <cell r="D21" t="str">
            <v>30/360</v>
          </cell>
          <cell r="E21" t="str">
            <v>30/360</v>
          </cell>
          <cell r="F21" t="str">
            <v>30/360</v>
          </cell>
          <cell r="G21" t="str">
            <v>30/360</v>
          </cell>
          <cell r="H21" t="str">
            <v>30/360</v>
          </cell>
          <cell r="I21" t="str">
            <v>30/360</v>
          </cell>
        </row>
        <row r="22">
          <cell r="B22" t="str">
            <v>FixedAccrualBusinessDayAdjustment</v>
          </cell>
          <cell r="C22" t="str">
            <v>MOD_FOLLOWING</v>
          </cell>
          <cell r="D22" t="str">
            <v>MOD_FOLLOWING</v>
          </cell>
          <cell r="E22" t="str">
            <v>MOD_FOLLOWING</v>
          </cell>
          <cell r="F22" t="str">
            <v>MOD_FOLLOWING</v>
          </cell>
          <cell r="G22" t="str">
            <v>MOD_FOLLOWING</v>
          </cell>
          <cell r="H22" t="str">
            <v>MOD_FOLLOWING</v>
          </cell>
          <cell r="I22" t="str">
            <v>MOD_FOLLOWING</v>
          </cell>
        </row>
        <row r="23">
          <cell r="B23" t="str">
            <v>FixedAccrualCalendar</v>
          </cell>
          <cell r="C23" t="str">
            <v>TGT</v>
          </cell>
          <cell r="D23" t="str">
            <v>TGT</v>
          </cell>
          <cell r="E23" t="str">
            <v>TGT</v>
          </cell>
          <cell r="F23" t="str">
            <v>TGT</v>
          </cell>
          <cell r="G23" t="str">
            <v>TGT</v>
          </cell>
          <cell r="H23" t="str">
            <v>TGT</v>
          </cell>
          <cell r="I23" t="str">
            <v>TGT</v>
          </cell>
        </row>
        <row r="24">
          <cell r="B24" t="str">
            <v>FixedPaymentBusinessDayAdjustment</v>
          </cell>
          <cell r="C24" t="str">
            <v>MOD_FOLLOWING</v>
          </cell>
          <cell r="D24" t="str">
            <v>MOD_FOLLOWING</v>
          </cell>
          <cell r="E24" t="str">
            <v>MOD_FOLLOWING</v>
          </cell>
          <cell r="F24" t="str">
            <v>MOD_FOLLOWING</v>
          </cell>
          <cell r="G24" t="str">
            <v>MOD_FOLLOWING</v>
          </cell>
          <cell r="H24" t="str">
            <v>MOD_FOLLOWING</v>
          </cell>
          <cell r="I24" t="str">
            <v>MOD_FOLLOWING</v>
          </cell>
        </row>
        <row r="25">
          <cell r="B25" t="str">
            <v>FixedPaymentCalendar</v>
          </cell>
          <cell r="C25" t="str">
            <v>TGT</v>
          </cell>
          <cell r="D25" t="str">
            <v>TGT</v>
          </cell>
          <cell r="E25" t="str">
            <v>TGT</v>
          </cell>
          <cell r="F25" t="str">
            <v>TGT</v>
          </cell>
          <cell r="G25" t="str">
            <v>TGT</v>
          </cell>
          <cell r="H25" t="str">
            <v>TGT</v>
          </cell>
          <cell r="I25" t="str">
            <v>TGT</v>
          </cell>
        </row>
        <row r="26">
          <cell r="B26" t="str">
            <v>FixedFirstStubDate</v>
          </cell>
        </row>
        <row r="27">
          <cell r="B27" t="str">
            <v>FixedLastStubDate</v>
          </cell>
        </row>
        <row r="28">
          <cell r="B28" t="str">
            <v>FixedRollDay</v>
          </cell>
          <cell r="C28" t="str">
            <v>NORMAL</v>
          </cell>
          <cell r="D28" t="str">
            <v>NORMAL</v>
          </cell>
          <cell r="E28" t="str">
            <v>NORMAL</v>
          </cell>
          <cell r="F28" t="str">
            <v>NORMAL</v>
          </cell>
          <cell r="G28" t="str">
            <v>NORMAL</v>
          </cell>
          <cell r="H28" t="str">
            <v>NORMAL</v>
          </cell>
          <cell r="I28" t="str">
            <v>NORMAL</v>
          </cell>
        </row>
        <row r="29">
          <cell r="B29" t="str">
            <v>FixedPaymentLag</v>
          </cell>
          <cell r="C29" t="str">
            <v>0D</v>
          </cell>
          <cell r="D29" t="str">
            <v>0D</v>
          </cell>
          <cell r="E29" t="str">
            <v>0D</v>
          </cell>
          <cell r="F29" t="str">
            <v>0D</v>
          </cell>
          <cell r="G29" t="str">
            <v>0D</v>
          </cell>
          <cell r="H29" t="str">
            <v>0D</v>
          </cell>
          <cell r="I29" t="str">
            <v>0D</v>
          </cell>
        </row>
        <row r="30">
          <cell r="B30" t="str">
            <v>FixedStubType</v>
          </cell>
          <cell r="C30" t="str">
            <v>ShortStart</v>
          </cell>
          <cell r="D30" t="str">
            <v>ShortStart</v>
          </cell>
          <cell r="E30" t="str">
            <v>ShortStart</v>
          </cell>
          <cell r="F30" t="str">
            <v>ShortStart</v>
          </cell>
          <cell r="G30" t="str">
            <v>ShortStart</v>
          </cell>
          <cell r="H30" t="str">
            <v>ShortStart</v>
          </cell>
          <cell r="I30" t="str">
            <v>ShortStart</v>
          </cell>
        </row>
        <row r="31">
          <cell r="B31" t="str">
            <v>FixedRate</v>
          </cell>
          <cell r="C31">
            <v>0.01</v>
          </cell>
          <cell r="D31">
            <v>0.01</v>
          </cell>
          <cell r="E31">
            <v>0.01</v>
          </cell>
          <cell r="F31">
            <v>0.01</v>
          </cell>
          <cell r="G31">
            <v>0.01</v>
          </cell>
          <cell r="H31">
            <v>0.01</v>
          </cell>
          <cell r="I31">
            <v>0.01</v>
          </cell>
        </row>
        <row r="32">
          <cell r="B32" t="str">
            <v>ForecastCurve</v>
          </cell>
          <cell r="C32" t="str">
            <v>EUR3ML</v>
          </cell>
          <cell r="D32" t="str">
            <v>EUR3ML</v>
          </cell>
          <cell r="E32" t="str">
            <v>EUR3ML</v>
          </cell>
          <cell r="F32" t="str">
            <v>EUR3ML</v>
          </cell>
          <cell r="G32" t="str">
            <v>EUR3ML</v>
          </cell>
          <cell r="H32" t="str">
            <v>EUR3ML</v>
          </cell>
          <cell r="I32" t="str">
            <v>EUR3ML</v>
          </cell>
        </row>
        <row r="33">
          <cell r="B33" t="str">
            <v>FloatSpread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</row>
        <row r="34">
          <cell r="B34" t="str">
            <v>FloatFrequency</v>
          </cell>
          <cell r="C34" t="str">
            <v>Quarterly</v>
          </cell>
          <cell r="D34" t="str">
            <v>Quarterly</v>
          </cell>
          <cell r="E34" t="str">
            <v>Quarterly</v>
          </cell>
          <cell r="F34" t="str">
            <v>Quarterly</v>
          </cell>
          <cell r="G34" t="str">
            <v>Quarterly</v>
          </cell>
          <cell r="H34" t="str">
            <v>Quarterly</v>
          </cell>
          <cell r="I34" t="str">
            <v>Quarterly</v>
          </cell>
        </row>
        <row r="35">
          <cell r="B35" t="str">
            <v>FloatDaycount</v>
          </cell>
          <cell r="C35" t="str">
            <v>ACT/360</v>
          </cell>
          <cell r="D35" t="str">
            <v>ACT/360</v>
          </cell>
          <cell r="E35" t="str">
            <v>ACT/360</v>
          </cell>
          <cell r="F35" t="str">
            <v>ACT/360</v>
          </cell>
          <cell r="G35" t="str">
            <v>ACT/360</v>
          </cell>
          <cell r="H35" t="str">
            <v>ACT/360</v>
          </cell>
          <cell r="I35" t="str">
            <v>ACT/360</v>
          </cell>
        </row>
        <row r="36">
          <cell r="B36" t="str">
            <v>FloatFixingBusinessDayAdjustment</v>
          </cell>
          <cell r="C36" t="str">
            <v>MOD_FOLLOWING</v>
          </cell>
          <cell r="D36" t="str">
            <v>MOD_FOLLOWING</v>
          </cell>
          <cell r="E36" t="str">
            <v>MOD_FOLLOWING</v>
          </cell>
          <cell r="F36" t="str">
            <v>MOD_FOLLOWING</v>
          </cell>
          <cell r="G36" t="str">
            <v>MOD_FOLLOWING</v>
          </cell>
          <cell r="H36" t="str">
            <v>MOD_FOLLOWING</v>
          </cell>
          <cell r="I36" t="str">
            <v>MOD_FOLLOWING</v>
          </cell>
        </row>
        <row r="37">
          <cell r="B37" t="str">
            <v>FloatFixingCalendar</v>
          </cell>
          <cell r="C37" t="str">
            <v>TGT</v>
          </cell>
          <cell r="D37" t="str">
            <v>TGT</v>
          </cell>
          <cell r="E37" t="str">
            <v>TGT</v>
          </cell>
          <cell r="F37" t="str">
            <v>TGT</v>
          </cell>
          <cell r="G37" t="str">
            <v>TGT</v>
          </cell>
          <cell r="H37" t="str">
            <v>TGT</v>
          </cell>
          <cell r="I37" t="str">
            <v>TGT</v>
          </cell>
        </row>
        <row r="38">
          <cell r="B38" t="str">
            <v>FloatAccrualBusinessDayAdjustment</v>
          </cell>
          <cell r="C38" t="str">
            <v>MOD_FOLLOWING</v>
          </cell>
          <cell r="D38" t="str">
            <v>MOD_FOLLOWING</v>
          </cell>
          <cell r="E38" t="str">
            <v>MOD_FOLLOWING</v>
          </cell>
          <cell r="F38" t="str">
            <v>MOD_FOLLOWING</v>
          </cell>
          <cell r="G38" t="str">
            <v>MOD_FOLLOWING</v>
          </cell>
          <cell r="H38" t="str">
            <v>MOD_FOLLOWING</v>
          </cell>
          <cell r="I38" t="str">
            <v>MOD_FOLLOWING</v>
          </cell>
        </row>
        <row r="39">
          <cell r="B39" t="str">
            <v>FloatAccrualCalendar</v>
          </cell>
          <cell r="C39" t="str">
            <v>TGT</v>
          </cell>
          <cell r="D39" t="str">
            <v>TGT</v>
          </cell>
          <cell r="E39" t="str">
            <v>TGT</v>
          </cell>
          <cell r="F39" t="str">
            <v>TGT</v>
          </cell>
          <cell r="G39" t="str">
            <v>TGT</v>
          </cell>
          <cell r="H39" t="str">
            <v>TGT</v>
          </cell>
          <cell r="I39" t="str">
            <v>TGT</v>
          </cell>
        </row>
        <row r="40">
          <cell r="B40" t="str">
            <v>FloatPaymentBusinessDayAdjustment</v>
          </cell>
          <cell r="C40" t="str">
            <v>MOD_FOLLOWING</v>
          </cell>
          <cell r="D40" t="str">
            <v>MOD_FOLLOWING</v>
          </cell>
          <cell r="E40" t="str">
            <v>MOD_FOLLOWING</v>
          </cell>
          <cell r="F40" t="str">
            <v>MOD_FOLLOWING</v>
          </cell>
          <cell r="G40" t="str">
            <v>MOD_FOLLOWING</v>
          </cell>
          <cell r="H40" t="str">
            <v>MOD_FOLLOWING</v>
          </cell>
          <cell r="I40" t="str">
            <v>MOD_FOLLOWING</v>
          </cell>
        </row>
        <row r="41">
          <cell r="B41" t="str">
            <v>FloatPaymentCalendar</v>
          </cell>
          <cell r="C41" t="str">
            <v>TGT</v>
          </cell>
          <cell r="D41" t="str">
            <v>TGT</v>
          </cell>
          <cell r="E41" t="str">
            <v>TGT</v>
          </cell>
          <cell r="F41" t="str">
            <v>TGT</v>
          </cell>
          <cell r="G41" t="str">
            <v>TGT</v>
          </cell>
          <cell r="H41" t="str">
            <v>TGT</v>
          </cell>
          <cell r="I41" t="str">
            <v>TGT</v>
          </cell>
        </row>
        <row r="42">
          <cell r="B42" t="str">
            <v>FloatFirstStubDate</v>
          </cell>
        </row>
        <row r="43">
          <cell r="B43" t="str">
            <v>FloatLastStubDate</v>
          </cell>
        </row>
        <row r="44">
          <cell r="B44" t="str">
            <v>FloatRollDay</v>
          </cell>
          <cell r="C44" t="str">
            <v>NORMAL</v>
          </cell>
          <cell r="D44" t="str">
            <v>NORMAL</v>
          </cell>
          <cell r="E44" t="str">
            <v>NORMAL</v>
          </cell>
          <cell r="F44" t="str">
            <v>NORMAL</v>
          </cell>
          <cell r="G44" t="str">
            <v>NORMAL</v>
          </cell>
          <cell r="H44" t="str">
            <v>NORMAL</v>
          </cell>
          <cell r="I44" t="str">
            <v>NORMAL</v>
          </cell>
        </row>
        <row r="45">
          <cell r="B45" t="str">
            <v>FloatFixingLag</v>
          </cell>
          <cell r="C45" t="str">
            <v>0D</v>
          </cell>
          <cell r="D45" t="str">
            <v>0D</v>
          </cell>
          <cell r="E45" t="str">
            <v>0D</v>
          </cell>
          <cell r="F45" t="str">
            <v>0D</v>
          </cell>
          <cell r="G45" t="str">
            <v>0D</v>
          </cell>
          <cell r="H45" t="str">
            <v>0D</v>
          </cell>
          <cell r="I45" t="str">
            <v>0D</v>
          </cell>
        </row>
        <row r="46">
          <cell r="B46" t="str">
            <v>FloatFirstFixing</v>
          </cell>
        </row>
        <row r="47">
          <cell r="B47" t="str">
            <v>FloatLastFixing</v>
          </cell>
        </row>
        <row r="48">
          <cell r="B48" t="str">
            <v>FloatPaymentLag</v>
          </cell>
          <cell r="C48" t="str">
            <v>0D</v>
          </cell>
          <cell r="D48" t="str">
            <v>0D</v>
          </cell>
          <cell r="E48" t="str">
            <v>0D</v>
          </cell>
          <cell r="F48" t="str">
            <v>0D</v>
          </cell>
          <cell r="G48" t="str">
            <v>0D</v>
          </cell>
          <cell r="H48" t="str">
            <v>0D</v>
          </cell>
          <cell r="I48" t="str">
            <v>0D</v>
          </cell>
        </row>
        <row r="49">
          <cell r="B49" t="str">
            <v>FloatStubType</v>
          </cell>
          <cell r="C49" t="str">
            <v>ShortStart</v>
          </cell>
          <cell r="D49" t="str">
            <v>ShortStart</v>
          </cell>
          <cell r="E49" t="str">
            <v>ShortStart</v>
          </cell>
          <cell r="F49" t="str">
            <v>ShortStart</v>
          </cell>
          <cell r="G49" t="str">
            <v>ShortStart</v>
          </cell>
          <cell r="H49" t="str">
            <v>ShortStart</v>
          </cell>
          <cell r="I49" t="str">
            <v>ShortStart</v>
          </cell>
        </row>
        <row r="50">
          <cell r="B50" t="str">
            <v>CurveCollection</v>
          </cell>
          <cell r="C50" t="str">
            <v>EURYC</v>
          </cell>
          <cell r="D50" t="str">
            <v>EURYC</v>
          </cell>
          <cell r="E50" t="str">
            <v>EURYC</v>
          </cell>
          <cell r="F50" t="str">
            <v>EURYC</v>
          </cell>
          <cell r="G50" t="str">
            <v>EURYC</v>
          </cell>
          <cell r="H50" t="str">
            <v>EURYC</v>
          </cell>
          <cell r="I50" t="str">
            <v>EURYC</v>
          </cell>
        </row>
        <row r="51">
          <cell r="B51" t="str">
            <v>DiscountCurve</v>
          </cell>
          <cell r="C51" t="str">
            <v>EUROIS</v>
          </cell>
          <cell r="D51" t="str">
            <v>EUROIS</v>
          </cell>
          <cell r="E51" t="str">
            <v>EUROIS</v>
          </cell>
          <cell r="F51" t="str">
            <v>EUROIS</v>
          </cell>
          <cell r="G51" t="str">
            <v>EUROIS</v>
          </cell>
          <cell r="H51" t="str">
            <v>EUROIS</v>
          </cell>
          <cell r="I51" t="str">
            <v>EUROIS</v>
          </cell>
        </row>
      </sheetData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0"/>
  <sheetViews>
    <sheetView showGridLines="0" topLeftCell="A19" workbookViewId="0"/>
  </sheetViews>
  <sheetFormatPr defaultRowHeight="15"/>
  <cols>
    <col min="1" max="1" width="10.7109375" customWidth="1"/>
    <col min="2" max="2" width="2.7109375" customWidth="1"/>
    <col min="3" max="3" width="110.7109375" hidden="1" customWidth="1"/>
    <col min="4" max="4" width="4.7109375" hidden="1" customWidth="1"/>
    <col min="5" max="5" width="25.140625" style="58" bestFit="1" customWidth="1"/>
    <col min="6" max="6" width="32.7109375" style="61" customWidth="1"/>
    <col min="7" max="7" width="4.7109375" customWidth="1"/>
    <col min="8" max="10" width="10.7109375" customWidth="1"/>
    <col min="11" max="11" width="13.7109375" customWidth="1"/>
    <col min="12" max="12" width="18.28515625" customWidth="1"/>
    <col min="13" max="13" width="4.7109375" customWidth="1"/>
    <col min="14" max="15" width="10.7109375" customWidth="1"/>
    <col min="16" max="16" width="2.7109375" customWidth="1"/>
  </cols>
  <sheetData>
    <row r="2" spans="2:16" ht="23.25">
      <c r="B2" s="59" t="s">
        <v>136</v>
      </c>
      <c r="C2" s="60"/>
      <c r="D2" s="60"/>
    </row>
    <row r="3" spans="2:16" ht="23.25">
      <c r="B3" s="62" t="s">
        <v>137</v>
      </c>
      <c r="C3" s="60"/>
      <c r="D3" s="60"/>
    </row>
    <row r="4" spans="2:16">
      <c r="B4" s="60"/>
      <c r="C4" s="60"/>
      <c r="D4" s="60"/>
    </row>
    <row r="5" spans="2:16">
      <c r="B5" s="60" t="s">
        <v>138</v>
      </c>
      <c r="C5" s="60"/>
      <c r="D5" s="60"/>
    </row>
    <row r="6" spans="2:16">
      <c r="B6" s="63"/>
      <c r="C6" s="64"/>
      <c r="D6" s="64"/>
      <c r="E6" s="65"/>
      <c r="F6" s="66"/>
      <c r="G6" s="66"/>
      <c r="H6" s="64"/>
      <c r="I6" s="64"/>
      <c r="J6" s="64"/>
      <c r="K6" s="64"/>
      <c r="L6" s="64"/>
      <c r="M6" s="64"/>
      <c r="N6" s="64"/>
      <c r="O6" s="64"/>
      <c r="P6" s="67"/>
    </row>
    <row r="7" spans="2:16">
      <c r="B7" s="68"/>
      <c r="C7" s="69"/>
      <c r="D7" s="70"/>
      <c r="E7" s="71" t="s">
        <v>138</v>
      </c>
      <c r="F7" s="72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(0.01600 sec)</v>
      </c>
      <c r="G7" s="73"/>
      <c r="H7" s="74"/>
      <c r="I7" s="70"/>
      <c r="J7" s="70"/>
      <c r="K7" s="70"/>
      <c r="L7" s="70"/>
      <c r="M7" s="70"/>
      <c r="N7" s="70"/>
      <c r="O7" s="70"/>
      <c r="P7" s="75"/>
    </row>
    <row r="8" spans="2:16">
      <c r="B8" s="68"/>
      <c r="C8" s="70"/>
      <c r="D8" s="70"/>
      <c r="E8" s="76" t="s">
        <v>139</v>
      </c>
      <c r="F8" s="77" t="b">
        <f ca="1">LEFT(F7,5)=Curve.CollectionName</f>
        <v>1</v>
      </c>
      <c r="G8" s="77"/>
      <c r="H8" s="70"/>
      <c r="I8" s="70"/>
      <c r="J8" s="70"/>
      <c r="K8" s="70"/>
      <c r="L8" s="70"/>
      <c r="M8" s="70"/>
      <c r="N8" s="70"/>
      <c r="O8" s="70"/>
      <c r="P8" s="75"/>
    </row>
    <row r="9" spans="2:16">
      <c r="B9" s="68"/>
      <c r="C9" s="70"/>
      <c r="D9" s="70"/>
      <c r="E9" s="78"/>
      <c r="F9" s="79"/>
      <c r="G9" s="79"/>
      <c r="H9" s="70"/>
      <c r="I9" s="70"/>
      <c r="J9" s="70"/>
      <c r="K9" s="70"/>
      <c r="L9" s="70"/>
      <c r="M9" s="70"/>
      <c r="N9" s="70"/>
      <c r="O9" s="70"/>
      <c r="P9" s="75"/>
    </row>
    <row r="10" spans="2:16">
      <c r="B10" s="68"/>
      <c r="C10" s="80"/>
      <c r="D10" s="70"/>
      <c r="E10" s="81" t="s">
        <v>5</v>
      </c>
      <c r="F10" s="82"/>
      <c r="G10" s="83"/>
      <c r="H10" s="70"/>
      <c r="I10" s="70"/>
      <c r="J10" s="70"/>
      <c r="K10" s="70"/>
      <c r="L10" s="70"/>
      <c r="M10" s="70"/>
      <c r="N10" s="70"/>
      <c r="O10" s="70"/>
      <c r="P10" s="75"/>
    </row>
    <row r="11" spans="2:16" ht="30">
      <c r="B11" s="68"/>
      <c r="C11" s="84" t="s">
        <v>140</v>
      </c>
      <c r="D11" s="70"/>
      <c r="E11" s="85" t="s">
        <v>120</v>
      </c>
      <c r="F11" s="86" t="s">
        <v>90</v>
      </c>
      <c r="G11" s="83"/>
      <c r="H11" s="70"/>
      <c r="I11" s="70"/>
      <c r="J11" s="70"/>
      <c r="K11" s="70"/>
      <c r="L11" s="70"/>
      <c r="M11" s="70"/>
      <c r="N11" s="70"/>
      <c r="O11" s="70"/>
      <c r="P11" s="75"/>
    </row>
    <row r="12" spans="2:16" ht="30">
      <c r="B12" s="68"/>
      <c r="C12" s="84" t="s">
        <v>141</v>
      </c>
      <c r="D12" s="70"/>
      <c r="E12" s="87" t="s">
        <v>142</v>
      </c>
      <c r="F12" s="88" t="s">
        <v>59</v>
      </c>
      <c r="G12" s="83"/>
      <c r="H12" s="70"/>
      <c r="I12" s="70"/>
      <c r="J12" s="70"/>
      <c r="K12" s="70"/>
      <c r="L12" s="70"/>
      <c r="M12" s="70"/>
      <c r="N12" s="70"/>
      <c r="O12" s="70"/>
      <c r="P12" s="75"/>
    </row>
    <row r="13" spans="2:16" ht="30">
      <c r="B13" s="68"/>
      <c r="C13" s="84" t="s">
        <v>143</v>
      </c>
      <c r="D13" s="70"/>
      <c r="E13" s="89" t="s">
        <v>144</v>
      </c>
      <c r="F13" s="90" t="s">
        <v>145</v>
      </c>
      <c r="G13" s="83"/>
      <c r="H13" s="70"/>
      <c r="I13" s="70"/>
      <c r="J13" s="70" t="s">
        <v>6</v>
      </c>
      <c r="K13" s="70" t="s">
        <v>6</v>
      </c>
      <c r="L13" s="70" t="s">
        <v>6</v>
      </c>
      <c r="M13" s="70"/>
      <c r="N13" s="70" t="s">
        <v>6</v>
      </c>
      <c r="O13" s="70" t="s">
        <v>6</v>
      </c>
      <c r="P13" s="75" t="s">
        <v>6</v>
      </c>
    </row>
    <row r="14" spans="2:16">
      <c r="B14" s="91"/>
      <c r="C14" s="80"/>
      <c r="D14" s="80"/>
      <c r="E14" s="92"/>
      <c r="F14" s="93"/>
      <c r="G14" s="80"/>
      <c r="H14" s="80"/>
      <c r="I14" s="80"/>
      <c r="J14" s="80"/>
      <c r="K14" s="80"/>
      <c r="L14" s="80"/>
      <c r="M14" s="80"/>
      <c r="N14" s="80"/>
      <c r="O14" s="80"/>
      <c r="P14" s="94"/>
    </row>
    <row r="17" spans="2:16">
      <c r="B17" s="44" t="s">
        <v>146</v>
      </c>
      <c r="C17" s="44"/>
      <c r="D17" s="44"/>
    </row>
    <row r="18" spans="2:16">
      <c r="B18" s="63"/>
      <c r="C18" s="64"/>
      <c r="D18" s="64"/>
      <c r="E18" s="65"/>
      <c r="F18" s="66"/>
      <c r="G18" s="66"/>
      <c r="H18" s="64"/>
      <c r="I18" s="64"/>
      <c r="J18" s="95"/>
      <c r="K18" s="64"/>
      <c r="L18" s="64"/>
      <c r="M18" s="64"/>
      <c r="N18" s="64"/>
      <c r="O18" s="64"/>
      <c r="P18" s="67"/>
    </row>
    <row r="19" spans="2:16">
      <c r="B19" s="68"/>
      <c r="C19" s="70"/>
      <c r="D19" s="70"/>
      <c r="E19" s="81" t="s">
        <v>146</v>
      </c>
      <c r="F19" s="96"/>
      <c r="G19" s="97"/>
      <c r="H19" s="70"/>
      <c r="I19" s="70"/>
      <c r="J19" s="70"/>
      <c r="K19" s="70"/>
      <c r="L19" s="70"/>
      <c r="M19" s="70"/>
      <c r="N19" s="70"/>
      <c r="O19" s="70"/>
      <c r="P19" s="75"/>
    </row>
    <row r="20" spans="2:16" ht="30">
      <c r="B20" s="68"/>
      <c r="C20" s="84" t="s">
        <v>147</v>
      </c>
      <c r="D20" s="68"/>
      <c r="E20" s="85" t="s">
        <v>53</v>
      </c>
      <c r="F20" s="86">
        <v>42521</v>
      </c>
      <c r="G20" s="97"/>
      <c r="H20" s="70"/>
      <c r="I20" s="70"/>
      <c r="J20" s="70"/>
      <c r="K20" s="70"/>
      <c r="L20" s="70"/>
      <c r="M20" s="70"/>
      <c r="N20" s="70"/>
      <c r="O20" s="70"/>
      <c r="P20" s="75"/>
    </row>
    <row r="21" spans="2:16" ht="30">
      <c r="B21" s="68"/>
      <c r="C21" s="84" t="s">
        <v>148</v>
      </c>
      <c r="D21" s="68"/>
      <c r="E21" s="87" t="s">
        <v>51</v>
      </c>
      <c r="F21" s="88" t="s">
        <v>2</v>
      </c>
      <c r="G21" s="97"/>
      <c r="H21" s="70"/>
      <c r="I21" s="70"/>
      <c r="J21" s="70"/>
      <c r="K21" s="70"/>
      <c r="L21" s="70"/>
      <c r="M21" s="70"/>
      <c r="N21" s="70"/>
      <c r="O21" s="70"/>
      <c r="P21" s="75"/>
    </row>
    <row r="22" spans="2:16" ht="30">
      <c r="B22" s="68"/>
      <c r="C22" s="84" t="s">
        <v>149</v>
      </c>
      <c r="D22" s="68"/>
      <c r="E22" s="87" t="s">
        <v>50</v>
      </c>
      <c r="F22" s="98" t="s">
        <v>184</v>
      </c>
      <c r="G22" s="97"/>
      <c r="H22" s="70"/>
      <c r="I22" s="70"/>
      <c r="J22" s="70"/>
      <c r="K22" s="70"/>
      <c r="L22" s="70"/>
      <c r="M22" s="70"/>
      <c r="N22" s="70"/>
      <c r="O22" s="70"/>
      <c r="P22" s="75"/>
    </row>
    <row r="23" spans="2:16" ht="30">
      <c r="B23" s="68"/>
      <c r="C23" s="99" t="s">
        <v>150</v>
      </c>
      <c r="D23" s="68"/>
      <c r="E23" s="87" t="s">
        <v>30</v>
      </c>
      <c r="F23" s="98" t="s">
        <v>184</v>
      </c>
      <c r="G23" s="97"/>
      <c r="H23" s="70"/>
      <c r="I23" s="70"/>
      <c r="J23" s="70"/>
      <c r="K23" s="70"/>
      <c r="L23" s="70"/>
      <c r="M23" s="70"/>
      <c r="N23" s="70"/>
      <c r="O23" s="70"/>
      <c r="P23" s="75"/>
    </row>
    <row r="24" spans="2:16">
      <c r="B24" s="68"/>
      <c r="C24" s="100"/>
      <c r="D24" s="70"/>
      <c r="E24" s="89"/>
      <c r="F24" s="90"/>
      <c r="G24" s="97"/>
      <c r="H24" s="70"/>
      <c r="I24" s="70"/>
      <c r="J24" s="70"/>
      <c r="K24" s="70"/>
      <c r="L24" s="70"/>
      <c r="M24" s="70"/>
      <c r="N24" s="70"/>
      <c r="O24" s="70"/>
      <c r="P24" s="75"/>
    </row>
    <row r="25" spans="2:16">
      <c r="B25" s="91"/>
      <c r="C25" s="80"/>
      <c r="D25" s="80"/>
      <c r="E25" s="92"/>
      <c r="F25" s="93"/>
      <c r="G25" s="80"/>
      <c r="H25" s="80"/>
      <c r="I25" s="80"/>
      <c r="J25" s="80"/>
      <c r="K25" s="80"/>
      <c r="L25" s="80"/>
      <c r="M25" s="80"/>
      <c r="N25" s="80"/>
      <c r="O25" s="80"/>
      <c r="P25" s="94"/>
    </row>
    <row r="27" spans="2:16">
      <c r="H27" s="101"/>
    </row>
    <row r="28" spans="2:16">
      <c r="B28" s="44" t="s">
        <v>151</v>
      </c>
      <c r="C28" s="44"/>
      <c r="D28" s="44"/>
    </row>
    <row r="29" spans="2:16">
      <c r="B29" s="63"/>
      <c r="C29" s="64"/>
      <c r="D29" s="64"/>
      <c r="E29" s="102"/>
      <c r="F29" s="103"/>
      <c r="G29" s="64"/>
      <c r="H29" s="64"/>
      <c r="I29" s="64"/>
      <c r="J29" s="64"/>
      <c r="K29" s="64"/>
      <c r="L29" s="64"/>
      <c r="M29" s="64"/>
      <c r="N29" s="64"/>
      <c r="O29" s="64"/>
      <c r="P29" s="67"/>
    </row>
    <row r="30" spans="2:16">
      <c r="B30" s="68"/>
      <c r="C30" s="70"/>
      <c r="D30" s="70"/>
      <c r="E30" s="104" t="s">
        <v>55</v>
      </c>
      <c r="F30" s="105"/>
      <c r="G30" s="106"/>
      <c r="H30" s="107" t="s">
        <v>152</v>
      </c>
      <c r="I30" s="106"/>
      <c r="J30" s="106"/>
      <c r="K30" s="106"/>
      <c r="L30" s="106"/>
      <c r="M30" s="106"/>
      <c r="N30" s="107" t="s">
        <v>153</v>
      </c>
      <c r="O30" s="106"/>
      <c r="P30" s="108"/>
    </row>
    <row r="31" spans="2:16" ht="30">
      <c r="B31" s="68"/>
      <c r="C31" s="109" t="s">
        <v>154</v>
      </c>
      <c r="D31" s="68"/>
      <c r="E31" s="85" t="s">
        <v>54</v>
      </c>
      <c r="F31" s="110" t="s">
        <v>0</v>
      </c>
      <c r="G31" s="106"/>
      <c r="H31" s="111" t="s">
        <v>26</v>
      </c>
      <c r="I31" s="111" t="s">
        <v>25</v>
      </c>
      <c r="J31" s="111" t="s">
        <v>44</v>
      </c>
      <c r="K31" s="111" t="s">
        <v>43</v>
      </c>
      <c r="L31" s="111" t="s">
        <v>79</v>
      </c>
      <c r="M31" s="106"/>
      <c r="N31" s="111" t="s">
        <v>155</v>
      </c>
      <c r="O31" s="111" t="s">
        <v>25</v>
      </c>
      <c r="P31" s="108"/>
    </row>
    <row r="32" spans="2:16" ht="30">
      <c r="B32" s="68"/>
      <c r="C32" s="109" t="s">
        <v>156</v>
      </c>
      <c r="D32" s="68"/>
      <c r="E32" s="87" t="s">
        <v>39</v>
      </c>
      <c r="F32" s="112" t="s">
        <v>3</v>
      </c>
      <c r="G32" s="106"/>
      <c r="H32" s="113" t="s">
        <v>24</v>
      </c>
      <c r="I32" s="114">
        <v>-3.4499999999999999E-3</v>
      </c>
      <c r="J32" s="115" t="s">
        <v>28</v>
      </c>
      <c r="K32" s="115" t="s">
        <v>28</v>
      </c>
      <c r="L32" s="116" t="b">
        <v>1</v>
      </c>
      <c r="M32" s="106"/>
      <c r="N32" s="117"/>
      <c r="O32" s="118"/>
      <c r="P32" s="108"/>
    </row>
    <row r="33" spans="2:16" ht="30">
      <c r="B33" s="68"/>
      <c r="C33" s="109" t="s">
        <v>157</v>
      </c>
      <c r="D33" s="68"/>
      <c r="E33" s="87" t="s">
        <v>35</v>
      </c>
      <c r="F33" s="112" t="s">
        <v>47</v>
      </c>
      <c r="G33" s="106"/>
      <c r="H33" s="119" t="s">
        <v>80</v>
      </c>
      <c r="I33" s="120">
        <v>-3.4000000000000002E-3</v>
      </c>
      <c r="J33" s="121">
        <v>42523</v>
      </c>
      <c r="K33" s="121">
        <v>42572</v>
      </c>
      <c r="L33" s="122" t="b">
        <v>1</v>
      </c>
      <c r="M33" s="106"/>
      <c r="N33" s="117"/>
      <c r="O33" s="118"/>
      <c r="P33" s="108"/>
    </row>
    <row r="34" spans="2:16" ht="30">
      <c r="B34" s="68"/>
      <c r="C34" s="109" t="s">
        <v>158</v>
      </c>
      <c r="D34" s="68"/>
      <c r="E34" s="87" t="s">
        <v>42</v>
      </c>
      <c r="F34" s="112" t="s">
        <v>41</v>
      </c>
      <c r="G34" s="106"/>
      <c r="H34" s="119" t="s">
        <v>81</v>
      </c>
      <c r="I34" s="120">
        <v>-3.4999999999999996E-3</v>
      </c>
      <c r="J34" s="121">
        <v>42572</v>
      </c>
      <c r="K34" s="121">
        <v>42621</v>
      </c>
      <c r="L34" s="122" t="b">
        <v>1</v>
      </c>
      <c r="M34" s="106"/>
      <c r="N34" s="117"/>
      <c r="O34" s="118"/>
      <c r="P34" s="108"/>
    </row>
    <row r="35" spans="2:16" ht="30">
      <c r="B35" s="68"/>
      <c r="C35" s="109" t="s">
        <v>159</v>
      </c>
      <c r="D35" s="68"/>
      <c r="E35" s="87" t="s">
        <v>32</v>
      </c>
      <c r="F35" s="112" t="s">
        <v>19</v>
      </c>
      <c r="G35" s="106"/>
      <c r="H35" s="119" t="s">
        <v>82</v>
      </c>
      <c r="I35" s="120">
        <v>-3.7099999999999998E-3</v>
      </c>
      <c r="J35" s="121">
        <v>42621</v>
      </c>
      <c r="K35" s="121">
        <v>42663</v>
      </c>
      <c r="L35" s="122" t="b">
        <v>1</v>
      </c>
      <c r="M35" s="106"/>
      <c r="N35" s="117"/>
      <c r="O35" s="118"/>
      <c r="P35" s="108"/>
    </row>
    <row r="36" spans="2:16" ht="30">
      <c r="B36" s="68"/>
      <c r="C36" s="109" t="s">
        <v>160</v>
      </c>
      <c r="D36" s="68"/>
      <c r="E36" s="87" t="s">
        <v>161</v>
      </c>
      <c r="F36" s="112" t="b">
        <v>1</v>
      </c>
      <c r="G36" s="106"/>
      <c r="H36" s="119" t="s">
        <v>83</v>
      </c>
      <c r="I36" s="120">
        <v>-3.82E-3</v>
      </c>
      <c r="J36" s="121">
        <v>42663</v>
      </c>
      <c r="K36" s="121">
        <v>42712</v>
      </c>
      <c r="L36" s="122" t="b">
        <v>1</v>
      </c>
      <c r="M36" s="106"/>
      <c r="N36" s="117"/>
      <c r="O36" s="118"/>
      <c r="P36" s="108"/>
    </row>
    <row r="37" spans="2:16" ht="30">
      <c r="B37" s="68"/>
      <c r="C37" s="109" t="s">
        <v>162</v>
      </c>
      <c r="D37" s="68"/>
      <c r="E37" s="87" t="s">
        <v>163</v>
      </c>
      <c r="F37" s="123">
        <v>31</v>
      </c>
      <c r="G37" s="106"/>
      <c r="H37" s="113" t="s">
        <v>63</v>
      </c>
      <c r="I37" s="114">
        <v>-3.82E-3</v>
      </c>
      <c r="J37" s="115" t="s">
        <v>28</v>
      </c>
      <c r="K37" s="115" t="s">
        <v>28</v>
      </c>
      <c r="L37" s="116" t="b">
        <v>1</v>
      </c>
      <c r="M37" s="106"/>
      <c r="N37" s="117"/>
      <c r="O37" s="118"/>
      <c r="P37" s="108"/>
    </row>
    <row r="38" spans="2:16" ht="30">
      <c r="B38" s="68"/>
      <c r="C38" s="109" t="s">
        <v>164</v>
      </c>
      <c r="D38" s="68"/>
      <c r="E38" s="87" t="s">
        <v>46</v>
      </c>
      <c r="F38" s="112" t="s">
        <v>45</v>
      </c>
      <c r="G38" s="106"/>
      <c r="H38" s="113" t="s">
        <v>21</v>
      </c>
      <c r="I38" s="114">
        <v>-3.9500000000000004E-3</v>
      </c>
      <c r="J38" s="115" t="s">
        <v>28</v>
      </c>
      <c r="K38" s="115" t="s">
        <v>28</v>
      </c>
      <c r="L38" s="116" t="b">
        <v>1</v>
      </c>
      <c r="M38" s="106"/>
      <c r="N38" s="117"/>
      <c r="O38" s="118"/>
      <c r="P38" s="108"/>
    </row>
    <row r="39" spans="2:16" ht="45">
      <c r="B39" s="68"/>
      <c r="C39" s="109" t="s">
        <v>165</v>
      </c>
      <c r="D39" s="68"/>
      <c r="E39" s="87" t="s">
        <v>49</v>
      </c>
      <c r="F39" s="112" t="s">
        <v>48</v>
      </c>
      <c r="G39" s="106"/>
      <c r="H39" s="113" t="s">
        <v>20</v>
      </c>
      <c r="I39" s="114">
        <v>-4.0100000000000005E-3</v>
      </c>
      <c r="J39" s="115" t="s">
        <v>28</v>
      </c>
      <c r="K39" s="115" t="s">
        <v>28</v>
      </c>
      <c r="L39" s="116" t="b">
        <v>1</v>
      </c>
      <c r="M39" s="106"/>
      <c r="N39" s="117"/>
      <c r="O39" s="118"/>
      <c r="P39" s="108"/>
    </row>
    <row r="40" spans="2:16" ht="45">
      <c r="B40" s="68"/>
      <c r="C40" s="109" t="s">
        <v>166</v>
      </c>
      <c r="D40" s="68"/>
      <c r="E40" s="87" t="s">
        <v>38</v>
      </c>
      <c r="F40" s="112" t="s">
        <v>37</v>
      </c>
      <c r="G40" s="106"/>
      <c r="H40" s="113" t="s">
        <v>18</v>
      </c>
      <c r="I40" s="114">
        <v>-3.8500000000000001E-3</v>
      </c>
      <c r="J40" s="115" t="s">
        <v>28</v>
      </c>
      <c r="K40" s="115" t="s">
        <v>28</v>
      </c>
      <c r="L40" s="116" t="b">
        <v>1</v>
      </c>
      <c r="M40" s="106"/>
      <c r="N40" s="117"/>
      <c r="O40" s="118"/>
      <c r="P40" s="108"/>
    </row>
    <row r="41" spans="2:16" ht="45">
      <c r="B41" s="68"/>
      <c r="C41" s="109" t="s">
        <v>167</v>
      </c>
      <c r="D41" s="68"/>
      <c r="E41" s="87" t="s">
        <v>84</v>
      </c>
      <c r="F41" s="112" t="s">
        <v>86</v>
      </c>
      <c r="G41" s="106"/>
      <c r="H41" s="113" t="s">
        <v>17</v>
      </c>
      <c r="I41" s="114">
        <v>-3.4200000000000003E-3</v>
      </c>
      <c r="J41" s="115" t="s">
        <v>28</v>
      </c>
      <c r="K41" s="115" t="s">
        <v>28</v>
      </c>
      <c r="L41" s="116" t="b">
        <v>1</v>
      </c>
      <c r="M41" s="106"/>
      <c r="N41" s="117"/>
      <c r="O41" s="118"/>
      <c r="P41" s="108"/>
    </row>
    <row r="42" spans="2:16" ht="30">
      <c r="B42" s="68"/>
      <c r="C42" s="109" t="s">
        <v>168</v>
      </c>
      <c r="D42" s="68"/>
      <c r="E42" s="87" t="s">
        <v>85</v>
      </c>
      <c r="F42" s="112" t="s">
        <v>110</v>
      </c>
      <c r="G42" s="106"/>
      <c r="H42" s="113" t="s">
        <v>16</v>
      </c>
      <c r="I42" s="114">
        <v>-2.7100000000000002E-3</v>
      </c>
      <c r="J42" s="115" t="s">
        <v>28</v>
      </c>
      <c r="K42" s="115" t="s">
        <v>28</v>
      </c>
      <c r="L42" s="116" t="b">
        <v>1</v>
      </c>
      <c r="M42" s="106"/>
      <c r="N42" s="117"/>
      <c r="O42" s="118"/>
      <c r="P42" s="108"/>
    </row>
    <row r="43" spans="2:16" ht="45">
      <c r="B43" s="68"/>
      <c r="C43" s="109" t="s">
        <v>169</v>
      </c>
      <c r="D43" s="68"/>
      <c r="E43" s="87" t="s">
        <v>97</v>
      </c>
      <c r="F43" s="112" t="s">
        <v>98</v>
      </c>
      <c r="G43" s="106"/>
      <c r="H43" s="113" t="s">
        <v>40</v>
      </c>
      <c r="I43" s="114">
        <v>-1.7599999999999998E-3</v>
      </c>
      <c r="J43" s="115" t="s">
        <v>28</v>
      </c>
      <c r="K43" s="115" t="s">
        <v>28</v>
      </c>
      <c r="L43" s="116" t="b">
        <v>1</v>
      </c>
      <c r="M43" s="106"/>
      <c r="N43" s="117"/>
      <c r="O43" s="118"/>
      <c r="P43" s="108"/>
    </row>
    <row r="44" spans="2:16" ht="30">
      <c r="B44" s="68"/>
      <c r="C44" s="109" t="s">
        <v>170</v>
      </c>
      <c r="D44" s="68"/>
      <c r="E44" s="87" t="s">
        <v>133</v>
      </c>
      <c r="F44" s="124">
        <v>1E-10</v>
      </c>
      <c r="G44" s="106"/>
      <c r="H44" s="113" t="s">
        <v>15</v>
      </c>
      <c r="I44" s="114">
        <v>-6.6E-4</v>
      </c>
      <c r="J44" s="115" t="s">
        <v>28</v>
      </c>
      <c r="K44" s="115" t="s">
        <v>28</v>
      </c>
      <c r="L44" s="116" t="b">
        <v>1</v>
      </c>
      <c r="M44" s="106"/>
      <c r="N44" s="117"/>
      <c r="O44" s="118"/>
      <c r="P44" s="108"/>
    </row>
    <row r="45" spans="2:16" ht="30">
      <c r="B45" s="68"/>
      <c r="C45" s="109" t="s">
        <v>171</v>
      </c>
      <c r="D45" s="68"/>
      <c r="E45" s="87" t="s">
        <v>134</v>
      </c>
      <c r="F45" s="125">
        <v>1000</v>
      </c>
      <c r="G45" s="106"/>
      <c r="H45" s="113" t="s">
        <v>34</v>
      </c>
      <c r="I45" s="114">
        <v>5.5000000000000003E-4</v>
      </c>
      <c r="J45" s="115" t="s">
        <v>28</v>
      </c>
      <c r="K45" s="115" t="s">
        <v>28</v>
      </c>
      <c r="L45" s="116" t="b">
        <v>1</v>
      </c>
      <c r="M45" s="106"/>
      <c r="N45" s="117"/>
      <c r="O45" s="118"/>
      <c r="P45" s="108"/>
    </row>
    <row r="46" spans="2:16" ht="60">
      <c r="B46" s="68"/>
      <c r="C46" s="126" t="s">
        <v>172</v>
      </c>
      <c r="D46" s="68"/>
      <c r="E46" s="87" t="s">
        <v>135</v>
      </c>
      <c r="F46" s="112" t="b">
        <v>1</v>
      </c>
      <c r="G46" s="106"/>
      <c r="H46" s="113" t="s">
        <v>31</v>
      </c>
      <c r="I46" s="114">
        <v>1.7499999999999998E-3</v>
      </c>
      <c r="J46" s="115" t="s">
        <v>28</v>
      </c>
      <c r="K46" s="115" t="s">
        <v>28</v>
      </c>
      <c r="L46" s="116" t="b">
        <v>1</v>
      </c>
      <c r="M46" s="106"/>
      <c r="N46" s="117"/>
      <c r="O46" s="118"/>
      <c r="P46" s="108"/>
    </row>
    <row r="47" spans="2:16">
      <c r="B47" s="68"/>
      <c r="C47" s="127"/>
      <c r="D47" s="68"/>
      <c r="E47" s="128"/>
      <c r="F47" s="112"/>
      <c r="G47" s="106"/>
      <c r="H47" s="113" t="s">
        <v>14</v>
      </c>
      <c r="I47" s="114">
        <v>2.8399999999999996E-3</v>
      </c>
      <c r="J47" s="115" t="s">
        <v>28</v>
      </c>
      <c r="K47" s="115" t="s">
        <v>28</v>
      </c>
      <c r="L47" s="116" t="b">
        <v>1</v>
      </c>
      <c r="M47" s="106"/>
      <c r="N47" s="117"/>
      <c r="O47" s="118"/>
      <c r="P47" s="108"/>
    </row>
    <row r="48" spans="2:16">
      <c r="B48" s="68"/>
      <c r="C48" s="127"/>
      <c r="D48" s="68"/>
      <c r="E48" s="128"/>
      <c r="F48" s="129"/>
      <c r="G48" s="106"/>
      <c r="H48" s="113" t="s">
        <v>66</v>
      </c>
      <c r="I48" s="114">
        <v>3.8600000000000001E-3</v>
      </c>
      <c r="J48" s="115" t="s">
        <v>28</v>
      </c>
      <c r="K48" s="115" t="s">
        <v>28</v>
      </c>
      <c r="L48" s="116" t="b">
        <v>1</v>
      </c>
      <c r="M48" s="106"/>
      <c r="N48" s="117"/>
      <c r="O48" s="118"/>
      <c r="P48" s="108"/>
    </row>
    <row r="49" spans="2:16">
      <c r="B49" s="68"/>
      <c r="C49" s="127" t="s">
        <v>173</v>
      </c>
      <c r="D49" s="68"/>
      <c r="E49" s="128"/>
      <c r="F49" s="129"/>
      <c r="G49" s="106"/>
      <c r="H49" s="113" t="s">
        <v>13</v>
      </c>
      <c r="I49" s="114">
        <v>4.7699999999999999E-3</v>
      </c>
      <c r="J49" s="115" t="s">
        <v>28</v>
      </c>
      <c r="K49" s="115" t="s">
        <v>28</v>
      </c>
      <c r="L49" s="116" t="b">
        <v>1</v>
      </c>
      <c r="M49" s="106"/>
      <c r="N49" s="117"/>
      <c r="O49" s="118"/>
      <c r="P49" s="108"/>
    </row>
    <row r="50" spans="2:16">
      <c r="B50" s="68"/>
      <c r="C50" s="130" t="s">
        <v>174</v>
      </c>
      <c r="D50" s="68"/>
      <c r="E50" s="128"/>
      <c r="F50" s="129"/>
      <c r="G50" s="106"/>
      <c r="H50" s="113" t="s">
        <v>12</v>
      </c>
      <c r="I50" s="114">
        <v>6.8799999999999998E-3</v>
      </c>
      <c r="J50" s="115" t="s">
        <v>28</v>
      </c>
      <c r="K50" s="115" t="s">
        <v>28</v>
      </c>
      <c r="L50" s="116" t="b">
        <v>1</v>
      </c>
      <c r="M50" s="106"/>
      <c r="N50" s="117"/>
      <c r="O50" s="118"/>
      <c r="P50" s="108"/>
    </row>
    <row r="51" spans="2:16">
      <c r="B51" s="68"/>
      <c r="C51" s="130" t="s">
        <v>175</v>
      </c>
      <c r="D51" s="68"/>
      <c r="E51" s="128"/>
      <c r="F51" s="129"/>
      <c r="G51" s="106"/>
      <c r="H51" s="113" t="s">
        <v>11</v>
      </c>
      <c r="I51" s="114">
        <v>8.7100000000000007E-3</v>
      </c>
      <c r="J51" s="115" t="s">
        <v>28</v>
      </c>
      <c r="K51" s="115" t="s">
        <v>28</v>
      </c>
      <c r="L51" s="116" t="b">
        <v>1</v>
      </c>
      <c r="M51" s="106"/>
      <c r="N51" s="117"/>
      <c r="O51" s="118"/>
      <c r="P51" s="108"/>
    </row>
    <row r="52" spans="2:16">
      <c r="B52" s="68"/>
      <c r="C52" s="130" t="s">
        <v>176</v>
      </c>
      <c r="D52" s="68"/>
      <c r="E52" s="128"/>
      <c r="F52" s="129"/>
      <c r="G52" s="106"/>
      <c r="H52" s="113" t="s">
        <v>10</v>
      </c>
      <c r="I52" s="114">
        <v>9.3600000000000003E-3</v>
      </c>
      <c r="J52" s="115" t="s">
        <v>28</v>
      </c>
      <c r="K52" s="115" t="s">
        <v>28</v>
      </c>
      <c r="L52" s="116" t="b">
        <v>1</v>
      </c>
      <c r="M52" s="106"/>
      <c r="N52" s="117"/>
      <c r="O52" s="118"/>
      <c r="P52" s="108"/>
    </row>
    <row r="53" spans="2:16">
      <c r="B53" s="68"/>
      <c r="C53" s="127"/>
      <c r="D53" s="68"/>
      <c r="E53" s="128"/>
      <c r="F53" s="129"/>
      <c r="G53" s="106"/>
      <c r="H53" s="113" t="s">
        <v>9</v>
      </c>
      <c r="I53" s="114">
        <v>9.6100000000000005E-3</v>
      </c>
      <c r="J53" s="115" t="s">
        <v>28</v>
      </c>
      <c r="K53" s="115" t="s">
        <v>28</v>
      </c>
      <c r="L53" s="116" t="b">
        <v>1</v>
      </c>
      <c r="M53" s="106"/>
      <c r="N53" s="117"/>
      <c r="O53" s="118"/>
      <c r="P53" s="108"/>
    </row>
    <row r="54" spans="2:16">
      <c r="B54" s="68"/>
      <c r="C54" s="127"/>
      <c r="D54" s="68"/>
      <c r="E54" s="128"/>
      <c r="F54" s="129"/>
      <c r="G54" s="106"/>
      <c r="H54" s="113" t="s">
        <v>8</v>
      </c>
      <c r="I54" s="114">
        <v>9.7299999999999991E-3</v>
      </c>
      <c r="J54" s="115" t="s">
        <v>28</v>
      </c>
      <c r="K54" s="115" t="s">
        <v>28</v>
      </c>
      <c r="L54" s="116" t="b">
        <v>1</v>
      </c>
      <c r="M54" s="106"/>
      <c r="N54" s="117"/>
      <c r="O54" s="118"/>
      <c r="P54" s="108"/>
    </row>
    <row r="55" spans="2:16">
      <c r="B55" s="68"/>
      <c r="C55" s="127"/>
      <c r="D55" s="68"/>
      <c r="E55" s="128"/>
      <c r="F55" s="129"/>
      <c r="G55" s="106"/>
      <c r="H55" s="113" t="s">
        <v>7</v>
      </c>
      <c r="I55" s="114">
        <v>9.3200000000000002E-3</v>
      </c>
      <c r="J55" s="115" t="s">
        <v>28</v>
      </c>
      <c r="K55" s="115" t="s">
        <v>28</v>
      </c>
      <c r="L55" s="116" t="b">
        <v>1</v>
      </c>
      <c r="M55" s="106"/>
      <c r="N55" s="117"/>
      <c r="O55" s="118"/>
      <c r="P55" s="108"/>
    </row>
    <row r="56" spans="2:16">
      <c r="B56" s="68"/>
      <c r="C56" s="127"/>
      <c r="D56" s="68"/>
      <c r="E56" s="128"/>
      <c r="F56" s="129"/>
      <c r="G56" s="106"/>
      <c r="H56" s="113"/>
      <c r="I56" s="114"/>
      <c r="J56" s="115"/>
      <c r="K56" s="115"/>
      <c r="L56" s="116"/>
      <c r="M56" s="106"/>
      <c r="N56" s="117"/>
      <c r="O56" s="118"/>
      <c r="P56" s="108"/>
    </row>
    <row r="57" spans="2:16">
      <c r="B57" s="68"/>
      <c r="C57" s="131"/>
      <c r="D57" s="68"/>
      <c r="E57" s="132"/>
      <c r="F57" s="133"/>
      <c r="G57" s="106"/>
      <c r="H57" s="134"/>
      <c r="I57" s="135"/>
      <c r="J57" s="136"/>
      <c r="K57" s="136"/>
      <c r="L57" s="137"/>
      <c r="M57" s="106"/>
      <c r="N57" s="138"/>
      <c r="O57" s="139"/>
      <c r="P57" s="108"/>
    </row>
    <row r="58" spans="2:16">
      <c r="B58" s="91"/>
      <c r="C58" s="80"/>
      <c r="D58" s="80"/>
      <c r="E58" s="92"/>
      <c r="F58" s="93"/>
      <c r="G58" s="80"/>
      <c r="H58" s="80"/>
      <c r="I58" s="80"/>
      <c r="J58" s="80"/>
      <c r="K58" s="80"/>
      <c r="L58" s="80"/>
      <c r="M58" s="80"/>
      <c r="N58" s="80"/>
      <c r="O58" s="80"/>
      <c r="P58" s="94"/>
    </row>
    <row r="61" spans="2:16">
      <c r="B61" s="44" t="s">
        <v>177</v>
      </c>
      <c r="C61" s="44"/>
      <c r="D61" s="44"/>
    </row>
    <row r="62" spans="2:16">
      <c r="B62" s="63"/>
      <c r="C62" s="64"/>
      <c r="D62" s="64"/>
      <c r="E62" s="102"/>
      <c r="F62" s="103"/>
      <c r="G62" s="64"/>
      <c r="H62" s="64"/>
      <c r="I62" s="64"/>
      <c r="J62" s="64"/>
      <c r="K62" s="64"/>
      <c r="L62" s="64"/>
      <c r="M62" s="64"/>
      <c r="N62" s="64"/>
      <c r="O62" s="64"/>
      <c r="P62" s="67"/>
    </row>
    <row r="63" spans="2:16">
      <c r="B63" s="68"/>
      <c r="C63" s="70"/>
      <c r="D63" s="70"/>
      <c r="E63" s="104" t="s">
        <v>178</v>
      </c>
      <c r="F63" s="105"/>
      <c r="G63" s="106"/>
      <c r="H63" s="107" t="s">
        <v>179</v>
      </c>
      <c r="I63" s="106"/>
      <c r="J63" s="106"/>
      <c r="K63" s="107" t="s">
        <v>180</v>
      </c>
      <c r="L63" s="106"/>
      <c r="M63" s="106"/>
      <c r="N63" s="107" t="s">
        <v>181</v>
      </c>
      <c r="O63" s="106"/>
      <c r="P63" s="108"/>
    </row>
    <row r="64" spans="2:16" ht="30">
      <c r="B64" s="68"/>
      <c r="C64" s="109" t="s">
        <v>154</v>
      </c>
      <c r="D64" s="68"/>
      <c r="E64" s="85" t="s">
        <v>33</v>
      </c>
      <c r="F64" s="110" t="s">
        <v>0</v>
      </c>
      <c r="G64" s="106"/>
      <c r="H64" s="111" t="s">
        <v>26</v>
      </c>
      <c r="I64" s="111" t="s">
        <v>25</v>
      </c>
      <c r="J64" s="106"/>
      <c r="K64" s="140" t="s">
        <v>54</v>
      </c>
      <c r="L64" s="110" t="s">
        <v>0</v>
      </c>
      <c r="M64" s="106"/>
      <c r="N64" s="111" t="s">
        <v>26</v>
      </c>
      <c r="O64" s="111" t="s">
        <v>25</v>
      </c>
      <c r="P64" s="108"/>
    </row>
    <row r="65" spans="2:16" ht="30">
      <c r="B65" s="68"/>
      <c r="C65" s="109" t="s">
        <v>156</v>
      </c>
      <c r="D65" s="68"/>
      <c r="E65" s="87" t="s">
        <v>36</v>
      </c>
      <c r="F65" s="112" t="s">
        <v>3</v>
      </c>
      <c r="G65" s="106"/>
      <c r="H65" s="113" t="s">
        <v>20</v>
      </c>
      <c r="I65" s="118">
        <v>1.1099999999999999E-3</v>
      </c>
      <c r="J65" s="106"/>
      <c r="K65" s="141" t="s">
        <v>64</v>
      </c>
      <c r="L65" s="112" t="s">
        <v>52</v>
      </c>
      <c r="M65" s="106"/>
      <c r="N65" s="113" t="s">
        <v>20</v>
      </c>
      <c r="O65" s="118">
        <v>-2.9299999999999999E-3</v>
      </c>
      <c r="P65" s="108"/>
    </row>
    <row r="66" spans="2:16" ht="30">
      <c r="B66" s="68"/>
      <c r="C66" s="109" t="s">
        <v>157</v>
      </c>
      <c r="D66" s="68"/>
      <c r="E66" s="87" t="s">
        <v>1</v>
      </c>
      <c r="F66" s="112" t="s">
        <v>27</v>
      </c>
      <c r="G66" s="106"/>
      <c r="H66" s="113" t="s">
        <v>18</v>
      </c>
      <c r="I66" s="118">
        <v>1.1800000000000001E-3</v>
      </c>
      <c r="J66" s="106"/>
      <c r="K66" s="141" t="s">
        <v>87</v>
      </c>
      <c r="L66" s="112" t="s">
        <v>47</v>
      </c>
      <c r="M66" s="106"/>
      <c r="N66" s="113" t="s">
        <v>18</v>
      </c>
      <c r="O66" s="118">
        <v>-2.7100000000000002E-3</v>
      </c>
      <c r="P66" s="108"/>
    </row>
    <row r="67" spans="2:16" ht="30">
      <c r="B67" s="68"/>
      <c r="C67" s="109" t="s">
        <v>159</v>
      </c>
      <c r="D67" s="68"/>
      <c r="E67" s="87" t="s">
        <v>29</v>
      </c>
      <c r="F67" s="112" t="s">
        <v>19</v>
      </c>
      <c r="G67" s="106"/>
      <c r="H67" s="113" t="s">
        <v>17</v>
      </c>
      <c r="I67" s="118">
        <v>1.24E-3</v>
      </c>
      <c r="J67" s="106"/>
      <c r="K67" s="141" t="s">
        <v>32</v>
      </c>
      <c r="L67" s="112" t="s">
        <v>19</v>
      </c>
      <c r="M67" s="106"/>
      <c r="N67" s="113" t="s">
        <v>17</v>
      </c>
      <c r="O67" s="118">
        <v>-2.2200000000000002E-3</v>
      </c>
      <c r="P67" s="108"/>
    </row>
    <row r="68" spans="2:16">
      <c r="B68" s="68"/>
      <c r="C68" s="127"/>
      <c r="D68" s="68"/>
      <c r="E68" s="87"/>
      <c r="F68" s="112"/>
      <c r="G68" s="106"/>
      <c r="H68" s="113" t="s">
        <v>16</v>
      </c>
      <c r="I68" s="118">
        <v>1.2600000000000001E-3</v>
      </c>
      <c r="J68" s="106"/>
      <c r="K68" s="141"/>
      <c r="L68" s="112"/>
      <c r="M68" s="106"/>
      <c r="N68" s="113" t="s">
        <v>16</v>
      </c>
      <c r="O68" s="118">
        <v>-1.48E-3</v>
      </c>
      <c r="P68" s="108"/>
    </row>
    <row r="69" spans="2:16">
      <c r="B69" s="68"/>
      <c r="C69" s="127"/>
      <c r="D69" s="68"/>
      <c r="E69" s="87"/>
      <c r="F69" s="112"/>
      <c r="G69" s="106"/>
      <c r="H69" s="113" t="s">
        <v>40</v>
      </c>
      <c r="I69" s="118">
        <v>1.2600000000000001E-3</v>
      </c>
      <c r="J69" s="106"/>
      <c r="K69" s="142"/>
      <c r="L69" s="112"/>
      <c r="M69" s="106"/>
      <c r="N69" s="113" t="s">
        <v>40</v>
      </c>
      <c r="O69" s="118">
        <v>-5.0999999999999993E-4</v>
      </c>
      <c r="P69" s="108"/>
    </row>
    <row r="70" spans="2:16">
      <c r="B70" s="68"/>
      <c r="C70" s="127"/>
      <c r="D70" s="68"/>
      <c r="E70" s="87"/>
      <c r="F70" s="123"/>
      <c r="G70" s="106"/>
      <c r="H70" s="113" t="s">
        <v>15</v>
      </c>
      <c r="I70" s="118">
        <v>1.25E-3</v>
      </c>
      <c r="J70" s="106"/>
      <c r="K70" s="143"/>
      <c r="L70" s="123"/>
      <c r="M70" s="106"/>
      <c r="N70" s="113" t="s">
        <v>15</v>
      </c>
      <c r="O70" s="118">
        <v>5.9999999999999995E-4</v>
      </c>
      <c r="P70" s="108"/>
    </row>
    <row r="71" spans="2:16">
      <c r="B71" s="68"/>
      <c r="C71" s="127"/>
      <c r="D71" s="68"/>
      <c r="E71" s="87"/>
      <c r="F71" s="112"/>
      <c r="G71" s="106"/>
      <c r="H71" s="113" t="s">
        <v>34</v>
      </c>
      <c r="I71" s="118">
        <v>1.2199999999999999E-3</v>
      </c>
      <c r="J71" s="106"/>
      <c r="K71" s="141"/>
      <c r="L71" s="112"/>
      <c r="M71" s="106"/>
      <c r="N71" s="113" t="s">
        <v>34</v>
      </c>
      <c r="O71" s="118">
        <v>1.8E-3</v>
      </c>
      <c r="P71" s="108"/>
    </row>
    <row r="72" spans="2:16">
      <c r="B72" s="68"/>
      <c r="C72" s="127"/>
      <c r="D72" s="68"/>
      <c r="E72" s="87"/>
      <c r="F72" s="112"/>
      <c r="G72" s="106"/>
      <c r="H72" s="113" t="s">
        <v>31</v>
      </c>
      <c r="I72" s="118">
        <v>1.1900000000000001E-3</v>
      </c>
      <c r="J72" s="106"/>
      <c r="K72" s="141"/>
      <c r="L72" s="112"/>
      <c r="M72" s="106"/>
      <c r="N72" s="113" t="s">
        <v>31</v>
      </c>
      <c r="O72" s="118">
        <v>2.98E-3</v>
      </c>
      <c r="P72" s="108"/>
    </row>
    <row r="73" spans="2:16">
      <c r="B73" s="68"/>
      <c r="C73" s="127"/>
      <c r="D73" s="68"/>
      <c r="E73" s="87"/>
      <c r="F73" s="112"/>
      <c r="G73" s="106"/>
      <c r="H73" s="113" t="s">
        <v>14</v>
      </c>
      <c r="I73" s="118">
        <v>1.1800000000000001E-3</v>
      </c>
      <c r="J73" s="106"/>
      <c r="K73" s="141"/>
      <c r="L73" s="112"/>
      <c r="M73" s="106"/>
      <c r="N73" s="113" t="s">
        <v>14</v>
      </c>
      <c r="O73" s="118">
        <v>4.0799999999999994E-3</v>
      </c>
      <c r="P73" s="108"/>
    </row>
    <row r="74" spans="2:16">
      <c r="B74" s="68"/>
      <c r="C74" s="127"/>
      <c r="D74" s="68"/>
      <c r="E74" s="87"/>
      <c r="F74" s="112"/>
      <c r="G74" s="106"/>
      <c r="H74" s="113" t="s">
        <v>66</v>
      </c>
      <c r="I74" s="118">
        <v>1.16E-3</v>
      </c>
      <c r="J74" s="106"/>
      <c r="K74" s="141"/>
      <c r="L74" s="112"/>
      <c r="M74" s="106"/>
      <c r="N74" s="113" t="s">
        <v>66</v>
      </c>
      <c r="O74" s="118">
        <v>5.1000000000000004E-3</v>
      </c>
      <c r="P74" s="108"/>
    </row>
    <row r="75" spans="2:16">
      <c r="B75" s="68"/>
      <c r="C75" s="127" t="s">
        <v>173</v>
      </c>
      <c r="D75" s="68"/>
      <c r="E75" s="87"/>
      <c r="F75" s="112"/>
      <c r="G75" s="106"/>
      <c r="H75" s="113" t="s">
        <v>13</v>
      </c>
      <c r="I75" s="118">
        <v>1.15E-3</v>
      </c>
      <c r="J75" s="106"/>
      <c r="K75" s="141"/>
      <c r="L75" s="112"/>
      <c r="M75" s="106"/>
      <c r="N75" s="113" t="s">
        <v>13</v>
      </c>
      <c r="O75" s="118">
        <v>6.0099999999999997E-3</v>
      </c>
      <c r="P75" s="108"/>
    </row>
    <row r="76" spans="2:16">
      <c r="B76" s="68"/>
      <c r="C76" s="130" t="s">
        <v>182</v>
      </c>
      <c r="D76" s="68"/>
      <c r="E76" s="87"/>
      <c r="F76" s="112"/>
      <c r="G76" s="106"/>
      <c r="H76" s="113" t="s">
        <v>12</v>
      </c>
      <c r="I76" s="118">
        <v>1.08E-3</v>
      </c>
      <c r="J76" s="106"/>
      <c r="K76" s="142"/>
      <c r="L76" s="112"/>
      <c r="M76" s="106"/>
      <c r="N76" s="113" t="s">
        <v>12</v>
      </c>
      <c r="O76" s="118">
        <v>8.0700000000000008E-3</v>
      </c>
      <c r="P76" s="108"/>
    </row>
    <row r="77" spans="2:16">
      <c r="B77" s="68"/>
      <c r="C77" s="130" t="s">
        <v>183</v>
      </c>
      <c r="D77" s="68"/>
      <c r="E77" s="144"/>
      <c r="F77" s="129"/>
      <c r="G77" s="106"/>
      <c r="H77" s="113" t="s">
        <v>11</v>
      </c>
      <c r="I77" s="118">
        <v>9.5999999999999992E-4</v>
      </c>
      <c r="J77" s="106"/>
      <c r="K77" s="145"/>
      <c r="L77" s="146"/>
      <c r="M77" s="106"/>
      <c r="N77" s="113" t="s">
        <v>11</v>
      </c>
      <c r="O77" s="118">
        <v>9.8099999999999993E-3</v>
      </c>
      <c r="P77" s="108"/>
    </row>
    <row r="78" spans="2:16">
      <c r="B78" s="68"/>
      <c r="C78" s="130"/>
      <c r="D78" s="68"/>
      <c r="E78" s="144"/>
      <c r="F78" s="124"/>
      <c r="G78" s="106"/>
      <c r="H78" s="113" t="s">
        <v>10</v>
      </c>
      <c r="I78" s="118">
        <v>8.5999999999999998E-4</v>
      </c>
      <c r="J78" s="106"/>
      <c r="K78" s="145"/>
      <c r="L78" s="124"/>
      <c r="M78" s="106"/>
      <c r="N78" s="113" t="s">
        <v>10</v>
      </c>
      <c r="O78" s="118">
        <v>1.0369999999999999E-2</v>
      </c>
      <c r="P78" s="108"/>
    </row>
    <row r="79" spans="2:16">
      <c r="B79" s="68"/>
      <c r="C79" s="127"/>
      <c r="D79" s="68"/>
      <c r="E79" s="144"/>
      <c r="F79" s="129"/>
      <c r="G79" s="106"/>
      <c r="H79" s="113" t="s">
        <v>9</v>
      </c>
      <c r="I79" s="118">
        <v>7.7000000000000007E-4</v>
      </c>
      <c r="J79" s="106"/>
      <c r="K79" s="145"/>
      <c r="L79" s="146"/>
      <c r="M79" s="106"/>
      <c r="N79" s="113" t="s">
        <v>9</v>
      </c>
      <c r="O79" s="118">
        <v>1.0529999999999999E-2</v>
      </c>
      <c r="P79" s="108"/>
    </row>
    <row r="80" spans="2:16">
      <c r="B80" s="68"/>
      <c r="C80" s="127"/>
      <c r="D80" s="68"/>
      <c r="E80" s="128"/>
      <c r="F80" s="112"/>
      <c r="G80" s="106"/>
      <c r="H80" s="113" t="s">
        <v>8</v>
      </c>
      <c r="I80" s="118">
        <v>6.4000000000000005E-4</v>
      </c>
      <c r="J80" s="106"/>
      <c r="K80" s="147"/>
      <c r="L80" s="112"/>
      <c r="M80" s="106"/>
      <c r="N80" s="113" t="s">
        <v>8</v>
      </c>
      <c r="O80" s="118">
        <v>1.0529999999999999E-2</v>
      </c>
      <c r="P80" s="108"/>
    </row>
    <row r="81" spans="2:16">
      <c r="B81" s="68"/>
      <c r="C81" s="127"/>
      <c r="D81" s="68"/>
      <c r="E81" s="128"/>
      <c r="F81" s="129"/>
      <c r="G81" s="106"/>
      <c r="H81" s="113" t="s">
        <v>7</v>
      </c>
      <c r="I81" s="118">
        <v>5.5999999999999995E-4</v>
      </c>
      <c r="J81" s="106"/>
      <c r="K81" s="147"/>
      <c r="L81" s="148"/>
      <c r="M81" s="106"/>
      <c r="N81" s="113" t="s">
        <v>7</v>
      </c>
      <c r="O81" s="118">
        <v>1.0029999999999999E-2</v>
      </c>
      <c r="P81" s="108"/>
    </row>
    <row r="82" spans="2:16">
      <c r="B82" s="68"/>
      <c r="C82" s="127"/>
      <c r="D82" s="68"/>
      <c r="E82" s="128"/>
      <c r="F82" s="129"/>
      <c r="G82" s="106"/>
      <c r="H82" s="113"/>
      <c r="I82" s="118"/>
      <c r="J82" s="106"/>
      <c r="K82" s="147"/>
      <c r="L82" s="148"/>
      <c r="M82" s="106"/>
      <c r="N82" s="113"/>
      <c r="O82" s="118"/>
      <c r="P82" s="108"/>
    </row>
    <row r="83" spans="2:16">
      <c r="B83" s="68"/>
      <c r="C83" s="127"/>
      <c r="D83" s="68"/>
      <c r="E83" s="128"/>
      <c r="F83" s="129"/>
      <c r="G83" s="106"/>
      <c r="H83" s="113"/>
      <c r="I83" s="118"/>
      <c r="J83" s="106"/>
      <c r="K83" s="147"/>
      <c r="L83" s="148"/>
      <c r="M83" s="106"/>
      <c r="N83" s="113"/>
      <c r="O83" s="118"/>
      <c r="P83" s="108"/>
    </row>
    <row r="84" spans="2:16">
      <c r="B84" s="68"/>
      <c r="C84" s="127"/>
      <c r="D84" s="68"/>
      <c r="E84" s="128"/>
      <c r="F84" s="129"/>
      <c r="G84" s="106"/>
      <c r="H84" s="113"/>
      <c r="I84" s="118"/>
      <c r="J84" s="106"/>
      <c r="K84" s="147"/>
      <c r="L84" s="148"/>
      <c r="M84" s="106"/>
      <c r="N84" s="113"/>
      <c r="O84" s="118"/>
      <c r="P84" s="108"/>
    </row>
    <row r="85" spans="2:16">
      <c r="B85" s="68"/>
      <c r="C85" s="127"/>
      <c r="D85" s="68"/>
      <c r="E85" s="128"/>
      <c r="F85" s="129"/>
      <c r="G85" s="106"/>
      <c r="H85" s="113"/>
      <c r="I85" s="118"/>
      <c r="J85" s="106"/>
      <c r="K85" s="147"/>
      <c r="L85" s="148"/>
      <c r="M85" s="106"/>
      <c r="N85" s="113"/>
      <c r="O85" s="118"/>
      <c r="P85" s="108"/>
    </row>
    <row r="86" spans="2:16">
      <c r="B86" s="68"/>
      <c r="C86" s="127"/>
      <c r="D86" s="68"/>
      <c r="E86" s="128"/>
      <c r="F86" s="129"/>
      <c r="G86" s="106"/>
      <c r="H86" s="113"/>
      <c r="I86" s="118"/>
      <c r="J86" s="106"/>
      <c r="K86" s="147"/>
      <c r="L86" s="148"/>
      <c r="M86" s="106"/>
      <c r="N86" s="113"/>
      <c r="O86" s="118"/>
      <c r="P86" s="108"/>
    </row>
    <row r="87" spans="2:16">
      <c r="B87" s="68"/>
      <c r="C87" s="127"/>
      <c r="D87" s="68"/>
      <c r="E87" s="128"/>
      <c r="F87" s="129"/>
      <c r="G87" s="106"/>
      <c r="H87" s="113"/>
      <c r="I87" s="118"/>
      <c r="J87" s="106"/>
      <c r="K87" s="147"/>
      <c r="L87" s="148"/>
      <c r="M87" s="106"/>
      <c r="N87" s="113"/>
      <c r="O87" s="118"/>
      <c r="P87" s="108"/>
    </row>
    <row r="88" spans="2:16">
      <c r="B88" s="68"/>
      <c r="C88" s="127"/>
      <c r="D88" s="68"/>
      <c r="E88" s="128"/>
      <c r="F88" s="129"/>
      <c r="G88" s="106"/>
      <c r="H88" s="113"/>
      <c r="I88" s="118"/>
      <c r="J88" s="106"/>
      <c r="K88" s="147"/>
      <c r="L88" s="148"/>
      <c r="M88" s="106"/>
      <c r="N88" s="113"/>
      <c r="O88" s="118"/>
      <c r="P88" s="108"/>
    </row>
    <row r="89" spans="2:16">
      <c r="B89" s="68"/>
      <c r="C89" s="131"/>
      <c r="D89" s="68"/>
      <c r="E89" s="132"/>
      <c r="F89" s="133"/>
      <c r="G89" s="106"/>
      <c r="H89" s="134"/>
      <c r="I89" s="139"/>
      <c r="J89" s="106"/>
      <c r="K89" s="149"/>
      <c r="L89" s="150"/>
      <c r="M89" s="106"/>
      <c r="N89" s="134"/>
      <c r="O89" s="139"/>
      <c r="P89" s="108"/>
    </row>
    <row r="90" spans="2:16">
      <c r="B90" s="91"/>
      <c r="C90" s="80"/>
      <c r="D90" s="80"/>
      <c r="E90" s="92"/>
      <c r="F90" s="93"/>
      <c r="G90" s="80"/>
      <c r="H90" s="80"/>
      <c r="I90" s="80"/>
      <c r="J90" s="80"/>
      <c r="K90" s="80"/>
      <c r="L90" s="80"/>
      <c r="M90" s="80"/>
      <c r="N90" s="80"/>
      <c r="O90" s="80"/>
      <c r="P90" s="94"/>
    </row>
  </sheetData>
  <dataValidations count="1">
    <dataValidation type="list" allowBlank="1" showInputMessage="1" showErrorMessage="1" sqref="F22:F23 G19:G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E60"/>
  <sheetViews>
    <sheetView showGridLines="0" workbookViewId="0"/>
  </sheetViews>
  <sheetFormatPr defaultRowHeight="15"/>
  <cols>
    <col min="1" max="1" width="11.42578125" style="6" customWidth="1"/>
    <col min="2" max="2" width="2.28515625" style="4" customWidth="1"/>
    <col min="3" max="3" width="15.7109375" style="4" customWidth="1"/>
    <col min="4" max="4" width="39" style="4" customWidth="1"/>
    <col min="5" max="16384" width="9.140625" style="4"/>
  </cols>
  <sheetData>
    <row r="1" spans="1:5">
      <c r="A1" s="29"/>
    </row>
    <row r="2" spans="1:5" s="5" customFormat="1" ht="15" customHeight="1">
      <c r="A2" s="6"/>
      <c r="C2" s="154" t="s">
        <v>111</v>
      </c>
      <c r="D2" s="155"/>
    </row>
    <row r="3" spans="1:5" ht="15" customHeight="1">
      <c r="A3" s="9"/>
      <c r="C3" s="154"/>
      <c r="D3" s="155"/>
    </row>
    <row r="4" spans="1:5" ht="15" customHeight="1">
      <c r="A4" s="9"/>
      <c r="C4" s="12"/>
      <c r="D4" s="13"/>
    </row>
    <row r="5" spans="1:5" ht="15" hidden="1" customHeight="1">
      <c r="A5" s="156" t="s">
        <v>56</v>
      </c>
      <c r="B5" s="2" t="s">
        <v>6</v>
      </c>
      <c r="C5" s="2"/>
      <c r="D5" s="8" t="s">
        <v>89</v>
      </c>
    </row>
    <row r="6" spans="1:5" ht="15" hidden="1" customHeight="1">
      <c r="A6" s="156"/>
      <c r="B6" s="4" t="s">
        <v>6</v>
      </c>
      <c r="C6" s="18" t="s">
        <v>59</v>
      </c>
      <c r="D6" s="14" t="e">
        <f ca="1">IF(AND(NOW(),CurveEnablement.USD),_xll.mirSetUpOISCurve(D$5,C$6,YieldCurvePropertiesOIS,OISConv,OISRates,OISCurveNamesCombined,OISHistoricalRates,[0]!OIS.LobRates,[0]!OIS.SwapConv,[0]!OIS.SwapRates,[0]!OIS.LOBasisConv),"DISABLED")</f>
        <v>#NAME?</v>
      </c>
    </row>
    <row r="7" spans="1:5" hidden="1">
      <c r="B7" s="4" t="s">
        <v>6</v>
      </c>
      <c r="C7" s="19" t="s">
        <v>23</v>
      </c>
      <c r="D7" s="15" t="e">
        <f ca="1">IF(AND(NOW(),CurveEnablement.USD),IF(#REF!,_xll.mirSetUpSwapCurve(D$5,C7,YieldCurvePropertiesSTD,MoneyMarketData,LiborConv,LiborData,SwapsConv,SwapsData,FRAConv,FRADatax3,FRADatax6,FuturesConv,FuturesData,,,SwapCurveNamesCombined,SwapCurveNameDF2),"#WAIT"),"DISABLED")</f>
        <v>#NAME?</v>
      </c>
    </row>
    <row r="8" spans="1:5" hidden="1">
      <c r="B8" s="4" t="s">
        <v>6</v>
      </c>
      <c r="C8" s="19" t="s">
        <v>60</v>
      </c>
      <c r="D8" s="15" t="e">
        <f ca="1">IF(AND(NOW(),CurveEnablement.USD),IF(#REF!,_xll.mirSetUpBasisSwapCurve(D$5,C8,YieldCurvePropertiesTenorBasis,BasisConv3x6,BasisData3x6,TenorBasis3x6CurveNamesCombined),"#WAIT"),"DISABLED")</f>
        <v>#NAME?</v>
      </c>
    </row>
    <row r="9" spans="1:5" hidden="1">
      <c r="B9" s="4" t="s">
        <v>6</v>
      </c>
      <c r="C9" s="22" t="s">
        <v>61</v>
      </c>
      <c r="D9" s="15" t="e">
        <f ca="1">IF(AND(NOW(),CurveEnablement.USD),IF(#REF!,_xll.mirSetUpBasisSwapCurve(D$5,C9,YieldCurvePropertiesTenorBasis,BasisConv1x3,BasisData1x3,TenorBasis1x3CurveNamesCombined),"#WAIT"),"DISABLED")</f>
        <v>#NAME?</v>
      </c>
    </row>
    <row r="10" spans="1:5" hidden="1">
      <c r="B10" s="4" t="s">
        <v>6</v>
      </c>
      <c r="C10" s="19" t="s">
        <v>65</v>
      </c>
      <c r="D10" s="17" t="e">
        <f ca="1">IF(AND(NOW(),CurveEnablement.USD),IF(#REF!,_xll.mirSetUpBasisSwapCurve(D$5,C10,YieldCurvePropertiesTenorBasis,BasisConv3x12,BasisData3x12,TenorBasis3x12CurveNamesCombined),"#WAIT"),"DISABLED")</f>
        <v>#NAME?</v>
      </c>
    </row>
    <row r="11" spans="1:5" hidden="1">
      <c r="B11" s="4" t="s">
        <v>6</v>
      </c>
      <c r="C11" s="20" t="s">
        <v>62</v>
      </c>
      <c r="D11" s="23" t="s">
        <v>4</v>
      </c>
    </row>
    <row r="12" spans="1:5" hidden="1">
      <c r="C12" s="19" t="s">
        <v>93</v>
      </c>
      <c r="D12" s="24" t="e">
        <f ca="1">IF(AND(NOW(),CurveEnablement.USD),IF(AND(#REF!,#REF!),_xll.mirSetUpFwdFXConstantCurve(D$5,C12,ConstForwardFXProperties,ConstForwardFXEURCSA,FwdFXConstCurveNamesCombinedEUR),"#WAIT"),"DISABLED")</f>
        <v>#NAME?</v>
      </c>
    </row>
    <row r="13" spans="1:5" hidden="1">
      <c r="C13" s="19" t="s">
        <v>94</v>
      </c>
      <c r="D13" s="24" t="e">
        <f ca="1">IF(AND(NOW(),CurveEnablement.USD),IF(AND(#REF!,#REF!),_xll.mirSetUpFwdFXConstantCurve(D$5,C13,ConstForwardFXProperties,ConstForwardFXGBPCSA,FwdFXConstCurveNamesCombinedGBP),"#WAIT"),"DISABLED")</f>
        <v>#NAME?</v>
      </c>
    </row>
    <row r="14" spans="1:5" hidden="1">
      <c r="C14" s="21" t="s">
        <v>95</v>
      </c>
      <c r="D14" s="25" t="e">
        <f ca="1">IF(AND(NOW(),CurveEnablement.USD),IF(AND(#REF!,#REF!),_xll.mirSetUpFwdFXConstantCurve(D$5,C14,ConstForwardFXProperties,ConstForwardFXJPYCSA,FwdFXConstCurveNamesCombinedJPY),"#WAIT"),"DISABLED")</f>
        <v>#NAME?</v>
      </c>
    </row>
    <row r="15" spans="1:5">
      <c r="C15" s="2"/>
    </row>
    <row r="16" spans="1:5" ht="15" customHeight="1">
      <c r="A16" s="156" t="s">
        <v>2</v>
      </c>
      <c r="B16" s="2" t="s">
        <v>6</v>
      </c>
      <c r="C16" s="2"/>
      <c r="D16" s="8" t="s">
        <v>90</v>
      </c>
      <c r="E16" s="51" t="s">
        <v>130</v>
      </c>
    </row>
    <row r="17" spans="1:5" ht="15" customHeight="1">
      <c r="A17" s="156"/>
      <c r="B17" s="4" t="s">
        <v>6</v>
      </c>
      <c r="C17" s="18" t="s">
        <v>59</v>
      </c>
      <c r="D17" s="14" t="str">
        <f ca="1">_xll.meCurveCalibrateOIS(Curve.CollectionName,Curve.MarketDataTable,Curve.OISIndexName,Curve.BuildProperties,OIS.Conventions,OIS.MarketData,OIS.FixingTable,LiborOISBasis.Conventions,LiborOISBasis.MarketData,LiborSwap.Conventions,LiborSwap.MarketData)</f>
        <v>EURYC OIS Curve has been set (0.00000 sec)</v>
      </c>
      <c r="E17" s="4" t="b">
        <f ca="1">LEFT(D17,5)="EURYC"</f>
        <v>1</v>
      </c>
    </row>
    <row r="18" spans="1:5">
      <c r="B18" s="4" t="s">
        <v>6</v>
      </c>
      <c r="C18" s="19"/>
      <c r="D18" s="15"/>
    </row>
    <row r="19" spans="1:5">
      <c r="B19" s="4" t="s">
        <v>6</v>
      </c>
      <c r="C19" s="19"/>
      <c r="D19" s="15"/>
    </row>
    <row r="20" spans="1:5">
      <c r="B20" s="4" t="s">
        <v>6</v>
      </c>
      <c r="C20" s="22"/>
      <c r="D20" s="15"/>
    </row>
    <row r="21" spans="1:5">
      <c r="B21" s="4" t="s">
        <v>6</v>
      </c>
      <c r="C21" s="19"/>
      <c r="D21" s="17"/>
    </row>
    <row r="22" spans="1:5">
      <c r="B22" s="4" t="s">
        <v>6</v>
      </c>
      <c r="C22" s="20"/>
      <c r="D22" s="26"/>
    </row>
    <row r="23" spans="1:5">
      <c r="C23" s="19"/>
      <c r="D23" s="28"/>
    </row>
    <row r="24" spans="1:5">
      <c r="C24" s="19"/>
      <c r="D24" s="24"/>
    </row>
    <row r="25" spans="1:5">
      <c r="C25" s="21"/>
      <c r="D25" s="25"/>
    </row>
    <row r="26" spans="1:5" hidden="1">
      <c r="C26" s="2"/>
      <c r="D26" s="7"/>
    </row>
    <row r="27" spans="1:5" ht="15" hidden="1" customHeight="1">
      <c r="A27" s="156" t="s">
        <v>57</v>
      </c>
      <c r="B27" s="2" t="s">
        <v>6</v>
      </c>
      <c r="C27" s="2"/>
      <c r="D27" s="8" t="s">
        <v>91</v>
      </c>
    </row>
    <row r="28" spans="1:5" ht="15" hidden="1" customHeight="1">
      <c r="A28" s="156"/>
      <c r="B28" s="4" t="s">
        <v>6</v>
      </c>
      <c r="C28" s="18" t="s">
        <v>59</v>
      </c>
      <c r="D28" s="14" t="e">
        <f ca="1">IF(AND(NOW(),CurveEnablement.GBP),_xll.mirSetUpOISCurve(D$27,C28,[0]!YieldCurvePropertiesOIS,[0]!OISConv,[0]!OISRates,[0]!OISCurveNamesCombined,[0]!OISHistoricalRates,[0]!OIS.LobRates,[0]!OIS.SwapConv,[0]!OIS.SwapRates,[0]!OIS.LOBasisConv),"DISABLED")</f>
        <v>#NAME?</v>
      </c>
    </row>
    <row r="29" spans="1:5" hidden="1">
      <c r="B29" s="4" t="s">
        <v>6</v>
      </c>
      <c r="C29" s="19" t="s">
        <v>23</v>
      </c>
      <c r="D29" s="15" t="e">
        <f ca="1">IF(AND(NOW(),CurveEnablement.GBP),IF(#REF!,_xll.mirSetUpSwapCurve(D$27,C29,[0]!YieldCurvePropertiesSTD,[0]!MoneyMarketData,[0]!LiborConv,[0]!LiborData,[0]!SwapsConv,[0]!SwapsData,[0]!FRAConv,[0]!FRADatax3,[0]!FRADatax6,[0]!FuturesConv,[0]!FuturesData,,,[0]!SwapCurveNamesCombined,[0]!SwapCurveNameDF2),"#WAIT"),"DISABLED")</f>
        <v>#NAME?</v>
      </c>
    </row>
    <row r="30" spans="1:5" hidden="1">
      <c r="B30" s="4" t="s">
        <v>6</v>
      </c>
      <c r="C30" s="19" t="s">
        <v>60</v>
      </c>
      <c r="D30" s="15" t="e">
        <f ca="1">IF(AND(NOW(),CurveEnablement.GBP),IF(#REF!,_xll.mirSetUpBasisSwapCurve(D$27,C30,[0]!YieldCurvePropertiesTenorBasis,[0]!BasisConv3x6,[0]!BasisData3x6,[0]!TenorBasis3x6CurveNamesCombined),"#WAIT"),"DISABLED")</f>
        <v>#NAME?</v>
      </c>
    </row>
    <row r="31" spans="1:5" hidden="1">
      <c r="B31" s="4" t="s">
        <v>6</v>
      </c>
      <c r="C31" s="22" t="s">
        <v>61</v>
      </c>
      <c r="D31" s="15" t="e">
        <f ca="1">IF(AND(NOW(),CurveEnablement.GBP),IF(#REF!,_xll.mirSetUpBasisSwapCurve(D$27,C31,[0]!YieldCurvePropertiesTenorBasis,[0]!BasisConv1x3,[0]!BasisData1x3,[0]!TenorBasis1x6CurveNamesCombined),"#WAIT"),"DISABLED")</f>
        <v>#NAME?</v>
      </c>
    </row>
    <row r="32" spans="1:5" hidden="1">
      <c r="B32" s="4" t="s">
        <v>6</v>
      </c>
      <c r="C32" s="19" t="s">
        <v>65</v>
      </c>
      <c r="D32" s="17" t="e">
        <f ca="1">IF(AND(NOW(),CurveEnablement.GBP),IF(#REF!,_xll.mirSetUpBasisSwapCurve(D$27,C32,[0]!YieldCurvePropertiesTenorBasis,[0]!BasisConv6x12,[0]!BasisData6x12,[0]!TenorBasis6x12CurveNamesCombined),"#WAIT"),"DISABLED")</f>
        <v>#NAME?</v>
      </c>
    </row>
    <row r="33" spans="1:4" hidden="1">
      <c r="B33" s="4" t="s">
        <v>6</v>
      </c>
      <c r="C33" s="20" t="s">
        <v>62</v>
      </c>
      <c r="D33" s="26" t="e">
        <f ca="1">IF(AND(NOW(),CurveEnablement.GBP),IF(AND(#REF!,#REF!),_xll.mirSetUpBasisSwapCurve(D$27,C33,[0]!XccyBasisProperties,[0]!XccyBasisConvUSDCSA,[0]!XccyBasisData,[0]!XccyBasisCurveNamesCombined),"#WAIT"),"DISABLED")</f>
        <v>#NAME?</v>
      </c>
    </row>
    <row r="34" spans="1:4" hidden="1">
      <c r="B34" s="4" t="s">
        <v>6</v>
      </c>
      <c r="C34" s="19" t="s">
        <v>93</v>
      </c>
      <c r="D34" s="24" t="e">
        <f ca="1">IF(AND(NOW(),CurveEnablement.GBP),IF(AND(#REF!,#REF!),_xll.mirSetUpFwdFXConstantCurve(D$27,C34,[0]!ConstForwardFXProperties,[0]!ConstForwardFXEURCSA,[0]!FwdFXConstCurveNamesCombinedEUR),"#WAIT"),"DISABLED")</f>
        <v>#NAME?</v>
      </c>
    </row>
    <row r="35" spans="1:4" hidden="1">
      <c r="C35" s="19" t="s">
        <v>94</v>
      </c>
      <c r="D35" s="28" t="s">
        <v>4</v>
      </c>
    </row>
    <row r="36" spans="1:4" hidden="1">
      <c r="C36" s="21" t="s">
        <v>95</v>
      </c>
      <c r="D36" s="25" t="e">
        <f ca="1">IF(AND(NOW(),CurveEnablement.GBP),IF(AND(#REF!,#REF!),_xll.mirSetUpFwdFXConstantCurve(D$27,C36,[0]!ConstForwardFXProperties,[0]!ConstForwardFXJPYCSA,[0]!FwdFXConstCurveNamesCombinedJPY),"#WAIT"),"DISABLED")</f>
        <v>#NAME?</v>
      </c>
    </row>
    <row r="37" spans="1:4" hidden="1">
      <c r="B37" s="4" t="s">
        <v>6</v>
      </c>
      <c r="C37" s="2"/>
    </row>
    <row r="38" spans="1:4" ht="15" hidden="1" customHeight="1">
      <c r="A38" s="156" t="s">
        <v>58</v>
      </c>
      <c r="B38" s="2" t="s">
        <v>6</v>
      </c>
      <c r="C38" s="2"/>
      <c r="D38" s="8" t="s">
        <v>92</v>
      </c>
    </row>
    <row r="39" spans="1:4" ht="15" hidden="1" customHeight="1">
      <c r="A39" s="156"/>
      <c r="B39" s="4" t="s">
        <v>6</v>
      </c>
      <c r="C39" s="18" t="s">
        <v>59</v>
      </c>
      <c r="D39" s="14" t="e">
        <f ca="1">IF(AND(NOW(),CurveEnablement.JPY),_xll.mirSetUpOISCurve(D$38,C39,[0]!YieldCurvePropertiesOIS,[0]!OISConv,[0]!OISRates,[0]!OISCurveNamesCombined,[0]!OISHistoricalRates,[0]!OIS.LobRates,[0]!OIS.SwapConv,[0]!OIS.SwapRates,[0]!OIS.LOBasisConv),"DISABLED")</f>
        <v>#NAME?</v>
      </c>
    </row>
    <row r="40" spans="1:4" hidden="1">
      <c r="B40" s="4" t="s">
        <v>6</v>
      </c>
      <c r="C40" s="19" t="s">
        <v>23</v>
      </c>
      <c r="D40" s="15" t="e">
        <f ca="1">IF(AND(NOW(),CurveEnablement.JPY),IF(#REF!,_xll.mirSetUpSwapCurve(D$38,C40,[0]!YieldCurvePropertiesSTD,[0]!MoneyMarketData,[0]!LiborConv,[0]!LiborData,[0]!SwapsConv,[0]!SwapsData,[0]!FRAConv,[0]!FRADatax3,[0]!FRADatax6,[0]!FuturesConv,[0]!FuturesData,,,[0]!SwapCurveNamesCombined,[0]!SwapCurveNameDF2),"#WAIT"),"DISABLED")</f>
        <v>#NAME?</v>
      </c>
    </row>
    <row r="41" spans="1:4" hidden="1">
      <c r="B41" s="4" t="s">
        <v>6</v>
      </c>
      <c r="C41" s="19" t="s">
        <v>60</v>
      </c>
      <c r="D41" s="15" t="e">
        <f ca="1">IF(AND(NOW(),CurveEnablement.JPY),IF(#REF!,_xll.mirSetUpBasisSwapCurve(D$38,C41,[0]!YieldCurvePropertiesTenorBasis,[0]!BasisConv3x6,[0]!BasisData3x6,[0]!TenorBasis3x6CurveNamesCombined),"#WAIT"),"DISABLED")</f>
        <v>#NAME?</v>
      </c>
    </row>
    <row r="42" spans="1:4" hidden="1">
      <c r="B42" s="4" t="s">
        <v>6</v>
      </c>
      <c r="C42" s="22" t="s">
        <v>61</v>
      </c>
      <c r="D42" s="15" t="e">
        <f ca="1">IF(AND(NOW(),CurveEnablement.JPY),IF(#REF!,_xll.mirSetUpBasisSwapCurve(D$38,C42,[0]!YieldCurvePropertiesTenorBasis,[0]!BasisConv1x3,[0]!BasisData1x3,[0]!TenorBasis1x6CurveNamesCombined),"#WAIT"),"DISABLED")</f>
        <v>#NAME?</v>
      </c>
    </row>
    <row r="43" spans="1:4" hidden="1">
      <c r="B43" s="4" t="s">
        <v>6</v>
      </c>
      <c r="C43" s="19" t="s">
        <v>65</v>
      </c>
      <c r="D43" s="16" t="s">
        <v>4</v>
      </c>
    </row>
    <row r="44" spans="1:4" hidden="1">
      <c r="B44" s="4" t="s">
        <v>6</v>
      </c>
      <c r="C44" s="20" t="s">
        <v>62</v>
      </c>
      <c r="D44" s="26" t="e">
        <f ca="1">IF(AND(NOW(),CurveEnablement.JPY),IF(AND(#REF!,#REF!),_xll.mirSetUpBasisSwapCurve(D$38,C44,[0]!XccyBasisProperties,[0]!XccyBasisConvUSDCSA,[0]!XccyBasisData,[0]!XccyBasisCurveNamesCombined),"#WAIT"),"DISABLED")</f>
        <v>#NAME?</v>
      </c>
    </row>
    <row r="45" spans="1:4" hidden="1">
      <c r="B45" s="4" t="s">
        <v>6</v>
      </c>
      <c r="C45" s="19" t="s">
        <v>93</v>
      </c>
      <c r="D45" s="24" t="e">
        <f ca="1">IF(AND(NOW(),CurveEnablement.JPY),IF(AND(#REF!,#REF!),_xll.mirSetUpFwdFXConstantCurve(D$38,$C45,[0]!ConstForwardFXProperties,[0]!ConstForwardFXEURCSA,[0]!FwdFXConstCurveNamesCombinedEUR),"#WAIT"),"DISABLED")</f>
        <v>#NAME?</v>
      </c>
    </row>
    <row r="46" spans="1:4" hidden="1">
      <c r="C46" s="19" t="s">
        <v>94</v>
      </c>
      <c r="D46" s="24" t="e">
        <f ca="1">IF(AND(NOW(),CurveEnablement.JPY),IF(AND(#REF!,#REF!),_xll.mirSetUpFwdFXConstantCurve(D$38,$C46,[0]!ConstForwardFXProperties,[0]!ConstForwardFXGBPCSA,[0]!FwdFXConstCurveNamesCombinedGBP),"#WAIT"),"DISABLED")</f>
        <v>#NAME?</v>
      </c>
    </row>
    <row r="47" spans="1:4" hidden="1">
      <c r="C47" s="21" t="s">
        <v>95</v>
      </c>
      <c r="D47" s="27" t="s">
        <v>4</v>
      </c>
    </row>
    <row r="48" spans="1:4" hidden="1"/>
    <row r="49" spans="3:3" hidden="1"/>
    <row r="50" spans="3:3" hidden="1"/>
    <row r="51" spans="3:3" hidden="1">
      <c r="C51" s="4" t="s">
        <v>107</v>
      </c>
    </row>
    <row r="52" spans="3:3" hidden="1">
      <c r="C52" s="4" t="s">
        <v>106</v>
      </c>
    </row>
    <row r="53" spans="3:3" hidden="1">
      <c r="C53" s="4" t="s">
        <v>108</v>
      </c>
    </row>
    <row r="54" spans="3:3" hidden="1"/>
    <row r="55" spans="3:3" hidden="1"/>
    <row r="56" spans="3:3" hidden="1">
      <c r="C56" s="4" t="s">
        <v>102</v>
      </c>
    </row>
    <row r="57" spans="3:3" hidden="1">
      <c r="C57" s="4" t="s">
        <v>103</v>
      </c>
    </row>
    <row r="58" spans="3:3" hidden="1">
      <c r="C58" s="4" t="s">
        <v>104</v>
      </c>
    </row>
    <row r="59" spans="3:3" hidden="1">
      <c r="C59" s="4" t="s">
        <v>105</v>
      </c>
    </row>
    <row r="60" spans="3:3" hidden="1"/>
  </sheetData>
  <mergeCells count="5">
    <mergeCell ref="C2:D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2:O37"/>
  <sheetViews>
    <sheetView showGridLines="0" tabSelected="1" workbookViewId="0"/>
  </sheetViews>
  <sheetFormatPr defaultRowHeight="15"/>
  <cols>
    <col min="1" max="1" width="3.7109375" customWidth="1"/>
    <col min="2" max="2" width="22" customWidth="1"/>
    <col min="3" max="3" width="21.7109375" customWidth="1"/>
    <col min="4" max="4" width="18.85546875" customWidth="1"/>
    <col min="7" max="7" width="11.140625" customWidth="1"/>
    <col min="9" max="9" width="11.28515625" customWidth="1"/>
    <col min="10" max="10" width="8.28515625" customWidth="1"/>
    <col min="11" max="11" width="13.140625" customWidth="1"/>
    <col min="12" max="13" width="25.7109375" style="34" customWidth="1"/>
    <col min="14" max="14" width="5.85546875" customWidth="1"/>
    <col min="15" max="15" width="10.5703125" customWidth="1"/>
  </cols>
  <sheetData>
    <row r="2" spans="1:15">
      <c r="B2" s="45" t="s">
        <v>113</v>
      </c>
      <c r="L2" s="46"/>
    </row>
    <row r="3" spans="1:15">
      <c r="B3" s="44" t="s">
        <v>114</v>
      </c>
    </row>
    <row r="4" spans="1:15">
      <c r="A4" s="44" t="s">
        <v>115</v>
      </c>
      <c r="B4" s="44" t="s">
        <v>116</v>
      </c>
    </row>
    <row r="6" spans="1:15">
      <c r="B6" s="11" t="s">
        <v>99</v>
      </c>
      <c r="C6" s="3" t="s">
        <v>69</v>
      </c>
      <c r="D6" s="3" t="s">
        <v>70</v>
      </c>
      <c r="H6" t="s">
        <v>101</v>
      </c>
      <c r="L6" s="1" t="s">
        <v>131</v>
      </c>
      <c r="M6" s="1" t="s">
        <v>132</v>
      </c>
    </row>
    <row r="7" spans="1:15">
      <c r="B7" s="53" t="s">
        <v>67</v>
      </c>
      <c r="C7" s="48">
        <v>1000000</v>
      </c>
      <c r="D7" s="54"/>
      <c r="H7" s="35" t="s">
        <v>26</v>
      </c>
      <c r="I7" s="36" t="s">
        <v>25</v>
      </c>
      <c r="J7" s="34"/>
      <c r="K7" s="37" t="s">
        <v>119</v>
      </c>
      <c r="L7" s="38" t="s">
        <v>129</v>
      </c>
      <c r="M7" s="39" t="s">
        <v>96</v>
      </c>
      <c r="N7" s="34" t="s">
        <v>6</v>
      </c>
      <c r="O7" s="42" t="s">
        <v>109</v>
      </c>
    </row>
    <row r="8" spans="1:15">
      <c r="B8" s="55" t="s">
        <v>117</v>
      </c>
      <c r="C8" s="10" t="s">
        <v>68</v>
      </c>
      <c r="D8" s="10"/>
      <c r="H8" s="40" t="str">
        <f>'EUR Curve Config'!H32</f>
        <v>ON</v>
      </c>
      <c r="I8" s="32">
        <f>'EUR Curve Config'!I32</f>
        <v>-3.4499999999999999E-3</v>
      </c>
      <c r="J8" s="34"/>
      <c r="K8" s="40" t="str">
        <f t="shared" ref="K8:K31" si="0">H8</f>
        <v>ON</v>
      </c>
      <c r="L8" s="32">
        <f ca="1">IF(NOW(),_xll.meProductOISParRate(_xll.meUtilityLVBGroup(_xll.meUtilityLVBFromKeysValues($K$7,$K8), _xll.meUtilityLVB($B$9:$C$13),_xll.meUtilityLVB($B$14:$D$22,{"fixed","float"}))),"")</f>
        <v>-3.3999999999423385E-3</v>
      </c>
      <c r="M8" s="31">
        <f ca="1">IF(NOW(),_xll.meProductOISPV(_xll.meUtilityLVBGroup(_xll.meUtilityLVBFromKeysValues($K$7:$L$7,K8:L8),_xll.meUtilityLVB($B$7:$C$13),_xll.meUtilityLVB($B$14:$D$22,{"fixed","float"}))),"")</f>
        <v>5.082197683525802E-15</v>
      </c>
      <c r="N8" s="34" t="s">
        <v>6</v>
      </c>
      <c r="O8" s="43"/>
    </row>
    <row r="9" spans="1:15">
      <c r="B9" s="55" t="s">
        <v>118</v>
      </c>
      <c r="C9" s="10">
        <f ca="1">IF(NOW(),_xll.meDateFromTenor(COB,D9,C16,C17))</f>
        <v>42523</v>
      </c>
      <c r="D9" s="10" t="s">
        <v>78</v>
      </c>
      <c r="H9" s="40" t="str">
        <f>'EUR Curve Config'!H33</f>
        <v>EUSF1A</v>
      </c>
      <c r="I9" s="32">
        <f>'EUR Curve Config'!I33</f>
        <v>-3.4000000000000002E-3</v>
      </c>
      <c r="J9" s="34"/>
      <c r="K9" s="153">
        <f>'EUR Curve Config'!K33</f>
        <v>42572</v>
      </c>
      <c r="L9" s="32">
        <f ca="1">IF(NOW(),_xll.meProductOISParRate(_xll.meUtilityLVBGroup(_xll.meUtilityLVBFromKeysValues($K$7,$K9), _xll.meUtilityLVB($B$9:$C$13),_xll.meUtilityLVB($B$14:$D$22,{"fixed","float"}))),"")</f>
        <v>-3.3992432032125645E-3</v>
      </c>
      <c r="M9" s="31">
        <f ca="1">IF(NOW(),_xll.meProductOISPV(_xll.meUtilityLVBGroup(_xll.meUtilityLVBFromKeysValues($K$7:$L$7,K9:L9),_xll.meUtilityLVB($B$7:$C$13),_xll.meUtilityLVB($B$14:$D$22,{"fixed","float"}))),"")</f>
        <v>-6.5052130349130266E-13</v>
      </c>
      <c r="N9" s="34" t="s">
        <v>6</v>
      </c>
      <c r="O9" s="43"/>
    </row>
    <row r="10" spans="1:15">
      <c r="B10" s="55" t="s">
        <v>120</v>
      </c>
      <c r="C10" s="10" t="s">
        <v>90</v>
      </c>
      <c r="D10" s="10"/>
      <c r="H10" s="40" t="str">
        <f>'EUR Curve Config'!H34</f>
        <v>EUSF2A</v>
      </c>
      <c r="I10" s="32">
        <f>'EUR Curve Config'!I34</f>
        <v>-3.4999999999999996E-3</v>
      </c>
      <c r="J10" s="34"/>
      <c r="K10" s="153">
        <f>'EUR Curve Config'!K34</f>
        <v>42621</v>
      </c>
      <c r="L10" s="32">
        <f ca="1">IF(NOW(),_xll.meProductOISParRate(_xll.meUtilityLVBGroup(_xll.meUtilityLVBFromKeysValues($K$7,$K10), _xll.meUtilityLVB($B$9:$C$13),_xll.meUtilityLVB($B$14:$D$22,{"fixed","float"}))),"")</f>
        <v>-3.4484111235256994E-3</v>
      </c>
      <c r="M10" s="31">
        <f ca="1">IF(NOW(),_xll.meProductOISPV(_xll.meUtilityLVBGroup(_xll.meUtilityLVBFromKeysValues($K$7:$L$7,K10:L10),_xll.meUtilityLVB($B$7:$C$13),_xll.meUtilityLVB($B$14:$D$22,{"fixed","float"}))),"")</f>
        <v>1.0842021724855044E-13</v>
      </c>
      <c r="N10" s="34" t="s">
        <v>6</v>
      </c>
      <c r="O10" s="43"/>
    </row>
    <row r="11" spans="1:15">
      <c r="B11" s="55" t="s">
        <v>125</v>
      </c>
      <c r="C11" s="10" t="s">
        <v>59</v>
      </c>
      <c r="D11" s="10"/>
      <c r="H11" s="40" t="str">
        <f>'EUR Curve Config'!H35</f>
        <v>EUSF3A</v>
      </c>
      <c r="I11" s="32">
        <f>'EUR Curve Config'!I35</f>
        <v>-3.7099999999999998E-3</v>
      </c>
      <c r="J11" s="34"/>
      <c r="K11" s="153">
        <f>'EUR Curve Config'!K35</f>
        <v>42663</v>
      </c>
      <c r="L11" s="32">
        <f ca="1">IF(NOW(),_xll.meProductOISParRate(_xll.meUtilityLVBGroup(_xll.meUtilityLVBFromKeysValues($K$7,$K11), _xll.meUtilityLVB($B$9:$C$13),_xll.meUtilityLVB($B$14:$D$22,{"fixed","float"}))),"")</f>
        <v>-3.525613000812936E-3</v>
      </c>
      <c r="M11" s="31">
        <f ca="1">IF(NOW(),_xll.meProductOISPV(_xll.meUtilityLVBGroup(_xll.meUtilityLVBFromKeysValues($K$7:$L$7,K11:L11),_xll.meUtilityLVB($B$7:$C$13),_xll.meUtilityLVB($B$14:$D$22,{"fixed","float"}))),"")</f>
        <v>1.3010426069826053E-12</v>
      </c>
      <c r="N11" s="34" t="s">
        <v>6</v>
      </c>
      <c r="O11" s="43"/>
    </row>
    <row r="12" spans="1:15">
      <c r="B12" s="55" t="s">
        <v>126</v>
      </c>
      <c r="C12" s="10" t="str">
        <f>LEFT(C10,3)&amp;"DF_"&amp;D12</f>
        <v>EURDF_NOCSA</v>
      </c>
      <c r="D12" s="10" t="s">
        <v>88</v>
      </c>
      <c r="H12" s="40" t="str">
        <f>'EUR Curve Config'!H36</f>
        <v>EUSF4A</v>
      </c>
      <c r="I12" s="32">
        <f>'EUR Curve Config'!I36</f>
        <v>-3.82E-3</v>
      </c>
      <c r="J12" s="34"/>
      <c r="K12" s="153">
        <f>'EUR Curve Config'!K36</f>
        <v>42712</v>
      </c>
      <c r="L12" s="32">
        <f ca="1">IF(NOW(),_xll.meProductOISParRate(_xll.meUtilityLVBGroup(_xll.meUtilityLVBFromKeysValues($K$7,$K12), _xll.meUtilityLVB($B$9:$C$13),_xll.meUtilityLVB($B$14:$D$22,{"fixed","float"}))),"")</f>
        <v>-3.6003303561347282E-3</v>
      </c>
      <c r="M12" s="31">
        <f ca="1">IF(NOW(),_xll.meProductOISPV(_xll.meUtilityLVBGroup(_xll.meUtilityLVBFromKeysValues($K$7:$L$7,K12:L12),_xll.meUtilityLVB($B$7:$C$13),_xll.meUtilityLVB($B$14:$D$22,{"fixed","float"}))),"")</f>
        <v>1.3010426069826053E-12</v>
      </c>
      <c r="N12" s="34" t="s">
        <v>6</v>
      </c>
      <c r="O12" s="43"/>
    </row>
    <row r="13" spans="1:15">
      <c r="B13" s="56" t="s">
        <v>127</v>
      </c>
      <c r="C13" s="57" t="s">
        <v>100</v>
      </c>
      <c r="D13" s="57"/>
      <c r="H13" s="40" t="str">
        <f>'EUR Curve Config'!H37</f>
        <v>12M</v>
      </c>
      <c r="I13" s="32">
        <f>'EUR Curve Config'!I37</f>
        <v>-3.82E-3</v>
      </c>
      <c r="J13" s="34"/>
      <c r="K13" s="40" t="str">
        <f t="shared" si="0"/>
        <v>12M</v>
      </c>
      <c r="L13" s="32">
        <f ca="1">IF(NOW(),_xll.meProductOISParRate(_xll.meUtilityLVBGroup(_xll.meUtilityLVBFromKeysValues($K$7,$K13), _xll.meUtilityLVB($B$9:$C$13),_xll.meUtilityLVB($B$14:$D$22,{"fixed","float"}))),"")</f>
        <v>-3.8199999584561952E-3</v>
      </c>
      <c r="M13" s="31">
        <f ca="1">IF(NOW(),_xll.meProductOISPV(_xll.meUtilityLVBGroup(_xll.meUtilityLVBFromKeysValues($K$7:$L$7,K13:L13),_xll.meUtilityLVB($B$7:$C$13),_xll.meUtilityLVB($B$14:$D$22,{"fixed","float"}))),"")</f>
        <v>5.2041704279304213E-12</v>
      </c>
      <c r="N13" s="34" t="s">
        <v>6</v>
      </c>
      <c r="O13" s="43"/>
    </row>
    <row r="14" spans="1:15">
      <c r="B14" s="55" t="s">
        <v>35</v>
      </c>
      <c r="C14" s="10" t="s">
        <v>47</v>
      </c>
      <c r="D14" s="10" t="s">
        <v>47</v>
      </c>
      <c r="H14" s="40" t="str">
        <f>'EUR Curve Config'!H38</f>
        <v>18M</v>
      </c>
      <c r="I14" s="32">
        <f>'EUR Curve Config'!I38</f>
        <v>-3.9500000000000004E-3</v>
      </c>
      <c r="J14" s="34"/>
      <c r="K14" s="40" t="str">
        <f t="shared" si="0"/>
        <v>18M</v>
      </c>
      <c r="L14" s="32">
        <f ca="1">IF(NOW(),_xll.meProductOISParRate(_xll.meUtilityLVBGroup(_xll.meUtilityLVBFromKeysValues($K$7,$K14), _xll.meUtilityLVB($B$9:$C$13),_xll.meUtilityLVB($B$14:$D$22,{"fixed","float"}))),"")</f>
        <v>-3.9501369073805014E-3</v>
      </c>
      <c r="M14" s="31">
        <f ca="1">IF(NOW(),_xll.meProductOISPV(_xll.meUtilityLVBGroup(_xll.meUtilityLVBFromKeysValues($K$7:$L$7,K14:L14),_xll.meUtilityLVB($B$7:$C$13),_xll.meUtilityLVB($B$14:$D$22,{"fixed","float"}))),"")</f>
        <v>-3.4694469519536142E-12</v>
      </c>
      <c r="N14" s="34" t="s">
        <v>6</v>
      </c>
      <c r="O14" s="151">
        <f t="shared" ref="O14:O31" ca="1" si="1">(L14-I14)*10000</f>
        <v>-1.3690738050100432E-3</v>
      </c>
    </row>
    <row r="15" spans="1:15">
      <c r="B15" s="55" t="s">
        <v>39</v>
      </c>
      <c r="C15" s="10" t="s">
        <v>22</v>
      </c>
      <c r="D15" s="10" t="s">
        <v>22</v>
      </c>
      <c r="H15" s="40" t="str">
        <f>'EUR Curve Config'!H39</f>
        <v>2Y</v>
      </c>
      <c r="I15" s="32">
        <f>'EUR Curve Config'!I39</f>
        <v>-4.0100000000000005E-3</v>
      </c>
      <c r="J15" s="34"/>
      <c r="K15" s="40" t="str">
        <f t="shared" si="0"/>
        <v>2Y</v>
      </c>
      <c r="L15" s="32">
        <f ca="1">IF(NOW(),_xll.meProductOISParRate(_xll.meUtilityLVBGroup(_xll.meUtilityLVBFromKeysValues($K$7,$K15), _xll.meUtilityLVB($B$9:$C$13),_xll.meUtilityLVB($B$14:$D$22,{"fixed","float"}))),"")</f>
        <v>-4.009999999649988E-3</v>
      </c>
      <c r="M15" s="31">
        <f ca="1">IF(NOW(),_xll.meProductOISPV(_xll.meUtilityLVBGroup(_xll.meUtilityLVBFromKeysValues($K$7:$L$7,K15:L15),_xll.meUtilityLVB($B$7:$C$13),_xll.meUtilityLVB($B$14:$D$22,{"fixed","float"}))),"")</f>
        <v>3.4694469519536142E-12</v>
      </c>
      <c r="N15" s="34" t="s">
        <v>6</v>
      </c>
      <c r="O15" s="151">
        <f t="shared" ca="1" si="1"/>
        <v>3.500125536626264E-9</v>
      </c>
    </row>
    <row r="16" spans="1:15">
      <c r="B16" s="55" t="s">
        <v>122</v>
      </c>
      <c r="C16" s="10" t="s">
        <v>19</v>
      </c>
      <c r="D16" s="10" t="s">
        <v>19</v>
      </c>
      <c r="H16" s="40" t="str">
        <f>'EUR Curve Config'!H40</f>
        <v>3Y</v>
      </c>
      <c r="I16" s="32">
        <f>'EUR Curve Config'!I40</f>
        <v>-3.8500000000000001E-3</v>
      </c>
      <c r="J16" s="34"/>
      <c r="K16" s="40" t="str">
        <f t="shared" si="0"/>
        <v>3Y</v>
      </c>
      <c r="L16" s="32">
        <f ca="1">IF(NOW(),_xll.meProductOISParRate(_xll.meUtilityLVBGroup(_xll.meUtilityLVBFromKeysValues($K$7,$K16), _xll.meUtilityLVB($B$9:$C$13),_xll.meUtilityLVB($B$14:$D$22,{"fixed","float"}))),"")</f>
        <v>-3.8500000285661357E-3</v>
      </c>
      <c r="M16" s="31">
        <f ca="1">IF(NOW(),_xll.meProductOISPV(_xll.meUtilityLVBGroup(_xll.meUtilityLVBFromKeysValues($K$7:$L$7,K16:L16),_xll.meUtilityLVB($B$7:$C$13),_xll.meUtilityLVB($B$14:$D$22,{"fixed","float"}))),"")</f>
        <v>1.214306433183765E-11</v>
      </c>
      <c r="N16" s="34" t="s">
        <v>6</v>
      </c>
      <c r="O16" s="151">
        <f t="shared" ca="1" si="1"/>
        <v>-2.8566135568119932E-7</v>
      </c>
    </row>
    <row r="17" spans="2:15">
      <c r="B17" s="55" t="s">
        <v>54</v>
      </c>
      <c r="C17" s="10" t="s">
        <v>0</v>
      </c>
      <c r="D17" s="10" t="s">
        <v>0</v>
      </c>
      <c r="H17" s="40" t="str">
        <f>'EUR Curve Config'!H41</f>
        <v>4Y</v>
      </c>
      <c r="I17" s="32">
        <f>'EUR Curve Config'!I41</f>
        <v>-3.4200000000000003E-3</v>
      </c>
      <c r="J17" s="34"/>
      <c r="K17" s="40" t="str">
        <f t="shared" si="0"/>
        <v>4Y</v>
      </c>
      <c r="L17" s="32">
        <f ca="1">IF(NOW(),_xll.meProductOISParRate(_xll.meUtilityLVBGroup(_xll.meUtilityLVBFromKeysValues($K$7,$K17), _xll.meUtilityLVB($B$9:$C$13),_xll.meUtilityLVB($B$14:$D$22,{"fixed","float"}))),"")</f>
        <v>-3.4200000451100878E-3</v>
      </c>
      <c r="M17" s="31">
        <f ca="1">IF(NOW(),_xll.meProductOISPV(_xll.meUtilityLVBGroup(_xll.meUtilityLVBFromKeysValues($K$7:$L$7,K17:L17),_xll.meUtilityLVB($B$7:$C$13),_xll.meUtilityLVB($B$14:$D$22,{"fixed","float"}))),"")</f>
        <v>8.6736173798840355E-12</v>
      </c>
      <c r="N17" s="34" t="s">
        <v>6</v>
      </c>
      <c r="O17" s="151">
        <f t="shared" ca="1" si="1"/>
        <v>-4.5110087540378707E-7</v>
      </c>
    </row>
    <row r="18" spans="2:15">
      <c r="B18" s="55" t="s">
        <v>123</v>
      </c>
      <c r="C18" s="10"/>
      <c r="D18" s="10"/>
      <c r="H18" s="40" t="str">
        <f>'EUR Curve Config'!H42</f>
        <v>5Y</v>
      </c>
      <c r="I18" s="32">
        <f>'EUR Curve Config'!I42</f>
        <v>-2.7100000000000002E-3</v>
      </c>
      <c r="J18" s="34"/>
      <c r="K18" s="40" t="str">
        <f t="shared" si="0"/>
        <v>5Y</v>
      </c>
      <c r="L18" s="32">
        <f ca="1">IF(NOW(),_xll.meProductOISParRate(_xll.meUtilityLVBGroup(_xll.meUtilityLVBFromKeysValues($K$7,$K18), _xll.meUtilityLVB($B$9:$C$13),_xll.meUtilityLVB($B$14:$D$22,{"fixed","float"}))),"")</f>
        <v>-2.7100000500297791E-3</v>
      </c>
      <c r="M18" s="31">
        <f ca="1">IF(NOW(),_xll.meProductOISPV(_xll.meUtilityLVBGroup(_xll.meUtilityLVBFromKeysValues($K$7:$L$7,K18:L18),_xll.meUtilityLVB($B$7:$C$13),_xll.meUtilityLVB($B$14:$D$22,{"fixed","float"}))),"")</f>
        <v>3.4694469519536142E-12</v>
      </c>
      <c r="N18" s="34" t="s">
        <v>6</v>
      </c>
      <c r="O18" s="151">
        <f t="shared" ca="1" si="1"/>
        <v>-5.0029778930760216E-7</v>
      </c>
    </row>
    <row r="19" spans="2:15">
      <c r="B19" s="55" t="s">
        <v>124</v>
      </c>
      <c r="C19" s="10"/>
      <c r="D19" s="10"/>
      <c r="H19" s="40" t="str">
        <f>'EUR Curve Config'!H43</f>
        <v>6Y</v>
      </c>
      <c r="I19" s="32">
        <f>'EUR Curve Config'!I43</f>
        <v>-1.7599999999999998E-3</v>
      </c>
      <c r="J19" s="34"/>
      <c r="K19" s="40" t="str">
        <f t="shared" si="0"/>
        <v>6Y</v>
      </c>
      <c r="L19" s="32">
        <f ca="1">IF(NOW(),_xll.meProductOISParRate(_xll.meUtilityLVBGroup(_xll.meUtilityLVBFromKeysValues($K$7,$K19), _xll.meUtilityLVB($B$9:$C$13),_xll.meUtilityLVB($B$14:$D$22,{"fixed","float"}))),"")</f>
        <v>-1.7600000375199011E-3</v>
      </c>
      <c r="M19" s="31">
        <f ca="1">IF(NOW(),_xll.meProductOISPV(_xll.meUtilityLVBGroup(_xll.meUtilityLVBFromKeysValues($K$7:$L$7,K19:L19),_xll.meUtilityLVB($B$7:$C$13),_xll.meUtilityLVB($B$14:$D$22,{"fixed","float"}))),"")</f>
        <v>-5.2041704279304213E-12</v>
      </c>
      <c r="N19" s="34" t="s">
        <v>6</v>
      </c>
      <c r="O19" s="151">
        <f t="shared" ca="1" si="1"/>
        <v>-3.7519901248395104E-7</v>
      </c>
    </row>
    <row r="20" spans="2:15">
      <c r="B20" s="55" t="s">
        <v>71</v>
      </c>
      <c r="C20" s="47" t="s">
        <v>128</v>
      </c>
      <c r="D20" s="47" t="s">
        <v>128</v>
      </c>
      <c r="H20" s="40" t="str">
        <f>'EUR Curve Config'!H44</f>
        <v>7Y</v>
      </c>
      <c r="I20" s="32">
        <f>'EUR Curve Config'!I44</f>
        <v>-6.6E-4</v>
      </c>
      <c r="J20" s="34"/>
      <c r="K20" s="40" t="str">
        <f t="shared" si="0"/>
        <v>7Y</v>
      </c>
      <c r="L20" s="32">
        <f ca="1">IF(NOW(),_xll.meProductOISParRate(_xll.meUtilityLVBGroup(_xll.meUtilityLVBFromKeysValues($K$7,$K20), _xll.meUtilityLVB($B$9:$C$13),_xll.meUtilityLVB($B$14:$D$22,{"fixed","float"}))),"")</f>
        <v>-6.600000101069063E-4</v>
      </c>
      <c r="M20" s="31">
        <f ca="1">IF(NOW(),_xll.meProductOISPV(_xll.meUtilityLVBGroup(_xll.meUtilityLVBFromKeysValues($K$7:$L$7,K20:L20),_xll.meUtilityLVB($B$7:$C$13),_xll.meUtilityLVB($B$14:$D$22,{"fixed","float"}))),"")</f>
        <v>-2.6020852139652106E-12</v>
      </c>
      <c r="N20" s="34" t="s">
        <v>6</v>
      </c>
      <c r="O20" s="151">
        <f t="shared" ca="1" si="1"/>
        <v>-1.0106906305797081E-7</v>
      </c>
    </row>
    <row r="21" spans="2:15">
      <c r="B21" s="55" t="s">
        <v>76</v>
      </c>
      <c r="C21" s="10" t="s">
        <v>73</v>
      </c>
      <c r="D21" s="10" t="s">
        <v>73</v>
      </c>
      <c r="H21" s="40" t="str">
        <f>'EUR Curve Config'!H45</f>
        <v>8Y</v>
      </c>
      <c r="I21" s="32">
        <f>'EUR Curve Config'!I45</f>
        <v>5.5000000000000003E-4</v>
      </c>
      <c r="J21" s="34"/>
      <c r="K21" s="40" t="str">
        <f t="shared" si="0"/>
        <v>8Y</v>
      </c>
      <c r="L21" s="32">
        <f ca="1">IF(NOW(),_xll.meProductOISParRate(_xll.meUtilityLVBGroup(_xll.meUtilityLVBFromKeysValues($K$7,$K21), _xll.meUtilityLVB($B$9:$C$13),_xll.meUtilityLVB($B$14:$D$22,{"fixed","float"}))),"")</f>
        <v>5.4999998583435763E-4</v>
      </c>
      <c r="M21" s="31">
        <f ca="1">IF(NOW(),_xll.meProductOISPV(_xll.meUtilityLVBGroup(_xll.meUtilityLVBFromKeysValues($K$7:$L$7,K21:L21),_xll.meUtilityLVB($B$7:$C$13),_xll.meUtilityLVB($B$14:$D$22,{"fixed","float"}))),"")</f>
        <v>-3.4694469519536142E-12</v>
      </c>
      <c r="N21" s="34" t="s">
        <v>6</v>
      </c>
      <c r="O21" s="151">
        <f t="shared" ca="1" si="1"/>
        <v>-1.4165642400407186E-7</v>
      </c>
    </row>
    <row r="22" spans="2:15">
      <c r="B22" s="56" t="s">
        <v>77</v>
      </c>
      <c r="C22" s="57" t="s">
        <v>112</v>
      </c>
      <c r="D22" s="57" t="s">
        <v>112</v>
      </c>
      <c r="H22" s="40" t="str">
        <f>'EUR Curve Config'!H46</f>
        <v>9Y</v>
      </c>
      <c r="I22" s="32">
        <f>'EUR Curve Config'!I46</f>
        <v>1.7499999999999998E-3</v>
      </c>
      <c r="J22" s="34"/>
      <c r="K22" s="40" t="str">
        <f t="shared" si="0"/>
        <v>9Y</v>
      </c>
      <c r="L22" s="32">
        <f ca="1">IF(NOW(),_xll.meProductOISParRate(_xll.meUtilityLVBGroup(_xll.meUtilityLVBFromKeysValues($K$7,$K22), _xll.meUtilityLVB($B$9:$C$13),_xll.meUtilityLVB($B$14:$D$22,{"fixed","float"}))),"")</f>
        <v>1.749999999998421E-3</v>
      </c>
      <c r="M22" s="31">
        <f ca="1">IF(NOW(),_xll.meProductOISPV(_xll.meUtilityLVBGroup(_xll.meUtilityLVBFromKeysValues($K$7:$L$7,K22:L22),_xll.meUtilityLVB($B$7:$C$13),_xll.meUtilityLVB($B$14:$D$22,{"fixed","float"}))),"")</f>
        <v>1.0408340855860843E-11</v>
      </c>
      <c r="N22" s="34" t="s">
        <v>6</v>
      </c>
      <c r="O22" s="151">
        <f t="shared" ca="1" si="1"/>
        <v>-1.5788152035733916E-11</v>
      </c>
    </row>
    <row r="23" spans="2:15">
      <c r="B23" s="55" t="s">
        <v>121</v>
      </c>
      <c r="C23" s="10"/>
      <c r="D23" s="10"/>
      <c r="H23" s="40" t="str">
        <f>'EUR Curve Config'!H47</f>
        <v>10Y</v>
      </c>
      <c r="I23" s="32">
        <f>'EUR Curve Config'!I47</f>
        <v>2.8399999999999996E-3</v>
      </c>
      <c r="J23" s="34"/>
      <c r="K23" s="40" t="str">
        <f t="shared" si="0"/>
        <v>10Y</v>
      </c>
      <c r="L23" s="32">
        <f ca="1">IF(NOW(),_xll.meProductOISParRate(_xll.meUtilityLVBGroup(_xll.meUtilityLVBFromKeysValues($K$7,$K23), _xll.meUtilityLVB($B$9:$C$13),_xll.meUtilityLVB($B$14:$D$22,{"fixed","float"}))),"")</f>
        <v>2.8399999999810166E-3</v>
      </c>
      <c r="M23" s="31">
        <f ca="1">IF(NOW(),_xll.meProductOISPV(_xll.meUtilityLVBGroup(_xll.meUtilityLVBFromKeysValues($K$7:$L$7,K23:L23),_xll.meUtilityLVB($B$7:$C$13),_xll.meUtilityLVB($B$14:$D$22,{"fixed","float"}))),"")</f>
        <v>-3.8163916471489756E-11</v>
      </c>
      <c r="N23" s="34" t="s">
        <v>6</v>
      </c>
      <c r="O23" s="151">
        <f t="shared" ca="1" si="1"/>
        <v>-1.89830789976142E-10</v>
      </c>
    </row>
    <row r="24" spans="2:15">
      <c r="B24" s="55" t="s">
        <v>72</v>
      </c>
      <c r="C24" s="49" t="s">
        <v>4</v>
      </c>
      <c r="D24" s="10"/>
      <c r="H24" s="40" t="str">
        <f>'EUR Curve Config'!H48</f>
        <v>11Y</v>
      </c>
      <c r="I24" s="32">
        <f>'EUR Curve Config'!I48</f>
        <v>3.8600000000000001E-3</v>
      </c>
      <c r="J24" s="34"/>
      <c r="K24" s="40" t="str">
        <f t="shared" si="0"/>
        <v>11Y</v>
      </c>
      <c r="L24" s="32">
        <f ca="1">IF(NOW(),_xll.meProductOISParRate(_xll.meUtilityLVBGroup(_xll.meUtilityLVBFromKeysValues($K$7,$K24), _xll.meUtilityLVB($B$9:$C$13),_xll.meUtilityLVB($B$14:$D$22,{"fixed","float"}))),"")</f>
        <v>3.8599999998818945E-3</v>
      </c>
      <c r="M24" s="31">
        <f ca="1">IF(NOW(),_xll.meProductOISPV(_xll.meUtilityLVBGroup(_xll.meUtilityLVBFromKeysValues($K$7:$L$7,K24:L24),_xll.meUtilityLVB($B$7:$C$13),_xll.meUtilityLVB($B$14:$D$22,{"fixed","float"}))),"")</f>
        <v>5.5511151231257827E-11</v>
      </c>
      <c r="N24" s="34" t="s">
        <v>6</v>
      </c>
      <c r="O24" s="151">
        <f t="shared" ca="1" si="1"/>
        <v>-1.1810561209579795E-9</v>
      </c>
    </row>
    <row r="25" spans="2:15">
      <c r="B25" s="55" t="s">
        <v>74</v>
      </c>
      <c r="C25" s="49" t="s">
        <v>4</v>
      </c>
      <c r="D25" s="10"/>
      <c r="H25" s="40" t="str">
        <f>'EUR Curve Config'!H49</f>
        <v>12Y</v>
      </c>
      <c r="I25" s="32">
        <f>'EUR Curve Config'!I49</f>
        <v>4.7699999999999999E-3</v>
      </c>
      <c r="J25" s="34"/>
      <c r="K25" s="40" t="str">
        <f t="shared" si="0"/>
        <v>12Y</v>
      </c>
      <c r="L25" s="32">
        <f ca="1">IF(NOW(),_xll.meProductOISParRate(_xll.meUtilityLVBGroup(_xll.meUtilityLVBFromKeysValues($K$7,$K25), _xll.meUtilityLVB($B$9:$C$13),_xll.meUtilityLVB($B$14:$D$22,{"fixed","float"}))),"")</f>
        <v>4.7699999995047737E-3</v>
      </c>
      <c r="M25" s="31">
        <f ca="1">IF(NOW(),_xll.meProductOISPV(_xll.meUtilityLVBGroup(_xll.meUtilityLVBFromKeysValues($K$7:$L$7,K25:L25),_xll.meUtilityLVB($B$7:$C$13),_xll.meUtilityLVB($B$14:$D$22,{"fixed","float"}))),"")</f>
        <v>5.5511151231257827E-11</v>
      </c>
      <c r="N25" s="34" t="s">
        <v>6</v>
      </c>
      <c r="O25" s="151">
        <f t="shared" ca="1" si="1"/>
        <v>-4.9522625583664492E-9</v>
      </c>
    </row>
    <row r="26" spans="2:15">
      <c r="B26" s="56" t="s">
        <v>75</v>
      </c>
      <c r="C26" s="57" t="s">
        <v>4</v>
      </c>
      <c r="D26" s="57"/>
      <c r="H26" s="40" t="str">
        <f>'EUR Curve Config'!H50</f>
        <v>15Y</v>
      </c>
      <c r="I26" s="32">
        <f>'EUR Curve Config'!I50</f>
        <v>6.8799999999999998E-3</v>
      </c>
      <c r="J26" s="34"/>
      <c r="K26" s="40" t="str">
        <f t="shared" si="0"/>
        <v>15Y</v>
      </c>
      <c r="L26" s="32">
        <f ca="1">IF(NOW(),_xll.meProductOISParRate(_xll.meUtilityLVBGroup(_xll.meUtilityLVBFromKeysValues($K$7,$K26), _xll.meUtilityLVB($B$9:$C$13),_xll.meUtilityLVB($B$14:$D$22,{"fixed","float"}))),"")</f>
        <v>6.8799999932865107E-3</v>
      </c>
      <c r="M26" s="31">
        <f ca="1">IF(NOW(),_xll.meProductOISPV(_xll.meUtilityLVBGroup(_xll.meUtilityLVBFromKeysValues($K$7:$L$7,K26:L26),_xll.meUtilityLVB($B$7:$C$13),_xll.meUtilityLVB($B$14:$D$22,{"fixed","float"}))),"")</f>
        <v>0</v>
      </c>
      <c r="N26" s="34" t="s">
        <v>6</v>
      </c>
      <c r="O26" s="151">
        <f t="shared" ca="1" si="1"/>
        <v>-6.71348913960923E-8</v>
      </c>
    </row>
    <row r="27" spans="2:15">
      <c r="H27" s="40" t="str">
        <f>'EUR Curve Config'!H51</f>
        <v>20Y</v>
      </c>
      <c r="I27" s="32">
        <f>'EUR Curve Config'!I51</f>
        <v>8.7100000000000007E-3</v>
      </c>
      <c r="J27" s="34"/>
      <c r="K27" s="40" t="str">
        <f t="shared" si="0"/>
        <v>20Y</v>
      </c>
      <c r="L27" s="32">
        <f ca="1">IF(NOW(),_xll.meProductOISParRate(_xll.meUtilityLVBGroup(_xll.meUtilityLVBFromKeysValues($K$7,$K27), _xll.meUtilityLVB($B$9:$C$13),_xll.meUtilityLVB($B$14:$D$22,{"fixed","float"}))),"")</f>
        <v>8.7099999379308332E-3</v>
      </c>
      <c r="M27" s="31">
        <f ca="1">IF(NOW(),_xll.meProductOISPV(_xll.meUtilityLVBGroup(_xll.meUtilityLVBFromKeysValues($K$7:$L$7,K27:L27),_xll.meUtilityLVB($B$7:$C$13),_xll.meUtilityLVB($B$14:$D$22,{"fixed","float"}))),"")</f>
        <v>5.5511151231257827E-11</v>
      </c>
      <c r="N27" s="34" t="s">
        <v>6</v>
      </c>
      <c r="O27" s="151">
        <f t="shared" ca="1" si="1"/>
        <v>-6.2069167514056112E-7</v>
      </c>
    </row>
    <row r="28" spans="2:15">
      <c r="H28" s="40" t="str">
        <f>'EUR Curve Config'!H52</f>
        <v>25Y</v>
      </c>
      <c r="I28" s="32">
        <f>'EUR Curve Config'!I52</f>
        <v>9.3600000000000003E-3</v>
      </c>
      <c r="J28" s="34"/>
      <c r="K28" s="40" t="str">
        <f t="shared" si="0"/>
        <v>25Y</v>
      </c>
      <c r="L28" s="32">
        <f ca="1">IF(NOW(),_xll.meProductOISParRate(_xll.meUtilityLVBGroup(_xll.meUtilityLVBFromKeysValues($K$7,$K28), _xll.meUtilityLVB($B$9:$C$13),_xll.meUtilityLVB($B$14:$D$22,{"fixed","float"}))),"")</f>
        <v>9.3599999999998112E-3</v>
      </c>
      <c r="M28" s="31">
        <f ca="1">IF(NOW(),_xll.meProductOISPV(_xll.meUtilityLVBGroup(_xll.meUtilityLVBFromKeysValues($K$7:$L$7,K28:L28),_xll.meUtilityLVB($B$7:$C$13),_xll.meUtilityLVB($B$14:$D$22,{"fixed","float"}))),"")</f>
        <v>5.5511151231257827E-11</v>
      </c>
      <c r="N28" s="34" t="s">
        <v>6</v>
      </c>
      <c r="O28" s="151">
        <f t="shared" ca="1" si="1"/>
        <v>-1.8908485888147197E-12</v>
      </c>
    </row>
    <row r="29" spans="2:15">
      <c r="C29" s="30"/>
      <c r="H29" s="40" t="str">
        <f>'EUR Curve Config'!H53</f>
        <v>30Y</v>
      </c>
      <c r="I29" s="32">
        <f>'EUR Curve Config'!I53</f>
        <v>9.6100000000000005E-3</v>
      </c>
      <c r="J29" s="34"/>
      <c r="K29" s="40" t="str">
        <f t="shared" si="0"/>
        <v>30Y</v>
      </c>
      <c r="L29" s="32">
        <f ca="1">IF(NOW(),_xll.meProductOISParRate(_xll.meUtilityLVBGroup(_xll.meUtilityLVBFromKeysValues($K$7,$K29), _xll.meUtilityLVB($B$9:$C$13),_xll.meUtilityLVB($B$14:$D$22,{"fixed","float"}))),"")</f>
        <v>9.6099999999986717E-3</v>
      </c>
      <c r="M29" s="31">
        <f ca="1">IF(NOW(),_xll.meProductOISPV(_xll.meUtilityLVBGroup(_xll.meUtilityLVBFromKeysValues($K$7:$L$7,K29:L29),_xll.meUtilityLVB($B$7:$C$13),_xll.meUtilityLVB($B$14:$D$22,{"fixed","float"}))),"")</f>
        <v>5.5511151231257827E-11</v>
      </c>
      <c r="N29" s="34" t="s">
        <v>6</v>
      </c>
      <c r="O29" s="151">
        <f t="shared" ca="1" si="1"/>
        <v>-1.3287981825982342E-11</v>
      </c>
    </row>
    <row r="30" spans="2:15">
      <c r="H30" s="40" t="str">
        <f>'EUR Curve Config'!H54</f>
        <v>40Y</v>
      </c>
      <c r="I30" s="32">
        <f>'EUR Curve Config'!I54</f>
        <v>9.7299999999999991E-3</v>
      </c>
      <c r="J30" s="34"/>
      <c r="K30" s="40" t="str">
        <f t="shared" si="0"/>
        <v>40Y</v>
      </c>
      <c r="L30" s="32">
        <f ca="1">IF(NOW(),_xll.meProductOISParRate(_xll.meUtilityLVBGroup(_xll.meUtilityLVBFromKeysValues($K$7,$K30), _xll.meUtilityLVB($B$9:$C$13),_xll.meUtilityLVB($B$14:$D$22,{"fixed","float"}))),"")</f>
        <v>9.7299999999972599E-3</v>
      </c>
      <c r="M30" s="31">
        <f ca="1">IF(NOW(),_xll.meProductOISPV(_xll.meUtilityLVBGroup(_xll.meUtilityLVBFromKeysValues($K$7:$L$7,K30:L30),_xll.meUtilityLVB($B$7:$C$13),_xll.meUtilityLVB($B$14:$D$22,{"fixed","float"}))),"")</f>
        <v>0</v>
      </c>
      <c r="N30" s="34" t="s">
        <v>6</v>
      </c>
      <c r="O30" s="151">
        <f t="shared" ca="1" si="1"/>
        <v>-2.7391283685673784E-11</v>
      </c>
    </row>
    <row r="31" spans="2:15">
      <c r="H31" s="40" t="str">
        <f>'EUR Curve Config'!H55</f>
        <v>50Y</v>
      </c>
      <c r="I31" s="32">
        <f>'EUR Curve Config'!I55</f>
        <v>9.3200000000000002E-3</v>
      </c>
      <c r="J31" s="34"/>
      <c r="K31" s="40" t="str">
        <f t="shared" si="0"/>
        <v>50Y</v>
      </c>
      <c r="L31" s="32">
        <f ca="1">IF(NOW(),_xll.meProductOISParRate(_xll.meUtilityLVBGroup(_xll.meUtilityLVBFromKeysValues($K$7,$K31), _xll.meUtilityLVB($B$9:$C$13),_xll.meUtilityLVB($B$14:$D$22,{"fixed","float"}))),"")</f>
        <v>9.3199999999995942E-3</v>
      </c>
      <c r="M31" s="31">
        <f ca="1">IF(NOW(),_xll.meProductOISPV(_xll.meUtilityLVBGroup(_xll.meUtilityLVBFromKeysValues($K$7:$L$7,K31:L31),_xll.meUtilityLVB($B$7:$C$13),_xll.meUtilityLVB($B$14:$D$22,{"fixed","float"}))),"")</f>
        <v>2.2204460492503131E-10</v>
      </c>
      <c r="N31" s="34" t="s">
        <v>6</v>
      </c>
      <c r="O31" s="151">
        <f t="shared" ca="1" si="1"/>
        <v>-4.0592529337857286E-12</v>
      </c>
    </row>
    <row r="32" spans="2:15">
      <c r="H32" s="41"/>
      <c r="I32" s="33"/>
      <c r="J32" s="34"/>
      <c r="K32" s="41"/>
      <c r="L32" s="33"/>
      <c r="M32" s="52"/>
      <c r="N32" s="34"/>
      <c r="O32" s="152"/>
    </row>
    <row r="37" spans="4:4">
      <c r="D37" s="50"/>
    </row>
  </sheetData>
  <dataValidations count="4">
    <dataValidation type="list" allowBlank="1" showInputMessage="1" showErrorMessage="1" sqref="C8:D8">
      <formula1>"PAYER,RECEIVER"</formula1>
    </dataValidation>
    <dataValidation type="list" allowBlank="1" showInputMessage="1" showErrorMessage="1" sqref="C16:D16">
      <formula1>"MOD_FOLLOWING,FOLLOWING,MOD_PRECEDING,PRECEDING,NO_CHANGE"</formula1>
    </dataValidation>
    <dataValidation type="list" allowBlank="1" showInputMessage="1" showErrorMessage="1" sqref="C22:D22">
      <formula1>"None,ShortStart,ShortEnd,LongStart,LongEnd"</formula1>
    </dataValidation>
    <dataValidation type="list" allowBlank="1" showInputMessage="1" showErrorMessage="1" sqref="C13">
      <formula1>"GEOMETRIC, ARITHMETIC"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EUR Curve Config</vt:lpstr>
      <vt:lpstr>Build OIS Curve</vt:lpstr>
      <vt:lpstr>EUR OIS Swaps</vt:lpstr>
      <vt:lpstr>COB</vt:lpstr>
      <vt:lpstr>Curve.BuildProperties</vt:lpstr>
      <vt:lpstr>Curve.CollectionName</vt:lpstr>
      <vt:lpstr>Curve.MarketDataTable</vt:lpstr>
      <vt:lpstr>Curve.OISIndexName</vt:lpstr>
      <vt:lpstr>'EUR Curve Config'!Info</vt:lpstr>
      <vt:lpstr>isEUROISLoaded</vt:lpstr>
      <vt:lpstr>isLoadedOISCurve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2016-10-10T13:45:35Z</dcterms:modified>
</cp:coreProperties>
</file>