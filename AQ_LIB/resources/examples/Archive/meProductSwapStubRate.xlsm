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LIB\MLIBQ_DEV1\resource\examples\Archive\"/>
    </mc:Choice>
  </mc:AlternateContent>
  <bookViews>
    <workbookView xWindow="240" yWindow="255" windowWidth="18300" windowHeight="7260" tabRatio="857" activeTab="2"/>
  </bookViews>
  <sheets>
    <sheet name="EUR Curve Config" sheetId="55" r:id="rId1"/>
    <sheet name="EUR Curve" sheetId="118" r:id="rId2"/>
    <sheet name="EUR Stub Rate" sheetId="140" r:id="rId3"/>
  </sheets>
  <functionGroup name="Bloomberg"/>
  <functionGroup name="MIR_IRDERIVA"/>
  <functionGroup name="Raptor.Example"/>
  <functionGroup name="Raptor.StaticData"/>
  <functionGroup name="Raptor.MarketData"/>
  <functionGroup name="Raptor.Config"/>
  <functionGroup name="Raptor.Util"/>
  <functionGroup name="Raptor.Trade"/>
  <functionGroup name="Raptor.Analytic"/>
  <definedNames>
    <definedName name="AssetSwapFields.EUR" localSheetId="2">#REF!</definedName>
    <definedName name="AssetSwapFields.EUR">#REF!</definedName>
    <definedName name="AssetSwapFields.GBP" localSheetId="2">#REF!</definedName>
    <definedName name="AssetSwapFields.GBP">#REF!</definedName>
    <definedName name="AssetSwapFields.JPY" localSheetId="2">#REF!</definedName>
    <definedName name="AssetSwapFields.JPY">#REF!</definedName>
    <definedName name="AssetSwapFields.USD" localSheetId="2">#REF!</definedName>
    <definedName name="AssetSwapFields.USD">#REF!</definedName>
    <definedName name="AssetSwapISIN.EUR" localSheetId="2">#REF!</definedName>
    <definedName name="AssetSwapISIN.EUR">#REF!</definedName>
    <definedName name="AssetSwapISIN.GBP" localSheetId="2">#REF!</definedName>
    <definedName name="AssetSwapISIN.GBP">#REF!</definedName>
    <definedName name="AssetSwapISIN.JPY" localSheetId="2">#REF!</definedName>
    <definedName name="AssetSwapISIN.JPY">#REF!</definedName>
    <definedName name="AssetSwapISIN.USD" localSheetId="2">#REF!</definedName>
    <definedName name="AssetSwapISIN.USD">#REF!</definedName>
    <definedName name="AssetSwapOutput.EUR" localSheetId="2">#REF!</definedName>
    <definedName name="AssetSwapOutput.EUR">#REF!</definedName>
    <definedName name="AssetSwapOutput.GBP" localSheetId="2">#REF!</definedName>
    <definedName name="AssetSwapOutput.GBP">#REF!</definedName>
    <definedName name="AssetSwapOutput.JPY" localSheetId="2">#REF!</definedName>
    <definedName name="AssetSwapOutput.JPY">#REF!</definedName>
    <definedName name="AssetSwapOutput.USD" localSheetId="2">#REF!</definedName>
    <definedName name="AssetSwapOutput.USD">#REF!</definedName>
    <definedName name="AssetSwapOutputTopLeft.EUR" localSheetId="2">#REF!</definedName>
    <definedName name="AssetSwapOutputTopLeft.EUR">#REF!</definedName>
    <definedName name="AssetSwapOutputTopLeft.GBP" localSheetId="2">#REF!</definedName>
    <definedName name="AssetSwapOutputTopLeft.GBP">#REF!</definedName>
    <definedName name="AssetSwapOutputTopLeft.JPY" localSheetId="2">#REF!</definedName>
    <definedName name="AssetSwapOutputTopLeft.JPY">#REF!</definedName>
    <definedName name="AssetSwapOutputTopLeft.USD" localSheetId="2">#REF!</definedName>
    <definedName name="AssetSwapOutputTopLeft.USD">#REF!</definedName>
    <definedName name="AssetSwapRequestName.EUR" localSheetId="2">#REF!</definedName>
    <definedName name="AssetSwapRequestName.EUR">#REF!</definedName>
    <definedName name="AssetSwapRequestName.GBP" localSheetId="2">#REF!</definedName>
    <definedName name="AssetSwapRequestName.GBP">#REF!</definedName>
    <definedName name="AssetSwapRequestName.JPY" localSheetId="2">#REF!</definedName>
    <definedName name="AssetSwapRequestName.JPY">#REF!</definedName>
    <definedName name="AssetSwapRequestName.USD" localSheetId="2">#REF!</definedName>
    <definedName name="AssetSwapRequestName.USD">#REF!</definedName>
    <definedName name="BasisConv1x3" localSheetId="0">'EUR Curve Config'!$BM$9:$BN$78</definedName>
    <definedName name="BasisConv1x3">#REF!</definedName>
    <definedName name="BasisConv3x12">#REF!</definedName>
    <definedName name="BasisConv3x6" localSheetId="0">'EUR Curve Config'!$BG$9:$BH$78</definedName>
    <definedName name="BasisConv3x6">#REF!</definedName>
    <definedName name="BasisConv6x12" localSheetId="0">'EUR Curve Config'!$BS$9:$BT$78</definedName>
    <definedName name="BasisConv6x12">#REF!</definedName>
    <definedName name="BasisData1x3" localSheetId="0">'EUR Curve Config'!$BP$9:$BQ$78</definedName>
    <definedName name="BasisData1x3">#REF!</definedName>
    <definedName name="BasisData3x12">#REF!</definedName>
    <definedName name="BasisData3x6" localSheetId="0">'EUR Curve Config'!$BJ$9:$BK$78</definedName>
    <definedName name="BasisData3x6">#REF!</definedName>
    <definedName name="BasisData6x12" localSheetId="0">'EUR Curve Config'!$BV$9:$BW$78</definedName>
    <definedName name="BasisData6x12">#REF!</definedName>
    <definedName name="BlockConstForwardFX" localSheetId="0">'EUR Curve Config'!$CQ:$DB</definedName>
    <definedName name="BlockCurveNames" localSheetId="0">'EUR Curve Config'!$B:$F</definedName>
    <definedName name="BlockOISCurve" localSheetId="0">'EUR Curve Config'!$G:$AG</definedName>
    <definedName name="BlockSwapCurve" localSheetId="0">'EUR Curve Config'!$AH:$BC</definedName>
    <definedName name="BlockTenorBasis" localSheetId="0">'EUR Curve Config'!$BD:$BX</definedName>
    <definedName name="BlockXccyBasis" localSheetId="0">'EUR Curve Config'!$BY:$CP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Stub Rate'!$C$3</definedName>
    <definedName name="ConstForwardFXEURCSA" localSheetId="0">'EUR Curve Config'!$CT$8:$CU$78</definedName>
    <definedName name="ConstForwardFXEURCSA">#REF!</definedName>
    <definedName name="ConstForwardFXGBPCSA" localSheetId="0">'EUR Curve Config'!$CW$8:$CX$78</definedName>
    <definedName name="ConstForwardFXGBPCSA">#REF!</definedName>
    <definedName name="ConstForwardFXJPYCSA" localSheetId="0">'EUR Curve Config'!$CZ$8:$DA$78</definedName>
    <definedName name="ConstForwardFXJPYCSA">#REF!</definedName>
    <definedName name="ConstForwardFXProperties" localSheetId="0">'EUR Curve Config'!$CQ$8:$CR$78</definedName>
    <definedName name="ConstForwardFXProperties">#REF!</definedName>
    <definedName name="CurveBuildErrorCount" localSheetId="1">'EUR Curve'!#REF!</definedName>
    <definedName name="CurveConfig.FixingRate" localSheetId="0">'EUR Curve Config'!$AL$29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'EUR Curve'!$G:$H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'EUR Curve'!#REF!</definedName>
    <definedName name="CurveErrorsGBP" localSheetId="1">'EUR Curve'!#REF!</definedName>
    <definedName name="CurveErrorsJPY" localSheetId="1">'EUR Curve'!#REF!</definedName>
    <definedName name="CurveErrorsNativeCSAEUR">'EUR Curve'!#REF!</definedName>
    <definedName name="CurveErrorsNativeCSAGBP">'EUR Curve'!#REF!</definedName>
    <definedName name="CurveErrorsNativeCSAJPY">'EUR Curve'!#REF!</definedName>
    <definedName name="CurveErrorsNativeCSAUSD">'EUR Curve'!#REF!</definedName>
    <definedName name="CurveErrorsUSD" localSheetId="1">'EUR Curve'!#REF!</definedName>
    <definedName name="CurveLabels" localSheetId="1">'EUR Curve'!$D:$D,'EUR Curve'!#REF!,'EUR Curve'!#REF!,'EUR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'EUR Curve'!#REF!</definedName>
    <definedName name="ErrorCountGBPUSDCSA" localSheetId="1">'EUR Curve'!#REF!</definedName>
    <definedName name="ErrorCountJPYUSDCSA" localSheetId="1">'EUR Curve'!#REF!</definedName>
    <definedName name="ErrorCountUSDUSDCSA" localSheetId="1">'EUR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Config'!$AN$6:$AO$12</definedName>
    <definedName name="FRAConv">#REF!</definedName>
    <definedName name="FRADatax3" localSheetId="0">'EUR Curve Config'!$AN$16:$AO$25</definedName>
    <definedName name="FRADatax3">#REF!</definedName>
    <definedName name="FRADatax6" localSheetId="0">'EUR Curve Config'!$AN$29:$AO$78</definedName>
    <definedName name="FRADatax6">#REF!</definedName>
    <definedName name="FutureCurve.ChartRows">#REF!</definedName>
    <definedName name="FuturesConv" localSheetId="0">'EUR Curve Config'!$AQ$6:$AR$12</definedName>
    <definedName name="FuturesConv">#REF!</definedName>
    <definedName name="FuturesCurve.Copy">#REF!</definedName>
    <definedName name="FuturesCurve.Paste">#REF!</definedName>
    <definedName name="FuturesData" localSheetId="0">'EUR Curve Config'!$AQ$16:$AU$78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Config'!$AK$15:$AL$25</definedName>
    <definedName name="LiborConv">#REF!</definedName>
    <definedName name="LiborData" localSheetId="0">'EUR Curve Config'!$AK$29:$AL$78</definedName>
    <definedName name="LiborData">#REF!</definedName>
    <definedName name="MoneyMarketData" localSheetId="0">'EUR Curve Config'!$AK$8:$AL$12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 localSheetId="2">#REF!</definedName>
    <definedName name="RequestAssetSwapEUR">#REF!</definedName>
    <definedName name="RequestAssetSwapGBP" localSheetId="2">#REF!</definedName>
    <definedName name="RequestAssetSwapGBP">#REF!</definedName>
    <definedName name="RequestAssetSwapJPY" localSheetId="2">#REF!</definedName>
    <definedName name="RequestAssetSwapJPY">#REF!</definedName>
    <definedName name="RequestAssetSwapUSD" localSheetId="2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Config'!$AW$8:$AX$78</definedName>
    <definedName name="SwapsConv">#REF!</definedName>
    <definedName name="SwapsData" localSheetId="0">'EUR Curve Config'!$AZ$9:$BB$78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Config'!$CE$9:$CF$78</definedName>
    <definedName name="XccyBasisConvEURCSA">#REF!</definedName>
    <definedName name="XccyBasisConvGBPCSA" localSheetId="0">'EUR Curve Config'!$CH$9:$CI$78</definedName>
    <definedName name="XccyBasisConvGBPCSA">#REF!</definedName>
    <definedName name="XccyBasisConvJPYCSA" localSheetId="0">'EUR Curve Config'!$CK$9:$CL$78</definedName>
    <definedName name="XccyBasisConvJPYCSA">#REF!</definedName>
    <definedName name="XccyBasisConvUSDCSA" localSheetId="0">'EUR Curve Config'!$CB$9:$CC$78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Config'!$CN$9:$CO$78</definedName>
    <definedName name="XccyBasisData">#REF!</definedName>
    <definedName name="XccyBasisProperties" localSheetId="0">'EUR Curve Config'!$BY$8:$BZ$78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Config'!$AH$8:$AI$78</definedName>
    <definedName name="YieldCurvePropertiesSTD">#REF!</definedName>
    <definedName name="YieldCurvePropertiesTenorBasis" localSheetId="0">'EUR Curve Config'!$BD$8:$BE$78</definedName>
    <definedName name="YieldCurvePropertiesTenorBasis">#REF!</definedName>
    <definedName name="YieldCurvePropertiesXccyBasis" localSheetId="0">'EUR Curve Config'!$BY$8:$BZ$78</definedName>
    <definedName name="YieldCurvePropertiesXccyBasis">#REF!</definedName>
  </definedNames>
  <calcPr calcId="162913" calcMode="manual"/>
</workbook>
</file>

<file path=xl/calcChain.xml><?xml version="1.0" encoding="utf-8"?>
<calcChain xmlns="http://schemas.openxmlformats.org/spreadsheetml/2006/main">
  <c r="D48" i="140" l="1"/>
  <c r="D47" i="140"/>
  <c r="D46" i="140"/>
  <c r="F66" i="140"/>
  <c r="F65" i="140"/>
  <c r="F64" i="140"/>
  <c r="F63" i="140"/>
  <c r="F62" i="140"/>
  <c r="C46" i="140"/>
  <c r="C47" i="140"/>
  <c r="C48" i="140"/>
  <c r="C44" i="140"/>
  <c r="C43" i="140"/>
  <c r="F57" i="140"/>
  <c r="F56" i="140"/>
  <c r="F55" i="140"/>
  <c r="F54" i="140"/>
  <c r="F53" i="140"/>
  <c r="E7" i="118"/>
  <c r="I38" i="140" l="1"/>
  <c r="J38" i="140"/>
  <c r="I21" i="140"/>
  <c r="S21" i="140"/>
  <c r="O21" i="140"/>
  <c r="F21" i="140"/>
  <c r="G33" i="140"/>
  <c r="D21" i="140"/>
  <c r="T21" i="140"/>
  <c r="Q21" i="140"/>
  <c r="F33" i="140"/>
  <c r="G21" i="140"/>
  <c r="J21" i="140"/>
  <c r="C21" i="140"/>
  <c r="L21" i="140"/>
  <c r="P21" i="140"/>
  <c r="M21" i="140"/>
  <c r="D38" i="140" l="1"/>
  <c r="H7" i="118"/>
  <c r="L38" i="140"/>
  <c r="T38" i="140"/>
  <c r="G38" i="140"/>
  <c r="M38" i="140"/>
  <c r="G39" i="140"/>
  <c r="C64" i="140"/>
  <c r="S7" i="140"/>
  <c r="H64" i="140"/>
  <c r="G64" i="140"/>
  <c r="Q7" i="140"/>
  <c r="J39" i="140"/>
  <c r="I39" i="140"/>
  <c r="L39" i="140"/>
  <c r="J7" i="140"/>
  <c r="T7" i="140"/>
  <c r="G7" i="140"/>
  <c r="D7" i="140"/>
  <c r="C39" i="140"/>
  <c r="M7" i="140"/>
  <c r="E8" i="118"/>
  <c r="H8" i="118" l="1"/>
  <c r="C65" i="140"/>
  <c r="C62" i="140"/>
  <c r="C66" i="140"/>
  <c r="C63" i="140"/>
  <c r="E9" i="118"/>
  <c r="G63" i="140"/>
  <c r="H66" i="140"/>
  <c r="G66" i="140"/>
  <c r="H62" i="140"/>
  <c r="G65" i="140"/>
  <c r="H63" i="140"/>
  <c r="G62" i="140"/>
  <c r="H65" i="140"/>
  <c r="H9" i="118" l="1"/>
  <c r="F38" i="140"/>
  <c r="F39" i="140"/>
  <c r="C38" i="140"/>
  <c r="B56" i="140"/>
  <c r="B57" i="140"/>
  <c r="B54" i="140"/>
  <c r="B53" i="140"/>
  <c r="B55" i="140"/>
  <c r="O38" i="140"/>
  <c r="S38" i="140"/>
  <c r="Q38" i="140"/>
  <c r="P38" i="140"/>
  <c r="E10" i="118"/>
  <c r="G56" i="140"/>
  <c r="H56" i="140"/>
  <c r="H53" i="140"/>
  <c r="H57" i="140"/>
  <c r="H55" i="140"/>
  <c r="G55" i="140"/>
  <c r="G57" i="140"/>
  <c r="H54" i="140"/>
  <c r="G53" i="140"/>
  <c r="G54" i="140"/>
  <c r="H10" i="118" l="1"/>
  <c r="E11" i="118"/>
  <c r="L7" i="140"/>
  <c r="F7" i="140"/>
  <c r="C11" i="140"/>
  <c r="I7" i="140"/>
  <c r="O7" i="140"/>
  <c r="L11" i="140"/>
  <c r="F11" i="140"/>
  <c r="P7" i="140"/>
  <c r="I11" i="140"/>
  <c r="H11" i="118" l="1"/>
  <c r="C7" i="140" l="1"/>
</calcChain>
</file>

<file path=xl/comments1.xml><?xml version="1.0" encoding="utf-8"?>
<comments xmlns="http://schemas.openxmlformats.org/spreadsheetml/2006/main">
  <authors>
    <author>Ye Joseph</author>
  </authors>
  <commentList>
    <comment ref="G52" authorId="0" shapeId="0">
      <text>
        <r>
          <rPr>
            <b/>
            <sz val="9"/>
            <color indexed="81"/>
            <rFont val="Tahoma"/>
            <family val="2"/>
          </rPr>
          <t>I think tenor curve fixings should not be used if it's end stub</t>
        </r>
      </text>
    </comment>
    <comment ref="G61" authorId="0" shapeId="0">
      <text>
        <r>
          <rPr>
            <b/>
            <sz val="9"/>
            <color indexed="81"/>
            <rFont val="Tahoma"/>
            <family val="2"/>
          </rPr>
          <t>I think tenor curve fixings should not be used if it's end stub</t>
        </r>
      </text>
    </comment>
  </commentList>
</comments>
</file>

<file path=xl/sharedStrings.xml><?xml version="1.0" encoding="utf-8"?>
<sst xmlns="http://schemas.openxmlformats.org/spreadsheetml/2006/main" count="2657" uniqueCount="382">
  <si>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</si>
  <si>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</si>
  <si>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</si>
  <si>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</si>
  <si>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</si>
  <si>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</si>
  <si>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</si>
  <si>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</si>
  <si>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OIS Curve</t>
  </si>
  <si>
    <t>Tenor Basis</t>
  </si>
  <si>
    <t xml:space="preserve"> </t>
  </si>
  <si>
    <t>50Y</t>
  </si>
  <si>
    <t>40Y</t>
  </si>
  <si>
    <t>30Y</t>
  </si>
  <si>
    <t>25Y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</si>
  <si>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</si>
  <si>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</si>
  <si>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</si>
  <si>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</si>
  <si>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</si>
  <si>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</si>
  <si>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</si>
  <si>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</si>
  <si>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</si>
  <si>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fn_splineinterpolation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</si>
  <si>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</si>
  <si>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</si>
  <si>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</si>
  <si>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</si>
  <si>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</si>
  <si>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</si>
  <si>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</si>
  <si>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</si>
  <si>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</si>
  <si>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</si>
  <si>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</si>
  <si>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</si>
  <si>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</si>
  <si>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</si>
  <si>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</si>
  <si>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</si>
  <si>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</si>
  <si>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</si>
  <si>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</si>
  <si>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</si>
  <si>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Leg2index.fixing.calendar</t>
  </si>
  <si>
    <t>3M</t>
  </si>
  <si>
    <t>Xccy Basis</t>
  </si>
  <si>
    <t>Act/360</t>
  </si>
  <si>
    <t>Leg2index.daycount</t>
  </si>
  <si>
    <t>5X11</t>
  </si>
  <si>
    <t>Leg2index.accessary</t>
  </si>
  <si>
    <t>4X10</t>
  </si>
  <si>
    <t>STD</t>
  </si>
  <si>
    <t>Leg2forecast</t>
  </si>
  <si>
    <t>3X9</t>
  </si>
  <si>
    <t>Leg2discount</t>
  </si>
  <si>
    <t>2X8</t>
  </si>
  <si>
    <t>Leg2cashlet.spotlag</t>
  </si>
  <si>
    <t>ON</t>
  </si>
  <si>
    <t>Leg2cashlet.slidingrule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</si>
  <si>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</si>
  <si>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</si>
  <si>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</si>
  <si>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</si>
  <si>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</si>
  <si>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</si>
  <si>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</si>
  <si>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</si>
  <si>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</si>
  <si>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Leg2cashlet.daycount</t>
  </si>
  <si>
    <t>Leg2cashlet.calendar</t>
  </si>
  <si>
    <t/>
  </si>
  <si>
    <t>SlidingRule</t>
  </si>
  <si>
    <t>basis.interpolation.3m6mbasis</t>
  </si>
  <si>
    <t>Leg1index.slidingrule</t>
  </si>
  <si>
    <t>2W</t>
  </si>
  <si>
    <t>Resetlag</t>
  </si>
  <si>
    <t>Leg1index.resetlag</t>
  </si>
  <si>
    <t>yieldgen.interpolation</t>
  </si>
  <si>
    <t>Leg1index.payment.calendar</t>
  </si>
  <si>
    <t>IsTimeInterpolation</t>
  </si>
  <si>
    <t>no_change</t>
  </si>
  <si>
    <t>Leg1index.frequency</t>
  </si>
  <si>
    <t>false</t>
  </si>
  <si>
    <t>isswaptenoradjust</t>
  </si>
  <si>
    <t>Leg1index.fixing.calendar</t>
  </si>
  <si>
    <t>isspotuse</t>
  </si>
  <si>
    <t>IsNewtonraphson</t>
  </si>
  <si>
    <t>9Y</t>
  </si>
  <si>
    <t>Leg1index.daycount</t>
  </si>
  <si>
    <t>slidingrule</t>
  </si>
  <si>
    <t>Calendar</t>
  </si>
  <si>
    <t>8Y</t>
  </si>
  <si>
    <t>Leg1index.accessary</t>
  </si>
  <si>
    <t>continuous</t>
  </si>
  <si>
    <t>frequency</t>
  </si>
  <si>
    <t>IsEomRoll</t>
  </si>
  <si>
    <t>Daycount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</si>
  <si>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</si>
  <si>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</si>
  <si>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</si>
  <si>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</si>
  <si>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</si>
  <si>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</si>
  <si>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</si>
  <si>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</si>
  <si>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</si>
  <si>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</si>
  <si>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basisfunction</t>
  </si>
  <si>
    <t>Volatility</t>
  </si>
  <si>
    <t>EndDate</t>
  </si>
  <si>
    <t>StartDate</t>
  </si>
  <si>
    <t>future.interpolation</t>
  </si>
  <si>
    <t>Leg1cashlet.spotlag</t>
  </si>
  <si>
    <t>fn_linearinterpolation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</si>
  <si>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</si>
  <si>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</si>
  <si>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</si>
  <si>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</si>
  <si>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</si>
  <si>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</si>
  <si>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</si>
  <si>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</si>
  <si>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</si>
  <si>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</si>
  <si>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Leg1cashlet.daycount</t>
  </si>
  <si>
    <t>ShortMarket</t>
  </si>
  <si>
    <t>firstrate</t>
  </si>
  <si>
    <t>interpolation</t>
  </si>
  <si>
    <t>DayCountFloat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</si>
  <si>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</si>
  <si>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</si>
  <si>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</si>
  <si>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</si>
  <si>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</si>
  <si>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</si>
  <si>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</si>
  <si>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</si>
  <si>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</si>
  <si>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</si>
  <si>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</si>
  <si>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</si>
  <si>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</si>
  <si>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calendar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</si>
  <si>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</si>
  <si>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</si>
  <si>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</si>
  <si>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</si>
  <si>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</si>
  <si>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</si>
  <si>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</si>
  <si>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</si>
  <si>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</si>
  <si>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</si>
  <si>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</si>
  <si>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</si>
  <si>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</si>
  <si>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</si>
  <si>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EURBASISDISCOUNT</t>
  </si>
  <si>
    <t>Leg2Discount</t>
  </si>
  <si>
    <t>basis.interpolation.xccybasis</t>
  </si>
  <si>
    <t>Slidingrule</t>
  </si>
  <si>
    <t>EUR1M3MBASIS</t>
  </si>
  <si>
    <t>EUR3M6MBASIS</t>
  </si>
  <si>
    <t>OIS</t>
  </si>
  <si>
    <t>OIS:EUROIS</t>
  </si>
  <si>
    <t>3M6MBasis</t>
  </si>
  <si>
    <t>1M3MBasis</t>
  </si>
  <si>
    <t>XccyBasis</t>
  </si>
  <si>
    <t>FwdFXConst</t>
  </si>
  <si>
    <t>leg1discount</t>
  </si>
  <si>
    <t>leg1cashlet.calendar</t>
  </si>
  <si>
    <t>leg1forecast</t>
  </si>
  <si>
    <t>leg1cashlet.daycount</t>
  </si>
  <si>
    <t>leg2discount</t>
  </si>
  <si>
    <t>leg1cashlet.frequency</t>
  </si>
  <si>
    <t>leg2forecast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</si>
  <si>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</si>
  <si>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</si>
  <si>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</si>
  <si>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</si>
  <si>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</si>
  <si>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</si>
  <si>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</si>
  <si>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</si>
  <si>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</si>
  <si>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</si>
  <si>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</si>
  <si>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</si>
  <si>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</si>
  <si>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</si>
  <si>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</si>
  <si>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</si>
  <si>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</si>
  <si>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</si>
  <si>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</si>
  <si>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</si>
  <si>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</si>
  <si>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</si>
  <si>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</si>
  <si>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</si>
  <si>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</si>
  <si>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adjustvalue.interpolation</t>
  </si>
  <si>
    <t>isleg1spread</t>
  </si>
  <si>
    <t>frequencyfloat.1y</t>
  </si>
  <si>
    <t>Leg1Discount</t>
  </si>
  <si>
    <t>Tgt</t>
  </si>
  <si>
    <t>LnB:NYB:Tgt</t>
  </si>
  <si>
    <t>isRenotionalAdjust</t>
  </si>
  <si>
    <t>12M</t>
  </si>
  <si>
    <t>daycountfix</t>
  </si>
  <si>
    <t>semi-annual</t>
  </si>
  <si>
    <t>Tenor Basis 3x6</t>
  </si>
  <si>
    <t>Tenor Basis 1x3</t>
  </si>
  <si>
    <t>EONIA vs 12m Fixed</t>
  </si>
  <si>
    <t>6m Float vs 12m Fixed</t>
  </si>
  <si>
    <t>3M12MBasis</t>
  </si>
  <si>
    <t>6M12MBasis</t>
  </si>
  <si>
    <t>Tenor Basis 6x12</t>
  </si>
  <si>
    <t>STD: Swap Curve</t>
  </si>
  <si>
    <t>Curve Properties</t>
  </si>
  <si>
    <t>EUR6M12MBASIS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</si>
  <si>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</si>
  <si>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</si>
  <si>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</si>
  <si>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</si>
  <si>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</si>
  <si>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</si>
  <si>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</si>
  <si>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</si>
  <si>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Const Forward FX</t>
  </si>
  <si>
    <t>Const Forward FX Conventions: EURCSA</t>
  </si>
  <si>
    <t>Const Forward FX Conventions: GBPCSA</t>
  </si>
  <si>
    <t>Const Forward FX Conventions: JPYCSA</t>
  </si>
  <si>
    <t>XccyBasis:EURDISCOUNT:EURDF:DF</t>
  </si>
  <si>
    <t>OIS:EUROIS:EURDISCOUNT:EURDF:DF</t>
  </si>
  <si>
    <t>Basis Swap Data ( 6 x 12 )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</si>
  <si>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</si>
  <si>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</si>
  <si>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</si>
  <si>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</si>
  <si>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</si>
  <si>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</si>
  <si>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</si>
  <si>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</si>
  <si>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</si>
  <si>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</si>
  <si>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</si>
  <si>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</si>
  <si>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</si>
  <si>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</si>
  <si>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</si>
  <si>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</si>
  <si>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</si>
  <si>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Instruments Used</t>
  </si>
  <si>
    <t>Curve Names: Native CSA</t>
  </si>
  <si>
    <t>Act/365_isda</t>
  </si>
  <si>
    <t>Valuation Date</t>
  </si>
  <si>
    <t>Spline</t>
  </si>
  <si>
    <t>rollDay</t>
  </si>
  <si>
    <t>fixingLag</t>
  </si>
  <si>
    <t>0D</t>
  </si>
  <si>
    <t>StubType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</si>
  <si>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</si>
  <si>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</si>
  <si>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</si>
  <si>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</si>
  <si>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</si>
  <si>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</si>
  <si>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</si>
  <si>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</si>
  <si>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</si>
  <si>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</si>
  <si>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</si>
  <si>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</si>
  <si>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</si>
  <si>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</si>
  <si>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</si>
  <si>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</si>
  <si>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</si>
  <si>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</si>
  <si>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</si>
  <si>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</si>
  <si>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HW1F Convexity Adj</t>
  </si>
  <si>
    <t>MeanRev</t>
  </si>
  <si>
    <t>EUR3ML</t>
  </si>
  <si>
    <t>XccyBasis:EURDF_USDCSA</t>
  </si>
  <si>
    <t>OIS Discounting &amp; CSA Curves</t>
  </si>
  <si>
    <t>EUR6ML</t>
  </si>
  <si>
    <t>EURYC</t>
  </si>
  <si>
    <t>USDYC:OIS</t>
  </si>
  <si>
    <t>USDYC:STD</t>
  </si>
  <si>
    <t>EURYC:OIS</t>
  </si>
  <si>
    <t>EURYC:XccyBasis</t>
  </si>
  <si>
    <t>GBPYC:OIS</t>
  </si>
  <si>
    <t>GBPYC:XccyBasis</t>
  </si>
  <si>
    <t>JPYYC:OIS</t>
  </si>
  <si>
    <t>JPYYC:XccyBasis</t>
  </si>
  <si>
    <t>FwdFXConstEUR</t>
  </si>
  <si>
    <t>FwdFXConstGBP</t>
  </si>
  <si>
    <t>FwdFXConstJPY</t>
  </si>
  <si>
    <t>1D</t>
  </si>
  <si>
    <t>LIBOR Swap Conventions</t>
  </si>
  <si>
    <t>LIBOR-OIS Basis Conventions</t>
  </si>
  <si>
    <t>longterm.generatemethod</t>
  </si>
  <si>
    <t>dailyaveraging</t>
  </si>
  <si>
    <t>Fixing O/N Rates</t>
  </si>
  <si>
    <t>ApplyTension</t>
  </si>
  <si>
    <t>TensionGap</t>
  </si>
  <si>
    <t>Calculating swap stub rate</t>
  </si>
  <si>
    <t>TenorCurveFixings</t>
  </si>
  <si>
    <t>NATURAL</t>
  </si>
  <si>
    <t>ANNUAL</t>
  </si>
  <si>
    <t>StubStart</t>
  </si>
  <si>
    <t>annual</t>
  </si>
  <si>
    <t>monthly</t>
  </si>
  <si>
    <t>quarterly</t>
  </si>
  <si>
    <t>EUR1ML</t>
  </si>
  <si>
    <t>EUR12ML</t>
  </si>
  <si>
    <t>1Y4M</t>
  </si>
  <si>
    <t>StubEnd</t>
  </si>
  <si>
    <t>None</t>
  </si>
  <si>
    <t>End Date</t>
  </si>
  <si>
    <t>5W</t>
  </si>
  <si>
    <t>55W</t>
  </si>
  <si>
    <t>Forward rates from Spot date</t>
  </si>
  <si>
    <t>Forward rates from a future date</t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</si>
  <si>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Use 3M curve as specified. </t>
    </r>
    <r>
      <rPr>
        <b/>
        <u/>
        <sz val="11"/>
        <color theme="1"/>
        <rFont val="Calibri"/>
        <family val="2"/>
        <scheme val="minor"/>
      </rPr>
      <t>Using given rates 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</si>
  <si>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Pick the nearest curve which is expected to be the 3M curve.</t>
    </r>
    <r>
      <rPr>
        <b/>
        <u/>
        <sz val="11"/>
        <color theme="1"/>
        <rFont val="Calibri"/>
        <family val="2"/>
        <scheme val="minor"/>
      </rPr>
      <t xml:space="preserve"> Using given rates 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</si>
  <si>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Pick the nearest curve which is expected to be the 3M curve. </t>
    </r>
    <r>
      <rPr>
        <b/>
        <u/>
        <sz val="11"/>
        <color theme="1"/>
        <rFont val="Calibri"/>
        <family val="2"/>
        <scheme val="minor"/>
      </rPr>
      <t>Read rates off curves.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</si>
  <si>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Use given 1M curve. Forward rates read off curves. 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</si>
  <si>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Pick the nearest curve which is expected to be the 1M curve. Forward rates read off curves. 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</si>
  <si>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Using given rates. Results match manual interpolation. Interpolating </t>
    </r>
    <r>
      <rPr>
        <b/>
        <u/>
        <sz val="11"/>
        <color theme="1"/>
        <rFont val="Calibri"/>
        <family val="2"/>
        <scheme val="minor"/>
      </rPr>
      <t>between OIS and 1M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</si>
  <si>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Read rates off curves. Interpolating </t>
    </r>
    <r>
      <rPr>
        <b/>
        <u/>
        <sz val="11"/>
        <color theme="1"/>
        <rFont val="Calibri"/>
        <family val="2"/>
        <scheme val="minor"/>
      </rPr>
      <t>between OIS and 1M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</si>
  <si>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Using given rates. Results match manual interpolation. Interpolating</t>
    </r>
    <r>
      <rPr>
        <b/>
        <u/>
        <sz val="11"/>
        <color theme="1"/>
        <rFont val="Calibri"/>
        <family val="2"/>
        <scheme val="minor"/>
      </rPr>
      <t xml:space="preserve"> 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</si>
  <si>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Read rates off curves. Interpolating </t>
    </r>
    <r>
      <rPr>
        <b/>
        <u/>
        <sz val="11"/>
        <color theme="1"/>
        <rFont val="Calibri"/>
        <family val="2"/>
        <scheme val="minor"/>
      </rPr>
      <t>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</si>
  <si>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Using given rates. Results match manual interpolation. </t>
    </r>
    <r>
      <rPr>
        <b/>
        <u/>
        <sz val="11"/>
        <color theme="1"/>
        <rFont val="Calibri"/>
        <family val="2"/>
        <scheme val="minor"/>
      </rPr>
      <t>Interpolating between 1M and 3M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</si>
  <si>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</t>
    </r>
    <r>
      <rPr>
        <b/>
        <u/>
        <sz val="11"/>
        <color theme="1"/>
        <rFont val="Calibri"/>
        <family val="2"/>
        <scheme val="minor"/>
      </rPr>
      <t>Using given rates.</t>
    </r>
    <r>
      <rPr>
        <sz val="11"/>
        <color theme="1"/>
        <rFont val="Calibri"/>
        <family val="2"/>
        <scheme val="minor"/>
      </rPr>
      <t xml:space="preserve"> Interpolating </t>
    </r>
    <r>
      <rPr>
        <b/>
        <u/>
        <sz val="11"/>
        <color theme="1"/>
        <rFont val="Calibri"/>
        <family val="2"/>
        <scheme val="minor"/>
      </rPr>
      <t>bewteen 3M and 6M.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</si>
  <si>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start</t>
    </r>
    <r>
      <rPr>
        <sz val="11"/>
        <color theme="1"/>
        <rFont val="Calibri"/>
        <family val="2"/>
        <scheme val="minor"/>
      </rPr>
      <t xml:space="preserve"> stub. </t>
    </r>
    <r>
      <rPr>
        <b/>
        <u/>
        <sz val="11"/>
        <color theme="1"/>
        <rFont val="Calibri"/>
        <family val="2"/>
        <scheme val="minor"/>
      </rPr>
      <t xml:space="preserve">Read forward rates off curves. </t>
    </r>
    <r>
      <rPr>
        <sz val="11"/>
        <color theme="1"/>
        <rFont val="Calibri"/>
        <family val="2"/>
        <scheme val="minor"/>
      </rPr>
      <t xml:space="preserve">Interpolating </t>
    </r>
    <r>
      <rPr>
        <b/>
        <u/>
        <sz val="11"/>
        <color theme="1"/>
        <rFont val="Calibri"/>
        <family val="2"/>
        <scheme val="minor"/>
      </rPr>
      <t>bewteen 3M and 6M.</t>
    </r>
  </si>
  <si>
    <r>
      <t xml:space="preserve">Short </t>
    </r>
    <r>
      <rPr>
        <b/>
        <u/>
        <sz val="11"/>
        <color theme="1"/>
        <rFont val="Calibri"/>
        <family val="2"/>
        <scheme val="minor"/>
      </rPr>
      <t>end</t>
    </r>
    <r>
      <rPr>
        <sz val="11"/>
        <color theme="1"/>
        <rFont val="Calibri"/>
        <family val="2"/>
        <scheme val="minor"/>
      </rPr>
      <t xml:space="preserve"> stub. Using given rates. Reading forward rates off curves. </t>
    </r>
    <r>
      <rPr>
        <b/>
        <u/>
        <sz val="11"/>
        <color theme="1"/>
        <rFont val="Calibri"/>
        <family val="2"/>
        <scheme val="minor"/>
      </rPr>
      <t>Interpolating between 1M and 3M</t>
    </r>
  </si>
  <si>
    <r>
      <t>Short</t>
    </r>
    <r>
      <rPr>
        <b/>
        <u/>
        <sz val="11"/>
        <color theme="1"/>
        <rFont val="Calibri"/>
        <family val="2"/>
        <scheme val="minor"/>
      </rPr>
      <t>Start</t>
    </r>
  </si>
  <si>
    <r>
      <t>Short</t>
    </r>
    <r>
      <rPr>
        <b/>
        <u/>
        <sz val="11"/>
        <color theme="1"/>
        <rFont val="Calibri"/>
        <family val="2"/>
        <scheme val="minor"/>
      </rPr>
      <t>End</t>
    </r>
  </si>
  <si>
    <t>Test 1</t>
  </si>
  <si>
    <t>Test 2</t>
  </si>
  <si>
    <t>Test 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</si>
  <si>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</si>
  <si>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</si>
  <si>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</si>
  <si>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</si>
  <si>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</si>
  <si>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</si>
  <si>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</si>
  <si>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</si>
  <si>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</si>
  <si>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</si>
  <si>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MeanReversion</t>
  </si>
  <si>
    <t>Check Results</t>
  </si>
  <si>
    <t>Swap Stub Rates</t>
  </si>
  <si>
    <r>
      <t>Short</t>
    </r>
    <r>
      <rPr>
        <b/>
        <u/>
        <sz val="11"/>
        <rFont val="Calibri"/>
        <family val="2"/>
        <scheme val="minor"/>
      </rPr>
      <t>Start</t>
    </r>
  </si>
  <si>
    <t>Tests</t>
  </si>
  <si>
    <t>Test Description</t>
  </si>
  <si>
    <t>meProductSwapStubRate</t>
  </si>
  <si>
    <t>StubTolerance</t>
  </si>
  <si>
    <t>CurveCollection</t>
  </si>
  <si>
    <t>firstStubDate</t>
  </si>
  <si>
    <t>lastStubDate</t>
  </si>
  <si>
    <t>EffectiveDate</t>
  </si>
  <si>
    <t>MaturityDate</t>
  </si>
  <si>
    <t>businessDayAdjustment</t>
  </si>
  <si>
    <t>DiscountCurve</t>
  </si>
  <si>
    <t>ForecastCurve</t>
  </si>
  <si>
    <t>meProductSwapParRate</t>
  </si>
  <si>
    <t>no tenorCurveFixings</t>
  </si>
  <si>
    <t>Fixing of future dates</t>
  </si>
  <si>
    <t>fixedFrequency</t>
  </si>
  <si>
    <t>floatFrequency</t>
  </si>
  <si>
    <t>fixed</t>
  </si>
  <si>
    <t>float</t>
  </si>
  <si>
    <t>meUtilityInterpolation</t>
  </si>
  <si>
    <t>UseCurveIndex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</si>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</sst>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#,##0.00000"/>
    <numFmt numFmtId="170" formatCode="0.0000%"/>
    <numFmt numFmtId="171" formatCode="0.00000%"/>
    <numFmt numFmtId="172" formatCode="dd/m/yy"/>
    <numFmt numFmtId="173" formatCode="dd\-mmm\-yy;dd\-mmm\-yy;"/>
    <numFmt numFmtId="174" formatCode="_ * #,##0_ ;_ * \-#,##0_ ;_ * &quot;-&quot;_ ;_ @_ "/>
    <numFmt numFmtId="175" formatCode="0.000000000%"/>
    <numFmt numFmtId="176" formatCode="0.00000000000%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CDA"/>
        <bgColor indexed="64"/>
      </patternFill>
    </fill>
    <fill>
      <patternFill patternType="solid">
        <fgColor rgb="FF66FF3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0" fontId="18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8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2" fontId="28" fillId="18" borderId="2" applyBorder="0">
      <alignment horizontal="left"/>
      <protection locked="0"/>
    </xf>
    <xf numFmtId="172" fontId="28" fillId="18" borderId="31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3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174" fontId="2" fillId="0" borderId="0" applyFont="0" applyFill="0" applyBorder="0" applyAlignment="0" applyProtection="0"/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296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1" fontId="0" fillId="8" borderId="4" xfId="0" applyNumberFormat="1" applyFill="1" applyBorder="1" applyAlignment="1">
      <alignment horizontal="center" vertical="center"/>
    </xf>
    <xf numFmtId="171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1" fontId="0" fillId="8" borderId="18" xfId="0" applyNumberFormat="1" applyFill="1" applyBorder="1" applyAlignment="1">
      <alignment horizontal="center" vertical="center"/>
    </xf>
    <xf numFmtId="171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9" fontId="8" fillId="8" borderId="0" xfId="10" quotePrefix="1" applyNumberFormat="1" applyFont="1" applyFill="1" applyBorder="1" applyAlignment="1">
      <alignment horizontal="center" vertical="center"/>
    </xf>
    <xf numFmtId="171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9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9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1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1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3" fillId="0" borderId="0" xfId="0" applyFont="1"/>
    <xf numFmtId="0" fontId="34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7" fillId="4" borderId="13" xfId="0" applyFont="1" applyFill="1" applyBorder="1" applyAlignment="1">
      <alignment horizontal="center" vertical="center"/>
    </xf>
    <xf numFmtId="0" fontId="37" fillId="4" borderId="7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8" fillId="8" borderId="7" xfId="10" quotePrefix="1" applyNumberFormat="1" applyFont="1" applyFill="1" applyBorder="1" applyAlignment="1">
      <alignment horizontal="center" vertical="center"/>
    </xf>
    <xf numFmtId="168" fontId="8" fillId="8" borderId="7" xfId="1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/>
    </xf>
    <xf numFmtId="168" fontId="0" fillId="8" borderId="9" xfId="0" applyNumberFormat="1" applyFill="1" applyBorder="1" applyAlignment="1">
      <alignment horizontal="center"/>
    </xf>
    <xf numFmtId="0" fontId="36" fillId="0" borderId="0" xfId="0" applyFont="1" applyAlignment="1">
      <alignment horizontal="center" vertical="center"/>
    </xf>
    <xf numFmtId="0" fontId="7" fillId="0" borderId="0" xfId="0" applyFont="1"/>
    <xf numFmtId="0" fontId="41" fillId="0" borderId="0" xfId="0" applyFont="1"/>
    <xf numFmtId="0" fontId="0" fillId="0" borderId="0" xfId="0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168" fontId="40" fillId="8" borderId="0" xfId="0" applyNumberFormat="1" applyFont="1" applyFill="1" applyBorder="1" applyAlignment="1">
      <alignment horizontal="center" vertical="center"/>
    </xf>
    <xf numFmtId="0" fontId="40" fillId="8" borderId="8" xfId="0" applyFont="1" applyFill="1" applyBorder="1" applyAlignment="1">
      <alignment horizontal="center" vertical="center"/>
    </xf>
    <xf numFmtId="168" fontId="40" fillId="8" borderId="10" xfId="0" applyNumberFormat="1" applyFont="1" applyFill="1" applyBorder="1" applyAlignment="1">
      <alignment horizontal="center" vertical="center"/>
    </xf>
    <xf numFmtId="4" fontId="40" fillId="8" borderId="11" xfId="0" applyNumberFormat="1" applyFont="1" applyFill="1" applyBorder="1" applyAlignment="1">
      <alignment horizontal="center" vertical="center"/>
    </xf>
    <xf numFmtId="168" fontId="40" fillId="8" borderId="13" xfId="0" applyNumberFormat="1" applyFont="1" applyFill="1" applyBorder="1" applyAlignment="1">
      <alignment horizontal="center" vertical="center"/>
    </xf>
    <xf numFmtId="4" fontId="40" fillId="8" borderId="6" xfId="0" applyNumberFormat="1" applyFont="1" applyFill="1" applyBorder="1" applyAlignment="1">
      <alignment horizontal="center" vertical="center"/>
    </xf>
    <xf numFmtId="168" fontId="40" fillId="8" borderId="7" xfId="0" applyNumberFormat="1" applyFont="1" applyFill="1" applyBorder="1" applyAlignment="1">
      <alignment horizontal="center" vertical="center"/>
    </xf>
    <xf numFmtId="0" fontId="40" fillId="8" borderId="7" xfId="0" applyFont="1" applyFill="1" applyBorder="1" applyAlignment="1">
      <alignment horizontal="center" vertical="center"/>
    </xf>
    <xf numFmtId="4" fontId="40" fillId="8" borderId="8" xfId="0" applyNumberFormat="1" applyFont="1" applyFill="1" applyBorder="1" applyAlignment="1">
      <alignment horizontal="center" vertical="center"/>
    </xf>
    <xf numFmtId="0" fontId="40" fillId="8" borderId="9" xfId="0" applyFont="1" applyFill="1" applyBorder="1" applyAlignment="1">
      <alignment horizontal="center" vertical="center"/>
    </xf>
    <xf numFmtId="0" fontId="1" fillId="0" borderId="0" xfId="0" applyFont="1"/>
    <xf numFmtId="170" fontId="40" fillId="8" borderId="13" xfId="0" applyNumberFormat="1" applyFont="1" applyFill="1" applyBorder="1" applyAlignment="1">
      <alignment horizontal="center" vertical="center"/>
    </xf>
    <xf numFmtId="170" fontId="40" fillId="8" borderId="7" xfId="0" applyNumberFormat="1" applyFont="1" applyFill="1" applyBorder="1" applyAlignment="1">
      <alignment horizontal="center" vertical="center"/>
    </xf>
    <xf numFmtId="170" fontId="40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15" fontId="40" fillId="8" borderId="0" xfId="0" applyNumberFormat="1" applyFont="1" applyFill="1" applyBorder="1" applyAlignment="1">
      <alignment horizontal="center" vertical="center"/>
    </xf>
    <xf numFmtId="0" fontId="40" fillId="7" borderId="4" xfId="0" applyFont="1" applyFill="1" applyBorder="1" applyAlignment="1">
      <alignment horizontal="center" vertical="center"/>
    </xf>
    <xf numFmtId="171" fontId="40" fillId="8" borderId="4" xfId="0" applyNumberFormat="1" applyFont="1" applyFill="1" applyBorder="1" applyAlignment="1">
      <alignment horizontal="center" vertical="center"/>
    </xf>
    <xf numFmtId="0" fontId="40" fillId="7" borderId="5" xfId="0" applyFont="1" applyFill="1" applyBorder="1" applyAlignment="1">
      <alignment horizontal="center" vertical="center"/>
    </xf>
    <xf numFmtId="171" fontId="40" fillId="8" borderId="5" xfId="0" applyNumberFormat="1" applyFont="1" applyFill="1" applyBorder="1" applyAlignment="1">
      <alignment horizontal="center" vertical="center"/>
    </xf>
    <xf numFmtId="171" fontId="40" fillId="8" borderId="7" xfId="0" applyNumberFormat="1" applyFont="1" applyFill="1" applyBorder="1" applyAlignment="1">
      <alignment horizontal="center" vertical="center"/>
    </xf>
    <xf numFmtId="171" fontId="40" fillId="8" borderId="9" xfId="0" applyNumberFormat="1" applyFont="1" applyFill="1" applyBorder="1" applyAlignment="1">
      <alignment horizontal="center" vertical="center"/>
    </xf>
    <xf numFmtId="10" fontId="0" fillId="5" borderId="3" xfId="0" quotePrefix="1" applyNumberFormat="1" applyFont="1" applyFill="1" applyBorder="1" applyAlignment="1">
      <alignment horizontal="center" vertical="center"/>
    </xf>
    <xf numFmtId="10" fontId="0" fillId="5" borderId="5" xfId="0" quotePrefix="1" applyNumberFormat="1" applyFont="1" applyFill="1" applyBorder="1" applyAlignment="1">
      <alignment horizontal="center" vertical="center"/>
    </xf>
    <xf numFmtId="0" fontId="0" fillId="33" borderId="3" xfId="0" quotePrefix="1" applyFont="1" applyFill="1" applyBorder="1" applyAlignment="1">
      <alignment horizontal="center" vertical="center"/>
    </xf>
    <xf numFmtId="0" fontId="0" fillId="33" borderId="5" xfId="0" applyFill="1" applyBorder="1" applyAlignment="1">
      <alignment horizontal="center" vertical="center"/>
    </xf>
    <xf numFmtId="0" fontId="0" fillId="33" borderId="4" xfId="0" quotePrefix="1" applyFont="1" applyFill="1" applyBorder="1" applyAlignment="1">
      <alignment horizontal="center" vertical="center"/>
    </xf>
    <xf numFmtId="10" fontId="0" fillId="5" borderId="4" xfId="0" quotePrefix="1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left" vertical="center"/>
    </xf>
    <xf numFmtId="0" fontId="8" fillId="8" borderId="6" xfId="0" quotePrefix="1" applyFont="1" applyFill="1" applyBorder="1" applyAlignment="1">
      <alignment horizontal="left" vertical="center"/>
    </xf>
    <xf numFmtId="0" fontId="40" fillId="4" borderId="3" xfId="0" applyFont="1" applyFill="1" applyBorder="1" applyAlignment="1">
      <alignment horizontal="left" vertical="center"/>
    </xf>
    <xf numFmtId="0" fontId="40" fillId="4" borderId="4" xfId="0" applyFont="1" applyFill="1" applyBorder="1" applyAlignment="1">
      <alignment horizontal="left" vertical="center"/>
    </xf>
    <xf numFmtId="0" fontId="40" fillId="4" borderId="4" xfId="0" quotePrefix="1" applyFont="1" applyFill="1" applyBorder="1" applyAlignment="1">
      <alignment horizontal="left" vertical="center"/>
    </xf>
    <xf numFmtId="0" fontId="8" fillId="31" borderId="3" xfId="0" applyFont="1" applyFill="1" applyBorder="1"/>
    <xf numFmtId="0" fontId="8" fillId="31" borderId="4" xfId="0" applyFont="1" applyFill="1" applyBorder="1"/>
    <xf numFmtId="0" fontId="8" fillId="31" borderId="33" xfId="0" applyFont="1" applyFill="1" applyBorder="1"/>
    <xf numFmtId="0" fontId="8" fillId="31" borderId="5" xfId="0" applyFont="1" applyFill="1" applyBorder="1"/>
    <xf numFmtId="0" fontId="37" fillId="4" borderId="7" xfId="0" quotePrefix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31" borderId="4" xfId="0" applyFont="1" applyFill="1" applyBorder="1"/>
    <xf numFmtId="0" fontId="8" fillId="0" borderId="0" xfId="0" applyFont="1" applyAlignment="1">
      <alignment horizontal="left" vertical="center"/>
    </xf>
    <xf numFmtId="0" fontId="40" fillId="32" borderId="4" xfId="0" quotePrefix="1" applyFont="1" applyFill="1" applyBorder="1" applyAlignment="1">
      <alignment horizontal="left" vertical="center"/>
    </xf>
    <xf numFmtId="0" fontId="40" fillId="32" borderId="5" xfId="0" quotePrefix="1" applyFont="1" applyFill="1" applyBorder="1" applyAlignment="1">
      <alignment horizontal="left" vertical="center"/>
    </xf>
    <xf numFmtId="0" fontId="35" fillId="32" borderId="33" xfId="0" applyFont="1" applyFill="1" applyBorder="1" applyAlignment="1">
      <alignment horizontal="left" vertical="center"/>
    </xf>
    <xf numFmtId="0" fontId="35" fillId="32" borderId="4" xfId="0" applyFont="1" applyFill="1" applyBorder="1" applyAlignment="1">
      <alignment horizontal="left" vertical="center"/>
    </xf>
    <xf numFmtId="0" fontId="35" fillId="32" borderId="5" xfId="0" applyFont="1" applyFill="1" applyBorder="1" applyAlignment="1">
      <alignment horizontal="left" vertical="center"/>
    </xf>
    <xf numFmtId="0" fontId="37" fillId="32" borderId="19" xfId="0" applyFont="1" applyFill="1" applyBorder="1" applyAlignment="1">
      <alignment horizontal="center" vertical="center"/>
    </xf>
    <xf numFmtId="0" fontId="37" fillId="32" borderId="4" xfId="0" applyFont="1" applyFill="1" applyBorder="1" applyAlignment="1">
      <alignment horizontal="center" vertical="center"/>
    </xf>
    <xf numFmtId="0" fontId="37" fillId="32" borderId="5" xfId="0" applyFont="1" applyFill="1" applyBorder="1" applyAlignment="1">
      <alignment horizontal="center" vertical="center"/>
    </xf>
    <xf numFmtId="0" fontId="40" fillId="32" borderId="33" xfId="0" quotePrefix="1" applyFont="1" applyFill="1" applyBorder="1" applyAlignment="1">
      <alignment horizontal="left" vertical="center"/>
    </xf>
    <xf numFmtId="0" fontId="40" fillId="32" borderId="4" xfId="0" quotePrefix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0" fontId="40" fillId="8" borderId="17" xfId="0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175" fontId="0" fillId="0" borderId="0" xfId="0" applyNumberFormat="1"/>
    <xf numFmtId="170" fontId="40" fillId="8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5" fontId="0" fillId="0" borderId="35" xfId="0" applyNumberFormat="1" applyBorder="1" applyAlignment="1">
      <alignment horizontal="center" vertical="center"/>
    </xf>
    <xf numFmtId="15" fontId="0" fillId="0" borderId="37" xfId="0" applyNumberFormat="1" applyFill="1" applyBorder="1" applyAlignment="1">
      <alignment horizontal="center" vertical="center"/>
    </xf>
    <xf numFmtId="0" fontId="0" fillId="31" borderId="28" xfId="0" applyFill="1" applyBorder="1"/>
    <xf numFmtId="15" fontId="0" fillId="0" borderId="36" xfId="0" quotePrefix="1" applyNumberFormat="1" applyBorder="1" applyAlignment="1">
      <alignment horizontal="center" vertical="center"/>
    </xf>
    <xf numFmtId="15" fontId="0" fillId="0" borderId="0" xfId="0" applyNumberFormat="1" applyAlignment="1">
      <alignment horizontal="center"/>
    </xf>
    <xf numFmtId="176" fontId="0" fillId="0" borderId="0" xfId="0" applyNumberFormat="1"/>
    <xf numFmtId="15" fontId="0" fillId="0" borderId="0" xfId="0" applyNumberFormat="1" applyAlignment="1">
      <alignment vertical="center"/>
    </xf>
    <xf numFmtId="0" fontId="15" fillId="0" borderId="0" xfId="0" applyFont="1"/>
    <xf numFmtId="0" fontId="15" fillId="31" borderId="26" xfId="0" applyFont="1" applyFill="1" applyBorder="1" applyAlignment="1">
      <alignment horizontal="left"/>
    </xf>
    <xf numFmtId="0" fontId="0" fillId="31" borderId="26" xfId="0" applyFill="1" applyBorder="1" applyAlignment="1">
      <alignment horizontal="left" vertical="center"/>
    </xf>
    <xf numFmtId="15" fontId="0" fillId="31" borderId="26" xfId="0" applyNumberFormat="1" applyFill="1" applyBorder="1" applyAlignment="1">
      <alignment horizontal="center" vertical="center"/>
    </xf>
    <xf numFmtId="15" fontId="0" fillId="0" borderId="39" xfId="0" applyNumberFormat="1" applyFill="1" applyBorder="1" applyAlignment="1">
      <alignment horizontal="center" vertical="center"/>
    </xf>
    <xf numFmtId="15" fontId="0" fillId="0" borderId="41" xfId="0" applyNumberFormat="1" applyBorder="1" applyAlignment="1">
      <alignment horizontal="center" vertical="center"/>
    </xf>
    <xf numFmtId="15" fontId="0" fillId="0" borderId="40" xfId="0" quotePrefix="1" applyNumberFormat="1" applyBorder="1" applyAlignment="1">
      <alignment horizontal="center" vertical="center"/>
    </xf>
    <xf numFmtId="15" fontId="8" fillId="0" borderId="39" xfId="0" applyNumberFormat="1" applyFont="1" applyFill="1" applyBorder="1" applyAlignment="1">
      <alignment horizontal="center" vertical="center"/>
    </xf>
    <xf numFmtId="15" fontId="8" fillId="0" borderId="37" xfId="0" applyNumberFormat="1" applyFont="1" applyFill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15" fontId="8" fillId="0" borderId="41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5" fontId="0" fillId="0" borderId="41" xfId="0" applyNumberFormat="1" applyFill="1" applyBorder="1" applyAlignment="1">
      <alignment horizontal="center" vertical="center"/>
    </xf>
    <xf numFmtId="15" fontId="0" fillId="0" borderId="35" xfId="0" applyNumberForma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15" fontId="8" fillId="0" borderId="0" xfId="0" applyNumberFormat="1" applyFont="1" applyFill="1" applyAlignment="1">
      <alignment horizontal="center" vertical="center"/>
    </xf>
    <xf numFmtId="0" fontId="14" fillId="31" borderId="26" xfId="0" applyFont="1" applyFill="1" applyBorder="1" applyAlignment="1">
      <alignment horizontal="center" vertical="center"/>
    </xf>
    <xf numFmtId="0" fontId="0" fillId="32" borderId="39" xfId="0" applyFill="1" applyBorder="1" applyAlignment="1">
      <alignment horizontal="center" vertical="center" wrapText="1"/>
    </xf>
    <xf numFmtId="0" fontId="0" fillId="32" borderId="40" xfId="0" applyFill="1" applyBorder="1" applyAlignment="1">
      <alignment horizontal="center" vertical="center" wrapText="1"/>
    </xf>
    <xf numFmtId="0" fontId="8" fillId="34" borderId="38" xfId="0" quotePrefix="1" applyFont="1" applyFill="1" applyBorder="1" applyAlignment="1">
      <alignment horizontal="center" vertical="center"/>
    </xf>
    <xf numFmtId="175" fontId="40" fillId="34" borderId="26" xfId="0" applyNumberFormat="1" applyFont="1" applyFill="1" applyBorder="1" applyAlignment="1">
      <alignment horizontal="center" vertical="center"/>
    </xf>
    <xf numFmtId="175" fontId="40" fillId="31" borderId="26" xfId="0" applyNumberFormat="1" applyFont="1" applyFill="1" applyBorder="1" applyAlignment="1">
      <alignment horizontal="center" vertical="center"/>
    </xf>
    <xf numFmtId="0" fontId="0" fillId="31" borderId="41" xfId="0" applyFill="1" applyBorder="1"/>
    <xf numFmtId="0" fontId="0" fillId="31" borderId="39" xfId="0" applyFill="1" applyBorder="1"/>
    <xf numFmtId="0" fontId="0" fillId="31" borderId="40" xfId="0" applyFill="1" applyBorder="1"/>
    <xf numFmtId="15" fontId="0" fillId="0" borderId="42" xfId="0" quotePrefix="1" applyNumberFormat="1" applyBorder="1" applyAlignment="1">
      <alignment horizontal="center" vertical="center"/>
    </xf>
    <xf numFmtId="15" fontId="8" fillId="0" borderId="43" xfId="0" applyNumberFormat="1" applyFont="1" applyFill="1" applyBorder="1" applyAlignment="1">
      <alignment horizontal="center" vertical="center"/>
    </xf>
    <xf numFmtId="15" fontId="0" fillId="0" borderId="44" xfId="0" applyNumberFormat="1" applyBorder="1" applyAlignment="1">
      <alignment horizontal="center" vertical="center"/>
    </xf>
    <xf numFmtId="0" fontId="8" fillId="0" borderId="42" xfId="0" quotePrefix="1" applyFont="1" applyFill="1" applyBorder="1" applyAlignment="1">
      <alignment horizontal="center" vertical="center"/>
    </xf>
    <xf numFmtId="0" fontId="0" fillId="0" borderId="40" xfId="0" quotePrefix="1" applyFill="1" applyBorder="1" applyAlignment="1">
      <alignment horizontal="center" vertical="center"/>
    </xf>
    <xf numFmtId="0" fontId="0" fillId="0" borderId="45" xfId="0" applyFill="1" applyBorder="1" applyAlignment="1">
      <alignment vertical="center"/>
    </xf>
    <xf numFmtId="0" fontId="8" fillId="34" borderId="26" xfId="0" quotePrefix="1" applyFont="1" applyFill="1" applyBorder="1" applyAlignment="1">
      <alignment horizontal="center" vertical="center"/>
    </xf>
    <xf numFmtId="0" fontId="8" fillId="34" borderId="46" xfId="0" quotePrefix="1" applyFont="1" applyFill="1" applyBorder="1" applyAlignment="1">
      <alignment horizontal="center" vertical="center"/>
    </xf>
    <xf numFmtId="0" fontId="0" fillId="0" borderId="36" xfId="0" quotePrefix="1" applyFill="1" applyBorder="1" applyAlignment="1">
      <alignment horizontal="center" vertical="center"/>
    </xf>
    <xf numFmtId="0" fontId="0" fillId="0" borderId="0" xfId="0"/>
    <xf numFmtId="0" fontId="1" fillId="0" borderId="0" xfId="0" applyFont="1"/>
    <xf numFmtId="0" fontId="0" fillId="31" borderId="31" xfId="0" applyFill="1" applyBorder="1"/>
    <xf numFmtId="0" fontId="0" fillId="31" borderId="1" xfId="0" applyFill="1" applyBorder="1"/>
    <xf numFmtId="0" fontId="8" fillId="0" borderId="36" xfId="0" quotePrefix="1" applyFont="1" applyFill="1" applyBorder="1" applyAlignment="1">
      <alignment horizontal="center" vertical="center"/>
    </xf>
    <xf numFmtId="170" fontId="0" fillId="0" borderId="0" xfId="0" applyNumberFormat="1"/>
    <xf numFmtId="0" fontId="0" fillId="0" borderId="43" xfId="0" applyBorder="1" applyAlignment="1">
      <alignment horizontal="center"/>
    </xf>
    <xf numFmtId="15" fontId="0" fillId="0" borderId="0" xfId="0" applyNumberFormat="1" applyBorder="1" applyAlignment="1">
      <alignment horizontal="center"/>
    </xf>
    <xf numFmtId="0" fontId="0" fillId="31" borderId="34" xfId="0" applyFill="1" applyBorder="1" applyAlignment="1">
      <alignment horizontal="center"/>
    </xf>
    <xf numFmtId="175" fontId="40" fillId="31" borderId="26" xfId="0" applyNumberFormat="1" applyFont="1" applyFill="1" applyBorder="1" applyAlignment="1">
      <alignment horizontal="center" vertical="center"/>
    </xf>
    <xf numFmtId="175" fontId="40" fillId="5" borderId="26" xfId="0" applyNumberFormat="1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/>
    </xf>
    <xf numFmtId="0" fontId="8" fillId="0" borderId="43" xfId="0" quotePrefix="1" applyFont="1" applyFill="1" applyBorder="1" applyAlignment="1">
      <alignment horizontal="center" vertical="center"/>
    </xf>
    <xf numFmtId="15" fontId="0" fillId="0" borderId="0" xfId="0" quotePrefix="1" applyNumberFormat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39" xfId="0" quotePrefix="1" applyFont="1" applyFill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0" xfId="0" applyAlignment="1">
      <alignment horizontal="center"/>
    </xf>
    <xf numFmtId="175" fontId="0" fillId="0" borderId="0" xfId="0" applyNumberFormat="1" applyBorder="1" applyAlignment="1">
      <alignment horizontal="center"/>
    </xf>
    <xf numFmtId="15" fontId="0" fillId="0" borderId="0" xfId="0" applyNumberFormat="1"/>
    <xf numFmtId="15" fontId="8" fillId="0" borderId="40" xfId="0" applyNumberFormat="1" applyFont="1" applyFill="1" applyBorder="1" applyAlignment="1">
      <alignment horizontal="center" vertical="center"/>
    </xf>
    <xf numFmtId="15" fontId="8" fillId="0" borderId="42" xfId="0" applyNumberFormat="1" applyFont="1" applyFill="1" applyBorder="1" applyAlignment="1">
      <alignment horizontal="center" vertical="center"/>
    </xf>
    <xf numFmtId="15" fontId="8" fillId="0" borderId="44" xfId="0" applyNumberFormat="1" applyFont="1" applyFill="1" applyBorder="1" applyAlignment="1">
      <alignment horizontal="center" vertical="center"/>
    </xf>
    <xf numFmtId="0" fontId="8" fillId="0" borderId="43" xfId="0" applyFont="1" applyFill="1" applyBorder="1" applyAlignment="1">
      <alignment horizontal="center" vertical="center"/>
    </xf>
    <xf numFmtId="0" fontId="8" fillId="34" borderId="43" xfId="0" quotePrefix="1" applyFont="1" applyFill="1" applyBorder="1" applyAlignment="1">
      <alignment horizontal="center" vertical="center"/>
    </xf>
    <xf numFmtId="0" fontId="8" fillId="34" borderId="42" xfId="0" quotePrefix="1" applyFont="1" applyFill="1" applyBorder="1" applyAlignment="1">
      <alignment horizontal="center" vertical="center"/>
    </xf>
    <xf numFmtId="0" fontId="8" fillId="34" borderId="39" xfId="0" quotePrefix="1" applyFont="1" applyFill="1" applyBorder="1" applyAlignment="1">
      <alignment horizontal="center" vertical="center"/>
    </xf>
    <xf numFmtId="0" fontId="8" fillId="34" borderId="40" xfId="0" quotePrefix="1" applyFont="1" applyFill="1" applyBorder="1" applyAlignment="1">
      <alignment horizontal="center" vertical="center"/>
    </xf>
    <xf numFmtId="0" fontId="0" fillId="31" borderId="2" xfId="0" applyFill="1" applyBorder="1" applyAlignment="1">
      <alignment horizontal="center"/>
    </xf>
    <xf numFmtId="0" fontId="0" fillId="31" borderId="47" xfId="0" applyFill="1" applyBorder="1" applyAlignment="1">
      <alignment horizontal="center"/>
    </xf>
    <xf numFmtId="15" fontId="0" fillId="0" borderId="28" xfId="0" applyNumberFormat="1" applyBorder="1" applyAlignment="1">
      <alignment horizontal="center"/>
    </xf>
    <xf numFmtId="15" fontId="0" fillId="0" borderId="43" xfId="0" applyNumberFormat="1" applyBorder="1" applyAlignment="1">
      <alignment horizontal="center"/>
    </xf>
    <xf numFmtId="15" fontId="0" fillId="0" borderId="1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15" fontId="0" fillId="0" borderId="45" xfId="0" applyNumberFormat="1" applyBorder="1" applyAlignment="1">
      <alignment horizontal="center"/>
    </xf>
    <xf numFmtId="170" fontId="0" fillId="0" borderId="45" xfId="0" applyNumberFormat="1" applyBorder="1" applyAlignment="1">
      <alignment horizontal="center"/>
    </xf>
    <xf numFmtId="15" fontId="0" fillId="0" borderId="42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" xfId="0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32" borderId="39" xfId="0" applyFill="1" applyBorder="1" applyAlignment="1">
      <alignment horizontal="center" vertical="center" wrapText="1"/>
    </xf>
    <xf numFmtId="0" fontId="0" fillId="32" borderId="40" xfId="0" applyFill="1" applyBorder="1" applyAlignment="1">
      <alignment horizontal="center" vertical="center" wrapText="1"/>
    </xf>
  </cellXfs>
  <cellStyles count="56">
    <cellStyle name="=C:\WINNT35\SYSTEM32\COMMAND.COM" xfId="17"/>
    <cellStyle name="Background" xfId="18"/>
    <cellStyle name="calc" xfId="19"/>
    <cellStyle name="Comma [0]" xfId="10" builtinId="6"/>
    <cellStyle name="Comma [0] 2" xfId="14"/>
    <cellStyle name="Comma [0] 3" xfId="54"/>
    <cellStyle name="Comma 2" xfId="2"/>
    <cellStyle name="Data" xfId="3"/>
    <cellStyle name="Data2" xfId="20"/>
    <cellStyle name="Data5" xfId="21"/>
    <cellStyle name="Header" xfId="4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5"/>
    <cellStyle name="Milliers_Open&amp;Close" xfId="6"/>
    <cellStyle name="Mon?taire [0]_Open&amp;Close" xfId="31"/>
    <cellStyle name="Mon?taire_Open&amp;Close" xfId="32"/>
    <cellStyle name="Monétaire [0]_Open&amp;Close" xfId="7"/>
    <cellStyle name="Monétaire_Open&amp;Close" xfId="8"/>
    <cellStyle name="Normal" xfId="0" builtinId="0"/>
    <cellStyle name="Normal 2" xfId="1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9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1"/>
  </cellStyles>
  <dxfs count="0"/>
  <tableStyles count="0" defaultTableStyle="TableStyleMedium2" defaultPivotStyle="PivotStyleLight16"/>
  <colors>
    <mruColors>
      <color rgb="FF66FF33"/>
      <color rgb="FF00CC00"/>
      <color rgb="FF006600"/>
      <color rgb="FFFFFFCC"/>
      <color rgb="FF0000FF"/>
      <color rgb="FFBC04A6"/>
      <color rgb="FF339933"/>
      <color rgb="FFFBFCDA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342900</xdr:colOff>
      <xdr:row>1</xdr:row>
      <xdr:rowOff>47625</xdr:rowOff>
    </xdr:from>
    <xdr:to>
      <xdr:col>3</xdr:col>
      <xdr:colOff>603212</xdr:colOff>
      <xdr:row>2</xdr:row>
      <xdr:rowOff>123825</xdr:rowOff>
    </xdr:to>
    <xdr:pic macro="[0]!CalculateActive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238125"/>
          <a:ext cx="26031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0" tint="-0.14999847407452621"/>
  </sheetPr>
  <dimension ref="A1:DC104"/>
  <sheetViews>
    <sheetView showGridLines="0" topLeftCell="BF22" workbookViewId="0">
      <selection activeCell="BN39" sqref="BN39"/>
    </sheetView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  <col min="33" max="33" width="2.7109375" customWidth="1"/>
    <col min="34" max="34" width="30.28515625" customWidth="1"/>
    <col min="35" max="35" width="21.42578125" customWidth="1"/>
    <col min="36" max="36" width="2.7109375" customWidth="1"/>
    <col min="37" max="37" width="13" customWidth="1"/>
    <col min="38" max="38" width="17.42578125" customWidth="1"/>
    <col min="39" max="39" width="2.7109375" customWidth="1"/>
    <col min="40" max="40" width="16.140625" customWidth="1"/>
    <col min="41" max="41" width="17.42578125" customWidth="1"/>
    <col min="42" max="42" width="2.7109375" customWidth="1"/>
    <col min="43" max="43" width="19.5703125" customWidth="1"/>
    <col min="44" max="44" width="17.42578125" customWidth="1"/>
    <col min="45" max="45" width="9.85546875" customWidth="1"/>
    <col min="46" max="47" width="9.140625" customWidth="1"/>
    <col min="48" max="48" width="2.7109375" customWidth="1"/>
    <col min="49" max="49" width="18.85546875" customWidth="1"/>
    <col min="50" max="50" width="21.42578125" customWidth="1"/>
    <col min="51" max="51" width="2.7109375" customWidth="1"/>
    <col min="52" max="52" width="9.140625" customWidth="1"/>
    <col min="53" max="53" width="11" customWidth="1"/>
    <col min="54" max="54" width="17" customWidth="1"/>
    <col min="55" max="55" width="2.7109375" customWidth="1"/>
    <col min="56" max="56" width="28.7109375" customWidth="1"/>
    <col min="57" max="57" width="21.4257812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2" customWidth="1"/>
    <col min="64" max="64" width="2.7109375" customWidth="1"/>
    <col min="65" max="65" width="31" customWidth="1"/>
    <col min="66" max="66" width="21.42578125" customWidth="1"/>
    <col min="67" max="67" width="2.7109375" customWidth="1"/>
    <col min="68" max="68" width="9.140625" customWidth="1"/>
    <col min="69" max="69" width="13.7109375" customWidth="1"/>
    <col min="70" max="70" width="2.7109375" customWidth="1"/>
    <col min="71" max="71" width="31" customWidth="1"/>
    <col min="72" max="72" width="21.42578125" customWidth="1"/>
    <col min="73" max="73" width="2.7109375" customWidth="1"/>
    <col min="74" max="74" width="9.140625" customWidth="1"/>
    <col min="75" max="75" width="13.28515625" customWidth="1"/>
    <col min="76" max="76" width="2.7109375" customWidth="1"/>
    <col min="77" max="77" width="28.7109375" customWidth="1"/>
    <col min="78" max="78" width="21.42578125" customWidth="1"/>
    <col min="79" max="79" width="2.7109375" customWidth="1"/>
    <col min="80" max="80" width="27" customWidth="1"/>
    <col min="81" max="81" width="28.7109375" customWidth="1"/>
    <col min="82" max="82" width="2.7109375" customWidth="1"/>
    <col min="83" max="83" width="27" customWidth="1"/>
    <col min="84" max="84" width="28.7109375" customWidth="1"/>
    <col min="85" max="85" width="2.7109375" customWidth="1"/>
    <col min="86" max="86" width="27" customWidth="1"/>
    <col min="87" max="87" width="28.7109375" customWidth="1"/>
    <col min="88" max="88" width="2.7109375" customWidth="1"/>
    <col min="89" max="89" width="27" customWidth="1"/>
    <col min="90" max="90" width="27.7109375" customWidth="1"/>
    <col min="91" max="91" width="2.7109375" customWidth="1"/>
    <col min="92" max="93" width="12.7109375" customWidth="1"/>
    <col min="94" max="94" width="2.7109375" customWidth="1"/>
    <col min="95" max="95" width="28.7109375" customWidth="1"/>
    <col min="96" max="96" width="21.7109375" customWidth="1"/>
    <col min="97" max="97" width="2.7109375" customWidth="1"/>
    <col min="98" max="98" width="15.7109375" customWidth="1"/>
    <col min="99" max="99" width="29.85546875" customWidth="1"/>
    <col min="100" max="100" width="2.7109375" customWidth="1"/>
    <col min="101" max="101" width="15.7109375" customWidth="1"/>
    <col min="102" max="102" width="30.140625" customWidth="1"/>
    <col min="103" max="103" width="2.7109375" customWidth="1"/>
    <col min="104" max="104" width="15.7109375" customWidth="1"/>
    <col min="105" max="105" width="28.5703125" customWidth="1"/>
    <col min="106" max="106" width="2.7109375" customWidth="1"/>
  </cols>
  <sheetData>
    <row r="1" spans="2:105">
      <c r="N1" s="137"/>
    </row>
    <row r="2" spans="2:105">
      <c r="B2" s="1"/>
      <c r="N2" s="154"/>
      <c r="O2" s="154"/>
      <c r="P2" s="154"/>
    </row>
    <row r="3" spans="2:105">
      <c r="N3" s="154"/>
      <c r="O3" s="154"/>
      <c r="P3" s="154"/>
    </row>
    <row r="4" spans="2:105">
      <c r="N4" s="154"/>
      <c r="O4" s="154"/>
      <c r="P4" s="154"/>
    </row>
    <row r="5" spans="2:105" s="119" customFormat="1" ht="23.25">
      <c r="B5" s="118" t="s">
        <v>7</v>
      </c>
      <c r="G5" s="118" t="s">
        <v>8</v>
      </c>
      <c r="J5"/>
      <c r="K5"/>
      <c r="M5"/>
      <c r="N5" s="154"/>
      <c r="O5" s="154"/>
      <c r="P5" s="154"/>
      <c r="AH5" s="118" t="s">
        <v>220</v>
      </c>
      <c r="AK5"/>
      <c r="AL5"/>
      <c r="AM5"/>
      <c r="AN5" s="2" t="s">
        <v>156</v>
      </c>
      <c r="AO5"/>
      <c r="AQ5" s="2" t="s">
        <v>155</v>
      </c>
      <c r="AR5"/>
      <c r="AS5"/>
      <c r="AT5"/>
      <c r="AU5"/>
      <c r="AV5"/>
      <c r="AW5"/>
      <c r="AX5"/>
      <c r="AY5"/>
      <c r="BA5" s="120"/>
      <c r="BD5" s="118" t="s">
        <v>9</v>
      </c>
      <c r="BG5" s="118" t="s">
        <v>227</v>
      </c>
      <c r="BK5" s="120"/>
      <c r="BM5" s="118" t="s">
        <v>228</v>
      </c>
      <c r="BS5" s="118" t="s">
        <v>230</v>
      </c>
      <c r="BY5" s="118" t="s">
        <v>47</v>
      </c>
      <c r="CB5" s="118"/>
      <c r="CQ5" s="118" t="s">
        <v>231</v>
      </c>
    </row>
    <row r="6" spans="2:105">
      <c r="AN6" s="10" t="s">
        <v>92</v>
      </c>
      <c r="AO6" s="30" t="s">
        <v>0</v>
      </c>
      <c r="AQ6" s="62" t="s">
        <v>144</v>
      </c>
      <c r="AR6" s="34"/>
      <c r="AS6" s="19"/>
      <c r="AT6" s="171" t="s">
        <v>284</v>
      </c>
      <c r="AU6" s="20"/>
    </row>
    <row r="7" spans="2:105">
      <c r="B7" s="2" t="s">
        <v>276</v>
      </c>
      <c r="C7" s="9"/>
      <c r="F7" t="s">
        <v>10</v>
      </c>
      <c r="G7" s="2" t="s">
        <v>221</v>
      </c>
      <c r="H7" s="9"/>
      <c r="J7" s="2" t="s">
        <v>152</v>
      </c>
      <c r="M7" s="2" t="s">
        <v>151</v>
      </c>
      <c r="S7" s="2" t="s">
        <v>307</v>
      </c>
      <c r="V7" s="2" t="s">
        <v>304</v>
      </c>
      <c r="Y7" s="2" t="s">
        <v>273</v>
      </c>
      <c r="AB7" s="2" t="s">
        <v>303</v>
      </c>
      <c r="AE7" s="2" t="s">
        <v>272</v>
      </c>
      <c r="AH7" s="2" t="s">
        <v>221</v>
      </c>
      <c r="AI7" s="9"/>
      <c r="AK7" s="2" t="s">
        <v>157</v>
      </c>
      <c r="AN7" s="11" t="s">
        <v>5</v>
      </c>
      <c r="AO7" s="15" t="s">
        <v>3</v>
      </c>
      <c r="AQ7" s="53" t="s">
        <v>103</v>
      </c>
      <c r="AR7" s="35"/>
      <c r="AS7" s="21"/>
      <c r="AT7" s="167" t="s">
        <v>264</v>
      </c>
      <c r="AU7" s="165" t="b">
        <v>1</v>
      </c>
      <c r="AW7" s="2" t="s">
        <v>154</v>
      </c>
      <c r="AZ7" s="5" t="s">
        <v>153</v>
      </c>
      <c r="BA7" s="6"/>
      <c r="BB7" s="6"/>
      <c r="BC7" s="6"/>
      <c r="BD7" s="2" t="s">
        <v>221</v>
      </c>
      <c r="BE7" s="9"/>
      <c r="BG7" s="2" t="s">
        <v>150</v>
      </c>
      <c r="BJ7" s="2" t="s">
        <v>149</v>
      </c>
      <c r="BM7" s="2" t="s">
        <v>148</v>
      </c>
      <c r="BP7" s="2" t="s">
        <v>147</v>
      </c>
      <c r="BS7" s="2" t="s">
        <v>223</v>
      </c>
      <c r="BV7" s="2" t="s">
        <v>237</v>
      </c>
      <c r="BY7" s="2" t="s">
        <v>221</v>
      </c>
      <c r="BZ7" s="9"/>
      <c r="CB7" s="2" t="s">
        <v>146</v>
      </c>
      <c r="CC7" s="124" t="s">
        <v>158</v>
      </c>
      <c r="CE7" s="2"/>
      <c r="CF7" s="124" t="s">
        <v>158</v>
      </c>
      <c r="CH7" s="2"/>
      <c r="CI7" s="124" t="s">
        <v>158</v>
      </c>
      <c r="CK7" s="2"/>
      <c r="CL7" s="124" t="s">
        <v>158</v>
      </c>
      <c r="CN7" s="2" t="s">
        <v>145</v>
      </c>
      <c r="CQ7" s="2" t="s">
        <v>221</v>
      </c>
      <c r="CR7" s="9"/>
      <c r="CT7" s="2" t="s">
        <v>232</v>
      </c>
      <c r="CW7" s="2" t="s">
        <v>233</v>
      </c>
      <c r="CZ7" s="2" t="s">
        <v>234</v>
      </c>
    </row>
    <row r="8" spans="2:105">
      <c r="B8" s="51" t="s">
        <v>165</v>
      </c>
      <c r="C8" s="105" t="s">
        <v>279</v>
      </c>
      <c r="D8" s="106"/>
      <c r="E8" s="107"/>
      <c r="F8" t="s">
        <v>10</v>
      </c>
      <c r="G8" s="51" t="s">
        <v>141</v>
      </c>
      <c r="H8" s="99">
        <v>42436</v>
      </c>
      <c r="J8" s="68" t="s">
        <v>144</v>
      </c>
      <c r="K8" s="30" t="s">
        <v>0</v>
      </c>
      <c r="M8" s="70" t="s">
        <v>62</v>
      </c>
      <c r="N8" s="71" t="s">
        <v>61</v>
      </c>
      <c r="O8" s="71" t="s">
        <v>112</v>
      </c>
      <c r="P8" s="71" t="s">
        <v>111</v>
      </c>
      <c r="Q8" s="72" t="s">
        <v>264</v>
      </c>
      <c r="S8" s="63" t="s">
        <v>143</v>
      </c>
      <c r="T8" s="64" t="s">
        <v>61</v>
      </c>
      <c r="V8" s="68" t="s">
        <v>92</v>
      </c>
      <c r="W8" s="30" t="s">
        <v>0</v>
      </c>
      <c r="Y8" s="63" t="s">
        <v>62</v>
      </c>
      <c r="Z8" s="64" t="s">
        <v>61</v>
      </c>
      <c r="AB8" s="68" t="s">
        <v>144</v>
      </c>
      <c r="AC8" s="30" t="s">
        <v>0</v>
      </c>
      <c r="AE8" s="63" t="s">
        <v>62</v>
      </c>
      <c r="AF8" s="64" t="s">
        <v>61</v>
      </c>
      <c r="AH8" s="51" t="s">
        <v>141</v>
      </c>
      <c r="AI8" s="99">
        <v>42436</v>
      </c>
      <c r="AK8" s="51" t="s">
        <v>92</v>
      </c>
      <c r="AL8" s="30" t="s">
        <v>0</v>
      </c>
      <c r="AN8" s="11" t="s">
        <v>136</v>
      </c>
      <c r="AO8" s="15">
        <v>2</v>
      </c>
      <c r="AQ8" s="53" t="s">
        <v>107</v>
      </c>
      <c r="AR8" s="36"/>
      <c r="AS8" s="21"/>
      <c r="AT8" s="169" t="s">
        <v>285</v>
      </c>
      <c r="AU8" s="170">
        <v>0.03</v>
      </c>
      <c r="AW8" s="51" t="s">
        <v>92</v>
      </c>
      <c r="AX8" s="104" t="s">
        <v>0</v>
      </c>
      <c r="AZ8" s="66" t="s">
        <v>62</v>
      </c>
      <c r="BA8" s="76" t="s">
        <v>61</v>
      </c>
      <c r="BB8" s="77" t="s">
        <v>264</v>
      </c>
      <c r="BC8" s="6"/>
      <c r="BD8" s="51" t="s">
        <v>141</v>
      </c>
      <c r="BE8" s="99">
        <v>42436</v>
      </c>
      <c r="BG8" s="73" t="s">
        <v>142</v>
      </c>
      <c r="BH8" s="93" t="s">
        <v>164</v>
      </c>
      <c r="BJ8" s="63" t="s">
        <v>62</v>
      </c>
      <c r="BK8" s="65" t="s">
        <v>61</v>
      </c>
      <c r="BM8" s="73" t="s">
        <v>142</v>
      </c>
      <c r="BN8" s="93" t="s">
        <v>163</v>
      </c>
      <c r="BP8" s="63" t="s">
        <v>62</v>
      </c>
      <c r="BQ8" s="65" t="s">
        <v>61</v>
      </c>
      <c r="BS8" s="73" t="s">
        <v>142</v>
      </c>
      <c r="BT8" s="93" t="s">
        <v>222</v>
      </c>
      <c r="BV8" s="63" t="s">
        <v>62</v>
      </c>
      <c r="BW8" s="65" t="s">
        <v>61</v>
      </c>
      <c r="BY8" s="51" t="s">
        <v>141</v>
      </c>
      <c r="BZ8" s="99">
        <v>42436</v>
      </c>
      <c r="CB8" s="73" t="s">
        <v>142</v>
      </c>
      <c r="CC8" s="93" t="s">
        <v>138</v>
      </c>
      <c r="CE8" s="73" t="s">
        <v>142</v>
      </c>
      <c r="CF8" s="93" t="s">
        <v>138</v>
      </c>
      <c r="CH8" s="73" t="s">
        <v>142</v>
      </c>
      <c r="CI8" s="93" t="s">
        <v>138</v>
      </c>
      <c r="CK8" s="73" t="s">
        <v>142</v>
      </c>
      <c r="CL8" s="93" t="s">
        <v>138</v>
      </c>
      <c r="CN8" s="70" t="s">
        <v>62</v>
      </c>
      <c r="CO8" s="72" t="s">
        <v>61</v>
      </c>
      <c r="CQ8" s="51" t="s">
        <v>141</v>
      </c>
      <c r="CR8" s="99">
        <v>42436</v>
      </c>
      <c r="CT8" s="51" t="s">
        <v>171</v>
      </c>
      <c r="CU8" s="29" t="s">
        <v>293</v>
      </c>
      <c r="CW8" s="51" t="s">
        <v>171</v>
      </c>
      <c r="CX8" s="29" t="s">
        <v>295</v>
      </c>
      <c r="CZ8" s="51" t="s">
        <v>171</v>
      </c>
      <c r="DA8" s="29" t="s">
        <v>297</v>
      </c>
    </row>
    <row r="9" spans="2:105">
      <c r="B9" s="52" t="s">
        <v>53</v>
      </c>
      <c r="C9" s="108" t="s">
        <v>277</v>
      </c>
      <c r="D9" s="109"/>
      <c r="E9" s="110"/>
      <c r="F9" t="s">
        <v>10</v>
      </c>
      <c r="G9" s="52" t="s">
        <v>133</v>
      </c>
      <c r="H9" s="82" t="s">
        <v>2</v>
      </c>
      <c r="J9" s="69" t="s">
        <v>103</v>
      </c>
      <c r="K9" s="15" t="s">
        <v>3</v>
      </c>
      <c r="L9" s="136"/>
      <c r="M9" s="139" t="s">
        <v>59</v>
      </c>
      <c r="N9" s="205">
        <v>-2.4299999999999999E-3</v>
      </c>
      <c r="O9" s="83" t="s">
        <v>72</v>
      </c>
      <c r="P9" s="83" t="s">
        <v>72</v>
      </c>
      <c r="Q9" s="84" t="b">
        <v>1</v>
      </c>
      <c r="S9" s="87"/>
      <c r="T9" s="88"/>
      <c r="V9" s="69" t="s">
        <v>98</v>
      </c>
      <c r="W9" s="15" t="s">
        <v>3</v>
      </c>
      <c r="Y9" s="143" t="s">
        <v>37</v>
      </c>
      <c r="Z9" s="151">
        <v>1.5400000000000001E-3</v>
      </c>
      <c r="AB9" s="69" t="s">
        <v>211</v>
      </c>
      <c r="AC9" s="15" t="s">
        <v>134</v>
      </c>
      <c r="AE9" s="143" t="s">
        <v>37</v>
      </c>
      <c r="AF9" s="144">
        <v>-3.0399999999999997E-3</v>
      </c>
      <c r="AH9" s="52" t="s">
        <v>133</v>
      </c>
      <c r="AI9" s="82" t="s">
        <v>2</v>
      </c>
      <c r="AK9" s="52" t="s">
        <v>5</v>
      </c>
      <c r="AL9" s="15" t="s">
        <v>3</v>
      </c>
      <c r="AN9" s="11" t="s">
        <v>73</v>
      </c>
      <c r="AO9" s="15" t="s">
        <v>35</v>
      </c>
      <c r="AQ9" s="11" t="s">
        <v>91</v>
      </c>
      <c r="AR9" s="35"/>
      <c r="AS9" s="21"/>
      <c r="AT9" s="168" t="s">
        <v>110</v>
      </c>
      <c r="AU9" s="166">
        <v>8.9999999999999993E-3</v>
      </c>
      <c r="AW9" s="52" t="s">
        <v>5</v>
      </c>
      <c r="AX9" s="82" t="s">
        <v>134</v>
      </c>
      <c r="AZ9" s="67" t="s">
        <v>34</v>
      </c>
      <c r="BA9" s="78">
        <v>-1.3700000000000001E-3</v>
      </c>
      <c r="BB9" s="79" t="b">
        <v>1</v>
      </c>
      <c r="BC9" s="6"/>
      <c r="BD9" s="52" t="s">
        <v>133</v>
      </c>
      <c r="BE9" s="82" t="s">
        <v>2</v>
      </c>
      <c r="BG9" s="74" t="s">
        <v>140</v>
      </c>
      <c r="BH9" s="94" t="b">
        <v>0</v>
      </c>
      <c r="BJ9" s="139" t="s">
        <v>131</v>
      </c>
      <c r="BK9" s="163">
        <v>1.23E-3</v>
      </c>
      <c r="BM9" s="74" t="s">
        <v>140</v>
      </c>
      <c r="BN9" s="94" t="b">
        <v>0</v>
      </c>
      <c r="BP9" s="139" t="s">
        <v>131</v>
      </c>
      <c r="BQ9" s="163">
        <v>1.4499999999999999E-3</v>
      </c>
      <c r="BS9" s="74" t="s">
        <v>140</v>
      </c>
      <c r="BT9" s="94" t="b">
        <v>0</v>
      </c>
      <c r="BV9" s="139" t="s">
        <v>131</v>
      </c>
      <c r="BW9" s="163">
        <v>1.49E-3</v>
      </c>
      <c r="BY9" s="52" t="s">
        <v>133</v>
      </c>
      <c r="BZ9" s="82" t="s">
        <v>2</v>
      </c>
      <c r="CB9" s="74" t="s">
        <v>203</v>
      </c>
      <c r="CC9" s="94" t="s">
        <v>24</v>
      </c>
      <c r="CE9" s="74" t="s">
        <v>203</v>
      </c>
      <c r="CF9" s="94" t="s">
        <v>24</v>
      </c>
      <c r="CH9" s="74" t="s">
        <v>203</v>
      </c>
      <c r="CI9" s="94" t="s">
        <v>24</v>
      </c>
      <c r="CK9" s="74" t="s">
        <v>203</v>
      </c>
      <c r="CL9" s="94" t="s">
        <v>24</v>
      </c>
      <c r="CN9" s="139" t="s">
        <v>131</v>
      </c>
      <c r="CO9" s="163">
        <v>-3.2000000000000002E-3</v>
      </c>
      <c r="CQ9" s="52" t="s">
        <v>133</v>
      </c>
      <c r="CR9" s="82" t="s">
        <v>2</v>
      </c>
      <c r="CT9" s="52" t="s">
        <v>173</v>
      </c>
      <c r="CU9" s="27" t="s">
        <v>294</v>
      </c>
      <c r="CW9" s="52" t="s">
        <v>173</v>
      </c>
      <c r="CX9" s="27" t="s">
        <v>296</v>
      </c>
      <c r="CZ9" s="52" t="s">
        <v>173</v>
      </c>
      <c r="DA9" s="27" t="s">
        <v>298</v>
      </c>
    </row>
    <row r="10" spans="2:105">
      <c r="B10" s="52" t="s">
        <v>167</v>
      </c>
      <c r="C10" s="111" t="s">
        <v>278</v>
      </c>
      <c r="D10" s="112"/>
      <c r="E10" s="113"/>
      <c r="F10" t="s">
        <v>10</v>
      </c>
      <c r="G10" s="52" t="s">
        <v>129</v>
      </c>
      <c r="H10" s="82" t="s">
        <v>24</v>
      </c>
      <c r="J10" s="69" t="s">
        <v>96</v>
      </c>
      <c r="K10" s="15" t="s">
        <v>125</v>
      </c>
      <c r="L10" s="136"/>
      <c r="M10" s="139" t="s">
        <v>265</v>
      </c>
      <c r="N10" s="205">
        <v>-3.6099999999999999E-3</v>
      </c>
      <c r="O10" s="158">
        <v>42439</v>
      </c>
      <c r="P10" s="158">
        <v>42481</v>
      </c>
      <c r="Q10" s="84" t="b">
        <v>1</v>
      </c>
      <c r="S10" s="89"/>
      <c r="T10" s="90"/>
      <c r="V10" s="69" t="s">
        <v>1</v>
      </c>
      <c r="W10" s="15" t="s">
        <v>63</v>
      </c>
      <c r="Y10" s="145" t="s">
        <v>34</v>
      </c>
      <c r="Z10" s="152">
        <v>1.58E-3</v>
      </c>
      <c r="AB10" s="69" t="s">
        <v>275</v>
      </c>
      <c r="AC10" s="15" t="s">
        <v>125</v>
      </c>
      <c r="AE10" s="145" t="s">
        <v>34</v>
      </c>
      <c r="AF10" s="146">
        <v>-2.65E-3</v>
      </c>
      <c r="AH10" s="52" t="s">
        <v>116</v>
      </c>
      <c r="AI10" s="82" t="s">
        <v>24</v>
      </c>
      <c r="AK10" s="52" t="s">
        <v>162</v>
      </c>
      <c r="AL10" s="15" t="s">
        <v>137</v>
      </c>
      <c r="AN10" s="53" t="s">
        <v>97</v>
      </c>
      <c r="AO10" s="15" t="b">
        <v>0</v>
      </c>
      <c r="AQ10" s="11" t="s">
        <v>356</v>
      </c>
      <c r="AR10" s="202"/>
      <c r="AS10" s="21"/>
      <c r="AT10" s="21"/>
      <c r="AU10" s="22"/>
      <c r="AW10" s="52" t="s">
        <v>135</v>
      </c>
      <c r="AX10" s="82" t="s">
        <v>134</v>
      </c>
      <c r="AZ10" s="67" t="s">
        <v>30</v>
      </c>
      <c r="BA10" s="78">
        <v>-6.4999999999999997E-4</v>
      </c>
      <c r="BB10" s="79" t="b">
        <v>1</v>
      </c>
      <c r="BC10" s="6"/>
      <c r="BD10" s="52" t="s">
        <v>116</v>
      </c>
      <c r="BE10" s="82" t="s">
        <v>24</v>
      </c>
      <c r="BG10" s="52" t="s">
        <v>132</v>
      </c>
      <c r="BH10" s="15" t="s">
        <v>207</v>
      </c>
      <c r="BJ10" s="139" t="s">
        <v>37</v>
      </c>
      <c r="BK10" s="163">
        <v>1.2324999999999999E-3</v>
      </c>
      <c r="BM10" s="52" t="s">
        <v>132</v>
      </c>
      <c r="BN10" s="15" t="s">
        <v>207</v>
      </c>
      <c r="BP10" s="139" t="s">
        <v>37</v>
      </c>
      <c r="BQ10" s="163">
        <v>1.5E-3</v>
      </c>
      <c r="BS10" s="52" t="s">
        <v>132</v>
      </c>
      <c r="BT10" s="15" t="s">
        <v>207</v>
      </c>
      <c r="BV10" s="139" t="s">
        <v>37</v>
      </c>
      <c r="BW10" s="163">
        <v>1.5300000000000001E-3</v>
      </c>
      <c r="BY10" s="52" t="s">
        <v>116</v>
      </c>
      <c r="BZ10" s="82" t="s">
        <v>24</v>
      </c>
      <c r="CB10" s="52" t="s">
        <v>204</v>
      </c>
      <c r="CC10" s="95" t="b">
        <v>1</v>
      </c>
      <c r="CE10" s="52" t="s">
        <v>204</v>
      </c>
      <c r="CF10" s="95" t="b">
        <v>1</v>
      </c>
      <c r="CH10" s="52" t="s">
        <v>204</v>
      </c>
      <c r="CI10" s="95" t="b">
        <v>1</v>
      </c>
      <c r="CK10" s="52" t="s">
        <v>204</v>
      </c>
      <c r="CL10" s="95" t="b">
        <v>1</v>
      </c>
      <c r="CN10" s="139" t="s">
        <v>37</v>
      </c>
      <c r="CO10" s="163">
        <v>-3.8124999999999999E-3</v>
      </c>
      <c r="CQ10" s="52"/>
      <c r="CR10" s="82"/>
      <c r="CT10" s="52" t="s">
        <v>175</v>
      </c>
      <c r="CU10" s="121" t="s">
        <v>169</v>
      </c>
      <c r="CW10" s="52" t="s">
        <v>175</v>
      </c>
      <c r="CX10" s="121" t="s">
        <v>169</v>
      </c>
      <c r="CZ10" s="52" t="s">
        <v>175</v>
      </c>
      <c r="DA10" s="121" t="s">
        <v>169</v>
      </c>
    </row>
    <row r="11" spans="2:105">
      <c r="B11" s="52" t="s">
        <v>168</v>
      </c>
      <c r="C11" s="111" t="s">
        <v>280</v>
      </c>
      <c r="D11" s="112"/>
      <c r="E11" s="113"/>
      <c r="F11" t="s">
        <v>10</v>
      </c>
      <c r="G11" s="52" t="s">
        <v>79</v>
      </c>
      <c r="H11" s="82" t="s">
        <v>24</v>
      </c>
      <c r="J11" s="69" t="s">
        <v>123</v>
      </c>
      <c r="K11" s="15" t="s">
        <v>122</v>
      </c>
      <c r="L11" s="136"/>
      <c r="M11" s="139" t="s">
        <v>266</v>
      </c>
      <c r="N11" s="205">
        <v>-3.8500000000000001E-3</v>
      </c>
      <c r="O11" s="158">
        <v>42481</v>
      </c>
      <c r="P11" s="158">
        <v>42523</v>
      </c>
      <c r="Q11" s="84" t="b">
        <v>1</v>
      </c>
      <c r="S11" s="89"/>
      <c r="T11" s="90"/>
      <c r="V11" s="69" t="s">
        <v>73</v>
      </c>
      <c r="W11" s="15" t="s">
        <v>35</v>
      </c>
      <c r="Y11" s="145" t="s">
        <v>30</v>
      </c>
      <c r="Z11" s="152">
        <v>1.6199999999999999E-3</v>
      </c>
      <c r="AB11" s="69" t="s">
        <v>91</v>
      </c>
      <c r="AC11" s="15" t="s">
        <v>35</v>
      </c>
      <c r="AE11" s="145" t="s">
        <v>30</v>
      </c>
      <c r="AF11" s="146">
        <v>-1.97E-3</v>
      </c>
      <c r="AH11" s="52" t="s">
        <v>109</v>
      </c>
      <c r="AI11" s="82" t="s">
        <v>108</v>
      </c>
      <c r="AK11" s="52"/>
      <c r="AL11" s="15"/>
      <c r="AN11" s="53" t="s">
        <v>308</v>
      </c>
      <c r="AO11" s="15" t="b">
        <v>0</v>
      </c>
      <c r="AQ11" s="53" t="s">
        <v>308</v>
      </c>
      <c r="AR11" s="35"/>
      <c r="AS11" s="21"/>
      <c r="AT11" s="21"/>
      <c r="AU11" s="22"/>
      <c r="AW11" s="52" t="s">
        <v>130</v>
      </c>
      <c r="AX11" s="82" t="s">
        <v>3</v>
      </c>
      <c r="AZ11" s="67" t="s">
        <v>28</v>
      </c>
      <c r="BA11" s="78">
        <v>2.5000000000000001E-4</v>
      </c>
      <c r="BB11" s="79" t="b">
        <v>1</v>
      </c>
      <c r="BC11" s="6"/>
      <c r="BD11" s="52" t="s">
        <v>109</v>
      </c>
      <c r="BE11" s="82" t="s">
        <v>108</v>
      </c>
      <c r="BG11" s="52" t="s">
        <v>126</v>
      </c>
      <c r="BH11" s="15" t="s">
        <v>48</v>
      </c>
      <c r="BJ11" s="139" t="s">
        <v>34</v>
      </c>
      <c r="BK11" s="163">
        <v>1.2625E-3</v>
      </c>
      <c r="BM11" s="52" t="s">
        <v>126</v>
      </c>
      <c r="BN11" s="15" t="s">
        <v>48</v>
      </c>
      <c r="BP11" s="139" t="s">
        <v>34</v>
      </c>
      <c r="BQ11" s="163">
        <v>1.5E-3</v>
      </c>
      <c r="BS11" s="52" t="s">
        <v>126</v>
      </c>
      <c r="BT11" s="15" t="s">
        <v>48</v>
      </c>
      <c r="BV11" s="139" t="s">
        <v>34</v>
      </c>
      <c r="BW11" s="163">
        <v>1.5300000000000001E-3</v>
      </c>
      <c r="BY11" s="52" t="s">
        <v>109</v>
      </c>
      <c r="BZ11" s="82" t="s">
        <v>108</v>
      </c>
      <c r="CB11" s="52" t="s">
        <v>172</v>
      </c>
      <c r="CC11" s="82" t="s">
        <v>208</v>
      </c>
      <c r="CE11" s="52" t="s">
        <v>172</v>
      </c>
      <c r="CF11" s="82" t="s">
        <v>208</v>
      </c>
      <c r="CH11" s="52" t="s">
        <v>172</v>
      </c>
      <c r="CI11" s="82" t="s">
        <v>208</v>
      </c>
      <c r="CK11" s="52" t="s">
        <v>172</v>
      </c>
      <c r="CL11" s="82" t="s">
        <v>208</v>
      </c>
      <c r="CN11" s="139" t="s">
        <v>34</v>
      </c>
      <c r="CO11" s="163">
        <v>-4.2125000000000001E-3</v>
      </c>
      <c r="CQ11" s="52"/>
      <c r="CR11" s="82"/>
      <c r="CT11" s="52" t="s">
        <v>177</v>
      </c>
      <c r="CU11" s="121" t="s">
        <v>169</v>
      </c>
      <c r="CW11" s="52" t="s">
        <v>177</v>
      </c>
      <c r="CX11" s="121" t="s">
        <v>169</v>
      </c>
      <c r="CZ11" s="52" t="s">
        <v>177</v>
      </c>
      <c r="DA11" s="121" t="s">
        <v>169</v>
      </c>
    </row>
    <row r="12" spans="2:105">
      <c r="B12" s="52" t="s">
        <v>218</v>
      </c>
      <c r="C12" s="111" t="s">
        <v>281</v>
      </c>
      <c r="D12" s="112"/>
      <c r="E12" s="113"/>
      <c r="F12" t="s">
        <v>10</v>
      </c>
      <c r="G12" s="52" t="s">
        <v>113</v>
      </c>
      <c r="H12" s="82" t="s">
        <v>24</v>
      </c>
      <c r="J12" s="69" t="s">
        <v>107</v>
      </c>
      <c r="K12" s="15" t="s">
        <v>106</v>
      </c>
      <c r="L12" s="136"/>
      <c r="M12" s="139" t="s">
        <v>267</v>
      </c>
      <c r="N12" s="205">
        <v>-4.2899999999999995E-3</v>
      </c>
      <c r="O12" s="158">
        <v>42523</v>
      </c>
      <c r="P12" s="158">
        <v>42572</v>
      </c>
      <c r="Q12" s="84" t="b">
        <v>1</v>
      </c>
      <c r="S12" s="89"/>
      <c r="T12" s="90"/>
      <c r="V12" s="69"/>
      <c r="W12" s="15"/>
      <c r="Y12" s="145" t="s">
        <v>28</v>
      </c>
      <c r="Z12" s="152">
        <v>1.65E-3</v>
      </c>
      <c r="AB12" s="69"/>
      <c r="AC12" s="15"/>
      <c r="AE12" s="145" t="s">
        <v>28</v>
      </c>
      <c r="AF12" s="146">
        <v>-1.08E-3</v>
      </c>
      <c r="AH12" s="52" t="s">
        <v>103</v>
      </c>
      <c r="AI12" s="82" t="s">
        <v>257</v>
      </c>
      <c r="AK12" s="58"/>
      <c r="AL12" s="16"/>
      <c r="AN12" s="59" t="s">
        <v>309</v>
      </c>
      <c r="AO12" s="16">
        <v>1</v>
      </c>
      <c r="AQ12" s="59" t="s">
        <v>309</v>
      </c>
      <c r="AR12" s="203"/>
      <c r="AS12" s="23"/>
      <c r="AT12" s="23"/>
      <c r="AU12" s="24"/>
      <c r="AW12" s="52" t="s">
        <v>1</v>
      </c>
      <c r="AX12" s="82" t="s">
        <v>125</v>
      </c>
      <c r="AZ12" s="67" t="s">
        <v>104</v>
      </c>
      <c r="BA12" s="78">
        <v>1.2900000000000001E-3</v>
      </c>
      <c r="BB12" s="79" t="b">
        <v>1</v>
      </c>
      <c r="BC12" s="6"/>
      <c r="BD12" s="52" t="s">
        <v>103</v>
      </c>
      <c r="BE12" s="82" t="s">
        <v>102</v>
      </c>
      <c r="BG12" s="52" t="s">
        <v>124</v>
      </c>
      <c r="BH12" s="15" t="s">
        <v>64</v>
      </c>
      <c r="BJ12" s="139" t="s">
        <v>30</v>
      </c>
      <c r="BK12" s="163">
        <v>1.3025000000000001E-3</v>
      </c>
      <c r="BM12" s="52" t="s">
        <v>124</v>
      </c>
      <c r="BN12" s="15" t="s">
        <v>63</v>
      </c>
      <c r="BP12" s="139" t="s">
        <v>30</v>
      </c>
      <c r="BQ12" s="163">
        <v>1.5300000000000001E-3</v>
      </c>
      <c r="BS12" s="52" t="s">
        <v>124</v>
      </c>
      <c r="BT12" s="15" t="s">
        <v>125</v>
      </c>
      <c r="BV12" s="139" t="s">
        <v>30</v>
      </c>
      <c r="BW12" s="163">
        <v>1.5499999999999999E-3</v>
      </c>
      <c r="BY12" s="52" t="s">
        <v>103</v>
      </c>
      <c r="BZ12" s="82" t="s">
        <v>102</v>
      </c>
      <c r="CB12" s="52" t="s">
        <v>174</v>
      </c>
      <c r="CC12" s="82" t="s">
        <v>48</v>
      </c>
      <c r="CE12" s="52" t="s">
        <v>174</v>
      </c>
      <c r="CF12" s="82" t="s">
        <v>48</v>
      </c>
      <c r="CH12" s="52" t="s">
        <v>174</v>
      </c>
      <c r="CI12" s="82" t="s">
        <v>48</v>
      </c>
      <c r="CK12" s="52" t="s">
        <v>174</v>
      </c>
      <c r="CL12" s="82" t="s">
        <v>48</v>
      </c>
      <c r="CN12" s="139" t="s">
        <v>30</v>
      </c>
      <c r="CO12" s="163">
        <v>-4.4875000000000002E-3</v>
      </c>
      <c r="CQ12" s="52"/>
      <c r="CR12" s="82"/>
      <c r="CT12" s="52" t="s">
        <v>179</v>
      </c>
      <c r="CU12" s="82" t="s">
        <v>160</v>
      </c>
      <c r="CW12" s="52" t="s">
        <v>179</v>
      </c>
      <c r="CX12" s="82" t="s">
        <v>160</v>
      </c>
      <c r="CZ12" s="52" t="s">
        <v>179</v>
      </c>
      <c r="DA12" s="82" t="s">
        <v>160</v>
      </c>
    </row>
    <row r="13" spans="2:105">
      <c r="B13" s="52" t="s">
        <v>169</v>
      </c>
      <c r="C13" s="111" t="s">
        <v>287</v>
      </c>
      <c r="D13" s="112"/>
      <c r="E13" s="113"/>
      <c r="F13" t="s">
        <v>10</v>
      </c>
      <c r="G13" s="52" t="s">
        <v>116</v>
      </c>
      <c r="H13" s="82" t="s">
        <v>115</v>
      </c>
      <c r="J13" s="69" t="s">
        <v>128</v>
      </c>
      <c r="K13" s="15" t="s">
        <v>127</v>
      </c>
      <c r="L13" s="136"/>
      <c r="M13" s="139" t="s">
        <v>268</v>
      </c>
      <c r="N13" s="205">
        <v>-4.3699999999999998E-3</v>
      </c>
      <c r="O13" s="158">
        <v>42572</v>
      </c>
      <c r="P13" s="158">
        <v>42621</v>
      </c>
      <c r="Q13" s="84" t="b">
        <v>1</v>
      </c>
      <c r="S13" s="89"/>
      <c r="T13" s="90"/>
      <c r="V13" s="69"/>
      <c r="W13" s="15"/>
      <c r="Y13" s="145" t="s">
        <v>104</v>
      </c>
      <c r="Z13" s="152">
        <v>1.6300000000000002E-3</v>
      </c>
      <c r="AB13" s="69"/>
      <c r="AC13" s="15"/>
      <c r="AE13" s="145" t="s">
        <v>104</v>
      </c>
      <c r="AF13" s="146">
        <v>-1.0000000000000001E-5</v>
      </c>
      <c r="AH13" s="52" t="s">
        <v>96</v>
      </c>
      <c r="AI13" s="82" t="s">
        <v>95</v>
      </c>
      <c r="AK13" s="6"/>
      <c r="AL13" s="4"/>
      <c r="AM13" s="6"/>
      <c r="AN13" s="8"/>
      <c r="AO13" s="4"/>
      <c r="AQ13" s="4"/>
      <c r="AR13" s="4"/>
      <c r="AW13" s="52" t="s">
        <v>117</v>
      </c>
      <c r="AX13" s="82" t="s">
        <v>64</v>
      </c>
      <c r="AZ13" s="67" t="s">
        <v>26</v>
      </c>
      <c r="BA13" s="78">
        <v>2.3899999999999998E-3</v>
      </c>
      <c r="BB13" s="79" t="b">
        <v>1</v>
      </c>
      <c r="BC13" s="6"/>
      <c r="BD13" s="52" t="s">
        <v>96</v>
      </c>
      <c r="BE13" s="82" t="s">
        <v>95</v>
      </c>
      <c r="BG13" s="52" t="s">
        <v>121</v>
      </c>
      <c r="BH13" s="15" t="s">
        <v>35</v>
      </c>
      <c r="BJ13" s="139" t="s">
        <v>28</v>
      </c>
      <c r="BK13" s="163">
        <v>1.3175000000000001E-3</v>
      </c>
      <c r="BM13" s="52" t="s">
        <v>121</v>
      </c>
      <c r="BN13" s="15" t="s">
        <v>35</v>
      </c>
      <c r="BP13" s="139" t="s">
        <v>28</v>
      </c>
      <c r="BQ13" s="163">
        <v>1.57E-3</v>
      </c>
      <c r="BS13" s="52" t="s">
        <v>121</v>
      </c>
      <c r="BT13" s="15" t="s">
        <v>35</v>
      </c>
      <c r="BV13" s="139" t="s">
        <v>28</v>
      </c>
      <c r="BW13" s="163">
        <v>1.5499999999999999E-3</v>
      </c>
      <c r="BY13" s="52" t="s">
        <v>96</v>
      </c>
      <c r="BZ13" s="82" t="s">
        <v>95</v>
      </c>
      <c r="CB13" s="52" t="s">
        <v>176</v>
      </c>
      <c r="CC13" s="82" t="s">
        <v>63</v>
      </c>
      <c r="CE13" s="52" t="s">
        <v>176</v>
      </c>
      <c r="CF13" s="82" t="s">
        <v>63</v>
      </c>
      <c r="CH13" s="52" t="s">
        <v>176</v>
      </c>
      <c r="CI13" s="82" t="s">
        <v>63</v>
      </c>
      <c r="CK13" s="52" t="s">
        <v>176</v>
      </c>
      <c r="CL13" s="82" t="s">
        <v>63</v>
      </c>
      <c r="CN13" s="139" t="s">
        <v>28</v>
      </c>
      <c r="CO13" s="163">
        <v>-4.6874999999999998E-3</v>
      </c>
      <c r="CQ13" s="52"/>
      <c r="CR13" s="82"/>
      <c r="CT13" s="52"/>
      <c r="CU13" s="82"/>
      <c r="CW13" s="52"/>
      <c r="CX13" s="82"/>
      <c r="CZ13" s="52"/>
      <c r="DA13" s="82"/>
    </row>
    <row r="14" spans="2:105">
      <c r="B14" s="52" t="s">
        <v>170</v>
      </c>
      <c r="C14" s="172" t="s">
        <v>6</v>
      </c>
      <c r="D14" s="112"/>
      <c r="E14" s="113"/>
      <c r="F14" t="s">
        <v>10</v>
      </c>
      <c r="G14" s="52" t="s">
        <v>109</v>
      </c>
      <c r="H14" s="82" t="s">
        <v>108</v>
      </c>
      <c r="J14" s="69" t="s">
        <v>91</v>
      </c>
      <c r="K14" s="15" t="s">
        <v>35</v>
      </c>
      <c r="L14" s="136"/>
      <c r="M14" s="139" t="s">
        <v>269</v>
      </c>
      <c r="N14" s="205">
        <v>-4.6600000000000001E-3</v>
      </c>
      <c r="O14" s="158">
        <v>42621</v>
      </c>
      <c r="P14" s="158">
        <v>42663</v>
      </c>
      <c r="Q14" s="84" t="b">
        <v>1</v>
      </c>
      <c r="S14" s="89"/>
      <c r="T14" s="90"/>
      <c r="V14" s="69"/>
      <c r="W14" s="15"/>
      <c r="Y14" s="145" t="s">
        <v>26</v>
      </c>
      <c r="Z14" s="152">
        <v>1.6199999999999999E-3</v>
      </c>
      <c r="AB14" s="69"/>
      <c r="AC14" s="15"/>
      <c r="AE14" s="145" t="s">
        <v>26</v>
      </c>
      <c r="AF14" s="146">
        <v>1.14E-3</v>
      </c>
      <c r="AH14" s="52" t="s">
        <v>113</v>
      </c>
      <c r="AI14" s="82" t="s">
        <v>24</v>
      </c>
      <c r="AK14" s="7" t="s">
        <v>120</v>
      </c>
      <c r="AL14" s="4"/>
      <c r="AM14" s="6"/>
      <c r="AN14" s="5" t="s">
        <v>119</v>
      </c>
      <c r="AO14" s="4"/>
      <c r="AQ14" s="2" t="s">
        <v>118</v>
      </c>
      <c r="AR14" s="4"/>
      <c r="AW14" s="52" t="s">
        <v>205</v>
      </c>
      <c r="AX14" s="82" t="s">
        <v>64</v>
      </c>
      <c r="AZ14" s="67" t="s">
        <v>93</v>
      </c>
      <c r="BA14" s="78">
        <v>3.5099999999999997E-3</v>
      </c>
      <c r="BB14" s="79" t="b">
        <v>1</v>
      </c>
      <c r="BC14" s="6"/>
      <c r="BD14" s="52" t="s">
        <v>25</v>
      </c>
      <c r="BE14" s="82" t="s">
        <v>24</v>
      </c>
      <c r="BG14" s="52" t="s">
        <v>114</v>
      </c>
      <c r="BH14" s="15" t="s">
        <v>38</v>
      </c>
      <c r="BJ14" s="139" t="s">
        <v>104</v>
      </c>
      <c r="BK14" s="163">
        <v>1.2875E-3</v>
      </c>
      <c r="BM14" s="52" t="s">
        <v>114</v>
      </c>
      <c r="BN14" s="15" t="s">
        <v>38</v>
      </c>
      <c r="BP14" s="139" t="s">
        <v>104</v>
      </c>
      <c r="BQ14" s="163">
        <v>1.5400000000000001E-3</v>
      </c>
      <c r="BS14" s="52" t="s">
        <v>114</v>
      </c>
      <c r="BT14" s="15" t="s">
        <v>38</v>
      </c>
      <c r="BV14" s="139" t="s">
        <v>104</v>
      </c>
      <c r="BW14" s="163">
        <v>1.5400000000000001E-3</v>
      </c>
      <c r="BY14" s="52" t="s">
        <v>25</v>
      </c>
      <c r="BZ14" s="82" t="s">
        <v>24</v>
      </c>
      <c r="CB14" s="52" t="s">
        <v>178</v>
      </c>
      <c r="CC14" s="82" t="s">
        <v>35</v>
      </c>
      <c r="CE14" s="52" t="s">
        <v>178</v>
      </c>
      <c r="CF14" s="82" t="s">
        <v>35</v>
      </c>
      <c r="CH14" s="52" t="s">
        <v>178</v>
      </c>
      <c r="CI14" s="82" t="s">
        <v>35</v>
      </c>
      <c r="CK14" s="52" t="s">
        <v>178</v>
      </c>
      <c r="CL14" s="82" t="s">
        <v>35</v>
      </c>
      <c r="CN14" s="139" t="s">
        <v>104</v>
      </c>
      <c r="CO14" s="163">
        <v>-4.7875000000000001E-3</v>
      </c>
      <c r="CQ14" s="52"/>
      <c r="CR14" s="82"/>
      <c r="CT14" s="52"/>
      <c r="CU14" s="82"/>
      <c r="CW14" s="52"/>
      <c r="CX14" s="82"/>
      <c r="CZ14" s="52"/>
      <c r="DA14" s="82"/>
    </row>
    <row r="15" spans="2:105">
      <c r="B15" s="52" t="s">
        <v>170</v>
      </c>
      <c r="C15" s="111" t="s">
        <v>282</v>
      </c>
      <c r="D15" s="112"/>
      <c r="E15" s="113"/>
      <c r="F15" t="s">
        <v>10</v>
      </c>
      <c r="G15" s="52" t="s">
        <v>103</v>
      </c>
      <c r="H15" s="82" t="s">
        <v>102</v>
      </c>
      <c r="J15" s="69" t="s">
        <v>101</v>
      </c>
      <c r="K15" s="138" t="s">
        <v>100</v>
      </c>
      <c r="L15" s="136"/>
      <c r="M15" s="139" t="s">
        <v>210</v>
      </c>
      <c r="N15" s="205">
        <v>-4.28E-3</v>
      </c>
      <c r="O15" s="158" t="s">
        <v>72</v>
      </c>
      <c r="P15" s="158" t="s">
        <v>72</v>
      </c>
      <c r="Q15" s="84" t="b">
        <v>1</v>
      </c>
      <c r="S15" s="89"/>
      <c r="T15" s="90"/>
      <c r="V15" s="69"/>
      <c r="W15" s="15"/>
      <c r="Y15" s="145" t="s">
        <v>93</v>
      </c>
      <c r="Z15" s="152">
        <v>1.6100000000000001E-3</v>
      </c>
      <c r="AB15" s="69"/>
      <c r="AC15" s="15"/>
      <c r="AE15" s="145" t="s">
        <v>93</v>
      </c>
      <c r="AF15" s="146">
        <v>2.31E-3</v>
      </c>
      <c r="AH15" s="52" t="s">
        <v>129</v>
      </c>
      <c r="AI15" s="82" t="s">
        <v>24</v>
      </c>
      <c r="AK15" s="10" t="s">
        <v>92</v>
      </c>
      <c r="AL15" s="31" t="s">
        <v>0</v>
      </c>
      <c r="AN15" s="60" t="s">
        <v>62</v>
      </c>
      <c r="AO15" s="17" t="s">
        <v>61</v>
      </c>
      <c r="AQ15" s="63" t="s">
        <v>62</v>
      </c>
      <c r="AR15" s="64" t="s">
        <v>112</v>
      </c>
      <c r="AS15" s="64" t="s">
        <v>111</v>
      </c>
      <c r="AT15" s="64" t="s">
        <v>61</v>
      </c>
      <c r="AU15" s="65" t="s">
        <v>110</v>
      </c>
      <c r="AW15" s="52" t="s">
        <v>4</v>
      </c>
      <c r="AX15" s="82" t="s">
        <v>24</v>
      </c>
      <c r="AZ15" s="67" t="s">
        <v>89</v>
      </c>
      <c r="BA15" s="78">
        <v>4.5599999999999998E-3</v>
      </c>
      <c r="BB15" s="79" t="b">
        <v>1</v>
      </c>
      <c r="BC15" s="6"/>
      <c r="BD15" s="52" t="s">
        <v>129</v>
      </c>
      <c r="BE15" s="82" t="s">
        <v>24</v>
      </c>
      <c r="BG15" s="52" t="s">
        <v>105</v>
      </c>
      <c r="BH15" s="27" t="s">
        <v>165</v>
      </c>
      <c r="BJ15" s="139" t="s">
        <v>26</v>
      </c>
      <c r="BK15" s="163">
        <v>1.2375000000000001E-3</v>
      </c>
      <c r="BM15" s="52" t="s">
        <v>105</v>
      </c>
      <c r="BN15" s="27" t="s">
        <v>165</v>
      </c>
      <c r="BP15" s="139" t="s">
        <v>26</v>
      </c>
      <c r="BQ15" s="163">
        <v>1.5E-3</v>
      </c>
      <c r="BS15" s="52" t="s">
        <v>105</v>
      </c>
      <c r="BT15" s="27" t="s">
        <v>165</v>
      </c>
      <c r="BV15" s="139" t="s">
        <v>26</v>
      </c>
      <c r="BW15" s="163">
        <v>1.49E-3</v>
      </c>
      <c r="BY15" s="52" t="s">
        <v>129</v>
      </c>
      <c r="BZ15" s="82" t="s">
        <v>24</v>
      </c>
      <c r="CB15" s="52" t="s">
        <v>181</v>
      </c>
      <c r="CC15" s="82" t="s">
        <v>106</v>
      </c>
      <c r="CE15" s="52" t="s">
        <v>181</v>
      </c>
      <c r="CF15" s="82" t="s">
        <v>106</v>
      </c>
      <c r="CH15" s="52" t="s">
        <v>181</v>
      </c>
      <c r="CI15" s="82" t="s">
        <v>106</v>
      </c>
      <c r="CK15" s="52" t="s">
        <v>181</v>
      </c>
      <c r="CL15" s="82" t="s">
        <v>106</v>
      </c>
      <c r="CN15" s="139" t="s">
        <v>26</v>
      </c>
      <c r="CO15" s="163">
        <v>-4.7999999999999996E-3</v>
      </c>
      <c r="CQ15" s="52"/>
      <c r="CR15" s="82"/>
      <c r="CT15" s="52"/>
      <c r="CU15" s="82"/>
      <c r="CW15" s="125"/>
      <c r="CX15" s="126"/>
      <c r="CZ15" s="52"/>
      <c r="DA15" s="82"/>
    </row>
    <row r="16" spans="2:105">
      <c r="B16" s="52" t="s">
        <v>170</v>
      </c>
      <c r="C16" s="111" t="s">
        <v>283</v>
      </c>
      <c r="D16" s="112"/>
      <c r="E16" s="113"/>
      <c r="F16" t="s">
        <v>10</v>
      </c>
      <c r="G16" s="52" t="s">
        <v>96</v>
      </c>
      <c r="H16" s="82" t="s">
        <v>95</v>
      </c>
      <c r="J16" s="69" t="s">
        <v>270</v>
      </c>
      <c r="K16" s="138" t="s">
        <v>274</v>
      </c>
      <c r="L16" s="136"/>
      <c r="M16" s="139" t="s">
        <v>40</v>
      </c>
      <c r="N16" s="205">
        <v>-4.5000000000000005E-3</v>
      </c>
      <c r="O16" s="158" t="s">
        <v>72</v>
      </c>
      <c r="P16" s="158" t="s">
        <v>72</v>
      </c>
      <c r="Q16" s="84" t="b">
        <v>1</v>
      </c>
      <c r="S16" s="89"/>
      <c r="T16" s="90"/>
      <c r="V16" s="69"/>
      <c r="W16" s="15"/>
      <c r="Y16" s="145" t="s">
        <v>89</v>
      </c>
      <c r="Z16" s="152">
        <v>1.6000000000000001E-3</v>
      </c>
      <c r="AB16" s="69"/>
      <c r="AC16" s="15"/>
      <c r="AE16" s="145" t="s">
        <v>89</v>
      </c>
      <c r="AF16" s="146">
        <v>3.4200000000000003E-3</v>
      </c>
      <c r="AH16" s="52" t="s">
        <v>180</v>
      </c>
      <c r="AI16" s="82" t="b">
        <v>1</v>
      </c>
      <c r="AK16" s="11" t="s">
        <v>98</v>
      </c>
      <c r="AL16" s="15" t="s">
        <v>3</v>
      </c>
      <c r="AN16" s="50"/>
      <c r="AO16" s="32"/>
      <c r="AQ16" s="38"/>
      <c r="AR16" s="39"/>
      <c r="AS16" s="39"/>
      <c r="AT16" s="40"/>
      <c r="AU16" s="130" t="s">
        <v>72</v>
      </c>
      <c r="AW16" s="52" t="s">
        <v>97</v>
      </c>
      <c r="AX16" s="82" t="b">
        <v>1</v>
      </c>
      <c r="AZ16" s="67" t="s">
        <v>23</v>
      </c>
      <c r="BA16" s="78">
        <v>5.5000000000000005E-3</v>
      </c>
      <c r="BB16" s="79" t="b">
        <v>1</v>
      </c>
      <c r="BC16" s="6"/>
      <c r="BD16" s="52" t="s">
        <v>180</v>
      </c>
      <c r="BE16" s="82" t="b">
        <v>0</v>
      </c>
      <c r="BG16" s="52" t="s">
        <v>99</v>
      </c>
      <c r="BH16" s="27" t="s">
        <v>53</v>
      </c>
      <c r="BJ16" s="139" t="s">
        <v>93</v>
      </c>
      <c r="BK16" s="163">
        <v>1.1875E-3</v>
      </c>
      <c r="BM16" s="52" t="s">
        <v>99</v>
      </c>
      <c r="BN16" s="98" t="s">
        <v>286</v>
      </c>
      <c r="BP16" s="139" t="s">
        <v>93</v>
      </c>
      <c r="BQ16" s="163">
        <v>1.47E-3</v>
      </c>
      <c r="BS16" s="52" t="s">
        <v>99</v>
      </c>
      <c r="BT16" s="27" t="s">
        <v>53</v>
      </c>
      <c r="BV16" s="139" t="s">
        <v>93</v>
      </c>
      <c r="BW16" s="163">
        <v>1.4400000000000001E-3</v>
      </c>
      <c r="BY16" s="52" t="s">
        <v>180</v>
      </c>
      <c r="BZ16" s="82" t="b">
        <v>0</v>
      </c>
      <c r="CB16" s="52" t="s">
        <v>171</v>
      </c>
      <c r="CC16" s="27" t="s">
        <v>165</v>
      </c>
      <c r="CE16" s="52" t="s">
        <v>171</v>
      </c>
      <c r="CF16" s="27" t="s">
        <v>165</v>
      </c>
      <c r="CH16" s="52" t="s">
        <v>171</v>
      </c>
      <c r="CI16" s="27" t="s">
        <v>165</v>
      </c>
      <c r="CK16" s="52" t="s">
        <v>171</v>
      </c>
      <c r="CL16" s="27" t="s">
        <v>165</v>
      </c>
      <c r="CN16" s="139" t="s">
        <v>93</v>
      </c>
      <c r="CO16" s="163">
        <v>-4.7749999999999997E-3</v>
      </c>
      <c r="CQ16" s="52"/>
      <c r="CR16" s="82"/>
      <c r="CT16" s="52"/>
      <c r="CU16" s="82"/>
      <c r="CW16" s="125"/>
      <c r="CX16" s="126"/>
      <c r="CZ16" s="52"/>
      <c r="DA16" s="82"/>
    </row>
    <row r="17" spans="2:107">
      <c r="B17" s="58"/>
      <c r="C17" s="114"/>
      <c r="D17" s="115"/>
      <c r="E17" s="116"/>
      <c r="F17" t="s">
        <v>10</v>
      </c>
      <c r="G17" s="52" t="s">
        <v>91</v>
      </c>
      <c r="H17" s="82" t="s">
        <v>82</v>
      </c>
      <c r="J17" s="69" t="s">
        <v>271</v>
      </c>
      <c r="K17" s="138" t="s">
        <v>15</v>
      </c>
      <c r="L17" s="136"/>
      <c r="M17" s="139" t="s">
        <v>37</v>
      </c>
      <c r="N17" s="205">
        <v>-4.5399999999999998E-3</v>
      </c>
      <c r="O17" s="158" t="s">
        <v>72</v>
      </c>
      <c r="P17" s="158" t="s">
        <v>72</v>
      </c>
      <c r="Q17" s="84" t="b">
        <v>1</v>
      </c>
      <c r="S17" s="89"/>
      <c r="T17" s="90"/>
      <c r="V17" s="69"/>
      <c r="W17" s="15"/>
      <c r="Y17" s="145" t="s">
        <v>23</v>
      </c>
      <c r="Z17" s="152">
        <v>1.5900000000000001E-3</v>
      </c>
      <c r="AB17" s="69"/>
      <c r="AC17" s="15"/>
      <c r="AE17" s="145" t="s">
        <v>23</v>
      </c>
      <c r="AF17" s="146">
        <v>4.4200000000000003E-3</v>
      </c>
      <c r="AH17" s="52" t="s">
        <v>182</v>
      </c>
      <c r="AI17" s="82" t="b">
        <v>0</v>
      </c>
      <c r="AK17" s="11" t="s">
        <v>1</v>
      </c>
      <c r="AL17" s="15" t="s">
        <v>43</v>
      </c>
      <c r="AN17" s="50"/>
      <c r="AO17" s="32"/>
      <c r="AQ17" s="38"/>
      <c r="AR17" s="39"/>
      <c r="AS17" s="39"/>
      <c r="AT17" s="40"/>
      <c r="AU17" s="130" t="s">
        <v>72</v>
      </c>
      <c r="AW17" s="52" t="s">
        <v>88</v>
      </c>
      <c r="AX17" s="82" t="b">
        <v>1</v>
      </c>
      <c r="AZ17" s="67" t="s">
        <v>244</v>
      </c>
      <c r="BA17" s="78">
        <v>6.3499999999999997E-3</v>
      </c>
      <c r="BB17" s="79" t="b">
        <v>1</v>
      </c>
      <c r="BC17" s="6"/>
      <c r="BD17" s="52" t="s">
        <v>182</v>
      </c>
      <c r="BE17" s="82" t="b">
        <v>0</v>
      </c>
      <c r="BG17" s="52" t="s">
        <v>94</v>
      </c>
      <c r="BH17" s="98" t="s">
        <v>18</v>
      </c>
      <c r="BJ17" s="139" t="s">
        <v>89</v>
      </c>
      <c r="BK17" s="163">
        <v>1.1275E-3</v>
      </c>
      <c r="BM17" s="52" t="s">
        <v>94</v>
      </c>
      <c r="BN17" s="98" t="s">
        <v>46</v>
      </c>
      <c r="BP17" s="139" t="s">
        <v>89</v>
      </c>
      <c r="BQ17" s="163">
        <v>1.4400000000000001E-3</v>
      </c>
      <c r="BS17" s="52" t="s">
        <v>94</v>
      </c>
      <c r="BT17" s="98" t="s">
        <v>210</v>
      </c>
      <c r="BV17" s="139" t="s">
        <v>89</v>
      </c>
      <c r="BW17" s="163">
        <v>1.3699999999999999E-3</v>
      </c>
      <c r="BY17" s="52" t="s">
        <v>182</v>
      </c>
      <c r="BZ17" s="82" t="b">
        <v>0</v>
      </c>
      <c r="CB17" s="52" t="s">
        <v>173</v>
      </c>
      <c r="CC17" s="27" t="s">
        <v>286</v>
      </c>
      <c r="CE17" s="52" t="s">
        <v>173</v>
      </c>
      <c r="CF17" s="27" t="s">
        <v>286</v>
      </c>
      <c r="CH17" s="52" t="s">
        <v>173</v>
      </c>
      <c r="CI17" s="27" t="s">
        <v>286</v>
      </c>
      <c r="CK17" s="52" t="s">
        <v>173</v>
      </c>
      <c r="CL17" s="27" t="s">
        <v>286</v>
      </c>
      <c r="CN17" s="139" t="s">
        <v>89</v>
      </c>
      <c r="CO17" s="163">
        <v>-4.7625000000000002E-3</v>
      </c>
      <c r="CQ17" s="52"/>
      <c r="CR17" s="82"/>
      <c r="CT17" s="52"/>
      <c r="CU17" s="82"/>
      <c r="CW17" s="125"/>
      <c r="CX17" s="126"/>
      <c r="CZ17" s="52"/>
      <c r="DA17" s="82"/>
    </row>
    <row r="18" spans="2:107">
      <c r="F18" t="s">
        <v>10</v>
      </c>
      <c r="G18" s="52" t="s">
        <v>87</v>
      </c>
      <c r="H18" s="82" t="s">
        <v>84</v>
      </c>
      <c r="J18" s="52" t="s">
        <v>305</v>
      </c>
      <c r="K18" s="138" t="s">
        <v>306</v>
      </c>
      <c r="L18" s="136"/>
      <c r="M18" s="139" t="s">
        <v>34</v>
      </c>
      <c r="N18" s="205">
        <v>-4.1999999999999997E-3</v>
      </c>
      <c r="O18" s="158" t="s">
        <v>72</v>
      </c>
      <c r="P18" s="158" t="s">
        <v>72</v>
      </c>
      <c r="Q18" s="84" t="b">
        <v>1</v>
      </c>
      <c r="S18" s="89"/>
      <c r="T18" s="90"/>
      <c r="V18" s="52"/>
      <c r="W18" s="15"/>
      <c r="Y18" s="145" t="s">
        <v>244</v>
      </c>
      <c r="Z18" s="152">
        <v>1.57E-3</v>
      </c>
      <c r="AB18" s="52"/>
      <c r="AC18" s="15"/>
      <c r="AE18" s="145" t="s">
        <v>244</v>
      </c>
      <c r="AF18" s="146">
        <v>5.3200000000000001E-3</v>
      </c>
      <c r="AH18" s="52" t="s">
        <v>87</v>
      </c>
      <c r="AI18" s="82" t="b">
        <v>0</v>
      </c>
      <c r="AK18" s="11" t="s">
        <v>77</v>
      </c>
      <c r="AL18" s="15">
        <v>2</v>
      </c>
      <c r="AN18" s="50"/>
      <c r="AO18" s="32"/>
      <c r="AQ18" s="41"/>
      <c r="AR18" s="42"/>
      <c r="AS18" s="42"/>
      <c r="AT18" s="43"/>
      <c r="AU18" s="131" t="s">
        <v>72</v>
      </c>
      <c r="AW18" s="52" t="s">
        <v>81</v>
      </c>
      <c r="AX18" s="82" t="b">
        <v>1</v>
      </c>
      <c r="AZ18" s="67" t="s">
        <v>21</v>
      </c>
      <c r="BA18" s="78">
        <v>7.0999999999999995E-3</v>
      </c>
      <c r="BB18" s="79" t="b">
        <v>1</v>
      </c>
      <c r="BC18" s="6"/>
      <c r="BD18" s="52" t="s">
        <v>87</v>
      </c>
      <c r="BE18" s="82" t="b">
        <v>0</v>
      </c>
      <c r="BG18" s="52" t="s">
        <v>90</v>
      </c>
      <c r="BH18" s="15" t="s">
        <v>48</v>
      </c>
      <c r="BJ18" s="139" t="s">
        <v>23</v>
      </c>
      <c r="BK18" s="163">
        <v>1.0675000000000001E-3</v>
      </c>
      <c r="BM18" s="52" t="s">
        <v>90</v>
      </c>
      <c r="BN18" s="15" t="s">
        <v>48</v>
      </c>
      <c r="BP18" s="139" t="s">
        <v>23</v>
      </c>
      <c r="BQ18" s="163">
        <v>1.41E-3</v>
      </c>
      <c r="BS18" s="52" t="s">
        <v>90</v>
      </c>
      <c r="BT18" s="15" t="s">
        <v>48</v>
      </c>
      <c r="BV18" s="139" t="s">
        <v>23</v>
      </c>
      <c r="BW18" s="163">
        <v>1.2999999999999999E-3</v>
      </c>
      <c r="BY18" s="52" t="s">
        <v>87</v>
      </c>
      <c r="BZ18" s="82" t="b">
        <v>0</v>
      </c>
      <c r="CB18" s="52" t="s">
        <v>183</v>
      </c>
      <c r="CC18" s="82" t="s">
        <v>46</v>
      </c>
      <c r="CE18" s="52" t="s">
        <v>183</v>
      </c>
      <c r="CF18" s="82" t="s">
        <v>46</v>
      </c>
      <c r="CH18" s="52" t="s">
        <v>183</v>
      </c>
      <c r="CI18" s="82" t="s">
        <v>46</v>
      </c>
      <c r="CK18" s="52" t="s">
        <v>183</v>
      </c>
      <c r="CL18" s="82" t="s">
        <v>46</v>
      </c>
      <c r="CN18" s="139" t="s">
        <v>23</v>
      </c>
      <c r="CO18" s="163">
        <v>-4.7375000000000004E-3</v>
      </c>
      <c r="CQ18" s="52"/>
      <c r="CR18" s="82"/>
      <c r="CT18" s="52"/>
      <c r="CU18" s="82"/>
      <c r="CW18" s="125"/>
      <c r="CX18" s="126"/>
      <c r="CZ18" s="52"/>
      <c r="DA18" s="82"/>
    </row>
    <row r="19" spans="2:107">
      <c r="B19" s="2" t="s">
        <v>256</v>
      </c>
      <c r="C19" s="9"/>
      <c r="F19" t="s">
        <v>10</v>
      </c>
      <c r="G19" s="52" t="s">
        <v>85</v>
      </c>
      <c r="H19" s="82" t="s">
        <v>84</v>
      </c>
      <c r="J19" s="52"/>
      <c r="K19" s="13"/>
      <c r="L19" s="136"/>
      <c r="M19" s="139" t="s">
        <v>30</v>
      </c>
      <c r="N19" s="205">
        <v>-3.5599999999999998E-3</v>
      </c>
      <c r="O19" s="83" t="s">
        <v>72</v>
      </c>
      <c r="P19" s="83" t="s">
        <v>72</v>
      </c>
      <c r="Q19" s="84" t="b">
        <v>1</v>
      </c>
      <c r="S19" s="89"/>
      <c r="T19" s="90"/>
      <c r="V19" s="52"/>
      <c r="W19" s="15"/>
      <c r="Y19" s="145" t="s">
        <v>21</v>
      </c>
      <c r="Z19" s="152">
        <v>1.56E-3</v>
      </c>
      <c r="AB19" s="52"/>
      <c r="AC19" s="15"/>
      <c r="AE19" s="145" t="s">
        <v>21</v>
      </c>
      <c r="AF19" s="146">
        <v>6.1199999999999996E-3</v>
      </c>
      <c r="AH19" s="52" t="s">
        <v>85</v>
      </c>
      <c r="AI19" s="82" t="b">
        <v>0</v>
      </c>
      <c r="AK19" s="53" t="s">
        <v>73</v>
      </c>
      <c r="AL19" s="15" t="s">
        <v>35</v>
      </c>
      <c r="AN19" s="50"/>
      <c r="AO19" s="32"/>
      <c r="AQ19" s="41"/>
      <c r="AR19" s="42"/>
      <c r="AS19" s="42"/>
      <c r="AT19" s="43"/>
      <c r="AU19" s="131" t="s">
        <v>72</v>
      </c>
      <c r="AW19" s="52" t="s">
        <v>136</v>
      </c>
      <c r="AX19" s="82">
        <v>2</v>
      </c>
      <c r="AZ19" s="67" t="s">
        <v>19</v>
      </c>
      <c r="BA19" s="78">
        <v>8.7500000000000008E-3</v>
      </c>
      <c r="BB19" s="79" t="b">
        <v>1</v>
      </c>
      <c r="BC19" s="6"/>
      <c r="BD19" s="52" t="s">
        <v>85</v>
      </c>
      <c r="BE19" s="82" t="b">
        <v>0</v>
      </c>
      <c r="BG19" s="52" t="s">
        <v>86</v>
      </c>
      <c r="BH19" s="15" t="s">
        <v>207</v>
      </c>
      <c r="BJ19" s="139" t="s">
        <v>244</v>
      </c>
      <c r="BK19" s="163">
        <v>1.0175000000000002E-3</v>
      </c>
      <c r="BM19" s="52" t="s">
        <v>86</v>
      </c>
      <c r="BN19" s="15" t="s">
        <v>207</v>
      </c>
      <c r="BP19" s="139" t="s">
        <v>19</v>
      </c>
      <c r="BQ19" s="163">
        <v>1.2900000000000001E-3</v>
      </c>
      <c r="BS19" s="52" t="s">
        <v>86</v>
      </c>
      <c r="BT19" s="15" t="s">
        <v>207</v>
      </c>
      <c r="BV19" s="139" t="s">
        <v>244</v>
      </c>
      <c r="BW19" s="163">
        <v>1.23E-3</v>
      </c>
      <c r="BY19" s="52" t="s">
        <v>85</v>
      </c>
      <c r="BZ19" s="82" t="b">
        <v>0</v>
      </c>
      <c r="CB19" s="52" t="s">
        <v>184</v>
      </c>
      <c r="CC19" s="82" t="s">
        <v>48</v>
      </c>
      <c r="CE19" s="52" t="s">
        <v>184</v>
      </c>
      <c r="CF19" s="82" t="s">
        <v>48</v>
      </c>
      <c r="CH19" s="52" t="s">
        <v>184</v>
      </c>
      <c r="CI19" s="82" t="s">
        <v>48</v>
      </c>
      <c r="CK19" s="52" t="s">
        <v>184</v>
      </c>
      <c r="CL19" s="82" t="s">
        <v>48</v>
      </c>
      <c r="CN19" s="139" t="s">
        <v>21</v>
      </c>
      <c r="CO19" s="163">
        <v>-4.6125000000000003E-3</v>
      </c>
      <c r="CQ19" s="52"/>
      <c r="CR19" s="82"/>
      <c r="CT19" s="52"/>
      <c r="CU19" s="82"/>
      <c r="CW19" s="125"/>
      <c r="CX19" s="126"/>
      <c r="CZ19" s="52"/>
      <c r="DA19" s="82"/>
    </row>
    <row r="20" spans="2:107">
      <c r="B20" s="51" t="s">
        <v>165</v>
      </c>
      <c r="C20" s="105" t="s">
        <v>236</v>
      </c>
      <c r="D20" s="106"/>
      <c r="E20" s="107"/>
      <c r="F20" t="s">
        <v>10</v>
      </c>
      <c r="G20" s="52"/>
      <c r="H20" s="82"/>
      <c r="J20" s="52"/>
      <c r="K20" s="13"/>
      <c r="L20" s="136"/>
      <c r="M20" s="139" t="s">
        <v>28</v>
      </c>
      <c r="N20" s="205">
        <v>-2.7100000000000002E-3</v>
      </c>
      <c r="O20" s="83" t="s">
        <v>72</v>
      </c>
      <c r="P20" s="83" t="s">
        <v>72</v>
      </c>
      <c r="Q20" s="84" t="b">
        <v>1</v>
      </c>
      <c r="S20" s="89"/>
      <c r="T20" s="90"/>
      <c r="V20" s="52"/>
      <c r="W20" s="13"/>
      <c r="Y20" s="145" t="s">
        <v>19</v>
      </c>
      <c r="Z20" s="152">
        <v>1.49E-3</v>
      </c>
      <c r="AB20" s="52"/>
      <c r="AC20" s="13"/>
      <c r="AE20" s="145" t="s">
        <v>19</v>
      </c>
      <c r="AF20" s="146">
        <v>7.9000000000000008E-3</v>
      </c>
      <c r="AH20" s="52" t="s">
        <v>91</v>
      </c>
      <c r="AI20" s="82" t="s">
        <v>82</v>
      </c>
      <c r="AK20" s="53" t="s">
        <v>97</v>
      </c>
      <c r="AL20" s="15" t="b">
        <v>1</v>
      </c>
      <c r="AN20" s="50"/>
      <c r="AO20" s="32"/>
      <c r="AQ20" s="41"/>
      <c r="AR20" s="42"/>
      <c r="AS20" s="42"/>
      <c r="AT20" s="43"/>
      <c r="AU20" s="131" t="s">
        <v>72</v>
      </c>
      <c r="AW20" s="52" t="s">
        <v>73</v>
      </c>
      <c r="AX20" s="82" t="s">
        <v>35</v>
      </c>
      <c r="AZ20" s="67" t="s">
        <v>15</v>
      </c>
      <c r="BA20" s="78">
        <v>9.9699999999999997E-3</v>
      </c>
      <c r="BB20" s="79" t="b">
        <v>1</v>
      </c>
      <c r="BC20" s="6"/>
      <c r="BD20" s="52" t="s">
        <v>91</v>
      </c>
      <c r="BE20" s="82" t="s">
        <v>82</v>
      </c>
      <c r="BG20" s="52" t="s">
        <v>83</v>
      </c>
      <c r="BH20" s="15" t="s">
        <v>43</v>
      </c>
      <c r="BJ20" s="139" t="s">
        <v>21</v>
      </c>
      <c r="BK20" s="163">
        <v>9.6750000000000004E-4</v>
      </c>
      <c r="BM20" s="52" t="s">
        <v>83</v>
      </c>
      <c r="BN20" s="15" t="s">
        <v>43</v>
      </c>
      <c r="BP20" s="139" t="s">
        <v>15</v>
      </c>
      <c r="BQ20" s="163">
        <v>1.15E-3</v>
      </c>
      <c r="BS20" s="52" t="s">
        <v>83</v>
      </c>
      <c r="BT20" s="15" t="s">
        <v>43</v>
      </c>
      <c r="BV20" s="139" t="s">
        <v>21</v>
      </c>
      <c r="BW20" s="163">
        <v>1.17E-3</v>
      </c>
      <c r="BY20" s="52" t="s">
        <v>91</v>
      </c>
      <c r="BZ20" s="82" t="s">
        <v>82</v>
      </c>
      <c r="CB20" s="52" t="s">
        <v>186</v>
      </c>
      <c r="CC20" s="82" t="s">
        <v>41</v>
      </c>
      <c r="CE20" s="52" t="s">
        <v>186</v>
      </c>
      <c r="CF20" s="82" t="s">
        <v>41</v>
      </c>
      <c r="CH20" s="52" t="s">
        <v>186</v>
      </c>
      <c r="CI20" s="82" t="s">
        <v>41</v>
      </c>
      <c r="CK20" s="52" t="s">
        <v>186</v>
      </c>
      <c r="CL20" s="82" t="s">
        <v>41</v>
      </c>
      <c r="CN20" s="139" t="s">
        <v>19</v>
      </c>
      <c r="CO20" s="163">
        <v>-4.3499999999999997E-3</v>
      </c>
      <c r="CQ20" s="52"/>
      <c r="CR20" s="82"/>
      <c r="CT20" s="52"/>
      <c r="CU20" s="82"/>
      <c r="CW20" s="52"/>
      <c r="CX20" s="82"/>
      <c r="CZ20" s="52"/>
      <c r="DA20" s="82"/>
    </row>
    <row r="21" spans="2:107">
      <c r="B21" s="52" t="s">
        <v>53</v>
      </c>
      <c r="C21" s="108" t="s">
        <v>229</v>
      </c>
      <c r="D21" s="109"/>
      <c r="E21" s="110"/>
      <c r="F21" t="s">
        <v>10</v>
      </c>
      <c r="G21" s="52"/>
      <c r="H21" s="82"/>
      <c r="J21" s="52"/>
      <c r="K21" s="13"/>
      <c r="L21" s="136"/>
      <c r="M21" s="139" t="s">
        <v>104</v>
      </c>
      <c r="N21" s="205">
        <v>-1.64E-3</v>
      </c>
      <c r="O21" s="83" t="s">
        <v>72</v>
      </c>
      <c r="P21" s="83" t="s">
        <v>72</v>
      </c>
      <c r="Q21" s="84" t="b">
        <v>1</v>
      </c>
      <c r="S21" s="89"/>
      <c r="T21" s="90"/>
      <c r="V21" s="52"/>
      <c r="W21" s="13"/>
      <c r="Y21" s="145" t="s">
        <v>15</v>
      </c>
      <c r="Z21" s="152">
        <v>1.31E-3</v>
      </c>
      <c r="AB21" s="52"/>
      <c r="AC21" s="13"/>
      <c r="AE21" s="145" t="s">
        <v>15</v>
      </c>
      <c r="AF21" s="146">
        <v>9.2800000000000001E-3</v>
      </c>
      <c r="AH21" s="52" t="s">
        <v>79</v>
      </c>
      <c r="AI21" s="82" t="s">
        <v>24</v>
      </c>
      <c r="AJ21" t="s">
        <v>10</v>
      </c>
      <c r="AK21" s="53"/>
      <c r="AL21" s="15"/>
      <c r="AN21" s="50"/>
      <c r="AO21" s="32"/>
      <c r="AQ21" s="41"/>
      <c r="AR21" s="42"/>
      <c r="AS21" s="42"/>
      <c r="AT21" s="43"/>
      <c r="AU21" s="131" t="s">
        <v>72</v>
      </c>
      <c r="AW21" s="52" t="s">
        <v>29</v>
      </c>
      <c r="AX21" s="82" t="b">
        <v>1</v>
      </c>
      <c r="AZ21" s="67" t="s">
        <v>14</v>
      </c>
      <c r="BA21" s="78">
        <v>1.0329999999999999E-2</v>
      </c>
      <c r="BB21" s="79" t="b">
        <v>1</v>
      </c>
      <c r="BC21" s="6"/>
      <c r="BD21" s="52" t="s">
        <v>185</v>
      </c>
      <c r="BE21" s="82" t="b">
        <v>0</v>
      </c>
      <c r="BG21" s="52" t="s">
        <v>80</v>
      </c>
      <c r="BH21" s="15" t="s">
        <v>207</v>
      </c>
      <c r="BJ21" s="139" t="s">
        <v>252</v>
      </c>
      <c r="BK21" s="163">
        <v>8.699999999999999E-4</v>
      </c>
      <c r="BM21" s="52" t="s">
        <v>80</v>
      </c>
      <c r="BN21" s="15" t="s">
        <v>207</v>
      </c>
      <c r="BP21" s="139" t="s">
        <v>14</v>
      </c>
      <c r="BQ21" s="163">
        <v>1.0400000000000001E-3</v>
      </c>
      <c r="BS21" s="52" t="s">
        <v>80</v>
      </c>
      <c r="BT21" s="15" t="s">
        <v>207</v>
      </c>
      <c r="BV21" s="139" t="s">
        <v>19</v>
      </c>
      <c r="BW21" s="163">
        <v>1.0199999999999999E-3</v>
      </c>
      <c r="BY21" s="52" t="s">
        <v>185</v>
      </c>
      <c r="BZ21" s="82" t="b">
        <v>1</v>
      </c>
      <c r="CB21" s="52" t="s">
        <v>187</v>
      </c>
      <c r="CC21" s="82" t="s">
        <v>43</v>
      </c>
      <c r="CE21" s="52" t="s">
        <v>187</v>
      </c>
      <c r="CF21" s="82" t="s">
        <v>43</v>
      </c>
      <c r="CH21" s="52" t="s">
        <v>187</v>
      </c>
      <c r="CI21" s="82" t="s">
        <v>43</v>
      </c>
      <c r="CK21" s="52" t="s">
        <v>187</v>
      </c>
      <c r="CL21" s="82" t="s">
        <v>43</v>
      </c>
      <c r="CN21" s="139" t="s">
        <v>15</v>
      </c>
      <c r="CO21" s="163">
        <v>-3.9874999999999997E-3</v>
      </c>
      <c r="CQ21" s="52"/>
      <c r="CR21" s="82"/>
      <c r="CT21" s="52"/>
      <c r="CU21" s="82"/>
      <c r="CW21" s="52"/>
      <c r="CX21" s="82"/>
      <c r="CZ21" s="52"/>
      <c r="DA21" s="82"/>
    </row>
    <row r="22" spans="2:107">
      <c r="B22" s="52" t="s">
        <v>167</v>
      </c>
      <c r="C22" s="108" t="s">
        <v>224</v>
      </c>
      <c r="D22" s="112"/>
      <c r="E22" s="113"/>
      <c r="F22" t="s">
        <v>10</v>
      </c>
      <c r="G22" s="52"/>
      <c r="H22" s="15"/>
      <c r="J22" s="52"/>
      <c r="K22" s="15"/>
      <c r="L22" s="136"/>
      <c r="M22" s="139" t="s">
        <v>26</v>
      </c>
      <c r="N22" s="205">
        <v>-5.0000000000000001E-4</v>
      </c>
      <c r="O22" s="83" t="s">
        <v>72</v>
      </c>
      <c r="P22" s="83" t="s">
        <v>72</v>
      </c>
      <c r="Q22" s="84" t="b">
        <v>1</v>
      </c>
      <c r="S22" s="89"/>
      <c r="T22" s="90"/>
      <c r="V22" s="52"/>
      <c r="W22" s="15"/>
      <c r="Y22" s="145" t="s">
        <v>14</v>
      </c>
      <c r="Z22" s="152">
        <v>1.1800000000000001E-3</v>
      </c>
      <c r="AB22" s="52"/>
      <c r="AC22" s="15"/>
      <c r="AE22" s="145" t="s">
        <v>14</v>
      </c>
      <c r="AF22" s="146">
        <v>9.7400000000000004E-3</v>
      </c>
      <c r="AH22" s="52" t="s">
        <v>185</v>
      </c>
      <c r="AI22" s="82" t="b">
        <v>1</v>
      </c>
      <c r="AK22" s="53"/>
      <c r="AL22" s="15"/>
      <c r="AN22" s="50"/>
      <c r="AO22" s="32"/>
      <c r="AQ22" s="41"/>
      <c r="AR22" s="42"/>
      <c r="AS22" s="42"/>
      <c r="AT22" s="43"/>
      <c r="AU22" s="131" t="s">
        <v>72</v>
      </c>
      <c r="AW22" s="52"/>
      <c r="AX22" s="82"/>
      <c r="AZ22" s="67" t="s">
        <v>13</v>
      </c>
      <c r="BA22" s="78">
        <v>1.0369999999999999E-2</v>
      </c>
      <c r="BB22" s="79" t="b">
        <v>1</v>
      </c>
      <c r="BC22" s="6"/>
      <c r="BD22" s="11" t="s">
        <v>209</v>
      </c>
      <c r="BE22" s="82" t="b">
        <v>1</v>
      </c>
      <c r="BG22" s="52" t="s">
        <v>78</v>
      </c>
      <c r="BH22" s="15" t="s">
        <v>38</v>
      </c>
      <c r="BJ22" s="139" t="s">
        <v>253</v>
      </c>
      <c r="BK22" s="163">
        <v>8.3000000000000012E-4</v>
      </c>
      <c r="BM22" s="52" t="s">
        <v>78</v>
      </c>
      <c r="BN22" s="15" t="s">
        <v>38</v>
      </c>
      <c r="BP22" s="139" t="s">
        <v>13</v>
      </c>
      <c r="BQ22" s="163">
        <v>9.4000000000000008E-4</v>
      </c>
      <c r="BS22" s="52" t="s">
        <v>78</v>
      </c>
      <c r="BT22" s="15" t="s">
        <v>38</v>
      </c>
      <c r="BV22" s="139" t="s">
        <v>15</v>
      </c>
      <c r="BW22" s="163">
        <v>8.699999999999999E-4</v>
      </c>
      <c r="BY22" s="11" t="s">
        <v>209</v>
      </c>
      <c r="BZ22" s="82" t="b">
        <v>1</v>
      </c>
      <c r="CB22" s="52" t="s">
        <v>188</v>
      </c>
      <c r="CC22" s="82" t="s">
        <v>41</v>
      </c>
      <c r="CE22" s="52" t="s">
        <v>188</v>
      </c>
      <c r="CF22" s="82" t="s">
        <v>41</v>
      </c>
      <c r="CH22" s="52" t="s">
        <v>188</v>
      </c>
      <c r="CI22" s="82" t="s">
        <v>41</v>
      </c>
      <c r="CK22" s="52" t="s">
        <v>188</v>
      </c>
      <c r="CL22" s="82" t="s">
        <v>41</v>
      </c>
      <c r="CN22" s="139" t="s">
        <v>14</v>
      </c>
      <c r="CO22" s="163">
        <v>-3.6874999999999998E-3</v>
      </c>
      <c r="CQ22" s="52"/>
      <c r="CR22" s="82"/>
      <c r="CT22" s="52"/>
      <c r="CU22" s="82"/>
      <c r="CW22" s="52"/>
      <c r="CX22" s="82"/>
      <c r="CZ22" s="52"/>
      <c r="DA22" s="82"/>
    </row>
    <row r="23" spans="2:107">
      <c r="B23" s="52" t="s">
        <v>168</v>
      </c>
      <c r="C23" s="111" t="s">
        <v>225</v>
      </c>
      <c r="D23" s="112"/>
      <c r="E23" s="113"/>
      <c r="F23" t="s">
        <v>10</v>
      </c>
      <c r="G23" s="11"/>
      <c r="H23" s="26"/>
      <c r="J23" s="11"/>
      <c r="K23" s="26"/>
      <c r="L23" s="136"/>
      <c r="M23" s="139" t="s">
        <v>93</v>
      </c>
      <c r="N23" s="205">
        <v>6.7000000000000002E-4</v>
      </c>
      <c r="O23" s="83" t="s">
        <v>72</v>
      </c>
      <c r="P23" s="83" t="s">
        <v>72</v>
      </c>
      <c r="Q23" s="84" t="b">
        <v>1</v>
      </c>
      <c r="S23" s="89"/>
      <c r="T23" s="90"/>
      <c r="V23" s="11"/>
      <c r="W23" s="26"/>
      <c r="Y23" s="145" t="s">
        <v>13</v>
      </c>
      <c r="Z23" s="152">
        <v>1.07E-3</v>
      </c>
      <c r="AB23" s="11"/>
      <c r="AC23" s="26"/>
      <c r="AE23" s="145" t="s">
        <v>13</v>
      </c>
      <c r="AF23" s="146">
        <v>9.8399999999999998E-3</v>
      </c>
      <c r="AH23" s="11" t="s">
        <v>74</v>
      </c>
      <c r="AI23" s="82" t="s">
        <v>24</v>
      </c>
      <c r="AK23" s="53"/>
      <c r="AL23" s="15"/>
      <c r="AN23" s="50"/>
      <c r="AO23" s="32"/>
      <c r="AQ23" s="41"/>
      <c r="AR23" s="42"/>
      <c r="AS23" s="42"/>
      <c r="AT23" s="43"/>
      <c r="AU23" s="131" t="s">
        <v>72</v>
      </c>
      <c r="AW23" s="52"/>
      <c r="AX23" s="82"/>
      <c r="AZ23" s="67" t="s">
        <v>12</v>
      </c>
      <c r="BA23" s="78">
        <v>1.0149999999999999E-2</v>
      </c>
      <c r="BB23" s="79" t="b">
        <v>1</v>
      </c>
      <c r="BC23" s="6"/>
      <c r="BD23" s="11" t="s">
        <v>67</v>
      </c>
      <c r="BE23" s="82" t="s">
        <v>165</v>
      </c>
      <c r="BG23" s="75" t="s">
        <v>75</v>
      </c>
      <c r="BH23" s="18" t="s">
        <v>35</v>
      </c>
      <c r="BJ23" s="139" t="s">
        <v>19</v>
      </c>
      <c r="BK23" s="163">
        <v>7.9000000000000001E-4</v>
      </c>
      <c r="BM23" s="75" t="s">
        <v>75</v>
      </c>
      <c r="BN23" s="18" t="s">
        <v>35</v>
      </c>
      <c r="BP23" s="139" t="s">
        <v>72</v>
      </c>
      <c r="BQ23" s="163" t="s">
        <v>72</v>
      </c>
      <c r="BS23" s="75" t="s">
        <v>75</v>
      </c>
      <c r="BT23" s="18" t="s">
        <v>35</v>
      </c>
      <c r="BV23" s="139" t="s">
        <v>14</v>
      </c>
      <c r="BW23" s="163">
        <v>7.7000000000000007E-4</v>
      </c>
      <c r="BY23" s="11"/>
      <c r="BZ23" s="82"/>
      <c r="CB23" s="52" t="s">
        <v>189</v>
      </c>
      <c r="CC23" s="15">
        <v>2</v>
      </c>
      <c r="CE23" s="52" t="s">
        <v>189</v>
      </c>
      <c r="CF23" s="15">
        <v>2</v>
      </c>
      <c r="CH23" s="52" t="s">
        <v>189</v>
      </c>
      <c r="CI23" s="15">
        <v>2</v>
      </c>
      <c r="CK23" s="52" t="s">
        <v>189</v>
      </c>
      <c r="CL23" s="15">
        <v>2</v>
      </c>
      <c r="CN23" s="139" t="s">
        <v>13</v>
      </c>
      <c r="CO23" s="163">
        <v>-3.6124999999999998E-3</v>
      </c>
      <c r="CQ23" s="11"/>
      <c r="CR23" s="82"/>
      <c r="CT23" s="52"/>
      <c r="CU23" s="82"/>
      <c r="CW23" s="52"/>
      <c r="CX23" s="82"/>
      <c r="CZ23" s="52"/>
      <c r="DA23" s="82"/>
    </row>
    <row r="24" spans="2:107">
      <c r="B24" s="52" t="s">
        <v>218</v>
      </c>
      <c r="C24" s="111" t="s">
        <v>226</v>
      </c>
      <c r="D24" s="112"/>
      <c r="E24" s="113"/>
      <c r="F24" t="s">
        <v>10</v>
      </c>
      <c r="G24" s="12"/>
      <c r="H24" s="28"/>
      <c r="J24" s="12"/>
      <c r="K24" s="28"/>
      <c r="L24" s="136"/>
      <c r="M24" s="139" t="s">
        <v>89</v>
      </c>
      <c r="N24" s="205">
        <v>1.7699999999999999E-3</v>
      </c>
      <c r="O24" s="83" t="s">
        <v>72</v>
      </c>
      <c r="P24" s="83" t="s">
        <v>72</v>
      </c>
      <c r="Q24" s="84" t="b">
        <v>1</v>
      </c>
      <c r="S24" s="89"/>
      <c r="T24" s="90"/>
      <c r="V24" s="12"/>
      <c r="W24" s="28"/>
      <c r="Y24" s="145" t="s">
        <v>12</v>
      </c>
      <c r="Z24" s="152">
        <v>9.1E-4</v>
      </c>
      <c r="AB24" s="12"/>
      <c r="AC24" s="28"/>
      <c r="AE24" s="145" t="s">
        <v>12</v>
      </c>
      <c r="AF24" s="146">
        <v>9.7099999999999999E-3</v>
      </c>
      <c r="AH24" s="11" t="s">
        <v>161</v>
      </c>
      <c r="AI24" s="82" t="s">
        <v>24</v>
      </c>
      <c r="AK24" s="53"/>
      <c r="AL24" s="15"/>
      <c r="AN24" s="50"/>
      <c r="AO24" s="32"/>
      <c r="AQ24" s="41"/>
      <c r="AR24" s="42"/>
      <c r="AS24" s="42"/>
      <c r="AT24" s="43"/>
      <c r="AU24" s="131" t="s">
        <v>72</v>
      </c>
      <c r="AW24" s="52"/>
      <c r="AX24" s="82"/>
      <c r="AZ24" s="67" t="s">
        <v>11</v>
      </c>
      <c r="BA24" s="78">
        <v>9.4900000000000002E-3</v>
      </c>
      <c r="BB24" s="79" t="b">
        <v>1</v>
      </c>
      <c r="BC24" s="6"/>
      <c r="BD24" s="11" t="s">
        <v>381</v>
      </c>
      <c r="BE24" s="82" t="b">
        <v>0</v>
      </c>
      <c r="BG24" s="74" t="s">
        <v>71</v>
      </c>
      <c r="BH24" s="94" t="s">
        <v>207</v>
      </c>
      <c r="BJ24" s="139" t="s">
        <v>15</v>
      </c>
      <c r="BK24" s="163">
        <v>6.4500000000000007E-4</v>
      </c>
      <c r="BM24" s="74" t="s">
        <v>71</v>
      </c>
      <c r="BN24" s="94" t="s">
        <v>207</v>
      </c>
      <c r="BP24" s="139" t="s">
        <v>72</v>
      </c>
      <c r="BQ24" s="163" t="s">
        <v>72</v>
      </c>
      <c r="BS24" s="74" t="s">
        <v>71</v>
      </c>
      <c r="BT24" s="94" t="s">
        <v>207</v>
      </c>
      <c r="BV24" s="139" t="s">
        <v>13</v>
      </c>
      <c r="BW24" s="163">
        <v>6.9999999999999999E-4</v>
      </c>
      <c r="BY24" s="11"/>
      <c r="BZ24" s="82"/>
      <c r="CB24" s="52" t="s">
        <v>190</v>
      </c>
      <c r="CC24" s="82" t="s">
        <v>35</v>
      </c>
      <c r="CE24" s="52" t="s">
        <v>190</v>
      </c>
      <c r="CF24" s="82" t="s">
        <v>35</v>
      </c>
      <c r="CH24" s="52" t="s">
        <v>190</v>
      </c>
      <c r="CI24" s="82" t="s">
        <v>35</v>
      </c>
      <c r="CK24" s="52" t="s">
        <v>190</v>
      </c>
      <c r="CL24" s="82" t="s">
        <v>35</v>
      </c>
      <c r="CN24" s="139" t="s">
        <v>72</v>
      </c>
      <c r="CO24" s="163" t="s">
        <v>72</v>
      </c>
      <c r="CQ24" s="11"/>
      <c r="CR24" s="82"/>
      <c r="CT24" s="52"/>
      <c r="CU24" s="82"/>
      <c r="CW24" s="52"/>
      <c r="CX24" s="82"/>
      <c r="CZ24" s="52"/>
      <c r="DA24" s="82"/>
    </row>
    <row r="25" spans="2:107">
      <c r="B25" s="52" t="s">
        <v>169</v>
      </c>
      <c r="C25" s="111" t="s">
        <v>238</v>
      </c>
      <c r="D25" s="112"/>
      <c r="E25" s="113"/>
      <c r="F25" t="s">
        <v>10</v>
      </c>
      <c r="L25" s="136"/>
      <c r="M25" s="139" t="s">
        <v>23</v>
      </c>
      <c r="N25" s="205">
        <v>2.7700000000000003E-3</v>
      </c>
      <c r="O25" s="83" t="s">
        <v>72</v>
      </c>
      <c r="P25" s="83" t="s">
        <v>72</v>
      </c>
      <c r="Q25" s="84" t="b">
        <v>1</v>
      </c>
      <c r="S25" s="89"/>
      <c r="T25" s="90"/>
      <c r="Y25" s="145" t="s">
        <v>11</v>
      </c>
      <c r="Z25" s="152">
        <v>8.1999999999999998E-4</v>
      </c>
      <c r="AE25" s="145" t="s">
        <v>11</v>
      </c>
      <c r="AF25" s="146">
        <v>9.11E-3</v>
      </c>
      <c r="AH25" s="11" t="s">
        <v>209</v>
      </c>
      <c r="AI25" s="82" t="b">
        <v>1</v>
      </c>
      <c r="AK25" s="54"/>
      <c r="AL25" s="18"/>
      <c r="AN25" s="61"/>
      <c r="AO25" s="37"/>
      <c r="AQ25" s="44"/>
      <c r="AR25" s="42"/>
      <c r="AS25" s="42"/>
      <c r="AT25" s="45"/>
      <c r="AU25" s="131" t="s">
        <v>72</v>
      </c>
      <c r="AW25" s="52"/>
      <c r="AX25" s="82"/>
      <c r="AZ25" s="67" t="s">
        <v>72</v>
      </c>
      <c r="BA25" s="78" t="s">
        <v>72</v>
      </c>
      <c r="BB25" s="79" t="b">
        <v>0</v>
      </c>
      <c r="BC25" s="6"/>
      <c r="BD25" s="11"/>
      <c r="BE25" s="82"/>
      <c r="BG25" s="52" t="s">
        <v>70</v>
      </c>
      <c r="BH25" s="15" t="s">
        <v>48</v>
      </c>
      <c r="BJ25" s="139" t="s">
        <v>14</v>
      </c>
      <c r="BK25" s="163">
        <v>5.8750000000000002E-4</v>
      </c>
      <c r="BM25" s="52" t="s">
        <v>70</v>
      </c>
      <c r="BN25" s="15" t="s">
        <v>48</v>
      </c>
      <c r="BP25" s="139" t="s">
        <v>72</v>
      </c>
      <c r="BQ25" s="163" t="s">
        <v>72</v>
      </c>
      <c r="BS25" s="52" t="s">
        <v>70</v>
      </c>
      <c r="BT25" s="15" t="s">
        <v>48</v>
      </c>
      <c r="BV25" s="139" t="s">
        <v>72</v>
      </c>
      <c r="BW25" s="163" t="s">
        <v>72</v>
      </c>
      <c r="BY25" s="11"/>
      <c r="BZ25" s="82"/>
      <c r="CB25" s="74" t="s">
        <v>191</v>
      </c>
      <c r="CC25" s="96" t="s">
        <v>208</v>
      </c>
      <c r="CE25" s="74" t="s">
        <v>191</v>
      </c>
      <c r="CF25" s="96" t="s">
        <v>208</v>
      </c>
      <c r="CH25" s="74" t="s">
        <v>191</v>
      </c>
      <c r="CI25" s="96" t="s">
        <v>208</v>
      </c>
      <c r="CK25" s="74" t="s">
        <v>191</v>
      </c>
      <c r="CL25" s="96" t="s">
        <v>208</v>
      </c>
      <c r="CN25" s="139" t="s">
        <v>72</v>
      </c>
      <c r="CO25" s="163" t="s">
        <v>72</v>
      </c>
      <c r="CQ25" s="11"/>
      <c r="CR25" s="82"/>
      <c r="CT25" s="52"/>
      <c r="CU25" s="82"/>
      <c r="CW25" s="52"/>
      <c r="CX25" s="82"/>
      <c r="CZ25" s="52"/>
      <c r="DA25" s="82"/>
    </row>
    <row r="26" spans="2:107">
      <c r="B26" s="52"/>
      <c r="C26" s="111"/>
      <c r="D26" s="112"/>
      <c r="E26" s="113"/>
      <c r="F26" t="s">
        <v>10</v>
      </c>
      <c r="L26" s="136"/>
      <c r="M26" s="139" t="s">
        <v>244</v>
      </c>
      <c r="N26" s="205">
        <v>3.6700000000000001E-3</v>
      </c>
      <c r="O26" s="83" t="s">
        <v>72</v>
      </c>
      <c r="P26" s="83" t="s">
        <v>72</v>
      </c>
      <c r="Q26" s="84" t="b">
        <v>1</v>
      </c>
      <c r="S26" s="89"/>
      <c r="T26" s="90"/>
      <c r="Y26" s="145" t="s">
        <v>72</v>
      </c>
      <c r="Z26" s="152" t="s">
        <v>72</v>
      </c>
      <c r="AE26" s="145" t="s">
        <v>72</v>
      </c>
      <c r="AF26" s="146" t="s">
        <v>72</v>
      </c>
      <c r="AH26" s="11" t="s">
        <v>67</v>
      </c>
      <c r="AI26" s="82" t="s">
        <v>165</v>
      </c>
      <c r="AK26" s="159"/>
      <c r="AL26" s="160"/>
      <c r="AN26" s="50"/>
      <c r="AO26" s="32"/>
      <c r="AQ26" s="46"/>
      <c r="AR26" s="47"/>
      <c r="AS26" s="47"/>
      <c r="AT26" s="47"/>
      <c r="AU26" s="132" t="s">
        <v>72</v>
      </c>
      <c r="AW26" s="52"/>
      <c r="AX26" s="82"/>
      <c r="AZ26" s="67" t="s">
        <v>72</v>
      </c>
      <c r="BA26" s="78" t="s">
        <v>72</v>
      </c>
      <c r="BB26" s="79" t="b">
        <v>0</v>
      </c>
      <c r="BC26" s="6"/>
      <c r="BD26" s="11"/>
      <c r="BE26" s="82"/>
      <c r="BG26" s="52" t="s">
        <v>69</v>
      </c>
      <c r="BH26" s="82" t="s">
        <v>63</v>
      </c>
      <c r="BJ26" s="139" t="s">
        <v>13</v>
      </c>
      <c r="BK26" s="163">
        <v>5.1749999999999995E-4</v>
      </c>
      <c r="BM26" s="52" t="s">
        <v>69</v>
      </c>
      <c r="BN26" s="82" t="s">
        <v>68</v>
      </c>
      <c r="BP26" s="139" t="s">
        <v>72</v>
      </c>
      <c r="BQ26" s="163" t="s">
        <v>72</v>
      </c>
      <c r="BS26" s="52" t="s">
        <v>69</v>
      </c>
      <c r="BT26" s="82" t="s">
        <v>64</v>
      </c>
      <c r="BV26" s="139" t="s">
        <v>72</v>
      </c>
      <c r="BW26" s="163" t="s">
        <v>72</v>
      </c>
      <c r="BY26" s="11"/>
      <c r="BZ26" s="82"/>
      <c r="CB26" s="52" t="s">
        <v>192</v>
      </c>
      <c r="CC26" s="82" t="s">
        <v>48</v>
      </c>
      <c r="CE26" s="52" t="s">
        <v>192</v>
      </c>
      <c r="CF26" s="82" t="s">
        <v>48</v>
      </c>
      <c r="CH26" s="52" t="s">
        <v>192</v>
      </c>
      <c r="CI26" s="82" t="s">
        <v>48</v>
      </c>
      <c r="CK26" s="52" t="s">
        <v>192</v>
      </c>
      <c r="CL26" s="82" t="s">
        <v>48</v>
      </c>
      <c r="CN26" s="139" t="s">
        <v>72</v>
      </c>
      <c r="CO26" s="163" t="s">
        <v>72</v>
      </c>
      <c r="CQ26" s="11"/>
      <c r="CR26" s="82"/>
      <c r="CT26" s="52"/>
      <c r="CU26" s="82"/>
      <c r="CW26" s="52"/>
      <c r="CX26" s="82"/>
      <c r="CZ26" s="52"/>
      <c r="DA26" s="82"/>
    </row>
    <row r="27" spans="2:107">
      <c r="B27" s="58"/>
      <c r="C27" s="114"/>
      <c r="D27" s="115"/>
      <c r="E27" s="116"/>
      <c r="F27" t="s">
        <v>10</v>
      </c>
      <c r="L27" s="136"/>
      <c r="M27" s="139" t="s">
        <v>21</v>
      </c>
      <c r="N27" s="205">
        <v>4.47E-3</v>
      </c>
      <c r="O27" s="83" t="s">
        <v>72</v>
      </c>
      <c r="P27" s="83" t="s">
        <v>72</v>
      </c>
      <c r="Q27" s="84" t="b">
        <v>1</v>
      </c>
      <c r="S27" s="89"/>
      <c r="T27" s="90"/>
      <c r="Y27" s="145" t="s">
        <v>72</v>
      </c>
      <c r="Z27" s="152" t="s">
        <v>72</v>
      </c>
      <c r="AE27" s="145" t="s">
        <v>72</v>
      </c>
      <c r="AF27" s="146" t="s">
        <v>72</v>
      </c>
      <c r="AH27" s="11"/>
      <c r="AI27" s="82"/>
      <c r="AK27" s="55" t="s">
        <v>66</v>
      </c>
      <c r="AL27" s="15"/>
      <c r="AN27" s="55" t="s">
        <v>65</v>
      </c>
      <c r="AO27" s="32"/>
      <c r="AQ27" s="46"/>
      <c r="AR27" s="47"/>
      <c r="AS27" s="47"/>
      <c r="AT27" s="47"/>
      <c r="AU27" s="132" t="s">
        <v>72</v>
      </c>
      <c r="AW27" s="52"/>
      <c r="AX27" s="82"/>
      <c r="AZ27" s="67" t="s">
        <v>72</v>
      </c>
      <c r="BA27" s="78" t="s">
        <v>72</v>
      </c>
      <c r="BB27" s="79" t="b">
        <v>0</v>
      </c>
      <c r="BC27" s="6"/>
      <c r="BD27" s="11"/>
      <c r="BE27" s="82"/>
      <c r="BG27" s="52" t="s">
        <v>60</v>
      </c>
      <c r="BH27" s="82" t="s">
        <v>35</v>
      </c>
      <c r="BJ27" s="139" t="s">
        <v>72</v>
      </c>
      <c r="BK27" s="163" t="s">
        <v>72</v>
      </c>
      <c r="BM27" s="52" t="s">
        <v>60</v>
      </c>
      <c r="BN27" s="82" t="s">
        <v>35</v>
      </c>
      <c r="BP27" s="139" t="s">
        <v>72</v>
      </c>
      <c r="BQ27" s="163" t="s">
        <v>72</v>
      </c>
      <c r="BS27" s="52" t="s">
        <v>60</v>
      </c>
      <c r="BT27" s="82" t="s">
        <v>35</v>
      </c>
      <c r="BV27" s="139" t="s">
        <v>72</v>
      </c>
      <c r="BW27" s="163" t="s">
        <v>72</v>
      </c>
      <c r="BY27" s="11"/>
      <c r="BZ27" s="82"/>
      <c r="CB27" s="52" t="s">
        <v>193</v>
      </c>
      <c r="CC27" s="82" t="s">
        <v>63</v>
      </c>
      <c r="CE27" s="52" t="s">
        <v>193</v>
      </c>
      <c r="CF27" s="82" t="s">
        <v>63</v>
      </c>
      <c r="CH27" s="52" t="s">
        <v>193</v>
      </c>
      <c r="CI27" s="82" t="s">
        <v>63</v>
      </c>
      <c r="CK27" s="52" t="s">
        <v>193</v>
      </c>
      <c r="CL27" s="82" t="s">
        <v>63</v>
      </c>
      <c r="CN27" s="139" t="s">
        <v>72</v>
      </c>
      <c r="CO27" s="163" t="s">
        <v>72</v>
      </c>
      <c r="CQ27" s="11"/>
      <c r="CR27" s="82"/>
      <c r="CT27" s="52"/>
      <c r="CU27" s="82"/>
      <c r="CW27" s="52"/>
      <c r="CX27" s="82"/>
      <c r="CZ27" s="52"/>
      <c r="DA27" s="82"/>
    </row>
    <row r="28" spans="2:107">
      <c r="F28" t="s">
        <v>10</v>
      </c>
      <c r="L28" s="136"/>
      <c r="M28" s="139" t="s">
        <v>19</v>
      </c>
      <c r="N28" s="205">
        <v>6.2900000000000005E-3</v>
      </c>
      <c r="O28" s="83" t="s">
        <v>72</v>
      </c>
      <c r="P28" s="83" t="s">
        <v>72</v>
      </c>
      <c r="Q28" s="84" t="b">
        <v>1</v>
      </c>
      <c r="S28" s="89"/>
      <c r="T28" s="90"/>
      <c r="Y28" s="145" t="s">
        <v>72</v>
      </c>
      <c r="Z28" s="152" t="s">
        <v>72</v>
      </c>
      <c r="AE28" s="145" t="s">
        <v>72</v>
      </c>
      <c r="AF28" s="146" t="s">
        <v>72</v>
      </c>
      <c r="AH28" s="11"/>
      <c r="AI28" s="82"/>
      <c r="AK28" s="56" t="s">
        <v>62</v>
      </c>
      <c r="AL28" s="14" t="s">
        <v>61</v>
      </c>
      <c r="AN28" s="56" t="s">
        <v>62</v>
      </c>
      <c r="AO28" s="14" t="s">
        <v>61</v>
      </c>
      <c r="AQ28" s="46"/>
      <c r="AR28" s="47"/>
      <c r="AS28" s="47"/>
      <c r="AT28" s="47"/>
      <c r="AU28" s="132" t="s">
        <v>72</v>
      </c>
      <c r="AW28" s="52"/>
      <c r="AX28" s="82"/>
      <c r="AZ28" s="67" t="s">
        <v>72</v>
      </c>
      <c r="BA28" s="78" t="s">
        <v>72</v>
      </c>
      <c r="BB28" s="79" t="b">
        <v>0</v>
      </c>
      <c r="BC28" s="6"/>
      <c r="BD28" s="11"/>
      <c r="BE28" s="82"/>
      <c r="BG28" s="52" t="s">
        <v>58</v>
      </c>
      <c r="BH28" s="15" t="s">
        <v>38</v>
      </c>
      <c r="BJ28" s="139" t="s">
        <v>72</v>
      </c>
      <c r="BK28" s="163" t="s">
        <v>72</v>
      </c>
      <c r="BM28" s="52" t="s">
        <v>58</v>
      </c>
      <c r="BN28" s="15" t="s">
        <v>38</v>
      </c>
      <c r="BP28" s="139" t="s">
        <v>72</v>
      </c>
      <c r="BQ28" s="163" t="s">
        <v>72</v>
      </c>
      <c r="BS28" s="52" t="s">
        <v>58</v>
      </c>
      <c r="BT28" s="15" t="s">
        <v>38</v>
      </c>
      <c r="BV28" s="139" t="s">
        <v>72</v>
      </c>
      <c r="BW28" s="163" t="s">
        <v>72</v>
      </c>
      <c r="BY28" s="11"/>
      <c r="BZ28" s="82"/>
      <c r="CB28" s="52" t="s">
        <v>194</v>
      </c>
      <c r="CC28" s="82" t="s">
        <v>35</v>
      </c>
      <c r="CE28" s="52" t="s">
        <v>194</v>
      </c>
      <c r="CF28" s="82" t="s">
        <v>35</v>
      </c>
      <c r="CH28" s="52" t="s">
        <v>194</v>
      </c>
      <c r="CI28" s="82" t="s">
        <v>35</v>
      </c>
      <c r="CK28" s="52" t="s">
        <v>194</v>
      </c>
      <c r="CL28" s="82" t="s">
        <v>35</v>
      </c>
      <c r="CN28" s="139" t="s">
        <v>72</v>
      </c>
      <c r="CO28" s="163" t="s">
        <v>72</v>
      </c>
      <c r="CQ28" s="11"/>
      <c r="CR28" s="82"/>
      <c r="CT28" s="52"/>
      <c r="CU28" s="82"/>
      <c r="CW28" s="52"/>
      <c r="CX28" s="82"/>
      <c r="CZ28" s="52"/>
      <c r="DA28" s="82"/>
    </row>
    <row r="29" spans="2:107">
      <c r="B29" s="2" t="s">
        <v>239</v>
      </c>
      <c r="C29" s="9"/>
      <c r="F29" t="s">
        <v>10</v>
      </c>
      <c r="L29" s="136"/>
      <c r="M29" s="139" t="s">
        <v>15</v>
      </c>
      <c r="N29" s="205">
        <v>7.8300000000000002E-3</v>
      </c>
      <c r="O29" s="83" t="s">
        <v>72</v>
      </c>
      <c r="P29" s="83" t="s">
        <v>72</v>
      </c>
      <c r="Q29" s="84" t="b">
        <v>1</v>
      </c>
      <c r="S29" s="89"/>
      <c r="T29" s="90"/>
      <c r="Y29" s="145" t="s">
        <v>72</v>
      </c>
      <c r="Z29" s="152" t="s">
        <v>72</v>
      </c>
      <c r="AE29" s="145" t="s">
        <v>72</v>
      </c>
      <c r="AF29" s="146" t="s">
        <v>72</v>
      </c>
      <c r="AH29" s="11"/>
      <c r="AI29" s="82"/>
      <c r="AK29" s="159" t="s">
        <v>18</v>
      </c>
      <c r="AL29" s="160">
        <v>-1.2600000000000001E-3</v>
      </c>
      <c r="AN29" s="159" t="s">
        <v>57</v>
      </c>
      <c r="AO29" s="160">
        <v>-1.65E-3</v>
      </c>
      <c r="AQ29" s="46"/>
      <c r="AR29" s="47"/>
      <c r="AS29" s="47"/>
      <c r="AT29" s="47"/>
      <c r="AU29" s="132" t="s">
        <v>72</v>
      </c>
      <c r="AW29" s="52"/>
      <c r="AX29" s="82"/>
      <c r="AZ29" s="67" t="s">
        <v>72</v>
      </c>
      <c r="BA29" s="78" t="s">
        <v>72</v>
      </c>
      <c r="BB29" s="79" t="b">
        <v>0</v>
      </c>
      <c r="BC29" s="6"/>
      <c r="BD29" s="11"/>
      <c r="BE29" s="82"/>
      <c r="BG29" s="52" t="s">
        <v>56</v>
      </c>
      <c r="BH29" s="27" t="s">
        <v>165</v>
      </c>
      <c r="BJ29" s="139" t="s">
        <v>72</v>
      </c>
      <c r="BK29" s="163" t="s">
        <v>72</v>
      </c>
      <c r="BM29" s="52" t="s">
        <v>56</v>
      </c>
      <c r="BN29" s="27" t="s">
        <v>165</v>
      </c>
      <c r="BP29" s="139" t="s">
        <v>72</v>
      </c>
      <c r="BQ29" s="163" t="s">
        <v>72</v>
      </c>
      <c r="BS29" s="52" t="s">
        <v>56</v>
      </c>
      <c r="BT29" s="27" t="s">
        <v>165</v>
      </c>
      <c r="BV29" s="139" t="s">
        <v>72</v>
      </c>
      <c r="BW29" s="163" t="s">
        <v>72</v>
      </c>
      <c r="BY29" s="11"/>
      <c r="BZ29" s="82"/>
      <c r="CB29" s="52" t="s">
        <v>195</v>
      </c>
      <c r="CC29" s="82">
        <v>2</v>
      </c>
      <c r="CE29" s="52" t="s">
        <v>195</v>
      </c>
      <c r="CF29" s="82">
        <v>2</v>
      </c>
      <c r="CH29" s="52" t="s">
        <v>195</v>
      </c>
      <c r="CI29" s="82">
        <v>2</v>
      </c>
      <c r="CK29" s="52" t="s">
        <v>195</v>
      </c>
      <c r="CL29" s="82">
        <v>2</v>
      </c>
      <c r="CN29" s="139" t="s">
        <v>72</v>
      </c>
      <c r="CO29" s="163" t="s">
        <v>72</v>
      </c>
      <c r="CQ29" s="11"/>
      <c r="CR29" s="82"/>
      <c r="CT29" s="52"/>
      <c r="CU29" s="82"/>
      <c r="CW29" s="52"/>
      <c r="CX29" s="82"/>
      <c r="CZ29" s="52"/>
      <c r="DA29" s="82"/>
      <c r="DC29" t="s">
        <v>10</v>
      </c>
    </row>
    <row r="30" spans="2:107">
      <c r="B30" s="51" t="s">
        <v>165</v>
      </c>
      <c r="C30" s="105" t="s">
        <v>236</v>
      </c>
      <c r="D30" s="106"/>
      <c r="E30" s="107"/>
      <c r="F30" t="s">
        <v>10</v>
      </c>
      <c r="L30" s="136"/>
      <c r="M30" s="139" t="s">
        <v>14</v>
      </c>
      <c r="N30" s="205">
        <v>8.4099999999999991E-3</v>
      </c>
      <c r="O30" s="83" t="s">
        <v>72</v>
      </c>
      <c r="P30" s="83" t="s">
        <v>72</v>
      </c>
      <c r="Q30" s="84" t="b">
        <v>1</v>
      </c>
      <c r="S30" s="89"/>
      <c r="T30" s="90"/>
      <c r="Y30" s="145" t="s">
        <v>72</v>
      </c>
      <c r="Z30" s="152" t="s">
        <v>72</v>
      </c>
      <c r="AE30" s="145" t="s">
        <v>72</v>
      </c>
      <c r="AF30" s="146" t="s">
        <v>72</v>
      </c>
      <c r="AH30" s="11"/>
      <c r="AI30" s="82"/>
      <c r="AK30" s="50" t="s">
        <v>72</v>
      </c>
      <c r="AL30" s="32" t="s">
        <v>72</v>
      </c>
      <c r="AN30" s="159" t="s">
        <v>55</v>
      </c>
      <c r="AO30" s="160">
        <v>-1.8E-3</v>
      </c>
      <c r="AQ30" s="46"/>
      <c r="AR30" s="47"/>
      <c r="AS30" s="47"/>
      <c r="AT30" s="47"/>
      <c r="AU30" s="132" t="s">
        <v>72</v>
      </c>
      <c r="AW30" s="52"/>
      <c r="AX30" s="82"/>
      <c r="AZ30" s="67" t="s">
        <v>72</v>
      </c>
      <c r="BA30" s="78" t="s">
        <v>72</v>
      </c>
      <c r="BB30" s="79" t="b">
        <v>0</v>
      </c>
      <c r="BC30" s="6"/>
      <c r="BD30" s="11"/>
      <c r="BE30" s="82"/>
      <c r="BG30" s="52" t="s">
        <v>54</v>
      </c>
      <c r="BH30" s="27" t="s">
        <v>53</v>
      </c>
      <c r="BJ30" s="139" t="s">
        <v>72</v>
      </c>
      <c r="BK30" s="163" t="s">
        <v>72</v>
      </c>
      <c r="BM30" s="52" t="s">
        <v>54</v>
      </c>
      <c r="BN30" s="27" t="s">
        <v>53</v>
      </c>
      <c r="BP30" s="139" t="s">
        <v>72</v>
      </c>
      <c r="BQ30" s="163" t="s">
        <v>72</v>
      </c>
      <c r="BS30" s="52" t="s">
        <v>54</v>
      </c>
      <c r="BT30" s="27" t="s">
        <v>53</v>
      </c>
      <c r="BV30" s="139" t="s">
        <v>72</v>
      </c>
      <c r="BW30" s="163" t="s">
        <v>72</v>
      </c>
      <c r="BY30" s="11"/>
      <c r="BZ30" s="82"/>
      <c r="CB30" s="52" t="s">
        <v>175</v>
      </c>
      <c r="CC30" s="27" t="s">
        <v>291</v>
      </c>
      <c r="CE30" s="52" t="s">
        <v>175</v>
      </c>
      <c r="CF30" s="27" t="s">
        <v>291</v>
      </c>
      <c r="CH30" s="52" t="s">
        <v>175</v>
      </c>
      <c r="CI30" s="27" t="s">
        <v>291</v>
      </c>
      <c r="CK30" s="52" t="s">
        <v>175</v>
      </c>
      <c r="CL30" s="27" t="s">
        <v>291</v>
      </c>
      <c r="CN30" s="139" t="s">
        <v>72</v>
      </c>
      <c r="CO30" s="163" t="s">
        <v>72</v>
      </c>
      <c r="CQ30" s="11"/>
      <c r="CR30" s="82"/>
      <c r="CT30" s="52"/>
      <c r="CU30" s="82"/>
      <c r="CW30" s="52"/>
      <c r="CX30" s="82"/>
      <c r="CZ30" s="52"/>
      <c r="DA30" s="82"/>
    </row>
    <row r="31" spans="2:107">
      <c r="B31" s="52" t="s">
        <v>53</v>
      </c>
      <c r="C31" s="108" t="s">
        <v>229</v>
      </c>
      <c r="D31" s="109"/>
      <c r="E31" s="110"/>
      <c r="F31" t="s">
        <v>10</v>
      </c>
      <c r="L31" s="136"/>
      <c r="M31" s="139" t="s">
        <v>13</v>
      </c>
      <c r="N31" s="205">
        <v>8.6300000000000005E-3</v>
      </c>
      <c r="O31" s="83" t="s">
        <v>72</v>
      </c>
      <c r="P31" s="83" t="s">
        <v>72</v>
      </c>
      <c r="Q31" s="84" t="b">
        <v>1</v>
      </c>
      <c r="S31" s="89"/>
      <c r="T31" s="90"/>
      <c r="Y31" s="145" t="s">
        <v>72</v>
      </c>
      <c r="Z31" s="152" t="s">
        <v>72</v>
      </c>
      <c r="AE31" s="145" t="s">
        <v>72</v>
      </c>
      <c r="AF31" s="146" t="s">
        <v>72</v>
      </c>
      <c r="AH31" s="11"/>
      <c r="AI31" s="82"/>
      <c r="AK31" s="50" t="s">
        <v>72</v>
      </c>
      <c r="AL31" s="32" t="s">
        <v>72</v>
      </c>
      <c r="AN31" s="159" t="s">
        <v>52</v>
      </c>
      <c r="AO31" s="160">
        <v>-1.91E-3</v>
      </c>
      <c r="AQ31" s="46"/>
      <c r="AR31" s="47"/>
      <c r="AS31" s="47"/>
      <c r="AT31" s="47"/>
      <c r="AU31" s="132" t="s">
        <v>72</v>
      </c>
      <c r="AW31" s="52"/>
      <c r="AX31" s="82"/>
      <c r="AZ31" s="67" t="s">
        <v>72</v>
      </c>
      <c r="BA31" s="78" t="s">
        <v>72</v>
      </c>
      <c r="BB31" s="79" t="b">
        <v>0</v>
      </c>
      <c r="BC31" s="6"/>
      <c r="BD31" s="11"/>
      <c r="BE31" s="82"/>
      <c r="BG31" s="52" t="s">
        <v>51</v>
      </c>
      <c r="BH31" s="98" t="s">
        <v>46</v>
      </c>
      <c r="BJ31" s="139" t="s">
        <v>72</v>
      </c>
      <c r="BK31" s="163" t="s">
        <v>72</v>
      </c>
      <c r="BM31" s="52" t="s">
        <v>51</v>
      </c>
      <c r="BN31" s="98" t="s">
        <v>16</v>
      </c>
      <c r="BP31" s="139" t="s">
        <v>72</v>
      </c>
      <c r="BQ31" s="163" t="s">
        <v>72</v>
      </c>
      <c r="BS31" s="52" t="s">
        <v>51</v>
      </c>
      <c r="BT31" s="98" t="s">
        <v>18</v>
      </c>
      <c r="BV31" s="139" t="s">
        <v>72</v>
      </c>
      <c r="BW31" s="163" t="s">
        <v>72</v>
      </c>
      <c r="BY31" s="11"/>
      <c r="BZ31" s="82"/>
      <c r="CB31" s="52" t="s">
        <v>177</v>
      </c>
      <c r="CC31" s="27" t="s">
        <v>292</v>
      </c>
      <c r="CE31" s="52" t="s">
        <v>177</v>
      </c>
      <c r="CF31" s="27" t="s">
        <v>292</v>
      </c>
      <c r="CH31" s="52" t="s">
        <v>177</v>
      </c>
      <c r="CI31" s="27" t="s">
        <v>292</v>
      </c>
      <c r="CK31" s="52" t="s">
        <v>177</v>
      </c>
      <c r="CL31" s="27" t="s">
        <v>292</v>
      </c>
      <c r="CN31" s="139" t="s">
        <v>72</v>
      </c>
      <c r="CO31" s="163" t="s">
        <v>72</v>
      </c>
      <c r="CQ31" s="11"/>
      <c r="CR31" s="82"/>
      <c r="CT31" s="52"/>
      <c r="CU31" s="82"/>
      <c r="CW31" s="52"/>
      <c r="CX31" s="82"/>
      <c r="CZ31" s="52"/>
      <c r="DA31" s="82"/>
    </row>
    <row r="32" spans="2:107">
      <c r="B32" s="52" t="s">
        <v>243</v>
      </c>
      <c r="C32" s="108" t="s">
        <v>159</v>
      </c>
      <c r="D32" s="112"/>
      <c r="E32" s="113"/>
      <c r="F32" t="s">
        <v>10</v>
      </c>
      <c r="L32" s="136"/>
      <c r="M32" s="139" t="s">
        <v>12</v>
      </c>
      <c r="N32" s="205">
        <v>8.6599999999999993E-3</v>
      </c>
      <c r="O32" s="83" t="s">
        <v>72</v>
      </c>
      <c r="P32" s="83" t="s">
        <v>72</v>
      </c>
      <c r="Q32" s="84" t="b">
        <v>1</v>
      </c>
      <c r="S32" s="89"/>
      <c r="T32" s="90"/>
      <c r="Y32" s="145" t="s">
        <v>72</v>
      </c>
      <c r="Z32" s="152" t="s">
        <v>72</v>
      </c>
      <c r="AE32" s="145" t="s">
        <v>72</v>
      </c>
      <c r="AF32" s="146" t="s">
        <v>72</v>
      </c>
      <c r="AH32" s="11"/>
      <c r="AI32" s="82"/>
      <c r="AK32" s="50" t="s">
        <v>72</v>
      </c>
      <c r="AL32" s="32" t="s">
        <v>72</v>
      </c>
      <c r="AM32" s="3"/>
      <c r="AN32" s="159" t="s">
        <v>50</v>
      </c>
      <c r="AO32" s="160">
        <v>-1.9599999999999999E-3</v>
      </c>
      <c r="AP32" s="3"/>
      <c r="AQ32" s="46"/>
      <c r="AR32" s="47"/>
      <c r="AS32" s="47"/>
      <c r="AT32" s="47"/>
      <c r="AU32" s="132" t="s">
        <v>72</v>
      </c>
      <c r="AW32" s="52"/>
      <c r="AX32" s="82"/>
      <c r="AZ32" s="67" t="s">
        <v>72</v>
      </c>
      <c r="BA32" s="78" t="s">
        <v>72</v>
      </c>
      <c r="BB32" s="79" t="b">
        <v>0</v>
      </c>
      <c r="BC32" s="6"/>
      <c r="BD32" s="11"/>
      <c r="BE32" s="82"/>
      <c r="BG32" s="52" t="s">
        <v>49</v>
      </c>
      <c r="BH32" s="15" t="s">
        <v>48</v>
      </c>
      <c r="BJ32" s="139" t="s">
        <v>72</v>
      </c>
      <c r="BK32" s="163" t="s">
        <v>72</v>
      </c>
      <c r="BM32" s="52" t="s">
        <v>49</v>
      </c>
      <c r="BN32" s="15" t="s">
        <v>48</v>
      </c>
      <c r="BP32" s="139" t="s">
        <v>72</v>
      </c>
      <c r="BQ32" s="163" t="s">
        <v>72</v>
      </c>
      <c r="BS32" s="52" t="s">
        <v>49</v>
      </c>
      <c r="BT32" s="15" t="s">
        <v>48</v>
      </c>
      <c r="BV32" s="139" t="s">
        <v>72</v>
      </c>
      <c r="BW32" s="163" t="s">
        <v>72</v>
      </c>
      <c r="BY32" s="11"/>
      <c r="BZ32" s="82"/>
      <c r="CB32" s="52" t="s">
        <v>196</v>
      </c>
      <c r="CC32" s="82" t="s">
        <v>46</v>
      </c>
      <c r="CE32" s="52" t="s">
        <v>196</v>
      </c>
      <c r="CF32" s="82" t="s">
        <v>46</v>
      </c>
      <c r="CH32" s="52" t="s">
        <v>196</v>
      </c>
      <c r="CI32" s="82" t="s">
        <v>46</v>
      </c>
      <c r="CK32" s="52" t="s">
        <v>196</v>
      </c>
      <c r="CL32" s="82" t="s">
        <v>46</v>
      </c>
      <c r="CN32" s="139" t="s">
        <v>72</v>
      </c>
      <c r="CO32" s="163" t="s">
        <v>72</v>
      </c>
      <c r="CQ32" s="11"/>
      <c r="CR32" s="82"/>
      <c r="CT32" s="52"/>
      <c r="CU32" s="82"/>
      <c r="CW32" s="52"/>
      <c r="CX32" s="82"/>
      <c r="CZ32" s="52"/>
      <c r="DA32" s="82"/>
    </row>
    <row r="33" spans="2:105">
      <c r="B33" s="52" t="s">
        <v>167</v>
      </c>
      <c r="C33" s="111" t="s">
        <v>224</v>
      </c>
      <c r="D33" s="112"/>
      <c r="E33" s="113"/>
      <c r="F33" t="s">
        <v>10</v>
      </c>
      <c r="L33" s="136"/>
      <c r="M33" s="139" t="s">
        <v>11</v>
      </c>
      <c r="N33" s="205">
        <v>8.1499999999999993E-3</v>
      </c>
      <c r="O33" s="83" t="s">
        <v>72</v>
      </c>
      <c r="P33" s="83" t="s">
        <v>72</v>
      </c>
      <c r="Q33" s="84" t="b">
        <v>1</v>
      </c>
      <c r="S33" s="89"/>
      <c r="T33" s="90"/>
      <c r="Y33" s="145" t="s">
        <v>72</v>
      </c>
      <c r="Z33" s="152" t="s">
        <v>72</v>
      </c>
      <c r="AE33" s="145" t="s">
        <v>72</v>
      </c>
      <c r="AF33" s="146" t="s">
        <v>72</v>
      </c>
      <c r="AH33" s="11"/>
      <c r="AI33" s="82"/>
      <c r="AK33" s="50" t="s">
        <v>72</v>
      </c>
      <c r="AL33" s="32" t="s">
        <v>72</v>
      </c>
      <c r="AM33" s="3"/>
      <c r="AN33" s="159" t="s">
        <v>245</v>
      </c>
      <c r="AO33" s="160">
        <v>-2.0300000000000001E-3</v>
      </c>
      <c r="AP33" s="3"/>
      <c r="AQ33" s="46"/>
      <c r="AR33" s="47"/>
      <c r="AS33" s="47"/>
      <c r="AT33" s="47"/>
      <c r="AU33" s="132" t="s">
        <v>72</v>
      </c>
      <c r="AW33" s="52"/>
      <c r="AX33" s="82"/>
      <c r="AZ33" s="67" t="s">
        <v>72</v>
      </c>
      <c r="BA33" s="78" t="s">
        <v>72</v>
      </c>
      <c r="BB33" s="79" t="b">
        <v>0</v>
      </c>
      <c r="BC33" s="6"/>
      <c r="BD33" s="11"/>
      <c r="BE33" s="82"/>
      <c r="BG33" s="52" t="s">
        <v>45</v>
      </c>
      <c r="BH33" s="15" t="s">
        <v>207</v>
      </c>
      <c r="BJ33" s="139" t="s">
        <v>72</v>
      </c>
      <c r="BK33" s="163" t="s">
        <v>72</v>
      </c>
      <c r="BM33" s="52" t="s">
        <v>45</v>
      </c>
      <c r="BN33" s="15" t="s">
        <v>207</v>
      </c>
      <c r="BP33" s="139" t="s">
        <v>72</v>
      </c>
      <c r="BQ33" s="163" t="s">
        <v>72</v>
      </c>
      <c r="BS33" s="52" t="s">
        <v>45</v>
      </c>
      <c r="BT33" s="15" t="s">
        <v>207</v>
      </c>
      <c r="BV33" s="139" t="s">
        <v>72</v>
      </c>
      <c r="BW33" s="163" t="s">
        <v>72</v>
      </c>
      <c r="BY33" s="11"/>
      <c r="BZ33" s="82"/>
      <c r="CB33" s="52" t="s">
        <v>197</v>
      </c>
      <c r="CC33" s="82" t="s">
        <v>48</v>
      </c>
      <c r="CE33" s="52" t="s">
        <v>197</v>
      </c>
      <c r="CF33" s="82" t="s">
        <v>48</v>
      </c>
      <c r="CH33" s="52" t="s">
        <v>197</v>
      </c>
      <c r="CI33" s="82" t="s">
        <v>48</v>
      </c>
      <c r="CK33" s="52" t="s">
        <v>197</v>
      </c>
      <c r="CL33" s="82" t="s">
        <v>48</v>
      </c>
      <c r="CN33" s="139" t="s">
        <v>72</v>
      </c>
      <c r="CO33" s="163" t="s">
        <v>72</v>
      </c>
      <c r="CQ33" s="11"/>
      <c r="CR33" s="82"/>
      <c r="CT33" s="52"/>
      <c r="CU33" s="82"/>
      <c r="CW33" s="52"/>
      <c r="CX33" s="82"/>
      <c r="CZ33" s="52"/>
      <c r="DA33" s="82"/>
    </row>
    <row r="34" spans="2:105">
      <c r="B34" s="52" t="s">
        <v>168</v>
      </c>
      <c r="C34" s="111" t="s">
        <v>225</v>
      </c>
      <c r="D34" s="112"/>
      <c r="E34" s="113"/>
      <c r="F34" t="s">
        <v>10</v>
      </c>
      <c r="L34" s="136"/>
      <c r="M34" s="139" t="s">
        <v>72</v>
      </c>
      <c r="N34" s="140" t="s">
        <v>72</v>
      </c>
      <c r="O34" s="83" t="s">
        <v>72</v>
      </c>
      <c r="P34" s="83" t="s">
        <v>72</v>
      </c>
      <c r="Q34" s="84" t="b">
        <v>0</v>
      </c>
      <c r="S34" s="89"/>
      <c r="T34" s="90"/>
      <c r="Y34" s="145" t="s">
        <v>72</v>
      </c>
      <c r="Z34" s="152" t="s">
        <v>72</v>
      </c>
      <c r="AE34" s="145" t="s">
        <v>72</v>
      </c>
      <c r="AF34" s="146" t="s">
        <v>72</v>
      </c>
      <c r="AH34" s="11"/>
      <c r="AI34" s="82"/>
      <c r="AK34" s="50" t="s">
        <v>72</v>
      </c>
      <c r="AL34" s="32" t="s">
        <v>72</v>
      </c>
      <c r="AM34" s="3"/>
      <c r="AN34" s="159" t="s">
        <v>246</v>
      </c>
      <c r="AO34" s="160">
        <v>-2.0899999999999998E-3</v>
      </c>
      <c r="AP34" s="3"/>
      <c r="AQ34" s="46"/>
      <c r="AR34" s="47"/>
      <c r="AS34" s="47"/>
      <c r="AT34" s="47"/>
      <c r="AU34" s="132" t="s">
        <v>72</v>
      </c>
      <c r="AW34" s="52"/>
      <c r="AX34" s="82"/>
      <c r="AZ34" s="67" t="s">
        <v>72</v>
      </c>
      <c r="BA34" s="78" t="s">
        <v>72</v>
      </c>
      <c r="BB34" s="79" t="b">
        <v>0</v>
      </c>
      <c r="BC34" s="6"/>
      <c r="BD34" s="11"/>
      <c r="BE34" s="82"/>
      <c r="BG34" s="52" t="s">
        <v>44</v>
      </c>
      <c r="BH34" s="15" t="s">
        <v>43</v>
      </c>
      <c r="BJ34" s="139" t="s">
        <v>72</v>
      </c>
      <c r="BK34" s="163" t="s">
        <v>72</v>
      </c>
      <c r="BM34" s="52" t="s">
        <v>44</v>
      </c>
      <c r="BN34" s="15" t="s">
        <v>43</v>
      </c>
      <c r="BP34" s="139" t="s">
        <v>72</v>
      </c>
      <c r="BQ34" s="163" t="s">
        <v>72</v>
      </c>
      <c r="BS34" s="52" t="s">
        <v>44</v>
      </c>
      <c r="BT34" s="15" t="s">
        <v>43</v>
      </c>
      <c r="BV34" s="139" t="s">
        <v>72</v>
      </c>
      <c r="BW34" s="163" t="s">
        <v>72</v>
      </c>
      <c r="BY34" s="11"/>
      <c r="BZ34" s="82"/>
      <c r="CB34" s="52" t="s">
        <v>198</v>
      </c>
      <c r="CC34" s="82" t="s">
        <v>41</v>
      </c>
      <c r="CE34" s="52" t="s">
        <v>198</v>
      </c>
      <c r="CF34" s="82" t="s">
        <v>41</v>
      </c>
      <c r="CH34" s="52" t="s">
        <v>198</v>
      </c>
      <c r="CI34" s="82" t="s">
        <v>41</v>
      </c>
      <c r="CK34" s="52" t="s">
        <v>198</v>
      </c>
      <c r="CL34" s="82" t="s">
        <v>41</v>
      </c>
      <c r="CN34" s="139" t="s">
        <v>72</v>
      </c>
      <c r="CO34" s="163" t="s">
        <v>72</v>
      </c>
      <c r="CQ34" s="11"/>
      <c r="CR34" s="82"/>
      <c r="CT34" s="52"/>
      <c r="CU34" s="82"/>
      <c r="CW34" s="52"/>
      <c r="CX34" s="82"/>
      <c r="CZ34" s="52"/>
      <c r="DA34" s="82"/>
    </row>
    <row r="35" spans="2:105">
      <c r="B35" s="52" t="s">
        <v>218</v>
      </c>
      <c r="C35" s="111" t="s">
        <v>226</v>
      </c>
      <c r="D35" s="112"/>
      <c r="E35" s="113"/>
      <c r="F35" t="s">
        <v>10</v>
      </c>
      <c r="L35" s="136"/>
      <c r="M35" s="139" t="s">
        <v>72</v>
      </c>
      <c r="N35" s="140" t="s">
        <v>72</v>
      </c>
      <c r="O35" s="83" t="s">
        <v>72</v>
      </c>
      <c r="P35" s="83" t="s">
        <v>72</v>
      </c>
      <c r="Q35" s="84" t="b">
        <v>0</v>
      </c>
      <c r="S35" s="89"/>
      <c r="T35" s="90"/>
      <c r="Y35" s="145" t="s">
        <v>72</v>
      </c>
      <c r="Z35" s="152" t="s">
        <v>72</v>
      </c>
      <c r="AE35" s="145" t="s">
        <v>72</v>
      </c>
      <c r="AF35" s="146" t="s">
        <v>72</v>
      </c>
      <c r="AH35" s="11"/>
      <c r="AI35" s="82"/>
      <c r="AK35" s="50" t="s">
        <v>72</v>
      </c>
      <c r="AL35" s="32" t="s">
        <v>72</v>
      </c>
      <c r="AM35" s="3"/>
      <c r="AN35" s="159" t="s">
        <v>247</v>
      </c>
      <c r="AO35" s="160">
        <v>-2.0999999999999999E-3</v>
      </c>
      <c r="AP35" s="3"/>
      <c r="AQ35" s="46"/>
      <c r="AR35" s="47"/>
      <c r="AS35" s="47"/>
      <c r="AT35" s="47"/>
      <c r="AU35" s="132" t="s">
        <v>72</v>
      </c>
      <c r="AW35" s="52"/>
      <c r="AX35" s="15"/>
      <c r="AZ35" s="67" t="s">
        <v>72</v>
      </c>
      <c r="BA35" s="78" t="s">
        <v>72</v>
      </c>
      <c r="BB35" s="79" t="b">
        <v>0</v>
      </c>
      <c r="BC35" s="6"/>
      <c r="BD35" s="11"/>
      <c r="BE35" s="82"/>
      <c r="BG35" s="52" t="s">
        <v>42</v>
      </c>
      <c r="BH35" s="15" t="s">
        <v>207</v>
      </c>
      <c r="BJ35" s="139" t="s">
        <v>72</v>
      </c>
      <c r="BK35" s="163" t="s">
        <v>72</v>
      </c>
      <c r="BM35" s="52" t="s">
        <v>42</v>
      </c>
      <c r="BN35" s="15" t="s">
        <v>207</v>
      </c>
      <c r="BP35" s="139" t="s">
        <v>72</v>
      </c>
      <c r="BQ35" s="163" t="s">
        <v>72</v>
      </c>
      <c r="BS35" s="52" t="s">
        <v>42</v>
      </c>
      <c r="BT35" s="15" t="s">
        <v>207</v>
      </c>
      <c r="BV35" s="139" t="s">
        <v>72</v>
      </c>
      <c r="BW35" s="163" t="s">
        <v>72</v>
      </c>
      <c r="BY35" s="11"/>
      <c r="BZ35" s="82"/>
      <c r="CB35" s="52" t="s">
        <v>199</v>
      </c>
      <c r="CC35" s="82" t="s">
        <v>43</v>
      </c>
      <c r="CE35" s="52" t="s">
        <v>199</v>
      </c>
      <c r="CF35" s="82" t="s">
        <v>43</v>
      </c>
      <c r="CH35" s="52" t="s">
        <v>199</v>
      </c>
      <c r="CI35" s="82" t="s">
        <v>43</v>
      </c>
      <c r="CK35" s="52" t="s">
        <v>199</v>
      </c>
      <c r="CL35" s="82" t="s">
        <v>43</v>
      </c>
      <c r="CN35" s="139" t="s">
        <v>72</v>
      </c>
      <c r="CO35" s="163" t="s">
        <v>72</v>
      </c>
      <c r="CQ35" s="11"/>
      <c r="CR35" s="82"/>
      <c r="CT35" s="52"/>
      <c r="CU35" s="82"/>
      <c r="CW35" s="52"/>
      <c r="CX35" s="82"/>
      <c r="CZ35" s="52"/>
      <c r="DA35" s="82"/>
    </row>
    <row r="36" spans="2:105">
      <c r="B36" s="52"/>
      <c r="C36" s="111"/>
      <c r="D36" s="112"/>
      <c r="E36" s="113"/>
      <c r="F36" t="s">
        <v>10</v>
      </c>
      <c r="L36" s="136"/>
      <c r="M36" s="139" t="s">
        <v>72</v>
      </c>
      <c r="N36" s="140" t="s">
        <v>72</v>
      </c>
      <c r="O36" s="83" t="s">
        <v>72</v>
      </c>
      <c r="P36" s="83" t="s">
        <v>72</v>
      </c>
      <c r="Q36" s="84" t="b">
        <v>0</v>
      </c>
      <c r="S36" s="89"/>
      <c r="T36" s="90"/>
      <c r="Y36" s="145" t="s">
        <v>72</v>
      </c>
      <c r="Z36" s="152" t="s">
        <v>72</v>
      </c>
      <c r="AE36" s="145" t="s">
        <v>72</v>
      </c>
      <c r="AF36" s="146" t="s">
        <v>72</v>
      </c>
      <c r="AH36" s="11"/>
      <c r="AI36" s="82"/>
      <c r="AK36" s="50" t="s">
        <v>72</v>
      </c>
      <c r="AL36" s="32" t="s">
        <v>72</v>
      </c>
      <c r="AM36" s="3"/>
      <c r="AN36" s="159" t="s">
        <v>248</v>
      </c>
      <c r="AO36" s="160">
        <v>-2.1199999999999999E-3</v>
      </c>
      <c r="AP36" s="3"/>
      <c r="AQ36" s="46"/>
      <c r="AR36" s="47"/>
      <c r="AS36" s="47"/>
      <c r="AT36" s="47"/>
      <c r="AU36" s="132" t="s">
        <v>72</v>
      </c>
      <c r="AW36" s="52"/>
      <c r="AX36" s="15"/>
      <c r="AZ36" s="67" t="s">
        <v>72</v>
      </c>
      <c r="BA36" s="78" t="s">
        <v>72</v>
      </c>
      <c r="BB36" s="79" t="b">
        <v>0</v>
      </c>
      <c r="BC36" s="6"/>
      <c r="BD36" s="11"/>
      <c r="BE36" s="82"/>
      <c r="BG36" s="52" t="s">
        <v>39</v>
      </c>
      <c r="BH36" s="15" t="s">
        <v>38</v>
      </c>
      <c r="BJ36" s="139" t="s">
        <v>72</v>
      </c>
      <c r="BK36" s="163" t="s">
        <v>72</v>
      </c>
      <c r="BM36" s="52" t="s">
        <v>39</v>
      </c>
      <c r="BN36" s="15" t="s">
        <v>38</v>
      </c>
      <c r="BP36" s="139" t="s">
        <v>72</v>
      </c>
      <c r="BQ36" s="163" t="s">
        <v>72</v>
      </c>
      <c r="BS36" s="52" t="s">
        <v>39</v>
      </c>
      <c r="BT36" s="15" t="s">
        <v>38</v>
      </c>
      <c r="BV36" s="139" t="s">
        <v>72</v>
      </c>
      <c r="BW36" s="163" t="s">
        <v>72</v>
      </c>
      <c r="BY36" s="11"/>
      <c r="BZ36" s="82"/>
      <c r="CB36" s="52" t="s">
        <v>200</v>
      </c>
      <c r="CC36" s="82" t="s">
        <v>41</v>
      </c>
      <c r="CE36" s="52" t="s">
        <v>200</v>
      </c>
      <c r="CF36" s="82" t="s">
        <v>41</v>
      </c>
      <c r="CH36" s="52" t="s">
        <v>200</v>
      </c>
      <c r="CI36" s="82" t="s">
        <v>41</v>
      </c>
      <c r="CK36" s="52" t="s">
        <v>200</v>
      </c>
      <c r="CL36" s="82" t="s">
        <v>41</v>
      </c>
      <c r="CN36" s="139" t="s">
        <v>72</v>
      </c>
      <c r="CO36" s="163" t="s">
        <v>72</v>
      </c>
      <c r="CQ36" s="11"/>
      <c r="CR36" s="82"/>
      <c r="CT36" s="52"/>
      <c r="CU36" s="82"/>
      <c r="CW36" s="52"/>
      <c r="CX36" s="82"/>
      <c r="CZ36" s="52"/>
      <c r="DA36" s="82"/>
    </row>
    <row r="37" spans="2:105">
      <c r="B37" s="58"/>
      <c r="C37" s="114"/>
      <c r="D37" s="115"/>
      <c r="E37" s="116"/>
      <c r="F37" t="s">
        <v>10</v>
      </c>
      <c r="L37" s="136"/>
      <c r="M37" s="139" t="s">
        <v>72</v>
      </c>
      <c r="N37" s="140" t="s">
        <v>72</v>
      </c>
      <c r="O37" s="83" t="s">
        <v>72</v>
      </c>
      <c r="P37" s="83" t="s">
        <v>72</v>
      </c>
      <c r="Q37" s="84" t="b">
        <v>0</v>
      </c>
      <c r="S37" s="89"/>
      <c r="T37" s="90"/>
      <c r="Y37" s="145" t="s">
        <v>72</v>
      </c>
      <c r="Z37" s="152" t="s">
        <v>72</v>
      </c>
      <c r="AE37" s="145" t="s">
        <v>72</v>
      </c>
      <c r="AF37" s="146" t="s">
        <v>72</v>
      </c>
      <c r="AH37" s="11"/>
      <c r="AI37" s="82"/>
      <c r="AK37" s="50" t="s">
        <v>72</v>
      </c>
      <c r="AL37" s="32" t="s">
        <v>72</v>
      </c>
      <c r="AM37" s="3"/>
      <c r="AN37" s="159" t="s">
        <v>249</v>
      </c>
      <c r="AO37" s="160">
        <v>-2.1299999999999999E-3</v>
      </c>
      <c r="AP37" s="3"/>
      <c r="AQ37" s="46"/>
      <c r="AR37" s="47"/>
      <c r="AS37" s="47"/>
      <c r="AT37" s="47"/>
      <c r="AU37" s="132" t="s">
        <v>72</v>
      </c>
      <c r="AW37" s="52"/>
      <c r="AX37" s="15"/>
      <c r="AZ37" s="67" t="s">
        <v>72</v>
      </c>
      <c r="BA37" s="78" t="s">
        <v>72</v>
      </c>
      <c r="BB37" s="79" t="b">
        <v>0</v>
      </c>
      <c r="BC37" s="6"/>
      <c r="BD37" s="11"/>
      <c r="BE37" s="82"/>
      <c r="BG37" s="52" t="s">
        <v>36</v>
      </c>
      <c r="BH37" s="15" t="s">
        <v>35</v>
      </c>
      <c r="BJ37" s="139" t="s">
        <v>72</v>
      </c>
      <c r="BK37" s="163" t="s">
        <v>72</v>
      </c>
      <c r="BM37" s="52" t="s">
        <v>36</v>
      </c>
      <c r="BN37" s="15" t="s">
        <v>35</v>
      </c>
      <c r="BP37" s="139" t="s">
        <v>72</v>
      </c>
      <c r="BQ37" s="163" t="s">
        <v>72</v>
      </c>
      <c r="BS37" s="52" t="s">
        <v>36</v>
      </c>
      <c r="BT37" s="15" t="s">
        <v>35</v>
      </c>
      <c r="BV37" s="139" t="s">
        <v>72</v>
      </c>
      <c r="BW37" s="163" t="s">
        <v>72</v>
      </c>
      <c r="BY37" s="11"/>
      <c r="BZ37" s="82"/>
      <c r="CB37" s="52" t="s">
        <v>201</v>
      </c>
      <c r="CC37" s="82" t="s">
        <v>38</v>
      </c>
      <c r="CE37" s="52" t="s">
        <v>201</v>
      </c>
      <c r="CF37" s="82" t="s">
        <v>38</v>
      </c>
      <c r="CH37" s="52" t="s">
        <v>201</v>
      </c>
      <c r="CI37" s="82" t="s">
        <v>38</v>
      </c>
      <c r="CK37" s="52" t="s">
        <v>201</v>
      </c>
      <c r="CL37" s="82" t="s">
        <v>38</v>
      </c>
      <c r="CN37" s="139" t="s">
        <v>72</v>
      </c>
      <c r="CO37" s="163" t="s">
        <v>72</v>
      </c>
      <c r="CQ37" s="11"/>
      <c r="CR37" s="82"/>
      <c r="CT37" s="52"/>
      <c r="CU37" s="82"/>
      <c r="CW37" s="52"/>
      <c r="CX37" s="82"/>
      <c r="CZ37" s="52"/>
      <c r="DA37" s="82"/>
    </row>
    <row r="38" spans="2:105">
      <c r="F38" t="s">
        <v>10</v>
      </c>
      <c r="L38" s="136"/>
      <c r="M38" s="139" t="s">
        <v>72</v>
      </c>
      <c r="N38" s="140" t="s">
        <v>72</v>
      </c>
      <c r="O38" s="83" t="s">
        <v>72</v>
      </c>
      <c r="P38" s="83" t="s">
        <v>72</v>
      </c>
      <c r="Q38" s="84" t="b">
        <v>0</v>
      </c>
      <c r="S38" s="89"/>
      <c r="T38" s="90"/>
      <c r="Y38" s="145" t="s">
        <v>72</v>
      </c>
      <c r="Z38" s="152" t="s">
        <v>72</v>
      </c>
      <c r="AE38" s="145" t="s">
        <v>72</v>
      </c>
      <c r="AF38" s="146" t="s">
        <v>72</v>
      </c>
      <c r="AH38" s="11"/>
      <c r="AI38" s="82"/>
      <c r="AK38" s="50" t="s">
        <v>72</v>
      </c>
      <c r="AL38" s="32" t="s">
        <v>72</v>
      </c>
      <c r="AN38" s="159" t="s">
        <v>250</v>
      </c>
      <c r="AO38" s="160">
        <v>-2.1099999999999999E-3</v>
      </c>
      <c r="AQ38" s="46"/>
      <c r="AR38" s="47"/>
      <c r="AS38" s="47"/>
      <c r="AT38" s="47"/>
      <c r="AU38" s="132" t="s">
        <v>72</v>
      </c>
      <c r="AW38" s="52"/>
      <c r="AX38" s="15"/>
      <c r="AZ38" s="67" t="s">
        <v>72</v>
      </c>
      <c r="BA38" s="78" t="s">
        <v>72</v>
      </c>
      <c r="BB38" s="79" t="b">
        <v>0</v>
      </c>
      <c r="BC38" s="6"/>
      <c r="BD38" s="11"/>
      <c r="BE38" s="82"/>
      <c r="BG38" s="52" t="s">
        <v>32</v>
      </c>
      <c r="BH38" s="15" t="s">
        <v>31</v>
      </c>
      <c r="BJ38" s="139" t="s">
        <v>72</v>
      </c>
      <c r="BK38" s="163" t="s">
        <v>72</v>
      </c>
      <c r="BM38" s="52" t="s">
        <v>32</v>
      </c>
      <c r="BN38" s="15" t="s">
        <v>31</v>
      </c>
      <c r="BP38" s="139" t="s">
        <v>72</v>
      </c>
      <c r="BQ38" s="163" t="s">
        <v>72</v>
      </c>
      <c r="BS38" s="52" t="s">
        <v>32</v>
      </c>
      <c r="BT38" s="15" t="s">
        <v>33</v>
      </c>
      <c r="BV38" s="139" t="s">
        <v>72</v>
      </c>
      <c r="BW38" s="163" t="s">
        <v>72</v>
      </c>
      <c r="BY38" s="11"/>
      <c r="BZ38" s="82"/>
      <c r="CB38" s="52" t="s">
        <v>202</v>
      </c>
      <c r="CC38" s="82" t="s">
        <v>35</v>
      </c>
      <c r="CE38" s="52" t="s">
        <v>202</v>
      </c>
      <c r="CF38" s="82" t="s">
        <v>35</v>
      </c>
      <c r="CH38" s="52" t="s">
        <v>202</v>
      </c>
      <c r="CI38" s="82" t="s">
        <v>35</v>
      </c>
      <c r="CK38" s="52" t="s">
        <v>202</v>
      </c>
      <c r="CL38" s="82" t="s">
        <v>35</v>
      </c>
      <c r="CN38" s="139" t="s">
        <v>72</v>
      </c>
      <c r="CO38" s="163" t="s">
        <v>72</v>
      </c>
      <c r="CQ38" s="11"/>
      <c r="CR38" s="82"/>
      <c r="CT38" s="52"/>
      <c r="CU38" s="82"/>
      <c r="CW38" s="52"/>
      <c r="CX38" s="82"/>
      <c r="CZ38" s="52"/>
      <c r="DA38" s="82"/>
    </row>
    <row r="39" spans="2:105">
      <c r="B39" s="2" t="s">
        <v>240</v>
      </c>
      <c r="C39" s="9"/>
      <c r="F39" t="s">
        <v>10</v>
      </c>
      <c r="L39" s="136"/>
      <c r="M39" s="139" t="s">
        <v>72</v>
      </c>
      <c r="N39" s="140" t="s">
        <v>72</v>
      </c>
      <c r="O39" s="83" t="s">
        <v>72</v>
      </c>
      <c r="P39" s="83" t="s">
        <v>72</v>
      </c>
      <c r="Q39" s="84" t="b">
        <v>0</v>
      </c>
      <c r="S39" s="89"/>
      <c r="T39" s="90"/>
      <c r="Y39" s="145" t="s">
        <v>72</v>
      </c>
      <c r="Z39" s="152" t="s">
        <v>72</v>
      </c>
      <c r="AE39" s="145" t="s">
        <v>72</v>
      </c>
      <c r="AF39" s="146" t="s">
        <v>72</v>
      </c>
      <c r="AH39" s="11"/>
      <c r="AI39" s="82"/>
      <c r="AK39" s="50" t="s">
        <v>72</v>
      </c>
      <c r="AL39" s="32" t="s">
        <v>72</v>
      </c>
      <c r="AN39" s="159" t="s">
        <v>251</v>
      </c>
      <c r="AO39" s="160">
        <v>-2.0799999999999998E-3</v>
      </c>
      <c r="AQ39" s="46"/>
      <c r="AR39" s="47"/>
      <c r="AS39" s="47"/>
      <c r="AT39" s="47"/>
      <c r="AU39" s="132" t="s">
        <v>72</v>
      </c>
      <c r="AW39" s="52"/>
      <c r="AX39" s="15"/>
      <c r="AZ39" s="67" t="s">
        <v>72</v>
      </c>
      <c r="BA39" s="78" t="s">
        <v>72</v>
      </c>
      <c r="BB39" s="79" t="b">
        <v>0</v>
      </c>
      <c r="BC39" s="6"/>
      <c r="BD39" s="11"/>
      <c r="BE39" s="82"/>
      <c r="BG39" s="52" t="s">
        <v>29</v>
      </c>
      <c r="BH39" s="15" t="b">
        <v>1</v>
      </c>
      <c r="BJ39" s="139" t="s">
        <v>72</v>
      </c>
      <c r="BK39" s="163" t="s">
        <v>72</v>
      </c>
      <c r="BM39" s="52" t="s">
        <v>29</v>
      </c>
      <c r="BN39" s="15" t="b">
        <v>1</v>
      </c>
      <c r="BP39" s="139" t="s">
        <v>72</v>
      </c>
      <c r="BQ39" s="163" t="s">
        <v>72</v>
      </c>
      <c r="BS39" s="52" t="s">
        <v>29</v>
      </c>
      <c r="BT39" s="15" t="b">
        <v>1</v>
      </c>
      <c r="BV39" s="139" t="s">
        <v>72</v>
      </c>
      <c r="BW39" s="163" t="s">
        <v>72</v>
      </c>
      <c r="BY39" s="11"/>
      <c r="BZ39" s="82"/>
      <c r="CB39" s="52" t="s">
        <v>179</v>
      </c>
      <c r="CC39" s="82" t="s">
        <v>206</v>
      </c>
      <c r="CE39" s="52" t="s">
        <v>179</v>
      </c>
      <c r="CF39" s="82" t="s">
        <v>206</v>
      </c>
      <c r="CH39" s="52" t="s">
        <v>179</v>
      </c>
      <c r="CI39" s="82" t="s">
        <v>206</v>
      </c>
      <c r="CK39" s="52" t="s">
        <v>179</v>
      </c>
      <c r="CL39" s="82" t="s">
        <v>206</v>
      </c>
      <c r="CN39" s="139" t="s">
        <v>72</v>
      </c>
      <c r="CO39" s="163" t="s">
        <v>72</v>
      </c>
      <c r="CQ39" s="11"/>
      <c r="CR39" s="82"/>
      <c r="CT39" s="52"/>
      <c r="CU39" s="82"/>
      <c r="CW39" s="52"/>
      <c r="CX39" s="82"/>
      <c r="CZ39" s="52"/>
      <c r="DA39" s="82"/>
    </row>
    <row r="40" spans="2:105">
      <c r="B40" s="51" t="s">
        <v>165</v>
      </c>
      <c r="C40" s="105" t="s">
        <v>166</v>
      </c>
      <c r="D40" s="106"/>
      <c r="E40" s="107"/>
      <c r="F40" t="s">
        <v>10</v>
      </c>
      <c r="L40" s="136"/>
      <c r="M40" s="139" t="s">
        <v>72</v>
      </c>
      <c r="N40" s="140" t="s">
        <v>72</v>
      </c>
      <c r="O40" s="83" t="s">
        <v>72</v>
      </c>
      <c r="P40" s="83" t="s">
        <v>72</v>
      </c>
      <c r="Q40" s="84" t="b">
        <v>0</v>
      </c>
      <c r="S40" s="89"/>
      <c r="T40" s="90"/>
      <c r="Y40" s="145" t="s">
        <v>72</v>
      </c>
      <c r="Z40" s="152" t="s">
        <v>72</v>
      </c>
      <c r="AE40" s="145" t="s">
        <v>72</v>
      </c>
      <c r="AF40" s="146" t="s">
        <v>72</v>
      </c>
      <c r="AH40" s="11"/>
      <c r="AI40" s="82"/>
      <c r="AK40" s="50" t="s">
        <v>72</v>
      </c>
      <c r="AL40" s="32" t="s">
        <v>72</v>
      </c>
      <c r="AN40" s="159" t="s">
        <v>72</v>
      </c>
      <c r="AO40" s="160" t="s">
        <v>72</v>
      </c>
      <c r="AQ40" s="46"/>
      <c r="AR40" s="47"/>
      <c r="AS40" s="47"/>
      <c r="AT40" s="47"/>
      <c r="AU40" s="132" t="s">
        <v>72</v>
      </c>
      <c r="AW40" s="52"/>
      <c r="AX40" s="15"/>
      <c r="AZ40" s="67" t="s">
        <v>72</v>
      </c>
      <c r="BA40" s="78" t="s">
        <v>72</v>
      </c>
      <c r="BB40" s="79" t="b">
        <v>0</v>
      </c>
      <c r="BC40" s="6"/>
      <c r="BD40" s="11"/>
      <c r="BE40" s="82"/>
      <c r="BG40" s="52" t="s">
        <v>25</v>
      </c>
      <c r="BH40" s="15" t="s">
        <v>24</v>
      </c>
      <c r="BJ40" s="139" t="s">
        <v>72</v>
      </c>
      <c r="BK40" s="163" t="s">
        <v>72</v>
      </c>
      <c r="BM40" s="52" t="s">
        <v>25</v>
      </c>
      <c r="BN40" s="15" t="s">
        <v>24</v>
      </c>
      <c r="BP40" s="139" t="s">
        <v>72</v>
      </c>
      <c r="BQ40" s="163" t="s">
        <v>72</v>
      </c>
      <c r="BS40" s="52" t="s">
        <v>25</v>
      </c>
      <c r="BT40" s="15" t="s">
        <v>24</v>
      </c>
      <c r="BV40" s="139" t="s">
        <v>72</v>
      </c>
      <c r="BW40" s="163" t="s">
        <v>72</v>
      </c>
      <c r="BY40" s="11"/>
      <c r="BZ40" s="82"/>
      <c r="CB40" s="52" t="s">
        <v>29</v>
      </c>
      <c r="CC40" s="82" t="b">
        <v>1</v>
      </c>
      <c r="CE40" s="52" t="s">
        <v>29</v>
      </c>
      <c r="CF40" s="82" t="b">
        <v>1</v>
      </c>
      <c r="CH40" s="52" t="s">
        <v>29</v>
      </c>
      <c r="CI40" s="82" t="b">
        <v>1</v>
      </c>
      <c r="CK40" s="52" t="s">
        <v>29</v>
      </c>
      <c r="CL40" s="82" t="b">
        <v>1</v>
      </c>
      <c r="CN40" s="139" t="s">
        <v>72</v>
      </c>
      <c r="CO40" s="163" t="s">
        <v>72</v>
      </c>
      <c r="CQ40" s="11"/>
      <c r="CR40" s="82"/>
      <c r="CT40" s="52"/>
      <c r="CU40" s="82"/>
      <c r="CW40" s="52"/>
      <c r="CX40" s="82"/>
      <c r="CZ40" s="52"/>
      <c r="DA40" s="82"/>
    </row>
    <row r="41" spans="2:105">
      <c r="B41" s="52" t="s">
        <v>53</v>
      </c>
      <c r="C41" s="108" t="s">
        <v>229</v>
      </c>
      <c r="D41" s="109"/>
      <c r="E41" s="110"/>
      <c r="F41" t="s">
        <v>10</v>
      </c>
      <c r="L41" s="136"/>
      <c r="M41" s="139" t="s">
        <v>72</v>
      </c>
      <c r="N41" s="140" t="s">
        <v>72</v>
      </c>
      <c r="O41" s="83" t="s">
        <v>72</v>
      </c>
      <c r="P41" s="83" t="s">
        <v>72</v>
      </c>
      <c r="Q41" s="84" t="b">
        <v>0</v>
      </c>
      <c r="S41" s="89"/>
      <c r="T41" s="90"/>
      <c r="Y41" s="145" t="s">
        <v>72</v>
      </c>
      <c r="Z41" s="152" t="s">
        <v>72</v>
      </c>
      <c r="AE41" s="145" t="s">
        <v>72</v>
      </c>
      <c r="AF41" s="146" t="s">
        <v>72</v>
      </c>
      <c r="AH41" s="11"/>
      <c r="AI41" s="82"/>
      <c r="AK41" s="50" t="s">
        <v>72</v>
      </c>
      <c r="AL41" s="32" t="s">
        <v>72</v>
      </c>
      <c r="AN41" s="159" t="s">
        <v>72</v>
      </c>
      <c r="AO41" s="160" t="s">
        <v>72</v>
      </c>
      <c r="AQ41" s="46"/>
      <c r="AR41" s="47"/>
      <c r="AS41" s="47"/>
      <c r="AT41" s="47"/>
      <c r="AU41" s="132" t="s">
        <v>72</v>
      </c>
      <c r="AW41" s="52"/>
      <c r="AX41" s="15"/>
      <c r="AZ41" s="67" t="s">
        <v>72</v>
      </c>
      <c r="BA41" s="78" t="s">
        <v>72</v>
      </c>
      <c r="BB41" s="79" t="b">
        <v>0</v>
      </c>
      <c r="BC41" s="6"/>
      <c r="BD41" s="11"/>
      <c r="BE41" s="82"/>
      <c r="BG41" s="52" t="s">
        <v>27</v>
      </c>
      <c r="BH41" s="15" t="b">
        <v>1</v>
      </c>
      <c r="BJ41" s="139" t="s">
        <v>72</v>
      </c>
      <c r="BK41" s="163" t="s">
        <v>72</v>
      </c>
      <c r="BM41" s="52" t="s">
        <v>27</v>
      </c>
      <c r="BN41" s="15" t="b">
        <v>0</v>
      </c>
      <c r="BP41" s="139" t="s">
        <v>72</v>
      </c>
      <c r="BQ41" s="163" t="s">
        <v>72</v>
      </c>
      <c r="BS41" s="52" t="s">
        <v>27</v>
      </c>
      <c r="BT41" s="15" t="b">
        <v>1</v>
      </c>
      <c r="BV41" s="139" t="s">
        <v>72</v>
      </c>
      <c r="BW41" s="163" t="s">
        <v>72</v>
      </c>
      <c r="BY41" s="11"/>
      <c r="BZ41" s="82"/>
      <c r="CB41" s="52" t="s">
        <v>27</v>
      </c>
      <c r="CC41" s="82" t="b">
        <v>1</v>
      </c>
      <c r="CE41" s="52" t="s">
        <v>27</v>
      </c>
      <c r="CF41" s="82" t="b">
        <v>1</v>
      </c>
      <c r="CH41" s="52" t="s">
        <v>27</v>
      </c>
      <c r="CI41" s="82" t="b">
        <v>1</v>
      </c>
      <c r="CK41" s="52" t="s">
        <v>27</v>
      </c>
      <c r="CL41" s="82" t="b">
        <v>1</v>
      </c>
      <c r="CN41" s="139" t="s">
        <v>72</v>
      </c>
      <c r="CO41" s="163" t="s">
        <v>72</v>
      </c>
      <c r="CQ41" s="11"/>
      <c r="CR41" s="82"/>
      <c r="CT41" s="52"/>
      <c r="CU41" s="82"/>
      <c r="CW41" s="52"/>
      <c r="CX41" s="82"/>
      <c r="CZ41" s="52"/>
      <c r="DA41" s="82"/>
    </row>
    <row r="42" spans="2:105">
      <c r="B42" s="52" t="s">
        <v>167</v>
      </c>
      <c r="C42" s="111" t="s">
        <v>224</v>
      </c>
      <c r="D42" s="112"/>
      <c r="E42" s="113"/>
      <c r="F42" t="s">
        <v>10</v>
      </c>
      <c r="L42" s="136"/>
      <c r="M42" s="139" t="s">
        <v>72</v>
      </c>
      <c r="N42" s="140" t="s">
        <v>72</v>
      </c>
      <c r="O42" s="83" t="s">
        <v>72</v>
      </c>
      <c r="P42" s="83" t="s">
        <v>72</v>
      </c>
      <c r="Q42" s="84" t="b">
        <v>0</v>
      </c>
      <c r="S42" s="89"/>
      <c r="T42" s="90"/>
      <c r="Y42" s="145" t="s">
        <v>72</v>
      </c>
      <c r="Z42" s="152" t="s">
        <v>72</v>
      </c>
      <c r="AE42" s="145" t="s">
        <v>72</v>
      </c>
      <c r="AF42" s="146" t="s">
        <v>72</v>
      </c>
      <c r="AH42" s="11"/>
      <c r="AI42" s="82"/>
      <c r="AK42" s="50" t="s">
        <v>72</v>
      </c>
      <c r="AL42" s="32" t="s">
        <v>72</v>
      </c>
      <c r="AN42" s="159" t="s">
        <v>72</v>
      </c>
      <c r="AO42" s="160" t="s">
        <v>72</v>
      </c>
      <c r="AQ42" s="46"/>
      <c r="AR42" s="47"/>
      <c r="AS42" s="47"/>
      <c r="AT42" s="47"/>
      <c r="AU42" s="132" t="s">
        <v>72</v>
      </c>
      <c r="AW42" s="52"/>
      <c r="AX42" s="15"/>
      <c r="AZ42" s="67" t="s">
        <v>72</v>
      </c>
      <c r="BA42" s="78" t="s">
        <v>72</v>
      </c>
      <c r="BB42" s="79" t="b">
        <v>0</v>
      </c>
      <c r="BC42" s="6"/>
      <c r="BD42" s="11"/>
      <c r="BE42" s="82"/>
      <c r="BG42" s="52" t="s">
        <v>22</v>
      </c>
      <c r="BH42" s="15" t="b">
        <v>1</v>
      </c>
      <c r="BJ42" s="139" t="s">
        <v>72</v>
      </c>
      <c r="BK42" s="163" t="s">
        <v>72</v>
      </c>
      <c r="BM42" s="52" t="s">
        <v>22</v>
      </c>
      <c r="BN42" s="15" t="b">
        <v>1</v>
      </c>
      <c r="BP42" s="139" t="s">
        <v>72</v>
      </c>
      <c r="BQ42" s="163" t="s">
        <v>72</v>
      </c>
      <c r="BS42" s="52" t="s">
        <v>22</v>
      </c>
      <c r="BT42" s="15" t="b">
        <v>1</v>
      </c>
      <c r="BV42" s="139" t="s">
        <v>72</v>
      </c>
      <c r="BW42" s="163" t="s">
        <v>72</v>
      </c>
      <c r="BY42" s="11"/>
      <c r="BZ42" s="82"/>
      <c r="CB42" s="52" t="s">
        <v>25</v>
      </c>
      <c r="CC42" s="82" t="s">
        <v>24</v>
      </c>
      <c r="CE42" s="52" t="s">
        <v>25</v>
      </c>
      <c r="CF42" s="82" t="s">
        <v>24</v>
      </c>
      <c r="CH42" s="52" t="s">
        <v>25</v>
      </c>
      <c r="CI42" s="82" t="s">
        <v>24</v>
      </c>
      <c r="CK42" s="52" t="s">
        <v>25</v>
      </c>
      <c r="CL42" s="82" t="s">
        <v>24</v>
      </c>
      <c r="CN42" s="139" t="s">
        <v>72</v>
      </c>
      <c r="CO42" s="163" t="s">
        <v>72</v>
      </c>
      <c r="CQ42" s="11"/>
      <c r="CR42" s="82"/>
      <c r="CT42" s="52"/>
      <c r="CU42" s="82"/>
      <c r="CW42" s="52"/>
      <c r="CX42" s="82"/>
      <c r="CZ42" s="52"/>
      <c r="DA42" s="82"/>
    </row>
    <row r="43" spans="2:105">
      <c r="B43" s="52" t="s">
        <v>168</v>
      </c>
      <c r="C43" s="111" t="s">
        <v>225</v>
      </c>
      <c r="D43" s="112"/>
      <c r="E43" s="113"/>
      <c r="F43" t="s">
        <v>10</v>
      </c>
      <c r="L43" s="136"/>
      <c r="M43" s="139" t="s">
        <v>72</v>
      </c>
      <c r="N43" s="140" t="s">
        <v>72</v>
      </c>
      <c r="O43" s="83" t="s">
        <v>72</v>
      </c>
      <c r="P43" s="83" t="s">
        <v>72</v>
      </c>
      <c r="Q43" s="84" t="b">
        <v>0</v>
      </c>
      <c r="S43" s="89"/>
      <c r="T43" s="90"/>
      <c r="Y43" s="145" t="s">
        <v>72</v>
      </c>
      <c r="Z43" s="152" t="s">
        <v>72</v>
      </c>
      <c r="AE43" s="145" t="s">
        <v>72</v>
      </c>
      <c r="AF43" s="146" t="s">
        <v>72</v>
      </c>
      <c r="AH43" s="11"/>
      <c r="AI43" s="82"/>
      <c r="AK43" s="50" t="s">
        <v>72</v>
      </c>
      <c r="AL43" s="32" t="s">
        <v>72</v>
      </c>
      <c r="AN43" s="159" t="s">
        <v>72</v>
      </c>
      <c r="AO43" s="160" t="s">
        <v>72</v>
      </c>
      <c r="AQ43" s="46"/>
      <c r="AR43" s="47"/>
      <c r="AS43" s="47"/>
      <c r="AT43" s="47"/>
      <c r="AU43" s="132" t="s">
        <v>72</v>
      </c>
      <c r="AW43" s="52"/>
      <c r="AX43" s="15"/>
      <c r="AZ43" s="67" t="s">
        <v>72</v>
      </c>
      <c r="BA43" s="78" t="s">
        <v>72</v>
      </c>
      <c r="BB43" s="79" t="b">
        <v>0</v>
      </c>
      <c r="BC43" s="6"/>
      <c r="BD43" s="11"/>
      <c r="BE43" s="82"/>
      <c r="BG43" s="52" t="s">
        <v>17</v>
      </c>
      <c r="BH43" s="15" t="s">
        <v>46</v>
      </c>
      <c r="BJ43" s="139" t="s">
        <v>72</v>
      </c>
      <c r="BK43" s="163" t="s">
        <v>72</v>
      </c>
      <c r="BM43" s="52" t="s">
        <v>17</v>
      </c>
      <c r="BN43" s="15" t="s">
        <v>254</v>
      </c>
      <c r="BP43" s="139" t="s">
        <v>72</v>
      </c>
      <c r="BQ43" s="163" t="s">
        <v>72</v>
      </c>
      <c r="BS43" s="52" t="s">
        <v>17</v>
      </c>
      <c r="BT43" s="15" t="s">
        <v>210</v>
      </c>
      <c r="BV43" s="139" t="s">
        <v>72</v>
      </c>
      <c r="BW43" s="163" t="s">
        <v>72</v>
      </c>
      <c r="BY43" s="11"/>
      <c r="BZ43" s="82"/>
      <c r="CB43" s="52" t="s">
        <v>20</v>
      </c>
      <c r="CC43" s="82" t="s">
        <v>139</v>
      </c>
      <c r="CE43" s="52" t="s">
        <v>20</v>
      </c>
      <c r="CF43" s="82" t="s">
        <v>139</v>
      </c>
      <c r="CH43" s="52" t="s">
        <v>20</v>
      </c>
      <c r="CI43" s="82" t="s">
        <v>139</v>
      </c>
      <c r="CK43" s="52" t="s">
        <v>20</v>
      </c>
      <c r="CL43" s="82" t="s">
        <v>139</v>
      </c>
      <c r="CN43" s="139" t="s">
        <v>72</v>
      </c>
      <c r="CO43" s="163" t="s">
        <v>72</v>
      </c>
      <c r="CQ43" s="11"/>
      <c r="CR43" s="82"/>
      <c r="CT43" s="52"/>
      <c r="CU43" s="82"/>
      <c r="CW43" s="52"/>
      <c r="CX43" s="82"/>
      <c r="CZ43" s="52"/>
      <c r="DA43" s="82"/>
    </row>
    <row r="44" spans="2:105">
      <c r="B44" s="52" t="s">
        <v>218</v>
      </c>
      <c r="C44" s="111" t="s">
        <v>226</v>
      </c>
      <c r="D44" s="112"/>
      <c r="E44" s="113"/>
      <c r="F44" t="s">
        <v>10</v>
      </c>
      <c r="L44" s="136"/>
      <c r="M44" s="139" t="s">
        <v>72</v>
      </c>
      <c r="N44" s="140" t="s">
        <v>72</v>
      </c>
      <c r="O44" s="83" t="s">
        <v>72</v>
      </c>
      <c r="P44" s="83" t="s">
        <v>72</v>
      </c>
      <c r="Q44" s="84" t="b">
        <v>0</v>
      </c>
      <c r="S44" s="89"/>
      <c r="T44" s="90"/>
      <c r="Y44" s="145" t="s">
        <v>72</v>
      </c>
      <c r="Z44" s="152" t="s">
        <v>72</v>
      </c>
      <c r="AE44" s="145" t="s">
        <v>72</v>
      </c>
      <c r="AF44" s="146" t="s">
        <v>72</v>
      </c>
      <c r="AH44" s="11"/>
      <c r="AI44" s="82"/>
      <c r="AK44" s="50" t="s">
        <v>72</v>
      </c>
      <c r="AL44" s="32" t="s">
        <v>72</v>
      </c>
      <c r="AN44" s="159" t="s">
        <v>72</v>
      </c>
      <c r="AO44" s="160" t="s">
        <v>72</v>
      </c>
      <c r="AQ44" s="46"/>
      <c r="AR44" s="47"/>
      <c r="AS44" s="47"/>
      <c r="AT44" s="47"/>
      <c r="AU44" s="132" t="s">
        <v>72</v>
      </c>
      <c r="AW44" s="52"/>
      <c r="AX44" s="15"/>
      <c r="AZ44" s="67" t="s">
        <v>72</v>
      </c>
      <c r="BA44" s="78" t="s">
        <v>72</v>
      </c>
      <c r="BB44" s="79" t="b">
        <v>0</v>
      </c>
      <c r="BC44" s="6"/>
      <c r="BD44" s="11"/>
      <c r="BE44" s="82"/>
      <c r="BG44" s="75" t="s">
        <v>20</v>
      </c>
      <c r="BH44" s="18" t="s">
        <v>139</v>
      </c>
      <c r="BJ44" s="139" t="s">
        <v>72</v>
      </c>
      <c r="BK44" s="163" t="s">
        <v>72</v>
      </c>
      <c r="BM44" s="75" t="s">
        <v>20</v>
      </c>
      <c r="BN44" s="18" t="b">
        <v>0</v>
      </c>
      <c r="BP44" s="139" t="s">
        <v>72</v>
      </c>
      <c r="BQ44" s="163" t="s">
        <v>72</v>
      </c>
      <c r="BS44" s="75" t="s">
        <v>20</v>
      </c>
      <c r="BT44" s="18" t="s">
        <v>139</v>
      </c>
      <c r="BV44" s="139" t="s">
        <v>72</v>
      </c>
      <c r="BW44" s="163" t="s">
        <v>72</v>
      </c>
      <c r="BY44" s="11"/>
      <c r="BZ44" s="82"/>
      <c r="CB44" s="52" t="s">
        <v>17</v>
      </c>
      <c r="CC44" s="82" t="s">
        <v>46</v>
      </c>
      <c r="CE44" s="52" t="s">
        <v>17</v>
      </c>
      <c r="CF44" s="82" t="s">
        <v>46</v>
      </c>
      <c r="CH44" s="52" t="s">
        <v>17</v>
      </c>
      <c r="CI44" s="82" t="s">
        <v>46</v>
      </c>
      <c r="CK44" s="52" t="s">
        <v>17</v>
      </c>
      <c r="CL44" s="82" t="s">
        <v>46</v>
      </c>
      <c r="CN44" s="139" t="s">
        <v>72</v>
      </c>
      <c r="CO44" s="163" t="s">
        <v>72</v>
      </c>
      <c r="CQ44" s="11"/>
      <c r="CR44" s="82"/>
      <c r="CT44" s="52"/>
      <c r="CU44" s="82"/>
      <c r="CW44" s="52"/>
      <c r="CX44" s="82"/>
      <c r="CZ44" s="52"/>
      <c r="DA44" s="82"/>
    </row>
    <row r="45" spans="2:105">
      <c r="B45" s="52" t="s">
        <v>169</v>
      </c>
      <c r="C45" s="111" t="s">
        <v>235</v>
      </c>
      <c r="D45" s="112"/>
      <c r="E45" s="113"/>
      <c r="F45" t="s">
        <v>10</v>
      </c>
      <c r="J45" t="s">
        <v>10</v>
      </c>
      <c r="K45" t="s">
        <v>10</v>
      </c>
      <c r="L45" s="136"/>
      <c r="M45" s="139" t="s">
        <v>72</v>
      </c>
      <c r="N45" s="140" t="s">
        <v>72</v>
      </c>
      <c r="O45" s="83" t="s">
        <v>72</v>
      </c>
      <c r="P45" s="83" t="s">
        <v>72</v>
      </c>
      <c r="Q45" s="84" t="b">
        <v>0</v>
      </c>
      <c r="S45" s="89"/>
      <c r="T45" s="90"/>
      <c r="Y45" s="145" t="s">
        <v>72</v>
      </c>
      <c r="Z45" s="152" t="s">
        <v>72</v>
      </c>
      <c r="AE45" s="145" t="s">
        <v>72</v>
      </c>
      <c r="AF45" s="146" t="s">
        <v>72</v>
      </c>
      <c r="AH45" s="11"/>
      <c r="AI45" s="82"/>
      <c r="AK45" s="50" t="s">
        <v>72</v>
      </c>
      <c r="AL45" s="32" t="s">
        <v>72</v>
      </c>
      <c r="AN45" s="159" t="s">
        <v>72</v>
      </c>
      <c r="AO45" s="160" t="s">
        <v>72</v>
      </c>
      <c r="AQ45" s="46"/>
      <c r="AR45" s="47"/>
      <c r="AS45" s="47"/>
      <c r="AT45" s="47"/>
      <c r="AU45" s="132" t="s">
        <v>72</v>
      </c>
      <c r="AW45" s="52"/>
      <c r="AX45" s="15"/>
      <c r="AZ45" s="67" t="s">
        <v>72</v>
      </c>
      <c r="BA45" s="78" t="s">
        <v>72</v>
      </c>
      <c r="BB45" s="79" t="b">
        <v>0</v>
      </c>
      <c r="BC45" s="6"/>
      <c r="BD45" s="11"/>
      <c r="BE45" s="82"/>
      <c r="BG45" s="52"/>
      <c r="BH45" s="15"/>
      <c r="BJ45" s="139" t="s">
        <v>72</v>
      </c>
      <c r="BK45" s="163" t="s">
        <v>72</v>
      </c>
      <c r="BM45" s="52"/>
      <c r="BN45" s="15"/>
      <c r="BP45" s="139" t="s">
        <v>72</v>
      </c>
      <c r="BQ45" s="163" t="s">
        <v>72</v>
      </c>
      <c r="BS45" s="52"/>
      <c r="BT45" s="15"/>
      <c r="BV45" s="139" t="s">
        <v>72</v>
      </c>
      <c r="BW45" s="163" t="s">
        <v>72</v>
      </c>
      <c r="BY45" s="11"/>
      <c r="BZ45" s="82"/>
      <c r="CB45" s="52"/>
      <c r="CC45" s="82"/>
      <c r="CE45" s="52"/>
      <c r="CF45" s="82"/>
      <c r="CH45" s="52"/>
      <c r="CI45" s="82"/>
      <c r="CK45" s="52"/>
      <c r="CL45" s="82"/>
      <c r="CN45" s="139" t="s">
        <v>72</v>
      </c>
      <c r="CO45" s="163" t="s">
        <v>72</v>
      </c>
      <c r="CQ45" s="11"/>
      <c r="CR45" s="82"/>
      <c r="CT45" s="52"/>
      <c r="CU45" s="82"/>
      <c r="CW45" s="52"/>
      <c r="CX45" s="82"/>
      <c r="CZ45" s="52"/>
      <c r="DA45" s="82"/>
    </row>
    <row r="46" spans="2:105">
      <c r="B46" s="52"/>
      <c r="C46" s="111"/>
      <c r="D46" s="112"/>
      <c r="E46" s="113"/>
      <c r="F46" t="s">
        <v>10</v>
      </c>
      <c r="L46" s="136"/>
      <c r="M46" s="139" t="s">
        <v>72</v>
      </c>
      <c r="N46" s="140" t="s">
        <v>72</v>
      </c>
      <c r="O46" s="83" t="s">
        <v>72</v>
      </c>
      <c r="P46" s="83" t="s">
        <v>72</v>
      </c>
      <c r="Q46" s="84" t="b">
        <v>0</v>
      </c>
      <c r="S46" s="89"/>
      <c r="T46" s="90"/>
      <c r="Y46" s="145" t="s">
        <v>72</v>
      </c>
      <c r="Z46" s="152" t="s">
        <v>72</v>
      </c>
      <c r="AE46" s="145" t="s">
        <v>72</v>
      </c>
      <c r="AF46" s="146" t="s">
        <v>72</v>
      </c>
      <c r="AH46" s="11"/>
      <c r="AI46" s="82"/>
      <c r="AK46" s="50" t="s">
        <v>72</v>
      </c>
      <c r="AL46" s="32" t="s">
        <v>72</v>
      </c>
      <c r="AN46" s="159" t="s">
        <v>72</v>
      </c>
      <c r="AO46" s="160" t="s">
        <v>72</v>
      </c>
      <c r="AQ46" s="46"/>
      <c r="AR46" s="47"/>
      <c r="AS46" s="47"/>
      <c r="AT46" s="47"/>
      <c r="AU46" s="132" t="s">
        <v>72</v>
      </c>
      <c r="AW46" s="52"/>
      <c r="AX46" s="15"/>
      <c r="AZ46" s="67" t="s">
        <v>72</v>
      </c>
      <c r="BA46" s="78" t="s">
        <v>72</v>
      </c>
      <c r="BB46" s="79" t="b">
        <v>0</v>
      </c>
      <c r="BC46" s="6"/>
      <c r="BD46" s="11"/>
      <c r="BE46" s="82"/>
      <c r="BG46" s="52"/>
      <c r="BH46" s="15"/>
      <c r="BJ46" s="139" t="s">
        <v>72</v>
      </c>
      <c r="BK46" s="163" t="s">
        <v>72</v>
      </c>
      <c r="BM46" s="52"/>
      <c r="BN46" s="15"/>
      <c r="BP46" s="139" t="s">
        <v>72</v>
      </c>
      <c r="BQ46" s="163" t="s">
        <v>72</v>
      </c>
      <c r="BS46" s="52"/>
      <c r="BT46" s="15"/>
      <c r="BV46" s="139" t="s">
        <v>72</v>
      </c>
      <c r="BW46" s="163" t="s">
        <v>72</v>
      </c>
      <c r="BY46" s="11"/>
      <c r="BZ46" s="82"/>
      <c r="CB46" s="52"/>
      <c r="CC46" s="82"/>
      <c r="CE46" s="52"/>
      <c r="CF46" s="82"/>
      <c r="CH46" s="52"/>
      <c r="CI46" s="82"/>
      <c r="CK46" s="52"/>
      <c r="CL46" s="82"/>
      <c r="CN46" s="139" t="s">
        <v>72</v>
      </c>
      <c r="CO46" s="163" t="s">
        <v>72</v>
      </c>
      <c r="CQ46" s="11"/>
      <c r="CR46" s="82"/>
      <c r="CT46" s="52"/>
      <c r="CU46" s="82"/>
      <c r="CW46" s="52"/>
      <c r="CX46" s="82"/>
      <c r="CZ46" s="52"/>
      <c r="DA46" s="82"/>
    </row>
    <row r="47" spans="2:105">
      <c r="B47" s="58"/>
      <c r="C47" s="114"/>
      <c r="D47" s="115"/>
      <c r="E47" s="116"/>
      <c r="L47" s="136"/>
      <c r="M47" s="139" t="s">
        <v>72</v>
      </c>
      <c r="N47" s="140" t="s">
        <v>72</v>
      </c>
      <c r="O47" s="83" t="s">
        <v>72</v>
      </c>
      <c r="P47" s="83" t="s">
        <v>72</v>
      </c>
      <c r="Q47" s="84" t="b">
        <v>0</v>
      </c>
      <c r="S47" s="89"/>
      <c r="T47" s="90"/>
      <c r="Y47" s="145" t="s">
        <v>72</v>
      </c>
      <c r="Z47" s="152" t="s">
        <v>72</v>
      </c>
      <c r="AE47" s="145" t="s">
        <v>72</v>
      </c>
      <c r="AF47" s="146" t="s">
        <v>72</v>
      </c>
      <c r="AH47" s="11"/>
      <c r="AI47" s="82"/>
      <c r="AK47" s="50" t="s">
        <v>72</v>
      </c>
      <c r="AL47" s="32" t="s">
        <v>72</v>
      </c>
      <c r="AN47" s="159" t="s">
        <v>72</v>
      </c>
      <c r="AO47" s="160" t="s">
        <v>72</v>
      </c>
      <c r="AQ47" s="46"/>
      <c r="AR47" s="47"/>
      <c r="AS47" s="47"/>
      <c r="AT47" s="47"/>
      <c r="AU47" s="132"/>
      <c r="AW47" s="52"/>
      <c r="AX47" s="15"/>
      <c r="AZ47" s="67" t="s">
        <v>72</v>
      </c>
      <c r="BA47" s="78" t="s">
        <v>72</v>
      </c>
      <c r="BB47" s="79" t="b">
        <v>0</v>
      </c>
      <c r="BC47" s="6"/>
      <c r="BD47" s="11"/>
      <c r="BE47" s="82"/>
      <c r="BG47" s="52"/>
      <c r="BH47" s="15"/>
      <c r="BJ47" s="139" t="s">
        <v>72</v>
      </c>
      <c r="BK47" s="163" t="s">
        <v>72</v>
      </c>
      <c r="BM47" s="52"/>
      <c r="BN47" s="15"/>
      <c r="BP47" s="139" t="s">
        <v>72</v>
      </c>
      <c r="BQ47" s="163" t="s">
        <v>72</v>
      </c>
      <c r="BS47" s="52"/>
      <c r="BT47" s="15"/>
      <c r="BV47" s="139" t="s">
        <v>72</v>
      </c>
      <c r="BW47" s="163" t="s">
        <v>72</v>
      </c>
      <c r="BY47" s="11"/>
      <c r="BZ47" s="82"/>
      <c r="CB47" s="52"/>
      <c r="CC47" s="82"/>
      <c r="CE47" s="52"/>
      <c r="CF47" s="82"/>
      <c r="CH47" s="52"/>
      <c r="CI47" s="82"/>
      <c r="CK47" s="52"/>
      <c r="CL47" s="82"/>
      <c r="CN47" s="139" t="s">
        <v>72</v>
      </c>
      <c r="CO47" s="163" t="s">
        <v>72</v>
      </c>
      <c r="CQ47" s="11"/>
      <c r="CR47" s="82"/>
      <c r="CT47" s="52"/>
      <c r="CU47" s="82"/>
      <c r="CW47" s="52"/>
      <c r="CX47" s="82"/>
      <c r="CZ47" s="52"/>
      <c r="DA47" s="82"/>
    </row>
    <row r="48" spans="2:105">
      <c r="L48" s="136"/>
      <c r="M48" s="139" t="s">
        <v>72</v>
      </c>
      <c r="N48" s="140" t="s">
        <v>72</v>
      </c>
      <c r="O48" s="83" t="s">
        <v>72</v>
      </c>
      <c r="P48" s="83" t="s">
        <v>72</v>
      </c>
      <c r="Q48" s="84" t="b">
        <v>0</v>
      </c>
      <c r="S48" s="89"/>
      <c r="T48" s="90"/>
      <c r="Y48" s="145" t="s">
        <v>72</v>
      </c>
      <c r="Z48" s="152" t="s">
        <v>72</v>
      </c>
      <c r="AE48" s="145" t="s">
        <v>72</v>
      </c>
      <c r="AF48" s="146" t="s">
        <v>72</v>
      </c>
      <c r="AH48" s="11"/>
      <c r="AI48" s="82"/>
      <c r="AK48" s="50" t="s">
        <v>72</v>
      </c>
      <c r="AL48" s="32" t="s">
        <v>72</v>
      </c>
      <c r="AN48" s="159" t="s">
        <v>72</v>
      </c>
      <c r="AO48" s="160" t="s">
        <v>72</v>
      </c>
      <c r="AQ48" s="46"/>
      <c r="AR48" s="47"/>
      <c r="AS48" s="47"/>
      <c r="AT48" s="47"/>
      <c r="AU48" s="132"/>
      <c r="AW48" s="52"/>
      <c r="AX48" s="15"/>
      <c r="AZ48" s="67" t="s">
        <v>72</v>
      </c>
      <c r="BA48" s="78" t="s">
        <v>72</v>
      </c>
      <c r="BB48" s="79" t="b">
        <v>0</v>
      </c>
      <c r="BC48" s="6"/>
      <c r="BD48" s="11"/>
      <c r="BE48" s="82"/>
      <c r="BG48" s="52"/>
      <c r="BH48" s="15"/>
      <c r="BJ48" s="139" t="s">
        <v>72</v>
      </c>
      <c r="BK48" s="163" t="s">
        <v>72</v>
      </c>
      <c r="BM48" s="52"/>
      <c r="BN48" s="15"/>
      <c r="BP48" s="139" t="s">
        <v>72</v>
      </c>
      <c r="BQ48" s="163" t="s">
        <v>72</v>
      </c>
      <c r="BS48" s="52"/>
      <c r="BT48" s="15"/>
      <c r="BV48" s="139" t="s">
        <v>72</v>
      </c>
      <c r="BW48" s="163" t="s">
        <v>72</v>
      </c>
      <c r="BY48" s="11"/>
      <c r="BZ48" s="82"/>
      <c r="CB48" s="52"/>
      <c r="CC48" s="82"/>
      <c r="CE48" s="52"/>
      <c r="CF48" s="82"/>
      <c r="CH48" s="52"/>
      <c r="CI48" s="82"/>
      <c r="CK48" s="52"/>
      <c r="CL48" s="82"/>
      <c r="CN48" s="139" t="s">
        <v>72</v>
      </c>
      <c r="CO48" s="163" t="s">
        <v>72</v>
      </c>
      <c r="CQ48" s="11"/>
      <c r="CR48" s="82"/>
      <c r="CT48" s="52"/>
      <c r="CU48" s="82"/>
      <c r="CW48" s="52"/>
      <c r="CX48" s="82"/>
      <c r="CZ48" s="52"/>
      <c r="DA48" s="82"/>
    </row>
    <row r="49" spans="2:105">
      <c r="B49" s="2" t="s">
        <v>242</v>
      </c>
      <c r="C49" s="9"/>
      <c r="L49" s="136"/>
      <c r="M49" s="139" t="s">
        <v>72</v>
      </c>
      <c r="N49" s="140" t="s">
        <v>72</v>
      </c>
      <c r="O49" s="83" t="s">
        <v>72</v>
      </c>
      <c r="P49" s="83" t="s">
        <v>72</v>
      </c>
      <c r="Q49" s="84" t="b">
        <v>0</v>
      </c>
      <c r="S49" s="89"/>
      <c r="T49" s="90"/>
      <c r="Y49" s="145" t="s">
        <v>72</v>
      </c>
      <c r="Z49" s="152" t="s">
        <v>72</v>
      </c>
      <c r="AE49" s="145" t="s">
        <v>72</v>
      </c>
      <c r="AF49" s="146" t="s">
        <v>72</v>
      </c>
      <c r="AH49" s="11"/>
      <c r="AI49" s="82"/>
      <c r="AK49" s="50" t="s">
        <v>72</v>
      </c>
      <c r="AL49" s="32" t="s">
        <v>72</v>
      </c>
      <c r="AN49" s="159" t="s">
        <v>72</v>
      </c>
      <c r="AO49" s="160" t="s">
        <v>72</v>
      </c>
      <c r="AQ49" s="46"/>
      <c r="AR49" s="47"/>
      <c r="AS49" s="47"/>
      <c r="AT49" s="47"/>
      <c r="AU49" s="132"/>
      <c r="AW49" s="52"/>
      <c r="AX49" s="15"/>
      <c r="AZ49" s="67" t="s">
        <v>72</v>
      </c>
      <c r="BA49" s="78" t="s">
        <v>72</v>
      </c>
      <c r="BB49" s="79" t="b">
        <v>0</v>
      </c>
      <c r="BC49" s="6"/>
      <c r="BD49" s="11"/>
      <c r="BE49" s="82"/>
      <c r="BG49" s="52"/>
      <c r="BH49" s="15"/>
      <c r="BJ49" s="139" t="s">
        <v>72</v>
      </c>
      <c r="BK49" s="163" t="s">
        <v>72</v>
      </c>
      <c r="BM49" s="52"/>
      <c r="BN49" s="15"/>
      <c r="BP49" s="139" t="s">
        <v>72</v>
      </c>
      <c r="BQ49" s="163" t="s">
        <v>72</v>
      </c>
      <c r="BS49" s="52"/>
      <c r="BT49" s="15"/>
      <c r="BV49" s="139" t="s">
        <v>72</v>
      </c>
      <c r="BW49" s="163" t="s">
        <v>72</v>
      </c>
      <c r="BY49" s="11"/>
      <c r="BZ49" s="82"/>
      <c r="CB49" s="52"/>
      <c r="CC49" s="82"/>
      <c r="CE49" s="52"/>
      <c r="CF49" s="82"/>
      <c r="CH49" s="52"/>
      <c r="CI49" s="82"/>
      <c r="CK49" s="52"/>
      <c r="CL49" s="82"/>
      <c r="CN49" s="139" t="s">
        <v>72</v>
      </c>
      <c r="CO49" s="163" t="s">
        <v>72</v>
      </c>
      <c r="CQ49" s="11"/>
      <c r="CR49" s="82"/>
      <c r="CT49" s="52"/>
      <c r="CU49" s="82"/>
      <c r="CW49" s="52"/>
      <c r="CX49" s="82"/>
      <c r="CZ49" s="52"/>
      <c r="DA49" s="82"/>
    </row>
    <row r="50" spans="2:105">
      <c r="B50" s="51" t="s">
        <v>165</v>
      </c>
      <c r="C50" s="105" t="s">
        <v>166</v>
      </c>
      <c r="D50" s="106"/>
      <c r="E50" s="107"/>
      <c r="L50" s="136"/>
      <c r="M50" s="139" t="s">
        <v>72</v>
      </c>
      <c r="N50" s="140" t="s">
        <v>72</v>
      </c>
      <c r="O50" s="83" t="s">
        <v>72</v>
      </c>
      <c r="P50" s="83" t="s">
        <v>72</v>
      </c>
      <c r="Q50" s="84" t="b">
        <v>0</v>
      </c>
      <c r="S50" s="89"/>
      <c r="T50" s="90"/>
      <c r="Y50" s="145" t="s">
        <v>72</v>
      </c>
      <c r="Z50" s="152" t="s">
        <v>72</v>
      </c>
      <c r="AE50" s="145" t="s">
        <v>72</v>
      </c>
      <c r="AF50" s="146" t="s">
        <v>72</v>
      </c>
      <c r="AH50" s="11"/>
      <c r="AI50" s="82"/>
      <c r="AK50" s="50" t="s">
        <v>72</v>
      </c>
      <c r="AL50" s="32" t="s">
        <v>72</v>
      </c>
      <c r="AN50" s="159" t="s">
        <v>72</v>
      </c>
      <c r="AO50" s="160" t="s">
        <v>72</v>
      </c>
      <c r="AQ50" s="46"/>
      <c r="AR50" s="47"/>
      <c r="AS50" s="47"/>
      <c r="AT50" s="47"/>
      <c r="AU50" s="132"/>
      <c r="AW50" s="52"/>
      <c r="AX50" s="15"/>
      <c r="AZ50" s="67" t="s">
        <v>72</v>
      </c>
      <c r="BA50" s="78" t="s">
        <v>72</v>
      </c>
      <c r="BB50" s="79" t="b">
        <v>0</v>
      </c>
      <c r="BC50" s="6"/>
      <c r="BD50" s="11"/>
      <c r="BE50" s="82"/>
      <c r="BG50" s="52"/>
      <c r="BH50" s="15"/>
      <c r="BJ50" s="139" t="s">
        <v>72</v>
      </c>
      <c r="BK50" s="163" t="s">
        <v>72</v>
      </c>
      <c r="BM50" s="52"/>
      <c r="BN50" s="15"/>
      <c r="BP50" s="139" t="s">
        <v>72</v>
      </c>
      <c r="BQ50" s="163" t="s">
        <v>72</v>
      </c>
      <c r="BS50" s="52"/>
      <c r="BT50" s="15"/>
      <c r="BV50" s="139" t="s">
        <v>72</v>
      </c>
      <c r="BW50" s="163" t="s">
        <v>72</v>
      </c>
      <c r="BY50" s="11"/>
      <c r="BZ50" s="82"/>
      <c r="CB50" s="52"/>
      <c r="CC50" s="82"/>
      <c r="CE50" s="52"/>
      <c r="CF50" s="82"/>
      <c r="CH50" s="52"/>
      <c r="CI50" s="82"/>
      <c r="CK50" s="52"/>
      <c r="CL50" s="82"/>
      <c r="CN50" s="139" t="s">
        <v>72</v>
      </c>
      <c r="CO50" s="163" t="s">
        <v>72</v>
      </c>
      <c r="CQ50" s="11"/>
      <c r="CR50" s="82"/>
      <c r="CT50" s="52"/>
      <c r="CU50" s="82"/>
      <c r="CW50" s="52"/>
      <c r="CX50" s="82"/>
      <c r="CZ50" s="52"/>
      <c r="DA50" s="82"/>
    </row>
    <row r="51" spans="2:105">
      <c r="B51" s="52" t="s">
        <v>53</v>
      </c>
      <c r="C51" s="108" t="s">
        <v>229</v>
      </c>
      <c r="D51" s="109"/>
      <c r="E51" s="110"/>
      <c r="L51" s="136"/>
      <c r="M51" s="139" t="s">
        <v>72</v>
      </c>
      <c r="N51" s="140" t="s">
        <v>72</v>
      </c>
      <c r="O51" s="83" t="s">
        <v>72</v>
      </c>
      <c r="P51" s="83" t="s">
        <v>72</v>
      </c>
      <c r="Q51" s="84" t="b">
        <v>0</v>
      </c>
      <c r="S51" s="89"/>
      <c r="T51" s="90"/>
      <c r="Y51" s="145" t="s">
        <v>72</v>
      </c>
      <c r="Z51" s="152" t="s">
        <v>72</v>
      </c>
      <c r="AE51" s="145" t="s">
        <v>72</v>
      </c>
      <c r="AF51" s="146" t="s">
        <v>72</v>
      </c>
      <c r="AH51" s="11"/>
      <c r="AI51" s="82"/>
      <c r="AK51" s="50" t="s">
        <v>72</v>
      </c>
      <c r="AL51" s="32" t="s">
        <v>72</v>
      </c>
      <c r="AN51" s="159" t="s">
        <v>72</v>
      </c>
      <c r="AO51" s="160" t="s">
        <v>72</v>
      </c>
      <c r="AQ51" s="46"/>
      <c r="AR51" s="47"/>
      <c r="AS51" s="47"/>
      <c r="AT51" s="47"/>
      <c r="AU51" s="132"/>
      <c r="AW51" s="52"/>
      <c r="AX51" s="15"/>
      <c r="AZ51" s="67" t="s">
        <v>72</v>
      </c>
      <c r="BA51" s="78" t="s">
        <v>72</v>
      </c>
      <c r="BB51" s="79" t="b">
        <v>0</v>
      </c>
      <c r="BC51" s="6"/>
      <c r="BD51" s="11"/>
      <c r="BE51" s="82"/>
      <c r="BG51" s="52"/>
      <c r="BH51" s="15"/>
      <c r="BJ51" s="139" t="s">
        <v>72</v>
      </c>
      <c r="BK51" s="163" t="s">
        <v>72</v>
      </c>
      <c r="BM51" s="52"/>
      <c r="BN51" s="15"/>
      <c r="BP51" s="139" t="s">
        <v>72</v>
      </c>
      <c r="BQ51" s="163" t="s">
        <v>72</v>
      </c>
      <c r="BS51" s="52"/>
      <c r="BT51" s="15"/>
      <c r="BV51" s="139" t="s">
        <v>72</v>
      </c>
      <c r="BW51" s="163" t="s">
        <v>72</v>
      </c>
      <c r="BY51" s="11"/>
      <c r="BZ51" s="82"/>
      <c r="CB51" s="52"/>
      <c r="CC51" s="82"/>
      <c r="CE51" s="52"/>
      <c r="CF51" s="82"/>
      <c r="CH51" s="52"/>
      <c r="CI51" s="82"/>
      <c r="CK51" s="52"/>
      <c r="CL51" s="82"/>
      <c r="CN51" s="139" t="s">
        <v>72</v>
      </c>
      <c r="CO51" s="163" t="s">
        <v>72</v>
      </c>
      <c r="CQ51" s="11"/>
      <c r="CR51" s="82"/>
      <c r="CT51" s="52"/>
      <c r="CU51" s="82"/>
      <c r="CW51" s="52"/>
      <c r="CX51" s="82"/>
      <c r="CZ51" s="52"/>
      <c r="DA51" s="82"/>
    </row>
    <row r="52" spans="2:105">
      <c r="B52" s="52" t="s">
        <v>167</v>
      </c>
      <c r="C52" s="111" t="s">
        <v>224</v>
      </c>
      <c r="D52" s="112"/>
      <c r="E52" s="113"/>
      <c r="L52" s="136"/>
      <c r="M52" s="139" t="s">
        <v>72</v>
      </c>
      <c r="N52" s="140" t="s">
        <v>72</v>
      </c>
      <c r="O52" s="83" t="s">
        <v>72</v>
      </c>
      <c r="P52" s="83" t="s">
        <v>72</v>
      </c>
      <c r="Q52" s="84" t="b">
        <v>0</v>
      </c>
      <c r="S52" s="89"/>
      <c r="T52" s="90"/>
      <c r="Y52" s="145" t="s">
        <v>72</v>
      </c>
      <c r="Z52" s="152" t="s">
        <v>72</v>
      </c>
      <c r="AE52" s="145" t="s">
        <v>72</v>
      </c>
      <c r="AF52" s="146" t="s">
        <v>72</v>
      </c>
      <c r="AH52" s="11"/>
      <c r="AI52" s="82"/>
      <c r="AK52" s="50" t="s">
        <v>72</v>
      </c>
      <c r="AL52" s="32" t="s">
        <v>72</v>
      </c>
      <c r="AN52" s="159" t="s">
        <v>72</v>
      </c>
      <c r="AO52" s="160" t="s">
        <v>72</v>
      </c>
      <c r="AQ52" s="46"/>
      <c r="AR52" s="47"/>
      <c r="AS52" s="47"/>
      <c r="AT52" s="47"/>
      <c r="AU52" s="132"/>
      <c r="AW52" s="52"/>
      <c r="AX52" s="15"/>
      <c r="AZ52" s="67" t="s">
        <v>72</v>
      </c>
      <c r="BA52" s="78" t="s">
        <v>72</v>
      </c>
      <c r="BB52" s="79" t="b">
        <v>0</v>
      </c>
      <c r="BC52" s="6"/>
      <c r="BD52" s="11"/>
      <c r="BE52" s="82"/>
      <c r="BG52" s="52"/>
      <c r="BH52" s="15"/>
      <c r="BJ52" s="139" t="s">
        <v>72</v>
      </c>
      <c r="BK52" s="163" t="s">
        <v>72</v>
      </c>
      <c r="BM52" s="52"/>
      <c r="BN52" s="15"/>
      <c r="BP52" s="139" t="s">
        <v>72</v>
      </c>
      <c r="BQ52" s="163" t="s">
        <v>72</v>
      </c>
      <c r="BS52" s="52"/>
      <c r="BT52" s="15"/>
      <c r="BV52" s="139" t="s">
        <v>72</v>
      </c>
      <c r="BW52" s="163" t="s">
        <v>72</v>
      </c>
      <c r="BY52" s="11"/>
      <c r="BZ52" s="82"/>
      <c r="CB52" s="52"/>
      <c r="CC52" s="82"/>
      <c r="CE52" s="52"/>
      <c r="CF52" s="82"/>
      <c r="CH52" s="52"/>
      <c r="CI52" s="82"/>
      <c r="CK52" s="52"/>
      <c r="CL52" s="82"/>
      <c r="CN52" s="139" t="s">
        <v>72</v>
      </c>
      <c r="CO52" s="163" t="s">
        <v>72</v>
      </c>
      <c r="CQ52" s="11"/>
      <c r="CR52" s="82"/>
      <c r="CT52" s="52"/>
      <c r="CU52" s="82"/>
      <c r="CW52" s="52"/>
      <c r="CX52" s="82"/>
      <c r="CZ52" s="52"/>
      <c r="DA52" s="82"/>
    </row>
    <row r="53" spans="2:105">
      <c r="B53" s="52" t="s">
        <v>168</v>
      </c>
      <c r="C53" s="111" t="s">
        <v>225</v>
      </c>
      <c r="D53" s="112"/>
      <c r="E53" s="113"/>
      <c r="L53" s="136"/>
      <c r="M53" s="139" t="s">
        <v>72</v>
      </c>
      <c r="N53" s="140" t="s">
        <v>72</v>
      </c>
      <c r="O53" s="83" t="s">
        <v>72</v>
      </c>
      <c r="P53" s="83" t="s">
        <v>72</v>
      </c>
      <c r="Q53" s="84" t="b">
        <v>0</v>
      </c>
      <c r="S53" s="89"/>
      <c r="T53" s="90"/>
      <c r="Y53" s="145" t="s">
        <v>72</v>
      </c>
      <c r="Z53" s="152" t="s">
        <v>72</v>
      </c>
      <c r="AE53" s="145" t="s">
        <v>72</v>
      </c>
      <c r="AF53" s="146" t="s">
        <v>72</v>
      </c>
      <c r="AH53" s="11"/>
      <c r="AI53" s="82"/>
      <c r="AK53" s="50" t="s">
        <v>72</v>
      </c>
      <c r="AL53" s="32" t="s">
        <v>72</v>
      </c>
      <c r="AN53" s="159" t="s">
        <v>72</v>
      </c>
      <c r="AO53" s="160" t="s">
        <v>72</v>
      </c>
      <c r="AQ53" s="46"/>
      <c r="AR53" s="47"/>
      <c r="AS53" s="47"/>
      <c r="AT53" s="47"/>
      <c r="AU53" s="132"/>
      <c r="AW53" s="52"/>
      <c r="AX53" s="15"/>
      <c r="AZ53" s="67" t="s">
        <v>72</v>
      </c>
      <c r="BA53" s="78" t="s">
        <v>72</v>
      </c>
      <c r="BB53" s="79" t="b">
        <v>0</v>
      </c>
      <c r="BC53" s="6"/>
      <c r="BD53" s="11"/>
      <c r="BE53" s="82"/>
      <c r="BG53" s="52"/>
      <c r="BH53" s="15"/>
      <c r="BJ53" s="139" t="s">
        <v>72</v>
      </c>
      <c r="BK53" s="163" t="s">
        <v>72</v>
      </c>
      <c r="BM53" s="52"/>
      <c r="BN53" s="15"/>
      <c r="BP53" s="139" t="s">
        <v>72</v>
      </c>
      <c r="BQ53" s="163" t="s">
        <v>72</v>
      </c>
      <c r="BS53" s="52"/>
      <c r="BT53" s="15"/>
      <c r="BV53" s="139" t="s">
        <v>72</v>
      </c>
      <c r="BW53" s="163" t="s">
        <v>72</v>
      </c>
      <c r="BY53" s="11"/>
      <c r="BZ53" s="82"/>
      <c r="CB53" s="52"/>
      <c r="CC53" s="82"/>
      <c r="CE53" s="52"/>
      <c r="CF53" s="82"/>
      <c r="CH53" s="52"/>
      <c r="CI53" s="82"/>
      <c r="CK53" s="52"/>
      <c r="CL53" s="82"/>
      <c r="CN53" s="139" t="s">
        <v>72</v>
      </c>
      <c r="CO53" s="163" t="s">
        <v>72</v>
      </c>
      <c r="CQ53" s="11"/>
      <c r="CR53" s="82"/>
      <c r="CT53" s="52"/>
      <c r="CU53" s="82"/>
      <c r="CW53" s="52"/>
      <c r="CX53" s="82"/>
      <c r="CZ53" s="52"/>
      <c r="DA53" s="82"/>
    </row>
    <row r="54" spans="2:105">
      <c r="B54" s="52" t="s">
        <v>218</v>
      </c>
      <c r="C54" s="111" t="s">
        <v>226</v>
      </c>
      <c r="D54" s="112"/>
      <c r="E54" s="113"/>
      <c r="L54" s="136"/>
      <c r="M54" s="139" t="s">
        <v>72</v>
      </c>
      <c r="N54" s="140" t="s">
        <v>72</v>
      </c>
      <c r="O54" s="83" t="s">
        <v>72</v>
      </c>
      <c r="P54" s="83" t="s">
        <v>72</v>
      </c>
      <c r="Q54" s="84" t="b">
        <v>0</v>
      </c>
      <c r="S54" s="89"/>
      <c r="T54" s="90"/>
      <c r="Y54" s="145" t="s">
        <v>72</v>
      </c>
      <c r="Z54" s="152" t="s">
        <v>72</v>
      </c>
      <c r="AE54" s="145" t="s">
        <v>72</v>
      </c>
      <c r="AF54" s="146" t="s">
        <v>72</v>
      </c>
      <c r="AH54" s="11"/>
      <c r="AI54" s="82"/>
      <c r="AK54" s="50" t="s">
        <v>72</v>
      </c>
      <c r="AL54" s="32" t="s">
        <v>72</v>
      </c>
      <c r="AN54" s="159" t="s">
        <v>72</v>
      </c>
      <c r="AO54" s="160" t="s">
        <v>72</v>
      </c>
      <c r="AQ54" s="46"/>
      <c r="AR54" s="47"/>
      <c r="AS54" s="47"/>
      <c r="AT54" s="47"/>
      <c r="AU54" s="132"/>
      <c r="AW54" s="52"/>
      <c r="AX54" s="15"/>
      <c r="AZ54" s="67" t="s">
        <v>72</v>
      </c>
      <c r="BA54" s="78" t="s">
        <v>72</v>
      </c>
      <c r="BB54" s="79" t="b">
        <v>0</v>
      </c>
      <c r="BC54" s="6"/>
      <c r="BD54" s="11"/>
      <c r="BE54" s="82"/>
      <c r="BG54" s="52"/>
      <c r="BH54" s="15"/>
      <c r="BJ54" s="139" t="s">
        <v>72</v>
      </c>
      <c r="BK54" s="163" t="s">
        <v>72</v>
      </c>
      <c r="BM54" s="52"/>
      <c r="BN54" s="15"/>
      <c r="BP54" s="139" t="s">
        <v>72</v>
      </c>
      <c r="BQ54" s="163" t="s">
        <v>72</v>
      </c>
      <c r="BS54" s="52"/>
      <c r="BT54" s="15"/>
      <c r="BV54" s="139" t="s">
        <v>72</v>
      </c>
      <c r="BW54" s="163" t="s">
        <v>72</v>
      </c>
      <c r="BY54" s="11"/>
      <c r="BZ54" s="82"/>
      <c r="CB54" s="52"/>
      <c r="CC54" s="82"/>
      <c r="CE54" s="52"/>
      <c r="CF54" s="82"/>
      <c r="CH54" s="52"/>
      <c r="CI54" s="82"/>
      <c r="CK54" s="52"/>
      <c r="CL54" s="82"/>
      <c r="CN54" s="139" t="s">
        <v>72</v>
      </c>
      <c r="CO54" s="163" t="s">
        <v>72</v>
      </c>
      <c r="CQ54" s="11"/>
      <c r="CR54" s="82"/>
      <c r="CT54" s="52"/>
      <c r="CU54" s="82"/>
      <c r="CW54" s="52"/>
      <c r="CX54" s="82"/>
      <c r="CZ54" s="52"/>
      <c r="DA54" s="82"/>
    </row>
    <row r="55" spans="2:105">
      <c r="B55" s="52" t="s">
        <v>170</v>
      </c>
      <c r="C55" s="111" t="s">
        <v>235</v>
      </c>
      <c r="D55" s="112"/>
      <c r="E55" s="113"/>
      <c r="L55" s="136"/>
      <c r="M55" s="139" t="s">
        <v>72</v>
      </c>
      <c r="N55" s="140" t="s">
        <v>72</v>
      </c>
      <c r="O55" s="83" t="s">
        <v>72</v>
      </c>
      <c r="P55" s="83" t="s">
        <v>72</v>
      </c>
      <c r="Q55" s="84" t="b">
        <v>0</v>
      </c>
      <c r="S55" s="89"/>
      <c r="T55" s="90"/>
      <c r="Y55" s="145" t="s">
        <v>72</v>
      </c>
      <c r="Z55" s="152" t="s">
        <v>72</v>
      </c>
      <c r="AE55" s="145" t="s">
        <v>72</v>
      </c>
      <c r="AF55" s="146" t="s">
        <v>72</v>
      </c>
      <c r="AH55" s="11"/>
      <c r="AI55" s="82"/>
      <c r="AK55" s="50" t="s">
        <v>72</v>
      </c>
      <c r="AL55" s="32" t="s">
        <v>72</v>
      </c>
      <c r="AN55" s="159" t="s">
        <v>72</v>
      </c>
      <c r="AO55" s="160" t="s">
        <v>72</v>
      </c>
      <c r="AQ55" s="46"/>
      <c r="AR55" s="47"/>
      <c r="AS55" s="47"/>
      <c r="AT55" s="47"/>
      <c r="AU55" s="132"/>
      <c r="AW55" s="52"/>
      <c r="AX55" s="15"/>
      <c r="AZ55" s="67" t="s">
        <v>72</v>
      </c>
      <c r="BA55" s="78" t="s">
        <v>72</v>
      </c>
      <c r="BB55" s="79" t="b">
        <v>0</v>
      </c>
      <c r="BC55" s="6"/>
      <c r="BD55" s="11"/>
      <c r="BE55" s="82"/>
      <c r="BG55" s="52"/>
      <c r="BH55" s="15"/>
      <c r="BJ55" s="139" t="s">
        <v>72</v>
      </c>
      <c r="BK55" s="163" t="s">
        <v>72</v>
      </c>
      <c r="BM55" s="52"/>
      <c r="BN55" s="15"/>
      <c r="BP55" s="139" t="s">
        <v>72</v>
      </c>
      <c r="BQ55" s="163" t="s">
        <v>72</v>
      </c>
      <c r="BS55" s="52"/>
      <c r="BT55" s="15"/>
      <c r="BV55" s="139" t="s">
        <v>72</v>
      </c>
      <c r="BW55" s="163" t="s">
        <v>72</v>
      </c>
      <c r="BY55" s="11"/>
      <c r="BZ55" s="82"/>
      <c r="CB55" s="52"/>
      <c r="CC55" s="82"/>
      <c r="CE55" s="52"/>
      <c r="CF55" s="82"/>
      <c r="CH55" s="52"/>
      <c r="CI55" s="82"/>
      <c r="CK55" s="52"/>
      <c r="CL55" s="82"/>
      <c r="CN55" s="139" t="s">
        <v>72</v>
      </c>
      <c r="CO55" s="163" t="s">
        <v>72</v>
      </c>
      <c r="CQ55" s="11"/>
      <c r="CR55" s="82"/>
      <c r="CT55" s="52"/>
      <c r="CU55" s="82"/>
      <c r="CW55" s="52"/>
      <c r="CX55" s="82"/>
      <c r="CZ55" s="52"/>
      <c r="DA55" s="82"/>
    </row>
    <row r="56" spans="2:105">
      <c r="B56" s="52"/>
      <c r="C56" s="111"/>
      <c r="D56" s="112"/>
      <c r="E56" s="113"/>
      <c r="L56" s="136"/>
      <c r="M56" s="139" t="s">
        <v>72</v>
      </c>
      <c r="N56" s="140" t="s">
        <v>72</v>
      </c>
      <c r="O56" s="83" t="s">
        <v>72</v>
      </c>
      <c r="P56" s="83" t="s">
        <v>72</v>
      </c>
      <c r="Q56" s="84" t="b">
        <v>0</v>
      </c>
      <c r="S56" s="89"/>
      <c r="T56" s="90"/>
      <c r="Y56" s="145" t="s">
        <v>72</v>
      </c>
      <c r="Z56" s="152" t="s">
        <v>72</v>
      </c>
      <c r="AE56" s="145" t="s">
        <v>72</v>
      </c>
      <c r="AF56" s="146" t="s">
        <v>72</v>
      </c>
      <c r="AH56" s="11"/>
      <c r="AI56" s="82"/>
      <c r="AK56" s="50" t="s">
        <v>72</v>
      </c>
      <c r="AL56" s="32" t="s">
        <v>72</v>
      </c>
      <c r="AN56" s="159" t="s">
        <v>72</v>
      </c>
      <c r="AO56" s="160" t="s">
        <v>72</v>
      </c>
      <c r="AQ56" s="46"/>
      <c r="AR56" s="47"/>
      <c r="AS56" s="47"/>
      <c r="AT56" s="47"/>
      <c r="AU56" s="132"/>
      <c r="AW56" s="52"/>
      <c r="AX56" s="15"/>
      <c r="AZ56" s="67" t="s">
        <v>72</v>
      </c>
      <c r="BA56" s="78" t="s">
        <v>72</v>
      </c>
      <c r="BB56" s="79" t="b">
        <v>0</v>
      </c>
      <c r="BC56" s="6"/>
      <c r="BD56" s="11"/>
      <c r="BE56" s="82"/>
      <c r="BG56" s="52"/>
      <c r="BH56" s="15"/>
      <c r="BJ56" s="139" t="s">
        <v>72</v>
      </c>
      <c r="BK56" s="163" t="s">
        <v>72</v>
      </c>
      <c r="BM56" s="52"/>
      <c r="BN56" s="15"/>
      <c r="BP56" s="139" t="s">
        <v>72</v>
      </c>
      <c r="BQ56" s="163" t="s">
        <v>72</v>
      </c>
      <c r="BS56" s="52"/>
      <c r="BT56" s="15"/>
      <c r="BV56" s="139" t="s">
        <v>72</v>
      </c>
      <c r="BW56" s="163" t="s">
        <v>72</v>
      </c>
      <c r="BY56" s="11"/>
      <c r="BZ56" s="82"/>
      <c r="CB56" s="52"/>
      <c r="CC56" s="82"/>
      <c r="CE56" s="52"/>
      <c r="CF56" s="82"/>
      <c r="CH56" s="52"/>
      <c r="CI56" s="82"/>
      <c r="CK56" s="52"/>
      <c r="CL56" s="82"/>
      <c r="CN56" s="139" t="s">
        <v>72</v>
      </c>
      <c r="CO56" s="163" t="s">
        <v>72</v>
      </c>
      <c r="CQ56" s="11"/>
      <c r="CR56" s="82"/>
      <c r="CT56" s="52"/>
      <c r="CU56" s="82"/>
      <c r="CW56" s="52"/>
      <c r="CX56" s="82"/>
      <c r="CZ56" s="52"/>
      <c r="DA56" s="82"/>
    </row>
    <row r="57" spans="2:105">
      <c r="B57" s="58"/>
      <c r="C57" s="114"/>
      <c r="D57" s="115"/>
      <c r="E57" s="116"/>
      <c r="L57" s="136"/>
      <c r="M57" s="139" t="s">
        <v>72</v>
      </c>
      <c r="N57" s="140" t="s">
        <v>72</v>
      </c>
      <c r="O57" s="83" t="s">
        <v>72</v>
      </c>
      <c r="P57" s="83" t="s">
        <v>72</v>
      </c>
      <c r="Q57" s="84" t="b">
        <v>0</v>
      </c>
      <c r="S57" s="89"/>
      <c r="T57" s="90"/>
      <c r="Y57" s="145" t="s">
        <v>72</v>
      </c>
      <c r="Z57" s="152" t="s">
        <v>72</v>
      </c>
      <c r="AE57" s="145" t="s">
        <v>72</v>
      </c>
      <c r="AF57" s="146" t="s">
        <v>72</v>
      </c>
      <c r="AH57" s="11"/>
      <c r="AI57" s="82"/>
      <c r="AK57" s="50" t="s">
        <v>72</v>
      </c>
      <c r="AL57" s="32" t="s">
        <v>72</v>
      </c>
      <c r="AN57" s="159" t="s">
        <v>72</v>
      </c>
      <c r="AO57" s="160" t="s">
        <v>72</v>
      </c>
      <c r="AQ57" s="46"/>
      <c r="AR57" s="47"/>
      <c r="AS57" s="47"/>
      <c r="AT57" s="47"/>
      <c r="AU57" s="132"/>
      <c r="AW57" s="52"/>
      <c r="AX57" s="15"/>
      <c r="AZ57" s="67" t="s">
        <v>72</v>
      </c>
      <c r="BA57" s="78" t="s">
        <v>72</v>
      </c>
      <c r="BB57" s="79" t="b">
        <v>0</v>
      </c>
      <c r="BC57" s="6"/>
      <c r="BD57" s="11"/>
      <c r="BE57" s="82"/>
      <c r="BG57" s="52"/>
      <c r="BH57" s="15"/>
      <c r="BJ57" s="139" t="s">
        <v>72</v>
      </c>
      <c r="BK57" s="163" t="s">
        <v>72</v>
      </c>
      <c r="BM57" s="52"/>
      <c r="BN57" s="15"/>
      <c r="BP57" s="139" t="s">
        <v>72</v>
      </c>
      <c r="BQ57" s="163" t="s">
        <v>72</v>
      </c>
      <c r="BS57" s="52"/>
      <c r="BT57" s="15"/>
      <c r="BV57" s="139" t="s">
        <v>72</v>
      </c>
      <c r="BW57" s="163" t="s">
        <v>72</v>
      </c>
      <c r="BY57" s="11"/>
      <c r="BZ57" s="82"/>
      <c r="CB57" s="52"/>
      <c r="CC57" s="82"/>
      <c r="CE57" s="52"/>
      <c r="CF57" s="82"/>
      <c r="CH57" s="52"/>
      <c r="CI57" s="82"/>
      <c r="CK57" s="52"/>
      <c r="CL57" s="82"/>
      <c r="CN57" s="139" t="s">
        <v>72</v>
      </c>
      <c r="CO57" s="163" t="s">
        <v>72</v>
      </c>
      <c r="CQ57" s="11"/>
      <c r="CR57" s="82"/>
      <c r="CT57" s="52"/>
      <c r="CU57" s="82"/>
      <c r="CW57" s="52"/>
      <c r="CX57" s="82"/>
      <c r="CZ57" s="52"/>
      <c r="DA57" s="82"/>
    </row>
    <row r="58" spans="2:105">
      <c r="L58" s="136"/>
      <c r="M58" s="139" t="s">
        <v>72</v>
      </c>
      <c r="N58" s="140" t="s">
        <v>72</v>
      </c>
      <c r="O58" s="83" t="s">
        <v>72</v>
      </c>
      <c r="P58" s="83" t="s">
        <v>72</v>
      </c>
      <c r="Q58" s="84" t="b">
        <v>0</v>
      </c>
      <c r="S58" s="89"/>
      <c r="T58" s="90"/>
      <c r="Y58" s="145" t="s">
        <v>72</v>
      </c>
      <c r="Z58" s="152" t="s">
        <v>72</v>
      </c>
      <c r="AE58" s="145" t="s">
        <v>72</v>
      </c>
      <c r="AF58" s="146" t="s">
        <v>72</v>
      </c>
      <c r="AH58" s="11"/>
      <c r="AI58" s="82"/>
      <c r="AK58" s="50" t="s">
        <v>72</v>
      </c>
      <c r="AL58" s="32" t="s">
        <v>72</v>
      </c>
      <c r="AN58" s="159" t="s">
        <v>72</v>
      </c>
      <c r="AO58" s="160" t="s">
        <v>72</v>
      </c>
      <c r="AQ58" s="46"/>
      <c r="AR58" s="47"/>
      <c r="AS58" s="47"/>
      <c r="AT58" s="47"/>
      <c r="AU58" s="132"/>
      <c r="AW58" s="52"/>
      <c r="AX58" s="15"/>
      <c r="AZ58" s="67" t="s">
        <v>72</v>
      </c>
      <c r="BA58" s="78" t="s">
        <v>72</v>
      </c>
      <c r="BB58" s="79" t="b">
        <v>0</v>
      </c>
      <c r="BC58" s="6"/>
      <c r="BD58" s="11"/>
      <c r="BE58" s="82"/>
      <c r="BG58" s="52"/>
      <c r="BH58" s="15"/>
      <c r="BJ58" s="139" t="s">
        <v>72</v>
      </c>
      <c r="BK58" s="163" t="s">
        <v>72</v>
      </c>
      <c r="BM58" s="52"/>
      <c r="BN58" s="15"/>
      <c r="BP58" s="139" t="s">
        <v>72</v>
      </c>
      <c r="BQ58" s="163" t="s">
        <v>72</v>
      </c>
      <c r="BS58" s="52"/>
      <c r="BT58" s="15"/>
      <c r="BV58" s="139" t="s">
        <v>72</v>
      </c>
      <c r="BW58" s="163" t="s">
        <v>72</v>
      </c>
      <c r="BY58" s="11"/>
      <c r="BZ58" s="82"/>
      <c r="CB58" s="52"/>
      <c r="CC58" s="82"/>
      <c r="CE58" s="52"/>
      <c r="CF58" s="82"/>
      <c r="CH58" s="52"/>
      <c r="CI58" s="82"/>
      <c r="CK58" s="52"/>
      <c r="CL58" s="82"/>
      <c r="CN58" s="139" t="s">
        <v>72</v>
      </c>
      <c r="CO58" s="163" t="s">
        <v>72</v>
      </c>
      <c r="CQ58" s="11"/>
      <c r="CR58" s="82"/>
      <c r="CT58" s="52"/>
      <c r="CU58" s="82"/>
      <c r="CW58" s="52"/>
      <c r="CX58" s="82"/>
      <c r="CZ58" s="52"/>
      <c r="DA58" s="82"/>
    </row>
    <row r="59" spans="2:105">
      <c r="B59" s="2" t="s">
        <v>241</v>
      </c>
      <c r="C59" s="9"/>
      <c r="L59" s="136"/>
      <c r="M59" s="139" t="s">
        <v>72</v>
      </c>
      <c r="N59" s="140" t="s">
        <v>72</v>
      </c>
      <c r="O59" s="83" t="s">
        <v>72</v>
      </c>
      <c r="P59" s="83" t="s">
        <v>72</v>
      </c>
      <c r="Q59" s="84" t="b">
        <v>0</v>
      </c>
      <c r="S59" s="89"/>
      <c r="T59" s="90"/>
      <c r="Y59" s="145" t="s">
        <v>72</v>
      </c>
      <c r="Z59" s="152" t="s">
        <v>72</v>
      </c>
      <c r="AE59" s="145" t="s">
        <v>72</v>
      </c>
      <c r="AF59" s="146" t="s">
        <v>72</v>
      </c>
      <c r="AH59" s="11"/>
      <c r="AI59" s="82"/>
      <c r="AK59" s="50" t="s">
        <v>72</v>
      </c>
      <c r="AL59" s="32" t="s">
        <v>72</v>
      </c>
      <c r="AN59" s="159" t="s">
        <v>72</v>
      </c>
      <c r="AO59" s="160" t="s">
        <v>72</v>
      </c>
      <c r="AQ59" s="46"/>
      <c r="AR59" s="47"/>
      <c r="AS59" s="47"/>
      <c r="AT59" s="47"/>
      <c r="AU59" s="132"/>
      <c r="AW59" s="52"/>
      <c r="AX59" s="15"/>
      <c r="AZ59" s="67" t="s">
        <v>72</v>
      </c>
      <c r="BA59" s="78" t="s">
        <v>72</v>
      </c>
      <c r="BB59" s="79" t="b">
        <v>0</v>
      </c>
      <c r="BC59" s="6"/>
      <c r="BD59" s="11"/>
      <c r="BE59" s="82"/>
      <c r="BG59" s="52"/>
      <c r="BH59" s="15"/>
      <c r="BJ59" s="139" t="s">
        <v>72</v>
      </c>
      <c r="BK59" s="163" t="s">
        <v>72</v>
      </c>
      <c r="BM59" s="52"/>
      <c r="BN59" s="15"/>
      <c r="BP59" s="139" t="s">
        <v>72</v>
      </c>
      <c r="BQ59" s="163" t="s">
        <v>72</v>
      </c>
      <c r="BS59" s="52"/>
      <c r="BT59" s="15"/>
      <c r="BV59" s="139" t="s">
        <v>72</v>
      </c>
      <c r="BW59" s="163" t="s">
        <v>72</v>
      </c>
      <c r="BY59" s="11"/>
      <c r="BZ59" s="82"/>
      <c r="CB59" s="52"/>
      <c r="CC59" s="82"/>
      <c r="CE59" s="52"/>
      <c r="CF59" s="82"/>
      <c r="CH59" s="52"/>
      <c r="CI59" s="82"/>
      <c r="CK59" s="52"/>
      <c r="CL59" s="82"/>
      <c r="CN59" s="139" t="s">
        <v>72</v>
      </c>
      <c r="CO59" s="163" t="s">
        <v>72</v>
      </c>
      <c r="CQ59" s="11"/>
      <c r="CR59" s="82"/>
      <c r="CT59" s="52"/>
      <c r="CU59" s="82"/>
      <c r="CW59" s="52"/>
      <c r="CX59" s="82"/>
      <c r="CZ59" s="52"/>
      <c r="DA59" s="82"/>
    </row>
    <row r="60" spans="2:105">
      <c r="B60" s="51" t="s">
        <v>165</v>
      </c>
      <c r="C60" s="105" t="s">
        <v>166</v>
      </c>
      <c r="D60" s="106"/>
      <c r="E60" s="107"/>
      <c r="L60" s="136"/>
      <c r="M60" s="139" t="s">
        <v>72</v>
      </c>
      <c r="N60" s="140" t="s">
        <v>72</v>
      </c>
      <c r="O60" s="83" t="s">
        <v>72</v>
      </c>
      <c r="P60" s="83" t="s">
        <v>72</v>
      </c>
      <c r="Q60" s="84" t="b">
        <v>0</v>
      </c>
      <c r="S60" s="89"/>
      <c r="T60" s="90"/>
      <c r="Y60" s="145" t="s">
        <v>72</v>
      </c>
      <c r="Z60" s="152" t="s">
        <v>72</v>
      </c>
      <c r="AE60" s="145" t="s">
        <v>72</v>
      </c>
      <c r="AF60" s="146" t="s">
        <v>72</v>
      </c>
      <c r="AH60" s="11"/>
      <c r="AI60" s="82"/>
      <c r="AK60" s="50" t="s">
        <v>72</v>
      </c>
      <c r="AL60" s="32" t="s">
        <v>72</v>
      </c>
      <c r="AN60" s="159" t="s">
        <v>72</v>
      </c>
      <c r="AO60" s="160" t="s">
        <v>72</v>
      </c>
      <c r="AQ60" s="46"/>
      <c r="AR60" s="47"/>
      <c r="AS60" s="47"/>
      <c r="AT60" s="47"/>
      <c r="AU60" s="132"/>
      <c r="AW60" s="52"/>
      <c r="AX60" s="15"/>
      <c r="AZ60" s="67" t="s">
        <v>72</v>
      </c>
      <c r="BA60" s="78" t="s">
        <v>72</v>
      </c>
      <c r="BB60" s="79" t="b">
        <v>0</v>
      </c>
      <c r="BC60" s="6"/>
      <c r="BD60" s="11"/>
      <c r="BE60" s="82"/>
      <c r="BG60" s="52"/>
      <c r="BH60" s="15"/>
      <c r="BJ60" s="139" t="s">
        <v>72</v>
      </c>
      <c r="BK60" s="163" t="s">
        <v>72</v>
      </c>
      <c r="BM60" s="52"/>
      <c r="BN60" s="15"/>
      <c r="BP60" s="139" t="s">
        <v>72</v>
      </c>
      <c r="BQ60" s="163" t="s">
        <v>72</v>
      </c>
      <c r="BS60" s="52"/>
      <c r="BT60" s="15"/>
      <c r="BV60" s="139" t="s">
        <v>72</v>
      </c>
      <c r="BW60" s="163" t="s">
        <v>72</v>
      </c>
      <c r="BY60" s="11"/>
      <c r="BZ60" s="82"/>
      <c r="CB60" s="52"/>
      <c r="CC60" s="82"/>
      <c r="CE60" s="52"/>
      <c r="CF60" s="82"/>
      <c r="CH60" s="52"/>
      <c r="CI60" s="82"/>
      <c r="CK60" s="52"/>
      <c r="CL60" s="82"/>
      <c r="CN60" s="139" t="s">
        <v>72</v>
      </c>
      <c r="CO60" s="163" t="s">
        <v>72</v>
      </c>
      <c r="CQ60" s="11"/>
      <c r="CR60" s="82"/>
      <c r="CT60" s="52"/>
      <c r="CU60" s="82"/>
      <c r="CW60" s="52"/>
      <c r="CX60" s="82"/>
      <c r="CZ60" s="52"/>
      <c r="DA60" s="82"/>
    </row>
    <row r="61" spans="2:105">
      <c r="B61" s="52" t="s">
        <v>53</v>
      </c>
      <c r="C61" s="108" t="s">
        <v>229</v>
      </c>
      <c r="D61" s="109"/>
      <c r="E61" s="110"/>
      <c r="L61" s="136"/>
      <c r="M61" s="139" t="s">
        <v>72</v>
      </c>
      <c r="N61" s="140" t="s">
        <v>72</v>
      </c>
      <c r="O61" s="83" t="s">
        <v>72</v>
      </c>
      <c r="P61" s="83" t="s">
        <v>72</v>
      </c>
      <c r="Q61" s="84" t="b">
        <v>0</v>
      </c>
      <c r="S61" s="89"/>
      <c r="T61" s="90"/>
      <c r="Y61" s="145" t="s">
        <v>72</v>
      </c>
      <c r="Z61" s="152" t="s">
        <v>72</v>
      </c>
      <c r="AE61" s="145" t="s">
        <v>72</v>
      </c>
      <c r="AF61" s="146" t="s">
        <v>72</v>
      </c>
      <c r="AH61" s="11"/>
      <c r="AI61" s="82"/>
      <c r="AK61" s="50" t="s">
        <v>72</v>
      </c>
      <c r="AL61" s="32" t="s">
        <v>72</v>
      </c>
      <c r="AN61" s="159" t="s">
        <v>72</v>
      </c>
      <c r="AO61" s="160" t="s">
        <v>72</v>
      </c>
      <c r="AQ61" s="46"/>
      <c r="AR61" s="47"/>
      <c r="AS61" s="47"/>
      <c r="AT61" s="47"/>
      <c r="AU61" s="132"/>
      <c r="AW61" s="52"/>
      <c r="AX61" s="15"/>
      <c r="AZ61" s="67" t="s">
        <v>72</v>
      </c>
      <c r="BA61" s="78" t="s">
        <v>72</v>
      </c>
      <c r="BB61" s="79" t="b">
        <v>0</v>
      </c>
      <c r="BC61" s="6"/>
      <c r="BD61" s="11"/>
      <c r="BE61" s="82"/>
      <c r="BG61" s="52"/>
      <c r="BH61" s="15"/>
      <c r="BJ61" s="139" t="s">
        <v>72</v>
      </c>
      <c r="BK61" s="163" t="s">
        <v>72</v>
      </c>
      <c r="BM61" s="52"/>
      <c r="BN61" s="15"/>
      <c r="BP61" s="139" t="s">
        <v>72</v>
      </c>
      <c r="BQ61" s="163" t="s">
        <v>72</v>
      </c>
      <c r="BS61" s="52"/>
      <c r="BT61" s="15"/>
      <c r="BV61" s="139" t="s">
        <v>72</v>
      </c>
      <c r="BW61" s="163" t="s">
        <v>72</v>
      </c>
      <c r="BY61" s="11"/>
      <c r="BZ61" s="82"/>
      <c r="CB61" s="52"/>
      <c r="CC61" s="82"/>
      <c r="CE61" s="52"/>
      <c r="CF61" s="82"/>
      <c r="CH61" s="52"/>
      <c r="CI61" s="82"/>
      <c r="CK61" s="52"/>
      <c r="CL61" s="82"/>
      <c r="CN61" s="139" t="s">
        <v>72</v>
      </c>
      <c r="CO61" s="163" t="s">
        <v>72</v>
      </c>
      <c r="CQ61" s="11"/>
      <c r="CR61" s="82"/>
      <c r="CT61" s="52"/>
      <c r="CU61" s="82"/>
      <c r="CW61" s="52"/>
      <c r="CX61" s="82"/>
      <c r="CZ61" s="52"/>
      <c r="DA61" s="82"/>
    </row>
    <row r="62" spans="2:105">
      <c r="B62" s="52" t="s">
        <v>167</v>
      </c>
      <c r="C62" s="111" t="s">
        <v>224</v>
      </c>
      <c r="D62" s="112"/>
      <c r="E62" s="113"/>
      <c r="L62" s="136"/>
      <c r="M62" s="139" t="s">
        <v>72</v>
      </c>
      <c r="N62" s="140" t="s">
        <v>72</v>
      </c>
      <c r="O62" s="83" t="s">
        <v>72</v>
      </c>
      <c r="P62" s="83" t="s">
        <v>72</v>
      </c>
      <c r="Q62" s="84" t="b">
        <v>0</v>
      </c>
      <c r="S62" s="89"/>
      <c r="T62" s="90"/>
      <c r="Y62" s="145" t="s">
        <v>72</v>
      </c>
      <c r="Z62" s="152" t="s">
        <v>72</v>
      </c>
      <c r="AE62" s="145" t="s">
        <v>72</v>
      </c>
      <c r="AF62" s="146" t="s">
        <v>72</v>
      </c>
      <c r="AH62" s="11"/>
      <c r="AI62" s="82"/>
      <c r="AK62" s="50" t="s">
        <v>72</v>
      </c>
      <c r="AL62" s="32" t="s">
        <v>72</v>
      </c>
      <c r="AN62" s="159" t="s">
        <v>72</v>
      </c>
      <c r="AO62" s="160" t="s">
        <v>72</v>
      </c>
      <c r="AQ62" s="46"/>
      <c r="AR62" s="47"/>
      <c r="AS62" s="47"/>
      <c r="AT62" s="47"/>
      <c r="AU62" s="132"/>
      <c r="AW62" s="52"/>
      <c r="AX62" s="15"/>
      <c r="AZ62" s="67" t="s">
        <v>72</v>
      </c>
      <c r="BA62" s="78" t="s">
        <v>72</v>
      </c>
      <c r="BB62" s="79" t="b">
        <v>0</v>
      </c>
      <c r="BC62" s="6"/>
      <c r="BD62" s="11"/>
      <c r="BE62" s="82"/>
      <c r="BG62" s="52"/>
      <c r="BH62" s="15"/>
      <c r="BJ62" s="139" t="s">
        <v>72</v>
      </c>
      <c r="BK62" s="163" t="s">
        <v>72</v>
      </c>
      <c r="BM62" s="52"/>
      <c r="BN62" s="15"/>
      <c r="BP62" s="139" t="s">
        <v>72</v>
      </c>
      <c r="BQ62" s="163" t="s">
        <v>72</v>
      </c>
      <c r="BS62" s="52"/>
      <c r="BT62" s="15"/>
      <c r="BV62" s="139" t="s">
        <v>72</v>
      </c>
      <c r="BW62" s="163" t="s">
        <v>72</v>
      </c>
      <c r="BY62" s="11"/>
      <c r="BZ62" s="82"/>
      <c r="CB62" s="52"/>
      <c r="CC62" s="82"/>
      <c r="CE62" s="52"/>
      <c r="CF62" s="82"/>
      <c r="CH62" s="52"/>
      <c r="CI62" s="82"/>
      <c r="CK62" s="52"/>
      <c r="CL62" s="82"/>
      <c r="CN62" s="139" t="s">
        <v>72</v>
      </c>
      <c r="CO62" s="163" t="s">
        <v>72</v>
      </c>
      <c r="CQ62" s="11"/>
      <c r="CR62" s="82"/>
      <c r="CT62" s="52"/>
      <c r="CU62" s="82"/>
      <c r="CW62" s="52"/>
      <c r="CX62" s="82"/>
      <c r="CZ62" s="52"/>
      <c r="DA62" s="82"/>
    </row>
    <row r="63" spans="2:105">
      <c r="B63" s="52" t="s">
        <v>168</v>
      </c>
      <c r="C63" s="111" t="s">
        <v>225</v>
      </c>
      <c r="D63" s="112"/>
      <c r="E63" s="113"/>
      <c r="L63" s="136"/>
      <c r="M63" s="139" t="s">
        <v>72</v>
      </c>
      <c r="N63" s="140" t="s">
        <v>72</v>
      </c>
      <c r="O63" s="83" t="s">
        <v>72</v>
      </c>
      <c r="P63" s="83" t="s">
        <v>72</v>
      </c>
      <c r="Q63" s="84" t="b">
        <v>0</v>
      </c>
      <c r="S63" s="89"/>
      <c r="T63" s="90"/>
      <c r="Y63" s="145" t="s">
        <v>72</v>
      </c>
      <c r="Z63" s="152" t="s">
        <v>72</v>
      </c>
      <c r="AE63" s="145" t="s">
        <v>72</v>
      </c>
      <c r="AF63" s="146" t="s">
        <v>72</v>
      </c>
      <c r="AH63" s="11"/>
      <c r="AI63" s="82"/>
      <c r="AK63" s="50" t="s">
        <v>72</v>
      </c>
      <c r="AL63" s="32" t="s">
        <v>72</v>
      </c>
      <c r="AN63" s="159" t="s">
        <v>72</v>
      </c>
      <c r="AO63" s="160" t="s">
        <v>72</v>
      </c>
      <c r="AQ63" s="46"/>
      <c r="AR63" s="47"/>
      <c r="AS63" s="47"/>
      <c r="AT63" s="47"/>
      <c r="AU63" s="132"/>
      <c r="AW63" s="52"/>
      <c r="AX63" s="15"/>
      <c r="AZ63" s="67" t="s">
        <v>72</v>
      </c>
      <c r="BA63" s="78" t="s">
        <v>72</v>
      </c>
      <c r="BB63" s="79" t="b">
        <v>0</v>
      </c>
      <c r="BC63" s="6"/>
      <c r="BD63" s="11"/>
      <c r="BE63" s="82"/>
      <c r="BG63" s="52"/>
      <c r="BH63" s="15"/>
      <c r="BJ63" s="139" t="s">
        <v>72</v>
      </c>
      <c r="BK63" s="163" t="s">
        <v>72</v>
      </c>
      <c r="BM63" s="52"/>
      <c r="BN63" s="15"/>
      <c r="BP63" s="139" t="s">
        <v>72</v>
      </c>
      <c r="BQ63" s="163" t="s">
        <v>72</v>
      </c>
      <c r="BS63" s="52"/>
      <c r="BT63" s="15"/>
      <c r="BV63" s="139" t="s">
        <v>72</v>
      </c>
      <c r="BW63" s="163" t="s">
        <v>72</v>
      </c>
      <c r="BY63" s="11"/>
      <c r="BZ63" s="82"/>
      <c r="CB63" s="52"/>
      <c r="CC63" s="82"/>
      <c r="CE63" s="52"/>
      <c r="CF63" s="82"/>
      <c r="CH63" s="52"/>
      <c r="CI63" s="82"/>
      <c r="CK63" s="52"/>
      <c r="CL63" s="82"/>
      <c r="CN63" s="139" t="s">
        <v>72</v>
      </c>
      <c r="CO63" s="163" t="s">
        <v>72</v>
      </c>
      <c r="CQ63" s="11"/>
      <c r="CR63" s="82"/>
      <c r="CT63" s="52"/>
      <c r="CU63" s="82"/>
      <c r="CW63" s="52"/>
      <c r="CX63" s="82"/>
      <c r="CZ63" s="52"/>
      <c r="DA63" s="82"/>
    </row>
    <row r="64" spans="2:105">
      <c r="B64" s="52" t="s">
        <v>218</v>
      </c>
      <c r="C64" s="111" t="s">
        <v>226</v>
      </c>
      <c r="D64" s="112"/>
      <c r="E64" s="113"/>
      <c r="L64" s="136"/>
      <c r="M64" s="139" t="s">
        <v>72</v>
      </c>
      <c r="N64" s="140" t="s">
        <v>72</v>
      </c>
      <c r="O64" s="83" t="s">
        <v>72</v>
      </c>
      <c r="P64" s="83" t="s">
        <v>72</v>
      </c>
      <c r="Q64" s="84" t="b">
        <v>0</v>
      </c>
      <c r="S64" s="89"/>
      <c r="T64" s="90"/>
      <c r="Y64" s="145" t="s">
        <v>72</v>
      </c>
      <c r="Z64" s="152" t="s">
        <v>72</v>
      </c>
      <c r="AE64" s="145" t="s">
        <v>72</v>
      </c>
      <c r="AF64" s="146" t="s">
        <v>72</v>
      </c>
      <c r="AH64" s="11"/>
      <c r="AI64" s="82"/>
      <c r="AK64" s="50" t="s">
        <v>72</v>
      </c>
      <c r="AL64" s="32" t="s">
        <v>72</v>
      </c>
      <c r="AN64" s="159" t="s">
        <v>72</v>
      </c>
      <c r="AO64" s="160" t="s">
        <v>72</v>
      </c>
      <c r="AQ64" s="46"/>
      <c r="AR64" s="47"/>
      <c r="AS64" s="47"/>
      <c r="AT64" s="47"/>
      <c r="AU64" s="132"/>
      <c r="AW64" s="52"/>
      <c r="AX64" s="15"/>
      <c r="AZ64" s="67" t="s">
        <v>72</v>
      </c>
      <c r="BA64" s="78" t="s">
        <v>72</v>
      </c>
      <c r="BB64" s="79" t="b">
        <v>0</v>
      </c>
      <c r="BC64" s="6"/>
      <c r="BD64" s="11"/>
      <c r="BE64" s="82"/>
      <c r="BG64" s="52"/>
      <c r="BH64" s="15"/>
      <c r="BJ64" s="139" t="s">
        <v>72</v>
      </c>
      <c r="BK64" s="163" t="s">
        <v>72</v>
      </c>
      <c r="BM64" s="52"/>
      <c r="BN64" s="15"/>
      <c r="BP64" s="139" t="s">
        <v>72</v>
      </c>
      <c r="BQ64" s="163" t="s">
        <v>72</v>
      </c>
      <c r="BS64" s="52"/>
      <c r="BT64" s="15"/>
      <c r="BV64" s="139" t="s">
        <v>72</v>
      </c>
      <c r="BW64" s="163" t="s">
        <v>72</v>
      </c>
      <c r="BY64" s="11"/>
      <c r="BZ64" s="82"/>
      <c r="CB64" s="52"/>
      <c r="CC64" s="82"/>
      <c r="CE64" s="52"/>
      <c r="CF64" s="82"/>
      <c r="CH64" s="52"/>
      <c r="CI64" s="82"/>
      <c r="CK64" s="52"/>
      <c r="CL64" s="82"/>
      <c r="CN64" s="139" t="s">
        <v>72</v>
      </c>
      <c r="CO64" s="163" t="s">
        <v>72</v>
      </c>
      <c r="CQ64" s="11"/>
      <c r="CR64" s="82"/>
      <c r="CT64" s="52"/>
      <c r="CU64" s="82"/>
      <c r="CW64" s="52"/>
      <c r="CX64" s="82"/>
      <c r="CZ64" s="52"/>
      <c r="DA64" s="82"/>
    </row>
    <row r="65" spans="1:105">
      <c r="B65" s="52" t="s">
        <v>169</v>
      </c>
      <c r="C65" s="111" t="s">
        <v>238</v>
      </c>
      <c r="D65" s="112"/>
      <c r="E65" s="113"/>
      <c r="L65" s="136"/>
      <c r="M65" s="139" t="s">
        <v>72</v>
      </c>
      <c r="N65" s="140" t="s">
        <v>72</v>
      </c>
      <c r="O65" s="83" t="s">
        <v>72</v>
      </c>
      <c r="P65" s="83" t="s">
        <v>72</v>
      </c>
      <c r="Q65" s="84" t="b">
        <v>0</v>
      </c>
      <c r="S65" s="89"/>
      <c r="T65" s="90"/>
      <c r="Y65" s="145" t="s">
        <v>72</v>
      </c>
      <c r="Z65" s="152" t="s">
        <v>72</v>
      </c>
      <c r="AE65" s="145" t="s">
        <v>72</v>
      </c>
      <c r="AF65" s="146" t="s">
        <v>72</v>
      </c>
      <c r="AH65" s="11"/>
      <c r="AI65" s="82"/>
      <c r="AK65" s="50" t="s">
        <v>72</v>
      </c>
      <c r="AL65" s="32" t="s">
        <v>72</v>
      </c>
      <c r="AN65" s="159" t="s">
        <v>72</v>
      </c>
      <c r="AO65" s="160" t="s">
        <v>72</v>
      </c>
      <c r="AQ65" s="46"/>
      <c r="AR65" s="47"/>
      <c r="AS65" s="47"/>
      <c r="AT65" s="47"/>
      <c r="AU65" s="132"/>
      <c r="AW65" s="52"/>
      <c r="AX65" s="15"/>
      <c r="AZ65" s="67" t="s">
        <v>72</v>
      </c>
      <c r="BA65" s="78" t="s">
        <v>72</v>
      </c>
      <c r="BB65" s="79" t="b">
        <v>0</v>
      </c>
      <c r="BC65" s="6"/>
      <c r="BD65" s="11"/>
      <c r="BE65" s="82"/>
      <c r="BG65" s="52"/>
      <c r="BH65" s="15"/>
      <c r="BJ65" s="139" t="s">
        <v>72</v>
      </c>
      <c r="BK65" s="163" t="s">
        <v>72</v>
      </c>
      <c r="BM65" s="52"/>
      <c r="BN65" s="15"/>
      <c r="BP65" s="139" t="s">
        <v>72</v>
      </c>
      <c r="BQ65" s="163" t="s">
        <v>72</v>
      </c>
      <c r="BS65" s="52"/>
      <c r="BT65" s="15"/>
      <c r="BV65" s="139" t="s">
        <v>72</v>
      </c>
      <c r="BW65" s="163" t="s">
        <v>72</v>
      </c>
      <c r="BY65" s="11"/>
      <c r="BZ65" s="82"/>
      <c r="CB65" s="52"/>
      <c r="CC65" s="82"/>
      <c r="CE65" s="52"/>
      <c r="CF65" s="82"/>
      <c r="CH65" s="52"/>
      <c r="CI65" s="82"/>
      <c r="CK65" s="52"/>
      <c r="CL65" s="82"/>
      <c r="CN65" s="139" t="s">
        <v>72</v>
      </c>
      <c r="CO65" s="163" t="s">
        <v>72</v>
      </c>
      <c r="CQ65" s="11"/>
      <c r="CR65" s="82"/>
      <c r="CT65" s="52"/>
      <c r="CU65" s="82"/>
      <c r="CW65" s="52"/>
      <c r="CX65" s="82"/>
      <c r="CZ65" s="52"/>
      <c r="DA65" s="82"/>
    </row>
    <row r="66" spans="1:105">
      <c r="B66" s="52" t="s">
        <v>170</v>
      </c>
      <c r="C66" s="111" t="s">
        <v>235</v>
      </c>
      <c r="D66" s="112"/>
      <c r="E66" s="113"/>
      <c r="L66" s="136"/>
      <c r="M66" s="139" t="s">
        <v>72</v>
      </c>
      <c r="N66" s="140" t="s">
        <v>72</v>
      </c>
      <c r="O66" s="83" t="s">
        <v>72</v>
      </c>
      <c r="P66" s="83" t="s">
        <v>72</v>
      </c>
      <c r="Q66" s="84" t="b">
        <v>0</v>
      </c>
      <c r="S66" s="89"/>
      <c r="T66" s="90"/>
      <c r="Y66" s="145" t="s">
        <v>72</v>
      </c>
      <c r="Z66" s="152" t="s">
        <v>72</v>
      </c>
      <c r="AE66" s="145" t="s">
        <v>72</v>
      </c>
      <c r="AF66" s="146" t="s">
        <v>72</v>
      </c>
      <c r="AH66" s="11"/>
      <c r="AI66" s="82"/>
      <c r="AK66" s="50" t="s">
        <v>72</v>
      </c>
      <c r="AL66" s="32" t="s">
        <v>72</v>
      </c>
      <c r="AN66" s="159" t="s">
        <v>72</v>
      </c>
      <c r="AO66" s="160" t="s">
        <v>72</v>
      </c>
      <c r="AQ66" s="46"/>
      <c r="AR66" s="47"/>
      <c r="AS66" s="47"/>
      <c r="AT66" s="47"/>
      <c r="AU66" s="132"/>
      <c r="AW66" s="52"/>
      <c r="AX66" s="15"/>
      <c r="AZ66" s="67" t="s">
        <v>72</v>
      </c>
      <c r="BA66" s="78" t="s">
        <v>72</v>
      </c>
      <c r="BB66" s="79" t="b">
        <v>0</v>
      </c>
      <c r="BC66" s="6"/>
      <c r="BD66" s="11"/>
      <c r="BE66" s="82"/>
      <c r="BG66" s="52"/>
      <c r="BH66" s="15"/>
      <c r="BJ66" s="139" t="s">
        <v>72</v>
      </c>
      <c r="BK66" s="163" t="s">
        <v>72</v>
      </c>
      <c r="BM66" s="52"/>
      <c r="BN66" s="15"/>
      <c r="BP66" s="139" t="s">
        <v>72</v>
      </c>
      <c r="BQ66" s="163" t="s">
        <v>72</v>
      </c>
      <c r="BS66" s="52"/>
      <c r="BT66" s="15"/>
      <c r="BV66" s="139" t="s">
        <v>72</v>
      </c>
      <c r="BW66" s="163" t="s">
        <v>72</v>
      </c>
      <c r="BY66" s="11"/>
      <c r="BZ66" s="82"/>
      <c r="CB66" s="52"/>
      <c r="CC66" s="82"/>
      <c r="CE66" s="52"/>
      <c r="CF66" s="82"/>
      <c r="CH66" s="52"/>
      <c r="CI66" s="82"/>
      <c r="CK66" s="52"/>
      <c r="CL66" s="82"/>
      <c r="CN66" s="139" t="s">
        <v>72</v>
      </c>
      <c r="CO66" s="163" t="s">
        <v>72</v>
      </c>
      <c r="CQ66" s="11"/>
      <c r="CR66" s="82"/>
      <c r="CT66" s="52"/>
      <c r="CU66" s="82"/>
      <c r="CW66" s="52"/>
      <c r="CX66" s="82"/>
      <c r="CZ66" s="52"/>
      <c r="DA66" s="82"/>
    </row>
    <row r="67" spans="1:105">
      <c r="B67" s="58"/>
      <c r="C67" s="114"/>
      <c r="D67" s="115"/>
      <c r="E67" s="116"/>
      <c r="L67" s="136"/>
      <c r="M67" s="139" t="s">
        <v>72</v>
      </c>
      <c r="N67" s="140" t="s">
        <v>72</v>
      </c>
      <c r="O67" s="83" t="s">
        <v>72</v>
      </c>
      <c r="P67" s="83" t="s">
        <v>72</v>
      </c>
      <c r="Q67" s="84" t="b">
        <v>0</v>
      </c>
      <c r="S67" s="89"/>
      <c r="T67" s="90"/>
      <c r="Y67" s="145" t="s">
        <v>72</v>
      </c>
      <c r="Z67" s="152" t="s">
        <v>72</v>
      </c>
      <c r="AE67" s="145" t="s">
        <v>72</v>
      </c>
      <c r="AF67" s="146" t="s">
        <v>72</v>
      </c>
      <c r="AH67" s="11"/>
      <c r="AI67" s="82"/>
      <c r="AK67" s="50" t="s">
        <v>72</v>
      </c>
      <c r="AL67" s="32" t="s">
        <v>72</v>
      </c>
      <c r="AN67" s="159" t="s">
        <v>72</v>
      </c>
      <c r="AO67" s="160" t="s">
        <v>72</v>
      </c>
      <c r="AQ67" s="46"/>
      <c r="AR67" s="47"/>
      <c r="AS67" s="47"/>
      <c r="AT67" s="47"/>
      <c r="AU67" s="132"/>
      <c r="AW67" s="52"/>
      <c r="AX67" s="15"/>
      <c r="AZ67" s="67" t="s">
        <v>72</v>
      </c>
      <c r="BA67" s="78" t="s">
        <v>72</v>
      </c>
      <c r="BB67" s="79" t="b">
        <v>0</v>
      </c>
      <c r="BC67" s="6"/>
      <c r="BD67" s="11"/>
      <c r="BE67" s="82"/>
      <c r="BG67" s="52"/>
      <c r="BH67" s="15"/>
      <c r="BJ67" s="139" t="s">
        <v>72</v>
      </c>
      <c r="BK67" s="163" t="s">
        <v>72</v>
      </c>
      <c r="BM67" s="52"/>
      <c r="BN67" s="15"/>
      <c r="BP67" s="139" t="s">
        <v>72</v>
      </c>
      <c r="BQ67" s="163" t="s">
        <v>72</v>
      </c>
      <c r="BS67" s="52"/>
      <c r="BT67" s="15"/>
      <c r="BV67" s="139" t="s">
        <v>72</v>
      </c>
      <c r="BW67" s="163" t="s">
        <v>72</v>
      </c>
      <c r="BY67" s="11"/>
      <c r="BZ67" s="82"/>
      <c r="CB67" s="52"/>
      <c r="CC67" s="82"/>
      <c r="CE67" s="52"/>
      <c r="CF67" s="82"/>
      <c r="CH67" s="52"/>
      <c r="CI67" s="82"/>
      <c r="CK67" s="52"/>
      <c r="CL67" s="82"/>
      <c r="CN67" s="139" t="s">
        <v>72</v>
      </c>
      <c r="CO67" s="163" t="s">
        <v>72</v>
      </c>
      <c r="CQ67" s="11"/>
      <c r="CR67" s="82"/>
      <c r="CT67" s="52"/>
      <c r="CU67" s="82"/>
      <c r="CW67" s="52"/>
      <c r="CX67" s="82"/>
      <c r="CZ67" s="52"/>
      <c r="DA67" s="82"/>
    </row>
    <row r="68" spans="1:105">
      <c r="L68" s="136"/>
      <c r="M68" s="139" t="s">
        <v>72</v>
      </c>
      <c r="N68" s="140" t="s">
        <v>72</v>
      </c>
      <c r="O68" s="83" t="s">
        <v>72</v>
      </c>
      <c r="P68" s="83" t="s">
        <v>72</v>
      </c>
      <c r="Q68" s="84" t="b">
        <v>0</v>
      </c>
      <c r="S68" s="89"/>
      <c r="T68" s="90"/>
      <c r="Y68" s="145" t="s">
        <v>72</v>
      </c>
      <c r="Z68" s="152" t="s">
        <v>72</v>
      </c>
      <c r="AE68" s="145" t="s">
        <v>72</v>
      </c>
      <c r="AF68" s="146" t="s">
        <v>72</v>
      </c>
      <c r="AH68" s="11"/>
      <c r="AI68" s="82"/>
      <c r="AK68" s="50" t="s">
        <v>72</v>
      </c>
      <c r="AL68" s="32" t="s">
        <v>72</v>
      </c>
      <c r="AN68" s="159" t="s">
        <v>72</v>
      </c>
      <c r="AO68" s="160" t="s">
        <v>72</v>
      </c>
      <c r="AQ68" s="46"/>
      <c r="AR68" s="47"/>
      <c r="AS68" s="47"/>
      <c r="AT68" s="47"/>
      <c r="AU68" s="132"/>
      <c r="AW68" s="52"/>
      <c r="AX68" s="15"/>
      <c r="AZ68" s="67" t="s">
        <v>72</v>
      </c>
      <c r="BA68" s="78" t="s">
        <v>72</v>
      </c>
      <c r="BB68" s="79" t="b">
        <v>0</v>
      </c>
      <c r="BC68" s="6"/>
      <c r="BD68" s="11"/>
      <c r="BE68" s="82"/>
      <c r="BG68" s="52"/>
      <c r="BH68" s="15"/>
      <c r="BJ68" s="139" t="s">
        <v>72</v>
      </c>
      <c r="BK68" s="163" t="s">
        <v>72</v>
      </c>
      <c r="BM68" s="52"/>
      <c r="BN68" s="15"/>
      <c r="BP68" s="139" t="s">
        <v>72</v>
      </c>
      <c r="BQ68" s="163" t="s">
        <v>72</v>
      </c>
      <c r="BS68" s="52"/>
      <c r="BT68" s="15"/>
      <c r="BV68" s="139" t="s">
        <v>72</v>
      </c>
      <c r="BW68" s="163" t="s">
        <v>72</v>
      </c>
      <c r="BY68" s="11"/>
      <c r="BZ68" s="82"/>
      <c r="CB68" s="52"/>
      <c r="CC68" s="82"/>
      <c r="CE68" s="52"/>
      <c r="CF68" s="82"/>
      <c r="CH68" s="52"/>
      <c r="CI68" s="82"/>
      <c r="CK68" s="52"/>
      <c r="CL68" s="82"/>
      <c r="CN68" s="139" t="s">
        <v>72</v>
      </c>
      <c r="CO68" s="163" t="s">
        <v>72</v>
      </c>
      <c r="CQ68" s="11"/>
      <c r="CR68" s="82"/>
      <c r="CT68" s="52"/>
      <c r="CU68" s="82"/>
      <c r="CW68" s="52"/>
      <c r="CX68" s="82"/>
      <c r="CZ68" s="52"/>
      <c r="DA68" s="82"/>
    </row>
    <row r="69" spans="1:105">
      <c r="L69" s="136"/>
      <c r="M69" s="139" t="s">
        <v>72</v>
      </c>
      <c r="N69" s="140" t="s">
        <v>72</v>
      </c>
      <c r="O69" s="83" t="s">
        <v>72</v>
      </c>
      <c r="P69" s="83" t="s">
        <v>72</v>
      </c>
      <c r="Q69" s="84" t="b">
        <v>0</v>
      </c>
      <c r="S69" s="89"/>
      <c r="T69" s="90"/>
      <c r="Y69" s="145" t="s">
        <v>72</v>
      </c>
      <c r="Z69" s="152" t="s">
        <v>72</v>
      </c>
      <c r="AE69" s="145" t="s">
        <v>72</v>
      </c>
      <c r="AF69" s="146" t="s">
        <v>72</v>
      </c>
      <c r="AH69" s="11"/>
      <c r="AI69" s="82"/>
      <c r="AK69" s="50" t="s">
        <v>72</v>
      </c>
      <c r="AL69" s="32" t="s">
        <v>72</v>
      </c>
      <c r="AN69" s="159" t="s">
        <v>72</v>
      </c>
      <c r="AO69" s="160" t="s">
        <v>72</v>
      </c>
      <c r="AQ69" s="46"/>
      <c r="AR69" s="47"/>
      <c r="AS69" s="47"/>
      <c r="AT69" s="47"/>
      <c r="AU69" s="132"/>
      <c r="AW69" s="52"/>
      <c r="AX69" s="15"/>
      <c r="AZ69" s="67" t="s">
        <v>72</v>
      </c>
      <c r="BA69" s="78" t="s">
        <v>72</v>
      </c>
      <c r="BB69" s="79" t="b">
        <v>0</v>
      </c>
      <c r="BC69" s="6"/>
      <c r="BD69" s="11"/>
      <c r="BE69" s="82"/>
      <c r="BG69" s="52"/>
      <c r="BH69" s="15"/>
      <c r="BJ69" s="139" t="s">
        <v>72</v>
      </c>
      <c r="BK69" s="163" t="s">
        <v>72</v>
      </c>
      <c r="BM69" s="52"/>
      <c r="BN69" s="15"/>
      <c r="BP69" s="139" t="s">
        <v>72</v>
      </c>
      <c r="BQ69" s="163" t="s">
        <v>72</v>
      </c>
      <c r="BS69" s="52"/>
      <c r="BT69" s="15"/>
      <c r="BV69" s="139" t="s">
        <v>72</v>
      </c>
      <c r="BW69" s="163" t="s">
        <v>72</v>
      </c>
      <c r="BY69" s="11"/>
      <c r="BZ69" s="82"/>
      <c r="CB69" s="52"/>
      <c r="CC69" s="82"/>
      <c r="CE69" s="52"/>
      <c r="CF69" s="82"/>
      <c r="CH69" s="52"/>
      <c r="CI69" s="82"/>
      <c r="CK69" s="52"/>
      <c r="CL69" s="82"/>
      <c r="CN69" s="139" t="s">
        <v>72</v>
      </c>
      <c r="CO69" s="163" t="s">
        <v>72</v>
      </c>
      <c r="CQ69" s="11"/>
      <c r="CR69" s="82"/>
      <c r="CT69" s="52"/>
      <c r="CU69" s="82"/>
      <c r="CW69" s="52"/>
      <c r="CX69" s="82"/>
      <c r="CZ69" s="52"/>
      <c r="DA69" s="82"/>
    </row>
    <row r="70" spans="1:105">
      <c r="L70" s="136"/>
      <c r="M70" s="139" t="s">
        <v>72</v>
      </c>
      <c r="N70" s="140" t="s">
        <v>72</v>
      </c>
      <c r="O70" s="83" t="s">
        <v>72</v>
      </c>
      <c r="P70" s="83" t="s">
        <v>72</v>
      </c>
      <c r="Q70" s="84" t="b">
        <v>0</v>
      </c>
      <c r="S70" s="89"/>
      <c r="T70" s="90"/>
      <c r="Y70" s="145" t="s">
        <v>72</v>
      </c>
      <c r="Z70" s="152" t="s">
        <v>72</v>
      </c>
      <c r="AE70" s="145" t="s">
        <v>72</v>
      </c>
      <c r="AF70" s="146" t="s">
        <v>72</v>
      </c>
      <c r="AH70" s="11"/>
      <c r="AI70" s="82"/>
      <c r="AK70" s="50" t="s">
        <v>72</v>
      </c>
      <c r="AL70" s="32" t="s">
        <v>72</v>
      </c>
      <c r="AN70" s="159" t="s">
        <v>72</v>
      </c>
      <c r="AO70" s="160" t="s">
        <v>72</v>
      </c>
      <c r="AQ70" s="46"/>
      <c r="AR70" s="47"/>
      <c r="AS70" s="47"/>
      <c r="AT70" s="47"/>
      <c r="AU70" s="132"/>
      <c r="AW70" s="52"/>
      <c r="AX70" s="15"/>
      <c r="AZ70" s="67" t="s">
        <v>72</v>
      </c>
      <c r="BA70" s="78" t="s">
        <v>72</v>
      </c>
      <c r="BB70" s="79" t="b">
        <v>0</v>
      </c>
      <c r="BC70" s="6"/>
      <c r="BD70" s="11"/>
      <c r="BE70" s="82"/>
      <c r="BG70" s="52"/>
      <c r="BH70" s="15"/>
      <c r="BJ70" s="139" t="s">
        <v>72</v>
      </c>
      <c r="BK70" s="163" t="s">
        <v>72</v>
      </c>
      <c r="BM70" s="52"/>
      <c r="BN70" s="15"/>
      <c r="BP70" s="139" t="s">
        <v>72</v>
      </c>
      <c r="BQ70" s="163" t="s">
        <v>72</v>
      </c>
      <c r="BS70" s="52"/>
      <c r="BT70" s="15"/>
      <c r="BV70" s="139" t="s">
        <v>72</v>
      </c>
      <c r="BW70" s="163" t="s">
        <v>72</v>
      </c>
      <c r="BY70" s="11"/>
      <c r="BZ70" s="82"/>
      <c r="CB70" s="52"/>
      <c r="CC70" s="82"/>
      <c r="CE70" s="52"/>
      <c r="CF70" s="82"/>
      <c r="CH70" s="52"/>
      <c r="CI70" s="82"/>
      <c r="CK70" s="52"/>
      <c r="CL70" s="82"/>
      <c r="CN70" s="139" t="s">
        <v>72</v>
      </c>
      <c r="CO70" s="163" t="s">
        <v>72</v>
      </c>
      <c r="CQ70" s="11"/>
      <c r="CR70" s="82"/>
      <c r="CT70" s="52"/>
      <c r="CU70" s="82"/>
      <c r="CW70" s="52"/>
      <c r="CX70" s="82"/>
      <c r="CZ70" s="52"/>
      <c r="DA70" s="82"/>
    </row>
    <row r="71" spans="1:105">
      <c r="L71" s="136"/>
      <c r="M71" s="139" t="s">
        <v>72</v>
      </c>
      <c r="N71" s="140" t="s">
        <v>72</v>
      </c>
      <c r="O71" s="83" t="s">
        <v>72</v>
      </c>
      <c r="P71" s="83" t="s">
        <v>72</v>
      </c>
      <c r="Q71" s="84" t="b">
        <v>0</v>
      </c>
      <c r="S71" s="89"/>
      <c r="T71" s="90"/>
      <c r="Y71" s="145" t="s">
        <v>72</v>
      </c>
      <c r="Z71" s="152" t="s">
        <v>72</v>
      </c>
      <c r="AE71" s="145" t="s">
        <v>72</v>
      </c>
      <c r="AF71" s="146" t="s">
        <v>72</v>
      </c>
      <c r="AH71" s="11"/>
      <c r="AI71" s="82"/>
      <c r="AK71" s="50" t="s">
        <v>72</v>
      </c>
      <c r="AL71" s="32" t="s">
        <v>72</v>
      </c>
      <c r="AN71" s="159" t="s">
        <v>72</v>
      </c>
      <c r="AO71" s="160" t="s">
        <v>72</v>
      </c>
      <c r="AQ71" s="46"/>
      <c r="AR71" s="47"/>
      <c r="AS71" s="47"/>
      <c r="AT71" s="47"/>
      <c r="AU71" s="132"/>
      <c r="AW71" s="52"/>
      <c r="AX71" s="15"/>
      <c r="AZ71" s="67" t="s">
        <v>72</v>
      </c>
      <c r="BA71" s="78" t="s">
        <v>72</v>
      </c>
      <c r="BB71" s="79" t="b">
        <v>0</v>
      </c>
      <c r="BC71" s="6"/>
      <c r="BD71" s="11"/>
      <c r="BE71" s="82"/>
      <c r="BG71" s="52"/>
      <c r="BH71" s="15"/>
      <c r="BJ71" s="139" t="s">
        <v>72</v>
      </c>
      <c r="BK71" s="163" t="s">
        <v>72</v>
      </c>
      <c r="BM71" s="52"/>
      <c r="BN71" s="15"/>
      <c r="BP71" s="139" t="s">
        <v>72</v>
      </c>
      <c r="BQ71" s="163" t="s">
        <v>72</v>
      </c>
      <c r="BS71" s="52"/>
      <c r="BT71" s="15"/>
      <c r="BV71" s="139" t="s">
        <v>72</v>
      </c>
      <c r="BW71" s="163" t="s">
        <v>72</v>
      </c>
      <c r="BY71" s="11"/>
      <c r="BZ71" s="82"/>
      <c r="CB71" s="52"/>
      <c r="CC71" s="82"/>
      <c r="CE71" s="52"/>
      <c r="CF71" s="82"/>
      <c r="CH71" s="52"/>
      <c r="CI71" s="82"/>
      <c r="CK71" s="52"/>
      <c r="CL71" s="82"/>
      <c r="CN71" s="139" t="s">
        <v>72</v>
      </c>
      <c r="CO71" s="163" t="s">
        <v>72</v>
      </c>
      <c r="CQ71" s="11"/>
      <c r="CR71" s="82"/>
      <c r="CT71" s="52"/>
      <c r="CU71" s="82"/>
      <c r="CW71" s="52"/>
      <c r="CX71" s="82"/>
      <c r="CZ71" s="52"/>
      <c r="DA71" s="82"/>
    </row>
    <row r="72" spans="1:105">
      <c r="L72" s="136"/>
      <c r="M72" s="139" t="s">
        <v>72</v>
      </c>
      <c r="N72" s="140" t="s">
        <v>72</v>
      </c>
      <c r="O72" s="83" t="s">
        <v>72</v>
      </c>
      <c r="P72" s="83" t="s">
        <v>72</v>
      </c>
      <c r="Q72" s="84" t="b">
        <v>0</v>
      </c>
      <c r="S72" s="89"/>
      <c r="T72" s="90"/>
      <c r="Y72" s="145" t="s">
        <v>72</v>
      </c>
      <c r="Z72" s="152" t="s">
        <v>72</v>
      </c>
      <c r="AE72" s="145" t="s">
        <v>72</v>
      </c>
      <c r="AF72" s="146" t="s">
        <v>72</v>
      </c>
      <c r="AH72" s="11"/>
      <c r="AI72" s="82"/>
      <c r="AK72" s="50" t="s">
        <v>72</v>
      </c>
      <c r="AL72" s="32" t="s">
        <v>72</v>
      </c>
      <c r="AN72" s="159" t="s">
        <v>72</v>
      </c>
      <c r="AO72" s="160" t="s">
        <v>72</v>
      </c>
      <c r="AQ72" s="46"/>
      <c r="AR72" s="47"/>
      <c r="AS72" s="47"/>
      <c r="AT72" s="47"/>
      <c r="AU72" s="132"/>
      <c r="AW72" s="52"/>
      <c r="AX72" s="15"/>
      <c r="AZ72" s="67" t="s">
        <v>72</v>
      </c>
      <c r="BA72" s="78" t="s">
        <v>72</v>
      </c>
      <c r="BB72" s="79" t="b">
        <v>0</v>
      </c>
      <c r="BC72" s="6"/>
      <c r="BD72" s="11"/>
      <c r="BE72" s="82"/>
      <c r="BG72" s="52"/>
      <c r="BH72" s="15"/>
      <c r="BJ72" s="139" t="s">
        <v>72</v>
      </c>
      <c r="BK72" s="163" t="s">
        <v>72</v>
      </c>
      <c r="BM72" s="52"/>
      <c r="BN72" s="15"/>
      <c r="BP72" s="139" t="s">
        <v>72</v>
      </c>
      <c r="BQ72" s="163" t="s">
        <v>72</v>
      </c>
      <c r="BS72" s="52"/>
      <c r="BT72" s="15"/>
      <c r="BV72" s="139" t="s">
        <v>72</v>
      </c>
      <c r="BW72" s="163" t="s">
        <v>72</v>
      </c>
      <c r="BY72" s="11"/>
      <c r="BZ72" s="82"/>
      <c r="CB72" s="52"/>
      <c r="CC72" s="82"/>
      <c r="CE72" s="52"/>
      <c r="CF72" s="82"/>
      <c r="CH72" s="52"/>
      <c r="CI72" s="82"/>
      <c r="CK72" s="52"/>
      <c r="CL72" s="82"/>
      <c r="CN72" s="139" t="s">
        <v>72</v>
      </c>
      <c r="CO72" s="163" t="s">
        <v>72</v>
      </c>
      <c r="CQ72" s="11"/>
      <c r="CR72" s="82"/>
      <c r="CT72" s="52"/>
      <c r="CU72" s="82"/>
      <c r="CW72" s="52"/>
      <c r="CX72" s="82"/>
      <c r="CZ72" s="52"/>
      <c r="DA72" s="82"/>
    </row>
    <row r="73" spans="1:105">
      <c r="F73" t="s">
        <v>10</v>
      </c>
      <c r="L73" s="136"/>
      <c r="M73" s="139" t="s">
        <v>72</v>
      </c>
      <c r="N73" s="140" t="s">
        <v>72</v>
      </c>
      <c r="O73" s="83" t="s">
        <v>72</v>
      </c>
      <c r="P73" s="83" t="s">
        <v>72</v>
      </c>
      <c r="Q73" s="84" t="b">
        <v>0</v>
      </c>
      <c r="S73" s="89"/>
      <c r="T73" s="90"/>
      <c r="Y73" s="145" t="s">
        <v>72</v>
      </c>
      <c r="Z73" s="152" t="s">
        <v>72</v>
      </c>
      <c r="AE73" s="145" t="s">
        <v>72</v>
      </c>
      <c r="AF73" s="146" t="s">
        <v>72</v>
      </c>
      <c r="AH73" s="11"/>
      <c r="AI73" s="82"/>
      <c r="AK73" s="50" t="s">
        <v>72</v>
      </c>
      <c r="AL73" s="32" t="s">
        <v>72</v>
      </c>
      <c r="AN73" s="159" t="s">
        <v>72</v>
      </c>
      <c r="AO73" s="160" t="s">
        <v>72</v>
      </c>
      <c r="AQ73" s="46"/>
      <c r="AR73" s="47"/>
      <c r="AS73" s="47"/>
      <c r="AT73" s="47"/>
      <c r="AU73" s="132" t="s">
        <v>72</v>
      </c>
      <c r="AW73" s="52"/>
      <c r="AX73" s="15"/>
      <c r="AZ73" s="67" t="s">
        <v>72</v>
      </c>
      <c r="BA73" s="78" t="s">
        <v>72</v>
      </c>
      <c r="BB73" s="79" t="b">
        <v>0</v>
      </c>
      <c r="BC73" s="6"/>
      <c r="BD73" s="11"/>
      <c r="BE73" s="82"/>
      <c r="BG73" s="52"/>
      <c r="BH73" s="15"/>
      <c r="BJ73" s="139" t="s">
        <v>72</v>
      </c>
      <c r="BK73" s="163" t="s">
        <v>72</v>
      </c>
      <c r="BM73" s="52"/>
      <c r="BN73" s="15"/>
      <c r="BP73" s="139" t="s">
        <v>72</v>
      </c>
      <c r="BQ73" s="163" t="s">
        <v>72</v>
      </c>
      <c r="BS73" s="52"/>
      <c r="BT73" s="15"/>
      <c r="BV73" s="139" t="s">
        <v>72</v>
      </c>
      <c r="BW73" s="163" t="s">
        <v>72</v>
      </c>
      <c r="BY73" s="11"/>
      <c r="BZ73" s="82"/>
      <c r="CB73" s="52"/>
      <c r="CC73" s="82"/>
      <c r="CE73" s="52"/>
      <c r="CF73" s="82"/>
      <c r="CH73" s="52"/>
      <c r="CI73" s="82"/>
      <c r="CK73" s="52"/>
      <c r="CL73" s="82"/>
      <c r="CN73" s="139" t="s">
        <v>72</v>
      </c>
      <c r="CO73" s="163" t="s">
        <v>72</v>
      </c>
      <c r="CQ73" s="11"/>
      <c r="CR73" s="82"/>
      <c r="CT73" s="52"/>
      <c r="CU73" s="82"/>
      <c r="CW73" s="52"/>
      <c r="CX73" s="82"/>
      <c r="CZ73" s="52"/>
      <c r="DA73" s="82"/>
    </row>
    <row r="74" spans="1:105">
      <c r="F74" t="s">
        <v>10</v>
      </c>
      <c r="L74" s="136"/>
      <c r="M74" s="139" t="s">
        <v>72</v>
      </c>
      <c r="N74" s="140" t="s">
        <v>72</v>
      </c>
      <c r="O74" s="83" t="s">
        <v>72</v>
      </c>
      <c r="P74" s="83" t="s">
        <v>72</v>
      </c>
      <c r="Q74" s="84" t="b">
        <v>0</v>
      </c>
      <c r="S74" s="89"/>
      <c r="T74" s="90"/>
      <c r="Y74" s="145" t="s">
        <v>72</v>
      </c>
      <c r="Z74" s="152" t="s">
        <v>72</v>
      </c>
      <c r="AE74" s="145" t="s">
        <v>72</v>
      </c>
      <c r="AF74" s="146" t="s">
        <v>72</v>
      </c>
      <c r="AH74" s="11"/>
      <c r="AI74" s="82"/>
      <c r="AK74" s="50" t="s">
        <v>72</v>
      </c>
      <c r="AL74" s="32" t="s">
        <v>72</v>
      </c>
      <c r="AN74" s="159" t="s">
        <v>72</v>
      </c>
      <c r="AO74" s="160" t="s">
        <v>72</v>
      </c>
      <c r="AQ74" s="46"/>
      <c r="AR74" s="47"/>
      <c r="AS74" s="47"/>
      <c r="AT74" s="47"/>
      <c r="AU74" s="132" t="s">
        <v>72</v>
      </c>
      <c r="AW74" s="52"/>
      <c r="AX74" s="15"/>
      <c r="AZ74" s="67" t="s">
        <v>72</v>
      </c>
      <c r="BA74" s="78" t="s">
        <v>72</v>
      </c>
      <c r="BB74" s="79" t="b">
        <v>0</v>
      </c>
      <c r="BC74" s="6"/>
      <c r="BD74" s="11"/>
      <c r="BE74" s="82"/>
      <c r="BG74" s="52"/>
      <c r="BH74" s="15"/>
      <c r="BJ74" s="139" t="s">
        <v>72</v>
      </c>
      <c r="BK74" s="163" t="s">
        <v>72</v>
      </c>
      <c r="BM74" s="52"/>
      <c r="BN74" s="15"/>
      <c r="BP74" s="139" t="s">
        <v>72</v>
      </c>
      <c r="BQ74" s="163" t="s">
        <v>72</v>
      </c>
      <c r="BS74" s="52"/>
      <c r="BT74" s="15"/>
      <c r="BV74" s="139" t="s">
        <v>72</v>
      </c>
      <c r="BW74" s="163" t="s">
        <v>72</v>
      </c>
      <c r="BY74" s="11"/>
      <c r="BZ74" s="82"/>
      <c r="CB74" s="52"/>
      <c r="CC74" s="82"/>
      <c r="CE74" s="52"/>
      <c r="CF74" s="82"/>
      <c r="CH74" s="52"/>
      <c r="CI74" s="82"/>
      <c r="CK74" s="52"/>
      <c r="CL74" s="82"/>
      <c r="CN74" s="139" t="s">
        <v>72</v>
      </c>
      <c r="CO74" s="163" t="s">
        <v>72</v>
      </c>
      <c r="CQ74" s="11"/>
      <c r="CR74" s="82"/>
      <c r="CT74" s="52"/>
      <c r="CU74" s="82"/>
      <c r="CW74" s="52"/>
      <c r="CX74" s="82"/>
      <c r="CZ74" s="52"/>
      <c r="DA74" s="82"/>
    </row>
    <row r="75" spans="1:105">
      <c r="F75" t="s">
        <v>10</v>
      </c>
      <c r="L75" s="136"/>
      <c r="M75" s="139" t="s">
        <v>72</v>
      </c>
      <c r="N75" s="140" t="s">
        <v>72</v>
      </c>
      <c r="O75" s="83" t="s">
        <v>72</v>
      </c>
      <c r="P75" s="83" t="s">
        <v>72</v>
      </c>
      <c r="Q75" s="84" t="b">
        <v>0</v>
      </c>
      <c r="S75" s="89"/>
      <c r="T75" s="90"/>
      <c r="Y75" s="145" t="s">
        <v>72</v>
      </c>
      <c r="Z75" s="152" t="s">
        <v>72</v>
      </c>
      <c r="AE75" s="145" t="s">
        <v>72</v>
      </c>
      <c r="AF75" s="146" t="s">
        <v>72</v>
      </c>
      <c r="AH75" s="11"/>
      <c r="AI75" s="82"/>
      <c r="AK75" s="50" t="s">
        <v>72</v>
      </c>
      <c r="AL75" s="32" t="s">
        <v>72</v>
      </c>
      <c r="AN75" s="159" t="s">
        <v>72</v>
      </c>
      <c r="AO75" s="160" t="s">
        <v>72</v>
      </c>
      <c r="AQ75" s="46"/>
      <c r="AR75" s="47"/>
      <c r="AS75" s="47"/>
      <c r="AT75" s="47"/>
      <c r="AU75" s="132" t="s">
        <v>72</v>
      </c>
      <c r="AW75" s="52"/>
      <c r="AX75" s="15"/>
      <c r="AZ75" s="67" t="s">
        <v>72</v>
      </c>
      <c r="BA75" s="78" t="s">
        <v>72</v>
      </c>
      <c r="BB75" s="79" t="b">
        <v>0</v>
      </c>
      <c r="BC75" s="6"/>
      <c r="BD75" s="11"/>
      <c r="BE75" s="82"/>
      <c r="BG75" s="52"/>
      <c r="BH75" s="15"/>
      <c r="BJ75" s="139" t="s">
        <v>72</v>
      </c>
      <c r="BK75" s="163" t="s">
        <v>72</v>
      </c>
      <c r="BM75" s="52"/>
      <c r="BN75" s="15"/>
      <c r="BP75" s="139" t="s">
        <v>72</v>
      </c>
      <c r="BQ75" s="163" t="s">
        <v>72</v>
      </c>
      <c r="BS75" s="52"/>
      <c r="BT75" s="15"/>
      <c r="BV75" s="139" t="s">
        <v>72</v>
      </c>
      <c r="BW75" s="163" t="s">
        <v>72</v>
      </c>
      <c r="BY75" s="11"/>
      <c r="BZ75" s="82"/>
      <c r="CB75" s="52"/>
      <c r="CC75" s="82"/>
      <c r="CE75" s="52"/>
      <c r="CF75" s="82"/>
      <c r="CH75" s="52"/>
      <c r="CI75" s="82"/>
      <c r="CK75" s="52"/>
      <c r="CL75" s="82"/>
      <c r="CN75" s="139" t="s">
        <v>72</v>
      </c>
      <c r="CO75" s="163" t="s">
        <v>72</v>
      </c>
      <c r="CQ75" s="11"/>
      <c r="CR75" s="82"/>
      <c r="CT75" s="52"/>
      <c r="CU75" s="82"/>
      <c r="CW75" s="52"/>
      <c r="CX75" s="82"/>
      <c r="CZ75" s="52"/>
      <c r="DA75" s="82"/>
    </row>
    <row r="76" spans="1:105">
      <c r="F76" t="s">
        <v>10</v>
      </c>
      <c r="L76" s="136"/>
      <c r="M76" s="139" t="s">
        <v>72</v>
      </c>
      <c r="N76" s="140" t="s">
        <v>72</v>
      </c>
      <c r="O76" s="83" t="s">
        <v>72</v>
      </c>
      <c r="P76" s="83" t="s">
        <v>72</v>
      </c>
      <c r="Q76" s="84" t="b">
        <v>0</v>
      </c>
      <c r="S76" s="89"/>
      <c r="T76" s="90"/>
      <c r="Y76" s="145" t="s">
        <v>72</v>
      </c>
      <c r="Z76" s="152" t="s">
        <v>72</v>
      </c>
      <c r="AE76" s="145" t="s">
        <v>72</v>
      </c>
      <c r="AF76" s="146" t="s">
        <v>72</v>
      </c>
      <c r="AH76" s="11"/>
      <c r="AI76" s="82"/>
      <c r="AK76" s="50" t="s">
        <v>72</v>
      </c>
      <c r="AL76" s="32" t="s">
        <v>72</v>
      </c>
      <c r="AN76" s="159" t="s">
        <v>72</v>
      </c>
      <c r="AO76" s="160" t="s">
        <v>72</v>
      </c>
      <c r="AQ76" s="46"/>
      <c r="AR76" s="47"/>
      <c r="AS76" s="47"/>
      <c r="AT76" s="47"/>
      <c r="AU76" s="132" t="s">
        <v>72</v>
      </c>
      <c r="AW76" s="52"/>
      <c r="AX76" s="15"/>
      <c r="AZ76" s="67" t="s">
        <v>72</v>
      </c>
      <c r="BA76" s="78" t="s">
        <v>72</v>
      </c>
      <c r="BB76" s="79" t="b">
        <v>0</v>
      </c>
      <c r="BC76" s="6"/>
      <c r="BD76" s="11"/>
      <c r="BE76" s="82"/>
      <c r="BG76" s="52"/>
      <c r="BH76" s="15"/>
      <c r="BJ76" s="139" t="s">
        <v>72</v>
      </c>
      <c r="BK76" s="163" t="s">
        <v>72</v>
      </c>
      <c r="BM76" s="52"/>
      <c r="BN76" s="15"/>
      <c r="BP76" s="139" t="s">
        <v>72</v>
      </c>
      <c r="BQ76" s="163" t="s">
        <v>72</v>
      </c>
      <c r="BS76" s="52"/>
      <c r="BT76" s="15"/>
      <c r="BV76" s="139" t="s">
        <v>72</v>
      </c>
      <c r="BW76" s="163" t="s">
        <v>72</v>
      </c>
      <c r="BY76" s="11"/>
      <c r="BZ76" s="82"/>
      <c r="CB76" s="52"/>
      <c r="CC76" s="82"/>
      <c r="CE76" s="52"/>
      <c r="CF76" s="82"/>
      <c r="CH76" s="52"/>
      <c r="CI76" s="82"/>
      <c r="CK76" s="52"/>
      <c r="CL76" s="82"/>
      <c r="CN76" s="139" t="s">
        <v>72</v>
      </c>
      <c r="CO76" s="163" t="s">
        <v>72</v>
      </c>
      <c r="CQ76" s="11"/>
      <c r="CR76" s="82"/>
      <c r="CT76" s="52"/>
      <c r="CU76" s="82"/>
      <c r="CW76" s="52"/>
      <c r="CX76" s="82"/>
      <c r="CZ76" s="52"/>
      <c r="DA76" s="82"/>
    </row>
    <row r="77" spans="1:105">
      <c r="F77" t="s">
        <v>10</v>
      </c>
      <c r="L77" s="136"/>
      <c r="M77" s="139" t="s">
        <v>72</v>
      </c>
      <c r="N77" s="140" t="s">
        <v>72</v>
      </c>
      <c r="O77" s="83" t="s">
        <v>72</v>
      </c>
      <c r="P77" s="83" t="s">
        <v>72</v>
      </c>
      <c r="Q77" s="84" t="b">
        <v>0</v>
      </c>
      <c r="S77" s="91"/>
      <c r="T77" s="22"/>
      <c r="Y77" s="145" t="s">
        <v>72</v>
      </c>
      <c r="Z77" s="152" t="s">
        <v>72</v>
      </c>
      <c r="AE77" s="145" t="s">
        <v>72</v>
      </c>
      <c r="AF77" s="147" t="s">
        <v>72</v>
      </c>
      <c r="AH77" s="11"/>
      <c r="AI77" s="82"/>
      <c r="AK77" s="50" t="s">
        <v>72</v>
      </c>
      <c r="AL77" s="32" t="s">
        <v>72</v>
      </c>
      <c r="AN77" s="159" t="s">
        <v>72</v>
      </c>
      <c r="AO77" s="160" t="s">
        <v>72</v>
      </c>
      <c r="AQ77" s="46"/>
      <c r="AR77" s="47"/>
      <c r="AS77" s="47"/>
      <c r="AT77" s="47"/>
      <c r="AU77" s="132" t="s">
        <v>72</v>
      </c>
      <c r="AW77" s="52"/>
      <c r="AX77" s="15"/>
      <c r="AZ77" s="67" t="s">
        <v>72</v>
      </c>
      <c r="BA77" s="78" t="s">
        <v>72</v>
      </c>
      <c r="BB77" s="79" t="b">
        <v>0</v>
      </c>
      <c r="BC77" s="6"/>
      <c r="BD77" s="11"/>
      <c r="BE77" s="82"/>
      <c r="BG77" s="52"/>
      <c r="BH77" s="15"/>
      <c r="BJ77" s="139" t="s">
        <v>72</v>
      </c>
      <c r="BK77" s="163" t="s">
        <v>72</v>
      </c>
      <c r="BM77" s="52"/>
      <c r="BN77" s="15"/>
      <c r="BP77" s="139" t="s">
        <v>72</v>
      </c>
      <c r="BQ77" s="163" t="s">
        <v>72</v>
      </c>
      <c r="BS77" s="52"/>
      <c r="BT77" s="15"/>
      <c r="BV77" s="139" t="s">
        <v>72</v>
      </c>
      <c r="BW77" s="163" t="s">
        <v>72</v>
      </c>
      <c r="BY77" s="11"/>
      <c r="BZ77" s="82"/>
      <c r="CB77" s="52"/>
      <c r="CC77" s="82"/>
      <c r="CE77" s="52"/>
      <c r="CF77" s="82"/>
      <c r="CH77" s="52"/>
      <c r="CI77" s="82"/>
      <c r="CK77" s="52"/>
      <c r="CL77" s="82"/>
      <c r="CN77" s="139" t="s">
        <v>72</v>
      </c>
      <c r="CO77" s="163" t="s">
        <v>72</v>
      </c>
      <c r="CQ77" s="11"/>
      <c r="CR77" s="82"/>
      <c r="CT77" s="52"/>
      <c r="CU77" s="82"/>
      <c r="CW77" s="52"/>
      <c r="CX77" s="82"/>
      <c r="CZ77" s="52"/>
      <c r="DA77" s="82"/>
    </row>
    <row r="78" spans="1:105">
      <c r="F78" t="s">
        <v>10</v>
      </c>
      <c r="L78" s="136"/>
      <c r="M78" s="141" t="s">
        <v>72</v>
      </c>
      <c r="N78" s="142" t="s">
        <v>72</v>
      </c>
      <c r="O78" s="85" t="s">
        <v>72</v>
      </c>
      <c r="P78" s="85" t="s">
        <v>72</v>
      </c>
      <c r="Q78" s="86" t="b">
        <v>0</v>
      </c>
      <c r="S78" s="92"/>
      <c r="T78" s="24"/>
      <c r="Y78" s="148" t="s">
        <v>72</v>
      </c>
      <c r="Z78" s="153" t="s">
        <v>72</v>
      </c>
      <c r="AE78" s="148" t="s">
        <v>72</v>
      </c>
      <c r="AF78" s="149" t="s">
        <v>72</v>
      </c>
      <c r="AH78" s="12"/>
      <c r="AI78" s="97"/>
      <c r="AK78" s="57" t="s">
        <v>72</v>
      </c>
      <c r="AL78" s="33" t="s">
        <v>72</v>
      </c>
      <c r="AN78" s="161" t="s">
        <v>72</v>
      </c>
      <c r="AO78" s="162" t="s">
        <v>72</v>
      </c>
      <c r="AQ78" s="48"/>
      <c r="AR78" s="49"/>
      <c r="AS78" s="49"/>
      <c r="AT78" s="49"/>
      <c r="AU78" s="133" t="s">
        <v>72</v>
      </c>
      <c r="AW78" s="58"/>
      <c r="AX78" s="16"/>
      <c r="AZ78" s="25" t="s">
        <v>72</v>
      </c>
      <c r="BA78" s="80" t="s">
        <v>72</v>
      </c>
      <c r="BB78" s="81" t="b">
        <v>0</v>
      </c>
      <c r="BC78" s="6"/>
      <c r="BD78" s="12"/>
      <c r="BE78" s="97"/>
      <c r="BG78" s="58"/>
      <c r="BH78" s="16"/>
      <c r="BJ78" s="141" t="s">
        <v>72</v>
      </c>
      <c r="BK78" s="164" t="s">
        <v>72</v>
      </c>
      <c r="BM78" s="58"/>
      <c r="BN78" s="16"/>
      <c r="BP78" s="141" t="s">
        <v>72</v>
      </c>
      <c r="BQ78" s="164" t="s">
        <v>72</v>
      </c>
      <c r="BS78" s="58"/>
      <c r="BT78" s="16"/>
      <c r="BV78" s="141" t="s">
        <v>72</v>
      </c>
      <c r="BW78" s="164" t="s">
        <v>72</v>
      </c>
      <c r="BY78" s="12"/>
      <c r="BZ78" s="97"/>
      <c r="CB78" s="58"/>
      <c r="CC78" s="97"/>
      <c r="CE78" s="58"/>
      <c r="CF78" s="97"/>
      <c r="CH78" s="58"/>
      <c r="CI78" s="97"/>
      <c r="CK78" s="58"/>
      <c r="CL78" s="97"/>
      <c r="CN78" s="141" t="s">
        <v>72</v>
      </c>
      <c r="CO78" s="164" t="s">
        <v>72</v>
      </c>
      <c r="CQ78" s="12"/>
      <c r="CR78" s="97"/>
      <c r="CT78" s="58"/>
      <c r="CU78" s="97"/>
      <c r="CW78" s="58"/>
      <c r="CX78" s="97"/>
      <c r="CZ78" s="58"/>
      <c r="DA78" s="97"/>
    </row>
    <row r="79" spans="1:105">
      <c r="A79" t="s">
        <v>10</v>
      </c>
      <c r="F79" t="s">
        <v>10</v>
      </c>
      <c r="G79" t="s">
        <v>10</v>
      </c>
      <c r="H79" t="s">
        <v>10</v>
      </c>
      <c r="I79" t="s">
        <v>10</v>
      </c>
      <c r="J79" t="s">
        <v>10</v>
      </c>
      <c r="K79" t="s">
        <v>10</v>
      </c>
      <c r="L79" t="s">
        <v>10</v>
      </c>
      <c r="M79" t="s">
        <v>10</v>
      </c>
      <c r="N79" t="s">
        <v>10</v>
      </c>
      <c r="O79" t="s">
        <v>10</v>
      </c>
      <c r="P79" t="s">
        <v>10</v>
      </c>
      <c r="Q79" t="s">
        <v>10</v>
      </c>
      <c r="R79" t="s">
        <v>10</v>
      </c>
      <c r="S79" t="s">
        <v>10</v>
      </c>
      <c r="T79" t="s">
        <v>10</v>
      </c>
      <c r="X79" t="s">
        <v>10</v>
      </c>
      <c r="Y79" t="s">
        <v>10</v>
      </c>
      <c r="Z79" t="s">
        <v>10</v>
      </c>
      <c r="AD79" t="s">
        <v>10</v>
      </c>
      <c r="AE79" t="s">
        <v>10</v>
      </c>
      <c r="AF79" t="s">
        <v>10</v>
      </c>
      <c r="AG79" t="s">
        <v>10</v>
      </c>
      <c r="AH79" t="s">
        <v>10</v>
      </c>
      <c r="AI79" t="s">
        <v>10</v>
      </c>
      <c r="AJ79" t="s">
        <v>10</v>
      </c>
      <c r="AK79" t="s">
        <v>10</v>
      </c>
      <c r="AL79" t="s">
        <v>10</v>
      </c>
      <c r="AM79" t="s">
        <v>10</v>
      </c>
      <c r="AN79" t="s">
        <v>10</v>
      </c>
      <c r="AO79" t="s">
        <v>10</v>
      </c>
      <c r="AP79" t="s">
        <v>10</v>
      </c>
      <c r="AQ79" t="s">
        <v>10</v>
      </c>
      <c r="AR79" t="s">
        <v>10</v>
      </c>
      <c r="AS79" t="s">
        <v>10</v>
      </c>
      <c r="AT79" t="s">
        <v>10</v>
      </c>
      <c r="AU79" t="s">
        <v>10</v>
      </c>
      <c r="AV79" t="s">
        <v>10</v>
      </c>
      <c r="AW79" t="s">
        <v>10</v>
      </c>
      <c r="AX79" t="s">
        <v>10</v>
      </c>
      <c r="AY79" t="s">
        <v>10</v>
      </c>
      <c r="AZ79" t="s">
        <v>10</v>
      </c>
      <c r="BA79" t="s">
        <v>10</v>
      </c>
      <c r="BB79" t="s">
        <v>10</v>
      </c>
      <c r="BC79" t="s">
        <v>10</v>
      </c>
      <c r="BD79" t="s">
        <v>10</v>
      </c>
      <c r="BE79" t="s">
        <v>10</v>
      </c>
      <c r="BF79" t="s">
        <v>10</v>
      </c>
      <c r="BG79" t="s">
        <v>10</v>
      </c>
      <c r="BH79" t="s">
        <v>10</v>
      </c>
      <c r="BI79" t="s">
        <v>10</v>
      </c>
      <c r="BJ79" t="s">
        <v>10</v>
      </c>
      <c r="BK79" t="s">
        <v>10</v>
      </c>
      <c r="BL79" t="s">
        <v>10</v>
      </c>
      <c r="BM79" t="s">
        <v>10</v>
      </c>
      <c r="BN79" t="s">
        <v>10</v>
      </c>
      <c r="BO79" t="s">
        <v>10</v>
      </c>
      <c r="BP79" t="s">
        <v>10</v>
      </c>
      <c r="BQ79" t="s">
        <v>10</v>
      </c>
      <c r="BR79" t="s">
        <v>10</v>
      </c>
      <c r="BS79" t="s">
        <v>10</v>
      </c>
      <c r="BT79" t="s">
        <v>10</v>
      </c>
      <c r="BU79" t="s">
        <v>10</v>
      </c>
      <c r="BV79" t="s">
        <v>10</v>
      </c>
      <c r="BW79" t="s">
        <v>10</v>
      </c>
      <c r="BX79" t="s">
        <v>10</v>
      </c>
      <c r="BY79" t="s">
        <v>10</v>
      </c>
      <c r="BZ79" t="s">
        <v>10</v>
      </c>
      <c r="CA79" t="s">
        <v>10</v>
      </c>
      <c r="CB79" t="s">
        <v>10</v>
      </c>
      <c r="CC79" t="s">
        <v>10</v>
      </c>
      <c r="CD79" t="s">
        <v>10</v>
      </c>
      <c r="CE79" t="s">
        <v>10</v>
      </c>
      <c r="CF79" t="s">
        <v>10</v>
      </c>
      <c r="CG79" t="s">
        <v>10</v>
      </c>
      <c r="CH79" t="s">
        <v>10</v>
      </c>
      <c r="CI79" t="s">
        <v>10</v>
      </c>
      <c r="CJ79" t="s">
        <v>10</v>
      </c>
      <c r="CK79" t="s">
        <v>10</v>
      </c>
      <c r="CL79" t="s">
        <v>10</v>
      </c>
      <c r="CM79" t="s">
        <v>10</v>
      </c>
      <c r="CN79" t="s">
        <v>10</v>
      </c>
      <c r="CO79" t="s">
        <v>10</v>
      </c>
      <c r="CP79" t="s">
        <v>10</v>
      </c>
      <c r="CQ79" t="s">
        <v>10</v>
      </c>
      <c r="CR79" t="s">
        <v>10</v>
      </c>
      <c r="CS79" t="s">
        <v>10</v>
      </c>
      <c r="CT79" t="s">
        <v>10</v>
      </c>
      <c r="CU79" t="s">
        <v>10</v>
      </c>
      <c r="CV79" t="s">
        <v>10</v>
      </c>
      <c r="CW79" t="s">
        <v>10</v>
      </c>
      <c r="CX79" t="s">
        <v>10</v>
      </c>
      <c r="CY79" t="s">
        <v>10</v>
      </c>
      <c r="CZ79" t="s">
        <v>10</v>
      </c>
      <c r="DA79" t="s">
        <v>10</v>
      </c>
    </row>
    <row r="80" spans="1:105">
      <c r="L80" s="136"/>
      <c r="BC80" s="6"/>
      <c r="BD80" s="6"/>
      <c r="BE80" s="6"/>
    </row>
    <row r="81" spans="12:57">
      <c r="L81" s="136"/>
      <c r="BC81" s="6"/>
      <c r="BD81" s="6"/>
      <c r="BE81" s="6"/>
    </row>
    <row r="82" spans="12:57">
      <c r="L82" s="136"/>
      <c r="BC82" s="6"/>
      <c r="BD82" s="6"/>
      <c r="BE82" s="6"/>
    </row>
    <row r="83" spans="12:57">
      <c r="L83" s="136"/>
      <c r="BC83" s="6"/>
      <c r="BD83" s="6"/>
      <c r="BE83" s="6"/>
    </row>
    <row r="84" spans="12:57">
      <c r="L84" s="136"/>
      <c r="BC84" s="6"/>
      <c r="BD84" s="6"/>
      <c r="BE84" s="6"/>
    </row>
    <row r="85" spans="12:57">
      <c r="L85" s="136"/>
      <c r="BC85" s="6"/>
      <c r="BD85" s="6"/>
      <c r="BE85" s="6"/>
    </row>
    <row r="86" spans="12:57">
      <c r="L86" s="136"/>
      <c r="BC86" s="6"/>
      <c r="BD86" s="6"/>
      <c r="BE86" s="6"/>
    </row>
    <row r="87" spans="12:57">
      <c r="L87" s="136"/>
      <c r="BC87" s="6"/>
      <c r="BD87" s="6"/>
      <c r="BE87" s="6"/>
    </row>
    <row r="88" spans="12:57">
      <c r="L88" s="136"/>
      <c r="BC88" s="6"/>
      <c r="BD88" s="6"/>
      <c r="BE88" s="6"/>
    </row>
    <row r="89" spans="12:57">
      <c r="L89" s="136"/>
      <c r="BC89" s="6"/>
      <c r="BD89" s="6"/>
      <c r="BE89" s="6"/>
    </row>
    <row r="90" spans="12:57">
      <c r="L90" s="136"/>
      <c r="BC90" s="6"/>
      <c r="BD90" s="6"/>
      <c r="BE90" s="6"/>
    </row>
    <row r="91" spans="12:57">
      <c r="L91" s="136"/>
      <c r="BC91" s="6"/>
      <c r="BD91" s="6"/>
      <c r="BE91" s="6"/>
    </row>
    <row r="92" spans="12:57">
      <c r="L92" s="136"/>
      <c r="BC92" s="6"/>
      <c r="BD92" s="6"/>
      <c r="BE92" s="6"/>
    </row>
    <row r="93" spans="12:57">
      <c r="L93" s="136"/>
      <c r="BC93" s="6"/>
      <c r="BD93" s="6"/>
      <c r="BE93" s="6"/>
    </row>
    <row r="94" spans="12:57">
      <c r="L94" s="136"/>
      <c r="BC94" s="6"/>
      <c r="BD94" s="6"/>
      <c r="BE94" s="6"/>
    </row>
    <row r="95" spans="12:57">
      <c r="L95" s="136"/>
      <c r="BC95" s="6"/>
      <c r="BD95" s="6"/>
      <c r="BE95" s="6"/>
    </row>
    <row r="96" spans="12:57">
      <c r="L96" s="136"/>
      <c r="BC96" s="6"/>
      <c r="BD96" s="6"/>
      <c r="BE96" s="6"/>
    </row>
    <row r="97" spans="12:57">
      <c r="L97" s="136"/>
      <c r="BC97" s="6"/>
      <c r="BD97" s="6"/>
      <c r="BE97" s="6"/>
    </row>
    <row r="98" spans="12:57">
      <c r="L98" s="136"/>
      <c r="BC98" s="6"/>
      <c r="BD98" s="6"/>
      <c r="BE98" s="6"/>
    </row>
    <row r="99" spans="12:57">
      <c r="L99" s="136"/>
      <c r="BC99" s="6"/>
      <c r="BD99" s="6"/>
      <c r="BE99" s="6"/>
    </row>
    <row r="100" spans="12:57">
      <c r="L100" s="136"/>
      <c r="BC100" s="6"/>
      <c r="BD100" s="6"/>
      <c r="BE100" s="6"/>
    </row>
    <row r="101" spans="12:57">
      <c r="L101" s="136"/>
      <c r="BC101" s="6"/>
      <c r="BD101" s="6"/>
      <c r="BE101" s="6"/>
    </row>
    <row r="102" spans="12:57">
      <c r="L102" s="136"/>
    </row>
    <row r="103" spans="12:57">
      <c r="L103" s="136"/>
    </row>
    <row r="104" spans="12:57">
      <c r="L104" s="136"/>
    </row>
  </sheetData>
  <dataValidations disablePrompts="1" count="2">
    <dataValidation imeMode="halfAlpha" allowBlank="1" showInputMessage="1" showErrorMessage="1" sqref="AK35"/>
    <dataValidation type="list" allowBlank="1" showInputMessage="1" showErrorMessage="1" sqref="AU7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0" tint="-0.14999847407452621"/>
    <pageSetUpPr fitToPage="1"/>
  </sheetPr>
  <dimension ref="A1:H16"/>
  <sheetViews>
    <sheetView showGridLines="0" workbookViewId="0"/>
  </sheetViews>
  <sheetFormatPr defaultRowHeight="15"/>
  <cols>
    <col min="1" max="1" width="11.42578125" style="103" customWidth="1"/>
    <col min="2" max="2" width="2.28515625" style="101" customWidth="1"/>
    <col min="3" max="3" width="15.7109375" style="101" customWidth="1"/>
    <col min="4" max="4" width="23" style="186" customWidth="1"/>
    <col min="5" max="5" width="30.28515625" style="101" customWidth="1"/>
    <col min="6" max="6" width="3.7109375" style="101" customWidth="1"/>
    <col min="7" max="7" width="16.5703125" style="100" customWidth="1"/>
    <col min="8" max="8" width="10.7109375" style="101" customWidth="1"/>
    <col min="9" max="16384" width="9.140625" style="101"/>
  </cols>
  <sheetData>
    <row r="1" spans="1:8">
      <c r="A1" s="201"/>
    </row>
    <row r="2" spans="1:8" s="102" customFormat="1" ht="15" customHeight="1">
      <c r="A2" s="103"/>
      <c r="C2" s="289" t="s">
        <v>288</v>
      </c>
      <c r="D2" s="290"/>
      <c r="E2" s="290"/>
      <c r="F2" s="199"/>
      <c r="G2" s="199"/>
      <c r="H2" s="199"/>
    </row>
    <row r="3" spans="1:8" ht="15" customHeight="1">
      <c r="A3" s="129"/>
      <c r="C3" s="289"/>
      <c r="D3" s="290"/>
      <c r="E3" s="290"/>
      <c r="F3" s="200"/>
      <c r="G3" s="200"/>
      <c r="H3" s="200"/>
    </row>
    <row r="4" spans="1:8" ht="15" customHeight="1">
      <c r="A4" s="129"/>
      <c r="C4" s="155"/>
      <c r="D4" s="181"/>
      <c r="E4" s="156"/>
      <c r="F4" s="157"/>
      <c r="G4" s="188"/>
      <c r="H4" s="156"/>
    </row>
    <row r="5" spans="1:8">
      <c r="C5" s="100"/>
      <c r="D5" s="185"/>
      <c r="F5" s="122"/>
      <c r="H5" s="123"/>
    </row>
    <row r="6" spans="1:8" ht="15" customHeight="1">
      <c r="A6" s="291" t="s">
        <v>2</v>
      </c>
      <c r="B6" s="100" t="s">
        <v>10</v>
      </c>
      <c r="C6" s="100"/>
      <c r="D6" s="182" t="s">
        <v>255</v>
      </c>
      <c r="E6" s="124" t="s">
        <v>290</v>
      </c>
      <c r="F6" s="122" t="s">
        <v>10</v>
      </c>
      <c r="H6" s="134"/>
    </row>
    <row r="7" spans="1:8" ht="15" customHeight="1">
      <c r="A7" s="291"/>
      <c r="B7" s="101" t="s">
        <v>10</v>
      </c>
      <c r="C7" s="176" t="s">
        <v>165</v>
      </c>
      <c r="D7" s="183" t="s">
        <v>215</v>
      </c>
      <c r="E7" s="173" t="str">
        <f ca="1">IF(NOW(),_xll.meCurveCalibrateOIS(E$6,C7,'EUR Curve Config'!OISCurveNamesCombined,'EUR Curve Config'!YieldCurvePropertiesOIS,'EUR Curve Config'!OISConv,'EUR Curve Config'!OISRates,'EUR Curve Config'!OISHistoricalRates,'EUR Curve Config'!OIS.LOBasisConv,'EUR Curve Config'!OIS.LobRates,'EUR Curve Config'!OIS.SwapConv,'EUR Curve Config'!OIS.SwapRates))</f>
        <v>EURYC OIS Curve has been set (0.028000 sec)</v>
      </c>
      <c r="F7" s="122" t="s">
        <v>10</v>
      </c>
      <c r="G7" s="176" t="s">
        <v>165</v>
      </c>
      <c r="H7" s="127" t="b">
        <f ca="1">IF(UPPER(LEFT($C7,3))=MID($E7,7,3),TRUE,FALSE)</f>
        <v>1</v>
      </c>
    </row>
    <row r="8" spans="1:8">
      <c r="B8" s="101" t="s">
        <v>10</v>
      </c>
      <c r="C8" s="177" t="s">
        <v>53</v>
      </c>
      <c r="D8" s="184" t="s">
        <v>216</v>
      </c>
      <c r="E8" s="174" t="str">
        <f ca="1">IF(AND(NOW(),H7),_xll.meCurveCalibrateSwap(E$6,C8,'EUR Curve Config'!SwapCurveNamesCombined,'EUR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Config'!BasisData3x6),"#WAIT")</f>
        <v>EURYC STD Curve has been set (0.010000 sec)</v>
      </c>
      <c r="F8" s="122" t="s">
        <v>10</v>
      </c>
      <c r="G8" s="177" t="s">
        <v>53</v>
      </c>
      <c r="H8" s="128" t="b">
        <f ca="1">IF(UPPER(LEFT($C8,3))=MID($E8,7,3),TRUE,FALSE)</f>
        <v>1</v>
      </c>
    </row>
    <row r="9" spans="1:8">
      <c r="B9" s="101" t="s">
        <v>10</v>
      </c>
      <c r="C9" s="177" t="s">
        <v>167</v>
      </c>
      <c r="D9" s="184" t="s">
        <v>213</v>
      </c>
      <c r="E9" s="174" t="str">
        <f ca="1">IF(AND(NOW(),H8),_xll.meCurveCalibrateBasis(E$6,C9,'EUR Curve Config'!TenorBasis3x6CurveNamesCombined,'EUR Curve Config'!YieldCurvePropertiesTenorBasis,'EUR Curve Config'!BasisConv3x6,'EUR Curve Config'!BasisData3x6),"#WAIT")</f>
        <v>EURYC 3M6MBasis Curve has been set (0.017000 sec)</v>
      </c>
      <c r="F9" s="122" t="s">
        <v>10</v>
      </c>
      <c r="G9" s="177" t="s">
        <v>167</v>
      </c>
      <c r="H9" s="128" t="b">
        <f ca="1">IF(UPPER(LEFT($C9,3))=MID($E9,7,3),TRUE,FALSE)</f>
        <v>1</v>
      </c>
    </row>
    <row r="10" spans="1:8">
      <c r="B10" s="101" t="s">
        <v>10</v>
      </c>
      <c r="C10" s="187" t="s">
        <v>168</v>
      </c>
      <c r="D10" s="184" t="s">
        <v>214</v>
      </c>
      <c r="E10" s="174" t="str">
        <f ca="1">IF(AND(NOW(),H9),_xll.meCurveCalibrateBasis(E$6,C10,'EUR Curve Config'!TenorBasis1x3CurveNamesCombined,'EUR Curve Config'!YieldCurvePropertiesTenorBasis,'EUR Curve Config'!BasisConv1x3,'EUR Curve Config'!BasisData1x3),"#WAIT")</f>
        <v>EURYC 1M3MBasis Curve has been set (0.023000 sec)</v>
      </c>
      <c r="F10" s="122" t="s">
        <v>10</v>
      </c>
      <c r="G10" s="187" t="s">
        <v>168</v>
      </c>
      <c r="H10" s="128" t="b">
        <f ca="1">IF(UPPER(LEFT($C10,3))=MID($E10,7,3),TRUE,FALSE)</f>
        <v>1</v>
      </c>
    </row>
    <row r="11" spans="1:8">
      <c r="B11" s="101" t="s">
        <v>10</v>
      </c>
      <c r="C11" s="177" t="s">
        <v>218</v>
      </c>
      <c r="D11" s="184" t="s">
        <v>219</v>
      </c>
      <c r="E11" s="175" t="str">
        <f ca="1">IF(AND(NOW(),H10),_xll.meCurveCalibrateBasis(E$6,C11,'EUR Curve Config'!TenorBasis6x12CurveNamesCombined,'EUR Curve Config'!YieldCurvePropertiesTenorBasis,'EUR Curve Config'!BasisConv6x12,'EUR Curve Config'!BasisData6x12),"#WAIT")</f>
        <v>EURYC 6M12MBasis Curve has been set (0.007000 sec)</v>
      </c>
      <c r="F11" s="122" t="s">
        <v>10</v>
      </c>
      <c r="G11" s="177" t="s">
        <v>217</v>
      </c>
      <c r="H11" s="180" t="b">
        <f ca="1">IF(UPPER(LEFT($C11,3))=MID($E11,7,3),TRUE,FALSE)</f>
        <v>1</v>
      </c>
    </row>
    <row r="12" spans="1:8">
      <c r="B12" s="101" t="s">
        <v>10</v>
      </c>
      <c r="C12" s="178" t="s">
        <v>169</v>
      </c>
      <c r="D12" s="191"/>
      <c r="E12" s="197"/>
      <c r="F12" s="122" t="s">
        <v>10</v>
      </c>
      <c r="G12" s="178"/>
      <c r="H12" s="194"/>
    </row>
    <row r="13" spans="1:8">
      <c r="C13" s="177" t="s">
        <v>299</v>
      </c>
      <c r="D13" s="192"/>
      <c r="E13" s="198"/>
      <c r="F13" s="122" t="s">
        <v>10</v>
      </c>
      <c r="G13" s="177"/>
      <c r="H13" s="195"/>
    </row>
    <row r="14" spans="1:8">
      <c r="C14" s="177" t="s">
        <v>300</v>
      </c>
      <c r="D14" s="192"/>
      <c r="E14" s="189"/>
      <c r="F14" s="122" t="s">
        <v>10</v>
      </c>
      <c r="G14" s="177"/>
      <c r="H14" s="195"/>
    </row>
    <row r="15" spans="1:8">
      <c r="C15" s="179" t="s">
        <v>301</v>
      </c>
      <c r="D15" s="193"/>
      <c r="E15" s="190"/>
      <c r="F15" s="122" t="s">
        <v>10</v>
      </c>
      <c r="G15" s="179"/>
      <c r="H15" s="196"/>
    </row>
    <row r="16" spans="1:8">
      <c r="C16" s="100"/>
      <c r="D16" s="185"/>
      <c r="E16" s="117"/>
      <c r="F16" s="122" t="s">
        <v>10</v>
      </c>
      <c r="H16" s="123"/>
    </row>
  </sheetData>
  <mergeCells count="2">
    <mergeCell ref="C2:E3"/>
    <mergeCell ref="A6:A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X67"/>
  <sheetViews>
    <sheetView showGridLines="0" tabSelected="1" workbookViewId="0"/>
  </sheetViews>
  <sheetFormatPr defaultRowHeight="15"/>
  <cols>
    <col min="1" max="1" width="4.7109375" customWidth="1"/>
    <col min="2" max="2" width="29.140625" customWidth="1"/>
    <col min="3" max="3" width="27.42578125" customWidth="1"/>
    <col min="4" max="4" width="27.140625" customWidth="1"/>
    <col min="5" max="5" width="16.28515625" customWidth="1"/>
    <col min="6" max="6" width="20.7109375" customWidth="1"/>
    <col min="7" max="8" width="18.42578125" customWidth="1"/>
    <col min="9" max="9" width="18" customWidth="1"/>
    <col min="10" max="10" width="18.7109375" customWidth="1"/>
    <col min="11" max="11" width="22.42578125" customWidth="1"/>
    <col min="12" max="13" width="18.7109375" customWidth="1"/>
    <col min="14" max="14" width="17" customWidth="1"/>
    <col min="15" max="17" width="18.7109375" customWidth="1"/>
    <col min="18" max="18" width="1.42578125" customWidth="1"/>
    <col min="19" max="20" width="18.7109375" customWidth="1"/>
  </cols>
  <sheetData>
    <row r="2" spans="1:24">
      <c r="B2" s="215" t="s">
        <v>310</v>
      </c>
    </row>
    <row r="3" spans="1:24">
      <c r="B3" s="217" t="s">
        <v>258</v>
      </c>
      <c r="C3" s="218">
        <v>42436</v>
      </c>
    </row>
    <row r="4" spans="1:24">
      <c r="D4" s="250"/>
    </row>
    <row r="5" spans="1:24">
      <c r="C5" s="204"/>
      <c r="D5" s="204"/>
    </row>
    <row r="6" spans="1:24">
      <c r="B6" s="150" t="s">
        <v>358</v>
      </c>
      <c r="D6" s="250" t="s">
        <v>373</v>
      </c>
      <c r="F6" s="250"/>
      <c r="G6" s="250" t="s">
        <v>373</v>
      </c>
      <c r="I6" t="s">
        <v>374</v>
      </c>
      <c r="J6" s="250" t="s">
        <v>373</v>
      </c>
      <c r="L6" s="250"/>
      <c r="M6" s="250" t="s">
        <v>373</v>
      </c>
      <c r="Q6" s="250" t="s">
        <v>373</v>
      </c>
      <c r="S6" s="250" t="s">
        <v>373</v>
      </c>
      <c r="T6" s="250" t="s">
        <v>373</v>
      </c>
    </row>
    <row r="7" spans="1:24">
      <c r="A7" s="150"/>
      <c r="B7" s="216" t="s">
        <v>362</v>
      </c>
      <c r="C7" s="236" t="str">
        <f ca="1">IF(NOW(),_xll.meProductSwapStubRate($D$53:$D$57,$C$53:$C$57,$G$53:$G$57,_xll.meUtilityLVBFromMultipleKeysValues($B$21:$B$26,C21:C26,,$B$27:$B$35,C27:C35,"float")))</f>
        <v>Index out of range</v>
      </c>
      <c r="D7" s="236" t="str">
        <f ca="1">IF(NOW(),_xll.meProductSwapStubRate($D$53:$D$57,$C$53:$C$57,,_xll.meUtilityLVBFromMultipleKeysValues($B$21:$B$26,D21:D26,,$B$27:$B$35,D27:D35,"float")))</f>
        <v>Index out of range</v>
      </c>
      <c r="E7" t="s">
        <v>10</v>
      </c>
      <c r="F7" s="236" t="str">
        <f ca="1">IF(NOW(),_xll.meProductSwapStubRate($D$53:$D$57,$C$53:$C$57,$G$53:$G$57,_xll.meUtilityLVBFromMultipleKeysValues($B$21:$B$26,F21:F26,,$B$27:$B$35,F27:F35,"float")))</f>
        <v>Index out of range</v>
      </c>
      <c r="G7" s="236" t="str">
        <f ca="1">IF(NOW(),_xll.meProductSwapStubRate($D$53:$D$57,$C$53:$C$57,,_xll.meUtilityLVBFromMultipleKeysValues($B$21:$B$26,G21:G26,,$B$27:$B$35,G27:G35,"float")))</f>
        <v>Index out of range</v>
      </c>
      <c r="H7" t="s">
        <v>10</v>
      </c>
      <c r="I7" s="260" t="str">
        <f ca="1">IF(NOW(),_xll.meProductSwapStubRate($B$62:$B$66,$D$62:$D$66,$G$62:$G$66,_xll.meUtilityLVBFromMultipleKeysValues($B$21:$B$26,I21:I26,,$B$27:$B$35,I27:I35,"float")))</f>
        <v>Index out of range</v>
      </c>
      <c r="J7" s="236" t="str">
        <f ca="1">IF(NOW(),_xll.meProductSwapStubRate($D$53:$D$57,$C$53:$C$57,,_xll.meUtilityLVBFromMultipleKeysValues($B$21:$B$26,J21:J26,,$B$27:$B$35,J27:J35,"float")))</f>
        <v>Index out of range</v>
      </c>
      <c r="K7" t="s">
        <v>10</v>
      </c>
      <c r="L7" s="236" t="str">
        <f ca="1">IF(NOW(),_xll.meProductSwapStubRate($D$53:$D$57,$C$53:$C$57,$G$53:$G$57,_xll.meUtilityLVBFromMultipleKeysValues($B$21:$B$26,L21:L26,,$B$27:$B$35,L27:L35,"float")))</f>
        <v>Index out of range</v>
      </c>
      <c r="M7" s="236" t="str">
        <f ca="1">IF(NOW(),_xll.meProductSwapStubRate($D$53:$D$57,$C$53:$C$57,,_xll.meUtilityLVBFromMultipleKeysValues($B$21:$B$26,M21:M26,,$B$27:$B$35,M27:M35,"float")))</f>
        <v>Index out of range</v>
      </c>
      <c r="N7" t="s">
        <v>10</v>
      </c>
      <c r="O7" s="236" t="str">
        <f ca="1">IF(NOW(),_xll.meProductSwapStubRate($D$53:$D$57,$C$53:$C$57,$G$53:$G$57,_xll.meUtilityLVBFromMultipleKeysValues($B$21:$B$26,O21:O26,,$B$27:$B$35,O27:O35,"float")))</f>
        <v>Index out of range</v>
      </c>
      <c r="P7" s="236" t="str">
        <f ca="1">IF(NOW(),_xll.meProductSwapStubRate($D$53:$D$57,$C$53:$C$57,$G$53:$G$57,_xll.meUtilityLVBFromMultipleKeysValues($B$21:$B$26,P21:P26,,$B$27:$B$35,I27:I35,"float")))</f>
        <v>Index out of range</v>
      </c>
      <c r="Q7" s="236" t="str">
        <f ca="1">IF(NOW(),_xll.meProductSwapStubRate($D$53:$D$57,$C$53:$C$57,,_xll.meUtilityLVBFromMultipleKeysValues($B$21:$B$26,Q21:Q26,,$B$27:$B$35,Q27:Q35,"float")))</f>
        <v>Index out of range</v>
      </c>
      <c r="R7" t="s">
        <v>10</v>
      </c>
      <c r="S7" s="236" t="str">
        <f ca="1">IF(NOW(),_xll.meProductSwapStubRate($D$53:$D$57,$C$53:$C$57,,_xll.meUtilityLVBFromMultipleKeysValues($B$21:$B$26,S21:S26,,$B$27:$B$35,S27:S35,"float")))</f>
        <v>Index out of range</v>
      </c>
      <c r="T7" s="236" t="str">
        <f ca="1">IF(NOW(),_xll.meProductSwapStubRate($D$53:$D$57,$C$53:$C$57,,_xll.meUtilityLVBFromMultipleKeysValues($B$21:$B$26,T21:T26,,$B$27:$B$35,T27:T35,"float")))</f>
        <v>Index out of range</v>
      </c>
      <c r="U7" t="s">
        <v>10</v>
      </c>
    </row>
    <row r="8" spans="1:24">
      <c r="A8" s="150"/>
      <c r="B8" s="150"/>
      <c r="C8" s="251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</row>
    <row r="9" spans="1:24">
      <c r="A9" s="150"/>
      <c r="B9" s="150"/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</row>
    <row r="10" spans="1:24">
      <c r="A10" s="150"/>
      <c r="B10" s="150" t="s">
        <v>357</v>
      </c>
      <c r="C10" s="150"/>
      <c r="D10" s="150"/>
      <c r="E10" s="150"/>
      <c r="F10" s="150"/>
      <c r="G10" s="150"/>
      <c r="H10" s="150"/>
      <c r="I10" s="250" t="s">
        <v>374</v>
      </c>
      <c r="J10" s="150"/>
      <c r="K10" s="150"/>
      <c r="L10" s="150"/>
      <c r="M10" s="150"/>
      <c r="N10" s="150"/>
      <c r="O10" s="150"/>
      <c r="P10" s="150"/>
      <c r="Q10" s="150"/>
      <c r="R10" s="150"/>
      <c r="S10" s="150"/>
      <c r="T10" s="150"/>
      <c r="U10" s="150"/>
      <c r="V10" s="150"/>
      <c r="W10" s="150"/>
      <c r="X10" s="150"/>
    </row>
    <row r="11" spans="1:24">
      <c r="B11" s="216" t="s">
        <v>379</v>
      </c>
      <c r="C11" s="237">
        <f ca="1">IF(NOW(),_xll.meUtilityInterpolation($H$53:$H$57,$G$53:$G$57,C39,"linear"))</f>
        <v>-2.2260565199501794E-3</v>
      </c>
      <c r="D11" s="237"/>
      <c r="F11" s="259">
        <f ca="1">IF(NOW(),_xll.meUtilityInterpolation($H$53:$H$57,$G$53:$G$57,F39,"linear"))</f>
        <v>-3.4831178924804424E-3</v>
      </c>
      <c r="G11" s="237"/>
      <c r="I11" s="260">
        <f ca="1">IF(NOW(),_xll.meUtilityInterpolation($H$62:$H$66,$G$62:$G$66,I39,"linear"))</f>
        <v>-4.2210253443805291E-3</v>
      </c>
      <c r="J11" s="237"/>
      <c r="L11" s="259">
        <f ca="1">IF(NOW(),_xll.meUtilityInterpolation($H$53:$H$57,$G$53:$G$57,L39,"linear"))</f>
        <v>-4.1052989228829301E-3</v>
      </c>
      <c r="M11" s="237"/>
      <c r="O11" s="237"/>
      <c r="P11" s="237"/>
      <c r="Q11" s="237"/>
      <c r="S11" s="237"/>
      <c r="T11" s="237"/>
    </row>
    <row r="14" spans="1:24">
      <c r="B14" s="232" t="s">
        <v>360</v>
      </c>
      <c r="C14" s="224" t="s">
        <v>343</v>
      </c>
      <c r="D14" s="224" t="s">
        <v>344</v>
      </c>
      <c r="F14" s="224" t="s">
        <v>345</v>
      </c>
      <c r="G14" s="224" t="s">
        <v>346</v>
      </c>
      <c r="I14" s="224" t="s">
        <v>347</v>
      </c>
      <c r="J14" s="224" t="s">
        <v>348</v>
      </c>
      <c r="L14" s="224" t="s">
        <v>349</v>
      </c>
      <c r="M14" s="224" t="s">
        <v>350</v>
      </c>
      <c r="O14" s="224" t="s">
        <v>351</v>
      </c>
      <c r="P14" s="224" t="s">
        <v>352</v>
      </c>
      <c r="Q14" s="224" t="s">
        <v>353</v>
      </c>
      <c r="S14" s="224" t="s">
        <v>354</v>
      </c>
      <c r="T14" s="224" t="s">
        <v>355</v>
      </c>
    </row>
    <row r="15" spans="1:24" ht="15" customHeight="1">
      <c r="B15" s="292" t="s">
        <v>361</v>
      </c>
      <c r="C15" s="294" t="s">
        <v>338</v>
      </c>
      <c r="D15" s="294" t="s">
        <v>339</v>
      </c>
      <c r="F15" s="294" t="s">
        <v>335</v>
      </c>
      <c r="G15" s="294" t="s">
        <v>336</v>
      </c>
      <c r="I15" s="294" t="s">
        <v>337</v>
      </c>
      <c r="J15" s="294" t="s">
        <v>340</v>
      </c>
      <c r="L15" s="294" t="s">
        <v>333</v>
      </c>
      <c r="M15" s="294" t="s">
        <v>334</v>
      </c>
      <c r="O15" s="294" t="s">
        <v>328</v>
      </c>
      <c r="P15" s="294" t="s">
        <v>329</v>
      </c>
      <c r="Q15" s="233" t="s">
        <v>330</v>
      </c>
      <c r="S15" s="294" t="s">
        <v>331</v>
      </c>
      <c r="T15" s="233" t="s">
        <v>332</v>
      </c>
    </row>
    <row r="16" spans="1:24">
      <c r="B16" s="293"/>
      <c r="C16" s="294"/>
      <c r="D16" s="294"/>
      <c r="F16" s="294"/>
      <c r="G16" s="294"/>
      <c r="I16" s="294"/>
      <c r="J16" s="294"/>
      <c r="L16" s="294"/>
      <c r="M16" s="294"/>
      <c r="O16" s="294"/>
      <c r="P16" s="294"/>
      <c r="Q16" s="233"/>
      <c r="S16" s="294"/>
      <c r="T16" s="233"/>
    </row>
    <row r="17" spans="2:20" ht="30.75" customHeight="1">
      <c r="B17" s="293"/>
      <c r="C17" s="294"/>
      <c r="D17" s="294"/>
      <c r="F17" s="294"/>
      <c r="G17" s="294"/>
      <c r="H17" s="250"/>
      <c r="I17" s="294"/>
      <c r="J17" s="294"/>
      <c r="L17" s="294"/>
      <c r="M17" s="294"/>
      <c r="O17" s="294"/>
      <c r="P17" s="294"/>
      <c r="Q17" s="233"/>
      <c r="S17" s="294"/>
      <c r="T17" s="233"/>
    </row>
    <row r="18" spans="2:20" ht="26.25" customHeight="1">
      <c r="B18" s="293"/>
      <c r="C18" s="294"/>
      <c r="D18" s="294"/>
      <c r="F18" s="294"/>
      <c r="G18" s="294"/>
      <c r="H18" s="250"/>
      <c r="I18" s="294"/>
      <c r="J18" s="294"/>
      <c r="L18" s="294"/>
      <c r="M18" s="294"/>
      <c r="O18" s="294"/>
      <c r="P18" s="294"/>
      <c r="Q18" s="233"/>
      <c r="S18" s="294"/>
      <c r="T18" s="233"/>
    </row>
    <row r="19" spans="2:20" ht="18.75" customHeight="1">
      <c r="B19" s="293"/>
      <c r="C19" s="294"/>
      <c r="D19" s="294"/>
      <c r="E19" s="250"/>
      <c r="F19" s="294"/>
      <c r="G19" s="294"/>
      <c r="H19" s="250"/>
      <c r="I19" s="294"/>
      <c r="J19" s="294"/>
      <c r="K19" s="250"/>
      <c r="L19" s="294"/>
      <c r="M19" s="294"/>
      <c r="O19" s="294"/>
      <c r="P19" s="294"/>
      <c r="Q19" s="233"/>
      <c r="S19" s="294"/>
      <c r="T19" s="233"/>
    </row>
    <row r="20" spans="2:20">
      <c r="B20" s="293"/>
      <c r="C20" s="294"/>
      <c r="D20" s="294"/>
      <c r="E20" s="250"/>
      <c r="F20" s="294"/>
      <c r="G20" s="294"/>
      <c r="H20" s="250"/>
      <c r="I20" s="294"/>
      <c r="J20" s="294"/>
      <c r="K20" s="250"/>
      <c r="L20" s="295"/>
      <c r="M20" s="295"/>
      <c r="O20" s="295"/>
      <c r="P20" s="295"/>
      <c r="Q20" s="234"/>
      <c r="S20" s="295"/>
      <c r="T20" s="234"/>
    </row>
    <row r="21" spans="2:20">
      <c r="B21" s="238" t="s">
        <v>367</v>
      </c>
      <c r="C21" s="225">
        <f>_xll.meDateFromTenor(COB,"2D",C29,C30)</f>
        <v>42438</v>
      </c>
      <c r="D21" s="272">
        <f>_xll.meDateFromTenor(COB,"2D",D29,D30)</f>
        <v>42438</v>
      </c>
      <c r="E21" s="250"/>
      <c r="F21" s="227">
        <f>_xll.meDateFromTenor(COB,"2D",F29,F30)</f>
        <v>42438</v>
      </c>
      <c r="G21" s="228">
        <f>_xll.meDateFromTenor(COB,"2D",G29,G30)</f>
        <v>42438</v>
      </c>
      <c r="H21" s="250"/>
      <c r="I21" s="227">
        <f>_xll.meDateFromTenor(COB,"2D",I29,I30)</f>
        <v>42438</v>
      </c>
      <c r="J21" s="228">
        <f>_xll.meDateFromTenor(COB,"2D",J29,J30)</f>
        <v>42438</v>
      </c>
      <c r="K21" s="250"/>
      <c r="L21" s="227">
        <f>_xll.meDateFromTenor(COB,"2D",L29,L30)</f>
        <v>42438</v>
      </c>
      <c r="M21" s="228">
        <f>_xll.meDateFromTenor(COB,"2D",M29,M30)</f>
        <v>42438</v>
      </c>
      <c r="N21" s="250"/>
      <c r="O21" s="227">
        <f>_xll.meDateFromTenor(COB,"2D",O29,O30)</f>
        <v>42438</v>
      </c>
      <c r="P21" s="227">
        <f>_xll.meDateFromTenor(COB,"2D",P29,P30)</f>
        <v>42438</v>
      </c>
      <c r="Q21" s="228">
        <f>_xll.meDateFromTenor(COB,"2D",Q29,Q30)</f>
        <v>42438</v>
      </c>
      <c r="S21" s="227">
        <f>_xll.meDateFromTenor(COB,"2D",S29,S30)</f>
        <v>42438</v>
      </c>
      <c r="T21" s="228">
        <f>_xll.meDateFromTenor(COB,"2D",T29,T30)</f>
        <v>42438</v>
      </c>
    </row>
    <row r="22" spans="2:20">
      <c r="B22" s="239" t="s">
        <v>368</v>
      </c>
      <c r="C22" s="222" t="s">
        <v>320</v>
      </c>
      <c r="D22" s="242" t="s">
        <v>320</v>
      </c>
      <c r="E22" s="250"/>
      <c r="F22" s="219" t="s">
        <v>320</v>
      </c>
      <c r="G22" s="209" t="s">
        <v>320</v>
      </c>
      <c r="H22" s="250"/>
      <c r="I22" s="219" t="s">
        <v>320</v>
      </c>
      <c r="J22" s="209" t="s">
        <v>320</v>
      </c>
      <c r="K22" s="250"/>
      <c r="L22" s="219" t="s">
        <v>324</v>
      </c>
      <c r="M22" s="209" t="s">
        <v>324</v>
      </c>
      <c r="N22" s="250"/>
      <c r="O22" s="219" t="s">
        <v>320</v>
      </c>
      <c r="P22" s="219" t="s">
        <v>320</v>
      </c>
      <c r="Q22" s="209" t="s">
        <v>320</v>
      </c>
      <c r="R22" s="250"/>
      <c r="S22" s="219" t="s">
        <v>325</v>
      </c>
      <c r="T22" s="209" t="s">
        <v>325</v>
      </c>
    </row>
    <row r="23" spans="2:20">
      <c r="B23" s="239" t="s">
        <v>364</v>
      </c>
      <c r="C23" s="229" t="s">
        <v>290</v>
      </c>
      <c r="D23" s="273" t="s">
        <v>290</v>
      </c>
      <c r="E23" s="250"/>
      <c r="F23" s="229" t="s">
        <v>290</v>
      </c>
      <c r="G23" s="230" t="s">
        <v>290</v>
      </c>
      <c r="H23" s="250"/>
      <c r="I23" s="229" t="s">
        <v>290</v>
      </c>
      <c r="J23" s="230" t="s">
        <v>290</v>
      </c>
      <c r="K23" s="250"/>
      <c r="L23" s="229" t="s">
        <v>290</v>
      </c>
      <c r="M23" s="230" t="s">
        <v>290</v>
      </c>
      <c r="N23" s="250"/>
      <c r="O23" s="229" t="s">
        <v>290</v>
      </c>
      <c r="P23" s="229" t="s">
        <v>290</v>
      </c>
      <c r="Q23" s="230" t="s">
        <v>290</v>
      </c>
      <c r="R23" s="250"/>
      <c r="S23" s="229" t="s">
        <v>290</v>
      </c>
      <c r="T23" s="230" t="s">
        <v>290</v>
      </c>
    </row>
    <row r="24" spans="2:20">
      <c r="B24" s="239" t="s">
        <v>4</v>
      </c>
      <c r="C24" s="265" t="s">
        <v>259</v>
      </c>
      <c r="D24" s="262" t="s">
        <v>259</v>
      </c>
      <c r="E24" s="250"/>
      <c r="F24" s="265" t="s">
        <v>259</v>
      </c>
      <c r="G24" s="262" t="s">
        <v>259</v>
      </c>
      <c r="H24" s="250"/>
      <c r="I24" s="265" t="s">
        <v>259</v>
      </c>
      <c r="J24" s="262" t="s">
        <v>259</v>
      </c>
      <c r="K24" s="250"/>
      <c r="L24" s="245" t="s">
        <v>259</v>
      </c>
      <c r="M24" s="249" t="s">
        <v>259</v>
      </c>
      <c r="N24" s="250"/>
      <c r="O24" s="265" t="s">
        <v>259</v>
      </c>
      <c r="P24" s="262" t="s">
        <v>259</v>
      </c>
      <c r="Q24" s="265" t="s">
        <v>259</v>
      </c>
      <c r="R24" s="250"/>
      <c r="S24" s="265" t="s">
        <v>259</v>
      </c>
      <c r="T24" s="262" t="s">
        <v>259</v>
      </c>
    </row>
    <row r="25" spans="2:20">
      <c r="B25" s="239" t="s">
        <v>380</v>
      </c>
      <c r="C25" s="276" t="s">
        <v>312</v>
      </c>
      <c r="D25" s="274" t="s">
        <v>312</v>
      </c>
      <c r="E25" s="250"/>
      <c r="F25" s="276"/>
      <c r="G25" s="274"/>
      <c r="H25" s="250"/>
      <c r="I25" s="276" t="s">
        <v>312</v>
      </c>
      <c r="J25" s="274" t="s">
        <v>312</v>
      </c>
      <c r="K25" s="250"/>
      <c r="L25" s="235"/>
      <c r="M25" s="235"/>
      <c r="N25" s="250"/>
      <c r="O25" s="276" t="s">
        <v>312</v>
      </c>
      <c r="P25" s="274" t="s">
        <v>312</v>
      </c>
      <c r="Q25" s="276" t="s">
        <v>312</v>
      </c>
      <c r="R25" s="250"/>
      <c r="S25" s="276" t="s">
        <v>312</v>
      </c>
      <c r="T25" s="274" t="s">
        <v>312</v>
      </c>
    </row>
    <row r="26" spans="2:20">
      <c r="B26" s="240" t="s">
        <v>363</v>
      </c>
      <c r="C26" s="277"/>
      <c r="D26" s="275"/>
      <c r="E26" s="250"/>
      <c r="F26" s="277"/>
      <c r="G26" s="275"/>
      <c r="H26" s="250"/>
      <c r="I26" s="277"/>
      <c r="J26" s="275"/>
      <c r="K26" s="250"/>
      <c r="L26" s="247"/>
      <c r="M26" s="248"/>
      <c r="N26" s="250"/>
      <c r="O26" s="277"/>
      <c r="P26" s="275" t="s">
        <v>324</v>
      </c>
      <c r="Q26" s="277" t="s">
        <v>324</v>
      </c>
      <c r="R26" s="250"/>
      <c r="S26" s="277"/>
      <c r="T26" s="275" t="s">
        <v>76</v>
      </c>
    </row>
    <row r="27" spans="2:20">
      <c r="B27" s="239" t="s">
        <v>96</v>
      </c>
      <c r="C27" s="242" t="s">
        <v>313</v>
      </c>
      <c r="D27" s="223" t="s">
        <v>313</v>
      </c>
      <c r="E27" s="250"/>
      <c r="F27" s="219" t="s">
        <v>313</v>
      </c>
      <c r="G27" s="209" t="s">
        <v>313</v>
      </c>
      <c r="H27" s="250"/>
      <c r="I27" s="219" t="s">
        <v>313</v>
      </c>
      <c r="J27" s="209" t="s">
        <v>313</v>
      </c>
      <c r="K27" s="250"/>
      <c r="L27" s="219" t="s">
        <v>63</v>
      </c>
      <c r="M27" s="209" t="s">
        <v>63</v>
      </c>
      <c r="N27" s="250"/>
      <c r="O27" s="219" t="s">
        <v>313</v>
      </c>
      <c r="P27" s="219" t="s">
        <v>313</v>
      </c>
      <c r="Q27" s="209" t="s">
        <v>313</v>
      </c>
      <c r="R27" s="250"/>
      <c r="S27" s="219" t="s">
        <v>313</v>
      </c>
      <c r="T27" s="209" t="s">
        <v>313</v>
      </c>
    </row>
    <row r="28" spans="2:20">
      <c r="B28" s="239" t="s">
        <v>103</v>
      </c>
      <c r="C28" s="242" t="s">
        <v>48</v>
      </c>
      <c r="D28" s="223" t="s">
        <v>48</v>
      </c>
      <c r="E28" s="250"/>
      <c r="F28" s="219" t="s">
        <v>48</v>
      </c>
      <c r="G28" s="209" t="s">
        <v>48</v>
      </c>
      <c r="H28" s="250"/>
      <c r="I28" s="219" t="s">
        <v>48</v>
      </c>
      <c r="J28" s="209" t="s">
        <v>48</v>
      </c>
      <c r="K28" s="250"/>
      <c r="L28" s="219" t="s">
        <v>48</v>
      </c>
      <c r="M28" s="209" t="s">
        <v>48</v>
      </c>
      <c r="N28" s="250"/>
      <c r="O28" s="219" t="s">
        <v>48</v>
      </c>
      <c r="P28" s="219" t="s">
        <v>48</v>
      </c>
      <c r="Q28" s="209" t="s">
        <v>48</v>
      </c>
      <c r="R28" s="250"/>
      <c r="S28" s="219" t="s">
        <v>48</v>
      </c>
      <c r="T28" s="209" t="s">
        <v>48</v>
      </c>
    </row>
    <row r="29" spans="2:20">
      <c r="B29" s="239" t="s">
        <v>369</v>
      </c>
      <c r="C29" s="242" t="s">
        <v>35</v>
      </c>
      <c r="D29" s="223" t="s">
        <v>35</v>
      </c>
      <c r="E29" s="250"/>
      <c r="F29" s="219" t="s">
        <v>35</v>
      </c>
      <c r="G29" s="209" t="s">
        <v>35</v>
      </c>
      <c r="H29" s="250"/>
      <c r="I29" s="219" t="s">
        <v>35</v>
      </c>
      <c r="J29" s="209" t="s">
        <v>35</v>
      </c>
      <c r="K29" s="250"/>
      <c r="L29" s="219" t="s">
        <v>35</v>
      </c>
      <c r="M29" s="209" t="s">
        <v>35</v>
      </c>
      <c r="N29" s="250"/>
      <c r="O29" s="219" t="s">
        <v>35</v>
      </c>
      <c r="P29" s="219" t="s">
        <v>35</v>
      </c>
      <c r="Q29" s="209" t="s">
        <v>35</v>
      </c>
      <c r="R29" s="250"/>
      <c r="S29" s="219" t="s">
        <v>35</v>
      </c>
      <c r="T29" s="209" t="s">
        <v>35</v>
      </c>
    </row>
    <row r="30" spans="2:20">
      <c r="B30" s="239" t="s">
        <v>144</v>
      </c>
      <c r="C30" s="242" t="s">
        <v>0</v>
      </c>
      <c r="D30" s="223" t="s">
        <v>0</v>
      </c>
      <c r="E30" s="250"/>
      <c r="F30" s="219" t="s">
        <v>0</v>
      </c>
      <c r="G30" s="209" t="s">
        <v>0</v>
      </c>
      <c r="H30" s="250"/>
      <c r="I30" s="219" t="s">
        <v>0</v>
      </c>
      <c r="J30" s="209" t="s">
        <v>0</v>
      </c>
      <c r="K30" s="250"/>
      <c r="L30" s="219" t="s">
        <v>0</v>
      </c>
      <c r="M30" s="209" t="s">
        <v>0</v>
      </c>
      <c r="N30" s="250"/>
      <c r="O30" s="219" t="s">
        <v>0</v>
      </c>
      <c r="P30" s="219" t="s">
        <v>0</v>
      </c>
      <c r="Q30" s="209" t="s">
        <v>0</v>
      </c>
      <c r="R30" s="226"/>
      <c r="S30" s="219" t="s">
        <v>0</v>
      </c>
      <c r="T30" s="209" t="s">
        <v>0</v>
      </c>
    </row>
    <row r="31" spans="2:20">
      <c r="B31" s="239" t="s">
        <v>260</v>
      </c>
      <c r="C31" s="242"/>
      <c r="D31" s="223"/>
      <c r="E31" s="250"/>
      <c r="F31" s="219"/>
      <c r="G31" s="209"/>
      <c r="H31" s="250"/>
      <c r="I31" s="219"/>
      <c r="J31" s="209"/>
      <c r="K31" s="250"/>
      <c r="L31" s="219"/>
      <c r="M31" s="209"/>
      <c r="N31" s="250"/>
      <c r="O31" s="219"/>
      <c r="P31" s="219"/>
      <c r="Q31" s="209"/>
      <c r="R31" s="226"/>
      <c r="S31" s="219"/>
      <c r="T31" s="209"/>
    </row>
    <row r="32" spans="2:20">
      <c r="B32" s="239" t="s">
        <v>261</v>
      </c>
      <c r="C32" s="242" t="s">
        <v>262</v>
      </c>
      <c r="D32" s="223" t="s">
        <v>262</v>
      </c>
      <c r="E32" s="250"/>
      <c r="F32" s="219" t="s">
        <v>262</v>
      </c>
      <c r="G32" s="209" t="s">
        <v>262</v>
      </c>
      <c r="H32" s="250"/>
      <c r="I32" s="219" t="s">
        <v>262</v>
      </c>
      <c r="J32" s="209" t="s">
        <v>262</v>
      </c>
      <c r="K32" s="250"/>
      <c r="L32" s="219" t="s">
        <v>262</v>
      </c>
      <c r="M32" s="209" t="s">
        <v>262</v>
      </c>
      <c r="N32" s="250"/>
      <c r="O32" s="219" t="s">
        <v>262</v>
      </c>
      <c r="P32" s="219" t="s">
        <v>262</v>
      </c>
      <c r="Q32" s="209" t="s">
        <v>262</v>
      </c>
      <c r="R32" s="226"/>
      <c r="S32" s="219" t="s">
        <v>262</v>
      </c>
      <c r="T32" s="209" t="s">
        <v>262</v>
      </c>
    </row>
    <row r="33" spans="2:20">
      <c r="B33" s="239" t="s">
        <v>365</v>
      </c>
      <c r="C33" s="242"/>
      <c r="D33" s="223"/>
      <c r="E33" s="250"/>
      <c r="F33" s="222">
        <f>_xll.meDateFromTenor(COB,"2M",F29,F30)</f>
        <v>42499</v>
      </c>
      <c r="G33" s="223">
        <f>_xll.meDateFromTenor(COB,"2M",G29,G30)</f>
        <v>42499</v>
      </c>
      <c r="H33" s="250"/>
      <c r="I33" s="222"/>
      <c r="J33" s="223"/>
      <c r="K33" s="250"/>
      <c r="L33" s="222"/>
      <c r="M33" s="223"/>
      <c r="N33" s="250"/>
      <c r="O33" s="222"/>
      <c r="P33" s="222"/>
      <c r="Q33" s="223"/>
      <c r="R33" s="231"/>
      <c r="S33" s="222"/>
      <c r="T33" s="223"/>
    </row>
    <row r="34" spans="2:20">
      <c r="B34" s="239" t="s">
        <v>366</v>
      </c>
      <c r="C34" s="242"/>
      <c r="D34" s="223"/>
      <c r="E34" s="250"/>
      <c r="F34" s="222"/>
      <c r="G34" s="223"/>
      <c r="H34" s="250"/>
      <c r="I34" s="222">
        <v>42871</v>
      </c>
      <c r="J34" s="223">
        <v>42871</v>
      </c>
      <c r="K34" s="250"/>
      <c r="L34" s="222"/>
      <c r="M34" s="223"/>
      <c r="N34" s="250"/>
      <c r="O34" s="222"/>
      <c r="P34" s="222"/>
      <c r="Q34" s="223"/>
      <c r="R34" s="231"/>
      <c r="S34" s="222"/>
      <c r="T34" s="223"/>
    </row>
    <row r="35" spans="2:20">
      <c r="B35" s="240" t="s">
        <v>263</v>
      </c>
      <c r="C35" s="244" t="s">
        <v>359</v>
      </c>
      <c r="D35" s="254" t="s">
        <v>359</v>
      </c>
      <c r="E35" s="250"/>
      <c r="F35" s="245" t="s">
        <v>322</v>
      </c>
      <c r="G35" s="249" t="s">
        <v>322</v>
      </c>
      <c r="H35" s="250"/>
      <c r="I35" s="245"/>
      <c r="J35" s="249"/>
      <c r="K35" s="250"/>
      <c r="L35" s="245" t="s">
        <v>341</v>
      </c>
      <c r="M35" s="249" t="s">
        <v>341</v>
      </c>
      <c r="N35" s="250"/>
      <c r="O35" s="245" t="s">
        <v>341</v>
      </c>
      <c r="P35" s="245" t="s">
        <v>341</v>
      </c>
      <c r="Q35" s="249" t="s">
        <v>341</v>
      </c>
      <c r="R35" s="246"/>
      <c r="S35" s="245" t="s">
        <v>342</v>
      </c>
      <c r="T35" s="249" t="s">
        <v>342</v>
      </c>
    </row>
    <row r="36" spans="2:20" s="250" customFormat="1"/>
    <row r="37" spans="2:20">
      <c r="N37" s="250"/>
    </row>
    <row r="38" spans="2:20">
      <c r="B38" s="252" t="s">
        <v>314</v>
      </c>
      <c r="C38" s="243">
        <f>C21</f>
        <v>42438</v>
      </c>
      <c r="D38" s="208">
        <f>D21</f>
        <v>42438</v>
      </c>
      <c r="E38" s="214"/>
      <c r="F38" s="220">
        <f>F21</f>
        <v>42438</v>
      </c>
      <c r="G38" s="208">
        <f>G21</f>
        <v>42438</v>
      </c>
      <c r="H38" s="214"/>
      <c r="I38" s="220">
        <f>I34</f>
        <v>42871</v>
      </c>
      <c r="J38" s="208">
        <f>J34</f>
        <v>42871</v>
      </c>
      <c r="K38" s="214"/>
      <c r="L38" s="220">
        <f>L21</f>
        <v>42438</v>
      </c>
      <c r="M38" s="208">
        <f>M21</f>
        <v>42438</v>
      </c>
      <c r="N38" s="214"/>
      <c r="O38" s="220">
        <f>O21</f>
        <v>42438</v>
      </c>
      <c r="P38" s="220">
        <f>P21</f>
        <v>42438</v>
      </c>
      <c r="Q38" s="208">
        <f>Q21</f>
        <v>42438</v>
      </c>
      <c r="R38" s="214"/>
      <c r="S38" s="220">
        <f>S21</f>
        <v>42438</v>
      </c>
      <c r="T38" s="208">
        <f>T21</f>
        <v>42438</v>
      </c>
    </row>
    <row r="39" spans="2:20">
      <c r="B39" s="253" t="s">
        <v>321</v>
      </c>
      <c r="C39" s="241">
        <f>_xll.meDateFromTenor(C21,"4M",C29,C30)</f>
        <v>42562</v>
      </c>
      <c r="D39" s="211"/>
      <c r="E39" s="214"/>
      <c r="F39" s="221">
        <f>F33</f>
        <v>42499</v>
      </c>
      <c r="G39" s="211">
        <f>G33</f>
        <v>42499</v>
      </c>
      <c r="H39" s="214"/>
      <c r="I39" s="221">
        <f>_xll.meDateFromTenor(I21,I22,I29,I30)</f>
        <v>42926</v>
      </c>
      <c r="J39" s="211">
        <f>_xll.meDateFromTenor(J21,J22,J29,J30)</f>
        <v>42926</v>
      </c>
      <c r="K39" s="214"/>
      <c r="L39" s="221">
        <f>_xll.meDateFromTenor(L21,L22,L29,L30)</f>
        <v>42473</v>
      </c>
      <c r="M39" s="211"/>
      <c r="N39" s="214"/>
      <c r="O39" s="221"/>
      <c r="P39" s="221"/>
      <c r="Q39" s="211"/>
      <c r="R39" s="214"/>
      <c r="S39" s="221"/>
      <c r="T39" s="211"/>
    </row>
    <row r="40" spans="2:20" s="250" customFormat="1">
      <c r="D40" s="263"/>
      <c r="E40" s="214"/>
      <c r="F40" s="263"/>
      <c r="G40" s="263"/>
      <c r="H40" s="214"/>
      <c r="I40" s="263"/>
      <c r="J40" s="263"/>
      <c r="K40" s="214"/>
      <c r="L40" s="263"/>
      <c r="M40" s="263"/>
      <c r="N40" s="214"/>
      <c r="O40" s="263"/>
      <c r="P40" s="263"/>
      <c r="Q40" s="263"/>
      <c r="R40" s="214"/>
      <c r="S40" s="263"/>
      <c r="T40" s="263"/>
    </row>
    <row r="41" spans="2:20" s="250" customFormat="1">
      <c r="C41" s="263"/>
      <c r="D41" s="263"/>
      <c r="E41" s="214"/>
      <c r="F41" s="263"/>
      <c r="G41" s="263"/>
      <c r="H41" s="214"/>
      <c r="I41" s="263"/>
      <c r="J41" s="263"/>
      <c r="K41" s="214"/>
      <c r="L41" s="263"/>
      <c r="M41" s="263"/>
      <c r="N41" s="214"/>
      <c r="O41" s="263"/>
      <c r="P41" s="263"/>
      <c r="Q41" s="263"/>
      <c r="R41" s="214"/>
      <c r="S41" s="263"/>
      <c r="T41" s="263"/>
    </row>
    <row r="42" spans="2:20">
      <c r="C42" s="267" t="s">
        <v>377</v>
      </c>
      <c r="D42" s="268" t="s">
        <v>378</v>
      </c>
      <c r="E42" s="3"/>
      <c r="F42" s="204"/>
      <c r="G42" s="204"/>
      <c r="H42" s="204"/>
      <c r="L42" s="204"/>
      <c r="M42" s="204"/>
    </row>
    <row r="43" spans="2:20" s="250" customFormat="1">
      <c r="B43" s="252" t="s">
        <v>364</v>
      </c>
      <c r="C43" s="264" t="str">
        <f>$C$23</f>
        <v>EURYC</v>
      </c>
      <c r="D43" s="261"/>
      <c r="E43" s="3"/>
      <c r="F43" s="204"/>
      <c r="G43" s="269"/>
      <c r="H43" s="204"/>
      <c r="L43" s="204"/>
      <c r="M43" s="204"/>
    </row>
    <row r="44" spans="2:20" s="250" customFormat="1">
      <c r="B44" s="210" t="s">
        <v>4</v>
      </c>
      <c r="C44" s="265" t="str">
        <f>$C$24</f>
        <v>Spline</v>
      </c>
      <c r="D44" s="262"/>
      <c r="E44" s="3"/>
      <c r="F44" s="204"/>
      <c r="G44" s="204"/>
      <c r="H44" s="204"/>
      <c r="L44" s="204"/>
      <c r="M44" s="204"/>
    </row>
    <row r="45" spans="2:20" s="250" customFormat="1">
      <c r="B45" s="210" t="s">
        <v>370</v>
      </c>
      <c r="C45" s="266" t="s">
        <v>165</v>
      </c>
      <c r="D45" s="256"/>
      <c r="E45" s="3"/>
      <c r="F45" s="204"/>
      <c r="G45" s="204"/>
      <c r="H45" s="204"/>
      <c r="L45" s="204"/>
      <c r="M45" s="204"/>
    </row>
    <row r="46" spans="2:20" s="250" customFormat="1">
      <c r="B46" s="210" t="s">
        <v>103</v>
      </c>
      <c r="C46" s="222" t="str">
        <f t="shared" ref="C46:D48" si="0">C28</f>
        <v>Act/360</v>
      </c>
      <c r="D46" s="242" t="str">
        <f t="shared" si="0"/>
        <v>Act/360</v>
      </c>
      <c r="E46" s="3"/>
    </row>
    <row r="47" spans="2:20" s="250" customFormat="1">
      <c r="B47" s="210" t="s">
        <v>369</v>
      </c>
      <c r="C47" s="222" t="str">
        <f t="shared" si="0"/>
        <v>MOD_FOLLOWING</v>
      </c>
      <c r="D47" s="242" t="str">
        <f t="shared" si="0"/>
        <v>MOD_FOLLOWING</v>
      </c>
      <c r="E47" s="3"/>
    </row>
    <row r="48" spans="2:20" s="250" customFormat="1">
      <c r="B48" s="253" t="s">
        <v>144</v>
      </c>
      <c r="C48" s="270" t="str">
        <f t="shared" si="0"/>
        <v>TGT</v>
      </c>
      <c r="D48" s="271" t="str">
        <f t="shared" si="0"/>
        <v>TGT</v>
      </c>
      <c r="E48" s="3"/>
    </row>
    <row r="49" spans="2:19" s="250" customFormat="1">
      <c r="B49" s="204"/>
      <c r="D49" s="204"/>
      <c r="F49" s="204"/>
      <c r="G49" s="204"/>
      <c r="H49" s="204"/>
      <c r="L49" s="204"/>
      <c r="M49" s="204"/>
    </row>
    <row r="50" spans="2:19" s="250" customFormat="1">
      <c r="B50" s="204"/>
      <c r="D50" s="204"/>
      <c r="F50" s="204"/>
      <c r="G50" s="204"/>
      <c r="H50" s="204"/>
      <c r="L50" s="204"/>
      <c r="M50" s="204"/>
    </row>
    <row r="51" spans="2:19">
      <c r="B51" s="1" t="s">
        <v>326</v>
      </c>
      <c r="D51" s="255"/>
      <c r="F51" s="250"/>
      <c r="G51" s="1" t="s">
        <v>372</v>
      </c>
      <c r="Q51" s="135"/>
    </row>
    <row r="52" spans="2:19">
      <c r="B52" s="278" t="s">
        <v>367</v>
      </c>
      <c r="C52" s="258" t="s">
        <v>368</v>
      </c>
      <c r="D52" s="258" t="s">
        <v>371</v>
      </c>
      <c r="E52" s="258" t="s">
        <v>375</v>
      </c>
      <c r="F52" s="258" t="s">
        <v>376</v>
      </c>
      <c r="G52" s="258" t="s">
        <v>311</v>
      </c>
      <c r="H52" s="279" t="s">
        <v>323</v>
      </c>
    </row>
    <row r="53" spans="2:19">
      <c r="B53" s="280">
        <f>$C$21</f>
        <v>42438</v>
      </c>
      <c r="C53" s="206" t="s">
        <v>302</v>
      </c>
      <c r="D53" s="206" t="s">
        <v>165</v>
      </c>
      <c r="E53" s="257" t="s">
        <v>315</v>
      </c>
      <c r="F53" s="257" t="str">
        <f>E53</f>
        <v>annual</v>
      </c>
      <c r="G53" s="207">
        <f ca="1">IF(NOW(),_xll.meProductSwapParRate(_xll.meUtilityLVBGroup(_xll.meUtilityLVBFromKeysValues($B$52:$F$52,$B53:$F53),_xll.meUtilityLVB($B$43:$C$45),_xll.meUtilityLVB($B$46:$D$48,{"fixed","float"})),FALSE))</f>
        <v>-3.6099999999664812E-3</v>
      </c>
      <c r="H53" s="281">
        <f>_xll.meDateFromTenor($C$38,C53,$C$29,$C$30)</f>
        <v>42439</v>
      </c>
      <c r="J53" s="207"/>
      <c r="K53" s="213"/>
    </row>
    <row r="54" spans="2:19">
      <c r="B54" s="280">
        <f t="shared" ref="B54:B57" si="1">$C$21</f>
        <v>42438</v>
      </c>
      <c r="C54" s="206" t="s">
        <v>16</v>
      </c>
      <c r="D54" s="206" t="s">
        <v>318</v>
      </c>
      <c r="E54" s="257" t="s">
        <v>316</v>
      </c>
      <c r="F54" s="257" t="str">
        <f>E54</f>
        <v>monthly</v>
      </c>
      <c r="G54" s="207">
        <f ca="1">IF(NOW(),_xll.meProductSwapParRate(_xll.meUtilityLVBGroup(_xll.meUtilityLVBFromKeysValues($B$52:$F$52,$B54:$F54),_xll.meUtilityLVB($B$43:$C$45),_xll.meUtilityLVB($B$46:$D$48,{"fixed","float"})),FALSE))</f>
        <v>-4.1531590021446569E-3</v>
      </c>
      <c r="H54" s="281">
        <f>_xll.meDateFromTenor($C$38,C54,$C$29,$C$30)</f>
        <v>42471</v>
      </c>
    </row>
    <row r="55" spans="2:19">
      <c r="B55" s="280">
        <f t="shared" si="1"/>
        <v>42438</v>
      </c>
      <c r="C55" s="206" t="s">
        <v>46</v>
      </c>
      <c r="D55" s="206" t="s">
        <v>286</v>
      </c>
      <c r="E55" s="257" t="s">
        <v>317</v>
      </c>
      <c r="F55" s="257" t="str">
        <f>E55</f>
        <v>quarterly</v>
      </c>
      <c r="G55" s="207">
        <f ca="1">IF(NOW(),_xll.meProductSwapParRate(_xll.meUtilityLVBGroup(_xll.meUtilityLVBFromKeysValues($B$52:$F$52,$B55:$F55),_xll.meUtilityLVB($B$43:$C$45),_xll.meUtilityLVB($B$46:$D$48,{"fixed","float"})),FALSE))</f>
        <v>-2.7412866639236308E-3</v>
      </c>
      <c r="H55" s="281">
        <f>_xll.meDateFromTenor($C$38,C55,$C$29,$C$30)</f>
        <v>42530</v>
      </c>
      <c r="J55" s="250"/>
    </row>
    <row r="56" spans="2:19">
      <c r="B56" s="280">
        <f t="shared" si="1"/>
        <v>42438</v>
      </c>
      <c r="C56" s="206" t="s">
        <v>18</v>
      </c>
      <c r="D56" s="206" t="s">
        <v>289</v>
      </c>
      <c r="E56" s="257" t="s">
        <v>212</v>
      </c>
      <c r="F56" s="257" t="str">
        <f>E56</f>
        <v>semi-annual</v>
      </c>
      <c r="G56" s="207">
        <f ca="1">IF(NOW(),_xll.meProductSwapParRate(_xll.meUtilityLVBGroup(_xll.meUtilityLVBFromKeysValues($B$52:$F$52,$B56:$F56),_xll.meUtilityLVB($B$43:$C$45),_xll.meUtilityLVB($B$46:$D$48,{"fixed","float"})),FALSE))</f>
        <v>-1.2599999999999565E-3</v>
      </c>
      <c r="H56" s="281">
        <f>_xll.meDateFromTenor($C$38,C56,$C$29,$C$30)</f>
        <v>42622</v>
      </c>
    </row>
    <row r="57" spans="2:19">
      <c r="B57" s="282">
        <f t="shared" si="1"/>
        <v>42438</v>
      </c>
      <c r="C57" s="283" t="s">
        <v>210</v>
      </c>
      <c r="D57" s="283" t="s">
        <v>319</v>
      </c>
      <c r="E57" s="284" t="s">
        <v>315</v>
      </c>
      <c r="F57" s="284" t="str">
        <f>E57</f>
        <v>annual</v>
      </c>
      <c r="G57" s="285">
        <f ca="1">IF(NOW(),_xll.meProductSwapParRate(_xll.meUtilityLVBGroup(_xll.meUtilityLVBFromKeysValues($B$52:$F$52,$B57:$F57),_xll.meUtilityLVB($B$43:$C$45),_xll.meUtilityLVB($B$46:$D$48,{"fixed","float"})),FALSE))</f>
        <v>-1.5209934147408181E-4</v>
      </c>
      <c r="H57" s="286">
        <f>_xll.meDateFromTenor($C$38,C57,$C$29,$C$30)</f>
        <v>42803</v>
      </c>
    </row>
    <row r="58" spans="2:19">
      <c r="B58" s="206"/>
      <c r="C58" s="206"/>
      <c r="D58" s="207"/>
      <c r="E58" s="207"/>
      <c r="F58" s="207"/>
      <c r="G58" s="212"/>
      <c r="H58" s="212"/>
    </row>
    <row r="59" spans="2:19">
      <c r="F59" s="250"/>
      <c r="J59" s="250"/>
    </row>
    <row r="60" spans="2:19">
      <c r="B60" s="1" t="s">
        <v>327</v>
      </c>
      <c r="F60" s="250"/>
      <c r="G60" s="1" t="s">
        <v>372</v>
      </c>
      <c r="J60" s="250"/>
    </row>
    <row r="61" spans="2:19">
      <c r="B61" s="278" t="s">
        <v>371</v>
      </c>
      <c r="C61" s="258" t="s">
        <v>367</v>
      </c>
      <c r="D61" s="258" t="s">
        <v>368</v>
      </c>
      <c r="E61" s="258" t="s">
        <v>375</v>
      </c>
      <c r="F61" s="258" t="s">
        <v>376</v>
      </c>
      <c r="G61" s="258" t="s">
        <v>311</v>
      </c>
      <c r="H61" s="279" t="s">
        <v>323</v>
      </c>
      <c r="J61" s="250"/>
    </row>
    <row r="62" spans="2:19">
      <c r="B62" s="287" t="s">
        <v>165</v>
      </c>
      <c r="C62" s="257">
        <f>$I$38</f>
        <v>42871</v>
      </c>
      <c r="D62" s="206" t="s">
        <v>302</v>
      </c>
      <c r="E62" s="257" t="s">
        <v>315</v>
      </c>
      <c r="F62" s="257" t="str">
        <f>E62</f>
        <v>annual</v>
      </c>
      <c r="G62" s="207">
        <f ca="1">IF(NOW(),_xll.meProductSwapParRate(_xll.meUtilityLVBFromMultipleKeysValues($B$61:$F$61,$B62:$F62,,$B$43:$B$45,$C$43:$C$45,,$B$46:$B$48,$C$46:$C$48,"fixed",$B$46:$B$48,$D$46:$D$48,"float"),FALSE))</f>
        <v>-4.9078004000210557E-3</v>
      </c>
      <c r="H62" s="281">
        <f>_xll.meDateFromTenor(C62,D62,$C$29,$C$30)</f>
        <v>42872</v>
      </c>
      <c r="J62" s="255"/>
      <c r="S62" s="206"/>
    </row>
    <row r="63" spans="2:19">
      <c r="B63" s="287" t="s">
        <v>318</v>
      </c>
      <c r="C63" s="257">
        <f>$I$38</f>
        <v>42871</v>
      </c>
      <c r="D63" s="206" t="s">
        <v>16</v>
      </c>
      <c r="E63" s="257" t="s">
        <v>316</v>
      </c>
      <c r="F63" s="257" t="str">
        <f>E63</f>
        <v>monthly</v>
      </c>
      <c r="G63" s="207">
        <f ca="1">IF(NOW(),_xll.meProductSwapParRate(_xll.meUtilityLVBFromMultipleKeysValues($B$61:$F$61,$B63:$F63,,$B$43:$B$45,$C$43:$C$45,,$B$46:$B$48,$C$46:$C$48,"fixed",$B$46:$B$48,$D$46:$D$48,"float"),FALSE))</f>
        <v>-4.8272084018365843E-3</v>
      </c>
      <c r="H63" s="281">
        <f>_xll.meDateFromTenor(C63,D63,$C$29,$C$30)</f>
        <v>42902</v>
      </c>
      <c r="J63" s="250"/>
      <c r="S63" s="212"/>
    </row>
    <row r="64" spans="2:19">
      <c r="B64" s="287" t="s">
        <v>286</v>
      </c>
      <c r="C64" s="257">
        <f>$I$38</f>
        <v>42871</v>
      </c>
      <c r="D64" s="206" t="s">
        <v>46</v>
      </c>
      <c r="E64" s="257" t="s">
        <v>317</v>
      </c>
      <c r="F64" s="257" t="str">
        <f>E64</f>
        <v>quarterly</v>
      </c>
      <c r="G64" s="207">
        <f ca="1">IF(NOW(),_xll.meProductSwapParRate(_xll.meUtilityLVBFromMultipleKeysValues($B$61:$F$61,$B64:$F64,,$B$43:$B$45,$C$43:$C$45,,$B$46:$B$48,$C$46:$C$48,"fixed",$B$46:$B$48,$D$46:$D$48,"float"),FALSE))</f>
        <v>-3.2864931308024502E-3</v>
      </c>
      <c r="H64" s="281">
        <f>_xll.meDateFromTenor(C64,D64,$C$29,$C$30)</f>
        <v>42963</v>
      </c>
      <c r="S64" s="212"/>
    </row>
    <row r="65" spans="2:19">
      <c r="B65" s="287" t="s">
        <v>289</v>
      </c>
      <c r="C65" s="257">
        <f>$I$38</f>
        <v>42871</v>
      </c>
      <c r="D65" s="206" t="s">
        <v>18</v>
      </c>
      <c r="E65" s="257" t="s">
        <v>212</v>
      </c>
      <c r="F65" s="257" t="str">
        <f>E65</f>
        <v>semi-annual</v>
      </c>
      <c r="G65" s="207">
        <f ca="1">IF(NOW(),_xll.meProductSwapParRate(_xll.meUtilityLVBFromMultipleKeysValues($B$61:$F$61,$B65:$F65,,$B$43:$B$45,$C$43:$C$45,,$B$46:$B$48,$C$46:$C$48,"fixed",$B$46:$B$48,$D$46:$D$48,"float"),FALSE))</f>
        <v>-1.9951956800827045E-3</v>
      </c>
      <c r="H65" s="281">
        <f>_xll.meDateFromTenor(C65,D65,$C$29,$C$30)</f>
        <v>43055</v>
      </c>
      <c r="S65" s="212"/>
    </row>
    <row r="66" spans="2:19">
      <c r="B66" s="288" t="s">
        <v>319</v>
      </c>
      <c r="C66" s="284">
        <f>$I$38</f>
        <v>42871</v>
      </c>
      <c r="D66" s="283" t="s">
        <v>210</v>
      </c>
      <c r="E66" s="284" t="s">
        <v>315</v>
      </c>
      <c r="F66" s="284" t="str">
        <f>E66</f>
        <v>annual</v>
      </c>
      <c r="G66" s="285">
        <f ca="1">IF(NOW(),_xll.meProductSwapParRate(_xll.meUtilityLVBFromMultipleKeysValues($B$61:$F$61,$B66:$F66,,$B$43:$B$45,$C$43:$C$45,,$B$46:$B$48,$C$46:$C$48,"fixed",$B$46:$B$48,$D$46:$D$48,"float"),FALSE))</f>
        <v>-2.1420719116981035E-4</v>
      </c>
      <c r="H66" s="286">
        <f>_xll.meDateFromTenor(C66,D66,$C$29,$C$30)</f>
        <v>43236</v>
      </c>
      <c r="S66" s="212"/>
    </row>
    <row r="67" spans="2:19">
      <c r="R67" s="212"/>
    </row>
  </sheetData>
  <mergeCells count="12">
    <mergeCell ref="B15:B20"/>
    <mergeCell ref="C15:C20"/>
    <mergeCell ref="D15:D20"/>
    <mergeCell ref="O15:O20"/>
    <mergeCell ref="S15:S20"/>
    <mergeCell ref="F15:F20"/>
    <mergeCell ref="P15:P20"/>
    <mergeCell ref="G15:G20"/>
    <mergeCell ref="L15:L20"/>
    <mergeCell ref="M15:M20"/>
    <mergeCell ref="I15:I20"/>
    <mergeCell ref="J15:J20"/>
  </mergeCells>
  <dataValidations count="3">
    <dataValidation type="list" allowBlank="1" showInputMessage="1" showErrorMessage="1" sqref="O35:Q35 S35:T35 I35:J35 F35:G35 L35:M35 C35:D35">
      <formula1>"None,ShortStart,ShortEnd,LongStart,LongEnd"</formula1>
    </dataValidation>
    <dataValidation type="list" allowBlank="1" showInputMessage="1" showErrorMessage="1" sqref="C29:D29 O29:Q29 S29:T29 I29:J29 F29:G29 L29:M29">
      <formula1>"MOD_FOLLOWING,FOLLOWING,MOD_PRECEDING,PRECEDING,NO_CHANGE"</formula1>
    </dataValidation>
    <dataValidation type="list" allowBlank="1" showInputMessage="1" showErrorMessage="1" sqref="O25:Q25 L25:M25 C25:D25 I25:J25 S25:T25 F25:G25">
      <formula1>"OIS, EUR1ML, EUR3ML, EUR6ML, EUR12ML, NATURAL"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87</vt:i4>
      </vt:variant>
    </vt:vector>
  </HeadingPairs>
  <TitlesOfParts>
    <vt:vector size="90" baseType="lpstr">
      <vt:lpstr>EUR Curve Config</vt:lpstr>
      <vt:lpstr>EUR Curve</vt:lpstr>
      <vt:lpstr>EUR Stub Rate</vt:lpstr>
      <vt:lpstr>'EUR Curve Config'!BasisConv1x3</vt:lpstr>
      <vt:lpstr>'EUR Curve Config'!BasisConv3x6</vt:lpstr>
      <vt:lpstr>'EUR Curve Config'!BasisConv6x12</vt:lpstr>
      <vt:lpstr>'EUR Curve Config'!BasisData1x3</vt:lpstr>
      <vt:lpstr>'EUR Curve Config'!BasisData3x6</vt:lpstr>
      <vt:lpstr>'EUR Curve Config'!BasisData6x12</vt:lpstr>
      <vt:lpstr>'EUR Curve Config'!BlockConstForwardFX</vt:lpstr>
      <vt:lpstr>'EUR Curve Config'!BlockCurveNames</vt:lpstr>
      <vt:lpstr>'EUR Curve Config'!BlockOISCurve</vt:lpstr>
      <vt:lpstr>'EUR Curve Config'!BlockSwapCurve</vt:lpstr>
      <vt:lpstr>'EUR Curve Config'!BlockTenorBasis</vt:lpstr>
      <vt:lpstr>'EUR Curve Config'!BlockXccyBasis</vt:lpstr>
      <vt:lpstr>COB</vt:lpstr>
      <vt:lpstr>'EUR Curve Config'!ConstForwardFXEURCSA</vt:lpstr>
      <vt:lpstr>'EUR Curve Config'!ConstForwardFXGBPCSA</vt:lpstr>
      <vt:lpstr>'EUR Curve Config'!ConstForwardFXJPYCSA</vt:lpstr>
      <vt:lpstr>'EUR Curve Config'!ConstForwardFXProperties</vt:lpstr>
      <vt:lpstr>'EUR Curve Config'!CurveConfig.FixingRate</vt:lpstr>
      <vt:lpstr>'EUR Curve'!CurveDependencyTreeAndErrorCounts</vt:lpstr>
      <vt:lpstr>'EUR Curve Config'!FRAConv</vt:lpstr>
      <vt:lpstr>'EUR Curve Config'!FRADatax3</vt:lpstr>
      <vt:lpstr>'EUR Curve Config'!FRADatax6</vt:lpstr>
      <vt:lpstr>'EUR Curve Config'!FuturesConv</vt:lpstr>
      <vt:lpstr>'EUR Curve Config'!FuturesData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Config'!LiborConv</vt:lpstr>
      <vt:lpstr>'EUR Curve Config'!LiborData</vt:lpstr>
      <vt:lpstr>'EUR Curve Config'!MoneyMarketData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Config'!SwapsConv</vt:lpstr>
      <vt:lpstr>'EUR Curve Config'!SwapsData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Config'!XccyBasisConvEURCSA</vt:lpstr>
      <vt:lpstr>'EUR Curve Config'!XccyBasisConvGBPCSA</vt:lpstr>
      <vt:lpstr>'EUR Curve Config'!XccyBasisConvJPYCSA</vt:lpstr>
      <vt:lpstr>'EUR Curve Config'!XccyBasisConvUSDCSA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Config'!XccyBasisData</vt:lpstr>
      <vt:lpstr>'EUR Curve Config'!XccyBasisProperties</vt:lpstr>
      <vt:lpstr>'EUR Curve Config'!YieldCurvePropertiesOIS</vt:lpstr>
      <vt:lpstr>'EUR Curve Config'!YieldCurvePropertiesSTD</vt:lpstr>
      <vt:lpstr>'EUR Curve Config'!YieldCurvePropertiesTenorBasis</vt:lpstr>
      <vt:lpstr>'EUR Curve Config'!YieldCurvePropertiesXccyBasis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Burgess Nicholas</cp:lastModifiedBy>
  <cp:lastPrinted>2015-03-19T16:04:37Z</cp:lastPrinted>
  <dcterms:created xsi:type="dcterms:W3CDTF">2015-02-04T11:05:27Z</dcterms:created>
  <dcterms:modified xsi:type="dcterms:W3CDTF">2020-09-11T08:58:10Z</dcterms:modified>
</cp:coreProperties>
</file>