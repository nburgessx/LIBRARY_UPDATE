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/>
  <workbookPr codeName="ThisWorkbook" defaultThemeVersion="124226"/>
  <bookViews>
    <workbookView xWindow="480" yWindow="90" windowWidth="20700" windowHeight="11760" tabRatio="703" activeTab="3"/>
  </bookViews>
  <sheets>
    <sheet name="EUR OIS" sheetId="2" r:id="rId1"/>
    <sheet name="EUR SWAP 6ML" sheetId="3" r:id="rId2"/>
    <sheet name="EUR BASIS 3ML" sheetId="4" r:id="rId3"/>
    <sheet name="Swap Pricing" sheetId="22" r:id="rId4"/>
  </sheets>
  <definedNames>
    <definedName name="COB">'EUR OIS'!$D$20</definedName>
    <definedName name="Curve.BuildProperties">'EUR OIS'!$C$20:$D$24</definedName>
    <definedName name="Curve.CollectionName">'EUR OIS'!$D$11</definedName>
    <definedName name="Curve.MarketDataTable">'EUR OIS'!$D$12</definedName>
    <definedName name="Curve.OISIndexName">'EUR OIS'!$D$13</definedName>
    <definedName name="ForwardCurves.CurveID">#REF!</definedName>
    <definedName name="ForwardCurves.Interpolation">#REF!</definedName>
    <definedName name="ForwardCurves.Periodicity">#REF!</definedName>
    <definedName name="Forwards.EUR1ML">#REF!</definedName>
    <definedName name="Forwards.OIS">#REF!</definedName>
    <definedName name="Forwards.StartDate">#REF!</definedName>
    <definedName name="FRA.Conventions">'EUR SWAP 6ML'!$C$51:$D$64</definedName>
    <definedName name="FRA.MarketDataX3">'EUR SWAP 6ML'!$F$52:$G$64</definedName>
    <definedName name="FRA.MarketDataX6">'EUR SWAP 6ML'!$I$52:$J$64</definedName>
    <definedName name="Futures.Conventions">'EUR SWAP 6ML'!$C$72:$D$85</definedName>
    <definedName name="Futures.MarketData">'EUR SWAP 6ML'!$F$73:$J$85</definedName>
    <definedName name="isEUR3MLLoaded">'EUR BASIS 3ML'!$E$8</definedName>
    <definedName name="isEUR6MLLoaded">'EUR SWAP 6ML'!$D$9</definedName>
    <definedName name="isEURGBPLoaded">#REF!</definedName>
    <definedName name="isEUROISLoaded">'EUR OIS'!$D$8</definedName>
    <definedName name="isEURXCCYLoaded">#REF!</definedName>
    <definedName name="isGBP3MLLoaded">#REF!</definedName>
    <definedName name="isGBP6MLLoaded">#REF!</definedName>
    <definedName name="isGBPOISLoaded">#REF!</definedName>
    <definedName name="isGBPXCCYLoaded">#REF!</definedName>
    <definedName name="isUSD3MLLoaded">#REF!</definedName>
    <definedName name="isUSDOISLoaded">#REF!</definedName>
    <definedName name="Libor.Conventions">'EUR SWAP 6ML'!$F$38:$G$43</definedName>
    <definedName name="Libor.MarketData">'EUR SWAP 6ML'!$I$39:$J$43</definedName>
    <definedName name="LiborOISBasis.Conventions">'EUR OIS'!$C$64:$D$89</definedName>
    <definedName name="LiborOISBasis.MarketData">'EUR OIS'!$F$65:$G$89</definedName>
    <definedName name="LiborSwap.Conventions">'EUR OIS'!$I$64:$J$89</definedName>
    <definedName name="LiborSwap.MarketData">'EUR OIS'!$L$65:$M$89</definedName>
    <definedName name="MoneyMarket.Conventions">'EUR SWAP 6ML'!$C$38:$D$43</definedName>
    <definedName name="OIS.Conventions">'EUR OIS'!$C$31:$D$57</definedName>
    <definedName name="OIS.FixingTable">'EUR OIS'!$L$32:$M$57</definedName>
    <definedName name="OIS.MarketData">'EUR OIS'!$F$32:$J$57</definedName>
    <definedName name="STDCurve.Buildproperties">'EUR SWAP 6ML'!$C$22:$D$31</definedName>
    <definedName name="STDCurve.CollectionName">'EUR SWAP 6ML'!$D$13</definedName>
    <definedName name="STDCurve.IndexName">'EUR SWAP 6ML'!$D$15</definedName>
    <definedName name="STDCurve.StaticDataTable">'EUR SWAP 6ML'!$D$14</definedName>
    <definedName name="Swap.Conventions">'EUR SWAP 6ML'!$C$93:$D$111</definedName>
    <definedName name="Swap.MarketData">'EUR SWAP 6ML'!$F$94:$H$111</definedName>
    <definedName name="SwapDescription">'Swap Pricing'!$B$10:$C$45</definedName>
    <definedName name="TenorBasisCurve3M6M.BuildProperties">'EUR BASIS 3ML'!$D$21:$E$31</definedName>
    <definedName name="TenorBasisCurve3M6M.CollectionName">'EUR BASIS 3ML'!$E$12</definedName>
    <definedName name="TenorBasisCurve3M6M.IndexName">'EUR BASIS 3ML'!$E$14</definedName>
    <definedName name="TenorBasisCurve3M6M.StaticDataTable">'EUR BASIS 3ML'!$E$13</definedName>
    <definedName name="TenorBasisSwap3M6M.Conventions">'EUR BASIS 3ML'!$D$38:$E$80</definedName>
    <definedName name="TenorBasisSwap3M6M.MarketData">'EUR BASIS 3ML'!$G$39:$H$80</definedName>
  </definedNames>
  <calcPr calcId="145621" calcMode="manual" calcCompleted="0" calcOnSave="0"/>
</workbook>
</file>

<file path=xl/calcChain.xml><?xml version="1.0" encoding="utf-8"?>
<calcChain xmlns="http://schemas.openxmlformats.org/spreadsheetml/2006/main">
  <c r="C29" i="22" l="1"/>
  <c r="D7" i="2"/>
  <c r="C12" i="22"/>
  <c r="C26" i="22" l="1"/>
  <c r="C40" i="22"/>
  <c r="D8" i="2" l="1"/>
  <c r="D8" i="3"/>
  <c r="D9" i="3" l="1"/>
  <c r="E7" i="4"/>
  <c r="E8" i="4" l="1"/>
  <c r="C68" i="4"/>
  <c r="E30" i="22" l="1" a="1"/>
  <c r="C3" i="22"/>
  <c r="C2" i="22"/>
  <c r="C5" i="22"/>
  <c r="C7" i="22"/>
  <c r="C6" i="22"/>
  <c r="C4" i="22"/>
  <c r="E10" i="22" a="1"/>
  <c r="K10" i="22" l="1"/>
  <c r="I11" i="22"/>
  <c r="G12" i="22"/>
  <c r="E13" i="22"/>
  <c r="M13" i="22"/>
  <c r="K14" i="22"/>
  <c r="I15" i="22"/>
  <c r="G16" i="22"/>
  <c r="E17" i="22"/>
  <c r="M17" i="22"/>
  <c r="K18" i="22"/>
  <c r="I19" i="22"/>
  <c r="G20" i="22"/>
  <c r="E21" i="22"/>
  <c r="M21" i="22"/>
  <c r="K22" i="22"/>
  <c r="I23" i="22"/>
  <c r="G24" i="22"/>
  <c r="E25" i="22"/>
  <c r="M25" i="22"/>
  <c r="K26" i="22"/>
  <c r="L10" i="22"/>
  <c r="J11" i="22"/>
  <c r="H12" i="22"/>
  <c r="F13" i="22"/>
  <c r="N13" i="22"/>
  <c r="L14" i="22"/>
  <c r="J15" i="22"/>
  <c r="H16" i="22"/>
  <c r="F17" i="22"/>
  <c r="N17" i="22"/>
  <c r="L18" i="22"/>
  <c r="J19" i="22"/>
  <c r="H20" i="22"/>
  <c r="F21" i="22"/>
  <c r="N21" i="22"/>
  <c r="L22" i="22"/>
  <c r="J23" i="22"/>
  <c r="H24" i="22"/>
  <c r="F25" i="22"/>
  <c r="N25" i="22"/>
  <c r="L26" i="22"/>
  <c r="F18" i="22"/>
  <c r="J20" i="22"/>
  <c r="F22" i="22"/>
  <c r="L23" i="22"/>
  <c r="H25" i="22"/>
  <c r="N26" i="22"/>
  <c r="E10" i="22"/>
  <c r="M10" i="22"/>
  <c r="K11" i="22"/>
  <c r="I12" i="22"/>
  <c r="G13" i="22"/>
  <c r="E14" i="22"/>
  <c r="M14" i="22"/>
  <c r="K15" i="22"/>
  <c r="I16" i="22"/>
  <c r="G17" i="22"/>
  <c r="E18" i="22"/>
  <c r="M18" i="22"/>
  <c r="K19" i="22"/>
  <c r="I20" i="22"/>
  <c r="G21" i="22"/>
  <c r="E22" i="22"/>
  <c r="M22" i="22"/>
  <c r="K23" i="22"/>
  <c r="I24" i="22"/>
  <c r="G25" i="22"/>
  <c r="E26" i="22"/>
  <c r="M26" i="22"/>
  <c r="F10" i="22"/>
  <c r="N10" i="22"/>
  <c r="L11" i="22"/>
  <c r="J12" i="22"/>
  <c r="H13" i="22"/>
  <c r="F14" i="22"/>
  <c r="N14" i="22"/>
  <c r="L15" i="22"/>
  <c r="J16" i="22"/>
  <c r="H17" i="22"/>
  <c r="N18" i="22"/>
  <c r="L19" i="22"/>
  <c r="H21" i="22"/>
  <c r="N22" i="22"/>
  <c r="J24" i="22"/>
  <c r="I10" i="22"/>
  <c r="G11" i="22"/>
  <c r="E12" i="22"/>
  <c r="M12" i="22"/>
  <c r="K13" i="22"/>
  <c r="I14" i="22"/>
  <c r="G15" i="22"/>
  <c r="E16" i="22"/>
  <c r="M16" i="22"/>
  <c r="K17" i="22"/>
  <c r="I18" i="22"/>
  <c r="G19" i="22"/>
  <c r="E20" i="22"/>
  <c r="M20" i="22"/>
  <c r="K21" i="22"/>
  <c r="I22" i="22"/>
  <c r="G23" i="22"/>
  <c r="E24" i="22"/>
  <c r="M24" i="22"/>
  <c r="K25" i="22"/>
  <c r="I26" i="22"/>
  <c r="G10" i="22"/>
  <c r="F12" i="22"/>
  <c r="H14" i="22"/>
  <c r="K16" i="22"/>
  <c r="J18" i="22"/>
  <c r="L20" i="22"/>
  <c r="E23" i="22"/>
  <c r="N24" i="22"/>
  <c r="H10" i="22"/>
  <c r="K12" i="22"/>
  <c r="J14" i="22"/>
  <c r="L16" i="22"/>
  <c r="E19" i="22"/>
  <c r="N20" i="22"/>
  <c r="F23" i="22"/>
  <c r="I25" i="22"/>
  <c r="E11" i="22"/>
  <c r="N12" i="22"/>
  <c r="F15" i="22"/>
  <c r="I17" i="22"/>
  <c r="H19" i="22"/>
  <c r="J21" i="22"/>
  <c r="M23" i="22"/>
  <c r="L25" i="22"/>
  <c r="F11" i="22"/>
  <c r="H15" i="22"/>
  <c r="J17" i="22"/>
  <c r="L21" i="22"/>
  <c r="F26" i="22"/>
  <c r="J10" i="22"/>
  <c r="L12" i="22"/>
  <c r="E15" i="22"/>
  <c r="N16" i="22"/>
  <c r="F19" i="22"/>
  <c r="I21" i="22"/>
  <c r="H23" i="22"/>
  <c r="J25" i="22"/>
  <c r="H11" i="22"/>
  <c r="J13" i="22"/>
  <c r="M15" i="22"/>
  <c r="L17" i="22"/>
  <c r="N19" i="22"/>
  <c r="G22" i="22"/>
  <c r="F24" i="22"/>
  <c r="G26" i="22"/>
  <c r="M11" i="22"/>
  <c r="L13" i="22"/>
  <c r="N15" i="22"/>
  <c r="G18" i="22"/>
  <c r="F20" i="22"/>
  <c r="H22" i="22"/>
  <c r="K24" i="22"/>
  <c r="H26" i="22"/>
  <c r="N11" i="22"/>
  <c r="G14" i="22"/>
  <c r="F16" i="22"/>
  <c r="H18" i="22"/>
  <c r="K20" i="22"/>
  <c r="J22" i="22"/>
  <c r="L24" i="22"/>
  <c r="J26" i="22"/>
  <c r="I13" i="22"/>
  <c r="M19" i="22"/>
  <c r="N23" i="22"/>
  <c r="L30" i="22"/>
  <c r="H31" i="22"/>
  <c r="P31" i="22"/>
  <c r="L32" i="22"/>
  <c r="H33" i="22"/>
  <c r="P33" i="22"/>
  <c r="L34" i="22"/>
  <c r="H35" i="22"/>
  <c r="P35" i="22"/>
  <c r="L36" i="22"/>
  <c r="H37" i="22"/>
  <c r="P37" i="22"/>
  <c r="L38" i="22"/>
  <c r="H39" i="22"/>
  <c r="P39" i="22"/>
  <c r="L40" i="22"/>
  <c r="H41" i="22"/>
  <c r="P41" i="22"/>
  <c r="L42" i="22"/>
  <c r="H43" i="22"/>
  <c r="P43" i="22"/>
  <c r="L44" i="22"/>
  <c r="H45" i="22"/>
  <c r="P45" i="22"/>
  <c r="E30" i="22"/>
  <c r="M30" i="22"/>
  <c r="I31" i="22"/>
  <c r="E32" i="22"/>
  <c r="M32" i="22"/>
  <c r="I33" i="22"/>
  <c r="E34" i="22"/>
  <c r="M34" i="22"/>
  <c r="I35" i="22"/>
  <c r="E36" i="22"/>
  <c r="M36" i="22"/>
  <c r="I37" i="22"/>
  <c r="E38" i="22"/>
  <c r="M38" i="22"/>
  <c r="I39" i="22"/>
  <c r="E40" i="22"/>
  <c r="M40" i="22"/>
  <c r="I41" i="22"/>
  <c r="E42" i="22"/>
  <c r="M42" i="22"/>
  <c r="I43" i="22"/>
  <c r="E44" i="22"/>
  <c r="M44" i="22"/>
  <c r="I45" i="22"/>
  <c r="F30" i="22"/>
  <c r="N30" i="22"/>
  <c r="J31" i="22"/>
  <c r="F32" i="22"/>
  <c r="N32" i="22"/>
  <c r="J33" i="22"/>
  <c r="F34" i="22"/>
  <c r="N34" i="22"/>
  <c r="J35" i="22"/>
  <c r="F36" i="22"/>
  <c r="N36" i="22"/>
  <c r="J37" i="22"/>
  <c r="F38" i="22"/>
  <c r="N38" i="22"/>
  <c r="J39" i="22"/>
  <c r="F40" i="22"/>
  <c r="N40" i="22"/>
  <c r="J41" i="22"/>
  <c r="F42" i="22"/>
  <c r="N42" i="22"/>
  <c r="J43" i="22"/>
  <c r="F44" i="22"/>
  <c r="N44" i="22"/>
  <c r="J45" i="22"/>
  <c r="G30" i="22"/>
  <c r="O30" i="22"/>
  <c r="K31" i="22"/>
  <c r="G32" i="22"/>
  <c r="O32" i="22"/>
  <c r="K33" i="22"/>
  <c r="G34" i="22"/>
  <c r="O34" i="22"/>
  <c r="K35" i="22"/>
  <c r="G36" i="22"/>
  <c r="O36" i="22"/>
  <c r="K37" i="22"/>
  <c r="G38" i="22"/>
  <c r="O38" i="22"/>
  <c r="K39" i="22"/>
  <c r="G40" i="22"/>
  <c r="O40" i="22"/>
  <c r="K41" i="22"/>
  <c r="G42" i="22"/>
  <c r="O42" i="22"/>
  <c r="K43" i="22"/>
  <c r="G44" i="22"/>
  <c r="O44" i="22"/>
  <c r="K45" i="22"/>
  <c r="J30" i="22"/>
  <c r="F31" i="22"/>
  <c r="N31" i="22"/>
  <c r="J32" i="22"/>
  <c r="F33" i="22"/>
  <c r="N33" i="22"/>
  <c r="J34" i="22"/>
  <c r="F35" i="22"/>
  <c r="N35" i="22"/>
  <c r="J36" i="22"/>
  <c r="F37" i="22"/>
  <c r="N37" i="22"/>
  <c r="J38" i="22"/>
  <c r="F39" i="22"/>
  <c r="N39" i="22"/>
  <c r="J40" i="22"/>
  <c r="F41" i="22"/>
  <c r="N41" i="22"/>
  <c r="J42" i="22"/>
  <c r="F43" i="22"/>
  <c r="N43" i="22"/>
  <c r="J44" i="22"/>
  <c r="F45" i="22"/>
  <c r="N45" i="22"/>
  <c r="H30" i="22"/>
  <c r="O31" i="22"/>
  <c r="M33" i="22"/>
  <c r="L35" i="22"/>
  <c r="G37" i="22"/>
  <c r="E39" i="22"/>
  <c r="P40" i="22"/>
  <c r="K42" i="22"/>
  <c r="I44" i="22"/>
  <c r="I30" i="22"/>
  <c r="H32" i="22"/>
  <c r="O33" i="22"/>
  <c r="M35" i="22"/>
  <c r="L37" i="22"/>
  <c r="G39" i="22"/>
  <c r="E41" i="22"/>
  <c r="P42" i="22"/>
  <c r="K44" i="22"/>
  <c r="P30" i="22"/>
  <c r="K32" i="22"/>
  <c r="I34" i="22"/>
  <c r="H36" i="22"/>
  <c r="O37" i="22"/>
  <c r="M39" i="22"/>
  <c r="L41" i="22"/>
  <c r="G43" i="22"/>
  <c r="E45" i="22"/>
  <c r="E31" i="22"/>
  <c r="P32" i="22"/>
  <c r="K34" i="22"/>
  <c r="I36" i="22"/>
  <c r="H38" i="22"/>
  <c r="O39" i="22"/>
  <c r="L43" i="22"/>
  <c r="G45" i="22"/>
  <c r="K30" i="22"/>
  <c r="I32" i="22"/>
  <c r="H34" i="22"/>
  <c r="O35" i="22"/>
  <c r="M37" i="22"/>
  <c r="L39" i="22"/>
  <c r="G41" i="22"/>
  <c r="E43" i="22"/>
  <c r="P44" i="22"/>
  <c r="G31" i="22"/>
  <c r="E33" i="22"/>
  <c r="P34" i="22"/>
  <c r="K36" i="22"/>
  <c r="I38" i="22"/>
  <c r="H40" i="22"/>
  <c r="O41" i="22"/>
  <c r="M43" i="22"/>
  <c r="L45" i="22"/>
  <c r="L31" i="22"/>
  <c r="G33" i="22"/>
  <c r="E35" i="22"/>
  <c r="P36" i="22"/>
  <c r="K38" i="22"/>
  <c r="I40" i="22"/>
  <c r="H42" i="22"/>
  <c r="O43" i="22"/>
  <c r="M45" i="22"/>
  <c r="M31" i="22"/>
  <c r="L33" i="22"/>
  <c r="G35" i="22"/>
  <c r="E37" i="22"/>
  <c r="P38" i="22"/>
  <c r="K40" i="22"/>
  <c r="I42" i="22"/>
  <c r="H44" i="22"/>
  <c r="O45" i="22"/>
  <c r="M41" i="22"/>
</calcChain>
</file>

<file path=xl/comments1.xml><?xml version="1.0" encoding="utf-8"?>
<comments xmlns="http://schemas.openxmlformats.org/spreadsheetml/2006/main">
  <authors>
    <author>Nicholas Burgess</author>
  </authors>
  <commentList>
    <comment ref="D42" authorId="0">
      <text>
        <r>
          <rPr>
            <i/>
            <u/>
            <sz val="12"/>
            <color indexed="12"/>
            <rFont val="Tahoma"/>
            <family val="2"/>
          </rPr>
          <t>LongTerm</t>
        </r>
        <r>
          <rPr>
            <sz val="12"/>
            <color indexed="81"/>
            <rFont val="Tahoma"/>
            <family val="2"/>
          </rPr>
          <t xml:space="preserve">
Defines the first Libor-OIS Basis Instrument to be used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D44" authorId="0">
      <text>
        <r>
          <rPr>
            <u/>
            <sz val="12"/>
            <color indexed="39"/>
            <rFont val="Tahoma"/>
            <family val="2"/>
          </rPr>
          <t>Epsilon</t>
        </r>
        <r>
          <rPr>
            <sz val="12"/>
            <color indexed="81"/>
            <rFont val="Tahoma"/>
            <family val="2"/>
          </rPr>
          <t xml:space="preserve">
Swap Solver Convergence Precission Critereon
</t>
        </r>
      </text>
    </comment>
    <comment ref="D45" authorId="0">
      <text>
        <r>
          <rPr>
            <u/>
            <sz val="12"/>
            <color indexed="39"/>
            <rFont val="Tahoma"/>
            <family val="2"/>
          </rPr>
          <t>MaxLoop</t>
        </r>
        <r>
          <rPr>
            <sz val="12"/>
            <color indexed="81"/>
            <rFont val="Tahoma"/>
            <family val="2"/>
          </rPr>
          <t xml:space="preserve">
Swap Solver Maximum Number of Iterations
</t>
        </r>
      </text>
    </comment>
  </commentList>
</comments>
</file>

<file path=xl/comments2.xml><?xml version="1.0" encoding="utf-8"?>
<comments xmlns="http://schemas.openxmlformats.org/spreadsheetml/2006/main">
  <authors>
    <author>Nicholas Burgess</author>
  </authors>
  <commentList>
    <comment ref="D24" authorId="0">
      <text>
        <r>
          <rPr>
            <u/>
            <sz val="12"/>
            <color indexed="12"/>
            <rFont val="Tahoma"/>
            <family val="2"/>
          </rPr>
          <t>Interpolation</t>
        </r>
        <r>
          <rPr>
            <sz val="12"/>
            <color indexed="81"/>
            <rFont val="Tahoma"/>
            <family val="2"/>
          </rPr>
          <t xml:space="preserve">
The interpolation method to be used for the OIS Discount Curve</t>
        </r>
      </text>
    </comment>
    <comment ref="D25" authorId="0">
      <text>
        <r>
          <rPr>
            <u/>
            <sz val="12"/>
            <color indexed="12"/>
            <rFont val="Tahoma"/>
            <family val="2"/>
          </rPr>
          <t>YieldGen.Interpolation</t>
        </r>
        <r>
          <rPr>
            <sz val="12"/>
            <color indexed="81"/>
            <rFont val="Tahoma"/>
            <family val="2"/>
          </rPr>
          <t xml:space="preserve">
The interpolation method to be used for the target curve (i.e. for this Swap Curve)</t>
        </r>
      </text>
    </comment>
    <comment ref="D105" authorId="0">
      <text>
        <r>
          <rPr>
            <u/>
            <sz val="12"/>
            <color indexed="39"/>
            <rFont val="Tahoma"/>
            <family val="2"/>
          </rPr>
          <t>Epsilon</t>
        </r>
        <r>
          <rPr>
            <sz val="12"/>
            <color indexed="81"/>
            <rFont val="Tahoma"/>
            <family val="2"/>
          </rPr>
          <t xml:space="preserve">
Swap Solver Convergence Precission Critereon
</t>
        </r>
      </text>
    </comment>
    <comment ref="D106" authorId="0">
      <text>
        <r>
          <rPr>
            <u/>
            <sz val="12"/>
            <color indexed="39"/>
            <rFont val="Tahoma"/>
            <family val="2"/>
          </rPr>
          <t>MaxLoop</t>
        </r>
        <r>
          <rPr>
            <sz val="12"/>
            <color indexed="81"/>
            <rFont val="Tahoma"/>
            <family val="2"/>
          </rPr>
          <t xml:space="preserve">
Swap Solver Maximum Number of Iterations
</t>
        </r>
      </text>
    </comment>
    <comment ref="D107" authorId="0">
      <text>
        <r>
          <rPr>
            <u/>
            <sz val="12"/>
            <color indexed="39"/>
            <rFont val="Tahoma"/>
            <family val="2"/>
          </rPr>
          <t>GradientEpsilon</t>
        </r>
        <r>
          <rPr>
            <sz val="12"/>
            <color indexed="81"/>
            <rFont val="Tahoma"/>
            <family val="2"/>
          </rPr>
          <t xml:space="preserve">
Swap Solver Gradient Precission Critereon
</t>
        </r>
      </text>
    </comment>
  </commentList>
</comments>
</file>

<file path=xl/comments3.xml><?xml version="1.0" encoding="utf-8"?>
<comments xmlns="http://schemas.openxmlformats.org/spreadsheetml/2006/main">
  <authors>
    <author>Nicholas Burgess</author>
  </authors>
  <commentList>
    <comment ref="E23" authorId="0">
      <text>
        <r>
          <rPr>
            <u/>
            <sz val="12"/>
            <color indexed="12"/>
            <rFont val="Tahoma"/>
            <family val="2"/>
          </rPr>
          <t>Basis.Interpolation."Target Curve"</t>
        </r>
        <r>
          <rPr>
            <sz val="12"/>
            <color indexed="81"/>
            <rFont val="Tahoma"/>
            <family val="2"/>
          </rPr>
          <t xml:space="preserve">
The interpolation method to be used for calibrating the specified target curve</t>
        </r>
      </text>
    </comment>
    <comment ref="E75" authorId="0">
      <text>
        <r>
          <rPr>
            <u/>
            <sz val="12"/>
            <color indexed="39"/>
            <rFont val="Tahoma"/>
            <family val="2"/>
          </rPr>
          <t>Epsilon</t>
        </r>
        <r>
          <rPr>
            <sz val="12"/>
            <color indexed="81"/>
            <rFont val="Tahoma"/>
            <family val="2"/>
          </rPr>
          <t xml:space="preserve">
Swap Solver Convergence Precission Critereon
</t>
        </r>
      </text>
    </comment>
    <comment ref="E76" authorId="0">
      <text>
        <r>
          <rPr>
            <u/>
            <sz val="12"/>
            <color indexed="39"/>
            <rFont val="Tahoma"/>
            <family val="2"/>
          </rPr>
          <t>MaxLoop</t>
        </r>
        <r>
          <rPr>
            <sz val="12"/>
            <color indexed="81"/>
            <rFont val="Tahoma"/>
            <family val="2"/>
          </rPr>
          <t xml:space="preserve">
Swap Solver Maximum Number of Iterations
</t>
        </r>
      </text>
    </comment>
  </commentList>
</comments>
</file>

<file path=xl/sharedStrings.xml><?xml version="1.0" encoding="utf-8"?>
<sst xmlns="http://schemas.openxmlformats.org/spreadsheetml/2006/main" count="527" uniqueCount="255">
  <si>
    <t>Curve Names</t>
  </si>
  <si>
    <t>Calendar</t>
  </si>
  <si>
    <t>TGT</t>
  </si>
  <si>
    <t>calendar</t>
  </si>
  <si>
    <t xml:space="preserve"> </t>
  </si>
  <si>
    <t>OIS Conventions</t>
  </si>
  <si>
    <t>ACT/360</t>
  </si>
  <si>
    <t>daycount</t>
  </si>
  <si>
    <t>Use</t>
  </si>
  <si>
    <t>OIS</t>
  </si>
  <si>
    <t>AsOfDate</t>
  </si>
  <si>
    <t>Term</t>
  </si>
  <si>
    <t>Rate</t>
  </si>
  <si>
    <t>StartDate</t>
  </si>
  <si>
    <t>EndDate</t>
  </si>
  <si>
    <t>resetlag</t>
  </si>
  <si>
    <t>Currency</t>
  </si>
  <si>
    <t>EUR</t>
  </si>
  <si>
    <t>Daycount</t>
  </si>
  <si>
    <t>daycountfix</t>
  </si>
  <si>
    <t>30/360</t>
  </si>
  <si>
    <t>SlidingRule</t>
  </si>
  <si>
    <t>MOD_FOLLOWING</t>
  </si>
  <si>
    <t>slidingrule</t>
  </si>
  <si>
    <t>yieldgen.interpolation</t>
  </si>
  <si>
    <t>frequency</t>
  </si>
  <si>
    <t>Annual</t>
  </si>
  <si>
    <t>Frequency</t>
  </si>
  <si>
    <t>Quarterly</t>
  </si>
  <si>
    <t>frequencyfix</t>
  </si>
  <si>
    <t>2d</t>
  </si>
  <si>
    <t>iseomroll</t>
    <phoneticPr fontId="0"/>
  </si>
  <si>
    <t>eomday</t>
    <phoneticPr fontId="0"/>
  </si>
  <si>
    <t>generatemethod</t>
  </si>
  <si>
    <t>dailycompounding</t>
  </si>
  <si>
    <t>firstrate</t>
  </si>
  <si>
    <t>ShortMarket</t>
  </si>
  <si>
    <t/>
  </si>
  <si>
    <t>shorttermconvention</t>
  </si>
  <si>
    <t>arithmeticaverage</t>
  </si>
  <si>
    <t>longtermconvention</t>
  </si>
  <si>
    <t>LOBASIS</t>
  </si>
  <si>
    <t>longterm</t>
  </si>
  <si>
    <t>3Y</t>
  </si>
  <si>
    <t>longterm.generatemethod</t>
  </si>
  <si>
    <t>dailyaveraging</t>
  </si>
  <si>
    <t>ON</t>
  </si>
  <si>
    <t>2Y</t>
  </si>
  <si>
    <t>EUSF1A</t>
  </si>
  <si>
    <t>EUSF2A</t>
  </si>
  <si>
    <t>4Y</t>
  </si>
  <si>
    <t>EUSF3A</t>
  </si>
  <si>
    <t>5Y</t>
  </si>
  <si>
    <t>EUSF4A</t>
  </si>
  <si>
    <t>6Y</t>
  </si>
  <si>
    <t>EUSF5A</t>
  </si>
  <si>
    <t>7Y</t>
  </si>
  <si>
    <t>12M</t>
  </si>
  <si>
    <t>8Y</t>
  </si>
  <si>
    <t>18M</t>
  </si>
  <si>
    <t>9Y</t>
  </si>
  <si>
    <t>10Y</t>
  </si>
  <si>
    <t>11Y</t>
  </si>
  <si>
    <t>12Y</t>
  </si>
  <si>
    <t>15Y</t>
  </si>
  <si>
    <t>20Y</t>
  </si>
  <si>
    <t>25Y</t>
  </si>
  <si>
    <t>30Y</t>
  </si>
  <si>
    <t>40Y</t>
  </si>
  <si>
    <t>50Y</t>
  </si>
  <si>
    <t>Curve Build Properties</t>
  </si>
  <si>
    <t>Libor-OIS Tenor Basis Conventions</t>
  </si>
  <si>
    <t>OIS Par Rates</t>
  </si>
  <si>
    <t>Libor-OIS  Spreads</t>
  </si>
  <si>
    <t>OIS Fixing Table</t>
  </si>
  <si>
    <t>Date</t>
  </si>
  <si>
    <t>Libor Swap Conventions</t>
  </si>
  <si>
    <t>Libor Swap  Rates</t>
  </si>
  <si>
    <t>Libor-OIS Basis Swaps</t>
  </si>
  <si>
    <t>Overnight Indexed Swaps</t>
  </si>
  <si>
    <t>EURYC</t>
  </si>
  <si>
    <t>Interpolation Options</t>
  </si>
  <si>
    <t>fn_LinearInterpolation</t>
  </si>
  <si>
    <t>fn_StepInterpolation</t>
  </si>
  <si>
    <t>fn_MonotoneConvexInterpolation</t>
  </si>
  <si>
    <t>fn_SplineInterpolation</t>
  </si>
  <si>
    <t>fn_ConstrainedSplineInterpolation</t>
  </si>
  <si>
    <t>StaticDataTable</t>
  </si>
  <si>
    <t>CurveCollection</t>
  </si>
  <si>
    <t>IndexName(s)</t>
  </si>
  <si>
    <t>STD</t>
  </si>
  <si>
    <t>STD:EUR6ML</t>
  </si>
  <si>
    <t>interpolation</t>
  </si>
  <si>
    <t>isfutureuse</t>
  </si>
  <si>
    <t>isfrause</t>
  </si>
  <si>
    <t>dfcurvename</t>
  </si>
  <si>
    <t>Cash Instruments</t>
  </si>
  <si>
    <t>DayCount</t>
  </si>
  <si>
    <t>Slidingrule</t>
  </si>
  <si>
    <t>FOLLOWING</t>
  </si>
  <si>
    <t>Simple</t>
  </si>
  <si>
    <t>Resetlag</t>
  </si>
  <si>
    <t>IsEomRoll</t>
  </si>
  <si>
    <t>Libor Conventions</t>
  </si>
  <si>
    <t>6M</t>
  </si>
  <si>
    <t>FRA Instruments</t>
  </si>
  <si>
    <t>FRA Conventions</t>
  </si>
  <si>
    <t>ResetLag</t>
  </si>
  <si>
    <t>ApplyTension</t>
  </si>
  <si>
    <t>TensionGap</t>
  </si>
  <si>
    <t>2X8</t>
  </si>
  <si>
    <t>3X9</t>
  </si>
  <si>
    <t>4X10</t>
  </si>
  <si>
    <t>5X11</t>
  </si>
  <si>
    <t>6X12</t>
  </si>
  <si>
    <t>7X13</t>
  </si>
  <si>
    <t>8X14</t>
  </si>
  <si>
    <t>9X15</t>
  </si>
  <si>
    <t>10X16</t>
  </si>
  <si>
    <t>11X17</t>
  </si>
  <si>
    <t>12X18</t>
  </si>
  <si>
    <t>Futures Instruments</t>
  </si>
  <si>
    <t>Futures Conventions</t>
  </si>
  <si>
    <t>2</t>
  </si>
  <si>
    <t>Volatility</t>
  </si>
  <si>
    <t>Futures Data</t>
  </si>
  <si>
    <t>Swap Instruments</t>
  </si>
  <si>
    <t>Swap Conventions</t>
  </si>
  <si>
    <t>Swap Data</t>
  </si>
  <si>
    <t>DayCountFloat</t>
  </si>
  <si>
    <t>Semi-Annual</t>
  </si>
  <si>
    <t>FrequencyFloat</t>
  </si>
  <si>
    <t>Interpolation</t>
  </si>
  <si>
    <t>IsNewtonraphson</t>
  </si>
  <si>
    <t>issimultaneouseq</t>
  </si>
  <si>
    <t>Epsilon</t>
  </si>
  <si>
    <t>MaxLoop</t>
  </si>
  <si>
    <t>FRA Market Data X3</t>
  </si>
  <si>
    <t>FRA Market Data x6</t>
  </si>
  <si>
    <t>Term / Ticker</t>
  </si>
  <si>
    <t>3M6MBasis</t>
  </si>
  <si>
    <t>3M6MBasis:EUR3ML</t>
  </si>
  <si>
    <t>Tenor Basis Swaps</t>
  </si>
  <si>
    <t>MarketName</t>
  </si>
  <si>
    <t>EUR3M6MBASIS</t>
  </si>
  <si>
    <t>IsLeg1Spread</t>
  </si>
  <si>
    <t>Leg1cashlet.calendar</t>
  </si>
  <si>
    <t>Leg1cashlet.daycount</t>
  </si>
  <si>
    <t>Act/360</t>
  </si>
  <si>
    <t>Leg1cashlet.frequency</t>
  </si>
  <si>
    <t>Leg1cashlet.slidingrule</t>
  </si>
  <si>
    <t>Leg1cashlet.spotlag</t>
  </si>
  <si>
    <t>Leg1discount</t>
  </si>
  <si>
    <t>Leg1forecast</t>
  </si>
  <si>
    <t>Leg1index.accessary</t>
  </si>
  <si>
    <t>Leg1index.daycount</t>
  </si>
  <si>
    <t>Leg1index.fixing.calendar</t>
  </si>
  <si>
    <t>Leg1index.frequency</t>
  </si>
  <si>
    <t>Leg1index.payment.calendar</t>
  </si>
  <si>
    <t>Leg1index.resetlag</t>
  </si>
  <si>
    <t>Leg1index.slidingrule</t>
  </si>
  <si>
    <t>Leg2cashlet.calendar</t>
  </si>
  <si>
    <t>Leg2cashlet.daycount</t>
  </si>
  <si>
    <t>Leg2cashlet.frequency</t>
  </si>
  <si>
    <t>Leg2cashlet.slidingrule</t>
  </si>
  <si>
    <t>Leg2cashlet.spotlag</t>
  </si>
  <si>
    <t>Leg2discount</t>
  </si>
  <si>
    <t>Leg2forecast</t>
  </si>
  <si>
    <t>Leg2index.accessary</t>
  </si>
  <si>
    <t>3M</t>
  </si>
  <si>
    <t>Leg2index.daycount</t>
  </si>
  <si>
    <t>Leg2index.fixing.calendar</t>
  </si>
  <si>
    <t>Leg2index.frequency</t>
  </si>
  <si>
    <t>Leg2index.payment.calendar</t>
  </si>
  <si>
    <t>Leg2index.resetlag</t>
  </si>
  <si>
    <t>Leg2index.slidingrule</t>
  </si>
  <si>
    <t>Target</t>
  </si>
  <si>
    <t>Leg2Forecast</t>
  </si>
  <si>
    <t>fwdinterpolation</t>
  </si>
  <si>
    <t>isfwdinter</t>
  </si>
  <si>
    <t>issamegridindex</t>
  </si>
  <si>
    <t>spotrateterm</t>
  </si>
  <si>
    <t>isyieldspreadcalc</t>
  </si>
  <si>
    <t>1Y</t>
  </si>
  <si>
    <t>Tenor Basis Conventions ( 3 X 6 )</t>
  </si>
  <si>
    <t>1M</t>
  </si>
  <si>
    <r>
      <t>* These fixings are used in the tenor basis curves see '</t>
    </r>
    <r>
      <rPr>
        <sz val="11"/>
        <color rgb="FF0000FF"/>
        <rFont val="Calibri"/>
        <family val="2"/>
        <scheme val="minor"/>
      </rPr>
      <t>SpotRateTerm</t>
    </r>
    <r>
      <rPr>
        <sz val="11"/>
        <rFont val="Calibri"/>
        <family val="2"/>
        <scheme val="minor"/>
      </rPr>
      <t>'</t>
    </r>
  </si>
  <si>
    <t>Tenor Basis Spreads ( 3 X 6 )</t>
  </si>
  <si>
    <t>EUR6ML</t>
  </si>
  <si>
    <t>OIS:EUROIS:EURDF:EURDF_NOCSA</t>
  </si>
  <si>
    <t>Known Leg</t>
  </si>
  <si>
    <t>Leg2Forecast Unknown : 
STD is the initial guess</t>
  </si>
  <si>
    <t>Curve Loaded</t>
  </si>
  <si>
    <t>Notional</t>
  </si>
  <si>
    <t>PAYER</t>
  </si>
  <si>
    <t>0D</t>
  </si>
  <si>
    <t>ShortStart</t>
  </si>
  <si>
    <t>Par Rate</t>
  </si>
  <si>
    <t>PV01</t>
  </si>
  <si>
    <t>2D</t>
  </si>
  <si>
    <t>meCurveCalibrateOIS</t>
  </si>
  <si>
    <t>meCurveCalibrateSwap</t>
  </si>
  <si>
    <t>meCurveCalibrateOIS(Curve.CollectionName,Curve.MarketDataTable,Curve.OISIndexName,Curve.BuildProperties,OIS.Conventions,OIS.MarketData,OIS.FixingTable,LiborOISBasis.Conventions,LiborOISBasis.MarketData,LiborSwap.Conventions,LiborSwap.MarketData)</t>
  </si>
  <si>
    <t>meCurveCalibrateSwap(STDCurve.CollectionName,STDCurve.StaticDataTable,STDCurve.IndexName,STDCurve.Buildproperties,MoneyMarket.Conventions,Libor.Conventions,Libor.MarketData,Swap.Conventions,Swap.MarketData,FRA.Conventions,FRA.MarketDataX3,FRA.MarketDataX6,Futures.Conventions,Futures.MarketData)</t>
  </si>
  <si>
    <t>meCurveCalibrateBasis(TenorBasisCurve3M6M.CollectionName,TenorBasisCurve3M6M.StaticDataTable,TenorBasisCurve3M6M.IndexName,TenorBasisCurve3M6M.BuildProperties,TenorBasisSwap3M6M.Conventions,TenorBasisSwap3M6M.MarketData)</t>
  </si>
  <si>
    <t>meCurveCalibrateBasis</t>
  </si>
  <si>
    <t>PayerReceiver</t>
  </si>
  <si>
    <t>MaturityDate</t>
  </si>
  <si>
    <t>EffectiveDate</t>
  </si>
  <si>
    <t>FixedRate</t>
  </si>
  <si>
    <t>ForecastCurve</t>
  </si>
  <si>
    <t>FloatFirstFixing</t>
  </si>
  <si>
    <t>FixedFrequency</t>
  </si>
  <si>
    <t>FixedDaycount</t>
  </si>
  <si>
    <t>FixedFirstStubDate</t>
  </si>
  <si>
    <t>FixedLastStubDate</t>
  </si>
  <si>
    <t>FixedRollDay</t>
  </si>
  <si>
    <t>FixedPaymentLag</t>
  </si>
  <si>
    <t>FixedStubType</t>
  </si>
  <si>
    <t>FloatFrequency</t>
  </si>
  <si>
    <t>FloatDaycount</t>
  </si>
  <si>
    <t>FloatFirstStubDate</t>
  </si>
  <si>
    <t>FloatLastStubDate</t>
  </si>
  <si>
    <t>FloatRollDay</t>
  </si>
  <si>
    <t>FloatFixingLag</t>
  </si>
  <si>
    <t>FloatLastFixing</t>
  </si>
  <si>
    <t>FloatPaymentLag</t>
  </si>
  <si>
    <t>FloatStubType</t>
  </si>
  <si>
    <t>DiscountCurve</t>
  </si>
  <si>
    <t>FloatSpread</t>
  </si>
  <si>
    <t>Libor Fixing Table</t>
  </si>
  <si>
    <t>Money Market O/N and T/N Conventions</t>
  </si>
  <si>
    <t>EomDay</t>
  </si>
  <si>
    <t>basis.interpolation</t>
  </si>
  <si>
    <t>EUROIS</t>
  </si>
  <si>
    <t>Swap PV</t>
  </si>
  <si>
    <t>Fixed</t>
  </si>
  <si>
    <t>Float</t>
  </si>
  <si>
    <t>DV01</t>
  </si>
  <si>
    <t>Swap Description</t>
  </si>
  <si>
    <t>FixedAccrualBusinessDayAdjustment</t>
  </si>
  <si>
    <t>FixedAccrualCalendar</t>
  </si>
  <si>
    <t>FixedPaymentBusinessDayAdjustment</t>
  </si>
  <si>
    <t>FixedPaymentCalendar</t>
  </si>
  <si>
    <t>FloatFixingBusinessDayAdjustment</t>
  </si>
  <si>
    <t>FloatFixingCalendar</t>
  </si>
  <si>
    <t>FloatAccrualBusinessDayAdjustment</t>
  </si>
  <si>
    <t>FloatAccrualCalendar</t>
  </si>
  <si>
    <t>FloatPaymentBusinessDayAdjustment</t>
  </si>
  <si>
    <t>FloatPaymentCalendar</t>
  </si>
  <si>
    <t>Fixed Leg</t>
  </si>
  <si>
    <t>Float leg</t>
  </si>
  <si>
    <r>
      <t>meProductSwapLegPV</t>
    </r>
    <r>
      <rPr>
        <sz val="18"/>
        <rFont val="Calibri"/>
        <family val="2"/>
        <scheme val="minor"/>
      </rPr>
      <t>( SwapLVB, ValidateKeys )</t>
    </r>
  </si>
  <si>
    <r>
      <t>meProductSwapLegDisplay</t>
    </r>
    <r>
      <rPr>
        <sz val="18"/>
        <rFont val="Calibri"/>
        <family val="2"/>
        <scheme val="minor"/>
      </rPr>
      <t>( SwapLVB, ValidateKeys )</t>
    </r>
  </si>
  <si>
    <t>isFwdBasis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</si>
</sst>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9">
    <numFmt numFmtId="41" formatCode="_-* #,##0_-;\-* #,##0_-;_-* &quot;-&quot;_-;_-@_-"/>
    <numFmt numFmtId="164" formatCode="0.000%"/>
    <numFmt numFmtId="165" formatCode="0.00000%"/>
    <numFmt numFmtId="166" formatCode="#,##0.0000"/>
    <numFmt numFmtId="167" formatCode="ddd\ d\-mmm\-yy"/>
    <numFmt numFmtId="168" formatCode="0.00000%;[Red]\-0.00000%"/>
    <numFmt numFmtId="169" formatCode="0.0000%"/>
    <numFmt numFmtId="170" formatCode="ddd\,\ d\-mmm\-yy"/>
    <numFmt numFmtId="171" formatCode="#,##0.00000"/>
  </numFmts>
  <fonts count="26" x14ac:knownFonts="1"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rgb="FF0000FF"/>
      <name val="Calibri"/>
      <family val="2"/>
      <scheme val="minor"/>
    </font>
    <font>
      <sz val="11"/>
      <color rgb="FF0000FF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sz val="11"/>
      <color theme="0" tint="-0.249977111117893"/>
      <name val="Calibri"/>
      <family val="2"/>
      <scheme val="minor"/>
    </font>
    <font>
      <sz val="11"/>
      <color rgb="FF006600"/>
      <name val="Calibri"/>
      <family val="2"/>
      <scheme val="minor"/>
    </font>
    <font>
      <sz val="11"/>
      <name val="Times New Roman"/>
      <family val="1"/>
    </font>
    <font>
      <b/>
      <sz val="11"/>
      <color rgb="FF006600"/>
      <name val="Calibri"/>
      <family val="2"/>
      <scheme val="minor"/>
    </font>
    <font>
      <i/>
      <sz val="11"/>
      <color rgb="FF0000FF"/>
      <name val="Calibri"/>
      <family val="2"/>
      <scheme val="minor"/>
    </font>
    <font>
      <i/>
      <sz val="11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9"/>
      <color indexed="81"/>
      <name val="Tahoma"/>
      <family val="2"/>
    </font>
    <font>
      <sz val="12"/>
      <color indexed="81"/>
      <name val="Tahoma"/>
      <family val="2"/>
    </font>
    <font>
      <i/>
      <u/>
      <sz val="12"/>
      <color indexed="12"/>
      <name val="Tahoma"/>
      <family val="2"/>
    </font>
    <font>
      <sz val="11"/>
      <color theme="1"/>
      <name val="Calibri"/>
      <family val="2"/>
      <scheme val="minor"/>
    </font>
    <font>
      <u/>
      <sz val="12"/>
      <color indexed="12"/>
      <name val="Tahoma"/>
      <family val="2"/>
    </font>
    <font>
      <u/>
      <sz val="12"/>
      <color indexed="39"/>
      <name val="Tahoma"/>
      <family val="2"/>
    </font>
    <font>
      <sz val="20"/>
      <color rgb="FF0000FF"/>
      <name val="Calibri"/>
      <family val="2"/>
      <scheme val="minor"/>
    </font>
    <font>
      <sz val="20"/>
      <name val="Calibri"/>
      <family val="2"/>
      <scheme val="minor"/>
    </font>
    <font>
      <sz val="18"/>
      <name val="Calibri"/>
      <family val="2"/>
      <scheme val="minor"/>
    </font>
    <font>
      <b/>
      <sz val="11"/>
      <color rgb="FFC00000"/>
      <name val="Calibri"/>
      <family val="2"/>
      <scheme val="minor"/>
    </font>
    <font>
      <sz val="18"/>
      <color rgb="FF0000FF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CC"/>
        <bgColor indexed="64"/>
      </patternFill>
    </fill>
  </fills>
  <borders count="22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/>
      <right/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/>
      <diagonal/>
    </border>
    <border>
      <left style="thin">
        <color theme="0" tint="-0.24994659260841701"/>
      </left>
      <right/>
      <top style="thin">
        <color theme="0" tint="-0.24994659260841701"/>
      </top>
      <bottom/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/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/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dotted">
        <color theme="0" tint="-0.24994659260841701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 style="dotted">
        <color theme="0" tint="-0.24994659260841701"/>
      </bottom>
      <diagonal/>
    </border>
    <border>
      <left/>
      <right style="thin">
        <color theme="0" tint="-0.24994659260841701"/>
      </right>
      <top style="dotted">
        <color theme="0" tint="-0.24994659260841701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dotted">
        <color theme="0" tint="-0.24994659260841701"/>
      </bottom>
      <diagonal/>
    </border>
    <border>
      <left style="thin">
        <color theme="0" tint="-0.24994659260841701"/>
      </left>
      <right/>
      <top/>
      <bottom style="double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double">
        <color theme="0" tint="-0.24994659260841701"/>
      </bottom>
      <diagonal/>
    </border>
  </borders>
  <cellStyleXfs count="3">
    <xf numFmtId="0" fontId="0" fillId="0" borderId="0"/>
    <xf numFmtId="0" fontId="10" fillId="0" borderId="0">
      <alignment vertical="center"/>
    </xf>
    <xf numFmtId="41" fontId="18" fillId="0" borderId="0" applyFont="0" applyFill="0" applyBorder="0" applyAlignment="0" applyProtection="0"/>
  </cellStyleXfs>
  <cellXfs count="212">
    <xf numFmtId="0" fontId="0" fillId="0" borderId="0" xfId="0"/>
    <xf numFmtId="0" fontId="0" fillId="0" borderId="0" xfId="0" applyFill="1" applyBorder="1"/>
    <xf numFmtId="0" fontId="0" fillId="2" borderId="5" xfId="0" applyFill="1" applyBorder="1"/>
    <xf numFmtId="0" fontId="0" fillId="2" borderId="2" xfId="0" applyFill="1" applyBorder="1"/>
    <xf numFmtId="0" fontId="0" fillId="2" borderId="3" xfId="0" applyFill="1" applyBorder="1"/>
    <xf numFmtId="0" fontId="0" fillId="2" borderId="9" xfId="0" applyFill="1" applyBorder="1"/>
    <xf numFmtId="0" fontId="4" fillId="2" borderId="0" xfId="0" applyFont="1" applyFill="1" applyBorder="1"/>
    <xf numFmtId="0" fontId="0" fillId="2" borderId="0" xfId="0" applyFill="1" applyBorder="1"/>
    <xf numFmtId="0" fontId="0" fillId="2" borderId="10" xfId="0" applyFill="1" applyBorder="1"/>
    <xf numFmtId="0" fontId="8" fillId="2" borderId="0" xfId="0" applyFont="1" applyFill="1" applyBorder="1"/>
    <xf numFmtId="0" fontId="6" fillId="2" borderId="0" xfId="0" applyFont="1" applyFill="1" applyBorder="1"/>
    <xf numFmtId="0" fontId="0" fillId="2" borderId="14" xfId="0" applyFill="1" applyBorder="1"/>
    <xf numFmtId="0" fontId="0" fillId="2" borderId="12" xfId="0" applyFill="1" applyBorder="1"/>
    <xf numFmtId="0" fontId="0" fillId="2" borderId="13" xfId="0" applyFill="1" applyBorder="1"/>
    <xf numFmtId="0" fontId="0" fillId="0" borderId="5" xfId="0" applyFill="1" applyBorder="1"/>
    <xf numFmtId="0" fontId="0" fillId="0" borderId="2" xfId="0" applyFill="1" applyBorder="1"/>
    <xf numFmtId="0" fontId="0" fillId="0" borderId="3" xfId="0" applyFill="1" applyBorder="1"/>
    <xf numFmtId="0" fontId="0" fillId="0" borderId="9" xfId="0" applyFill="1" applyBorder="1"/>
    <xf numFmtId="0" fontId="0" fillId="0" borderId="10" xfId="0" applyFill="1" applyBorder="1"/>
    <xf numFmtId="164" fontId="9" fillId="0" borderId="0" xfId="0" applyNumberFormat="1" applyFont="1" applyFill="1" applyBorder="1" applyAlignment="1">
      <alignment horizontal="center" vertical="center"/>
    </xf>
    <xf numFmtId="15" fontId="9" fillId="0" borderId="0" xfId="0" applyNumberFormat="1" applyFont="1" applyFill="1" applyBorder="1" applyAlignment="1">
      <alignment horizontal="center" vertical="center"/>
    </xf>
    <xf numFmtId="0" fontId="0" fillId="0" borderId="14" xfId="0" applyFill="1" applyBorder="1"/>
    <xf numFmtId="0" fontId="0" fillId="0" borderId="13" xfId="0" applyFill="1" applyBorder="1"/>
    <xf numFmtId="0" fontId="0" fillId="0" borderId="12" xfId="0" applyFill="1" applyBorder="1"/>
    <xf numFmtId="0" fontId="9" fillId="0" borderId="9" xfId="0" applyFont="1" applyFill="1" applyBorder="1" applyAlignment="1">
      <alignment horizontal="center" vertical="center"/>
    </xf>
    <xf numFmtId="0" fontId="9" fillId="0" borderId="14" xfId="0" applyFont="1" applyFill="1" applyBorder="1" applyAlignment="1">
      <alignment horizontal="center" vertical="center"/>
    </xf>
    <xf numFmtId="164" fontId="9" fillId="0" borderId="12" xfId="0" applyNumberFormat="1" applyFont="1" applyFill="1" applyBorder="1" applyAlignment="1">
      <alignment horizontal="center" vertical="center"/>
    </xf>
    <xf numFmtId="0" fontId="6" fillId="0" borderId="1" xfId="0" applyFont="1" applyFill="1" applyBorder="1" applyAlignment="1">
      <alignment vertical="center"/>
    </xf>
    <xf numFmtId="0" fontId="6" fillId="0" borderId="4" xfId="0" applyFont="1" applyFill="1" applyBorder="1" applyAlignment="1">
      <alignment vertical="center"/>
    </xf>
    <xf numFmtId="0" fontId="6" fillId="0" borderId="4" xfId="0" applyFont="1" applyFill="1" applyBorder="1"/>
    <xf numFmtId="0" fontId="6" fillId="0" borderId="4" xfId="0" applyFont="1" applyFill="1" applyBorder="1" applyAlignment="1"/>
    <xf numFmtId="0" fontId="1" fillId="0" borderId="4" xfId="0" applyFont="1" applyFill="1" applyBorder="1" applyAlignment="1"/>
    <xf numFmtId="0" fontId="0" fillId="0" borderId="4" xfId="0" applyFont="1" applyFill="1" applyBorder="1"/>
    <xf numFmtId="0" fontId="0" fillId="0" borderId="11" xfId="0" applyFont="1" applyFill="1" applyBorder="1"/>
    <xf numFmtId="0" fontId="9" fillId="0" borderId="3" xfId="0" applyFont="1" applyFill="1" applyBorder="1" applyAlignment="1">
      <alignment horizontal="center" vertical="center"/>
    </xf>
    <xf numFmtId="0" fontId="9" fillId="0" borderId="10" xfId="0" applyFont="1" applyFill="1" applyBorder="1" applyAlignment="1">
      <alignment horizontal="center" vertical="center"/>
    </xf>
    <xf numFmtId="0" fontId="9" fillId="0" borderId="10" xfId="0" applyNumberFormat="1" applyFont="1" applyFill="1" applyBorder="1" applyAlignment="1">
      <alignment horizontal="center" vertical="center"/>
    </xf>
    <xf numFmtId="0" fontId="9" fillId="0" borderId="10" xfId="0" applyFont="1" applyFill="1" applyBorder="1" applyAlignment="1"/>
    <xf numFmtId="11" fontId="9" fillId="0" borderId="10" xfId="0" applyNumberFormat="1" applyFont="1" applyFill="1" applyBorder="1" applyAlignment="1">
      <alignment horizontal="center" vertical="center"/>
    </xf>
    <xf numFmtId="0" fontId="9" fillId="0" borderId="10" xfId="0" applyFont="1" applyFill="1" applyBorder="1"/>
    <xf numFmtId="0" fontId="9" fillId="0" borderId="13" xfId="0" applyFont="1" applyFill="1" applyBorder="1"/>
    <xf numFmtId="15" fontId="9" fillId="0" borderId="10" xfId="0" applyNumberFormat="1" applyFont="1" applyFill="1" applyBorder="1" applyAlignment="1">
      <alignment horizontal="center" vertical="center"/>
    </xf>
    <xf numFmtId="15" fontId="9" fillId="0" borderId="12" xfId="0" applyNumberFormat="1" applyFont="1" applyFill="1" applyBorder="1" applyAlignment="1">
      <alignment horizontal="center" vertical="center"/>
    </xf>
    <xf numFmtId="15" fontId="9" fillId="0" borderId="13" xfId="0" applyNumberFormat="1" applyFont="1" applyFill="1" applyBorder="1" applyAlignment="1">
      <alignment horizontal="center" vertical="center"/>
    </xf>
    <xf numFmtId="0" fontId="6" fillId="0" borderId="11" xfId="0" applyFont="1" applyFill="1" applyBorder="1"/>
    <xf numFmtId="0" fontId="4" fillId="2" borderId="2" xfId="0" applyFont="1" applyFill="1" applyBorder="1"/>
    <xf numFmtId="0" fontId="5" fillId="2" borderId="2" xfId="0" applyFont="1" applyFill="1" applyBorder="1" applyAlignment="1">
      <alignment horizontal="center" vertical="center"/>
    </xf>
    <xf numFmtId="0" fontId="5" fillId="2" borderId="12" xfId="0" applyFont="1" applyFill="1" applyBorder="1" applyAlignment="1">
      <alignment horizontal="center" vertical="center"/>
    </xf>
    <xf numFmtId="0" fontId="7" fillId="2" borderId="12" xfId="0" applyFont="1" applyFill="1" applyBorder="1"/>
    <xf numFmtId="0" fontId="7" fillId="2" borderId="0" xfId="0" applyFont="1" applyFill="1" applyBorder="1"/>
    <xf numFmtId="0" fontId="2" fillId="2" borderId="0" xfId="0" applyFont="1" applyFill="1" applyBorder="1"/>
    <xf numFmtId="164" fontId="9" fillId="0" borderId="10" xfId="0" applyNumberFormat="1" applyFont="1" applyFill="1" applyBorder="1" applyAlignment="1">
      <alignment horizontal="center" vertical="center"/>
    </xf>
    <xf numFmtId="164" fontId="9" fillId="0" borderId="13" xfId="0" applyNumberFormat="1" applyFont="1" applyFill="1" applyBorder="1" applyAlignment="1">
      <alignment horizontal="center" vertical="center"/>
    </xf>
    <xf numFmtId="15" fontId="9" fillId="0" borderId="9" xfId="0" applyNumberFormat="1" applyFont="1" applyFill="1" applyBorder="1" applyAlignment="1">
      <alignment horizontal="center" vertical="center"/>
    </xf>
    <xf numFmtId="15" fontId="9" fillId="0" borderId="14" xfId="0" applyNumberFormat="1" applyFont="1" applyFill="1" applyBorder="1" applyAlignment="1">
      <alignment horizontal="center" vertical="center"/>
    </xf>
    <xf numFmtId="0" fontId="6" fillId="2" borderId="10" xfId="0" applyFont="1" applyFill="1" applyBorder="1"/>
    <xf numFmtId="0" fontId="5" fillId="0" borderId="0" xfId="0" applyFont="1"/>
    <xf numFmtId="0" fontId="3" fillId="2" borderId="12" xfId="0" applyFont="1" applyFill="1" applyBorder="1" applyAlignment="1">
      <alignment horizontal="center" vertical="center"/>
    </xf>
    <xf numFmtId="0" fontId="6" fillId="2" borderId="12" xfId="0" applyFont="1" applyFill="1" applyBorder="1" applyAlignment="1">
      <alignment horizontal="center" vertical="center"/>
    </xf>
    <xf numFmtId="0" fontId="6" fillId="0" borderId="11" xfId="0" applyFont="1" applyFill="1" applyBorder="1" applyAlignment="1">
      <alignment vertical="center"/>
    </xf>
    <xf numFmtId="0" fontId="5" fillId="2" borderId="0" xfId="0" applyFont="1" applyFill="1" applyBorder="1" applyAlignment="1">
      <alignment horizontal="center" vertical="center"/>
    </xf>
    <xf numFmtId="0" fontId="11" fillId="0" borderId="6" xfId="0" applyFont="1" applyFill="1" applyBorder="1" applyAlignment="1">
      <alignment horizontal="left" vertical="center"/>
    </xf>
    <xf numFmtId="0" fontId="11" fillId="0" borderId="7" xfId="0" applyFont="1" applyFill="1" applyBorder="1" applyAlignment="1">
      <alignment horizontal="center" vertical="center"/>
    </xf>
    <xf numFmtId="0" fontId="11" fillId="0" borderId="8" xfId="0" applyFont="1" applyFill="1" applyBorder="1" applyAlignment="1">
      <alignment horizontal="center" vertical="center"/>
    </xf>
    <xf numFmtId="0" fontId="12" fillId="0" borderId="0" xfId="0" applyFont="1"/>
    <xf numFmtId="0" fontId="14" fillId="2" borderId="2" xfId="0" applyFont="1" applyFill="1" applyBorder="1"/>
    <xf numFmtId="0" fontId="0" fillId="0" borderId="0" xfId="0" quotePrefix="1"/>
    <xf numFmtId="0" fontId="11" fillId="2" borderId="10" xfId="0" applyFont="1" applyFill="1" applyBorder="1" applyAlignment="1">
      <alignment horizontal="center" vertical="center"/>
    </xf>
    <xf numFmtId="0" fontId="9" fillId="0" borderId="10" xfId="0" applyFont="1" applyFill="1" applyBorder="1" applyAlignment="1">
      <alignment horizontal="center"/>
    </xf>
    <xf numFmtId="0" fontId="9" fillId="0" borderId="13" xfId="0" applyFont="1" applyFill="1" applyBorder="1" applyAlignment="1">
      <alignment horizontal="center"/>
    </xf>
    <xf numFmtId="0" fontId="6" fillId="0" borderId="5" xfId="0" applyFont="1" applyFill="1" applyBorder="1" applyAlignment="1">
      <alignment horizontal="center" vertical="center"/>
    </xf>
    <xf numFmtId="0" fontId="6" fillId="0" borderId="9" xfId="0" applyFont="1" applyFill="1" applyBorder="1" applyAlignment="1">
      <alignment horizontal="center" vertical="center"/>
    </xf>
    <xf numFmtId="0" fontId="6" fillId="0" borderId="14" xfId="0" applyFont="1" applyFill="1" applyBorder="1" applyAlignment="1">
      <alignment horizontal="center" vertical="center"/>
    </xf>
    <xf numFmtId="10" fontId="9" fillId="0" borderId="10" xfId="0" applyNumberFormat="1" applyFont="1" applyFill="1" applyBorder="1" applyAlignment="1">
      <alignment horizontal="center" vertical="center"/>
    </xf>
    <xf numFmtId="165" fontId="9" fillId="0" borderId="3" xfId="0" applyNumberFormat="1" applyFont="1" applyFill="1" applyBorder="1" applyAlignment="1">
      <alignment horizontal="center" vertical="center"/>
    </xf>
    <xf numFmtId="165" fontId="9" fillId="0" borderId="10" xfId="0" applyNumberFormat="1" applyFont="1" applyFill="1" applyBorder="1" applyAlignment="1">
      <alignment horizontal="center" vertical="center"/>
    </xf>
    <xf numFmtId="165" fontId="9" fillId="0" borderId="13" xfId="0" applyNumberFormat="1" applyFont="1" applyFill="1" applyBorder="1" applyAlignment="1">
      <alignment horizontal="center" vertical="center"/>
    </xf>
    <xf numFmtId="0" fontId="6" fillId="2" borderId="0" xfId="0" applyFont="1" applyFill="1" applyBorder="1" applyAlignment="1">
      <alignment horizontal="center" vertical="center"/>
    </xf>
    <xf numFmtId="4" fontId="9" fillId="0" borderId="9" xfId="1" quotePrefix="1" applyNumberFormat="1" applyFont="1" applyFill="1" applyBorder="1" applyAlignment="1">
      <alignment horizontal="center" vertical="center"/>
    </xf>
    <xf numFmtId="15" fontId="9" fillId="0" borderId="0" xfId="1" quotePrefix="1" applyNumberFormat="1" applyFont="1" applyFill="1" applyBorder="1" applyAlignment="1">
      <alignment horizontal="center" vertical="center"/>
    </xf>
    <xf numFmtId="166" fontId="9" fillId="0" borderId="0" xfId="2" quotePrefix="1" applyNumberFormat="1" applyFont="1" applyFill="1" applyBorder="1" applyAlignment="1">
      <alignment horizontal="center" vertical="center"/>
    </xf>
    <xf numFmtId="164" fontId="9" fillId="0" borderId="10" xfId="2" quotePrefix="1" applyNumberFormat="1" applyFont="1" applyFill="1" applyBorder="1" applyAlignment="1">
      <alignment horizontal="center" vertical="center"/>
    </xf>
    <xf numFmtId="165" fontId="9" fillId="0" borderId="9" xfId="1" quotePrefix="1" applyNumberFormat="1" applyFont="1" applyFill="1" applyBorder="1" applyAlignment="1">
      <alignment horizontal="center" vertical="center"/>
    </xf>
    <xf numFmtId="165" fontId="9" fillId="0" borderId="9" xfId="1" applyNumberFormat="1" applyFont="1" applyFill="1" applyBorder="1" applyAlignment="1">
      <alignment horizontal="center" vertical="center"/>
    </xf>
    <xf numFmtId="15" fontId="9" fillId="0" borderId="0" xfId="1" applyNumberFormat="1" applyFont="1" applyFill="1" applyBorder="1" applyAlignment="1">
      <alignment horizontal="center" vertical="center"/>
    </xf>
    <xf numFmtId="166" fontId="9" fillId="0" borderId="0" xfId="2" applyNumberFormat="1" applyFont="1" applyFill="1" applyBorder="1" applyAlignment="1">
      <alignment horizontal="center" vertical="center"/>
    </xf>
    <xf numFmtId="164" fontId="9" fillId="0" borderId="10" xfId="2" applyNumberFormat="1" applyFont="1" applyFill="1" applyBorder="1" applyAlignment="1">
      <alignment horizontal="center" vertical="center"/>
    </xf>
    <xf numFmtId="0" fontId="9" fillId="0" borderId="9" xfId="1" applyFont="1" applyFill="1" applyBorder="1" applyAlignment="1">
      <alignment horizontal="center" vertical="center"/>
    </xf>
    <xf numFmtId="166" fontId="9" fillId="0" borderId="0" xfId="1" applyNumberFormat="1" applyFont="1" applyFill="1" applyBorder="1" applyAlignment="1">
      <alignment horizontal="center" vertical="center"/>
    </xf>
    <xf numFmtId="0" fontId="9" fillId="0" borderId="9" xfId="0" applyFont="1" applyFill="1" applyBorder="1" applyAlignment="1">
      <alignment horizontal="center"/>
    </xf>
    <xf numFmtId="15" fontId="9" fillId="0" borderId="0" xfId="0" applyNumberFormat="1" applyFont="1" applyFill="1" applyBorder="1" applyAlignment="1">
      <alignment horizontal="center"/>
    </xf>
    <xf numFmtId="164" fontId="9" fillId="0" borderId="10" xfId="0" applyNumberFormat="1" applyFont="1" applyFill="1" applyBorder="1" applyAlignment="1">
      <alignment horizontal="center"/>
    </xf>
    <xf numFmtId="0" fontId="9" fillId="0" borderId="14" xfId="0" applyFont="1" applyFill="1" applyBorder="1" applyAlignment="1">
      <alignment horizontal="center"/>
    </xf>
    <xf numFmtId="15" fontId="9" fillId="0" borderId="12" xfId="0" applyNumberFormat="1" applyFont="1" applyFill="1" applyBorder="1" applyAlignment="1">
      <alignment horizontal="center"/>
    </xf>
    <xf numFmtId="166" fontId="9" fillId="0" borderId="12" xfId="1" applyNumberFormat="1" applyFont="1" applyFill="1" applyBorder="1" applyAlignment="1">
      <alignment horizontal="center" vertical="center"/>
    </xf>
    <xf numFmtId="164" fontId="9" fillId="0" borderId="13" xfId="0" applyNumberFormat="1" applyFont="1" applyFill="1" applyBorder="1" applyAlignment="1">
      <alignment horizontal="center"/>
    </xf>
    <xf numFmtId="0" fontId="0" fillId="2" borderId="12" xfId="0" applyFont="1" applyFill="1" applyBorder="1" applyAlignment="1">
      <alignment horizontal="center" vertical="center"/>
    </xf>
    <xf numFmtId="165" fontId="9" fillId="0" borderId="2" xfId="0" applyNumberFormat="1" applyFont="1" applyFill="1" applyBorder="1" applyAlignment="1">
      <alignment horizontal="center" vertical="center"/>
    </xf>
    <xf numFmtId="165" fontId="9" fillId="0" borderId="0" xfId="0" applyNumberFormat="1" applyFont="1" applyFill="1" applyBorder="1" applyAlignment="1">
      <alignment horizontal="center" vertical="center"/>
    </xf>
    <xf numFmtId="165" fontId="9" fillId="0" borderId="12" xfId="0" applyNumberFormat="1" applyFont="1" applyFill="1" applyBorder="1" applyAlignment="1">
      <alignment horizontal="center" vertical="center"/>
    </xf>
    <xf numFmtId="0" fontId="9" fillId="0" borderId="5" xfId="0" applyFont="1" applyFill="1" applyBorder="1" applyAlignment="1">
      <alignment horizontal="center" vertical="center"/>
    </xf>
    <xf numFmtId="0" fontId="9" fillId="0" borderId="1" xfId="0" applyFont="1" applyFill="1" applyBorder="1" applyAlignment="1">
      <alignment vertical="center"/>
    </xf>
    <xf numFmtId="0" fontId="9" fillId="0" borderId="4" xfId="0" applyFont="1" applyFill="1" applyBorder="1" applyAlignment="1">
      <alignment vertical="center"/>
    </xf>
    <xf numFmtId="0" fontId="9" fillId="0" borderId="11" xfId="0" applyFont="1" applyFill="1" applyBorder="1"/>
    <xf numFmtId="0" fontId="11" fillId="0" borderId="10" xfId="0" applyFont="1" applyFill="1" applyBorder="1" applyAlignment="1">
      <alignment horizontal="center" vertical="center"/>
    </xf>
    <xf numFmtId="3" fontId="9" fillId="0" borderId="10" xfId="0" applyNumberFormat="1" applyFont="1" applyFill="1" applyBorder="1" applyAlignment="1">
      <alignment horizontal="center" vertical="center"/>
    </xf>
    <xf numFmtId="15" fontId="9" fillId="0" borderId="1" xfId="0" applyNumberFormat="1" applyFont="1" applyFill="1" applyBorder="1" applyAlignment="1">
      <alignment horizontal="center" vertical="center"/>
    </xf>
    <xf numFmtId="0" fontId="9" fillId="0" borderId="4" xfId="0" applyFont="1" applyFill="1" applyBorder="1" applyAlignment="1">
      <alignment horizontal="center" vertical="center"/>
    </xf>
    <xf numFmtId="0" fontId="11" fillId="2" borderId="4" xfId="0" applyFont="1" applyFill="1" applyBorder="1" applyAlignment="1">
      <alignment horizontal="left" vertical="center"/>
    </xf>
    <xf numFmtId="0" fontId="9" fillId="0" borderId="11" xfId="0" applyFont="1" applyFill="1" applyBorder="1" applyAlignment="1">
      <alignment horizontal="center" vertical="center"/>
    </xf>
    <xf numFmtId="0" fontId="11" fillId="2" borderId="4" xfId="0" applyFont="1" applyFill="1" applyBorder="1" applyAlignment="1">
      <alignment horizontal="center" vertical="center"/>
    </xf>
    <xf numFmtId="0" fontId="6" fillId="0" borderId="16" xfId="0" applyFont="1" applyFill="1" applyBorder="1" applyAlignment="1">
      <alignment vertical="center"/>
    </xf>
    <xf numFmtId="0" fontId="9" fillId="0" borderId="18" xfId="0" applyFont="1" applyFill="1" applyBorder="1" applyAlignment="1">
      <alignment horizontal="center" vertical="center"/>
    </xf>
    <xf numFmtId="0" fontId="6" fillId="0" borderId="17" xfId="0" applyFont="1" applyFill="1" applyBorder="1" applyAlignment="1">
      <alignment vertical="center"/>
    </xf>
    <xf numFmtId="0" fontId="5" fillId="0" borderId="19" xfId="0" applyFont="1" applyFill="1" applyBorder="1" applyAlignment="1">
      <alignment horizontal="center" vertical="center"/>
    </xf>
    <xf numFmtId="0" fontId="11" fillId="2" borderId="16" xfId="0" applyFont="1" applyFill="1" applyBorder="1" applyAlignment="1">
      <alignment horizontal="center" vertical="center"/>
    </xf>
    <xf numFmtId="0" fontId="7" fillId="0" borderId="4" xfId="0" applyFont="1" applyFill="1" applyBorder="1" applyAlignment="1">
      <alignment vertical="center"/>
    </xf>
    <xf numFmtId="0" fontId="0" fillId="2" borderId="0" xfId="0" applyFont="1" applyFill="1" applyBorder="1"/>
    <xf numFmtId="0" fontId="0" fillId="2" borderId="0" xfId="0" applyFont="1" applyFill="1" applyBorder="1" applyAlignment="1">
      <alignment horizontal="center" vertical="center"/>
    </xf>
    <xf numFmtId="0" fontId="9" fillId="2" borderId="0" xfId="0" applyFont="1" applyFill="1" applyBorder="1" applyAlignment="1">
      <alignment horizontal="center"/>
    </xf>
    <xf numFmtId="165" fontId="9" fillId="2" borderId="0" xfId="0" applyNumberFormat="1" applyFont="1" applyFill="1" applyBorder="1" applyAlignment="1">
      <alignment horizontal="center"/>
    </xf>
    <xf numFmtId="0" fontId="12" fillId="0" borderId="0" xfId="0" applyFont="1"/>
    <xf numFmtId="0" fontId="12" fillId="0" borderId="0" xfId="0" applyFont="1"/>
    <xf numFmtId="0" fontId="13" fillId="0" borderId="15" xfId="0" applyFont="1" applyFill="1" applyBorder="1"/>
    <xf numFmtId="0" fontId="5" fillId="0" borderId="0" xfId="0" applyFont="1"/>
    <xf numFmtId="0" fontId="5" fillId="0" borderId="0" xfId="0" applyFont="1"/>
    <xf numFmtId="0" fontId="5" fillId="0" borderId="0" xfId="0" applyFont="1"/>
    <xf numFmtId="0" fontId="5" fillId="0" borderId="0" xfId="0" applyFont="1"/>
    <xf numFmtId="0" fontId="5" fillId="0" borderId="0" xfId="0" applyFont="1"/>
    <xf numFmtId="0" fontId="13" fillId="0" borderId="15" xfId="0" applyFont="1" applyFill="1" applyBorder="1"/>
    <xf numFmtId="0" fontId="0" fillId="2" borderId="0" xfId="0" applyFont="1" applyFill="1" applyBorder="1" applyAlignment="1">
      <alignment horizontal="center" vertical="center"/>
    </xf>
    <xf numFmtId="0" fontId="9" fillId="2" borderId="0" xfId="0" applyFont="1" applyFill="1" applyBorder="1" applyAlignment="1">
      <alignment horizontal="center" vertical="center"/>
    </xf>
    <xf numFmtId="165" fontId="9" fillId="2" borderId="0" xfId="0" applyNumberFormat="1" applyFont="1" applyFill="1" applyBorder="1" applyAlignment="1">
      <alignment horizontal="center" vertical="center"/>
    </xf>
    <xf numFmtId="4" fontId="9" fillId="2" borderId="0" xfId="0" applyNumberFormat="1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165" fontId="9" fillId="3" borderId="4" xfId="0" applyNumberFormat="1" applyFont="1" applyFill="1" applyBorder="1" applyAlignment="1">
      <alignment horizontal="center" vertical="center"/>
    </xf>
    <xf numFmtId="0" fontId="0" fillId="3" borderId="4" xfId="0" applyFill="1" applyBorder="1" applyAlignment="1">
      <alignment horizontal="center" vertical="center"/>
    </xf>
    <xf numFmtId="0" fontId="0" fillId="3" borderId="4" xfId="0" quotePrefix="1" applyFill="1" applyBorder="1" applyAlignment="1">
      <alignment horizontal="center" vertical="center"/>
    </xf>
    <xf numFmtId="167" fontId="9" fillId="3" borderId="4" xfId="0" applyNumberFormat="1" applyFont="1" applyFill="1" applyBorder="1" applyAlignment="1">
      <alignment horizontal="center" vertical="center"/>
    </xf>
    <xf numFmtId="0" fontId="9" fillId="3" borderId="4" xfId="0" applyFont="1" applyFill="1" applyBorder="1" applyAlignment="1">
      <alignment horizontal="center" vertical="center"/>
    </xf>
    <xf numFmtId="0" fontId="6" fillId="3" borderId="4" xfId="0" quotePrefix="1" applyFont="1" applyFill="1" applyBorder="1" applyAlignment="1">
      <alignment horizontal="center" vertical="center"/>
    </xf>
    <xf numFmtId="165" fontId="6" fillId="3" borderId="4" xfId="0" applyNumberFormat="1" applyFont="1" applyFill="1" applyBorder="1" applyAlignment="1">
      <alignment horizontal="center" vertical="center"/>
    </xf>
    <xf numFmtId="0" fontId="0" fillId="3" borderId="21" xfId="0" quotePrefix="1" applyFill="1" applyBorder="1" applyAlignment="1">
      <alignment horizontal="center" vertical="center"/>
    </xf>
    <xf numFmtId="0" fontId="0" fillId="2" borderId="1" xfId="0" applyNumberFormat="1" applyFill="1" applyBorder="1" applyAlignment="1">
      <alignment horizontal="left" vertical="center" wrapText="1"/>
    </xf>
    <xf numFmtId="0" fontId="0" fillId="2" borderId="4" xfId="0" applyNumberFormat="1" applyFill="1" applyBorder="1" applyAlignment="1">
      <alignment horizontal="left" vertical="center" wrapText="1"/>
    </xf>
    <xf numFmtId="0" fontId="0" fillId="2" borderId="9" xfId="0" applyNumberFormat="1" applyFill="1" applyBorder="1" applyAlignment="1">
      <alignment horizontal="left" vertical="center" wrapText="1"/>
    </xf>
    <xf numFmtId="0" fontId="0" fillId="2" borderId="20" xfId="0" applyNumberFormat="1" applyFill="1" applyBorder="1" applyAlignment="1">
      <alignment horizontal="left" vertical="center" wrapText="1"/>
    </xf>
    <xf numFmtId="0" fontId="0" fillId="2" borderId="14" xfId="0" applyNumberFormat="1" applyFill="1" applyBorder="1" applyAlignment="1">
      <alignment horizontal="left" vertical="center" wrapText="1"/>
    </xf>
    <xf numFmtId="0" fontId="0" fillId="2" borderId="9" xfId="0" applyNumberFormat="1" applyFont="1" applyFill="1" applyBorder="1" applyAlignment="1">
      <alignment horizontal="left" vertical="center" wrapText="1"/>
    </xf>
    <xf numFmtId="0" fontId="0" fillId="3" borderId="11" xfId="0" quotePrefix="1" applyFill="1" applyBorder="1" applyAlignment="1">
      <alignment horizontal="center" vertical="center"/>
    </xf>
    <xf numFmtId="15" fontId="0" fillId="0" borderId="0" xfId="0" applyNumberFormat="1"/>
    <xf numFmtId="0" fontId="2" fillId="0" borderId="0" xfId="0" applyFont="1"/>
    <xf numFmtId="0" fontId="24" fillId="0" borderId="0" xfId="0" applyFont="1" applyAlignment="1">
      <alignment horizontal="center" vertical="center"/>
    </xf>
    <xf numFmtId="0" fontId="0" fillId="2" borderId="1" xfId="0" applyNumberFormat="1" applyFill="1" applyBorder="1" applyAlignment="1">
      <alignment horizontal="left" vertical="top" wrapText="1"/>
    </xf>
    <xf numFmtId="0" fontId="0" fillId="2" borderId="4" xfId="0" applyFill="1" applyBorder="1"/>
    <xf numFmtId="0" fontId="0" fillId="2" borderId="11" xfId="0" applyFill="1" applyBorder="1"/>
    <xf numFmtId="0" fontId="9" fillId="2" borderId="5" xfId="0" applyFont="1" applyFill="1" applyBorder="1" applyAlignment="1">
      <alignment horizontal="center" vertical="center"/>
    </xf>
    <xf numFmtId="0" fontId="9" fillId="2" borderId="2" xfId="0" applyFont="1" applyFill="1" applyBorder="1" applyAlignment="1">
      <alignment horizontal="center" vertical="center"/>
    </xf>
    <xf numFmtId="166" fontId="9" fillId="2" borderId="2" xfId="0" applyNumberFormat="1" applyFont="1" applyFill="1" applyBorder="1" applyAlignment="1">
      <alignment horizontal="center" vertical="center"/>
    </xf>
    <xf numFmtId="170" fontId="9" fillId="2" borderId="9" xfId="0" applyNumberFormat="1" applyFont="1" applyFill="1" applyBorder="1" applyAlignment="1">
      <alignment horizontal="center" vertical="center"/>
    </xf>
    <xf numFmtId="170" fontId="9" fillId="2" borderId="0" xfId="0" applyNumberFormat="1" applyFont="1" applyFill="1" applyBorder="1" applyAlignment="1">
      <alignment horizontal="center" vertical="center"/>
    </xf>
    <xf numFmtId="166" fontId="9" fillId="2" borderId="0" xfId="0" applyNumberFormat="1" applyFont="1" applyFill="1" applyBorder="1" applyAlignment="1">
      <alignment horizontal="center" vertical="center"/>
    </xf>
    <xf numFmtId="166" fontId="9" fillId="2" borderId="12" xfId="0" applyNumberFormat="1" applyFont="1" applyFill="1" applyBorder="1" applyAlignment="1">
      <alignment horizontal="center" vertical="center"/>
    </xf>
    <xf numFmtId="3" fontId="9" fillId="0" borderId="1" xfId="0" applyNumberFormat="1" applyFont="1" applyBorder="1" applyAlignment="1">
      <alignment horizontal="center" vertical="center"/>
    </xf>
    <xf numFmtId="3" fontId="9" fillId="0" borderId="4" xfId="0" applyNumberFormat="1" applyFont="1" applyBorder="1" applyAlignment="1">
      <alignment horizontal="center"/>
    </xf>
    <xf numFmtId="169" fontId="9" fillId="0" borderId="4" xfId="0" applyNumberFormat="1" applyFont="1" applyBorder="1" applyAlignment="1">
      <alignment horizontal="center" vertical="center"/>
    </xf>
    <xf numFmtId="3" fontId="9" fillId="0" borderId="4" xfId="0" applyNumberFormat="1" applyFont="1" applyBorder="1" applyAlignment="1">
      <alignment horizontal="center" vertical="center"/>
    </xf>
    <xf numFmtId="3" fontId="9" fillId="0" borderId="11" xfId="0" applyNumberFormat="1" applyFont="1" applyBorder="1" applyAlignment="1">
      <alignment horizontal="center" vertical="center"/>
    </xf>
    <xf numFmtId="4" fontId="9" fillId="2" borderId="2" xfId="0" applyNumberFormat="1" applyFont="1" applyFill="1" applyBorder="1" applyAlignment="1">
      <alignment horizontal="center" vertical="center"/>
    </xf>
    <xf numFmtId="3" fontId="9" fillId="2" borderId="2" xfId="0" applyNumberFormat="1" applyFont="1" applyFill="1" applyBorder="1" applyAlignment="1">
      <alignment horizontal="center" vertical="center"/>
    </xf>
    <xf numFmtId="3" fontId="9" fillId="2" borderId="0" xfId="0" applyNumberFormat="1" applyFont="1" applyFill="1" applyBorder="1" applyAlignment="1">
      <alignment horizontal="center" vertical="center"/>
    </xf>
    <xf numFmtId="10" fontId="9" fillId="2" borderId="2" xfId="0" applyNumberFormat="1" applyFont="1" applyFill="1" applyBorder="1" applyAlignment="1">
      <alignment horizontal="center" vertical="center"/>
    </xf>
    <xf numFmtId="10" fontId="9" fillId="2" borderId="0" xfId="0" applyNumberFormat="1" applyFont="1" applyFill="1" applyBorder="1" applyAlignment="1">
      <alignment horizontal="center" vertical="center"/>
    </xf>
    <xf numFmtId="171" fontId="9" fillId="2" borderId="2" xfId="0" applyNumberFormat="1" applyFont="1" applyFill="1" applyBorder="1" applyAlignment="1">
      <alignment horizontal="center" vertical="center"/>
    </xf>
    <xf numFmtId="171" fontId="9" fillId="2" borderId="0" xfId="0" applyNumberFormat="1" applyFont="1" applyFill="1" applyBorder="1" applyAlignment="1">
      <alignment horizontal="center" vertical="center"/>
    </xf>
    <xf numFmtId="3" fontId="9" fillId="2" borderId="10" xfId="0" applyNumberFormat="1" applyFont="1" applyFill="1" applyBorder="1" applyAlignment="1">
      <alignment horizontal="center" vertical="center"/>
    </xf>
    <xf numFmtId="3" fontId="9" fillId="2" borderId="3" xfId="0" applyNumberFormat="1" applyFont="1" applyFill="1" applyBorder="1" applyAlignment="1">
      <alignment horizontal="center" vertical="center"/>
    </xf>
    <xf numFmtId="165" fontId="9" fillId="2" borderId="2" xfId="0" applyNumberFormat="1" applyFont="1" applyFill="1" applyBorder="1" applyAlignment="1">
      <alignment horizontal="center" vertical="center"/>
    </xf>
    <xf numFmtId="170" fontId="9" fillId="2" borderId="9" xfId="0" applyNumberFormat="1" applyFont="1" applyFill="1" applyBorder="1" applyAlignment="1">
      <alignment horizontal="center"/>
    </xf>
    <xf numFmtId="170" fontId="9" fillId="2" borderId="0" xfId="0" applyNumberFormat="1" applyFont="1" applyFill="1" applyBorder="1" applyAlignment="1">
      <alignment horizontal="center"/>
    </xf>
    <xf numFmtId="3" fontId="9" fillId="2" borderId="0" xfId="0" applyNumberFormat="1" applyFont="1" applyFill="1" applyBorder="1" applyAlignment="1">
      <alignment horizontal="center"/>
    </xf>
    <xf numFmtId="4" fontId="9" fillId="2" borderId="0" xfId="0" applyNumberFormat="1" applyFont="1" applyFill="1" applyBorder="1" applyAlignment="1">
      <alignment horizontal="center"/>
    </xf>
    <xf numFmtId="171" fontId="9" fillId="2" borderId="0" xfId="0" applyNumberFormat="1" applyFont="1" applyFill="1" applyBorder="1" applyAlignment="1">
      <alignment horizontal="center"/>
    </xf>
    <xf numFmtId="3" fontId="9" fillId="2" borderId="10" xfId="0" applyNumberFormat="1" applyFont="1" applyFill="1" applyBorder="1" applyAlignment="1">
      <alignment horizontal="center"/>
    </xf>
    <xf numFmtId="170" fontId="9" fillId="2" borderId="14" xfId="0" applyNumberFormat="1" applyFont="1" applyFill="1" applyBorder="1" applyAlignment="1">
      <alignment horizontal="center"/>
    </xf>
    <xf numFmtId="170" fontId="9" fillId="2" borderId="12" xfId="0" applyNumberFormat="1" applyFont="1" applyFill="1" applyBorder="1" applyAlignment="1">
      <alignment horizontal="center"/>
    </xf>
    <xf numFmtId="0" fontId="9" fillId="2" borderId="12" xfId="0" applyFont="1" applyFill="1" applyBorder="1" applyAlignment="1">
      <alignment horizontal="center"/>
    </xf>
    <xf numFmtId="3" fontId="9" fillId="2" borderId="12" xfId="0" applyNumberFormat="1" applyFont="1" applyFill="1" applyBorder="1" applyAlignment="1">
      <alignment horizontal="center"/>
    </xf>
    <xf numFmtId="165" fontId="9" fillId="2" borderId="12" xfId="0" applyNumberFormat="1" applyFont="1" applyFill="1" applyBorder="1" applyAlignment="1">
      <alignment horizontal="center"/>
    </xf>
    <xf numFmtId="4" fontId="9" fillId="2" borderId="12" xfId="0" applyNumberFormat="1" applyFont="1" applyFill="1" applyBorder="1" applyAlignment="1">
      <alignment horizontal="center"/>
    </xf>
    <xf numFmtId="171" fontId="9" fillId="2" borderId="12" xfId="0" applyNumberFormat="1" applyFont="1" applyFill="1" applyBorder="1" applyAlignment="1">
      <alignment horizontal="center"/>
    </xf>
    <xf numFmtId="3" fontId="9" fillId="2" borderId="13" xfId="0" applyNumberFormat="1" applyFont="1" applyFill="1" applyBorder="1" applyAlignment="1">
      <alignment horizontal="center"/>
    </xf>
    <xf numFmtId="10" fontId="9" fillId="2" borderId="0" xfId="0" applyNumberFormat="1" applyFont="1" applyFill="1" applyBorder="1" applyAlignment="1">
      <alignment horizontal="center"/>
    </xf>
    <xf numFmtId="10" fontId="9" fillId="2" borderId="12" xfId="0" applyNumberFormat="1" applyFont="1" applyFill="1" applyBorder="1" applyAlignment="1">
      <alignment horizontal="center"/>
    </xf>
    <xf numFmtId="4" fontId="6" fillId="4" borderId="4" xfId="0" applyNumberFormat="1" applyFont="1" applyFill="1" applyBorder="1" applyAlignment="1">
      <alignment horizontal="center" vertical="center"/>
    </xf>
    <xf numFmtId="167" fontId="6" fillId="4" borderId="4" xfId="0" applyNumberFormat="1" applyFont="1" applyFill="1" applyBorder="1" applyAlignment="1">
      <alignment horizontal="center" vertical="center"/>
    </xf>
    <xf numFmtId="0" fontId="6" fillId="4" borderId="4" xfId="0" applyFont="1" applyFill="1" applyBorder="1" applyAlignment="1">
      <alignment horizontal="center"/>
    </xf>
    <xf numFmtId="0" fontId="6" fillId="4" borderId="21" xfId="0" applyFont="1" applyFill="1" applyBorder="1" applyAlignment="1">
      <alignment horizontal="center"/>
    </xf>
    <xf numFmtId="0" fontId="7" fillId="0" borderId="0" xfId="0" applyFont="1" applyAlignment="1">
      <alignment horizontal="left" vertical="center"/>
    </xf>
    <xf numFmtId="0" fontId="25" fillId="0" borderId="0" xfId="0" applyFont="1"/>
    <xf numFmtId="3" fontId="0" fillId="4" borderId="1" xfId="0" applyNumberFormat="1" applyFont="1" applyFill="1" applyBorder="1" applyAlignment="1">
      <alignment horizontal="center" vertical="center"/>
    </xf>
    <xf numFmtId="0" fontId="0" fillId="4" borderId="4" xfId="0" applyFont="1" applyFill="1" applyBorder="1" applyAlignment="1">
      <alignment horizontal="center" vertical="center"/>
    </xf>
    <xf numFmtId="168" fontId="6" fillId="4" borderId="4" xfId="0" applyNumberFormat="1" applyFont="1" applyFill="1" applyBorder="1" applyAlignment="1">
      <alignment horizontal="center" vertical="center"/>
    </xf>
    <xf numFmtId="0" fontId="22" fillId="0" borderId="16" xfId="0" applyFont="1" applyFill="1" applyBorder="1" applyAlignment="1">
      <alignment horizontal="center" vertical="center" textRotation="90"/>
    </xf>
    <xf numFmtId="0" fontId="22" fillId="0" borderId="4" xfId="0" applyFont="1" applyBorder="1" applyAlignment="1">
      <alignment horizontal="center" vertical="center" textRotation="90"/>
    </xf>
    <xf numFmtId="0" fontId="22" fillId="0" borderId="17" xfId="0" applyFont="1" applyBorder="1" applyAlignment="1">
      <alignment horizontal="center" vertical="center" textRotation="90"/>
    </xf>
    <xf numFmtId="0" fontId="21" fillId="0" borderId="16" xfId="0" applyFont="1" applyFill="1" applyBorder="1" applyAlignment="1">
      <alignment horizontal="center" vertical="center" textRotation="90" wrapText="1"/>
    </xf>
    <xf numFmtId="0" fontId="21" fillId="0" borderId="4" xfId="0" applyFont="1" applyBorder="1" applyAlignment="1">
      <alignment horizontal="center" vertical="center" textRotation="90"/>
    </xf>
    <xf numFmtId="0" fontId="21" fillId="0" borderId="17" xfId="0" applyFont="1" applyBorder="1" applyAlignment="1">
      <alignment horizontal="center" vertical="center" textRotation="90"/>
    </xf>
    <xf numFmtId="0" fontId="22" fillId="0" borderId="16" xfId="0" applyFont="1" applyFill="1" applyBorder="1" applyAlignment="1">
      <alignment horizontal="center" vertical="center" textRotation="90" wrapText="1"/>
    </xf>
    <xf numFmtId="0" fontId="22" fillId="0" borderId="4" xfId="0" applyFont="1" applyBorder="1" applyAlignment="1">
      <alignment horizontal="center" vertical="center" textRotation="90" wrapText="1"/>
    </xf>
    <xf numFmtId="0" fontId="22" fillId="0" borderId="11" xfId="0" applyFont="1" applyBorder="1" applyAlignment="1">
      <alignment horizontal="center" vertical="center" textRotation="90" wrapText="1"/>
    </xf>
  </cellXfs>
  <cellStyles count="3">
    <cellStyle name="Comma [0]" xfId="2" builtinId="6"/>
    <cellStyle name="Normal" xfId="0" builtinId="0"/>
    <cellStyle name="標準_Input_OutPut20060417" xfId="1"/>
  </cellStyles>
  <dxfs count="0"/>
  <tableStyles count="0" defaultTableStyle="TableStyleMedium2" defaultPivotStyle="PivotStyleLight16"/>
  <colors>
    <mruColors>
      <color rgb="FF0000FF"/>
      <color rgb="FFFFFFCC"/>
      <color rgb="FF006600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comments" Target="../comments3.xml"/><Relationship Id="rId1" Type="http://schemas.openxmlformats.org/officeDocument/2006/relationships/vmlDrawing" Target="../drawings/vmlDrawing3.v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theme="3"/>
  </sheetPr>
  <dimension ref="B2:N90"/>
  <sheetViews>
    <sheetView showGridLines="0" workbookViewId="0"/>
  </sheetViews>
  <sheetFormatPr defaultRowHeight="15" x14ac:dyDescent="0.25"/>
  <cols>
    <col min="1" max="1" width="10.7109375" customWidth="1"/>
    <col min="2" max="2" width="2.7109375" customWidth="1"/>
    <col min="3" max="3" width="25.140625" bestFit="1" customWidth="1"/>
    <col min="4" max="4" width="32.85546875" customWidth="1"/>
    <col min="5" max="5" width="10.7109375" customWidth="1"/>
    <col min="6" max="8" width="12.7109375" customWidth="1"/>
    <col min="9" max="9" width="15.7109375" customWidth="1"/>
    <col min="10" max="10" width="20.7109375" customWidth="1"/>
    <col min="11" max="11" width="12.7109375" customWidth="1"/>
    <col min="12" max="13" width="15.7109375" customWidth="1"/>
    <col min="14" max="14" width="2.7109375" customWidth="1"/>
  </cols>
  <sheetData>
    <row r="2" spans="2:14" x14ac:dyDescent="0.25">
      <c r="B2" s="121" t="s">
        <v>202</v>
      </c>
    </row>
    <row r="3" spans="2:14" x14ac:dyDescent="0.25">
      <c r="B3" s="64"/>
    </row>
    <row r="4" spans="2:14" x14ac:dyDescent="0.25">
      <c r="B4" s="64"/>
    </row>
    <row r="5" spans="2:14" x14ac:dyDescent="0.25">
      <c r="B5" s="122" t="s">
        <v>200</v>
      </c>
    </row>
    <row r="6" spans="2:14" x14ac:dyDescent="0.25">
      <c r="B6" s="2"/>
      <c r="C6" s="45"/>
      <c r="D6" s="46"/>
      <c r="E6" s="3"/>
      <c r="F6" s="3"/>
      <c r="G6" s="3"/>
      <c r="H6" s="3"/>
      <c r="I6" s="3"/>
      <c r="J6" s="3"/>
      <c r="K6" s="3"/>
      <c r="L6" s="3"/>
      <c r="M6" s="3"/>
      <c r="N6" s="4"/>
    </row>
    <row r="7" spans="2:14" x14ac:dyDescent="0.25">
      <c r="B7" s="5"/>
      <c r="C7" s="123" t="s">
        <v>200</v>
      </c>
      <c r="D7" s="61" t="str">
        <f ca="1">IF(NOW(),_xll.meCurveCalibrateOIS(Curve.CollectionName,Curve.MarketDataTable,Curve.OISIndexName,Curve.BuildProperties,OIS.Conventions,OIS.MarketData,OIS.FixingTable,LiborOISBasis.Conventions,LiborOISBasis.MarketData,LiborSwap.Conventions,LiborSwap.MarketData),"Error Building OIS Curve")</f>
        <v>EURYC OIS Curve has been set (0.03200 sec)</v>
      </c>
      <c r="E7" s="62"/>
      <c r="F7" s="63"/>
      <c r="G7" s="7"/>
      <c r="H7" s="7"/>
      <c r="I7" s="7"/>
      <c r="J7" s="7"/>
      <c r="K7" s="7"/>
      <c r="L7" s="7"/>
      <c r="M7" s="7"/>
      <c r="N7" s="8"/>
    </row>
    <row r="8" spans="2:14" x14ac:dyDescent="0.25">
      <c r="B8" s="5"/>
      <c r="C8" s="117" t="s">
        <v>192</v>
      </c>
      <c r="D8" s="118" t="b">
        <f ca="1">LEFT(D7,9)="EURYC OIS"</f>
        <v>1</v>
      </c>
      <c r="E8" s="7"/>
      <c r="F8" s="7"/>
      <c r="G8" s="7"/>
      <c r="H8" s="7"/>
      <c r="I8" s="7"/>
      <c r="J8" s="7"/>
      <c r="K8" s="7"/>
      <c r="L8" s="7"/>
      <c r="M8" s="7"/>
      <c r="N8" s="8"/>
    </row>
    <row r="9" spans="2:14" x14ac:dyDescent="0.25">
      <c r="B9" s="5"/>
      <c r="C9" s="6"/>
      <c r="D9" s="60"/>
      <c r="E9" s="7"/>
      <c r="F9" s="7"/>
      <c r="G9" s="7"/>
      <c r="H9" s="7"/>
      <c r="I9" s="7"/>
      <c r="J9" s="7"/>
      <c r="K9" s="7"/>
      <c r="L9" s="7"/>
      <c r="M9" s="7"/>
      <c r="N9" s="8"/>
    </row>
    <row r="10" spans="2:14" x14ac:dyDescent="0.25">
      <c r="B10" s="5"/>
      <c r="C10" s="48" t="s">
        <v>0</v>
      </c>
      <c r="D10" s="57"/>
      <c r="E10" s="7"/>
      <c r="F10" s="7"/>
      <c r="G10" s="7"/>
      <c r="H10" s="7"/>
      <c r="I10" s="7"/>
      <c r="J10" s="7"/>
      <c r="K10" s="7"/>
      <c r="L10" s="7"/>
      <c r="M10" s="7"/>
      <c r="N10" s="8"/>
    </row>
    <row r="11" spans="2:14" x14ac:dyDescent="0.25">
      <c r="B11" s="5"/>
      <c r="C11" s="27" t="s">
        <v>88</v>
      </c>
      <c r="D11" s="106" t="s">
        <v>80</v>
      </c>
      <c r="E11" s="7"/>
      <c r="F11" s="7"/>
      <c r="G11" s="7"/>
      <c r="H11" s="7"/>
      <c r="I11" s="7"/>
      <c r="J11" s="7"/>
      <c r="K11" s="7"/>
      <c r="L11" s="7"/>
      <c r="M11" s="7"/>
      <c r="N11" s="8"/>
    </row>
    <row r="12" spans="2:14" x14ac:dyDescent="0.25">
      <c r="B12" s="5"/>
      <c r="C12" s="28" t="s">
        <v>87</v>
      </c>
      <c r="D12" s="107" t="s">
        <v>9</v>
      </c>
      <c r="E12" s="7"/>
      <c r="F12" s="7"/>
      <c r="G12" s="7"/>
      <c r="H12" s="7"/>
      <c r="I12" s="7"/>
      <c r="J12" s="7"/>
      <c r="K12" s="7"/>
      <c r="L12" s="7"/>
      <c r="M12" s="7"/>
      <c r="N12" s="8"/>
    </row>
    <row r="13" spans="2:14" x14ac:dyDescent="0.25">
      <c r="B13" s="5"/>
      <c r="C13" s="59" t="s">
        <v>89</v>
      </c>
      <c r="D13" s="109" t="s">
        <v>189</v>
      </c>
      <c r="E13" s="7"/>
      <c r="F13" s="7"/>
      <c r="G13" s="7"/>
      <c r="H13" s="7" t="s">
        <v>4</v>
      </c>
      <c r="I13" s="7" t="s">
        <v>4</v>
      </c>
      <c r="J13" s="7" t="s">
        <v>4</v>
      </c>
      <c r="K13" s="7" t="s">
        <v>4</v>
      </c>
      <c r="L13" s="7" t="s">
        <v>4</v>
      </c>
      <c r="M13" s="7" t="s">
        <v>4</v>
      </c>
      <c r="N13" s="8" t="s">
        <v>4</v>
      </c>
    </row>
    <row r="14" spans="2:14" x14ac:dyDescent="0.25">
      <c r="B14" s="11"/>
      <c r="C14" s="12"/>
      <c r="D14" s="12"/>
      <c r="E14" s="12"/>
      <c r="F14" s="12"/>
      <c r="G14" s="12"/>
      <c r="H14" s="12"/>
      <c r="I14" s="12"/>
      <c r="J14" s="12"/>
      <c r="K14" s="12"/>
      <c r="L14" s="12"/>
      <c r="M14" s="12"/>
      <c r="N14" s="13"/>
    </row>
    <row r="17" spans="2:14" x14ac:dyDescent="0.25">
      <c r="B17" s="56" t="s">
        <v>70</v>
      </c>
    </row>
    <row r="18" spans="2:14" x14ac:dyDescent="0.25">
      <c r="B18" s="2"/>
      <c r="C18" s="45"/>
      <c r="D18" s="46"/>
      <c r="E18" s="3"/>
      <c r="F18" s="3"/>
      <c r="G18" s="3"/>
      <c r="H18" s="65"/>
      <c r="I18" s="3"/>
      <c r="J18" s="3"/>
      <c r="K18" s="3"/>
      <c r="L18" s="3"/>
      <c r="M18" s="3"/>
      <c r="N18" s="4"/>
    </row>
    <row r="19" spans="2:14" x14ac:dyDescent="0.25">
      <c r="B19" s="5"/>
      <c r="C19" s="48" t="s">
        <v>70</v>
      </c>
      <c r="D19" s="47"/>
      <c r="E19" s="7"/>
      <c r="F19" s="50" t="s">
        <v>81</v>
      </c>
      <c r="G19" s="7"/>
      <c r="H19" s="7"/>
      <c r="I19" s="7"/>
      <c r="J19" s="7"/>
      <c r="K19" s="7"/>
      <c r="L19" s="7"/>
      <c r="M19" s="7"/>
      <c r="N19" s="8"/>
    </row>
    <row r="20" spans="2:14" x14ac:dyDescent="0.25">
      <c r="B20" s="5"/>
      <c r="C20" s="27" t="s">
        <v>10</v>
      </c>
      <c r="D20" s="106">
        <v>42419</v>
      </c>
      <c r="E20" s="7"/>
      <c r="F20" s="14" t="s">
        <v>82</v>
      </c>
      <c r="G20" s="15"/>
      <c r="H20" s="16"/>
      <c r="I20" s="7"/>
      <c r="J20" s="7"/>
      <c r="K20" s="7"/>
      <c r="L20" s="7"/>
      <c r="M20" s="7"/>
      <c r="N20" s="8"/>
    </row>
    <row r="21" spans="2:14" x14ac:dyDescent="0.25">
      <c r="B21" s="5"/>
      <c r="C21" s="28" t="s">
        <v>16</v>
      </c>
      <c r="D21" s="107" t="s">
        <v>17</v>
      </c>
      <c r="E21" s="7"/>
      <c r="F21" s="17" t="s">
        <v>83</v>
      </c>
      <c r="G21" s="1"/>
      <c r="H21" s="18"/>
      <c r="I21" s="7"/>
      <c r="J21" s="7"/>
      <c r="K21" s="7"/>
      <c r="L21" s="7"/>
      <c r="M21" s="7"/>
      <c r="N21" s="8"/>
    </row>
    <row r="22" spans="2:14" x14ac:dyDescent="0.25">
      <c r="B22" s="5"/>
      <c r="C22" s="28" t="s">
        <v>24</v>
      </c>
      <c r="D22" s="110" t="s">
        <v>84</v>
      </c>
      <c r="E22" s="7"/>
      <c r="F22" s="17" t="s">
        <v>84</v>
      </c>
      <c r="G22" s="1"/>
      <c r="H22" s="18"/>
      <c r="I22" s="7"/>
      <c r="J22" s="7"/>
      <c r="K22" s="7"/>
      <c r="L22" s="7"/>
      <c r="M22" s="7"/>
      <c r="N22" s="8"/>
    </row>
    <row r="23" spans="2:14" x14ac:dyDescent="0.25">
      <c r="B23" s="5"/>
      <c r="C23" s="29"/>
      <c r="D23" s="107"/>
      <c r="E23" s="7"/>
      <c r="F23" s="17" t="s">
        <v>85</v>
      </c>
      <c r="G23" s="1"/>
      <c r="H23" s="18"/>
      <c r="I23" s="7"/>
      <c r="J23" s="7"/>
      <c r="K23" s="7"/>
      <c r="L23" s="7"/>
      <c r="M23" s="7"/>
      <c r="N23" s="8"/>
    </row>
    <row r="24" spans="2:14" x14ac:dyDescent="0.25">
      <c r="B24" s="5"/>
      <c r="C24" s="44"/>
      <c r="D24" s="109"/>
      <c r="E24" s="7"/>
      <c r="F24" s="21" t="s">
        <v>86</v>
      </c>
      <c r="G24" s="23"/>
      <c r="H24" s="22"/>
      <c r="I24" s="7"/>
      <c r="J24" s="7"/>
      <c r="K24" s="7"/>
      <c r="L24" s="7"/>
      <c r="M24" s="7"/>
      <c r="N24" s="8"/>
    </row>
    <row r="25" spans="2:14" x14ac:dyDescent="0.25">
      <c r="B25" s="11"/>
      <c r="C25" s="12"/>
      <c r="D25" s="12"/>
      <c r="E25" s="12"/>
      <c r="F25" s="12"/>
      <c r="G25" s="12"/>
      <c r="H25" s="12"/>
      <c r="I25" s="12"/>
      <c r="J25" s="12"/>
      <c r="K25" s="12"/>
      <c r="L25" s="12"/>
      <c r="M25" s="12"/>
      <c r="N25" s="13"/>
    </row>
    <row r="27" spans="2:14" x14ac:dyDescent="0.25">
      <c r="F27" s="66"/>
    </row>
    <row r="28" spans="2:14" x14ac:dyDescent="0.25">
      <c r="B28" s="56" t="s">
        <v>79</v>
      </c>
    </row>
    <row r="29" spans="2:14" x14ac:dyDescent="0.25">
      <c r="B29" s="2"/>
      <c r="C29" s="3"/>
      <c r="D29" s="3"/>
      <c r="E29" s="3"/>
      <c r="F29" s="3"/>
      <c r="G29" s="3"/>
      <c r="H29" s="3"/>
      <c r="I29" s="3"/>
      <c r="J29" s="3"/>
      <c r="K29" s="3"/>
      <c r="L29" s="3"/>
      <c r="M29" s="3"/>
      <c r="N29" s="4"/>
    </row>
    <row r="30" spans="2:14" x14ac:dyDescent="0.25">
      <c r="B30" s="5"/>
      <c r="C30" s="49" t="s">
        <v>5</v>
      </c>
      <c r="D30" s="10"/>
      <c r="E30" s="10"/>
      <c r="F30" s="49" t="s">
        <v>72</v>
      </c>
      <c r="G30" s="10"/>
      <c r="H30" s="10"/>
      <c r="I30" s="10"/>
      <c r="J30" s="10"/>
      <c r="K30" s="10"/>
      <c r="L30" s="49" t="s">
        <v>74</v>
      </c>
      <c r="M30" s="10"/>
      <c r="N30" s="55"/>
    </row>
    <row r="31" spans="2:14" x14ac:dyDescent="0.25">
      <c r="B31" s="5"/>
      <c r="C31" s="27" t="s">
        <v>3</v>
      </c>
      <c r="D31" s="34" t="s">
        <v>2</v>
      </c>
      <c r="E31" s="7"/>
      <c r="F31" s="58" t="s">
        <v>11</v>
      </c>
      <c r="G31" s="58" t="s">
        <v>12</v>
      </c>
      <c r="H31" s="58" t="s">
        <v>13</v>
      </c>
      <c r="I31" s="58" t="s">
        <v>14</v>
      </c>
      <c r="J31" s="58" t="s">
        <v>8</v>
      </c>
      <c r="K31" s="10"/>
      <c r="L31" s="58" t="s">
        <v>75</v>
      </c>
      <c r="M31" s="58" t="s">
        <v>12</v>
      </c>
      <c r="N31" s="55"/>
    </row>
    <row r="32" spans="2:14" x14ac:dyDescent="0.25">
      <c r="B32" s="5"/>
      <c r="C32" s="28" t="s">
        <v>7</v>
      </c>
      <c r="D32" s="35" t="s">
        <v>6</v>
      </c>
      <c r="E32" s="9"/>
      <c r="F32" s="24" t="s">
        <v>46</v>
      </c>
      <c r="G32" s="19">
        <v>-2.4299999999999999E-3</v>
      </c>
      <c r="H32" s="20" t="s">
        <v>37</v>
      </c>
      <c r="I32" s="20" t="s">
        <v>37</v>
      </c>
      <c r="J32" s="41" t="b">
        <v>1</v>
      </c>
      <c r="K32" s="10"/>
      <c r="L32" s="53"/>
      <c r="M32" s="51"/>
      <c r="N32" s="55"/>
    </row>
    <row r="33" spans="2:14" x14ac:dyDescent="0.25">
      <c r="B33" s="5"/>
      <c r="C33" s="28" t="s">
        <v>25</v>
      </c>
      <c r="D33" s="35" t="s">
        <v>26</v>
      </c>
      <c r="E33" s="9"/>
      <c r="F33" s="24" t="s">
        <v>48</v>
      </c>
      <c r="G33" s="19">
        <v>-3.3900000000000002E-3</v>
      </c>
      <c r="H33" s="20">
        <v>42481</v>
      </c>
      <c r="I33" s="20">
        <v>42523</v>
      </c>
      <c r="J33" s="41" t="b">
        <v>1</v>
      </c>
      <c r="K33" s="10"/>
      <c r="L33" s="53"/>
      <c r="M33" s="51"/>
      <c r="N33" s="55"/>
    </row>
    <row r="34" spans="2:14" x14ac:dyDescent="0.25">
      <c r="B34" s="5"/>
      <c r="C34" s="28" t="s">
        <v>15</v>
      </c>
      <c r="D34" s="35" t="s">
        <v>30</v>
      </c>
      <c r="E34" s="9"/>
      <c r="F34" s="24" t="s">
        <v>49</v>
      </c>
      <c r="G34" s="19">
        <v>-3.5299999999999997E-3</v>
      </c>
      <c r="H34" s="20">
        <v>42523</v>
      </c>
      <c r="I34" s="20">
        <v>42572</v>
      </c>
      <c r="J34" s="41" t="b">
        <v>1</v>
      </c>
      <c r="K34" s="10"/>
      <c r="L34" s="53"/>
      <c r="M34" s="51"/>
      <c r="N34" s="55"/>
    </row>
    <row r="35" spans="2:14" x14ac:dyDescent="0.25">
      <c r="B35" s="5"/>
      <c r="C35" s="28" t="s">
        <v>23</v>
      </c>
      <c r="D35" s="35" t="s">
        <v>22</v>
      </c>
      <c r="E35" s="9"/>
      <c r="F35" s="24" t="s">
        <v>51</v>
      </c>
      <c r="G35" s="19">
        <v>-3.5699999999999998E-3</v>
      </c>
      <c r="H35" s="20">
        <v>42572</v>
      </c>
      <c r="I35" s="20">
        <v>42621</v>
      </c>
      <c r="J35" s="41" t="b">
        <v>1</v>
      </c>
      <c r="K35" s="10"/>
      <c r="L35" s="53"/>
      <c r="M35" s="51"/>
      <c r="N35" s="55"/>
    </row>
    <row r="36" spans="2:14" x14ac:dyDescent="0.25">
      <c r="B36" s="5"/>
      <c r="C36" s="29" t="s">
        <v>31</v>
      </c>
      <c r="D36" s="35" t="b">
        <v>1</v>
      </c>
      <c r="E36" s="9"/>
      <c r="F36" s="24" t="s">
        <v>53</v>
      </c>
      <c r="G36" s="19">
        <v>-3.7799999999999999E-3</v>
      </c>
      <c r="H36" s="20">
        <v>42621</v>
      </c>
      <c r="I36" s="20">
        <v>42663</v>
      </c>
      <c r="J36" s="41" t="b">
        <v>1</v>
      </c>
      <c r="K36" s="10"/>
      <c r="L36" s="53"/>
      <c r="M36" s="51"/>
      <c r="N36" s="55"/>
    </row>
    <row r="37" spans="2:14" x14ac:dyDescent="0.25">
      <c r="B37" s="5"/>
      <c r="C37" s="30" t="s">
        <v>32</v>
      </c>
      <c r="D37" s="36">
        <v>31</v>
      </c>
      <c r="E37" s="9"/>
      <c r="F37" s="24" t="s">
        <v>55</v>
      </c>
      <c r="G37" s="19">
        <v>-3.8600000000000001E-3</v>
      </c>
      <c r="H37" s="20">
        <v>42663</v>
      </c>
      <c r="I37" s="20">
        <v>42712</v>
      </c>
      <c r="J37" s="41" t="b">
        <v>1</v>
      </c>
      <c r="K37" s="10"/>
      <c r="L37" s="53"/>
      <c r="M37" s="51"/>
      <c r="N37" s="55"/>
    </row>
    <row r="38" spans="2:14" x14ac:dyDescent="0.25">
      <c r="B38" s="5"/>
      <c r="C38" s="28" t="s">
        <v>33</v>
      </c>
      <c r="D38" s="35" t="s">
        <v>34</v>
      </c>
      <c r="E38" s="9"/>
      <c r="F38" s="24" t="s">
        <v>57</v>
      </c>
      <c r="G38" s="19">
        <v>-3.6900000000000001E-3</v>
      </c>
      <c r="H38" s="20" t="s">
        <v>37</v>
      </c>
      <c r="I38" s="20" t="s">
        <v>37</v>
      </c>
      <c r="J38" s="41" t="b">
        <v>1</v>
      </c>
      <c r="K38" s="10"/>
      <c r="L38" s="53"/>
      <c r="M38" s="51"/>
      <c r="N38" s="55"/>
    </row>
    <row r="39" spans="2:14" x14ac:dyDescent="0.25">
      <c r="B39" s="5"/>
      <c r="C39" s="28" t="s">
        <v>35</v>
      </c>
      <c r="D39" s="35" t="s">
        <v>36</v>
      </c>
      <c r="E39" s="9"/>
      <c r="F39" s="24" t="s">
        <v>59</v>
      </c>
      <c r="G39" s="19">
        <v>-3.79E-3</v>
      </c>
      <c r="H39" s="20" t="s">
        <v>37</v>
      </c>
      <c r="I39" s="20" t="s">
        <v>37</v>
      </c>
      <c r="J39" s="41" t="b">
        <v>1</v>
      </c>
      <c r="K39" s="10"/>
      <c r="L39" s="53"/>
      <c r="M39" s="51"/>
      <c r="N39" s="55"/>
    </row>
    <row r="40" spans="2:14" x14ac:dyDescent="0.25">
      <c r="B40" s="5"/>
      <c r="C40" s="28" t="s">
        <v>38</v>
      </c>
      <c r="D40" s="35" t="s">
        <v>39</v>
      </c>
      <c r="E40" s="9"/>
      <c r="F40" s="24" t="s">
        <v>47</v>
      </c>
      <c r="G40" s="19">
        <v>-3.7699999999999999E-3</v>
      </c>
      <c r="H40" s="20" t="s">
        <v>37</v>
      </c>
      <c r="I40" s="20" t="s">
        <v>37</v>
      </c>
      <c r="J40" s="41" t="b">
        <v>1</v>
      </c>
      <c r="K40" s="10"/>
      <c r="L40" s="53"/>
      <c r="M40" s="51"/>
      <c r="N40" s="55"/>
    </row>
    <row r="41" spans="2:14" x14ac:dyDescent="0.25">
      <c r="B41" s="5"/>
      <c r="C41" s="28" t="s">
        <v>40</v>
      </c>
      <c r="D41" s="35" t="s">
        <v>41</v>
      </c>
      <c r="E41" s="9"/>
      <c r="F41" s="24" t="s">
        <v>43</v>
      </c>
      <c r="G41" s="19">
        <v>-3.4000000000000002E-3</v>
      </c>
      <c r="H41" s="20" t="s">
        <v>37</v>
      </c>
      <c r="I41" s="20" t="s">
        <v>37</v>
      </c>
      <c r="J41" s="41" t="b">
        <v>1</v>
      </c>
      <c r="K41" s="10"/>
      <c r="L41" s="53"/>
      <c r="M41" s="51"/>
      <c r="N41" s="55"/>
    </row>
    <row r="42" spans="2:14" x14ac:dyDescent="0.25">
      <c r="B42" s="5"/>
      <c r="C42" s="28" t="s">
        <v>42</v>
      </c>
      <c r="D42" s="35" t="s">
        <v>43</v>
      </c>
      <c r="E42" s="9"/>
      <c r="F42" s="24" t="s">
        <v>50</v>
      </c>
      <c r="G42" s="19">
        <v>-2.6900000000000001E-3</v>
      </c>
      <c r="H42" s="20" t="s">
        <v>37</v>
      </c>
      <c r="I42" s="20" t="s">
        <v>37</v>
      </c>
      <c r="J42" s="41" t="b">
        <v>1</v>
      </c>
      <c r="K42" s="10"/>
      <c r="L42" s="53"/>
      <c r="M42" s="51"/>
      <c r="N42" s="55"/>
    </row>
    <row r="43" spans="2:14" x14ac:dyDescent="0.25">
      <c r="B43" s="5"/>
      <c r="C43" s="29" t="s">
        <v>44</v>
      </c>
      <c r="D43" s="35" t="s">
        <v>45</v>
      </c>
      <c r="E43" s="9"/>
      <c r="F43" s="24" t="s">
        <v>52</v>
      </c>
      <c r="G43" s="19">
        <v>-1.7499999999999998E-3</v>
      </c>
      <c r="H43" s="20" t="s">
        <v>37</v>
      </c>
      <c r="I43" s="20" t="s">
        <v>37</v>
      </c>
      <c r="J43" s="41" t="b">
        <v>1</v>
      </c>
      <c r="K43" s="10"/>
      <c r="L43" s="53"/>
      <c r="M43" s="51"/>
      <c r="N43" s="55"/>
    </row>
    <row r="44" spans="2:14" x14ac:dyDescent="0.25">
      <c r="B44" s="5"/>
      <c r="C44" s="28" t="s">
        <v>135</v>
      </c>
      <c r="D44" s="38">
        <v>1E-10</v>
      </c>
      <c r="E44" s="9"/>
      <c r="F44" s="24" t="s">
        <v>54</v>
      </c>
      <c r="G44" s="19">
        <v>-6.4000000000000005E-4</v>
      </c>
      <c r="H44" s="20" t="s">
        <v>37</v>
      </c>
      <c r="I44" s="20" t="s">
        <v>37</v>
      </c>
      <c r="J44" s="41" t="b">
        <v>1</v>
      </c>
      <c r="K44" s="10"/>
      <c r="L44" s="53"/>
      <c r="M44" s="51"/>
      <c r="N44" s="55"/>
    </row>
    <row r="45" spans="2:14" x14ac:dyDescent="0.25">
      <c r="B45" s="5"/>
      <c r="C45" s="28" t="s">
        <v>136</v>
      </c>
      <c r="D45" s="105">
        <v>1000</v>
      </c>
      <c r="E45" s="9"/>
      <c r="F45" s="24" t="s">
        <v>56</v>
      </c>
      <c r="G45" s="19">
        <v>5.6999999999999998E-4</v>
      </c>
      <c r="H45" s="20" t="s">
        <v>37</v>
      </c>
      <c r="I45" s="20" t="s">
        <v>37</v>
      </c>
      <c r="J45" s="41" t="b">
        <v>1</v>
      </c>
      <c r="K45" s="10"/>
      <c r="L45" s="53"/>
      <c r="M45" s="51"/>
      <c r="N45" s="55"/>
    </row>
    <row r="46" spans="2:14" x14ac:dyDescent="0.25">
      <c r="B46" s="5"/>
      <c r="C46" s="31"/>
      <c r="D46" s="37"/>
      <c r="E46" s="9"/>
      <c r="F46" s="24" t="s">
        <v>58</v>
      </c>
      <c r="G46" s="19">
        <v>1.83E-3</v>
      </c>
      <c r="H46" s="20" t="s">
        <v>37</v>
      </c>
      <c r="I46" s="20" t="s">
        <v>37</v>
      </c>
      <c r="J46" s="41" t="b">
        <v>1</v>
      </c>
      <c r="K46" s="10"/>
      <c r="L46" s="53"/>
      <c r="M46" s="51"/>
      <c r="N46" s="55"/>
    </row>
    <row r="47" spans="2:14" x14ac:dyDescent="0.25">
      <c r="B47" s="5"/>
      <c r="C47" s="32"/>
      <c r="D47" s="35"/>
      <c r="E47" s="9"/>
      <c r="F47" s="24" t="s">
        <v>60</v>
      </c>
      <c r="G47" s="19">
        <v>3.0599999999999998E-3</v>
      </c>
      <c r="H47" s="20" t="s">
        <v>37</v>
      </c>
      <c r="I47" s="20" t="s">
        <v>37</v>
      </c>
      <c r="J47" s="41" t="b">
        <v>1</v>
      </c>
      <c r="K47" s="10"/>
      <c r="L47" s="53"/>
      <c r="M47" s="51"/>
      <c r="N47" s="55"/>
    </row>
    <row r="48" spans="2:14" x14ac:dyDescent="0.25">
      <c r="B48" s="5"/>
      <c r="C48" s="32"/>
      <c r="D48" s="39"/>
      <c r="E48" s="9"/>
      <c r="F48" s="24" t="s">
        <v>61</v>
      </c>
      <c r="G48" s="19">
        <v>4.1900000000000001E-3</v>
      </c>
      <c r="H48" s="20" t="s">
        <v>37</v>
      </c>
      <c r="I48" s="20" t="s">
        <v>37</v>
      </c>
      <c r="J48" s="41" t="b">
        <v>1</v>
      </c>
      <c r="K48" s="10"/>
      <c r="L48" s="53"/>
      <c r="M48" s="51"/>
      <c r="N48" s="55"/>
    </row>
    <row r="49" spans="2:14" x14ac:dyDescent="0.25">
      <c r="B49" s="5"/>
      <c r="C49" s="32"/>
      <c r="D49" s="39"/>
      <c r="E49" s="9"/>
      <c r="F49" s="24" t="s">
        <v>62</v>
      </c>
      <c r="G49" s="19">
        <v>5.2100000000000002E-3</v>
      </c>
      <c r="H49" s="20" t="s">
        <v>37</v>
      </c>
      <c r="I49" s="20" t="s">
        <v>37</v>
      </c>
      <c r="J49" s="41" t="b">
        <v>1</v>
      </c>
      <c r="K49" s="10"/>
      <c r="L49" s="53"/>
      <c r="M49" s="51"/>
      <c r="N49" s="55"/>
    </row>
    <row r="50" spans="2:14" x14ac:dyDescent="0.25">
      <c r="B50" s="5"/>
      <c r="C50" s="32"/>
      <c r="D50" s="39"/>
      <c r="E50" s="9"/>
      <c r="F50" s="24" t="s">
        <v>63</v>
      </c>
      <c r="G50" s="19">
        <v>6.0899999999999999E-3</v>
      </c>
      <c r="H50" s="20" t="s">
        <v>37</v>
      </c>
      <c r="I50" s="20" t="s">
        <v>37</v>
      </c>
      <c r="J50" s="41" t="b">
        <v>1</v>
      </c>
      <c r="K50" s="10"/>
      <c r="L50" s="53"/>
      <c r="M50" s="51"/>
      <c r="N50" s="55"/>
    </row>
    <row r="51" spans="2:14" x14ac:dyDescent="0.25">
      <c r="B51" s="5"/>
      <c r="C51" s="32"/>
      <c r="D51" s="39"/>
      <c r="E51" s="9"/>
      <c r="F51" s="24" t="s">
        <v>64</v>
      </c>
      <c r="G51" s="19">
        <v>8.1000000000000013E-3</v>
      </c>
      <c r="H51" s="20" t="s">
        <v>37</v>
      </c>
      <c r="I51" s="20" t="s">
        <v>37</v>
      </c>
      <c r="J51" s="41" t="b">
        <v>1</v>
      </c>
      <c r="K51" s="10"/>
      <c r="L51" s="53"/>
      <c r="M51" s="51"/>
      <c r="N51" s="55"/>
    </row>
    <row r="52" spans="2:14" x14ac:dyDescent="0.25">
      <c r="B52" s="5"/>
      <c r="C52" s="32"/>
      <c r="D52" s="39"/>
      <c r="E52" s="9"/>
      <c r="F52" s="24" t="s">
        <v>65</v>
      </c>
      <c r="G52" s="19">
        <v>9.75E-3</v>
      </c>
      <c r="H52" s="20" t="s">
        <v>37</v>
      </c>
      <c r="I52" s="20" t="s">
        <v>37</v>
      </c>
      <c r="J52" s="41" t="b">
        <v>1</v>
      </c>
      <c r="K52" s="10"/>
      <c r="L52" s="53"/>
      <c r="M52" s="51"/>
      <c r="N52" s="55"/>
    </row>
    <row r="53" spans="2:14" x14ac:dyDescent="0.25">
      <c r="B53" s="5"/>
      <c r="C53" s="32"/>
      <c r="D53" s="39"/>
      <c r="E53" s="9"/>
      <c r="F53" s="24" t="s">
        <v>66</v>
      </c>
      <c r="G53" s="19">
        <v>1.0329999999999999E-2</v>
      </c>
      <c r="H53" s="20" t="s">
        <v>37</v>
      </c>
      <c r="I53" s="20" t="s">
        <v>37</v>
      </c>
      <c r="J53" s="41" t="b">
        <v>1</v>
      </c>
      <c r="K53" s="10"/>
      <c r="L53" s="53"/>
      <c r="M53" s="51"/>
      <c r="N53" s="55"/>
    </row>
    <row r="54" spans="2:14" x14ac:dyDescent="0.25">
      <c r="B54" s="5"/>
      <c r="C54" s="32"/>
      <c r="D54" s="39"/>
      <c r="E54" s="9"/>
      <c r="F54" s="24" t="s">
        <v>67</v>
      </c>
      <c r="G54" s="19">
        <v>1.0529999999999999E-2</v>
      </c>
      <c r="H54" s="20" t="s">
        <v>37</v>
      </c>
      <c r="I54" s="20" t="s">
        <v>37</v>
      </c>
      <c r="J54" s="41" t="b">
        <v>1</v>
      </c>
      <c r="K54" s="10"/>
      <c r="L54" s="53"/>
      <c r="M54" s="51"/>
      <c r="N54" s="55"/>
    </row>
    <row r="55" spans="2:14" x14ac:dyDescent="0.25">
      <c r="B55" s="5"/>
      <c r="C55" s="32"/>
      <c r="D55" s="39"/>
      <c r="E55" s="9"/>
      <c r="F55" s="24" t="s">
        <v>68</v>
      </c>
      <c r="G55" s="19">
        <v>1.061E-2</v>
      </c>
      <c r="H55" s="20" t="s">
        <v>37</v>
      </c>
      <c r="I55" s="20" t="s">
        <v>37</v>
      </c>
      <c r="J55" s="41" t="b">
        <v>1</v>
      </c>
      <c r="K55" s="10"/>
      <c r="L55" s="53"/>
      <c r="M55" s="51"/>
      <c r="N55" s="55"/>
    </row>
    <row r="56" spans="2:14" x14ac:dyDescent="0.25">
      <c r="B56" s="5"/>
      <c r="C56" s="32"/>
      <c r="D56" s="39"/>
      <c r="E56" s="9"/>
      <c r="F56" s="24" t="s">
        <v>69</v>
      </c>
      <c r="G56" s="19">
        <v>1.01E-2</v>
      </c>
      <c r="H56" s="20" t="s">
        <v>37</v>
      </c>
      <c r="I56" s="20" t="s">
        <v>37</v>
      </c>
      <c r="J56" s="41" t="b">
        <v>1</v>
      </c>
      <c r="K56" s="10"/>
      <c r="L56" s="53"/>
      <c r="M56" s="51"/>
      <c r="N56" s="55"/>
    </row>
    <row r="57" spans="2:14" x14ac:dyDescent="0.25">
      <c r="B57" s="5"/>
      <c r="C57" s="33"/>
      <c r="D57" s="40"/>
      <c r="E57" s="9"/>
      <c r="F57" s="25"/>
      <c r="G57" s="26"/>
      <c r="H57" s="42"/>
      <c r="I57" s="42"/>
      <c r="J57" s="43"/>
      <c r="K57" s="10"/>
      <c r="L57" s="54"/>
      <c r="M57" s="52"/>
      <c r="N57" s="55"/>
    </row>
    <row r="58" spans="2:14" x14ac:dyDescent="0.25">
      <c r="B58" s="11"/>
      <c r="C58" s="12"/>
      <c r="D58" s="12"/>
      <c r="E58" s="12"/>
      <c r="F58" s="12"/>
      <c r="G58" s="12"/>
      <c r="H58" s="12"/>
      <c r="I58" s="12"/>
      <c r="J58" s="12"/>
      <c r="K58" s="12"/>
      <c r="L58" s="12"/>
      <c r="M58" s="12"/>
      <c r="N58" s="13"/>
    </row>
    <row r="61" spans="2:14" x14ac:dyDescent="0.25">
      <c r="B61" s="56" t="s">
        <v>78</v>
      </c>
    </row>
    <row r="62" spans="2:14" x14ac:dyDescent="0.25">
      <c r="B62" s="2"/>
      <c r="C62" s="3"/>
      <c r="D62" s="3"/>
      <c r="E62" s="3"/>
      <c r="F62" s="3"/>
      <c r="G62" s="3"/>
      <c r="H62" s="3"/>
      <c r="I62" s="3"/>
      <c r="J62" s="3"/>
      <c r="K62" s="3"/>
      <c r="L62" s="3"/>
      <c r="M62" s="3"/>
      <c r="N62" s="4"/>
    </row>
    <row r="63" spans="2:14" x14ac:dyDescent="0.25">
      <c r="B63" s="5"/>
      <c r="C63" s="49" t="s">
        <v>71</v>
      </c>
      <c r="D63" s="10"/>
      <c r="E63" s="10"/>
      <c r="F63" s="49" t="s">
        <v>73</v>
      </c>
      <c r="G63" s="10"/>
      <c r="H63" s="10"/>
      <c r="I63" s="49" t="s">
        <v>76</v>
      </c>
      <c r="J63" s="10"/>
      <c r="K63" s="10"/>
      <c r="L63" s="49" t="s">
        <v>77</v>
      </c>
      <c r="M63" s="10"/>
      <c r="N63" s="55"/>
    </row>
    <row r="64" spans="2:14" x14ac:dyDescent="0.25">
      <c r="B64" s="5"/>
      <c r="C64" s="27" t="s">
        <v>1</v>
      </c>
      <c r="D64" s="34" t="s">
        <v>2</v>
      </c>
      <c r="E64" s="7"/>
      <c r="F64" s="58" t="s">
        <v>11</v>
      </c>
      <c r="G64" s="58" t="s">
        <v>12</v>
      </c>
      <c r="H64" s="10"/>
      <c r="I64" s="27" t="s">
        <v>3</v>
      </c>
      <c r="J64" s="34" t="s">
        <v>2</v>
      </c>
      <c r="K64" s="10"/>
      <c r="L64" s="58" t="s">
        <v>11</v>
      </c>
      <c r="M64" s="58" t="s">
        <v>12</v>
      </c>
      <c r="N64" s="55"/>
    </row>
    <row r="65" spans="2:14" x14ac:dyDescent="0.25">
      <c r="B65" s="5"/>
      <c r="C65" s="28" t="s">
        <v>18</v>
      </c>
      <c r="D65" s="35" t="s">
        <v>6</v>
      </c>
      <c r="E65" s="9"/>
      <c r="F65" s="24" t="s">
        <v>47</v>
      </c>
      <c r="G65" s="51">
        <v>1.2600000000000001E-3</v>
      </c>
      <c r="H65" s="10"/>
      <c r="I65" s="28" t="s">
        <v>19</v>
      </c>
      <c r="J65" s="35" t="s">
        <v>20</v>
      </c>
      <c r="K65" s="10"/>
      <c r="L65" s="24" t="s">
        <v>47</v>
      </c>
      <c r="M65" s="51">
        <v>-2.5400000000000002E-3</v>
      </c>
      <c r="N65" s="55"/>
    </row>
    <row r="66" spans="2:14" x14ac:dyDescent="0.25">
      <c r="B66" s="5"/>
      <c r="C66" s="28" t="s">
        <v>27</v>
      </c>
      <c r="D66" s="35" t="s">
        <v>28</v>
      </c>
      <c r="E66" s="9"/>
      <c r="F66" s="24" t="s">
        <v>43</v>
      </c>
      <c r="G66" s="51">
        <v>1.2999999999999999E-3</v>
      </c>
      <c r="H66" s="10"/>
      <c r="I66" s="28" t="s">
        <v>29</v>
      </c>
      <c r="J66" s="35" t="s">
        <v>26</v>
      </c>
      <c r="K66" s="10"/>
      <c r="L66" s="24" t="s">
        <v>43</v>
      </c>
      <c r="M66" s="51">
        <v>-2.14E-3</v>
      </c>
      <c r="N66" s="55"/>
    </row>
    <row r="67" spans="2:14" x14ac:dyDescent="0.25">
      <c r="B67" s="5"/>
      <c r="C67" s="28" t="s">
        <v>21</v>
      </c>
      <c r="D67" s="35" t="s">
        <v>22</v>
      </c>
      <c r="E67" s="9"/>
      <c r="F67" s="24" t="s">
        <v>50</v>
      </c>
      <c r="G67" s="51">
        <v>1.32E-3</v>
      </c>
      <c r="H67" s="10"/>
      <c r="I67" s="28" t="s">
        <v>23</v>
      </c>
      <c r="J67" s="35" t="s">
        <v>22</v>
      </c>
      <c r="K67" s="10"/>
      <c r="L67" s="24" t="s">
        <v>50</v>
      </c>
      <c r="M67" s="51">
        <v>-1.4000000000000002E-3</v>
      </c>
      <c r="N67" s="55"/>
    </row>
    <row r="68" spans="2:14" x14ac:dyDescent="0.25">
      <c r="B68" s="5"/>
      <c r="C68" s="28"/>
      <c r="D68" s="35"/>
      <c r="E68" s="9"/>
      <c r="F68" s="24" t="s">
        <v>52</v>
      </c>
      <c r="G68" s="51">
        <v>1.34E-3</v>
      </c>
      <c r="H68" s="10"/>
      <c r="I68" s="28"/>
      <c r="J68" s="35"/>
      <c r="K68" s="10"/>
      <c r="L68" s="24" t="s">
        <v>52</v>
      </c>
      <c r="M68" s="51">
        <v>-4.2000000000000002E-4</v>
      </c>
      <c r="N68" s="55"/>
    </row>
    <row r="69" spans="2:14" x14ac:dyDescent="0.25">
      <c r="B69" s="5"/>
      <c r="C69" s="29"/>
      <c r="D69" s="35"/>
      <c r="E69" s="9"/>
      <c r="F69" s="24" t="s">
        <v>54</v>
      </c>
      <c r="G69" s="51">
        <v>1.33E-3</v>
      </c>
      <c r="H69" s="10"/>
      <c r="I69" s="29"/>
      <c r="J69" s="35"/>
      <c r="K69" s="10"/>
      <c r="L69" s="24" t="s">
        <v>54</v>
      </c>
      <c r="M69" s="51">
        <v>7.000000000000001E-4</v>
      </c>
      <c r="N69" s="55"/>
    </row>
    <row r="70" spans="2:14" x14ac:dyDescent="0.25">
      <c r="B70" s="5"/>
      <c r="C70" s="30"/>
      <c r="D70" s="36"/>
      <c r="E70" s="9"/>
      <c r="F70" s="24" t="s">
        <v>56</v>
      </c>
      <c r="G70" s="51">
        <v>1.32E-3</v>
      </c>
      <c r="H70" s="10"/>
      <c r="I70" s="30"/>
      <c r="J70" s="36"/>
      <c r="K70" s="10"/>
      <c r="L70" s="24" t="s">
        <v>56</v>
      </c>
      <c r="M70" s="51">
        <v>1.92E-3</v>
      </c>
      <c r="N70" s="55"/>
    </row>
    <row r="71" spans="2:14" x14ac:dyDescent="0.25">
      <c r="B71" s="5"/>
      <c r="C71" s="28"/>
      <c r="D71" s="35"/>
      <c r="E71" s="9"/>
      <c r="F71" s="24" t="s">
        <v>58</v>
      </c>
      <c r="G71" s="51">
        <v>1.31E-3</v>
      </c>
      <c r="H71" s="10"/>
      <c r="I71" s="28"/>
      <c r="J71" s="35"/>
      <c r="K71" s="10"/>
      <c r="L71" s="24" t="s">
        <v>58</v>
      </c>
      <c r="M71" s="51">
        <v>3.1900000000000001E-3</v>
      </c>
      <c r="N71" s="55"/>
    </row>
    <row r="72" spans="2:14" x14ac:dyDescent="0.25">
      <c r="B72" s="5"/>
      <c r="C72" s="28"/>
      <c r="D72" s="35"/>
      <c r="E72" s="9"/>
      <c r="F72" s="24" t="s">
        <v>60</v>
      </c>
      <c r="G72" s="51">
        <v>1.2999999999999999E-3</v>
      </c>
      <c r="H72" s="10"/>
      <c r="I72" s="28"/>
      <c r="J72" s="35"/>
      <c r="K72" s="10"/>
      <c r="L72" s="24" t="s">
        <v>60</v>
      </c>
      <c r="M72" s="51">
        <v>4.4299999999999999E-3</v>
      </c>
      <c r="N72" s="55"/>
    </row>
    <row r="73" spans="2:14" x14ac:dyDescent="0.25">
      <c r="B73" s="5"/>
      <c r="C73" s="28"/>
      <c r="D73" s="35"/>
      <c r="E73" s="9"/>
      <c r="F73" s="24" t="s">
        <v>61</v>
      </c>
      <c r="G73" s="51">
        <v>1.2800000000000001E-3</v>
      </c>
      <c r="H73" s="10"/>
      <c r="I73" s="28"/>
      <c r="J73" s="35"/>
      <c r="K73" s="10"/>
      <c r="L73" s="24" t="s">
        <v>61</v>
      </c>
      <c r="M73" s="51">
        <v>5.5500000000000002E-3</v>
      </c>
      <c r="N73" s="55"/>
    </row>
    <row r="74" spans="2:14" x14ac:dyDescent="0.25">
      <c r="B74" s="5"/>
      <c r="C74" s="28"/>
      <c r="D74" s="35"/>
      <c r="E74" s="9"/>
      <c r="F74" s="24" t="s">
        <v>62</v>
      </c>
      <c r="G74" s="51">
        <v>1.2699999999999999E-3</v>
      </c>
      <c r="H74" s="10"/>
      <c r="I74" s="28"/>
      <c r="J74" s="35"/>
      <c r="K74" s="10"/>
      <c r="L74" s="24" t="s">
        <v>62</v>
      </c>
      <c r="M74" s="51">
        <v>6.5700000000000003E-3</v>
      </c>
      <c r="N74" s="55"/>
    </row>
    <row r="75" spans="2:14" x14ac:dyDescent="0.25">
      <c r="B75" s="5"/>
      <c r="C75" s="28"/>
      <c r="D75" s="35"/>
      <c r="E75" s="9"/>
      <c r="F75" s="24" t="s">
        <v>63</v>
      </c>
      <c r="G75" s="51">
        <v>1.2600000000000001E-3</v>
      </c>
      <c r="H75" s="10"/>
      <c r="I75" s="28"/>
      <c r="J75" s="35"/>
      <c r="K75" s="10"/>
      <c r="L75" s="24" t="s">
        <v>63</v>
      </c>
      <c r="M75" s="51">
        <v>7.4599999999999996E-3</v>
      </c>
      <c r="N75" s="55"/>
    </row>
    <row r="76" spans="2:14" x14ac:dyDescent="0.25">
      <c r="B76" s="5"/>
      <c r="C76" s="29"/>
      <c r="D76" s="35"/>
      <c r="E76" s="9"/>
      <c r="F76" s="24" t="s">
        <v>64</v>
      </c>
      <c r="G76" s="51">
        <v>1.1900000000000001E-3</v>
      </c>
      <c r="H76" s="10"/>
      <c r="I76" s="29"/>
      <c r="J76" s="35"/>
      <c r="K76" s="10"/>
      <c r="L76" s="24" t="s">
        <v>64</v>
      </c>
      <c r="M76" s="51">
        <v>9.4199999999999996E-3</v>
      </c>
      <c r="N76" s="55"/>
    </row>
    <row r="77" spans="2:14" x14ac:dyDescent="0.25">
      <c r="B77" s="5"/>
      <c r="C77" s="31"/>
      <c r="D77" s="37"/>
      <c r="E77" s="9"/>
      <c r="F77" s="24" t="s">
        <v>65</v>
      </c>
      <c r="G77" s="51">
        <v>1.0400000000000001E-3</v>
      </c>
      <c r="H77" s="10"/>
      <c r="I77" s="31"/>
      <c r="J77" s="37"/>
      <c r="K77" s="10"/>
      <c r="L77" s="24" t="s">
        <v>65</v>
      </c>
      <c r="M77" s="51">
        <v>1.095E-2</v>
      </c>
      <c r="N77" s="55"/>
    </row>
    <row r="78" spans="2:14" x14ac:dyDescent="0.25">
      <c r="B78" s="5"/>
      <c r="C78" s="31"/>
      <c r="D78" s="38"/>
      <c r="E78" s="9"/>
      <c r="F78" s="24" t="s">
        <v>66</v>
      </c>
      <c r="G78" s="51">
        <v>9.1999999999999992E-4</v>
      </c>
      <c r="H78" s="10"/>
      <c r="I78" s="31"/>
      <c r="J78" s="38"/>
      <c r="K78" s="10"/>
      <c r="L78" s="24" t="s">
        <v>66</v>
      </c>
      <c r="M78" s="51">
        <v>1.142E-2</v>
      </c>
      <c r="N78" s="55"/>
    </row>
    <row r="79" spans="2:14" x14ac:dyDescent="0.25">
      <c r="B79" s="5"/>
      <c r="C79" s="31"/>
      <c r="D79" s="37"/>
      <c r="E79" s="9"/>
      <c r="F79" s="24" t="s">
        <v>67</v>
      </c>
      <c r="G79" s="51">
        <v>8.1999999999999998E-4</v>
      </c>
      <c r="H79" s="10"/>
      <c r="I79" s="31"/>
      <c r="J79" s="37"/>
      <c r="K79" s="10"/>
      <c r="L79" s="24" t="s">
        <v>67</v>
      </c>
      <c r="M79" s="51">
        <v>1.1519999999999999E-2</v>
      </c>
      <c r="N79" s="55"/>
    </row>
    <row r="80" spans="2:14" x14ac:dyDescent="0.25">
      <c r="B80" s="5"/>
      <c r="C80" s="32"/>
      <c r="D80" s="35"/>
      <c r="E80" s="9"/>
      <c r="F80" s="24" t="s">
        <v>68</v>
      </c>
      <c r="G80" s="51">
        <v>6.6E-4</v>
      </c>
      <c r="H80" s="10"/>
      <c r="I80" s="32"/>
      <c r="J80" s="35"/>
      <c r="K80" s="10"/>
      <c r="L80" s="24" t="s">
        <v>68</v>
      </c>
      <c r="M80" s="51">
        <v>1.1439999999999999E-2</v>
      </c>
      <c r="N80" s="55"/>
    </row>
    <row r="81" spans="2:14" x14ac:dyDescent="0.25">
      <c r="B81" s="5"/>
      <c r="C81" s="32"/>
      <c r="D81" s="39"/>
      <c r="E81" s="9"/>
      <c r="F81" s="24" t="s">
        <v>69</v>
      </c>
      <c r="G81" s="51">
        <v>5.6999999999999998E-4</v>
      </c>
      <c r="H81" s="10"/>
      <c r="I81" s="32"/>
      <c r="J81" s="39"/>
      <c r="K81" s="10"/>
      <c r="L81" s="24" t="s">
        <v>69</v>
      </c>
      <c r="M81" s="51">
        <v>1.0829999999999999E-2</v>
      </c>
      <c r="N81" s="55"/>
    </row>
    <row r="82" spans="2:14" x14ac:dyDescent="0.25">
      <c r="B82" s="5"/>
      <c r="C82" s="32"/>
      <c r="D82" s="39"/>
      <c r="E82" s="9"/>
      <c r="F82" s="24"/>
      <c r="G82" s="51"/>
      <c r="H82" s="10"/>
      <c r="I82" s="32"/>
      <c r="J82" s="39"/>
      <c r="K82" s="10"/>
      <c r="L82" s="24"/>
      <c r="M82" s="51"/>
      <c r="N82" s="55"/>
    </row>
    <row r="83" spans="2:14" x14ac:dyDescent="0.25">
      <c r="B83" s="5"/>
      <c r="C83" s="32"/>
      <c r="D83" s="39"/>
      <c r="E83" s="9"/>
      <c r="F83" s="24"/>
      <c r="G83" s="51"/>
      <c r="H83" s="10"/>
      <c r="I83" s="32"/>
      <c r="J83" s="39"/>
      <c r="K83" s="10"/>
      <c r="L83" s="24"/>
      <c r="M83" s="51"/>
      <c r="N83" s="55"/>
    </row>
    <row r="84" spans="2:14" x14ac:dyDescent="0.25">
      <c r="B84" s="5"/>
      <c r="C84" s="32"/>
      <c r="D84" s="39"/>
      <c r="E84" s="9"/>
      <c r="F84" s="24"/>
      <c r="G84" s="51"/>
      <c r="H84" s="10"/>
      <c r="I84" s="32"/>
      <c r="J84" s="39"/>
      <c r="K84" s="10"/>
      <c r="L84" s="24"/>
      <c r="M84" s="51"/>
      <c r="N84" s="55"/>
    </row>
    <row r="85" spans="2:14" x14ac:dyDescent="0.25">
      <c r="B85" s="5"/>
      <c r="C85" s="32"/>
      <c r="D85" s="39"/>
      <c r="E85" s="9"/>
      <c r="F85" s="24"/>
      <c r="G85" s="51"/>
      <c r="H85" s="10"/>
      <c r="I85" s="32"/>
      <c r="J85" s="39"/>
      <c r="K85" s="10"/>
      <c r="L85" s="24"/>
      <c r="M85" s="51"/>
      <c r="N85" s="55"/>
    </row>
    <row r="86" spans="2:14" x14ac:dyDescent="0.25">
      <c r="B86" s="5"/>
      <c r="C86" s="32"/>
      <c r="D86" s="39"/>
      <c r="E86" s="9"/>
      <c r="F86" s="24"/>
      <c r="G86" s="51"/>
      <c r="H86" s="10"/>
      <c r="I86" s="32"/>
      <c r="J86" s="39"/>
      <c r="K86" s="10"/>
      <c r="L86" s="24"/>
      <c r="M86" s="51"/>
      <c r="N86" s="55"/>
    </row>
    <row r="87" spans="2:14" x14ac:dyDescent="0.25">
      <c r="B87" s="5"/>
      <c r="C87" s="32"/>
      <c r="D87" s="39"/>
      <c r="E87" s="9"/>
      <c r="F87" s="24"/>
      <c r="G87" s="51"/>
      <c r="H87" s="10"/>
      <c r="I87" s="32"/>
      <c r="J87" s="39"/>
      <c r="K87" s="10"/>
      <c r="L87" s="24"/>
      <c r="M87" s="51"/>
      <c r="N87" s="55"/>
    </row>
    <row r="88" spans="2:14" x14ac:dyDescent="0.25">
      <c r="B88" s="5"/>
      <c r="C88" s="32"/>
      <c r="D88" s="39"/>
      <c r="E88" s="9"/>
      <c r="F88" s="24"/>
      <c r="G88" s="51"/>
      <c r="H88" s="10"/>
      <c r="I88" s="32"/>
      <c r="J88" s="39"/>
      <c r="K88" s="10"/>
      <c r="L88" s="24"/>
      <c r="M88" s="51"/>
      <c r="N88" s="55"/>
    </row>
    <row r="89" spans="2:14" x14ac:dyDescent="0.25">
      <c r="B89" s="5"/>
      <c r="C89" s="33"/>
      <c r="D89" s="40"/>
      <c r="E89" s="9"/>
      <c r="F89" s="25"/>
      <c r="G89" s="52"/>
      <c r="H89" s="10"/>
      <c r="I89" s="33"/>
      <c r="J89" s="40"/>
      <c r="K89" s="10"/>
      <c r="L89" s="25"/>
      <c r="M89" s="52"/>
      <c r="N89" s="55"/>
    </row>
    <row r="90" spans="2:14" x14ac:dyDescent="0.25">
      <c r="B90" s="11"/>
      <c r="C90" s="12"/>
      <c r="D90" s="12"/>
      <c r="E90" s="12"/>
      <c r="F90" s="12"/>
      <c r="G90" s="12"/>
      <c r="H90" s="12"/>
      <c r="I90" s="12"/>
      <c r="J90" s="12"/>
      <c r="K90" s="12"/>
      <c r="L90" s="12"/>
      <c r="M90" s="12"/>
      <c r="N90" s="13"/>
    </row>
  </sheetData>
  <dataValidations disablePrompts="1" count="1">
    <dataValidation type="list" allowBlank="1" showInputMessage="1" showErrorMessage="1" sqref="D22">
      <formula1>"fn_StepInterpolation,fn_LinearInterpolation,fn_MonotoneConvexInterpolation,fn_SplineInterpolation,fn_ConstrainedSplineInterpolation"</formula1>
    </dataValidation>
  </dataValidations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theme="3"/>
  </sheetPr>
  <dimension ref="B2:L113"/>
  <sheetViews>
    <sheetView showGridLines="0" workbookViewId="0"/>
  </sheetViews>
  <sheetFormatPr defaultRowHeight="15" x14ac:dyDescent="0.25"/>
  <cols>
    <col min="2" max="2" width="2.7109375" customWidth="1"/>
    <col min="3" max="3" width="24.28515625" customWidth="1"/>
    <col min="4" max="4" width="31.5703125" customWidth="1"/>
    <col min="6" max="7" width="18.7109375" customWidth="1"/>
    <col min="8" max="8" width="12.7109375" customWidth="1"/>
    <col min="9" max="11" width="18.7109375" customWidth="1"/>
    <col min="12" max="12" width="4.7109375" customWidth="1"/>
    <col min="14" max="15" width="15.7109375" customWidth="1"/>
  </cols>
  <sheetData>
    <row r="2" spans="2:12" x14ac:dyDescent="0.25">
      <c r="B2" s="124" t="s">
        <v>203</v>
      </c>
    </row>
    <row r="6" spans="2:12" x14ac:dyDescent="0.25">
      <c r="B6" s="125" t="s">
        <v>201</v>
      </c>
    </row>
    <row r="7" spans="2:12" x14ac:dyDescent="0.25">
      <c r="B7" s="2"/>
      <c r="C7" s="45"/>
      <c r="D7" s="46"/>
      <c r="E7" s="3"/>
      <c r="F7" s="3"/>
      <c r="G7" s="3"/>
      <c r="H7" s="3"/>
      <c r="I7" s="3"/>
      <c r="J7" s="3"/>
      <c r="K7" s="3"/>
      <c r="L7" s="4"/>
    </row>
    <row r="8" spans="2:12" x14ac:dyDescent="0.25">
      <c r="B8" s="5"/>
      <c r="C8" s="126" t="s">
        <v>201</v>
      </c>
      <c r="D8" s="61" t="str">
        <f ca="1">IF(AND(isEUROISLoaded,NOW()),_xll.meCurveCalibrateSwap(STDCurve.CollectionName,STDCurve.StaticDataTable,STDCurve.IndexName,STDCurve.Buildproperties,MoneyMarket.Conventions,Libor.Conventions,Libor.MarketData,Swap.Conventions,Swap.MarketData,FRA.Conventions,FRA.MarketDataX3,FRA.MarketDataX6,Futures.Conventions,Futures.MarketData,,),"Error Building Swap Curve")</f>
        <v>EURYC STD Curve has been set (0.01600 sec)</v>
      </c>
      <c r="E8" s="62"/>
      <c r="F8" s="63"/>
      <c r="G8" s="7"/>
      <c r="H8" s="7"/>
      <c r="I8" s="7"/>
      <c r="J8" s="7"/>
      <c r="K8" s="7"/>
      <c r="L8" s="8"/>
    </row>
    <row r="9" spans="2:12" x14ac:dyDescent="0.25">
      <c r="B9" s="5"/>
      <c r="C9" s="117" t="s">
        <v>192</v>
      </c>
      <c r="D9" s="118" t="b">
        <f ca="1">LEFT(D8,9)="EURYC STD"</f>
        <v>1</v>
      </c>
      <c r="E9" s="7"/>
      <c r="F9" s="7"/>
      <c r="G9" s="7"/>
      <c r="H9" s="7"/>
      <c r="I9" s="7"/>
      <c r="J9" s="7"/>
      <c r="K9" s="7"/>
      <c r="L9" s="8"/>
    </row>
    <row r="10" spans="2:12" x14ac:dyDescent="0.25">
      <c r="B10" s="5"/>
      <c r="C10" s="7"/>
      <c r="D10" s="60"/>
      <c r="E10" s="7"/>
      <c r="F10" s="7"/>
      <c r="G10" s="7"/>
      <c r="H10" s="7"/>
      <c r="I10" s="7"/>
      <c r="J10" s="7"/>
      <c r="K10" s="7"/>
      <c r="L10" s="8"/>
    </row>
    <row r="11" spans="2:12" x14ac:dyDescent="0.25">
      <c r="B11" s="5"/>
      <c r="C11" s="6"/>
      <c r="D11" s="60"/>
      <c r="E11" s="7"/>
      <c r="F11" s="7"/>
      <c r="G11" s="7"/>
      <c r="H11" s="7"/>
      <c r="I11" s="7"/>
      <c r="J11" s="7"/>
      <c r="K11" s="7"/>
      <c r="L11" s="8"/>
    </row>
    <row r="12" spans="2:12" x14ac:dyDescent="0.25">
      <c r="B12" s="5"/>
      <c r="C12" s="48" t="s">
        <v>0</v>
      </c>
      <c r="D12" s="57"/>
      <c r="E12" s="7"/>
      <c r="F12" s="7"/>
      <c r="G12" s="7"/>
      <c r="H12" s="7"/>
      <c r="I12" s="7"/>
      <c r="J12" s="7"/>
      <c r="K12" s="7"/>
      <c r="L12" s="8"/>
    </row>
    <row r="13" spans="2:12" x14ac:dyDescent="0.25">
      <c r="B13" s="5"/>
      <c r="C13" s="27" t="s">
        <v>88</v>
      </c>
      <c r="D13" s="106" t="s">
        <v>80</v>
      </c>
      <c r="E13" s="7"/>
      <c r="F13" s="7"/>
      <c r="G13" s="7"/>
      <c r="H13" s="7"/>
      <c r="I13" s="7"/>
      <c r="J13" s="7"/>
      <c r="K13" s="7"/>
      <c r="L13" s="8"/>
    </row>
    <row r="14" spans="2:12" x14ac:dyDescent="0.25">
      <c r="B14" s="5"/>
      <c r="C14" s="28" t="s">
        <v>87</v>
      </c>
      <c r="D14" s="107" t="s">
        <v>90</v>
      </c>
      <c r="E14" s="7"/>
      <c r="F14" s="7"/>
      <c r="G14" s="7"/>
      <c r="H14" s="7"/>
      <c r="I14" s="7"/>
      <c r="J14" s="7"/>
      <c r="K14" s="7"/>
      <c r="L14" s="8"/>
    </row>
    <row r="15" spans="2:12" x14ac:dyDescent="0.25">
      <c r="B15" s="5"/>
      <c r="C15" s="59" t="s">
        <v>89</v>
      </c>
      <c r="D15" s="109" t="s">
        <v>91</v>
      </c>
      <c r="E15" s="7"/>
      <c r="F15" s="7"/>
      <c r="G15" s="7"/>
      <c r="H15" s="7" t="s">
        <v>4</v>
      </c>
      <c r="I15" s="7" t="s">
        <v>4</v>
      </c>
      <c r="J15" s="7" t="s">
        <v>4</v>
      </c>
      <c r="K15" s="7"/>
      <c r="L15" s="8" t="s">
        <v>4</v>
      </c>
    </row>
    <row r="16" spans="2:12" x14ac:dyDescent="0.25">
      <c r="B16" s="11"/>
      <c r="C16" s="12"/>
      <c r="D16" s="12"/>
      <c r="E16" s="12"/>
      <c r="F16" s="12"/>
      <c r="G16" s="12"/>
      <c r="H16" s="12"/>
      <c r="I16" s="12"/>
      <c r="J16" s="12"/>
      <c r="K16" s="12"/>
      <c r="L16" s="13"/>
    </row>
    <row r="19" spans="2:12" x14ac:dyDescent="0.25">
      <c r="B19" s="56" t="s">
        <v>70</v>
      </c>
    </row>
    <row r="20" spans="2:12" x14ac:dyDescent="0.25">
      <c r="B20" s="2"/>
      <c r="C20" s="45"/>
      <c r="D20" s="46"/>
      <c r="E20" s="3"/>
      <c r="F20" s="3"/>
      <c r="G20" s="3"/>
      <c r="H20" s="65"/>
      <c r="I20" s="3"/>
      <c r="J20" s="3"/>
      <c r="K20" s="3"/>
      <c r="L20" s="4"/>
    </row>
    <row r="21" spans="2:12" x14ac:dyDescent="0.25">
      <c r="B21" s="5"/>
      <c r="C21" s="48" t="s">
        <v>70</v>
      </c>
      <c r="D21" s="47"/>
      <c r="E21" s="7"/>
      <c r="F21" s="50" t="s">
        <v>81</v>
      </c>
      <c r="G21" s="7"/>
      <c r="H21" s="7"/>
      <c r="I21" s="7"/>
      <c r="J21" s="7"/>
      <c r="K21" s="7"/>
      <c r="L21" s="8"/>
    </row>
    <row r="22" spans="2:12" x14ac:dyDescent="0.25">
      <c r="B22" s="5"/>
      <c r="C22" s="27" t="s">
        <v>10</v>
      </c>
      <c r="D22" s="106">
        <v>42419</v>
      </c>
      <c r="E22" s="7"/>
      <c r="F22" s="14" t="s">
        <v>82</v>
      </c>
      <c r="G22" s="16"/>
      <c r="H22" s="7"/>
      <c r="I22" s="7"/>
      <c r="J22" s="7"/>
      <c r="K22" s="7"/>
      <c r="L22" s="8"/>
    </row>
    <row r="23" spans="2:12" x14ac:dyDescent="0.25">
      <c r="B23" s="5"/>
      <c r="C23" s="28" t="s">
        <v>16</v>
      </c>
      <c r="D23" s="107" t="s">
        <v>17</v>
      </c>
      <c r="E23" s="7"/>
      <c r="F23" s="17" t="s">
        <v>83</v>
      </c>
      <c r="G23" s="18"/>
      <c r="H23" s="7"/>
      <c r="I23" s="7"/>
      <c r="J23" s="7"/>
      <c r="K23" s="7"/>
      <c r="L23" s="8"/>
    </row>
    <row r="24" spans="2:12" x14ac:dyDescent="0.25">
      <c r="B24" s="5"/>
      <c r="C24" s="29" t="s">
        <v>92</v>
      </c>
      <c r="D24" s="108" t="s">
        <v>84</v>
      </c>
      <c r="E24" s="7"/>
      <c r="F24" s="17" t="s">
        <v>84</v>
      </c>
      <c r="G24" s="18"/>
      <c r="H24" s="7"/>
      <c r="I24" s="7"/>
      <c r="J24" s="7"/>
      <c r="K24" s="7"/>
      <c r="L24" s="8"/>
    </row>
    <row r="25" spans="2:12" x14ac:dyDescent="0.25">
      <c r="B25" s="5"/>
      <c r="C25" s="29" t="s">
        <v>24</v>
      </c>
      <c r="D25" s="108" t="s">
        <v>84</v>
      </c>
      <c r="E25" s="7"/>
      <c r="F25" s="17" t="s">
        <v>85</v>
      </c>
      <c r="G25" s="18"/>
      <c r="H25" s="7"/>
      <c r="I25" s="7"/>
      <c r="J25" s="7"/>
      <c r="K25" s="7"/>
      <c r="L25" s="8"/>
    </row>
    <row r="26" spans="2:12" x14ac:dyDescent="0.25">
      <c r="B26" s="5"/>
      <c r="C26" s="29" t="s">
        <v>94</v>
      </c>
      <c r="D26" s="107" t="b">
        <v>1</v>
      </c>
      <c r="E26" s="7"/>
      <c r="F26" s="17" t="s">
        <v>86</v>
      </c>
      <c r="G26" s="18"/>
      <c r="H26" s="7"/>
      <c r="I26" s="7"/>
      <c r="J26" s="7"/>
      <c r="K26" s="7"/>
      <c r="L26" s="8"/>
    </row>
    <row r="27" spans="2:12" x14ac:dyDescent="0.25">
      <c r="B27" s="5"/>
      <c r="C27" s="29" t="s">
        <v>93</v>
      </c>
      <c r="D27" s="107" t="b">
        <v>0</v>
      </c>
      <c r="E27" s="7"/>
      <c r="F27" s="17"/>
      <c r="G27" s="18"/>
      <c r="H27" s="7"/>
      <c r="I27" s="7"/>
      <c r="J27" s="7"/>
      <c r="K27" s="7"/>
      <c r="L27" s="8"/>
    </row>
    <row r="28" spans="2:12" x14ac:dyDescent="0.25">
      <c r="B28" s="5"/>
      <c r="C28" s="29" t="s">
        <v>27</v>
      </c>
      <c r="D28" s="107" t="s">
        <v>130</v>
      </c>
      <c r="E28" s="7"/>
      <c r="F28" s="17"/>
      <c r="G28" s="18"/>
      <c r="H28" s="7"/>
      <c r="I28" s="7"/>
      <c r="J28" s="7"/>
      <c r="K28" s="7"/>
      <c r="L28" s="8"/>
    </row>
    <row r="29" spans="2:12" x14ac:dyDescent="0.25">
      <c r="B29" s="5"/>
      <c r="C29" s="29" t="s">
        <v>95</v>
      </c>
      <c r="D29" s="107" t="s">
        <v>9</v>
      </c>
      <c r="E29" s="7"/>
      <c r="F29" s="17"/>
      <c r="G29" s="18"/>
      <c r="H29" s="7"/>
      <c r="I29" s="7"/>
      <c r="J29" s="7"/>
      <c r="K29" s="7"/>
      <c r="L29" s="8"/>
    </row>
    <row r="30" spans="2:12" x14ac:dyDescent="0.25">
      <c r="B30" s="5"/>
      <c r="C30" s="29"/>
      <c r="D30" s="107"/>
      <c r="E30" s="7"/>
      <c r="F30" s="17"/>
      <c r="G30" s="18"/>
      <c r="H30" s="7"/>
      <c r="I30" s="7"/>
      <c r="J30" s="7"/>
      <c r="K30" s="7"/>
      <c r="L30" s="8"/>
    </row>
    <row r="31" spans="2:12" x14ac:dyDescent="0.25">
      <c r="B31" s="5"/>
      <c r="C31" s="44"/>
      <c r="D31" s="109"/>
      <c r="E31" s="7"/>
      <c r="F31" s="21"/>
      <c r="G31" s="22"/>
      <c r="H31" s="7"/>
      <c r="I31" s="7"/>
      <c r="J31" s="7"/>
      <c r="K31" s="7"/>
      <c r="L31" s="8"/>
    </row>
    <row r="32" spans="2:12" x14ac:dyDescent="0.25">
      <c r="B32" s="11"/>
      <c r="C32" s="12"/>
      <c r="D32" s="12"/>
      <c r="E32" s="12"/>
      <c r="F32" s="12"/>
      <c r="G32" s="12"/>
      <c r="H32" s="12"/>
      <c r="I32" s="12"/>
      <c r="J32" s="12"/>
      <c r="K32" s="12"/>
      <c r="L32" s="13"/>
    </row>
    <row r="35" spans="2:12" x14ac:dyDescent="0.25">
      <c r="B35" s="56" t="s">
        <v>96</v>
      </c>
    </row>
    <row r="36" spans="2:12" x14ac:dyDescent="0.25">
      <c r="B36" s="2"/>
      <c r="C36" s="3"/>
      <c r="D36" s="3"/>
      <c r="E36" s="3"/>
      <c r="F36" s="3"/>
      <c r="G36" s="3"/>
      <c r="H36" s="3"/>
      <c r="I36" s="3"/>
      <c r="J36" s="3"/>
      <c r="K36" s="3"/>
      <c r="L36" s="4"/>
    </row>
    <row r="37" spans="2:12" x14ac:dyDescent="0.25">
      <c r="B37" s="5"/>
      <c r="C37" s="49" t="s">
        <v>231</v>
      </c>
      <c r="D37" s="10"/>
      <c r="E37" s="10"/>
      <c r="F37" s="49" t="s">
        <v>103</v>
      </c>
      <c r="G37" s="10"/>
      <c r="H37" s="10"/>
      <c r="I37" s="49" t="s">
        <v>230</v>
      </c>
      <c r="J37" s="10"/>
      <c r="K37" s="10"/>
      <c r="L37" s="55"/>
    </row>
    <row r="38" spans="2:12" x14ac:dyDescent="0.25">
      <c r="B38" s="5"/>
      <c r="C38" s="27" t="s">
        <v>1</v>
      </c>
      <c r="D38" s="34" t="s">
        <v>2</v>
      </c>
      <c r="E38" s="7"/>
      <c r="F38" s="27" t="s">
        <v>1</v>
      </c>
      <c r="G38" s="34" t="s">
        <v>2</v>
      </c>
      <c r="H38" s="10"/>
      <c r="I38" s="77" t="s">
        <v>11</v>
      </c>
      <c r="J38" s="77" t="s">
        <v>12</v>
      </c>
      <c r="K38" s="77"/>
      <c r="L38" s="55"/>
    </row>
    <row r="39" spans="2:12" x14ac:dyDescent="0.25">
      <c r="B39" s="5"/>
      <c r="C39" s="28" t="s">
        <v>97</v>
      </c>
      <c r="D39" s="35" t="s">
        <v>6</v>
      </c>
      <c r="E39" s="9"/>
      <c r="F39" s="30" t="s">
        <v>18</v>
      </c>
      <c r="G39" s="68" t="s">
        <v>6</v>
      </c>
      <c r="H39" s="10"/>
      <c r="I39" s="70" t="s">
        <v>185</v>
      </c>
      <c r="J39" s="74">
        <v>-2.8E-3</v>
      </c>
      <c r="K39" s="77"/>
      <c r="L39" s="55"/>
    </row>
    <row r="40" spans="2:12" x14ac:dyDescent="0.25">
      <c r="B40" s="5"/>
      <c r="C40" s="28" t="s">
        <v>98</v>
      </c>
      <c r="D40" s="35" t="s">
        <v>99</v>
      </c>
      <c r="E40" s="9"/>
      <c r="F40" s="29" t="s">
        <v>27</v>
      </c>
      <c r="G40" s="35" t="s">
        <v>100</v>
      </c>
      <c r="H40" s="10"/>
      <c r="I40" s="71" t="s">
        <v>169</v>
      </c>
      <c r="J40" s="75">
        <v>-2.2000000000000001E-3</v>
      </c>
      <c r="K40" s="77"/>
      <c r="L40" s="55"/>
    </row>
    <row r="41" spans="2:12" x14ac:dyDescent="0.25">
      <c r="B41" s="5"/>
      <c r="C41" s="28"/>
      <c r="D41" s="35"/>
      <c r="E41" s="9"/>
      <c r="F41" s="29" t="s">
        <v>101</v>
      </c>
      <c r="G41" s="68">
        <v>2</v>
      </c>
      <c r="H41" s="10"/>
      <c r="I41" s="71" t="s">
        <v>104</v>
      </c>
      <c r="J41" s="75">
        <v>-1.31E-3</v>
      </c>
      <c r="K41" s="77"/>
      <c r="L41" s="55"/>
    </row>
    <row r="42" spans="2:12" x14ac:dyDescent="0.25">
      <c r="B42" s="5"/>
      <c r="C42" s="28"/>
      <c r="D42" s="35"/>
      <c r="E42" s="9"/>
      <c r="F42" s="29" t="s">
        <v>21</v>
      </c>
      <c r="G42" s="68" t="s">
        <v>22</v>
      </c>
      <c r="H42" s="10"/>
      <c r="I42" s="71" t="s">
        <v>57</v>
      </c>
      <c r="J42" s="75">
        <v>-1E-4</v>
      </c>
      <c r="K42" s="77"/>
      <c r="L42" s="55"/>
    </row>
    <row r="43" spans="2:12" x14ac:dyDescent="0.25">
      <c r="B43" s="5"/>
      <c r="C43" s="33"/>
      <c r="D43" s="40"/>
      <c r="E43" s="9"/>
      <c r="F43" s="44"/>
      <c r="G43" s="69"/>
      <c r="H43" s="10"/>
      <c r="I43" s="72"/>
      <c r="J43" s="76"/>
      <c r="K43" s="77"/>
      <c r="L43" s="55"/>
    </row>
    <row r="44" spans="2:12" x14ac:dyDescent="0.25">
      <c r="B44" s="5"/>
      <c r="C44" s="9"/>
      <c r="D44" s="9"/>
      <c r="E44" s="9"/>
      <c r="F44" s="10"/>
      <c r="G44" s="10"/>
      <c r="H44" s="10"/>
      <c r="I44" s="10" t="s">
        <v>186</v>
      </c>
      <c r="J44" s="10"/>
      <c r="K44" s="10"/>
      <c r="L44" s="55"/>
    </row>
    <row r="45" spans="2:12" x14ac:dyDescent="0.25">
      <c r="B45" s="11"/>
      <c r="C45" s="12"/>
      <c r="D45" s="12"/>
      <c r="E45" s="12"/>
      <c r="F45" s="12"/>
      <c r="G45" s="12"/>
      <c r="H45" s="12"/>
      <c r="I45" s="12"/>
      <c r="J45" s="12"/>
      <c r="K45" s="12"/>
      <c r="L45" s="13"/>
    </row>
    <row r="48" spans="2:12" x14ac:dyDescent="0.25">
      <c r="B48" s="56" t="s">
        <v>105</v>
      </c>
    </row>
    <row r="49" spans="2:12" x14ac:dyDescent="0.25">
      <c r="B49" s="2"/>
      <c r="C49" s="3"/>
      <c r="D49" s="3"/>
      <c r="E49" s="3"/>
      <c r="F49" s="3"/>
      <c r="G49" s="3"/>
      <c r="H49" s="3"/>
      <c r="I49" s="3"/>
      <c r="J49" s="3"/>
      <c r="K49" s="3"/>
      <c r="L49" s="4"/>
    </row>
    <row r="50" spans="2:12" x14ac:dyDescent="0.25">
      <c r="B50" s="5"/>
      <c r="C50" s="49" t="s">
        <v>106</v>
      </c>
      <c r="D50" s="10"/>
      <c r="E50" s="10"/>
      <c r="F50" s="49" t="s">
        <v>137</v>
      </c>
      <c r="G50" s="10"/>
      <c r="H50" s="10"/>
      <c r="I50" s="49" t="s">
        <v>138</v>
      </c>
      <c r="J50" s="10"/>
      <c r="K50" s="10"/>
      <c r="L50" s="55"/>
    </row>
    <row r="51" spans="2:12" x14ac:dyDescent="0.25">
      <c r="B51" s="5"/>
      <c r="C51" s="27" t="s">
        <v>1</v>
      </c>
      <c r="D51" s="34" t="s">
        <v>2</v>
      </c>
      <c r="E51" s="7"/>
      <c r="F51" s="77" t="s">
        <v>11</v>
      </c>
      <c r="G51" s="77" t="s">
        <v>12</v>
      </c>
      <c r="H51" s="10"/>
      <c r="I51" s="77" t="s">
        <v>11</v>
      </c>
      <c r="J51" s="77" t="s">
        <v>12</v>
      </c>
      <c r="K51" s="77"/>
      <c r="L51" s="55"/>
    </row>
    <row r="52" spans="2:12" x14ac:dyDescent="0.25">
      <c r="B52" s="5"/>
      <c r="C52" s="28" t="s">
        <v>97</v>
      </c>
      <c r="D52" s="35" t="s">
        <v>6</v>
      </c>
      <c r="E52" s="9"/>
      <c r="F52" s="70"/>
      <c r="G52" s="74"/>
      <c r="H52" s="10"/>
      <c r="I52" s="70" t="s">
        <v>110</v>
      </c>
      <c r="J52" s="74">
        <v>-1.2900000000000001E-3</v>
      </c>
      <c r="K52" s="77"/>
      <c r="L52" s="55"/>
    </row>
    <row r="53" spans="2:12" x14ac:dyDescent="0.25">
      <c r="B53" s="5"/>
      <c r="C53" s="28" t="s">
        <v>107</v>
      </c>
      <c r="D53" s="35">
        <v>2</v>
      </c>
      <c r="E53" s="9"/>
      <c r="F53" s="71"/>
      <c r="G53" s="75"/>
      <c r="H53" s="10"/>
      <c r="I53" s="71" t="s">
        <v>111</v>
      </c>
      <c r="J53" s="75">
        <v>-1.2900000000000001E-3</v>
      </c>
      <c r="K53" s="77"/>
      <c r="L53" s="55"/>
    </row>
    <row r="54" spans="2:12" x14ac:dyDescent="0.25">
      <c r="B54" s="5"/>
      <c r="C54" s="28" t="s">
        <v>21</v>
      </c>
      <c r="D54" s="67" t="s">
        <v>22</v>
      </c>
      <c r="E54" s="9"/>
      <c r="F54" s="71"/>
      <c r="G54" s="75"/>
      <c r="H54" s="10"/>
      <c r="I54" s="71" t="s">
        <v>112</v>
      </c>
      <c r="J54" s="75">
        <v>-1.33E-3</v>
      </c>
      <c r="K54" s="77"/>
      <c r="L54" s="55"/>
    </row>
    <row r="55" spans="2:12" x14ac:dyDescent="0.25">
      <c r="B55" s="5"/>
      <c r="C55" s="28" t="s">
        <v>102</v>
      </c>
      <c r="D55" s="35" t="b">
        <v>0</v>
      </c>
      <c r="E55" s="9"/>
      <c r="F55" s="71"/>
      <c r="G55" s="75"/>
      <c r="H55" s="10"/>
      <c r="I55" s="71" t="s">
        <v>113</v>
      </c>
      <c r="J55" s="75">
        <v>-1.3900000000000002E-3</v>
      </c>
      <c r="K55" s="77"/>
      <c r="L55" s="55"/>
    </row>
    <row r="56" spans="2:12" x14ac:dyDescent="0.25">
      <c r="B56" s="5"/>
      <c r="C56" s="28" t="s">
        <v>108</v>
      </c>
      <c r="D56" s="35" t="b">
        <v>1</v>
      </c>
      <c r="E56" s="9"/>
      <c r="F56" s="71"/>
      <c r="G56" s="75"/>
      <c r="H56" s="10"/>
      <c r="I56" s="71" t="s">
        <v>114</v>
      </c>
      <c r="J56" s="75">
        <v>-1.4399999999999999E-3</v>
      </c>
      <c r="K56" s="77"/>
      <c r="L56" s="55"/>
    </row>
    <row r="57" spans="2:12" x14ac:dyDescent="0.25">
      <c r="B57" s="5"/>
      <c r="C57" s="28" t="s">
        <v>109</v>
      </c>
      <c r="D57" s="35">
        <v>2</v>
      </c>
      <c r="E57" s="9"/>
      <c r="F57" s="71"/>
      <c r="G57" s="75"/>
      <c r="H57" s="10"/>
      <c r="I57" s="71" t="s">
        <v>115</v>
      </c>
      <c r="J57" s="75">
        <v>-1.4399999999999999E-3</v>
      </c>
      <c r="K57" s="77"/>
      <c r="L57" s="55"/>
    </row>
    <row r="58" spans="2:12" x14ac:dyDescent="0.25">
      <c r="B58" s="5"/>
      <c r="C58" s="28"/>
      <c r="D58" s="35"/>
      <c r="E58" s="9"/>
      <c r="F58" s="71"/>
      <c r="G58" s="75"/>
      <c r="H58" s="10"/>
      <c r="I58" s="71" t="s">
        <v>116</v>
      </c>
      <c r="J58" s="75">
        <v>-1.4599999999999999E-3</v>
      </c>
      <c r="K58" s="77"/>
      <c r="L58" s="55"/>
    </row>
    <row r="59" spans="2:12" x14ac:dyDescent="0.25">
      <c r="B59" s="5"/>
      <c r="C59" s="28"/>
      <c r="D59" s="35"/>
      <c r="E59" s="9"/>
      <c r="F59" s="71"/>
      <c r="G59" s="75"/>
      <c r="H59" s="10"/>
      <c r="I59" s="71" t="s">
        <v>117</v>
      </c>
      <c r="J59" s="75">
        <v>-1.47E-3</v>
      </c>
      <c r="K59" s="77"/>
      <c r="L59" s="55"/>
    </row>
    <row r="60" spans="2:12" x14ac:dyDescent="0.25">
      <c r="B60" s="5"/>
      <c r="C60" s="28"/>
      <c r="D60" s="35"/>
      <c r="E60" s="9"/>
      <c r="F60" s="71"/>
      <c r="G60" s="75"/>
      <c r="H60" s="10"/>
      <c r="I60" s="71" t="s">
        <v>118</v>
      </c>
      <c r="J60" s="75">
        <v>-1.4599999999999999E-3</v>
      </c>
      <c r="K60" s="77"/>
      <c r="L60" s="55"/>
    </row>
    <row r="61" spans="2:12" x14ac:dyDescent="0.25">
      <c r="B61" s="5"/>
      <c r="C61" s="28"/>
      <c r="D61" s="35"/>
      <c r="E61" s="9"/>
      <c r="F61" s="71"/>
      <c r="G61" s="75"/>
      <c r="H61" s="10"/>
      <c r="I61" s="71" t="s">
        <v>119</v>
      </c>
      <c r="J61" s="75">
        <v>-1.4299999999999998E-3</v>
      </c>
      <c r="K61" s="77"/>
      <c r="L61" s="55"/>
    </row>
    <row r="62" spans="2:12" x14ac:dyDescent="0.25">
      <c r="B62" s="5"/>
      <c r="C62" s="28"/>
      <c r="D62" s="35"/>
      <c r="E62" s="9"/>
      <c r="F62" s="71"/>
      <c r="G62" s="75"/>
      <c r="H62" s="10"/>
      <c r="I62" s="71" t="s">
        <v>120</v>
      </c>
      <c r="J62" s="75">
        <v>-1.4099999999999998E-3</v>
      </c>
      <c r="K62" s="77"/>
      <c r="L62" s="55"/>
    </row>
    <row r="63" spans="2:12" x14ac:dyDescent="0.25">
      <c r="B63" s="5"/>
      <c r="C63" s="28"/>
      <c r="D63" s="35"/>
      <c r="E63" s="9"/>
      <c r="F63" s="71"/>
      <c r="G63" s="75"/>
      <c r="H63" s="10"/>
      <c r="I63" s="71"/>
      <c r="J63" s="75"/>
      <c r="K63" s="77"/>
      <c r="L63" s="55"/>
    </row>
    <row r="64" spans="2:12" x14ac:dyDescent="0.25">
      <c r="B64" s="5"/>
      <c r="C64" s="33"/>
      <c r="D64" s="40"/>
      <c r="E64" s="9"/>
      <c r="F64" s="72"/>
      <c r="G64" s="76"/>
      <c r="H64" s="10"/>
      <c r="I64" s="72"/>
      <c r="J64" s="76"/>
      <c r="K64" s="77"/>
      <c r="L64" s="55"/>
    </row>
    <row r="65" spans="2:12" x14ac:dyDescent="0.25">
      <c r="B65" s="5"/>
      <c r="C65" s="9"/>
      <c r="D65" s="9"/>
      <c r="E65" s="9"/>
      <c r="F65" s="10"/>
      <c r="G65" s="10"/>
      <c r="H65" s="10"/>
      <c r="I65" s="10"/>
      <c r="J65" s="10"/>
      <c r="K65" s="77"/>
      <c r="L65" s="55"/>
    </row>
    <row r="66" spans="2:12" x14ac:dyDescent="0.25">
      <c r="B66" s="11"/>
      <c r="C66" s="12"/>
      <c r="D66" s="12"/>
      <c r="E66" s="12"/>
      <c r="F66" s="12"/>
      <c r="G66" s="12"/>
      <c r="H66" s="12"/>
      <c r="I66" s="12"/>
      <c r="J66" s="12"/>
      <c r="K66" s="12"/>
      <c r="L66" s="13"/>
    </row>
    <row r="69" spans="2:12" x14ac:dyDescent="0.25">
      <c r="B69" s="56" t="s">
        <v>121</v>
      </c>
    </row>
    <row r="70" spans="2:12" x14ac:dyDescent="0.25">
      <c r="B70" s="2"/>
      <c r="C70" s="3"/>
      <c r="D70" s="3"/>
      <c r="E70" s="3"/>
      <c r="F70" s="3"/>
      <c r="G70" s="3"/>
      <c r="H70" s="3"/>
      <c r="I70" s="3"/>
      <c r="J70" s="3"/>
      <c r="K70" s="3"/>
      <c r="L70" s="4"/>
    </row>
    <row r="71" spans="2:12" x14ac:dyDescent="0.25">
      <c r="B71" s="5"/>
      <c r="C71" s="49" t="s">
        <v>122</v>
      </c>
      <c r="D71" s="10"/>
      <c r="E71" s="10"/>
      <c r="F71" s="49" t="s">
        <v>125</v>
      </c>
      <c r="G71" s="10"/>
      <c r="H71" s="10"/>
      <c r="I71" s="10"/>
      <c r="J71" s="10"/>
      <c r="K71" s="10"/>
      <c r="L71" s="55"/>
    </row>
    <row r="72" spans="2:12" x14ac:dyDescent="0.25">
      <c r="B72" s="5"/>
      <c r="C72" s="27"/>
      <c r="D72" s="34"/>
      <c r="E72" s="7"/>
      <c r="F72" s="96" t="s">
        <v>139</v>
      </c>
      <c r="G72" s="96" t="s">
        <v>13</v>
      </c>
      <c r="H72" s="96" t="s">
        <v>14</v>
      </c>
      <c r="I72" s="96" t="s">
        <v>12</v>
      </c>
      <c r="J72" s="96" t="s">
        <v>124</v>
      </c>
      <c r="K72" s="10"/>
      <c r="L72" s="55"/>
    </row>
    <row r="73" spans="2:12" x14ac:dyDescent="0.25">
      <c r="B73" s="5"/>
      <c r="C73" s="28"/>
      <c r="D73" s="35"/>
      <c r="E73" s="9"/>
      <c r="F73" s="78"/>
      <c r="G73" s="79"/>
      <c r="H73" s="79"/>
      <c r="I73" s="80"/>
      <c r="J73" s="81"/>
      <c r="K73" s="10"/>
      <c r="L73" s="55"/>
    </row>
    <row r="74" spans="2:12" x14ac:dyDescent="0.25">
      <c r="B74" s="5"/>
      <c r="C74" s="28"/>
      <c r="D74" s="35"/>
      <c r="E74" s="9"/>
      <c r="F74" s="82"/>
      <c r="G74" s="79"/>
      <c r="H74" s="79"/>
      <c r="I74" s="80"/>
      <c r="J74" s="81"/>
      <c r="K74" s="10"/>
      <c r="L74" s="55"/>
    </row>
    <row r="75" spans="2:12" x14ac:dyDescent="0.25">
      <c r="B75" s="5"/>
      <c r="C75" s="28"/>
      <c r="D75" s="104"/>
      <c r="E75" s="9"/>
      <c r="F75" s="83"/>
      <c r="G75" s="84"/>
      <c r="H75" s="84"/>
      <c r="I75" s="85"/>
      <c r="J75" s="86"/>
      <c r="K75" s="10"/>
      <c r="L75" s="55"/>
    </row>
    <row r="76" spans="2:12" x14ac:dyDescent="0.25">
      <c r="B76" s="5"/>
      <c r="C76" s="28"/>
      <c r="D76" s="73"/>
      <c r="E76" s="9"/>
      <c r="F76" s="83"/>
      <c r="G76" s="84"/>
      <c r="H76" s="84"/>
      <c r="I76" s="85"/>
      <c r="J76" s="86"/>
      <c r="K76" s="10"/>
      <c r="L76" s="55"/>
    </row>
    <row r="77" spans="2:12" x14ac:dyDescent="0.25">
      <c r="B77" s="5"/>
      <c r="C77" s="28"/>
      <c r="D77" s="35"/>
      <c r="E77" s="9"/>
      <c r="F77" s="83"/>
      <c r="G77" s="84"/>
      <c r="H77" s="84"/>
      <c r="I77" s="85"/>
      <c r="J77" s="86"/>
      <c r="K77" s="10"/>
      <c r="L77" s="55"/>
    </row>
    <row r="78" spans="2:12" x14ac:dyDescent="0.25">
      <c r="B78" s="5"/>
      <c r="C78" s="28"/>
      <c r="D78" s="35"/>
      <c r="E78" s="9"/>
      <c r="F78" s="83"/>
      <c r="G78" s="84"/>
      <c r="H78" s="84"/>
      <c r="I78" s="85"/>
      <c r="J78" s="86"/>
      <c r="K78" s="10"/>
      <c r="L78" s="55"/>
    </row>
    <row r="79" spans="2:12" x14ac:dyDescent="0.25">
      <c r="B79" s="5"/>
      <c r="C79" s="28"/>
      <c r="D79" s="35"/>
      <c r="E79" s="9"/>
      <c r="F79" s="83"/>
      <c r="G79" s="84"/>
      <c r="H79" s="84"/>
      <c r="I79" s="85"/>
      <c r="J79" s="86"/>
      <c r="K79" s="10"/>
      <c r="L79" s="55"/>
    </row>
    <row r="80" spans="2:12" x14ac:dyDescent="0.25">
      <c r="B80" s="5"/>
      <c r="C80" s="28"/>
      <c r="D80" s="35"/>
      <c r="E80" s="9"/>
      <c r="F80" s="83"/>
      <c r="G80" s="84"/>
      <c r="H80" s="84"/>
      <c r="I80" s="85"/>
      <c r="J80" s="86"/>
      <c r="K80" s="10"/>
      <c r="L80" s="55"/>
    </row>
    <row r="81" spans="2:12" x14ac:dyDescent="0.25">
      <c r="B81" s="5"/>
      <c r="C81" s="28"/>
      <c r="D81" s="35"/>
      <c r="E81" s="9"/>
      <c r="F81" s="83"/>
      <c r="G81" s="84"/>
      <c r="H81" s="84"/>
      <c r="I81" s="85"/>
      <c r="J81" s="86"/>
      <c r="K81" s="10"/>
      <c r="L81" s="55"/>
    </row>
    <row r="82" spans="2:12" x14ac:dyDescent="0.25">
      <c r="B82" s="5"/>
      <c r="C82" s="28"/>
      <c r="D82" s="35"/>
      <c r="E82" s="9"/>
      <c r="F82" s="87"/>
      <c r="G82" s="84"/>
      <c r="H82" s="84"/>
      <c r="I82" s="88"/>
      <c r="J82" s="86"/>
      <c r="K82" s="10"/>
      <c r="L82" s="55"/>
    </row>
    <row r="83" spans="2:12" x14ac:dyDescent="0.25">
      <c r="B83" s="5"/>
      <c r="C83" s="28"/>
      <c r="D83" s="35"/>
      <c r="E83" s="9"/>
      <c r="F83" s="89"/>
      <c r="G83" s="90"/>
      <c r="H83" s="90"/>
      <c r="I83" s="88"/>
      <c r="J83" s="91"/>
      <c r="K83" s="10"/>
      <c r="L83" s="55"/>
    </row>
    <row r="84" spans="2:12" x14ac:dyDescent="0.25">
      <c r="B84" s="5"/>
      <c r="C84" s="28"/>
      <c r="D84" s="35"/>
      <c r="E84" s="9"/>
      <c r="F84" s="89"/>
      <c r="G84" s="90"/>
      <c r="H84" s="90"/>
      <c r="I84" s="88"/>
      <c r="J84" s="91"/>
      <c r="K84" s="10"/>
      <c r="L84" s="55"/>
    </row>
    <row r="85" spans="2:12" x14ac:dyDescent="0.25">
      <c r="B85" s="5"/>
      <c r="C85" s="33"/>
      <c r="D85" s="40"/>
      <c r="E85" s="9"/>
      <c r="F85" s="92"/>
      <c r="G85" s="93"/>
      <c r="H85" s="93"/>
      <c r="I85" s="94"/>
      <c r="J85" s="95"/>
      <c r="K85" s="10"/>
      <c r="L85" s="55"/>
    </row>
    <row r="86" spans="2:12" x14ac:dyDescent="0.25">
      <c r="B86" s="5"/>
      <c r="C86" s="9"/>
      <c r="D86" s="9"/>
      <c r="E86" s="9"/>
      <c r="F86" s="10"/>
      <c r="G86" s="10"/>
      <c r="H86" s="10"/>
      <c r="I86" s="10"/>
      <c r="J86" s="10"/>
      <c r="K86" s="10"/>
      <c r="L86" s="55"/>
    </row>
    <row r="87" spans="2:12" x14ac:dyDescent="0.25">
      <c r="B87" s="11"/>
      <c r="C87" s="12"/>
      <c r="D87" s="12"/>
      <c r="E87" s="12"/>
      <c r="F87" s="12"/>
      <c r="G87" s="12"/>
      <c r="H87" s="12"/>
      <c r="I87" s="12"/>
      <c r="J87" s="12"/>
      <c r="K87" s="12"/>
      <c r="L87" s="13"/>
    </row>
    <row r="90" spans="2:12" x14ac:dyDescent="0.25">
      <c r="B90" s="56" t="s">
        <v>126</v>
      </c>
    </row>
    <row r="91" spans="2:12" x14ac:dyDescent="0.25">
      <c r="B91" s="2"/>
      <c r="C91" s="3"/>
      <c r="D91" s="3"/>
      <c r="E91" s="3"/>
      <c r="F91" s="3"/>
      <c r="G91" s="3"/>
      <c r="H91" s="3"/>
      <c r="I91" s="3"/>
      <c r="J91" s="3"/>
      <c r="K91" s="3"/>
      <c r="L91" s="4"/>
    </row>
    <row r="92" spans="2:12" x14ac:dyDescent="0.25">
      <c r="B92" s="5"/>
      <c r="C92" s="49" t="s">
        <v>127</v>
      </c>
      <c r="D92" s="10"/>
      <c r="E92" s="10"/>
      <c r="F92" s="49" t="s">
        <v>128</v>
      </c>
      <c r="G92" s="10"/>
      <c r="H92" s="10"/>
      <c r="I92" s="10"/>
      <c r="J92" s="10"/>
      <c r="K92" s="10"/>
      <c r="L92" s="55"/>
    </row>
    <row r="93" spans="2:12" x14ac:dyDescent="0.25">
      <c r="B93" s="5"/>
      <c r="C93" s="101" t="s">
        <v>1</v>
      </c>
      <c r="D93" s="34" t="s">
        <v>2</v>
      </c>
      <c r="E93" s="7"/>
      <c r="F93" s="77" t="s">
        <v>11</v>
      </c>
      <c r="G93" s="77" t="s">
        <v>12</v>
      </c>
      <c r="H93" s="77" t="s">
        <v>8</v>
      </c>
      <c r="I93" s="10"/>
      <c r="J93" s="10"/>
      <c r="K93" s="10"/>
      <c r="L93" s="55"/>
    </row>
    <row r="94" spans="2:12" x14ac:dyDescent="0.25">
      <c r="B94" s="5"/>
      <c r="C94" s="102" t="s">
        <v>97</v>
      </c>
      <c r="D94" s="35" t="s">
        <v>20</v>
      </c>
      <c r="E94" s="9"/>
      <c r="F94" s="100" t="s">
        <v>47</v>
      </c>
      <c r="G94" s="97">
        <v>-1.33E-3</v>
      </c>
      <c r="H94" s="74" t="b">
        <v>1</v>
      </c>
      <c r="I94" s="10"/>
      <c r="J94" s="10"/>
      <c r="K94" s="10"/>
      <c r="L94" s="55"/>
    </row>
    <row r="95" spans="2:12" x14ac:dyDescent="0.25">
      <c r="B95" s="5"/>
      <c r="C95" s="102" t="s">
        <v>129</v>
      </c>
      <c r="D95" s="35" t="s">
        <v>6</v>
      </c>
      <c r="E95" s="9"/>
      <c r="F95" s="24" t="s">
        <v>43</v>
      </c>
      <c r="G95" s="98">
        <v>-8.699999999999999E-4</v>
      </c>
      <c r="H95" s="75" t="b">
        <v>1</v>
      </c>
      <c r="I95" s="10"/>
      <c r="J95" s="10"/>
      <c r="K95" s="10"/>
      <c r="L95" s="55"/>
    </row>
    <row r="96" spans="2:12" x14ac:dyDescent="0.25">
      <c r="B96" s="5"/>
      <c r="C96" s="102" t="s">
        <v>27</v>
      </c>
      <c r="D96" s="35" t="s">
        <v>26</v>
      </c>
      <c r="E96" s="9"/>
      <c r="F96" s="24" t="s">
        <v>50</v>
      </c>
      <c r="G96" s="98">
        <v>-8.0000000000000007E-5</v>
      </c>
      <c r="H96" s="75" t="b">
        <v>1</v>
      </c>
      <c r="I96" s="10"/>
      <c r="J96" s="10"/>
      <c r="K96" s="10"/>
      <c r="L96" s="55"/>
    </row>
    <row r="97" spans="2:12" x14ac:dyDescent="0.25">
      <c r="B97" s="5"/>
      <c r="C97" s="102" t="s">
        <v>131</v>
      </c>
      <c r="D97" s="35" t="s">
        <v>130</v>
      </c>
      <c r="E97" s="9"/>
      <c r="F97" s="24" t="s">
        <v>52</v>
      </c>
      <c r="G97" s="98">
        <v>9.2999999999999995E-4</v>
      </c>
      <c r="H97" s="75" t="b">
        <v>1</v>
      </c>
      <c r="I97" s="10"/>
      <c r="J97" s="10"/>
      <c r="K97" s="10"/>
      <c r="L97" s="55"/>
    </row>
    <row r="98" spans="2:12" x14ac:dyDescent="0.25">
      <c r="B98" s="5"/>
      <c r="C98" s="102" t="s">
        <v>132</v>
      </c>
      <c r="D98" s="110" t="s">
        <v>84</v>
      </c>
      <c r="E98" s="9"/>
      <c r="F98" s="24" t="s">
        <v>54</v>
      </c>
      <c r="G98" s="98">
        <v>2.0200000000000001E-3</v>
      </c>
      <c r="H98" s="75" t="b">
        <v>1</v>
      </c>
      <c r="I98" s="10"/>
      <c r="J98" s="10"/>
      <c r="K98" s="10"/>
      <c r="L98" s="55"/>
    </row>
    <row r="99" spans="2:12" x14ac:dyDescent="0.25">
      <c r="B99" s="5"/>
      <c r="C99" s="102" t="s">
        <v>102</v>
      </c>
      <c r="D99" s="35" t="b">
        <v>1</v>
      </c>
      <c r="E99" s="9"/>
      <c r="F99" s="24" t="s">
        <v>56</v>
      </c>
      <c r="G99" s="98">
        <v>3.2100000000000002E-3</v>
      </c>
      <c r="H99" s="75" t="b">
        <v>1</v>
      </c>
      <c r="I99" s="10"/>
      <c r="J99" s="10"/>
      <c r="K99" s="10"/>
      <c r="L99" s="55"/>
    </row>
    <row r="100" spans="2:12" x14ac:dyDescent="0.25">
      <c r="B100" s="5"/>
      <c r="C100" s="102" t="s">
        <v>232</v>
      </c>
      <c r="D100" s="35">
        <v>31</v>
      </c>
      <c r="E100" s="9"/>
      <c r="F100" s="24" t="s">
        <v>58</v>
      </c>
      <c r="G100" s="98">
        <v>4.4400000000000004E-3</v>
      </c>
      <c r="H100" s="75" t="b">
        <v>1</v>
      </c>
      <c r="I100" s="10"/>
      <c r="J100" s="10"/>
      <c r="K100" s="10"/>
      <c r="L100" s="55"/>
    </row>
    <row r="101" spans="2:12" x14ac:dyDescent="0.25">
      <c r="B101" s="5"/>
      <c r="C101" s="102" t="s">
        <v>101</v>
      </c>
      <c r="D101" s="35">
        <v>2</v>
      </c>
      <c r="E101" s="9"/>
      <c r="F101" s="24" t="s">
        <v>60</v>
      </c>
      <c r="G101" s="98">
        <v>5.6100000000000004E-3</v>
      </c>
      <c r="H101" s="75" t="b">
        <v>1</v>
      </c>
      <c r="I101" s="10"/>
      <c r="J101" s="10"/>
      <c r="K101" s="10"/>
      <c r="L101" s="55"/>
    </row>
    <row r="102" spans="2:12" x14ac:dyDescent="0.25">
      <c r="B102" s="5"/>
      <c r="C102" s="102" t="s">
        <v>21</v>
      </c>
      <c r="D102" s="67" t="s">
        <v>22</v>
      </c>
      <c r="E102" s="9"/>
      <c r="F102" s="24" t="s">
        <v>61</v>
      </c>
      <c r="G102" s="98">
        <v>6.6700000000000006E-3</v>
      </c>
      <c r="H102" s="75" t="b">
        <v>1</v>
      </c>
      <c r="I102" s="10"/>
      <c r="J102" s="10"/>
      <c r="K102" s="10"/>
      <c r="L102" s="55"/>
    </row>
    <row r="103" spans="2:12" x14ac:dyDescent="0.25">
      <c r="B103" s="5"/>
      <c r="C103" s="102" t="s">
        <v>133</v>
      </c>
      <c r="D103" s="35" t="b">
        <v>1</v>
      </c>
      <c r="E103" s="9"/>
      <c r="F103" s="24" t="s">
        <v>62</v>
      </c>
      <c r="G103" s="98">
        <v>7.6300000000000005E-3</v>
      </c>
      <c r="H103" s="75" t="b">
        <v>1</v>
      </c>
      <c r="I103" s="10"/>
      <c r="J103" s="10"/>
      <c r="K103" s="10"/>
      <c r="L103" s="55"/>
    </row>
    <row r="104" spans="2:12" x14ac:dyDescent="0.25">
      <c r="B104" s="5"/>
      <c r="C104" s="102" t="s">
        <v>134</v>
      </c>
      <c r="D104" s="35" t="b">
        <v>1</v>
      </c>
      <c r="E104" s="9"/>
      <c r="F104" s="24" t="s">
        <v>63</v>
      </c>
      <c r="G104" s="98">
        <v>8.4700000000000001E-3</v>
      </c>
      <c r="H104" s="75" t="b">
        <v>1</v>
      </c>
      <c r="I104" s="10"/>
      <c r="J104" s="10"/>
      <c r="K104" s="10"/>
      <c r="L104" s="55"/>
    </row>
    <row r="105" spans="2:12" x14ac:dyDescent="0.25">
      <c r="B105" s="5"/>
      <c r="C105" s="102" t="s">
        <v>135</v>
      </c>
      <c r="D105" s="38">
        <v>1.0000000000000001E-9</v>
      </c>
      <c r="E105" s="9"/>
      <c r="F105" s="24" t="s">
        <v>64</v>
      </c>
      <c r="G105" s="98">
        <v>1.03E-2</v>
      </c>
      <c r="H105" s="75" t="b">
        <v>1</v>
      </c>
      <c r="I105" s="10"/>
      <c r="J105" s="10"/>
      <c r="K105" s="10"/>
      <c r="L105" s="55"/>
    </row>
    <row r="106" spans="2:12" x14ac:dyDescent="0.25">
      <c r="B106" s="5"/>
      <c r="C106" s="102" t="s">
        <v>136</v>
      </c>
      <c r="D106" s="105">
        <v>1000</v>
      </c>
      <c r="E106" s="9"/>
      <c r="F106" s="24" t="s">
        <v>65</v>
      </c>
      <c r="G106" s="98">
        <v>1.1659999999999998E-2</v>
      </c>
      <c r="H106" s="75" t="b">
        <v>1</v>
      </c>
      <c r="I106" s="10"/>
      <c r="J106" s="10"/>
      <c r="K106" s="10"/>
      <c r="L106" s="55"/>
    </row>
    <row r="107" spans="2:12" x14ac:dyDescent="0.25">
      <c r="B107" s="5"/>
      <c r="C107" s="102"/>
      <c r="D107" s="38"/>
      <c r="E107" s="9"/>
      <c r="F107" s="24" t="s">
        <v>66</v>
      </c>
      <c r="G107" s="98">
        <v>1.201E-2</v>
      </c>
      <c r="H107" s="75" t="b">
        <v>1</v>
      </c>
      <c r="I107" s="10"/>
      <c r="J107" s="10"/>
      <c r="K107" s="10"/>
      <c r="L107" s="55"/>
    </row>
    <row r="108" spans="2:12" x14ac:dyDescent="0.25">
      <c r="B108" s="5"/>
      <c r="C108" s="102"/>
      <c r="D108" s="35"/>
      <c r="E108" s="9"/>
      <c r="F108" s="24" t="s">
        <v>67</v>
      </c>
      <c r="G108" s="98">
        <v>1.204E-2</v>
      </c>
      <c r="H108" s="75" t="b">
        <v>1</v>
      </c>
      <c r="I108" s="10"/>
      <c r="J108" s="10"/>
      <c r="K108" s="10"/>
      <c r="L108" s="55"/>
    </row>
    <row r="109" spans="2:12" x14ac:dyDescent="0.25">
      <c r="B109" s="5"/>
      <c r="C109" s="102"/>
      <c r="D109" s="35"/>
      <c r="E109" s="9"/>
      <c r="F109" s="24" t="s">
        <v>68</v>
      </c>
      <c r="G109" s="98">
        <v>1.1859999999999999E-2</v>
      </c>
      <c r="H109" s="75" t="b">
        <v>1</v>
      </c>
      <c r="I109" s="10"/>
      <c r="J109" s="10"/>
      <c r="K109" s="10"/>
      <c r="L109" s="55"/>
    </row>
    <row r="110" spans="2:12" x14ac:dyDescent="0.25">
      <c r="B110" s="5"/>
      <c r="C110" s="102"/>
      <c r="D110" s="35"/>
      <c r="E110" s="9"/>
      <c r="F110" s="24" t="s">
        <v>69</v>
      </c>
      <c r="G110" s="98">
        <v>1.1200000000000002E-2</v>
      </c>
      <c r="H110" s="75" t="b">
        <v>1</v>
      </c>
      <c r="I110" s="10"/>
      <c r="J110" s="10"/>
      <c r="K110" s="10"/>
      <c r="L110" s="55"/>
    </row>
    <row r="111" spans="2:12" x14ac:dyDescent="0.25">
      <c r="B111" s="5"/>
      <c r="C111" s="103"/>
      <c r="D111" s="40"/>
      <c r="E111" s="9"/>
      <c r="F111" s="25"/>
      <c r="G111" s="99"/>
      <c r="H111" s="76"/>
      <c r="I111" s="10"/>
      <c r="J111" s="10"/>
      <c r="K111" s="10"/>
      <c r="L111" s="55"/>
    </row>
    <row r="112" spans="2:12" x14ac:dyDescent="0.25">
      <c r="B112" s="5"/>
      <c r="C112" s="9"/>
      <c r="D112" s="9"/>
      <c r="E112" s="9"/>
      <c r="F112" s="10"/>
      <c r="G112" s="10"/>
      <c r="H112" s="10"/>
      <c r="I112" s="10"/>
      <c r="J112" s="10"/>
      <c r="K112" s="10"/>
      <c r="L112" s="55"/>
    </row>
    <row r="113" spans="2:12" x14ac:dyDescent="0.25">
      <c r="B113" s="11"/>
      <c r="C113" s="12"/>
      <c r="D113" s="12"/>
      <c r="E113" s="12"/>
      <c r="F113" s="12"/>
      <c r="G113" s="12"/>
      <c r="H113" s="12"/>
      <c r="I113" s="12"/>
      <c r="J113" s="12"/>
      <c r="K113" s="12"/>
      <c r="L113" s="13"/>
    </row>
  </sheetData>
  <dataValidations disablePrompts="1" count="2">
    <dataValidation type="list" allowBlank="1" showInputMessage="1" showErrorMessage="1" sqref="D98 D24:D25">
      <formula1>"fn_StepInterpolation,fn_LinearInterpolation,fn_MonotoneConvexInterpolation,fn_SplineInterpolation,fn_ConstrainedSplineInterpolation"</formula1>
    </dataValidation>
    <dataValidation type="list" allowBlank="1" showInputMessage="1" showErrorMessage="1" sqref="D54 D102 D75">
      <formula1>"FOLLOWING,MOD_FOLLOWING,PRECEDING,MOD_PRECEEDING,NO_CHANGE"</formula1>
    </dataValidation>
  </dataValidations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>
    <tabColor theme="3"/>
  </sheetPr>
  <dimension ref="B2:J82"/>
  <sheetViews>
    <sheetView showGridLines="0" workbookViewId="0"/>
  </sheetViews>
  <sheetFormatPr defaultRowHeight="15" x14ac:dyDescent="0.25"/>
  <cols>
    <col min="2" max="2" width="2.7109375" customWidth="1"/>
    <col min="3" max="3" width="13" customWidth="1"/>
    <col min="4" max="4" width="32" customWidth="1"/>
    <col min="5" max="5" width="32.42578125" customWidth="1"/>
    <col min="7" max="9" width="20.7109375" customWidth="1"/>
    <col min="10" max="10" width="2.7109375" customWidth="1"/>
    <col min="11" max="15" width="20.7109375" customWidth="1"/>
    <col min="16" max="16" width="2.7109375" customWidth="1"/>
  </cols>
  <sheetData>
    <row r="2" spans="2:10" x14ac:dyDescent="0.25">
      <c r="B2" s="127" t="s">
        <v>204</v>
      </c>
    </row>
    <row r="5" spans="2:10" x14ac:dyDescent="0.25">
      <c r="B5" s="128" t="s">
        <v>205</v>
      </c>
      <c r="C5" s="56"/>
    </row>
    <row r="6" spans="2:10" x14ac:dyDescent="0.25">
      <c r="B6" s="2"/>
      <c r="C6" s="3"/>
      <c r="D6" s="45"/>
      <c r="E6" s="46"/>
      <c r="F6" s="3"/>
      <c r="G6" s="3"/>
      <c r="H6" s="3"/>
      <c r="I6" s="3"/>
      <c r="J6" s="4"/>
    </row>
    <row r="7" spans="2:10" x14ac:dyDescent="0.25">
      <c r="B7" s="5"/>
      <c r="C7" s="7"/>
      <c r="D7" s="129" t="s">
        <v>205</v>
      </c>
      <c r="E7" s="61" t="str">
        <f ca="1">IF(AND(isEUR6MLLoaded,NOW()),_xll.meCurveCalibrateBasis(TenorBasisCurve3M6M.CollectionName,TenorBasisCurve3M6M.StaticDataTable,TenorBasisCurve3M6M.IndexName,TenorBasisCurve3M6M.BuildProperties,TenorBasisSwap3M6M.Conventions,TenorBasisSwap3M6M.MarketData),"Error Building Tenor Basis Curve")</f>
        <v>EURYC 3M6MBasis Curve has been set (0.01500 sec)</v>
      </c>
      <c r="F7" s="62"/>
      <c r="G7" s="63"/>
      <c r="H7" s="7"/>
      <c r="I7" s="7"/>
      <c r="J7" s="8"/>
    </row>
    <row r="8" spans="2:10" x14ac:dyDescent="0.25">
      <c r="B8" s="5"/>
      <c r="C8" s="7"/>
      <c r="D8" s="117" t="s">
        <v>192</v>
      </c>
      <c r="E8" s="130" t="b">
        <f ca="1">LEFT(E7,10)="EURYC 3M6M"</f>
        <v>1</v>
      </c>
      <c r="F8" s="7"/>
      <c r="G8" s="7"/>
      <c r="H8" s="7"/>
      <c r="I8" s="7"/>
      <c r="J8" s="8"/>
    </row>
    <row r="9" spans="2:10" x14ac:dyDescent="0.25">
      <c r="B9" s="5"/>
      <c r="C9" s="7"/>
      <c r="D9" s="6"/>
      <c r="E9" s="60"/>
      <c r="F9" s="7"/>
      <c r="G9" s="7"/>
      <c r="H9" s="7"/>
      <c r="I9" s="7"/>
      <c r="J9" s="8"/>
    </row>
    <row r="10" spans="2:10" x14ac:dyDescent="0.25">
      <c r="B10" s="5"/>
      <c r="C10" s="7"/>
      <c r="D10" s="6"/>
      <c r="E10" s="60"/>
      <c r="F10" s="7"/>
      <c r="G10" s="7"/>
      <c r="H10" s="7"/>
      <c r="I10" s="7"/>
      <c r="J10" s="8"/>
    </row>
    <row r="11" spans="2:10" x14ac:dyDescent="0.25">
      <c r="B11" s="5"/>
      <c r="C11" s="7"/>
      <c r="D11" s="48" t="s">
        <v>0</v>
      </c>
      <c r="E11" s="57"/>
      <c r="F11" s="7"/>
      <c r="G11" s="7"/>
      <c r="H11" s="7"/>
      <c r="I11" s="7"/>
      <c r="J11" s="8"/>
    </row>
    <row r="12" spans="2:10" x14ac:dyDescent="0.25">
      <c r="B12" s="5"/>
      <c r="C12" s="7"/>
      <c r="D12" s="27" t="s">
        <v>88</v>
      </c>
      <c r="E12" s="106" t="s">
        <v>80</v>
      </c>
      <c r="F12" s="7"/>
      <c r="G12" s="7"/>
      <c r="H12" s="7"/>
      <c r="I12" s="7"/>
      <c r="J12" s="8"/>
    </row>
    <row r="13" spans="2:10" x14ac:dyDescent="0.25">
      <c r="B13" s="5"/>
      <c r="C13" s="7"/>
      <c r="D13" s="28" t="s">
        <v>87</v>
      </c>
      <c r="E13" s="107" t="s">
        <v>140</v>
      </c>
      <c r="F13" s="7"/>
      <c r="G13" s="7"/>
      <c r="H13" s="7"/>
      <c r="I13" s="7"/>
      <c r="J13" s="8"/>
    </row>
    <row r="14" spans="2:10" x14ac:dyDescent="0.25">
      <c r="B14" s="5"/>
      <c r="C14" s="7"/>
      <c r="D14" s="59" t="s">
        <v>89</v>
      </c>
      <c r="E14" s="109" t="s">
        <v>141</v>
      </c>
      <c r="F14" s="7"/>
      <c r="G14" s="7"/>
      <c r="H14" s="7"/>
      <c r="I14" s="7"/>
      <c r="J14" s="8" t="s">
        <v>4</v>
      </c>
    </row>
    <row r="15" spans="2:10" x14ac:dyDescent="0.25">
      <c r="B15" s="11"/>
      <c r="C15" s="12"/>
      <c r="D15" s="12"/>
      <c r="E15" s="12"/>
      <c r="F15" s="12"/>
      <c r="G15" s="12"/>
      <c r="H15" s="12"/>
      <c r="I15" s="12"/>
      <c r="J15" s="13"/>
    </row>
    <row r="18" spans="2:10" x14ac:dyDescent="0.25">
      <c r="B18" s="56" t="s">
        <v>70</v>
      </c>
      <c r="C18" s="56"/>
    </row>
    <row r="19" spans="2:10" x14ac:dyDescent="0.25">
      <c r="B19" s="2"/>
      <c r="C19" s="3"/>
      <c r="D19" s="45"/>
      <c r="E19" s="46"/>
      <c r="F19" s="3"/>
      <c r="G19" s="3"/>
      <c r="H19" s="3"/>
      <c r="I19" s="3"/>
      <c r="J19" s="4"/>
    </row>
    <row r="20" spans="2:10" x14ac:dyDescent="0.25">
      <c r="B20" s="5"/>
      <c r="C20" s="7"/>
      <c r="D20" s="48" t="s">
        <v>70</v>
      </c>
      <c r="E20" s="47"/>
      <c r="F20" s="7"/>
      <c r="G20" s="50" t="s">
        <v>81</v>
      </c>
      <c r="H20" s="7"/>
      <c r="I20" s="7"/>
      <c r="J20" s="8"/>
    </row>
    <row r="21" spans="2:10" x14ac:dyDescent="0.25">
      <c r="B21" s="5"/>
      <c r="C21" s="7"/>
      <c r="D21" s="27" t="s">
        <v>10</v>
      </c>
      <c r="E21" s="106">
        <v>42419</v>
      </c>
      <c r="F21" s="7"/>
      <c r="G21" s="14" t="s">
        <v>82</v>
      </c>
      <c r="H21" s="16"/>
      <c r="I21" s="7"/>
      <c r="J21" s="8"/>
    </row>
    <row r="22" spans="2:10" x14ac:dyDescent="0.25">
      <c r="B22" s="5"/>
      <c r="C22" s="7"/>
      <c r="D22" s="28" t="s">
        <v>16</v>
      </c>
      <c r="E22" s="107" t="s">
        <v>17</v>
      </c>
      <c r="F22" s="7"/>
      <c r="G22" s="17" t="s">
        <v>83</v>
      </c>
      <c r="H22" s="18"/>
      <c r="I22" s="7"/>
      <c r="J22" s="8"/>
    </row>
    <row r="23" spans="2:10" x14ac:dyDescent="0.25">
      <c r="B23" s="5"/>
      <c r="C23" s="7"/>
      <c r="D23" s="28" t="s">
        <v>233</v>
      </c>
      <c r="E23" s="110" t="s">
        <v>84</v>
      </c>
      <c r="F23" s="7"/>
      <c r="G23" s="17" t="s">
        <v>84</v>
      </c>
      <c r="H23" s="18"/>
      <c r="I23" s="7"/>
      <c r="J23" s="8"/>
    </row>
    <row r="24" spans="2:10" x14ac:dyDescent="0.25">
      <c r="B24" s="5"/>
      <c r="C24" s="7"/>
      <c r="D24" s="28" t="s">
        <v>254</v>
      </c>
      <c r="E24" s="107" t="b">
        <v>0</v>
      </c>
      <c r="F24" s="7"/>
      <c r="G24" s="17" t="s">
        <v>85</v>
      </c>
      <c r="H24" s="18"/>
      <c r="I24" s="7"/>
      <c r="J24" s="8"/>
    </row>
    <row r="25" spans="2:10" x14ac:dyDescent="0.25">
      <c r="B25" s="5"/>
      <c r="C25" s="7"/>
      <c r="D25" s="28"/>
      <c r="E25" s="107"/>
      <c r="F25" s="7"/>
      <c r="G25" s="17" t="s">
        <v>86</v>
      </c>
      <c r="H25" s="18"/>
      <c r="I25" s="7"/>
      <c r="J25" s="8"/>
    </row>
    <row r="26" spans="2:10" x14ac:dyDescent="0.25">
      <c r="B26" s="5"/>
      <c r="C26" s="7"/>
      <c r="D26" s="28"/>
      <c r="E26" s="107"/>
      <c r="F26" s="7"/>
      <c r="G26" s="17"/>
      <c r="H26" s="18"/>
      <c r="I26" s="7"/>
      <c r="J26" s="8"/>
    </row>
    <row r="27" spans="2:10" x14ac:dyDescent="0.25">
      <c r="B27" s="5"/>
      <c r="C27" s="7"/>
      <c r="D27" s="28"/>
      <c r="E27" s="107"/>
      <c r="F27" s="7"/>
      <c r="G27" s="17"/>
      <c r="H27" s="18"/>
      <c r="I27" s="7"/>
      <c r="J27" s="8"/>
    </row>
    <row r="28" spans="2:10" x14ac:dyDescent="0.25">
      <c r="B28" s="5"/>
      <c r="C28" s="7"/>
      <c r="D28" s="29"/>
      <c r="E28" s="107"/>
      <c r="F28" s="7"/>
      <c r="G28" s="17"/>
      <c r="H28" s="18"/>
      <c r="I28" s="7"/>
      <c r="J28" s="8"/>
    </row>
    <row r="29" spans="2:10" x14ac:dyDescent="0.25">
      <c r="B29" s="5"/>
      <c r="C29" s="7"/>
      <c r="D29" s="29"/>
      <c r="E29" s="107"/>
      <c r="F29" s="7"/>
      <c r="G29" s="17"/>
      <c r="H29" s="18"/>
      <c r="I29" s="7"/>
      <c r="J29" s="8"/>
    </row>
    <row r="30" spans="2:10" x14ac:dyDescent="0.25">
      <c r="B30" s="5"/>
      <c r="C30" s="7"/>
      <c r="D30" s="29"/>
      <c r="E30" s="107"/>
      <c r="F30" s="7"/>
      <c r="G30" s="17"/>
      <c r="H30" s="18"/>
      <c r="I30" s="7"/>
      <c r="J30" s="8"/>
    </row>
    <row r="31" spans="2:10" x14ac:dyDescent="0.25">
      <c r="B31" s="5"/>
      <c r="C31" s="7"/>
      <c r="D31" s="44"/>
      <c r="E31" s="109"/>
      <c r="F31" s="7"/>
      <c r="G31" s="21"/>
      <c r="H31" s="22"/>
      <c r="I31" s="7"/>
      <c r="J31" s="8"/>
    </row>
    <row r="32" spans="2:10" x14ac:dyDescent="0.25">
      <c r="B32" s="11"/>
      <c r="C32" s="12"/>
      <c r="D32" s="12"/>
      <c r="E32" s="12"/>
      <c r="F32" s="12"/>
      <c r="G32" s="12"/>
      <c r="H32" s="12"/>
      <c r="I32" s="12"/>
      <c r="J32" s="13"/>
    </row>
    <row r="35" spans="2:10" x14ac:dyDescent="0.25">
      <c r="B35" s="56" t="s">
        <v>142</v>
      </c>
      <c r="C35" s="56"/>
    </row>
    <row r="36" spans="2:10" x14ac:dyDescent="0.25">
      <c r="B36" s="2"/>
      <c r="C36" s="3"/>
      <c r="D36" s="3"/>
      <c r="E36" s="3"/>
      <c r="F36" s="3"/>
      <c r="G36" s="3"/>
      <c r="H36" s="3"/>
      <c r="I36" s="3"/>
      <c r="J36" s="4"/>
    </row>
    <row r="37" spans="2:10" x14ac:dyDescent="0.25">
      <c r="B37" s="5"/>
      <c r="C37" s="7"/>
      <c r="D37" s="49" t="s">
        <v>184</v>
      </c>
      <c r="E37" s="10"/>
      <c r="F37" s="10"/>
      <c r="G37" s="49" t="s">
        <v>187</v>
      </c>
      <c r="H37" s="10"/>
      <c r="I37" s="10"/>
      <c r="J37" s="55"/>
    </row>
    <row r="38" spans="2:10" x14ac:dyDescent="0.25">
      <c r="B38" s="5"/>
      <c r="C38" s="114"/>
      <c r="D38" s="27" t="s">
        <v>143</v>
      </c>
      <c r="E38" s="34" t="s">
        <v>144</v>
      </c>
      <c r="F38" s="7"/>
      <c r="G38" s="77" t="s">
        <v>11</v>
      </c>
      <c r="H38" s="77" t="s">
        <v>12</v>
      </c>
      <c r="I38" s="10"/>
      <c r="J38" s="55"/>
    </row>
    <row r="39" spans="2:10" x14ac:dyDescent="0.25">
      <c r="B39" s="5"/>
      <c r="C39" s="203" t="s">
        <v>190</v>
      </c>
      <c r="D39" s="111" t="s">
        <v>145</v>
      </c>
      <c r="E39" s="112" t="b">
        <v>0</v>
      </c>
      <c r="F39" s="9"/>
      <c r="G39" s="70" t="s">
        <v>183</v>
      </c>
      <c r="H39" s="74">
        <v>1.1300000000000001E-3</v>
      </c>
      <c r="I39" s="10"/>
      <c r="J39" s="55"/>
    </row>
    <row r="40" spans="2:10" x14ac:dyDescent="0.25">
      <c r="B40" s="5"/>
      <c r="C40" s="204"/>
      <c r="D40" s="28" t="s">
        <v>146</v>
      </c>
      <c r="E40" s="35" t="s">
        <v>2</v>
      </c>
      <c r="F40" s="9"/>
      <c r="G40" s="71" t="s">
        <v>47</v>
      </c>
      <c r="H40" s="75">
        <v>1.1925E-3</v>
      </c>
      <c r="I40" s="10"/>
      <c r="J40" s="55"/>
    </row>
    <row r="41" spans="2:10" x14ac:dyDescent="0.25">
      <c r="B41" s="5"/>
      <c r="C41" s="204"/>
      <c r="D41" s="28" t="s">
        <v>147</v>
      </c>
      <c r="E41" s="35" t="s">
        <v>148</v>
      </c>
      <c r="F41" s="9"/>
      <c r="G41" s="71" t="s">
        <v>43</v>
      </c>
      <c r="H41" s="75">
        <v>1.2425000000000001E-3</v>
      </c>
      <c r="I41" s="10"/>
      <c r="J41" s="55"/>
    </row>
    <row r="42" spans="2:10" x14ac:dyDescent="0.25">
      <c r="B42" s="5"/>
      <c r="C42" s="204"/>
      <c r="D42" s="28" t="s">
        <v>149</v>
      </c>
      <c r="E42" s="67" t="s">
        <v>130</v>
      </c>
      <c r="F42" s="9"/>
      <c r="G42" s="71" t="s">
        <v>50</v>
      </c>
      <c r="H42" s="75">
        <v>1.2975E-3</v>
      </c>
      <c r="I42" s="10"/>
      <c r="J42" s="55"/>
    </row>
    <row r="43" spans="2:10" x14ac:dyDescent="0.25">
      <c r="B43" s="5"/>
      <c r="C43" s="204"/>
      <c r="D43" s="28" t="s">
        <v>150</v>
      </c>
      <c r="E43" s="67" t="s">
        <v>22</v>
      </c>
      <c r="F43" s="9"/>
      <c r="G43" s="71" t="s">
        <v>52</v>
      </c>
      <c r="H43" s="75">
        <v>1.3324999999999999E-3</v>
      </c>
      <c r="I43" s="10"/>
      <c r="J43" s="55"/>
    </row>
    <row r="44" spans="2:10" x14ac:dyDescent="0.25">
      <c r="B44" s="5"/>
      <c r="C44" s="204"/>
      <c r="D44" s="28" t="s">
        <v>151</v>
      </c>
      <c r="E44" s="35" t="s">
        <v>123</v>
      </c>
      <c r="F44" s="9"/>
      <c r="G44" s="71" t="s">
        <v>54</v>
      </c>
      <c r="H44" s="75">
        <v>1.3074999999999999E-3</v>
      </c>
      <c r="I44" s="10"/>
      <c r="J44" s="55"/>
    </row>
    <row r="45" spans="2:10" x14ac:dyDescent="0.25">
      <c r="B45" s="5"/>
      <c r="C45" s="204"/>
      <c r="D45" s="28" t="s">
        <v>152</v>
      </c>
      <c r="E45" s="35" t="s">
        <v>9</v>
      </c>
      <c r="F45" s="9"/>
      <c r="G45" s="71" t="s">
        <v>56</v>
      </c>
      <c r="H45" s="75">
        <v>1.2725E-3</v>
      </c>
      <c r="I45" s="10"/>
      <c r="J45" s="55"/>
    </row>
    <row r="46" spans="2:10" x14ac:dyDescent="0.25">
      <c r="B46" s="5"/>
      <c r="C46" s="204"/>
      <c r="D46" s="28" t="s">
        <v>153</v>
      </c>
      <c r="E46" s="35" t="s">
        <v>188</v>
      </c>
      <c r="F46" s="9"/>
      <c r="G46" s="71" t="s">
        <v>58</v>
      </c>
      <c r="H46" s="75">
        <v>1.2275000000000001E-3</v>
      </c>
      <c r="I46" s="10"/>
      <c r="J46" s="55"/>
    </row>
    <row r="47" spans="2:10" x14ac:dyDescent="0.25">
      <c r="B47" s="5"/>
      <c r="C47" s="204"/>
      <c r="D47" s="28" t="s">
        <v>154</v>
      </c>
      <c r="E47" s="35" t="s">
        <v>104</v>
      </c>
      <c r="F47" s="9"/>
      <c r="G47" s="71" t="s">
        <v>60</v>
      </c>
      <c r="H47" s="75">
        <v>1.1675000000000001E-3</v>
      </c>
      <c r="I47" s="10"/>
      <c r="J47" s="55"/>
    </row>
    <row r="48" spans="2:10" x14ac:dyDescent="0.25">
      <c r="B48" s="5"/>
      <c r="C48" s="204"/>
      <c r="D48" s="28" t="s">
        <v>155</v>
      </c>
      <c r="E48" s="35" t="s">
        <v>148</v>
      </c>
      <c r="F48" s="9"/>
      <c r="G48" s="71" t="s">
        <v>61</v>
      </c>
      <c r="H48" s="75">
        <v>1.1025E-3</v>
      </c>
      <c r="I48" s="10"/>
      <c r="J48" s="55"/>
    </row>
    <row r="49" spans="2:10" x14ac:dyDescent="0.25">
      <c r="B49" s="5"/>
      <c r="C49" s="204"/>
      <c r="D49" s="28" t="s">
        <v>156</v>
      </c>
      <c r="E49" s="35" t="s">
        <v>2</v>
      </c>
      <c r="F49" s="9"/>
      <c r="G49" s="71" t="s">
        <v>62</v>
      </c>
      <c r="H49" s="75">
        <v>1.0425E-3</v>
      </c>
      <c r="I49" s="10"/>
      <c r="J49" s="55"/>
    </row>
    <row r="50" spans="2:10" x14ac:dyDescent="0.25">
      <c r="B50" s="5"/>
      <c r="C50" s="204"/>
      <c r="D50" s="28" t="s">
        <v>157</v>
      </c>
      <c r="E50" s="35" t="s">
        <v>100</v>
      </c>
      <c r="F50" s="9"/>
      <c r="G50" s="71" t="s">
        <v>63</v>
      </c>
      <c r="H50" s="75">
        <v>9.9250000000000011E-4</v>
      </c>
      <c r="I50" s="10"/>
      <c r="J50" s="55"/>
    </row>
    <row r="51" spans="2:10" x14ac:dyDescent="0.25">
      <c r="B51" s="5"/>
      <c r="C51" s="204"/>
      <c r="D51" s="28" t="s">
        <v>158</v>
      </c>
      <c r="E51" s="35" t="s">
        <v>2</v>
      </c>
      <c r="F51" s="9"/>
      <c r="G51" s="71" t="s">
        <v>64</v>
      </c>
      <c r="H51" s="75">
        <v>8.6249999999999999E-4</v>
      </c>
      <c r="I51" s="10"/>
      <c r="J51" s="55"/>
    </row>
    <row r="52" spans="2:10" x14ac:dyDescent="0.25">
      <c r="B52" s="5"/>
      <c r="C52" s="204"/>
      <c r="D52" s="28" t="s">
        <v>159</v>
      </c>
      <c r="E52" s="35" t="s">
        <v>123</v>
      </c>
      <c r="F52" s="9"/>
      <c r="G52" s="71" t="s">
        <v>65</v>
      </c>
      <c r="H52" s="75">
        <v>6.8749999999999996E-4</v>
      </c>
      <c r="I52" s="10"/>
      <c r="J52" s="55"/>
    </row>
    <row r="53" spans="2:10" x14ac:dyDescent="0.25">
      <c r="B53" s="5"/>
      <c r="C53" s="205"/>
      <c r="D53" s="113" t="s">
        <v>160</v>
      </c>
      <c r="E53" s="67" t="s">
        <v>22</v>
      </c>
      <c r="F53" s="9"/>
      <c r="G53" s="71" t="s">
        <v>66</v>
      </c>
      <c r="H53" s="75">
        <v>5.8250000000000001E-4</v>
      </c>
      <c r="I53" s="10"/>
      <c r="J53" s="55"/>
    </row>
    <row r="54" spans="2:10" x14ac:dyDescent="0.25">
      <c r="B54" s="5"/>
      <c r="C54" s="206" t="s">
        <v>191</v>
      </c>
      <c r="D54" s="111" t="s">
        <v>161</v>
      </c>
      <c r="E54" s="112" t="s">
        <v>2</v>
      </c>
      <c r="F54" s="9"/>
      <c r="G54" s="71" t="s">
        <v>67</v>
      </c>
      <c r="H54" s="75">
        <v>5.1250000000000004E-4</v>
      </c>
      <c r="I54" s="10"/>
      <c r="J54" s="55"/>
    </row>
    <row r="55" spans="2:10" x14ac:dyDescent="0.25">
      <c r="B55" s="5"/>
      <c r="C55" s="207"/>
      <c r="D55" s="28" t="s">
        <v>162</v>
      </c>
      <c r="E55" s="35" t="s">
        <v>148</v>
      </c>
      <c r="F55" s="9"/>
      <c r="G55" s="71"/>
      <c r="H55" s="75"/>
      <c r="I55" s="10"/>
      <c r="J55" s="55"/>
    </row>
    <row r="56" spans="2:10" x14ac:dyDescent="0.25">
      <c r="B56" s="5"/>
      <c r="C56" s="207"/>
      <c r="D56" s="28" t="s">
        <v>163</v>
      </c>
      <c r="E56" s="67" t="s">
        <v>28</v>
      </c>
      <c r="F56" s="9"/>
      <c r="G56" s="71"/>
      <c r="H56" s="75"/>
      <c r="I56" s="10"/>
      <c r="J56" s="55"/>
    </row>
    <row r="57" spans="2:10" x14ac:dyDescent="0.25">
      <c r="B57" s="5"/>
      <c r="C57" s="207"/>
      <c r="D57" s="28" t="s">
        <v>164</v>
      </c>
      <c r="E57" s="67" t="s">
        <v>22</v>
      </c>
      <c r="F57" s="9"/>
      <c r="G57" s="71"/>
      <c r="H57" s="75"/>
      <c r="I57" s="10"/>
      <c r="J57" s="55"/>
    </row>
    <row r="58" spans="2:10" x14ac:dyDescent="0.25">
      <c r="B58" s="5"/>
      <c r="C58" s="207"/>
      <c r="D58" s="28" t="s">
        <v>165</v>
      </c>
      <c r="E58" s="35" t="s">
        <v>123</v>
      </c>
      <c r="F58" s="9"/>
      <c r="G58" s="71"/>
      <c r="H58" s="75"/>
      <c r="I58" s="10"/>
      <c r="J58" s="55"/>
    </row>
    <row r="59" spans="2:10" x14ac:dyDescent="0.25">
      <c r="B59" s="5"/>
      <c r="C59" s="207"/>
      <c r="D59" s="28" t="s">
        <v>166</v>
      </c>
      <c r="E59" s="35" t="s">
        <v>9</v>
      </c>
      <c r="F59" s="9"/>
      <c r="G59" s="71"/>
      <c r="H59" s="75"/>
      <c r="I59" s="10"/>
      <c r="J59" s="55"/>
    </row>
    <row r="60" spans="2:10" x14ac:dyDescent="0.25">
      <c r="B60" s="5"/>
      <c r="C60" s="207"/>
      <c r="D60" s="28" t="s">
        <v>167</v>
      </c>
      <c r="E60" s="35" t="s">
        <v>90</v>
      </c>
      <c r="F60" s="9"/>
      <c r="G60" s="71"/>
      <c r="H60" s="75"/>
      <c r="I60" s="10"/>
      <c r="J60" s="55"/>
    </row>
    <row r="61" spans="2:10" x14ac:dyDescent="0.25">
      <c r="B61" s="5"/>
      <c r="C61" s="207"/>
      <c r="D61" s="28" t="s">
        <v>168</v>
      </c>
      <c r="E61" s="35" t="s">
        <v>169</v>
      </c>
      <c r="F61" s="9"/>
      <c r="G61" s="71"/>
      <c r="H61" s="75"/>
      <c r="I61" s="10"/>
      <c r="J61" s="55"/>
    </row>
    <row r="62" spans="2:10" x14ac:dyDescent="0.25">
      <c r="B62" s="5"/>
      <c r="C62" s="207"/>
      <c r="D62" s="28" t="s">
        <v>170</v>
      </c>
      <c r="E62" s="35" t="s">
        <v>148</v>
      </c>
      <c r="F62" s="9"/>
      <c r="G62" s="71"/>
      <c r="H62" s="75"/>
      <c r="I62" s="10"/>
      <c r="J62" s="55"/>
    </row>
    <row r="63" spans="2:10" x14ac:dyDescent="0.25">
      <c r="B63" s="5"/>
      <c r="C63" s="207"/>
      <c r="D63" s="28" t="s">
        <v>171</v>
      </c>
      <c r="E63" s="35" t="s">
        <v>2</v>
      </c>
      <c r="F63" s="9"/>
      <c r="G63" s="71"/>
      <c r="H63" s="75"/>
      <c r="I63" s="10"/>
      <c r="J63" s="55"/>
    </row>
    <row r="64" spans="2:10" x14ac:dyDescent="0.25">
      <c r="B64" s="5"/>
      <c r="C64" s="207"/>
      <c r="D64" s="28" t="s">
        <v>172</v>
      </c>
      <c r="E64" s="35" t="s">
        <v>100</v>
      </c>
      <c r="F64" s="9"/>
      <c r="G64" s="71"/>
      <c r="H64" s="75"/>
      <c r="I64" s="10"/>
      <c r="J64" s="55"/>
    </row>
    <row r="65" spans="2:10" x14ac:dyDescent="0.25">
      <c r="B65" s="5"/>
      <c r="C65" s="207"/>
      <c r="D65" s="28" t="s">
        <v>173</v>
      </c>
      <c r="E65" s="35" t="s">
        <v>2</v>
      </c>
      <c r="F65" s="9"/>
      <c r="G65" s="71"/>
      <c r="H65" s="75"/>
      <c r="I65" s="10"/>
      <c r="J65" s="55"/>
    </row>
    <row r="66" spans="2:10" x14ac:dyDescent="0.25">
      <c r="B66" s="5"/>
      <c r="C66" s="207"/>
      <c r="D66" s="28" t="s">
        <v>174</v>
      </c>
      <c r="E66" s="35" t="s">
        <v>123</v>
      </c>
      <c r="F66" s="9"/>
      <c r="G66" s="71"/>
      <c r="H66" s="75"/>
      <c r="I66" s="10"/>
      <c r="J66" s="55"/>
    </row>
    <row r="67" spans="2:10" x14ac:dyDescent="0.25">
      <c r="B67" s="5"/>
      <c r="C67" s="208"/>
      <c r="D67" s="113" t="s">
        <v>175</v>
      </c>
      <c r="E67" s="67" t="s">
        <v>22</v>
      </c>
      <c r="F67" s="9"/>
      <c r="G67" s="71"/>
      <c r="H67" s="75"/>
      <c r="I67" s="10"/>
      <c r="J67" s="55"/>
    </row>
    <row r="68" spans="2:10" x14ac:dyDescent="0.25">
      <c r="B68" s="5"/>
      <c r="C68" s="209" t="str">
        <f>"Solving For :"&amp;CHAR(32)&amp;$E$68</f>
        <v>Solving For : Leg2Forecast</v>
      </c>
      <c r="D68" s="116" t="s">
        <v>176</v>
      </c>
      <c r="E68" s="115" t="s">
        <v>177</v>
      </c>
      <c r="F68" s="9"/>
      <c r="G68" s="71"/>
      <c r="H68" s="75"/>
      <c r="I68" s="10"/>
      <c r="J68" s="55"/>
    </row>
    <row r="69" spans="2:10" x14ac:dyDescent="0.25">
      <c r="B69" s="5"/>
      <c r="C69" s="210"/>
      <c r="D69" s="28" t="s">
        <v>134</v>
      </c>
      <c r="E69" s="35" t="b">
        <v>1</v>
      </c>
      <c r="F69" s="9"/>
      <c r="G69" s="71"/>
      <c r="H69" s="75"/>
      <c r="I69" s="10"/>
      <c r="J69" s="55"/>
    </row>
    <row r="70" spans="2:10" x14ac:dyDescent="0.25">
      <c r="B70" s="5"/>
      <c r="C70" s="210"/>
      <c r="D70" s="28" t="s">
        <v>178</v>
      </c>
      <c r="E70" s="110" t="s">
        <v>84</v>
      </c>
      <c r="F70" s="9"/>
      <c r="G70" s="71"/>
      <c r="H70" s="75"/>
      <c r="I70" s="10"/>
      <c r="J70" s="55"/>
    </row>
    <row r="71" spans="2:10" x14ac:dyDescent="0.25">
      <c r="B71" s="5"/>
      <c r="C71" s="210"/>
      <c r="D71" s="28" t="s">
        <v>179</v>
      </c>
      <c r="E71" s="35" t="b">
        <v>1</v>
      </c>
      <c r="F71" s="9"/>
      <c r="G71" s="71"/>
      <c r="H71" s="75"/>
      <c r="I71" s="10"/>
      <c r="J71" s="55"/>
    </row>
    <row r="72" spans="2:10" x14ac:dyDescent="0.25">
      <c r="B72" s="5"/>
      <c r="C72" s="210"/>
      <c r="D72" s="28" t="s">
        <v>180</v>
      </c>
      <c r="E72" s="35" t="b">
        <v>1</v>
      </c>
      <c r="F72" s="9"/>
      <c r="G72" s="71"/>
      <c r="H72" s="75"/>
      <c r="I72" s="10"/>
      <c r="J72" s="55"/>
    </row>
    <row r="73" spans="2:10" x14ac:dyDescent="0.25">
      <c r="B73" s="5"/>
      <c r="C73" s="210"/>
      <c r="D73" s="28" t="s">
        <v>181</v>
      </c>
      <c r="E73" s="35" t="s">
        <v>169</v>
      </c>
      <c r="F73" s="9"/>
      <c r="G73" s="71"/>
      <c r="H73" s="75"/>
      <c r="I73" s="10"/>
      <c r="J73" s="55"/>
    </row>
    <row r="74" spans="2:10" x14ac:dyDescent="0.25">
      <c r="B74" s="5"/>
      <c r="C74" s="210"/>
      <c r="D74" s="28" t="s">
        <v>182</v>
      </c>
      <c r="E74" s="35" t="b">
        <v>0</v>
      </c>
      <c r="F74" s="9"/>
      <c r="G74" s="71"/>
      <c r="H74" s="75"/>
      <c r="I74" s="10"/>
      <c r="J74" s="55"/>
    </row>
    <row r="75" spans="2:10" x14ac:dyDescent="0.25">
      <c r="B75" s="5"/>
      <c r="C75" s="210"/>
      <c r="D75" s="28" t="s">
        <v>135</v>
      </c>
      <c r="E75" s="38">
        <v>1.0000000000000001E-9</v>
      </c>
      <c r="F75" s="9"/>
      <c r="G75" s="71"/>
      <c r="H75" s="75"/>
      <c r="I75" s="10"/>
      <c r="J75" s="55"/>
    </row>
    <row r="76" spans="2:10" x14ac:dyDescent="0.25">
      <c r="B76" s="5"/>
      <c r="C76" s="210"/>
      <c r="D76" s="28" t="s">
        <v>136</v>
      </c>
      <c r="E76" s="105">
        <v>1000</v>
      </c>
      <c r="F76" s="9"/>
      <c r="G76" s="71"/>
      <c r="H76" s="75"/>
      <c r="I76" s="10"/>
      <c r="J76" s="55"/>
    </row>
    <row r="77" spans="2:10" x14ac:dyDescent="0.25">
      <c r="B77" s="5"/>
      <c r="C77" s="210"/>
      <c r="D77" s="28"/>
      <c r="E77" s="35"/>
      <c r="F77" s="9"/>
      <c r="G77" s="71"/>
      <c r="H77" s="75"/>
      <c r="I77" s="10"/>
      <c r="J77" s="55"/>
    </row>
    <row r="78" spans="2:10" x14ac:dyDescent="0.25">
      <c r="B78" s="5"/>
      <c r="C78" s="210"/>
      <c r="D78" s="28"/>
      <c r="E78" s="35"/>
      <c r="F78" s="9"/>
      <c r="G78" s="71"/>
      <c r="H78" s="75"/>
      <c r="I78" s="10"/>
      <c r="J78" s="55"/>
    </row>
    <row r="79" spans="2:10" x14ac:dyDescent="0.25">
      <c r="B79" s="5"/>
      <c r="C79" s="210"/>
      <c r="D79" s="28"/>
      <c r="E79" s="35"/>
      <c r="F79" s="9"/>
      <c r="G79" s="71"/>
      <c r="H79" s="75"/>
      <c r="I79" s="10"/>
      <c r="J79" s="55"/>
    </row>
    <row r="80" spans="2:10" x14ac:dyDescent="0.25">
      <c r="B80" s="5"/>
      <c r="C80" s="211"/>
      <c r="D80" s="33"/>
      <c r="E80" s="40"/>
      <c r="F80" s="9"/>
      <c r="G80" s="72"/>
      <c r="H80" s="76"/>
      <c r="I80" s="10"/>
      <c r="J80" s="55"/>
    </row>
    <row r="81" spans="2:10" x14ac:dyDescent="0.25">
      <c r="B81" s="5"/>
      <c r="C81" s="7"/>
      <c r="D81" s="9"/>
      <c r="E81" s="9"/>
      <c r="F81" s="9"/>
      <c r="G81" s="10"/>
      <c r="H81" s="10"/>
      <c r="I81" s="10"/>
      <c r="J81" s="55"/>
    </row>
    <row r="82" spans="2:10" x14ac:dyDescent="0.25">
      <c r="B82" s="11"/>
      <c r="C82" s="12"/>
      <c r="D82" s="12"/>
      <c r="E82" s="12"/>
      <c r="F82" s="12"/>
      <c r="G82" s="12"/>
      <c r="H82" s="12"/>
      <c r="I82" s="12"/>
      <c r="J82" s="13"/>
    </row>
  </sheetData>
  <mergeCells count="3">
    <mergeCell ref="C39:C53"/>
    <mergeCell ref="C54:C67"/>
    <mergeCell ref="C68:C80"/>
  </mergeCells>
  <dataValidations count="3">
    <dataValidation type="list" allowBlank="1" showInputMessage="1" showErrorMessage="1" sqref="E70 E23">
      <formula1>"fn_StepInterpolation,fn_LinearInterpolation,fn_MonotoneConvexInterpolation,fn_SplineInterpolation,fn_ConstrainedSplineInterpolation"</formula1>
    </dataValidation>
    <dataValidation type="list" allowBlank="1" showInputMessage="1" showErrorMessage="1" sqref="E41 E67 E57 E53 E43">
      <formula1>"FOLLOWING,MOD_FOLLOWING,PRECEDING,MOD_PRECEEDING,NO_CHANGE"</formula1>
    </dataValidation>
    <dataValidation type="list" allowBlank="1" showInputMessage="1" showErrorMessage="1" sqref="E42 E56">
      <formula1>"Annual,Semi-Annual,Quarterly,Monthly"</formula1>
    </dataValidation>
  </dataValidations>
  <pageMargins left="0.7" right="0.7" top="0.75" bottom="0.75" header="0.3" footer="0.3"/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3"/>
  </sheetPr>
  <dimension ref="A2:P60"/>
  <sheetViews>
    <sheetView showGridLines="0" tabSelected="1" workbookViewId="0"/>
  </sheetViews>
  <sheetFormatPr defaultRowHeight="15" x14ac:dyDescent="0.25"/>
  <cols>
    <col min="1" max="1" width="4.7109375" customWidth="1"/>
    <col min="2" max="2" width="39" customWidth="1"/>
    <col min="3" max="3" width="19.28515625" customWidth="1"/>
    <col min="4" max="4" width="4.7109375" customWidth="1"/>
    <col min="5" max="7" width="15.7109375" customWidth="1"/>
    <col min="8" max="8" width="20.42578125" bestFit="1" customWidth="1"/>
    <col min="9" max="16" width="15.7109375" customWidth="1"/>
  </cols>
  <sheetData>
    <row r="2" spans="1:14" ht="23.25" x14ac:dyDescent="0.35">
      <c r="B2" s="153" t="s">
        <v>235</v>
      </c>
      <c r="C2" s="163">
        <f ca="1">IF(AND(isEUR3MLLoaded,NOW()),_xll.meProductSwapPV(SwapDescription,FALSE),"#LOAD CURVES")</f>
        <v>-45731.777114750228</v>
      </c>
      <c r="E2" s="199" t="s">
        <v>252</v>
      </c>
    </row>
    <row r="3" spans="1:14" ht="23.25" x14ac:dyDescent="0.35">
      <c r="A3" s="152"/>
      <c r="B3" s="144" t="s">
        <v>236</v>
      </c>
      <c r="C3" s="164">
        <f ca="1">IF(AND(isEUR3MLLoaded,NOW()),_xll.meProductSwapLegPV(_xll.meUtilityLVBFromMultipleKeysValues($B$10:$B$45,$C$10:$C$45,,"LegType",$B$3),FALSE),"#LOAD CURVES")</f>
        <v>-50420.922880817147</v>
      </c>
      <c r="E3" s="199" t="s">
        <v>253</v>
      </c>
    </row>
    <row r="4" spans="1:14" x14ac:dyDescent="0.25">
      <c r="A4" s="152"/>
      <c r="B4" s="144" t="s">
        <v>237</v>
      </c>
      <c r="C4" s="164">
        <f ca="1">IF(AND(isEUR3MLLoaded,NOW()),_xll.meProductSwapLegPV(_xll.meUtilityLVBFromMultipleKeysValues($B$10:$B$45,$C$10:$C$45,,"LegType",$B$4),FALSE),"#LOAD CURVES")</f>
        <v>-4689.1457660669239</v>
      </c>
    </row>
    <row r="5" spans="1:14" x14ac:dyDescent="0.25">
      <c r="B5" s="154" t="s">
        <v>197</v>
      </c>
      <c r="C5" s="165">
        <f ca="1">IF(AND(isEUR3MLLoaded,NOW()),_xll.meProductSwapParRate(SwapDescription,FALSE),"#LOAD CURVES")</f>
        <v>9.2999998773345117E-4</v>
      </c>
    </row>
    <row r="6" spans="1:14" x14ac:dyDescent="0.25">
      <c r="B6" s="154" t="s">
        <v>198</v>
      </c>
      <c r="C6" s="166">
        <f ca="1">IF(AND(isEUR3MLLoaded,NOW()),_xll.meProductSwapPV01(SwapDescription,FALSE),"#LOAD CURVES")</f>
        <v>504.20922880817153</v>
      </c>
    </row>
    <row r="7" spans="1:14" x14ac:dyDescent="0.25">
      <c r="B7" s="155" t="s">
        <v>238</v>
      </c>
      <c r="C7" s="167">
        <f ca="1">IF(AND(isEUR3MLLoaded,NOW()),_xll.meProductSwapDV01(SwapDescription,FALSE),"#LOAD CURVES")</f>
        <v>489.13665069343824</v>
      </c>
    </row>
    <row r="8" spans="1:14" x14ac:dyDescent="0.25">
      <c r="E8" s="134"/>
    </row>
    <row r="9" spans="1:14" x14ac:dyDescent="0.25">
      <c r="B9" s="151" t="s">
        <v>239</v>
      </c>
      <c r="E9" s="151" t="s">
        <v>250</v>
      </c>
    </row>
    <row r="10" spans="1:14" x14ac:dyDescent="0.25">
      <c r="B10" s="143" t="s">
        <v>193</v>
      </c>
      <c r="C10" s="200">
        <v>1000000</v>
      </c>
      <c r="E10" s="156" t="str">
        <f t="array" aca="1" ref="E10:N26" ca="1">IF(AND(isEUR3MLLoaded,NOW()),_xll.meProductSwapLegDisplay(_xll.meUtilityLVBFromMultipleKeysValues($B$10:$B$45,$C$10:$C$45,,"LegType",$B$3),FALSE,TRUE),"#LOAD CURVES")</f>
        <v>AccrualStart</v>
      </c>
      <c r="F10" s="157" t="str">
        <f ca="1"/>
        <v>AccrualEnd</v>
      </c>
      <c r="G10" s="169" t="str">
        <f ca="1"/>
        <v>AccrualDays</v>
      </c>
      <c r="H10" s="158" t="str">
        <f ca="1"/>
        <v>AccrualYearFractions</v>
      </c>
      <c r="I10" s="157" t="str">
        <f ca="1"/>
        <v>PaymentDate</v>
      </c>
      <c r="J10" s="169" t="str">
        <f ca="1"/>
        <v>Notional</v>
      </c>
      <c r="K10" s="171" t="str">
        <f ca="1"/>
        <v>Leverage</v>
      </c>
      <c r="L10" s="169" t="str">
        <f ca="1"/>
        <v>FixedRate</v>
      </c>
      <c r="M10" s="173" t="str">
        <f ca="1"/>
        <v>Coupon</v>
      </c>
      <c r="N10" s="176" t="str">
        <f ca="1"/>
        <v>DiscountFactor</v>
      </c>
    </row>
    <row r="11" spans="1:14" x14ac:dyDescent="0.25">
      <c r="B11" s="144" t="s">
        <v>206</v>
      </c>
      <c r="C11" s="201" t="s">
        <v>194</v>
      </c>
      <c r="E11" s="159">
        <f ca="1"/>
        <v>42423</v>
      </c>
      <c r="F11" s="160">
        <f ca="1"/>
        <v>42789</v>
      </c>
      <c r="G11" s="170">
        <f ca="1"/>
        <v>366</v>
      </c>
      <c r="H11" s="161">
        <f ca="1"/>
        <v>1</v>
      </c>
      <c r="I11" s="160">
        <f ca="1"/>
        <v>42789</v>
      </c>
      <c r="J11" s="170">
        <f ca="1"/>
        <v>1000000</v>
      </c>
      <c r="K11" s="172">
        <f ca="1"/>
        <v>1</v>
      </c>
      <c r="L11" s="170">
        <f ca="1"/>
        <v>0.01</v>
      </c>
      <c r="M11" s="174">
        <f ca="1"/>
        <v>10000</v>
      </c>
      <c r="N11" s="175">
        <f ca="1"/>
        <v>1.003792728970861</v>
      </c>
    </row>
    <row r="12" spans="1:14" x14ac:dyDescent="0.25">
      <c r="B12" s="145" t="s">
        <v>208</v>
      </c>
      <c r="C12" s="138">
        <f ca="1">_xll.meDateFromTenor(COB,D12,C20,C21)</f>
        <v>42423</v>
      </c>
      <c r="D12" s="198" t="s">
        <v>199</v>
      </c>
      <c r="E12" s="159">
        <f ca="1"/>
        <v>42789</v>
      </c>
      <c r="F12" s="160">
        <f ca="1"/>
        <v>43154</v>
      </c>
      <c r="G12" s="170">
        <f ca="1"/>
        <v>365</v>
      </c>
      <c r="H12" s="161">
        <f ca="1"/>
        <v>1</v>
      </c>
      <c r="I12" s="160">
        <f ca="1"/>
        <v>43154</v>
      </c>
      <c r="J12" s="170">
        <f ca="1"/>
        <v>1000000</v>
      </c>
      <c r="K12" s="172">
        <f ca="1"/>
        <v>1</v>
      </c>
      <c r="L12" s="170">
        <f ca="1"/>
        <v>0.01</v>
      </c>
      <c r="M12" s="174">
        <f ca="1"/>
        <v>10000</v>
      </c>
      <c r="N12" s="175">
        <f ca="1"/>
        <v>1.0077262645077036</v>
      </c>
    </row>
    <row r="13" spans="1:14" x14ac:dyDescent="0.25">
      <c r="B13" s="145" t="s">
        <v>207</v>
      </c>
      <c r="C13" s="194" t="s">
        <v>52</v>
      </c>
      <c r="E13" s="159">
        <f ca="1"/>
        <v>43154</v>
      </c>
      <c r="F13" s="160">
        <f ca="1"/>
        <v>43521</v>
      </c>
      <c r="G13" s="170">
        <f ca="1"/>
        <v>367</v>
      </c>
      <c r="H13" s="161">
        <f ca="1"/>
        <v>1.0055555555555555</v>
      </c>
      <c r="I13" s="160">
        <f ca="1"/>
        <v>43521</v>
      </c>
      <c r="J13" s="170">
        <f ca="1"/>
        <v>1000000</v>
      </c>
      <c r="K13" s="172">
        <f ca="1"/>
        <v>1</v>
      </c>
      <c r="L13" s="170">
        <f ca="1"/>
        <v>0.01</v>
      </c>
      <c r="M13" s="174">
        <f ca="1"/>
        <v>10055.555555555555</v>
      </c>
      <c r="N13" s="175">
        <f ca="1"/>
        <v>1.0104951635838813</v>
      </c>
    </row>
    <row r="14" spans="1:14" x14ac:dyDescent="0.25">
      <c r="B14" s="145" t="s">
        <v>88</v>
      </c>
      <c r="C14" s="195" t="s">
        <v>80</v>
      </c>
      <c r="E14" s="159">
        <f ca="1"/>
        <v>43521</v>
      </c>
      <c r="F14" s="160">
        <f ca="1"/>
        <v>43885</v>
      </c>
      <c r="G14" s="170">
        <f ca="1"/>
        <v>364</v>
      </c>
      <c r="H14" s="161">
        <f ca="1"/>
        <v>0.99722222222222223</v>
      </c>
      <c r="I14" s="160">
        <f ca="1"/>
        <v>43885</v>
      </c>
      <c r="J14" s="170">
        <f ca="1"/>
        <v>1000000</v>
      </c>
      <c r="K14" s="172">
        <f ca="1"/>
        <v>1</v>
      </c>
      <c r="L14" s="170">
        <f ca="1"/>
        <v>0.01</v>
      </c>
      <c r="M14" s="174">
        <f ca="1"/>
        <v>9972.2222222222226</v>
      </c>
      <c r="N14" s="175">
        <f ca="1"/>
        <v>1.0110770831656557</v>
      </c>
    </row>
    <row r="15" spans="1:14" x14ac:dyDescent="0.25">
      <c r="B15" s="145" t="s">
        <v>210</v>
      </c>
      <c r="C15" s="196" t="s">
        <v>188</v>
      </c>
      <c r="E15" s="159">
        <f ca="1"/>
        <v>43885</v>
      </c>
      <c r="F15" s="160">
        <f ca="1"/>
        <v>44250</v>
      </c>
      <c r="G15" s="170">
        <f ca="1"/>
        <v>365</v>
      </c>
      <c r="H15" s="161">
        <f ca="1"/>
        <v>0.99722222222222223</v>
      </c>
      <c r="I15" s="160">
        <f ca="1"/>
        <v>44250</v>
      </c>
      <c r="J15" s="170">
        <f ca="1"/>
        <v>1000000</v>
      </c>
      <c r="K15" s="172">
        <f ca="1"/>
        <v>1</v>
      </c>
      <c r="L15" s="170">
        <f ca="1"/>
        <v>0.01</v>
      </c>
      <c r="M15" s="174">
        <f ca="1"/>
        <v>9972.2222222222226</v>
      </c>
      <c r="N15" s="175">
        <f ca="1"/>
        <v>1.0089985069172667</v>
      </c>
    </row>
    <row r="16" spans="1:14" ht="15.75" thickBot="1" x14ac:dyDescent="0.3">
      <c r="B16" s="146" t="s">
        <v>228</v>
      </c>
      <c r="C16" s="197" t="s">
        <v>234</v>
      </c>
      <c r="E16" s="159" t="e">
        <f ca="1"/>
        <v>#N/A</v>
      </c>
      <c r="F16" s="160" t="e">
        <f ca="1"/>
        <v>#N/A</v>
      </c>
      <c r="G16" s="170" t="e">
        <f ca="1"/>
        <v>#N/A</v>
      </c>
      <c r="H16" s="161" t="e">
        <f ca="1"/>
        <v>#N/A</v>
      </c>
      <c r="I16" s="160" t="e">
        <f ca="1"/>
        <v>#N/A</v>
      </c>
      <c r="J16" s="170" t="e">
        <f ca="1"/>
        <v>#N/A</v>
      </c>
      <c r="K16" s="172" t="e">
        <f ca="1"/>
        <v>#N/A</v>
      </c>
      <c r="L16" s="170" t="e">
        <f ca="1"/>
        <v>#N/A</v>
      </c>
      <c r="M16" s="174" t="e">
        <f ca="1"/>
        <v>#N/A</v>
      </c>
      <c r="N16" s="175" t="e">
        <f ca="1"/>
        <v>#N/A</v>
      </c>
    </row>
    <row r="17" spans="2:16" ht="15.75" thickTop="1" x14ac:dyDescent="0.25">
      <c r="B17" s="145" t="s">
        <v>212</v>
      </c>
      <c r="C17" s="136" t="s">
        <v>26</v>
      </c>
      <c r="E17" s="159" t="e">
        <f ca="1"/>
        <v>#N/A</v>
      </c>
      <c r="F17" s="160" t="e">
        <f ca="1"/>
        <v>#N/A</v>
      </c>
      <c r="G17" s="170" t="e">
        <f ca="1"/>
        <v>#N/A</v>
      </c>
      <c r="H17" s="161" t="e">
        <f ca="1"/>
        <v>#N/A</v>
      </c>
      <c r="I17" s="160" t="e">
        <f ca="1"/>
        <v>#N/A</v>
      </c>
      <c r="J17" s="170" t="e">
        <f ca="1"/>
        <v>#N/A</v>
      </c>
      <c r="K17" s="172" t="e">
        <f ca="1"/>
        <v>#N/A</v>
      </c>
      <c r="L17" s="170" t="e">
        <f ca="1"/>
        <v>#N/A</v>
      </c>
      <c r="M17" s="174" t="e">
        <f ca="1"/>
        <v>#N/A</v>
      </c>
      <c r="N17" s="175" t="e">
        <f ca="1"/>
        <v>#N/A</v>
      </c>
    </row>
    <row r="18" spans="2:16" x14ac:dyDescent="0.25">
      <c r="B18" s="145" t="s">
        <v>209</v>
      </c>
      <c r="C18" s="202">
        <v>0.01</v>
      </c>
      <c r="E18" s="159" t="e">
        <f ca="1"/>
        <v>#N/A</v>
      </c>
      <c r="F18" s="160" t="e">
        <f ca="1"/>
        <v>#N/A</v>
      </c>
      <c r="G18" s="170" t="e">
        <f ca="1"/>
        <v>#N/A</v>
      </c>
      <c r="H18" s="161" t="e">
        <f ca="1"/>
        <v>#N/A</v>
      </c>
      <c r="I18" s="160" t="e">
        <f ca="1"/>
        <v>#N/A</v>
      </c>
      <c r="J18" s="170" t="e">
        <f ca="1"/>
        <v>#N/A</v>
      </c>
      <c r="K18" s="172" t="e">
        <f ca="1"/>
        <v>#N/A</v>
      </c>
      <c r="L18" s="170" t="e">
        <f ca="1"/>
        <v>#N/A</v>
      </c>
      <c r="M18" s="174" t="e">
        <f ca="1"/>
        <v>#N/A</v>
      </c>
      <c r="N18" s="175" t="e">
        <f ca="1"/>
        <v>#N/A</v>
      </c>
    </row>
    <row r="19" spans="2:16" x14ac:dyDescent="0.25">
      <c r="B19" s="145" t="s">
        <v>213</v>
      </c>
      <c r="C19" s="137" t="s">
        <v>20</v>
      </c>
      <c r="E19" s="178" t="e">
        <f ca="1"/>
        <v>#N/A</v>
      </c>
      <c r="F19" s="179" t="e">
        <f ca="1"/>
        <v>#N/A</v>
      </c>
      <c r="G19" s="180" t="e">
        <f ca="1"/>
        <v>#N/A</v>
      </c>
      <c r="H19" s="161" t="e">
        <f ca="1"/>
        <v>#N/A</v>
      </c>
      <c r="I19" s="179" t="e">
        <f ca="1"/>
        <v>#N/A</v>
      </c>
      <c r="J19" s="180" t="e">
        <f ca="1"/>
        <v>#N/A</v>
      </c>
      <c r="K19" s="192" t="e">
        <f ca="1"/>
        <v>#N/A</v>
      </c>
      <c r="L19" s="180" t="e">
        <f ca="1"/>
        <v>#N/A</v>
      </c>
      <c r="M19" s="182" t="e">
        <f ca="1"/>
        <v>#N/A</v>
      </c>
      <c r="N19" s="183" t="e">
        <f ca="1"/>
        <v>#N/A</v>
      </c>
    </row>
    <row r="20" spans="2:16" x14ac:dyDescent="0.25">
      <c r="B20" s="145" t="s">
        <v>240</v>
      </c>
      <c r="C20" s="136" t="s">
        <v>22</v>
      </c>
      <c r="E20" s="178" t="e">
        <f ca="1"/>
        <v>#N/A</v>
      </c>
      <c r="F20" s="179" t="e">
        <f ca="1"/>
        <v>#N/A</v>
      </c>
      <c r="G20" s="180" t="e">
        <f ca="1"/>
        <v>#N/A</v>
      </c>
      <c r="H20" s="161" t="e">
        <f ca="1"/>
        <v>#N/A</v>
      </c>
      <c r="I20" s="179" t="e">
        <f ca="1"/>
        <v>#N/A</v>
      </c>
      <c r="J20" s="180" t="e">
        <f ca="1"/>
        <v>#N/A</v>
      </c>
      <c r="K20" s="192" t="e">
        <f ca="1"/>
        <v>#N/A</v>
      </c>
      <c r="L20" s="180" t="e">
        <f ca="1"/>
        <v>#N/A</v>
      </c>
      <c r="M20" s="182" t="e">
        <f ca="1"/>
        <v>#N/A</v>
      </c>
      <c r="N20" s="183" t="e">
        <f ca="1"/>
        <v>#N/A</v>
      </c>
    </row>
    <row r="21" spans="2:16" x14ac:dyDescent="0.25">
      <c r="B21" s="145" t="s">
        <v>241</v>
      </c>
      <c r="C21" s="136" t="s">
        <v>2</v>
      </c>
      <c r="E21" s="178" t="e">
        <f ca="1"/>
        <v>#N/A</v>
      </c>
      <c r="F21" s="179" t="e">
        <f ca="1"/>
        <v>#N/A</v>
      </c>
      <c r="G21" s="180" t="e">
        <f ca="1"/>
        <v>#N/A</v>
      </c>
      <c r="H21" s="161" t="e">
        <f ca="1"/>
        <v>#N/A</v>
      </c>
      <c r="I21" s="179" t="e">
        <f ca="1"/>
        <v>#N/A</v>
      </c>
      <c r="J21" s="180" t="e">
        <f ca="1"/>
        <v>#N/A</v>
      </c>
      <c r="K21" s="192" t="e">
        <f ca="1"/>
        <v>#N/A</v>
      </c>
      <c r="L21" s="180" t="e">
        <f ca="1"/>
        <v>#N/A</v>
      </c>
      <c r="M21" s="182" t="e">
        <f ca="1"/>
        <v>#N/A</v>
      </c>
      <c r="N21" s="183" t="e">
        <f ca="1"/>
        <v>#N/A</v>
      </c>
    </row>
    <row r="22" spans="2:16" x14ac:dyDescent="0.25">
      <c r="B22" s="145" t="s">
        <v>242</v>
      </c>
      <c r="C22" s="136" t="s">
        <v>22</v>
      </c>
      <c r="E22" s="178" t="e">
        <f ca="1"/>
        <v>#N/A</v>
      </c>
      <c r="F22" s="179" t="e">
        <f ca="1"/>
        <v>#N/A</v>
      </c>
      <c r="G22" s="180" t="e">
        <f ca="1"/>
        <v>#N/A</v>
      </c>
      <c r="H22" s="161" t="e">
        <f ca="1"/>
        <v>#N/A</v>
      </c>
      <c r="I22" s="179" t="e">
        <f ca="1"/>
        <v>#N/A</v>
      </c>
      <c r="J22" s="180" t="e">
        <f ca="1"/>
        <v>#N/A</v>
      </c>
      <c r="K22" s="192" t="e">
        <f ca="1"/>
        <v>#N/A</v>
      </c>
      <c r="L22" s="180" t="e">
        <f ca="1"/>
        <v>#N/A</v>
      </c>
      <c r="M22" s="182" t="e">
        <f ca="1"/>
        <v>#N/A</v>
      </c>
      <c r="N22" s="183" t="e">
        <f ca="1"/>
        <v>#N/A</v>
      </c>
    </row>
    <row r="23" spans="2:16" x14ac:dyDescent="0.25">
      <c r="B23" s="145" t="s">
        <v>243</v>
      </c>
      <c r="C23" s="136" t="s">
        <v>2</v>
      </c>
      <c r="E23" s="178" t="e">
        <f ca="1"/>
        <v>#N/A</v>
      </c>
      <c r="F23" s="179" t="e">
        <f ca="1"/>
        <v>#N/A</v>
      </c>
      <c r="G23" s="180" t="e">
        <f ca="1"/>
        <v>#N/A</v>
      </c>
      <c r="H23" s="161" t="e">
        <f ca="1"/>
        <v>#N/A</v>
      </c>
      <c r="I23" s="179" t="e">
        <f ca="1"/>
        <v>#N/A</v>
      </c>
      <c r="J23" s="180" t="e">
        <f ca="1"/>
        <v>#N/A</v>
      </c>
      <c r="K23" s="192" t="e">
        <f ca="1"/>
        <v>#N/A</v>
      </c>
      <c r="L23" s="180" t="e">
        <f ca="1"/>
        <v>#N/A</v>
      </c>
      <c r="M23" s="182" t="e">
        <f ca="1"/>
        <v>#N/A</v>
      </c>
      <c r="N23" s="183" t="e">
        <f ca="1"/>
        <v>#N/A</v>
      </c>
    </row>
    <row r="24" spans="2:16" x14ac:dyDescent="0.25">
      <c r="B24" s="145" t="s">
        <v>214</v>
      </c>
      <c r="C24" s="138"/>
      <c r="E24" s="178" t="e">
        <f ca="1"/>
        <v>#N/A</v>
      </c>
      <c r="F24" s="179" t="e">
        <f ca="1"/>
        <v>#N/A</v>
      </c>
      <c r="G24" s="180" t="e">
        <f ca="1"/>
        <v>#N/A</v>
      </c>
      <c r="H24" s="161" t="e">
        <f ca="1"/>
        <v>#N/A</v>
      </c>
      <c r="I24" s="179" t="e">
        <f ca="1"/>
        <v>#N/A</v>
      </c>
      <c r="J24" s="180" t="e">
        <f ca="1"/>
        <v>#N/A</v>
      </c>
      <c r="K24" s="192" t="e">
        <f ca="1"/>
        <v>#N/A</v>
      </c>
      <c r="L24" s="180" t="e">
        <f ca="1"/>
        <v>#N/A</v>
      </c>
      <c r="M24" s="182" t="e">
        <f ca="1"/>
        <v>#N/A</v>
      </c>
      <c r="N24" s="183" t="e">
        <f ca="1"/>
        <v>#N/A</v>
      </c>
    </row>
    <row r="25" spans="2:16" x14ac:dyDescent="0.25">
      <c r="B25" s="145" t="s">
        <v>215</v>
      </c>
      <c r="C25" s="138"/>
      <c r="E25" s="178" t="e">
        <f ca="1"/>
        <v>#N/A</v>
      </c>
      <c r="F25" s="179" t="e">
        <f ca="1"/>
        <v>#N/A</v>
      </c>
      <c r="G25" s="180" t="e">
        <f ca="1"/>
        <v>#N/A</v>
      </c>
      <c r="H25" s="161" t="e">
        <f ca="1"/>
        <v>#N/A</v>
      </c>
      <c r="I25" s="179" t="e">
        <f ca="1"/>
        <v>#N/A</v>
      </c>
      <c r="J25" s="180" t="e">
        <f ca="1"/>
        <v>#N/A</v>
      </c>
      <c r="K25" s="192" t="e">
        <f ca="1"/>
        <v>#N/A</v>
      </c>
      <c r="L25" s="180" t="e">
        <f ca="1"/>
        <v>#N/A</v>
      </c>
      <c r="M25" s="182" t="e">
        <f ca="1"/>
        <v>#N/A</v>
      </c>
      <c r="N25" s="183" t="e">
        <f ca="1"/>
        <v>#N/A</v>
      </c>
    </row>
    <row r="26" spans="2:16" x14ac:dyDescent="0.25">
      <c r="B26" s="145" t="s">
        <v>216</v>
      </c>
      <c r="C26" s="139">
        <f ca="1">IF(C$12="","",DAY(C$12))</f>
        <v>23</v>
      </c>
      <c r="E26" s="184" t="e">
        <f ca="1"/>
        <v>#N/A</v>
      </c>
      <c r="F26" s="185" t="e">
        <f ca="1"/>
        <v>#N/A</v>
      </c>
      <c r="G26" s="187" t="e">
        <f ca="1"/>
        <v>#N/A</v>
      </c>
      <c r="H26" s="162" t="e">
        <f ca="1"/>
        <v>#N/A</v>
      </c>
      <c r="I26" s="185" t="e">
        <f ca="1"/>
        <v>#N/A</v>
      </c>
      <c r="J26" s="187" t="e">
        <f ca="1"/>
        <v>#N/A</v>
      </c>
      <c r="K26" s="193" t="e">
        <f ca="1"/>
        <v>#N/A</v>
      </c>
      <c r="L26" s="187" t="e">
        <f ca="1"/>
        <v>#N/A</v>
      </c>
      <c r="M26" s="190" t="e">
        <f ca="1"/>
        <v>#N/A</v>
      </c>
      <c r="N26" s="191" t="e">
        <f ca="1"/>
        <v>#N/A</v>
      </c>
    </row>
    <row r="27" spans="2:16" x14ac:dyDescent="0.25">
      <c r="B27" s="145" t="s">
        <v>217</v>
      </c>
      <c r="C27" s="140" t="s">
        <v>195</v>
      </c>
    </row>
    <row r="28" spans="2:16" ht="15.75" thickBot="1" x14ac:dyDescent="0.3">
      <c r="B28" s="146" t="s">
        <v>218</v>
      </c>
      <c r="C28" s="142" t="s">
        <v>196</v>
      </c>
    </row>
    <row r="29" spans="2:16" ht="15.75" thickTop="1" x14ac:dyDescent="0.25">
      <c r="B29" s="145" t="s">
        <v>219</v>
      </c>
      <c r="C29" s="139" t="str">
        <f>IF(RIGHT($C$15,3)="1ML","Monthly",IF(RIGHT($C$15,3)="3ML","Quarterly",IF(RIGHT($C$15,3)="6ML","Semi-Annual","Annual")))</f>
        <v>Semi-Annual</v>
      </c>
      <c r="E29" s="151" t="s">
        <v>251</v>
      </c>
    </row>
    <row r="30" spans="2:16" x14ac:dyDescent="0.25">
      <c r="B30" s="148" t="s">
        <v>229</v>
      </c>
      <c r="C30" s="194">
        <v>0</v>
      </c>
      <c r="E30" s="156" t="str">
        <f t="array" aca="1" ref="E30:P45" ca="1">IF(AND(isEUR3MLLoaded,NOW()),_xll.meProductSwapLegDisplay(_xll.meUtilityLVBFromMultipleKeysValues($B$10:$B$45,$C$10:$C$45,,"LegType",$B$4),FALSE,TRUE),"#LOAD CURVES")</f>
        <v>FixingDate</v>
      </c>
      <c r="F30" s="157" t="str">
        <f ca="1"/>
        <v>AccrualStart</v>
      </c>
      <c r="G30" s="157" t="str">
        <f ca="1"/>
        <v>AccrualEnd</v>
      </c>
      <c r="H30" s="157" t="str">
        <f ca="1"/>
        <v>AccrualDays</v>
      </c>
      <c r="I30" s="158" t="str">
        <f ca="1"/>
        <v>AccrualYearFractions</v>
      </c>
      <c r="J30" s="157" t="str">
        <f ca="1"/>
        <v>PaymentDate</v>
      </c>
      <c r="K30" s="169" t="str">
        <f ca="1"/>
        <v>Notional</v>
      </c>
      <c r="L30" s="177" t="str">
        <f ca="1"/>
        <v>Leverage</v>
      </c>
      <c r="M30" s="168" t="str">
        <f ca="1"/>
        <v>FloatSpread</v>
      </c>
      <c r="N30" s="169" t="str">
        <f ca="1"/>
        <v>FloatRate</v>
      </c>
      <c r="O30" s="173" t="str">
        <f ca="1"/>
        <v>Coupon</v>
      </c>
      <c r="P30" s="176" t="str">
        <f ca="1"/>
        <v>DiscountFactor</v>
      </c>
    </row>
    <row r="31" spans="2:16" x14ac:dyDescent="0.25">
      <c r="B31" s="145" t="s">
        <v>220</v>
      </c>
      <c r="C31" s="137" t="s">
        <v>6</v>
      </c>
      <c r="E31" s="159">
        <f ca="1"/>
        <v>42423</v>
      </c>
      <c r="F31" s="160">
        <f ca="1"/>
        <v>42423</v>
      </c>
      <c r="G31" s="160">
        <f ca="1"/>
        <v>42605</v>
      </c>
      <c r="H31" s="131">
        <f ca="1"/>
        <v>182</v>
      </c>
      <c r="I31" s="161">
        <f ca="1"/>
        <v>0.50555555555555554</v>
      </c>
      <c r="J31" s="160">
        <f ca="1"/>
        <v>42605</v>
      </c>
      <c r="K31" s="170">
        <f ca="1"/>
        <v>1000000</v>
      </c>
      <c r="L31" s="132">
        <f ca="1"/>
        <v>1</v>
      </c>
      <c r="M31" s="133">
        <f ca="1"/>
        <v>0</v>
      </c>
      <c r="N31" s="170">
        <f ca="1"/>
        <v>-1.3100000000000835E-3</v>
      </c>
      <c r="O31" s="174">
        <f ca="1"/>
        <v>-662.27777777781989</v>
      </c>
      <c r="P31" s="175">
        <f ca="1"/>
        <v>1.0017779841108543</v>
      </c>
    </row>
    <row r="32" spans="2:16" x14ac:dyDescent="0.25">
      <c r="B32" s="145" t="s">
        <v>244</v>
      </c>
      <c r="C32" s="136" t="s">
        <v>22</v>
      </c>
      <c r="E32" s="159">
        <f ca="1"/>
        <v>42605</v>
      </c>
      <c r="F32" s="160">
        <f ca="1"/>
        <v>42605</v>
      </c>
      <c r="G32" s="160">
        <f ca="1"/>
        <v>42789</v>
      </c>
      <c r="H32" s="131">
        <f ca="1"/>
        <v>184</v>
      </c>
      <c r="I32" s="161">
        <f ca="1"/>
        <v>0.51111111111111107</v>
      </c>
      <c r="J32" s="160">
        <f ca="1"/>
        <v>42789</v>
      </c>
      <c r="K32" s="170">
        <f ca="1"/>
        <v>1000000</v>
      </c>
      <c r="L32" s="132">
        <f ca="1"/>
        <v>1</v>
      </c>
      <c r="M32" s="133">
        <f ca="1"/>
        <v>0</v>
      </c>
      <c r="N32" s="170">
        <f ca="1"/>
        <v>-1.4399999999999268E-3</v>
      </c>
      <c r="O32" s="174">
        <f ca="1"/>
        <v>-735.99999999996248</v>
      </c>
      <c r="P32" s="175">
        <f ca="1"/>
        <v>1.003792728970861</v>
      </c>
    </row>
    <row r="33" spans="2:16" x14ac:dyDescent="0.25">
      <c r="B33" s="145" t="s">
        <v>245</v>
      </c>
      <c r="C33" s="136" t="s">
        <v>2</v>
      </c>
      <c r="E33" s="159">
        <f ca="1"/>
        <v>42789</v>
      </c>
      <c r="F33" s="160">
        <f ca="1"/>
        <v>42789</v>
      </c>
      <c r="G33" s="160">
        <f ca="1"/>
        <v>42970</v>
      </c>
      <c r="H33" s="131">
        <f ca="1"/>
        <v>181</v>
      </c>
      <c r="I33" s="161">
        <f ca="1"/>
        <v>0.50277777777777777</v>
      </c>
      <c r="J33" s="160">
        <f ca="1"/>
        <v>42970</v>
      </c>
      <c r="K33" s="170">
        <f ca="1"/>
        <v>1000000</v>
      </c>
      <c r="L33" s="132">
        <f ca="1"/>
        <v>1</v>
      </c>
      <c r="M33" s="133">
        <f ca="1"/>
        <v>0</v>
      </c>
      <c r="N33" s="170">
        <f ca="1"/>
        <v>-1.4100000000001171E-3</v>
      </c>
      <c r="O33" s="174">
        <f ca="1"/>
        <v>-708.91666666672552</v>
      </c>
      <c r="P33" s="175">
        <f ca="1"/>
        <v>1.005811432963559</v>
      </c>
    </row>
    <row r="34" spans="2:16" x14ac:dyDescent="0.25">
      <c r="B34" s="145" t="s">
        <v>246</v>
      </c>
      <c r="C34" s="136" t="s">
        <v>22</v>
      </c>
      <c r="E34" s="159">
        <f ca="1"/>
        <v>42970</v>
      </c>
      <c r="F34" s="160">
        <f ca="1"/>
        <v>42970</v>
      </c>
      <c r="G34" s="160">
        <f ca="1"/>
        <v>43154</v>
      </c>
      <c r="H34" s="131">
        <f ca="1"/>
        <v>184</v>
      </c>
      <c r="I34" s="161">
        <f ca="1"/>
        <v>0.51111111111111107</v>
      </c>
      <c r="J34" s="160">
        <f ca="1"/>
        <v>43154</v>
      </c>
      <c r="K34" s="170">
        <f ca="1"/>
        <v>1000000</v>
      </c>
      <c r="L34" s="132">
        <f ca="1"/>
        <v>1</v>
      </c>
      <c r="M34" s="133">
        <f ca="1"/>
        <v>0</v>
      </c>
      <c r="N34" s="170">
        <f ca="1"/>
        <v>-1.0873236603462808E-3</v>
      </c>
      <c r="O34" s="174">
        <f ca="1"/>
        <v>-555.74320417698789</v>
      </c>
      <c r="P34" s="175">
        <f ca="1"/>
        <v>1.0077262645077036</v>
      </c>
    </row>
    <row r="35" spans="2:16" x14ac:dyDescent="0.25">
      <c r="B35" s="145" t="s">
        <v>247</v>
      </c>
      <c r="C35" s="136" t="s">
        <v>2</v>
      </c>
      <c r="E35" s="159">
        <f ca="1"/>
        <v>43154</v>
      </c>
      <c r="F35" s="160">
        <f ca="1"/>
        <v>43154</v>
      </c>
      <c r="G35" s="160">
        <f ca="1"/>
        <v>43335</v>
      </c>
      <c r="H35" s="131">
        <f ca="1"/>
        <v>181</v>
      </c>
      <c r="I35" s="161">
        <f ca="1"/>
        <v>0.50277777777777777</v>
      </c>
      <c r="J35" s="160">
        <f ca="1"/>
        <v>43335</v>
      </c>
      <c r="K35" s="170">
        <f ca="1"/>
        <v>1000000</v>
      </c>
      <c r="L35" s="132">
        <f ca="1"/>
        <v>1</v>
      </c>
      <c r="M35" s="133">
        <f ca="1"/>
        <v>0</v>
      </c>
      <c r="N35" s="170">
        <f ca="1"/>
        <v>-4.317703961538789E-4</v>
      </c>
      <c r="O35" s="174">
        <f ca="1"/>
        <v>-217.084560288478</v>
      </c>
      <c r="P35" s="175">
        <f ca="1"/>
        <v>1.0092884870790937</v>
      </c>
    </row>
    <row r="36" spans="2:16" x14ac:dyDescent="0.25">
      <c r="B36" s="145" t="s">
        <v>248</v>
      </c>
      <c r="C36" s="136" t="s">
        <v>22</v>
      </c>
      <c r="E36" s="159">
        <f ca="1"/>
        <v>43335</v>
      </c>
      <c r="F36" s="160">
        <f ca="1"/>
        <v>43335</v>
      </c>
      <c r="G36" s="160">
        <f ca="1"/>
        <v>43521</v>
      </c>
      <c r="H36" s="131">
        <f ca="1"/>
        <v>186</v>
      </c>
      <c r="I36" s="161">
        <f ca="1"/>
        <v>0.51666666666666672</v>
      </c>
      <c r="J36" s="160">
        <f ca="1"/>
        <v>43521</v>
      </c>
      <c r="K36" s="170">
        <f ca="1"/>
        <v>1000000</v>
      </c>
      <c r="L36" s="132">
        <f ca="1"/>
        <v>1</v>
      </c>
      <c r="M36" s="133">
        <f ca="1"/>
        <v>0</v>
      </c>
      <c r="N36" s="170">
        <f ca="1"/>
        <v>4.9873634542929438E-4</v>
      </c>
      <c r="O36" s="174">
        <f ca="1"/>
        <v>257.68044513846877</v>
      </c>
      <c r="P36" s="175">
        <f ca="1"/>
        <v>1.0104951635838813</v>
      </c>
    </row>
    <row r="37" spans="2:16" x14ac:dyDescent="0.25">
      <c r="B37" s="145" t="s">
        <v>249</v>
      </c>
      <c r="C37" s="136" t="s">
        <v>2</v>
      </c>
      <c r="E37" s="159">
        <f ca="1"/>
        <v>43521</v>
      </c>
      <c r="F37" s="160">
        <f ca="1"/>
        <v>43521</v>
      </c>
      <c r="G37" s="160">
        <f ca="1"/>
        <v>43700</v>
      </c>
      <c r="H37" s="131">
        <f ca="1"/>
        <v>179</v>
      </c>
      <c r="I37" s="161">
        <f ca="1"/>
        <v>0.49722222222222223</v>
      </c>
      <c r="J37" s="160">
        <f ca="1"/>
        <v>43700</v>
      </c>
      <c r="K37" s="170">
        <f ca="1"/>
        <v>1000000</v>
      </c>
      <c r="L37" s="132">
        <f ca="1"/>
        <v>1</v>
      </c>
      <c r="M37" s="133">
        <f ca="1"/>
        <v>0</v>
      </c>
      <c r="N37" s="170">
        <f ca="1"/>
        <v>1.6456521865179452E-3</v>
      </c>
      <c r="O37" s="174">
        <f ca="1"/>
        <v>818.25483718531166</v>
      </c>
      <c r="P37" s="175">
        <f ca="1"/>
        <v>1.0110954031652493</v>
      </c>
    </row>
    <row r="38" spans="2:16" x14ac:dyDescent="0.25">
      <c r="B38" s="145" t="s">
        <v>221</v>
      </c>
      <c r="C38" s="138"/>
      <c r="E38" s="159">
        <f ca="1"/>
        <v>43700</v>
      </c>
      <c r="F38" s="160">
        <f ca="1"/>
        <v>43700</v>
      </c>
      <c r="G38" s="160">
        <f ca="1"/>
        <v>43885</v>
      </c>
      <c r="H38" s="131">
        <f ca="1"/>
        <v>185</v>
      </c>
      <c r="I38" s="161">
        <f ca="1"/>
        <v>0.51388888888888884</v>
      </c>
      <c r="J38" s="160">
        <f ca="1"/>
        <v>43885</v>
      </c>
      <c r="K38" s="170">
        <f ca="1"/>
        <v>1000000</v>
      </c>
      <c r="L38" s="132">
        <f ca="1"/>
        <v>1</v>
      </c>
      <c r="M38" s="133">
        <f ca="1"/>
        <v>0</v>
      </c>
      <c r="N38" s="170">
        <f ca="1"/>
        <v>2.8558205870290497E-3</v>
      </c>
      <c r="O38" s="174">
        <f ca="1"/>
        <v>1467.5744683343728</v>
      </c>
      <c r="P38" s="175">
        <f ca="1"/>
        <v>1.0110770831656557</v>
      </c>
    </row>
    <row r="39" spans="2:16" x14ac:dyDescent="0.25">
      <c r="B39" s="145" t="s">
        <v>222</v>
      </c>
      <c r="C39" s="138"/>
      <c r="E39" s="178">
        <f ca="1"/>
        <v>43885</v>
      </c>
      <c r="F39" s="179">
        <f ca="1"/>
        <v>43885</v>
      </c>
      <c r="G39" s="179">
        <f ca="1"/>
        <v>44067</v>
      </c>
      <c r="H39" s="119">
        <f ca="1"/>
        <v>182</v>
      </c>
      <c r="I39" s="161">
        <f ca="1"/>
        <v>0.50555555555555554</v>
      </c>
      <c r="J39" s="179">
        <f ca="1"/>
        <v>44067</v>
      </c>
      <c r="K39" s="180">
        <f ca="1"/>
        <v>1000000</v>
      </c>
      <c r="L39" s="120">
        <f ca="1"/>
        <v>1</v>
      </c>
      <c r="M39" s="181">
        <f ca="1"/>
        <v>0</v>
      </c>
      <c r="N39" s="180">
        <f ca="1"/>
        <v>4.2542057677700329E-3</v>
      </c>
      <c r="O39" s="182">
        <f ca="1"/>
        <v>2150.7373603726278</v>
      </c>
      <c r="P39" s="183">
        <f ca="1"/>
        <v>1.0103820392162333</v>
      </c>
    </row>
    <row r="40" spans="2:16" x14ac:dyDescent="0.25">
      <c r="B40" s="145" t="s">
        <v>223</v>
      </c>
      <c r="C40" s="139">
        <f ca="1">IF(C$12="","",DAY(C$12))</f>
        <v>23</v>
      </c>
      <c r="E40" s="178">
        <f ca="1"/>
        <v>44067</v>
      </c>
      <c r="F40" s="179">
        <f ca="1"/>
        <v>44067</v>
      </c>
      <c r="G40" s="179">
        <f ca="1"/>
        <v>44250</v>
      </c>
      <c r="H40" s="119">
        <f ca="1"/>
        <v>183</v>
      </c>
      <c r="I40" s="161">
        <f ca="1"/>
        <v>0.5083333333333333</v>
      </c>
      <c r="J40" s="179">
        <f ca="1"/>
        <v>44250</v>
      </c>
      <c r="K40" s="180">
        <f ca="1"/>
        <v>1000000</v>
      </c>
      <c r="L40" s="120">
        <f ca="1"/>
        <v>1</v>
      </c>
      <c r="M40" s="181">
        <f ca="1"/>
        <v>0</v>
      </c>
      <c r="N40" s="180">
        <f ca="1"/>
        <v>5.535014984825188E-3</v>
      </c>
      <c r="O40" s="182">
        <f ca="1"/>
        <v>2813.6326172861368</v>
      </c>
      <c r="P40" s="183">
        <f ca="1"/>
        <v>1.0089985069172667</v>
      </c>
    </row>
    <row r="41" spans="2:16" x14ac:dyDescent="0.25">
      <c r="B41" s="145" t="s">
        <v>224</v>
      </c>
      <c r="C41" s="140" t="s">
        <v>195</v>
      </c>
      <c r="E41" s="178" t="e">
        <f ca="1"/>
        <v>#N/A</v>
      </c>
      <c r="F41" s="179" t="e">
        <f ca="1"/>
        <v>#N/A</v>
      </c>
      <c r="G41" s="179" t="e">
        <f ca="1"/>
        <v>#N/A</v>
      </c>
      <c r="H41" s="119" t="e">
        <f ca="1"/>
        <v>#N/A</v>
      </c>
      <c r="I41" s="161" t="e">
        <f ca="1"/>
        <v>#N/A</v>
      </c>
      <c r="J41" s="179" t="e">
        <f ca="1"/>
        <v>#N/A</v>
      </c>
      <c r="K41" s="180" t="e">
        <f ca="1"/>
        <v>#N/A</v>
      </c>
      <c r="L41" s="120" t="e">
        <f ca="1"/>
        <v>#N/A</v>
      </c>
      <c r="M41" s="181" t="e">
        <f ca="1"/>
        <v>#N/A</v>
      </c>
      <c r="N41" s="180" t="e">
        <f ca="1"/>
        <v>#N/A</v>
      </c>
      <c r="O41" s="182" t="e">
        <f ca="1"/>
        <v>#N/A</v>
      </c>
      <c r="P41" s="183" t="e">
        <f ca="1"/>
        <v>#N/A</v>
      </c>
    </row>
    <row r="42" spans="2:16" x14ac:dyDescent="0.25">
      <c r="B42" s="145" t="s">
        <v>211</v>
      </c>
      <c r="C42" s="135" t="s">
        <v>37</v>
      </c>
      <c r="E42" s="178" t="e">
        <f ca="1"/>
        <v>#N/A</v>
      </c>
      <c r="F42" s="179" t="e">
        <f ca="1"/>
        <v>#N/A</v>
      </c>
      <c r="G42" s="179" t="e">
        <f ca="1"/>
        <v>#N/A</v>
      </c>
      <c r="H42" s="119" t="e">
        <f ca="1"/>
        <v>#N/A</v>
      </c>
      <c r="I42" s="161" t="e">
        <f ca="1"/>
        <v>#N/A</v>
      </c>
      <c r="J42" s="179" t="e">
        <f ca="1"/>
        <v>#N/A</v>
      </c>
      <c r="K42" s="180" t="e">
        <f ca="1"/>
        <v>#N/A</v>
      </c>
      <c r="L42" s="120" t="e">
        <f ca="1"/>
        <v>#N/A</v>
      </c>
      <c r="M42" s="181" t="e">
        <f ca="1"/>
        <v>#N/A</v>
      </c>
      <c r="N42" s="180" t="e">
        <f ca="1"/>
        <v>#N/A</v>
      </c>
      <c r="O42" s="182" t="e">
        <f ca="1"/>
        <v>#N/A</v>
      </c>
      <c r="P42" s="183" t="e">
        <f ca="1"/>
        <v>#N/A</v>
      </c>
    </row>
    <row r="43" spans="2:16" x14ac:dyDescent="0.25">
      <c r="B43" s="145" t="s">
        <v>225</v>
      </c>
      <c r="C43" s="141"/>
      <c r="E43" s="178" t="e">
        <f ca="1"/>
        <v>#N/A</v>
      </c>
      <c r="F43" s="179" t="e">
        <f ca="1"/>
        <v>#N/A</v>
      </c>
      <c r="G43" s="179" t="e">
        <f ca="1"/>
        <v>#N/A</v>
      </c>
      <c r="H43" s="119" t="e">
        <f ca="1"/>
        <v>#N/A</v>
      </c>
      <c r="I43" s="161" t="e">
        <f ca="1"/>
        <v>#N/A</v>
      </c>
      <c r="J43" s="179" t="e">
        <f ca="1"/>
        <v>#N/A</v>
      </c>
      <c r="K43" s="180" t="e">
        <f ca="1"/>
        <v>#N/A</v>
      </c>
      <c r="L43" s="120" t="e">
        <f ca="1"/>
        <v>#N/A</v>
      </c>
      <c r="M43" s="181" t="e">
        <f ca="1"/>
        <v>#N/A</v>
      </c>
      <c r="N43" s="180" t="e">
        <f ca="1"/>
        <v>#N/A</v>
      </c>
      <c r="O43" s="182" t="e">
        <f ca="1"/>
        <v>#N/A</v>
      </c>
      <c r="P43" s="183" t="e">
        <f ca="1"/>
        <v>#N/A</v>
      </c>
    </row>
    <row r="44" spans="2:16" x14ac:dyDescent="0.25">
      <c r="B44" s="145" t="s">
        <v>226</v>
      </c>
      <c r="C44" s="140" t="s">
        <v>195</v>
      </c>
      <c r="E44" s="178" t="e">
        <f ca="1"/>
        <v>#N/A</v>
      </c>
      <c r="F44" s="179" t="e">
        <f ca="1"/>
        <v>#N/A</v>
      </c>
      <c r="G44" s="179" t="e">
        <f ca="1"/>
        <v>#N/A</v>
      </c>
      <c r="H44" s="119" t="e">
        <f ca="1"/>
        <v>#N/A</v>
      </c>
      <c r="I44" s="161" t="e">
        <f ca="1"/>
        <v>#N/A</v>
      </c>
      <c r="J44" s="179" t="e">
        <f ca="1"/>
        <v>#N/A</v>
      </c>
      <c r="K44" s="180" t="e">
        <f ca="1"/>
        <v>#N/A</v>
      </c>
      <c r="L44" s="120" t="e">
        <f ca="1"/>
        <v>#N/A</v>
      </c>
      <c r="M44" s="181" t="e">
        <f ca="1"/>
        <v>#N/A</v>
      </c>
      <c r="N44" s="180" t="e">
        <f ca="1"/>
        <v>#N/A</v>
      </c>
      <c r="O44" s="182" t="e">
        <f ca="1"/>
        <v>#N/A</v>
      </c>
      <c r="P44" s="183" t="e">
        <f ca="1"/>
        <v>#N/A</v>
      </c>
    </row>
    <row r="45" spans="2:16" x14ac:dyDescent="0.25">
      <c r="B45" s="147" t="s">
        <v>227</v>
      </c>
      <c r="C45" s="149" t="s">
        <v>196</v>
      </c>
      <c r="E45" s="184" t="e">
        <f ca="1"/>
        <v>#N/A</v>
      </c>
      <c r="F45" s="185" t="e">
        <f ca="1"/>
        <v>#N/A</v>
      </c>
      <c r="G45" s="185" t="e">
        <f ca="1"/>
        <v>#N/A</v>
      </c>
      <c r="H45" s="186" t="e">
        <f ca="1"/>
        <v>#N/A</v>
      </c>
      <c r="I45" s="162" t="e">
        <f ca="1"/>
        <v>#N/A</v>
      </c>
      <c r="J45" s="185" t="e">
        <f ca="1"/>
        <v>#N/A</v>
      </c>
      <c r="K45" s="187" t="e">
        <f ca="1"/>
        <v>#N/A</v>
      </c>
      <c r="L45" s="188" t="e">
        <f ca="1"/>
        <v>#N/A</v>
      </c>
      <c r="M45" s="189" t="e">
        <f ca="1"/>
        <v>#N/A</v>
      </c>
      <c r="N45" s="187" t="e">
        <f ca="1"/>
        <v>#N/A</v>
      </c>
      <c r="O45" s="190" t="e">
        <f ca="1"/>
        <v>#N/A</v>
      </c>
      <c r="P45" s="191" t="e">
        <f ca="1"/>
        <v>#N/A</v>
      </c>
    </row>
    <row r="56" spans="2:3" x14ac:dyDescent="0.25">
      <c r="B56" s="150"/>
      <c r="C56" s="150"/>
    </row>
    <row r="57" spans="2:3" x14ac:dyDescent="0.25">
      <c r="B57" s="150"/>
      <c r="C57" s="150"/>
    </row>
    <row r="58" spans="2:3" x14ac:dyDescent="0.25">
      <c r="B58" s="150"/>
      <c r="C58" s="150"/>
    </row>
    <row r="59" spans="2:3" x14ac:dyDescent="0.25">
      <c r="B59" s="150"/>
      <c r="C59" s="150"/>
    </row>
    <row r="60" spans="2:3" x14ac:dyDescent="0.25">
      <c r="B60" s="150"/>
      <c r="C60" s="150"/>
    </row>
  </sheetData>
  <dataValidations count="6">
    <dataValidation type="list" allowBlank="1" showInputMessage="1" showErrorMessage="1" sqref="C32 C20 C22 C34 C36">
      <formula1>"MOD_FOLLOWING,FOLLOWING,MOD_PRECEDING,PRECEDING,NO_CHANGE"</formula1>
    </dataValidation>
    <dataValidation type="list" allowBlank="1" showInputMessage="1" showErrorMessage="1" sqref="C17 C29">
      <formula1>"Annual,Semi-Annual,Quarterly,Monthly"</formula1>
    </dataValidation>
    <dataValidation type="list" allowBlank="1" showInputMessage="1" showErrorMessage="1" sqref="C19 C31">
      <formula1>"30/360,ACT/360,ACT/365"</formula1>
    </dataValidation>
    <dataValidation type="list" allowBlank="1" showInputMessage="1" showErrorMessage="1" sqref="C45 C28">
      <formula1>"None,ShortStart,ShortEnd,LongStart,LongEnd"</formula1>
    </dataValidation>
    <dataValidation type="list" allowBlank="1" showInputMessage="1" showErrorMessage="1" sqref="C23 C21 C33 C35 C37">
      <formula1>"TGT,NYB:LNB,LNB,TKB:LNB"</formula1>
    </dataValidation>
    <dataValidation type="list" allowBlank="1" showInputMessage="1" showErrorMessage="1" sqref="C11">
      <formula1>"PAYER,RECEIVER"</formula1>
    </dataValidation>
  </dataValidation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36</vt:i4>
      </vt:variant>
    </vt:vector>
  </HeadingPairs>
  <TitlesOfParts>
    <vt:vector size="40" baseType="lpstr">
      <vt:lpstr>EUR OIS</vt:lpstr>
      <vt:lpstr>EUR SWAP 6ML</vt:lpstr>
      <vt:lpstr>EUR BASIS 3ML</vt:lpstr>
      <vt:lpstr>Swap Pricing</vt:lpstr>
      <vt:lpstr>COB</vt:lpstr>
      <vt:lpstr>Curve.BuildProperties</vt:lpstr>
      <vt:lpstr>Curve.CollectionName</vt:lpstr>
      <vt:lpstr>Curve.MarketDataTable</vt:lpstr>
      <vt:lpstr>Curve.OISIndexName</vt:lpstr>
      <vt:lpstr>FRA.Conventions</vt:lpstr>
      <vt:lpstr>FRA.MarketDataX3</vt:lpstr>
      <vt:lpstr>FRA.MarketDataX6</vt:lpstr>
      <vt:lpstr>Futures.Conventions</vt:lpstr>
      <vt:lpstr>Futures.MarketData</vt:lpstr>
      <vt:lpstr>isEUR3MLLoaded</vt:lpstr>
      <vt:lpstr>isEUR6MLLoaded</vt:lpstr>
      <vt:lpstr>isEUROISLoaded</vt:lpstr>
      <vt:lpstr>Libor.Conventions</vt:lpstr>
      <vt:lpstr>Libor.MarketData</vt:lpstr>
      <vt:lpstr>LiborOISBasis.Conventions</vt:lpstr>
      <vt:lpstr>LiborOISBasis.MarketData</vt:lpstr>
      <vt:lpstr>LiborSwap.Conventions</vt:lpstr>
      <vt:lpstr>LiborSwap.MarketData</vt:lpstr>
      <vt:lpstr>MoneyMarket.Conventions</vt:lpstr>
      <vt:lpstr>OIS.Conventions</vt:lpstr>
      <vt:lpstr>OIS.FixingTable</vt:lpstr>
      <vt:lpstr>OIS.MarketData</vt:lpstr>
      <vt:lpstr>STDCurve.Buildproperties</vt:lpstr>
      <vt:lpstr>STDCurve.CollectionName</vt:lpstr>
      <vt:lpstr>STDCurve.IndexName</vt:lpstr>
      <vt:lpstr>STDCurve.StaticDataTable</vt:lpstr>
      <vt:lpstr>Swap.Conventions</vt:lpstr>
      <vt:lpstr>Swap.MarketData</vt:lpstr>
      <vt:lpstr>SwapDescription</vt:lpstr>
      <vt:lpstr>TenorBasisCurve3M6M.BuildProperties</vt:lpstr>
      <vt:lpstr>TenorBasisCurve3M6M.CollectionName</vt:lpstr>
      <vt:lpstr>TenorBasisCurve3M6M.IndexName</vt:lpstr>
      <vt:lpstr>TenorBasisCurve3M6M.StaticDataTable</vt:lpstr>
      <vt:lpstr>TenorBasisSwap3M6M.Conventions</vt:lpstr>
      <vt:lpstr>TenorBasisSwap3M6M.MarketData</vt:lpstr>
    </vt:vector>
  </TitlesOfParts>
  <Company>Mizuho International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Nicholas Burgess</dc:creator>
  <cp:lastModifiedBy>Nicholas Burgess</cp:lastModifiedBy>
  <dcterms:created xsi:type="dcterms:W3CDTF">2016-03-11T11:47:18Z</dcterms:created>
  <dcterms:modified xsi:type="dcterms:W3CDTF">2016-10-10T14:18:21Z</dcterms:modified>
</cp:coreProperties>
</file>