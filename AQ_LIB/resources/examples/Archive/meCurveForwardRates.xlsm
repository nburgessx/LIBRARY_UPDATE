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 activeTab="6"/>
  </bookViews>
  <sheets>
    <sheet name="USD OIS" sheetId="9" r:id="rId1"/>
    <sheet name="USD SWAP 3ML" sheetId="17" r:id="rId2"/>
    <sheet name="EUR OIS" sheetId="2" r:id="rId3"/>
    <sheet name="EUR SWAP 6ML" sheetId="3" r:id="rId4"/>
    <sheet name="EUR BASIS 3ML" sheetId="4" r:id="rId5"/>
    <sheet name="EUR XCCY BASIS" sheetId="8" r:id="rId6"/>
    <sheet name="meCurveForwardRates" sheetId="16" r:id="rId7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5">'EUR XCCY BASIS'!$D$20:$E$25</definedName>
    <definedName name="CurveBuildProperties" localSheetId="0">'USD OIS'!$C$20:$D$24</definedName>
    <definedName name="CurveBuildProperties" localSheetId="1">'USD SWAP 3ML'!$C$21:$D$30</definedName>
    <definedName name="CurveCollection" localSheetId="5">'EUR XCCY BASIS'!$E$11</definedName>
    <definedName name="CurveCollection" localSheetId="0">'USD OIS'!$D$11</definedName>
    <definedName name="CurveCollection" localSheetId="1">'USD SWAP 3ML'!$D$12</definedName>
    <definedName name="FRA.Conventions">'EUR SWAP 6ML'!$C$50:$D$63</definedName>
    <definedName name="FRA.MarketDataX3">'EUR SWAP 6ML'!$F$51:$G$63</definedName>
    <definedName name="FRA.MarketDataX6">'EUR SWAP 6ML'!$I$51:$J$63</definedName>
    <definedName name="FRAConventions" localSheetId="1">'USD SWAP 3ML'!$C$50:$D$63</definedName>
    <definedName name="FRAMarketData3M" localSheetId="1">'USD SWAP 3ML'!$F$51:$G$63</definedName>
    <definedName name="FRAMarketData6M" localSheetId="1">'USD SWAP 3ML'!$I$51:$J$63</definedName>
    <definedName name="Futures.Conventions">'EUR SWAP 6ML'!$C$71:$D$84</definedName>
    <definedName name="Futures.MarketData">'EUR SWAP 6ML'!$F$72:$J$84</definedName>
    <definedName name="FuturesConventions" localSheetId="1">'USD SWAP 3ML'!$C$71:$D$84</definedName>
    <definedName name="FuturesMarketData" localSheetId="1">'USD SWAP 3ML'!$F$72:$J$84</definedName>
    <definedName name="IndexName" localSheetId="5">'EUR XCCY BASIS'!$E$13</definedName>
    <definedName name="IndexName" localSheetId="0">'USD OIS'!$D$13</definedName>
    <definedName name="IndexName" localSheetId="1">'USD SWAP 3ML'!$D$14</definedName>
    <definedName name="isEUR3MLLoaded">'EUR BASIS 3ML'!$D$8</definedName>
    <definedName name="isEUR6MLLoaded">'EUR SWAP 6ML'!$D$8</definedName>
    <definedName name="isEUROISLoaded">'EUR OIS'!$D$8</definedName>
    <definedName name="isEURXCCYLoaded">'EUR XCCY BASIS'!$E$8</definedName>
    <definedName name="isUSDOISLoaded">'USD OIS'!$D$8</definedName>
    <definedName name="Libor.Conventions">'EUR SWAP 6ML'!$F$37:$G$42</definedName>
    <definedName name="Libor.MarketData">'EUR SWAP 6ML'!$I$38:$J$42</definedName>
    <definedName name="LiborConventions" localSheetId="1">'USD SWAP 3ML'!$F$37:$G$42</definedName>
    <definedName name="LiborMarketData" localSheetId="1">'USD SWAP 3ML'!$I$38:$J$42</definedName>
    <definedName name="LiborOISBasis.Conventions">'EUR OIS'!$C$64:$D$89</definedName>
    <definedName name="LiborOISBasis.MarketData">'EUR OIS'!$F$65:$G$89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MoneyMarket.Conventions">'EUR SWAP 6ML'!$C$37:$D$42</definedName>
    <definedName name="MoneyMarketConventions" localSheetId="1">'USD SWAP 3ML'!$C$37:$D$42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5">'EUR XCCY BASIS'!$E$12</definedName>
    <definedName name="StaticDataTable" localSheetId="0">'USD OIS'!$D$12</definedName>
    <definedName name="StaticDataTable" localSheetId="1">'USD SWAP 3ML'!$D$13</definedName>
    <definedName name="STDCurve.Buildproperties">'EUR SWAP 6ML'!$C$21:$D$30</definedName>
    <definedName name="STDCurve.CollectionName">'EUR SWAP 6ML'!$D$12</definedName>
    <definedName name="STDCurve.IndexName">'EUR SWAP 6ML'!$D$14</definedName>
    <definedName name="STDCurve.StaticDataTable">'EUR SWAP 6ML'!$D$13</definedName>
    <definedName name="Swap.Conventions">'EUR SWAP 6ML'!$C$92:$D$110</definedName>
    <definedName name="Swap.MarketData">'EUR SWAP 6ML'!$F$93:$H$110</definedName>
    <definedName name="SwapConventions" localSheetId="1">'USD SWAP 3ML'!$C$92:$D$110</definedName>
    <definedName name="SwapMarketData" localSheetId="1">'USD SWAP 3ML'!$F$93:$H$110</definedName>
    <definedName name="TenorBasisCurve3M6M.BuildProperties">'EUR BASIS 3ML'!$C$21:$D$27</definedName>
    <definedName name="TenorBasisCurve3M6M.CollectionName">'EUR BASIS 3ML'!$D$12</definedName>
    <definedName name="TenorBasisCurve3M6M.IndexName">'EUR BASIS 3ML'!$D$14</definedName>
    <definedName name="TenorBasisCurve3M6M.StaticDataTable">'EUR BASIS 3ML'!$D$13</definedName>
    <definedName name="TenorBasisSwap3M6M.Conventions">'EUR BASIS 3ML'!$C$34:$D$76</definedName>
    <definedName name="TenorBasisSwap3M6M.MarketData">'EUR BASIS 3ML'!$F$35:$G$76</definedName>
    <definedName name="XccyBasisMarketData" localSheetId="5">'EUR XCCY BASIS'!$G$33:$H$72</definedName>
    <definedName name="XccyBasisSwapConventions" localSheetId="5">'EUR XCCY BASIS'!$D$32:$E$72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P17" i="16" l="1"/>
  <c r="H17" i="16"/>
  <c r="P15" i="16"/>
  <c r="L15" i="16"/>
  <c r="H15" i="16"/>
  <c r="C15" i="16"/>
  <c r="I17" i="16"/>
  <c r="D17" i="16"/>
  <c r="C18" i="16"/>
  <c r="D18" i="16"/>
  <c r="C19" i="16"/>
  <c r="D19" i="16"/>
  <c r="C20" i="16"/>
  <c r="D20" i="16"/>
  <c r="C21" i="16"/>
  <c r="D21" i="16"/>
  <c r="C22" i="16"/>
  <c r="D22" i="16"/>
  <c r="C23" i="16"/>
  <c r="D23" i="16"/>
  <c r="C24" i="16"/>
  <c r="C25" i="16"/>
  <c r="D24" i="16"/>
  <c r="D25" i="16"/>
  <c r="C26" i="16"/>
  <c r="D26" i="16"/>
  <c r="C27" i="16"/>
  <c r="D27" i="16"/>
  <c r="C28" i="16"/>
  <c r="D28" i="16"/>
  <c r="C29" i="16"/>
  <c r="D29" i="16"/>
  <c r="C30" i="16"/>
  <c r="D30" i="16"/>
  <c r="C31" i="16"/>
  <c r="D31" i="16"/>
  <c r="C32" i="16"/>
  <c r="D32" i="16"/>
  <c r="C33" i="16"/>
  <c r="D33" i="16"/>
  <c r="C34" i="16"/>
  <c r="D34" i="16"/>
  <c r="C35" i="16"/>
  <c r="D35" i="16"/>
  <c r="C36" i="16"/>
  <c r="D36" i="16"/>
  <c r="C37" i="16"/>
  <c r="D37" i="16"/>
  <c r="C38" i="16"/>
  <c r="D38" i="16"/>
  <c r="C39" i="16"/>
  <c r="D39" i="16"/>
  <c r="C40" i="16"/>
  <c r="D40" i="16"/>
  <c r="C41" i="16"/>
  <c r="D41" i="16"/>
  <c r="C42" i="16"/>
  <c r="D42" i="16"/>
  <c r="C43" i="16"/>
  <c r="D43" i="16"/>
  <c r="C44" i="16"/>
  <c r="D44" i="16"/>
  <c r="C45" i="16"/>
  <c r="D45" i="16"/>
  <c r="C46" i="16"/>
  <c r="D46" i="16"/>
  <c r="C47" i="16"/>
  <c r="D47" i="16"/>
  <c r="C48" i="16"/>
  <c r="D48" i="16"/>
  <c r="C49" i="16"/>
  <c r="D49" i="16"/>
  <c r="C50" i="16"/>
  <c r="D50" i="16"/>
  <c r="C51" i="16"/>
  <c r="D51" i="16"/>
  <c r="C52" i="16"/>
  <c r="D52" i="16"/>
  <c r="C53" i="16"/>
  <c r="D53" i="16"/>
  <c r="C54" i="16"/>
  <c r="D54" i="16"/>
  <c r="C55" i="16"/>
  <c r="D55" i="16"/>
  <c r="C56" i="16"/>
  <c r="D56" i="16"/>
  <c r="C57" i="16"/>
  <c r="D57" i="16"/>
  <c r="C58" i="16"/>
  <c r="D58" i="16"/>
  <c r="C59" i="16"/>
  <c r="D59" i="16"/>
  <c r="C60" i="16"/>
  <c r="D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D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87" i="16"/>
  <c r="D87" i="16"/>
  <c r="C88" i="16"/>
  <c r="C89" i="16"/>
  <c r="D88" i="16"/>
  <c r="D89" i="16"/>
  <c r="C90" i="16"/>
  <c r="D90" i="16"/>
  <c r="C91" i="16"/>
  <c r="D91" i="16"/>
  <c r="C92" i="16"/>
  <c r="D92" i="16"/>
  <c r="C93" i="16"/>
  <c r="D93" i="16"/>
  <c r="C94" i="16"/>
  <c r="D94" i="16"/>
  <c r="C95" i="16"/>
  <c r="D95" i="16"/>
  <c r="C96" i="16"/>
  <c r="D96" i="16"/>
  <c r="C97" i="16"/>
  <c r="D97" i="16"/>
  <c r="C98" i="16"/>
  <c r="D98" i="16"/>
  <c r="C99" i="16"/>
  <c r="D99" i="16"/>
  <c r="C100" i="16"/>
  <c r="D100" i="16"/>
  <c r="C101" i="16"/>
  <c r="D101" i="16"/>
  <c r="C102" i="16"/>
  <c r="D102" i="16"/>
  <c r="C103" i="16"/>
  <c r="D103" i="16"/>
  <c r="C104" i="16"/>
  <c r="D104" i="16"/>
  <c r="C105" i="16"/>
  <c r="D105" i="16"/>
  <c r="C106" i="16"/>
  <c r="D106" i="16"/>
  <c r="C107" i="16"/>
  <c r="D107" i="16"/>
  <c r="C108" i="16"/>
  <c r="D108" i="16"/>
  <c r="C109" i="16"/>
  <c r="D109" i="16"/>
  <c r="C110" i="16"/>
  <c r="D110" i="16"/>
  <c r="C111" i="16"/>
  <c r="D111" i="16"/>
  <c r="C112" i="16"/>
  <c r="D112" i="16"/>
  <c r="C113" i="16"/>
  <c r="D113" i="16"/>
  <c r="C114" i="16"/>
  <c r="D114" i="16"/>
  <c r="C115" i="16"/>
  <c r="D115" i="16"/>
  <c r="C116" i="16"/>
  <c r="D116" i="16"/>
  <c r="C117" i="16"/>
  <c r="D117" i="16"/>
  <c r="C118" i="16"/>
  <c r="D118" i="16"/>
  <c r="C119" i="16"/>
  <c r="D119" i="16"/>
  <c r="C120" i="16"/>
  <c r="D120" i="16"/>
  <c r="C121" i="16"/>
  <c r="D121" i="16"/>
  <c r="C122" i="16"/>
  <c r="D122" i="16"/>
  <c r="C123" i="16"/>
  <c r="D123" i="16"/>
  <c r="C124" i="16"/>
  <c r="D124" i="16"/>
  <c r="C125" i="16"/>
  <c r="D125" i="16"/>
  <c r="C126" i="16"/>
  <c r="D126" i="16"/>
  <c r="C127" i="16"/>
  <c r="D127" i="16"/>
  <c r="C128" i="16"/>
  <c r="D128" i="16"/>
  <c r="C129" i="16"/>
  <c r="D129" i="16"/>
  <c r="C130" i="16"/>
  <c r="D130" i="16"/>
  <c r="C131" i="16"/>
  <c r="D131" i="16"/>
  <c r="C132" i="16"/>
  <c r="D132" i="16"/>
  <c r="C133" i="16"/>
  <c r="D133" i="16"/>
  <c r="C134" i="16"/>
  <c r="D134" i="16"/>
  <c r="C135" i="16"/>
  <c r="D135" i="16"/>
  <c r="C136" i="16"/>
  <c r="D136" i="16"/>
  <c r="C137" i="16"/>
  <c r="D137" i="16"/>
  <c r="C138" i="16"/>
  <c r="D138" i="16"/>
  <c r="C139" i="16"/>
  <c r="D139" i="16"/>
  <c r="C140" i="16"/>
  <c r="D140" i="16"/>
  <c r="C141" i="16"/>
  <c r="D141" i="16"/>
  <c r="C142" i="16"/>
  <c r="D142" i="16"/>
  <c r="C143" i="16"/>
  <c r="D143" i="16"/>
  <c r="C144" i="16"/>
  <c r="D144" i="16"/>
  <c r="C145" i="16"/>
  <c r="D145" i="16"/>
  <c r="C146" i="16"/>
  <c r="D146" i="16"/>
  <c r="C147" i="16"/>
  <c r="D147" i="16"/>
  <c r="C148" i="16"/>
  <c r="D148" i="16"/>
  <c r="C149" i="16"/>
  <c r="D149" i="16"/>
  <c r="C150" i="16"/>
  <c r="D150" i="16"/>
  <c r="C151" i="16"/>
  <c r="D151" i="16"/>
  <c r="C152" i="16"/>
  <c r="D152" i="16"/>
  <c r="C153" i="16"/>
  <c r="D153" i="16"/>
  <c r="C154" i="16"/>
  <c r="D154" i="16"/>
  <c r="C155" i="16"/>
  <c r="D155" i="16"/>
  <c r="C156" i="16"/>
  <c r="D156" i="16"/>
  <c r="C157" i="16"/>
  <c r="D157" i="16"/>
  <c r="C158" i="16"/>
  <c r="D158" i="16"/>
  <c r="C159" i="16"/>
  <c r="D159" i="16"/>
  <c r="C160" i="16"/>
  <c r="D160" i="16"/>
  <c r="C161" i="16"/>
  <c r="D161" i="16"/>
  <c r="C162" i="16"/>
  <c r="D162" i="16"/>
  <c r="C163" i="16"/>
  <c r="D163" i="16"/>
  <c r="C164" i="16"/>
  <c r="D164" i="16"/>
  <c r="C165" i="16"/>
  <c r="D165" i="16"/>
  <c r="C166" i="16"/>
  <c r="D166" i="16"/>
  <c r="C167" i="16"/>
  <c r="D167" i="16"/>
  <c r="C168" i="16"/>
  <c r="D168" i="16"/>
  <c r="C169" i="16"/>
  <c r="D169" i="16"/>
  <c r="C170" i="16"/>
  <c r="D170" i="16"/>
  <c r="C171" i="16"/>
  <c r="D171" i="16"/>
  <c r="C172" i="16"/>
  <c r="D172" i="16"/>
  <c r="C173" i="16"/>
  <c r="D173" i="16"/>
  <c r="C174" i="16"/>
  <c r="D174" i="16"/>
  <c r="C175" i="16"/>
  <c r="D175" i="16"/>
  <c r="C176" i="16"/>
  <c r="D176" i="16"/>
  <c r="C177" i="16"/>
  <c r="D177" i="16"/>
  <c r="C178" i="16"/>
  <c r="D178" i="16"/>
  <c r="C179" i="16"/>
  <c r="D179" i="16"/>
  <c r="C180" i="16"/>
  <c r="D180" i="16"/>
  <c r="C181" i="16"/>
  <c r="D181" i="16"/>
  <c r="C182" i="16"/>
  <c r="D182" i="16"/>
  <c r="C183" i="16"/>
  <c r="D183" i="16"/>
  <c r="C184" i="16"/>
  <c r="C185" i="16"/>
  <c r="D184" i="16"/>
  <c r="D185" i="16"/>
  <c r="C186" i="16"/>
  <c r="D186" i="16"/>
  <c r="C187" i="16"/>
  <c r="D187" i="16"/>
  <c r="C188" i="16"/>
  <c r="D188" i="16"/>
  <c r="C189" i="16"/>
  <c r="D189" i="16"/>
  <c r="C190" i="16"/>
  <c r="D190" i="16"/>
  <c r="C191" i="16"/>
  <c r="D191" i="16"/>
  <c r="C192" i="16"/>
  <c r="D192" i="16"/>
  <c r="C193" i="16"/>
  <c r="D193" i="16"/>
  <c r="C194" i="16"/>
  <c r="D194" i="16"/>
  <c r="C195" i="16"/>
  <c r="D195" i="16"/>
  <c r="C196" i="16"/>
  <c r="D196" i="16"/>
  <c r="C197" i="16"/>
  <c r="D197" i="16"/>
  <c r="C198" i="16"/>
  <c r="D198" i="16"/>
  <c r="C199" i="16"/>
  <c r="D199" i="16"/>
  <c r="C200" i="16"/>
  <c r="D200" i="16"/>
  <c r="C201" i="16"/>
  <c r="D201" i="16"/>
  <c r="C202" i="16"/>
  <c r="D202" i="16"/>
  <c r="C203" i="16"/>
  <c r="D203" i="16"/>
  <c r="C204" i="16"/>
  <c r="D204" i="16"/>
  <c r="C205" i="16"/>
  <c r="D205" i="16"/>
  <c r="C206" i="16"/>
  <c r="D206" i="16"/>
  <c r="C207" i="16"/>
  <c r="D207" i="16"/>
  <c r="C208" i="16"/>
  <c r="D208" i="16"/>
  <c r="C209" i="16"/>
  <c r="D209" i="16"/>
  <c r="C210" i="16"/>
  <c r="D210" i="16"/>
  <c r="C211" i="16"/>
  <c r="D211" i="16"/>
  <c r="C212" i="16"/>
  <c r="D212" i="16"/>
  <c r="C213" i="16"/>
  <c r="D213" i="16"/>
  <c r="C214" i="16"/>
  <c r="D214" i="16"/>
  <c r="C215" i="16"/>
  <c r="D215" i="16"/>
  <c r="C216" i="16"/>
  <c r="D216" i="16"/>
  <c r="C217" i="16"/>
  <c r="D217" i="16"/>
  <c r="C218" i="16"/>
  <c r="D218" i="16"/>
  <c r="C219" i="16"/>
  <c r="D219" i="16"/>
  <c r="C220" i="16"/>
  <c r="D220" i="16"/>
  <c r="C221" i="16"/>
  <c r="D221" i="16"/>
  <c r="C222" i="16"/>
  <c r="D222" i="16"/>
  <c r="C223" i="16"/>
  <c r="D223" i="16"/>
  <c r="C224" i="16"/>
  <c r="D224" i="16"/>
  <c r="C225" i="16"/>
  <c r="D225" i="16"/>
  <c r="C226" i="16"/>
  <c r="D226" i="16"/>
  <c r="C227" i="16"/>
  <c r="D227" i="16"/>
  <c r="C228" i="16"/>
  <c r="D228" i="16"/>
  <c r="C229" i="16"/>
  <c r="D229" i="16"/>
  <c r="C230" i="16"/>
  <c r="D230" i="16"/>
  <c r="C231" i="16"/>
  <c r="D231" i="16"/>
  <c r="C232" i="16"/>
  <c r="C233" i="16"/>
  <c r="D232" i="16"/>
  <c r="D233" i="16"/>
  <c r="C234" i="16"/>
  <c r="D234" i="16"/>
  <c r="C235" i="16"/>
  <c r="D235" i="16"/>
  <c r="C236" i="16"/>
  <c r="D236" i="16"/>
  <c r="C237" i="16"/>
  <c r="D237" i="16"/>
  <c r="C238" i="16"/>
  <c r="D238" i="16"/>
  <c r="C239" i="16"/>
  <c r="D239" i="16"/>
  <c r="C240" i="16"/>
  <c r="D240" i="16"/>
  <c r="C241" i="16"/>
  <c r="D241" i="16"/>
  <c r="C242" i="16"/>
  <c r="D242" i="16"/>
  <c r="C243" i="16"/>
  <c r="D243" i="16"/>
  <c r="C244" i="16"/>
  <c r="D244" i="16"/>
  <c r="C245" i="16"/>
  <c r="D245" i="16"/>
  <c r="C246" i="16"/>
  <c r="D246" i="16"/>
  <c r="C247" i="16"/>
  <c r="D247" i="16"/>
  <c r="C248" i="16"/>
  <c r="D248" i="16"/>
  <c r="C249" i="16"/>
  <c r="D249" i="16"/>
  <c r="C250" i="16"/>
  <c r="D250" i="16"/>
  <c r="C251" i="16"/>
  <c r="D251" i="16"/>
  <c r="C252" i="16"/>
  <c r="D252" i="16"/>
  <c r="C253" i="16"/>
  <c r="D253" i="16"/>
  <c r="C254" i="16"/>
  <c r="D254" i="16"/>
  <c r="C255" i="16"/>
  <c r="D255" i="16"/>
  <c r="C256" i="16"/>
  <c r="D256" i="16"/>
  <c r="C257" i="16"/>
  <c r="D257" i="16"/>
  <c r="C258" i="16"/>
  <c r="D258" i="16"/>
  <c r="C259" i="16"/>
  <c r="D259" i="16"/>
  <c r="C260" i="16"/>
  <c r="D260" i="16"/>
  <c r="C261" i="16"/>
  <c r="D261" i="16"/>
  <c r="C262" i="16"/>
  <c r="D262" i="16"/>
  <c r="C263" i="16"/>
  <c r="D263" i="16"/>
  <c r="C264" i="16"/>
  <c r="D264" i="16"/>
  <c r="C265" i="16"/>
  <c r="D265" i="16"/>
  <c r="C266" i="16"/>
  <c r="D266" i="16"/>
  <c r="C267" i="16"/>
  <c r="D267" i="16"/>
  <c r="C268" i="16"/>
  <c r="D268" i="16"/>
  <c r="C269" i="16"/>
  <c r="D269" i="16"/>
  <c r="C270" i="16"/>
  <c r="D270" i="16"/>
  <c r="C271" i="16"/>
  <c r="D271" i="16"/>
  <c r="C272" i="16"/>
  <c r="D272" i="16"/>
  <c r="C273" i="16"/>
  <c r="D273" i="16"/>
  <c r="C274" i="16"/>
  <c r="D274" i="16"/>
  <c r="C275" i="16"/>
  <c r="D275" i="16"/>
  <c r="C276" i="16"/>
  <c r="D276" i="16"/>
  <c r="C277" i="16"/>
  <c r="D277" i="16"/>
  <c r="C278" i="16"/>
  <c r="D278" i="16"/>
  <c r="C279" i="16"/>
  <c r="D279" i="16"/>
  <c r="C280" i="16"/>
  <c r="D280" i="16"/>
  <c r="C281" i="16"/>
  <c r="D281" i="16"/>
  <c r="C282" i="16"/>
  <c r="D282" i="16"/>
  <c r="C283" i="16"/>
  <c r="D283" i="16"/>
  <c r="C284" i="16"/>
  <c r="D284" i="16"/>
  <c r="C285" i="16"/>
  <c r="D285" i="16"/>
  <c r="C286" i="16"/>
  <c r="D286" i="16"/>
  <c r="C287" i="16"/>
  <c r="D287" i="16"/>
  <c r="C288" i="16"/>
  <c r="D288" i="16"/>
  <c r="C289" i="16"/>
  <c r="D289" i="16"/>
  <c r="C290" i="16"/>
  <c r="D290" i="16"/>
  <c r="C291" i="16"/>
  <c r="D291" i="16"/>
  <c r="C292" i="16"/>
  <c r="D292" i="16"/>
  <c r="C293" i="16"/>
  <c r="D293" i="16"/>
  <c r="C294" i="16"/>
  <c r="D294" i="16"/>
  <c r="C295" i="16"/>
  <c r="D295" i="16"/>
  <c r="C296" i="16"/>
  <c r="D296" i="16"/>
  <c r="C297" i="16"/>
  <c r="D297" i="16"/>
  <c r="C298" i="16"/>
  <c r="D298" i="16"/>
  <c r="C299" i="16"/>
  <c r="D299" i="16"/>
  <c r="C300" i="16"/>
  <c r="D300" i="16"/>
  <c r="C301" i="16"/>
  <c r="D301" i="16"/>
  <c r="C302" i="16"/>
  <c r="D302" i="16"/>
  <c r="C303" i="16"/>
  <c r="D303" i="16"/>
  <c r="C304" i="16"/>
  <c r="D304" i="16"/>
  <c r="C305" i="16"/>
  <c r="D305" i="16"/>
  <c r="C306" i="16"/>
  <c r="D306" i="16"/>
  <c r="C307" i="16"/>
  <c r="D307" i="16"/>
  <c r="C308" i="16"/>
  <c r="D308" i="16"/>
  <c r="C309" i="16"/>
  <c r="D309" i="16"/>
  <c r="C310" i="16"/>
  <c r="D310" i="16"/>
  <c r="C311" i="16"/>
  <c r="D311" i="16"/>
  <c r="C312" i="16"/>
  <c r="C313" i="16"/>
  <c r="D312" i="16"/>
  <c r="D313" i="16"/>
  <c r="C314" i="16"/>
  <c r="D314" i="16"/>
  <c r="C315" i="16"/>
  <c r="D315" i="16"/>
  <c r="C316" i="16"/>
  <c r="D316" i="16"/>
  <c r="C317" i="16"/>
  <c r="D317" i="16"/>
  <c r="C318" i="16"/>
  <c r="D318" i="16"/>
  <c r="C319" i="16"/>
  <c r="D319" i="16"/>
  <c r="C320" i="16"/>
  <c r="D320" i="16"/>
  <c r="C321" i="16"/>
  <c r="D321" i="16"/>
  <c r="C322" i="16"/>
  <c r="D322" i="16"/>
  <c r="C323" i="16"/>
  <c r="D323" i="16"/>
  <c r="C324" i="16"/>
  <c r="D324" i="16"/>
  <c r="C325" i="16"/>
  <c r="D325" i="16"/>
  <c r="C326" i="16"/>
  <c r="D326" i="16"/>
  <c r="C327" i="16"/>
  <c r="D327" i="16"/>
  <c r="C328" i="16"/>
  <c r="D328" i="16"/>
  <c r="C329" i="16"/>
  <c r="D329" i="16"/>
  <c r="C330" i="16"/>
  <c r="D330" i="16"/>
  <c r="C331" i="16"/>
  <c r="D331" i="16"/>
  <c r="C332" i="16"/>
  <c r="D332" i="16"/>
  <c r="C333" i="16"/>
  <c r="D333" i="16"/>
  <c r="C334" i="16"/>
  <c r="D334" i="16"/>
  <c r="C335" i="16"/>
  <c r="D335" i="16"/>
  <c r="C336" i="16"/>
  <c r="D336" i="16"/>
  <c r="C337" i="16"/>
  <c r="D337" i="16"/>
  <c r="C338" i="16"/>
  <c r="D338" i="16"/>
  <c r="C339" i="16"/>
  <c r="D339" i="16"/>
  <c r="C340" i="16"/>
  <c r="D340" i="16"/>
  <c r="C341" i="16"/>
  <c r="D341" i="16"/>
  <c r="C342" i="16"/>
  <c r="D342" i="16"/>
  <c r="C343" i="16"/>
  <c r="D343" i="16"/>
  <c r="C344" i="16"/>
  <c r="D344" i="16"/>
  <c r="C345" i="16"/>
  <c r="D345" i="16"/>
  <c r="C346" i="16"/>
  <c r="D346" i="16"/>
  <c r="C347" i="16"/>
  <c r="D347" i="16"/>
  <c r="C348" i="16"/>
  <c r="D348" i="16"/>
  <c r="C349" i="16"/>
  <c r="D349" i="16"/>
  <c r="C350" i="16"/>
  <c r="D350" i="16"/>
  <c r="C351" i="16"/>
  <c r="D351" i="16"/>
  <c r="C352" i="16"/>
  <c r="D352" i="16"/>
  <c r="C353" i="16"/>
  <c r="D353" i="16"/>
  <c r="C354" i="16"/>
  <c r="D354" i="16"/>
  <c r="C355" i="16"/>
  <c r="D355" i="16"/>
  <c r="C356" i="16"/>
  <c r="D356" i="16"/>
  <c r="C357" i="16"/>
  <c r="D357" i="16"/>
  <c r="C358" i="16"/>
  <c r="D358" i="16"/>
  <c r="C359" i="16"/>
  <c r="D359" i="16"/>
  <c r="C360" i="16"/>
  <c r="D360" i="16"/>
  <c r="C361" i="16"/>
  <c r="D361" i="16"/>
  <c r="C362" i="16"/>
  <c r="D362" i="16"/>
  <c r="C363" i="16"/>
  <c r="D363" i="16"/>
  <c r="C364" i="16"/>
  <c r="D364" i="16"/>
  <c r="C365" i="16"/>
  <c r="D365" i="16"/>
  <c r="C366" i="16"/>
  <c r="D366" i="16"/>
  <c r="C367" i="16"/>
  <c r="D367" i="16"/>
  <c r="C368" i="16"/>
  <c r="D368" i="16"/>
  <c r="C369" i="16"/>
  <c r="D369" i="16"/>
  <c r="C370" i="16"/>
  <c r="D370" i="16"/>
  <c r="C371" i="16"/>
  <c r="D371" i="16"/>
  <c r="C372" i="16"/>
  <c r="D372" i="16"/>
  <c r="C373" i="16"/>
  <c r="D373" i="16"/>
  <c r="C374" i="16"/>
  <c r="D374" i="16"/>
  <c r="C375" i="16"/>
  <c r="D375" i="16"/>
  <c r="C376" i="16"/>
  <c r="D376" i="16"/>
  <c r="C377" i="16"/>
  <c r="D377" i="16"/>
  <c r="C378" i="16"/>
  <c r="D378" i="16"/>
  <c r="C379" i="16"/>
  <c r="D379" i="16"/>
  <c r="C380" i="16"/>
  <c r="D380" i="16"/>
  <c r="C381" i="16"/>
  <c r="D381" i="16"/>
  <c r="C382" i="16"/>
  <c r="D382" i="16"/>
  <c r="C383" i="16"/>
  <c r="D383" i="16"/>
  <c r="C384" i="16"/>
  <c r="D384" i="16"/>
  <c r="C385" i="16"/>
  <c r="D385" i="16"/>
  <c r="C386" i="16"/>
  <c r="D386" i="16"/>
  <c r="C387" i="16"/>
  <c r="D387" i="16"/>
  <c r="C388" i="16"/>
  <c r="D388" i="16"/>
  <c r="C389" i="16"/>
  <c r="D389" i="16"/>
  <c r="C390" i="16"/>
  <c r="D390" i="16"/>
  <c r="C391" i="16"/>
  <c r="D391" i="16"/>
  <c r="C392" i="16"/>
  <c r="D392" i="16"/>
  <c r="C393" i="16"/>
  <c r="D393" i="16"/>
  <c r="C394" i="16"/>
  <c r="D394" i="16"/>
  <c r="C395" i="16"/>
  <c r="D395" i="16"/>
  <c r="C396" i="16"/>
  <c r="D396" i="16"/>
  <c r="C397" i="16"/>
  <c r="D397" i="16"/>
  <c r="C398" i="16"/>
  <c r="D398" i="16"/>
  <c r="C399" i="16"/>
  <c r="D399" i="16"/>
  <c r="C400" i="16"/>
  <c r="D400" i="16"/>
  <c r="C401" i="16"/>
  <c r="D401" i="16"/>
  <c r="C402" i="16"/>
  <c r="D402" i="16"/>
  <c r="C403" i="16"/>
  <c r="D403" i="16"/>
  <c r="C404" i="16"/>
  <c r="D404" i="16"/>
  <c r="C405" i="16"/>
  <c r="D405" i="16"/>
  <c r="C406" i="16"/>
  <c r="D406" i="16"/>
  <c r="C407" i="16"/>
  <c r="D407" i="16"/>
  <c r="C408" i="16"/>
  <c r="D408" i="16"/>
  <c r="C409" i="16"/>
  <c r="D409" i="16"/>
  <c r="C410" i="16"/>
  <c r="D410" i="16"/>
  <c r="C411" i="16"/>
  <c r="D411" i="16"/>
  <c r="C412" i="16"/>
  <c r="D412" i="16"/>
  <c r="C413" i="16"/>
  <c r="D413" i="16"/>
  <c r="C414" i="16"/>
  <c r="D414" i="16"/>
  <c r="C415" i="16"/>
  <c r="D415" i="16"/>
  <c r="C416" i="16"/>
  <c r="D416" i="16"/>
  <c r="C417" i="16"/>
  <c r="D417" i="16"/>
  <c r="C418" i="16"/>
  <c r="D418" i="16"/>
  <c r="C419" i="16"/>
  <c r="D419" i="16"/>
  <c r="C420" i="16"/>
  <c r="D420" i="16"/>
  <c r="C421" i="16"/>
  <c r="D421" i="16"/>
  <c r="C422" i="16"/>
  <c r="D422" i="16"/>
  <c r="C423" i="16"/>
  <c r="D423" i="16"/>
  <c r="C424" i="16"/>
  <c r="D424" i="16"/>
  <c r="C425" i="16"/>
  <c r="D425" i="16"/>
  <c r="C426" i="16"/>
  <c r="D426" i="16"/>
  <c r="C427" i="16"/>
  <c r="D427" i="16"/>
  <c r="C428" i="16"/>
  <c r="D428" i="16"/>
  <c r="C429" i="16"/>
  <c r="D429" i="16"/>
  <c r="C430" i="16"/>
  <c r="D430" i="16"/>
  <c r="C431" i="16"/>
  <c r="D431" i="16"/>
  <c r="C432" i="16"/>
  <c r="D432" i="16"/>
  <c r="C433" i="16"/>
  <c r="D433" i="16"/>
  <c r="C434" i="16"/>
  <c r="D434" i="16"/>
  <c r="C435" i="16"/>
  <c r="D435" i="16"/>
  <c r="C436" i="16"/>
  <c r="D436" i="16"/>
  <c r="C437" i="16"/>
  <c r="D437" i="16"/>
  <c r="C438" i="16"/>
  <c r="D438" i="16"/>
  <c r="C439" i="16"/>
  <c r="D439" i="16"/>
  <c r="C440" i="16"/>
  <c r="D440" i="16"/>
  <c r="C441" i="16"/>
  <c r="D441" i="16"/>
  <c r="C442" i="16"/>
  <c r="D442" i="16"/>
  <c r="C443" i="16"/>
  <c r="D443" i="16"/>
  <c r="C444" i="16"/>
  <c r="D444" i="16"/>
  <c r="C445" i="16"/>
  <c r="D445" i="16"/>
  <c r="C446" i="16"/>
  <c r="D446" i="16"/>
  <c r="C447" i="16"/>
  <c r="D447" i="16"/>
  <c r="C448" i="16"/>
  <c r="D448" i="16"/>
  <c r="C449" i="16"/>
  <c r="D449" i="16"/>
  <c r="C450" i="16"/>
  <c r="D450" i="16"/>
  <c r="C451" i="16"/>
  <c r="D451" i="16"/>
  <c r="C452" i="16"/>
  <c r="D452" i="16"/>
  <c r="C453" i="16"/>
  <c r="D453" i="16"/>
  <c r="C454" i="16"/>
  <c r="D454" i="16"/>
  <c r="C455" i="16"/>
  <c r="D455" i="16"/>
  <c r="C456" i="16"/>
  <c r="D456" i="16"/>
  <c r="C457" i="16"/>
  <c r="D457" i="16"/>
  <c r="C458" i="16"/>
  <c r="D458" i="16"/>
  <c r="C459" i="16"/>
  <c r="D459" i="16"/>
  <c r="C460" i="16"/>
  <c r="D460" i="16"/>
  <c r="C461" i="16"/>
  <c r="D461" i="16"/>
  <c r="C462" i="16"/>
  <c r="D462" i="16"/>
  <c r="C463" i="16"/>
  <c r="D463" i="16"/>
  <c r="C464" i="16"/>
  <c r="D464" i="16"/>
  <c r="C465" i="16"/>
  <c r="D465" i="16"/>
  <c r="C466" i="16"/>
  <c r="D466" i="16"/>
  <c r="C467" i="16"/>
  <c r="D467" i="16"/>
  <c r="C468" i="16"/>
  <c r="D468" i="16"/>
  <c r="C469" i="16"/>
  <c r="D469" i="16"/>
  <c r="C470" i="16"/>
  <c r="D470" i="16"/>
  <c r="C471" i="16"/>
  <c r="D471" i="16"/>
  <c r="C472" i="16"/>
  <c r="D472" i="16"/>
  <c r="C473" i="16"/>
  <c r="D473" i="16"/>
  <c r="C474" i="16"/>
  <c r="D474" i="16"/>
  <c r="C475" i="16"/>
  <c r="D475" i="16"/>
  <c r="C476" i="16"/>
  <c r="D476" i="16"/>
  <c r="C477" i="16"/>
  <c r="D477" i="16"/>
  <c r="C478" i="16"/>
  <c r="D478" i="16"/>
  <c r="C479" i="16"/>
  <c r="D479" i="16"/>
  <c r="C480" i="16"/>
  <c r="D480" i="16"/>
  <c r="C481" i="16"/>
  <c r="D481" i="16"/>
  <c r="C482" i="16"/>
  <c r="D482" i="16"/>
  <c r="C483" i="16"/>
  <c r="D483" i="16"/>
  <c r="C484" i="16"/>
  <c r="D484" i="16"/>
  <c r="C485" i="16"/>
  <c r="D485" i="16"/>
  <c r="C486" i="16"/>
  <c r="D486" i="16"/>
  <c r="C487" i="16"/>
  <c r="D487" i="16"/>
  <c r="C488" i="16"/>
  <c r="D488" i="16"/>
  <c r="C489" i="16"/>
  <c r="D489" i="16"/>
  <c r="C490" i="16"/>
  <c r="D490" i="16"/>
  <c r="C491" i="16"/>
  <c r="D491" i="16"/>
  <c r="C492" i="16"/>
  <c r="D492" i="16"/>
  <c r="C493" i="16"/>
  <c r="D493" i="16"/>
  <c r="C494" i="16"/>
  <c r="D494" i="16"/>
  <c r="C495" i="16"/>
  <c r="D495" i="16"/>
  <c r="C496" i="16"/>
  <c r="D496" i="16"/>
  <c r="C497" i="16"/>
  <c r="D497" i="16"/>
  <c r="C498" i="16"/>
  <c r="D498" i="16"/>
  <c r="C499" i="16"/>
  <c r="D499" i="16"/>
  <c r="C500" i="16"/>
  <c r="D500" i="16"/>
  <c r="C501" i="16"/>
  <c r="D501" i="16"/>
  <c r="C502" i="16"/>
  <c r="D502" i="16"/>
  <c r="C503" i="16"/>
  <c r="D503" i="16"/>
  <c r="C504" i="16"/>
  <c r="D504" i="16"/>
  <c r="C505" i="16"/>
  <c r="D505" i="16"/>
  <c r="C506" i="16"/>
  <c r="D506" i="16"/>
  <c r="C507" i="16"/>
  <c r="D507" i="16"/>
  <c r="C508" i="16"/>
  <c r="D508" i="16"/>
  <c r="C509" i="16"/>
  <c r="D509" i="16"/>
  <c r="C510" i="16"/>
  <c r="D510" i="16"/>
  <c r="C511" i="16"/>
  <c r="D511" i="16"/>
  <c r="C512" i="16"/>
  <c r="D512" i="16"/>
  <c r="C513" i="16"/>
  <c r="D513" i="16"/>
  <c r="C514" i="16"/>
  <c r="D514" i="16"/>
  <c r="C515" i="16"/>
  <c r="D515" i="16"/>
  <c r="C516" i="16"/>
  <c r="D516" i="16"/>
  <c r="C517" i="16"/>
  <c r="D517" i="16"/>
  <c r="C518" i="16"/>
  <c r="D518" i="16"/>
  <c r="C519" i="16"/>
  <c r="D519" i="16"/>
  <c r="C520" i="16"/>
  <c r="D520" i="16"/>
  <c r="C521" i="16"/>
  <c r="D521" i="16"/>
  <c r="C522" i="16"/>
  <c r="D522" i="16"/>
  <c r="C523" i="16"/>
  <c r="D523" i="16"/>
  <c r="C524" i="16"/>
  <c r="D524" i="16"/>
  <c r="C525" i="16"/>
  <c r="D525" i="16"/>
  <c r="C526" i="16"/>
  <c r="D526" i="16"/>
  <c r="C527" i="16"/>
  <c r="D527" i="16"/>
  <c r="C528" i="16"/>
  <c r="D528" i="16"/>
  <c r="C529" i="16"/>
  <c r="D529" i="16"/>
  <c r="C530" i="16"/>
  <c r="D530" i="16"/>
  <c r="C531" i="16"/>
  <c r="D531" i="16"/>
  <c r="C532" i="16"/>
  <c r="D532" i="16"/>
  <c r="C533" i="16"/>
  <c r="D533" i="16"/>
  <c r="C534" i="16"/>
  <c r="D534" i="16"/>
  <c r="C535" i="16"/>
  <c r="D535" i="16"/>
  <c r="C536" i="16"/>
  <c r="D536" i="16"/>
  <c r="C537" i="16"/>
  <c r="D537" i="16"/>
  <c r="C538" i="16"/>
  <c r="D538" i="16"/>
  <c r="C539" i="16"/>
  <c r="D539" i="16"/>
  <c r="C540" i="16"/>
  <c r="D540" i="16"/>
  <c r="C541" i="16"/>
  <c r="D541" i="16"/>
  <c r="C542" i="16"/>
  <c r="D542" i="16"/>
  <c r="C543" i="16"/>
  <c r="D543" i="16"/>
  <c r="C544" i="16"/>
  <c r="D544" i="16"/>
  <c r="C545" i="16"/>
  <c r="D545" i="16"/>
  <c r="C546" i="16"/>
  <c r="D546" i="16"/>
  <c r="C547" i="16"/>
  <c r="D547" i="16"/>
  <c r="C548" i="16"/>
  <c r="D548" i="16"/>
  <c r="C549" i="16"/>
  <c r="D549" i="16"/>
  <c r="C550" i="16"/>
  <c r="D550" i="16"/>
  <c r="C551" i="16"/>
  <c r="D551" i="16"/>
  <c r="C552" i="16"/>
  <c r="D552" i="16"/>
  <c r="C553" i="16"/>
  <c r="D553" i="16"/>
  <c r="C554" i="16"/>
  <c r="D554" i="16"/>
  <c r="C555" i="16"/>
  <c r="D555" i="16"/>
  <c r="C556" i="16"/>
  <c r="D556" i="16"/>
  <c r="C557" i="16"/>
  <c r="D557" i="16"/>
  <c r="C558" i="16"/>
  <c r="D558" i="16"/>
  <c r="C559" i="16"/>
  <c r="D559" i="16"/>
  <c r="C560" i="16"/>
  <c r="D560" i="16"/>
  <c r="C561" i="16"/>
  <c r="D561" i="16"/>
  <c r="C562" i="16"/>
  <c r="D562" i="16"/>
  <c r="C563" i="16"/>
  <c r="D563" i="16"/>
  <c r="C564" i="16"/>
  <c r="D564" i="16"/>
  <c r="C565" i="16"/>
  <c r="D565" i="16"/>
  <c r="C566" i="16"/>
  <c r="D566" i="16"/>
  <c r="C567" i="16"/>
  <c r="D567" i="16"/>
  <c r="C568" i="16"/>
  <c r="D568" i="16"/>
  <c r="C569" i="16"/>
  <c r="D569" i="16"/>
  <c r="C570" i="16"/>
  <c r="D570" i="16"/>
  <c r="C571" i="16"/>
  <c r="D571" i="16"/>
  <c r="C572" i="16"/>
  <c r="D572" i="16"/>
  <c r="C573" i="16"/>
  <c r="D573" i="16"/>
  <c r="C574" i="16"/>
  <c r="D574" i="16"/>
  <c r="C575" i="16"/>
  <c r="D575" i="16"/>
  <c r="C576" i="16"/>
  <c r="D576" i="16"/>
  <c r="C577" i="16"/>
  <c r="D577" i="16"/>
  <c r="C578" i="16"/>
  <c r="D578" i="16"/>
  <c r="C579" i="16"/>
  <c r="D579" i="16"/>
  <c r="C580" i="16"/>
  <c r="D580" i="16"/>
  <c r="C581" i="16"/>
  <c r="D581" i="16"/>
  <c r="C582" i="16"/>
  <c r="D582" i="16"/>
  <c r="C583" i="16"/>
  <c r="D583" i="16"/>
  <c r="C584" i="16"/>
  <c r="D584" i="16"/>
  <c r="C585" i="16"/>
  <c r="D585" i="16"/>
  <c r="C586" i="16"/>
  <c r="D586" i="16"/>
  <c r="C587" i="16"/>
  <c r="D587" i="16"/>
  <c r="C588" i="16"/>
  <c r="D588" i="16"/>
  <c r="C589" i="16"/>
  <c r="D589" i="16"/>
  <c r="C590" i="16"/>
  <c r="D590" i="16"/>
  <c r="C591" i="16"/>
  <c r="D591" i="16"/>
  <c r="C592" i="16"/>
  <c r="D592" i="16"/>
  <c r="C593" i="16"/>
  <c r="D593" i="16"/>
  <c r="C594" i="16"/>
  <c r="D594" i="16"/>
  <c r="C595" i="16"/>
  <c r="D595" i="16"/>
  <c r="C596" i="16"/>
  <c r="D596" i="16"/>
  <c r="C597" i="16"/>
  <c r="D597" i="16"/>
  <c r="C598" i="16"/>
  <c r="D598" i="16"/>
  <c r="C599" i="16"/>
  <c r="D599" i="16"/>
  <c r="C600" i="16"/>
  <c r="D600" i="16"/>
  <c r="C601" i="16"/>
  <c r="D601" i="16"/>
  <c r="C602" i="16"/>
  <c r="D602" i="16"/>
  <c r="C603" i="16"/>
  <c r="D603" i="16"/>
  <c r="C604" i="16"/>
  <c r="D604" i="16"/>
  <c r="C605" i="16"/>
  <c r="D605" i="16"/>
  <c r="C606" i="16"/>
  <c r="D606" i="16"/>
  <c r="C607" i="16"/>
  <c r="D607" i="16"/>
  <c r="C608" i="16"/>
  <c r="D608" i="16"/>
  <c r="C609" i="16"/>
  <c r="D609" i="16"/>
  <c r="C610" i="16"/>
  <c r="D610" i="16"/>
  <c r="C611" i="16"/>
  <c r="D611" i="16"/>
  <c r="C612" i="16"/>
  <c r="D612" i="16"/>
  <c r="C613" i="16"/>
  <c r="D613" i="16"/>
  <c r="C614" i="16"/>
  <c r="D614" i="16"/>
  <c r="C615" i="16"/>
  <c r="D615" i="16"/>
  <c r="C616" i="16"/>
  <c r="D616" i="16"/>
  <c r="C617" i="16"/>
  <c r="D617" i="16"/>
  <c r="C618" i="16"/>
  <c r="D618" i="16"/>
  <c r="C619" i="16"/>
  <c r="D619" i="16"/>
  <c r="C620" i="16"/>
  <c r="D620" i="16"/>
  <c r="C621" i="16"/>
  <c r="D621" i="16"/>
  <c r="C622" i="16"/>
  <c r="D622" i="16"/>
  <c r="C623" i="16"/>
  <c r="D623" i="16"/>
  <c r="C624" i="16"/>
  <c r="D624" i="16"/>
  <c r="C625" i="16"/>
  <c r="D625" i="16"/>
  <c r="C626" i="16"/>
  <c r="D626" i="16"/>
  <c r="C627" i="16"/>
  <c r="D627" i="16"/>
  <c r="C628" i="16"/>
  <c r="D628" i="16"/>
  <c r="C629" i="16"/>
  <c r="D629" i="16"/>
  <c r="C630" i="16"/>
  <c r="D630" i="16"/>
  <c r="C631" i="16"/>
  <c r="D631" i="16"/>
  <c r="C632" i="16"/>
  <c r="D632" i="16"/>
  <c r="C633" i="16"/>
  <c r="D633" i="16"/>
  <c r="C634" i="16"/>
  <c r="D634" i="16"/>
  <c r="C635" i="16"/>
  <c r="D635" i="16"/>
  <c r="C636" i="16"/>
  <c r="D636" i="16"/>
  <c r="C637" i="16"/>
  <c r="D637" i="16"/>
  <c r="C638" i="16"/>
  <c r="D638" i="16"/>
  <c r="C639" i="16"/>
  <c r="D639" i="16"/>
  <c r="C640" i="16"/>
  <c r="D640" i="16"/>
  <c r="C641" i="16"/>
  <c r="D641" i="16"/>
  <c r="C642" i="16"/>
  <c r="D642" i="16"/>
  <c r="C643" i="16"/>
  <c r="D643" i="16"/>
  <c r="C644" i="16"/>
  <c r="D644" i="16"/>
  <c r="C645" i="16"/>
  <c r="D645" i="16"/>
  <c r="C646" i="16"/>
  <c r="D646" i="16"/>
  <c r="C647" i="16"/>
  <c r="D647" i="16"/>
  <c r="C648" i="16"/>
  <c r="D648" i="16"/>
  <c r="C649" i="16"/>
  <c r="D649" i="16"/>
  <c r="C650" i="16"/>
  <c r="D650" i="16"/>
  <c r="C651" i="16"/>
  <c r="D651" i="16"/>
  <c r="C652" i="16"/>
  <c r="D652" i="16"/>
  <c r="C653" i="16"/>
  <c r="D653" i="16"/>
  <c r="C654" i="16"/>
  <c r="D654" i="16"/>
  <c r="C655" i="16"/>
  <c r="D655" i="16"/>
  <c r="C656" i="16"/>
  <c r="D656" i="16"/>
  <c r="C657" i="16"/>
  <c r="D657" i="16"/>
  <c r="C658" i="16"/>
  <c r="D658" i="16"/>
  <c r="C659" i="16"/>
  <c r="D659" i="16"/>
  <c r="C660" i="16"/>
  <c r="D660" i="16"/>
  <c r="C661" i="16"/>
  <c r="D661" i="16"/>
  <c r="C662" i="16"/>
  <c r="D662" i="16"/>
  <c r="C663" i="16"/>
  <c r="D663" i="16"/>
  <c r="C664" i="16"/>
  <c r="D664" i="16"/>
  <c r="C665" i="16"/>
  <c r="D665" i="16"/>
  <c r="C666" i="16"/>
  <c r="D666" i="16"/>
  <c r="C667" i="16"/>
  <c r="D667" i="16"/>
  <c r="C668" i="16"/>
  <c r="D668" i="16"/>
  <c r="C669" i="16"/>
  <c r="D669" i="16"/>
  <c r="C670" i="16"/>
  <c r="D670" i="16"/>
  <c r="C671" i="16"/>
  <c r="D671" i="16"/>
  <c r="C672" i="16"/>
  <c r="D672" i="16"/>
  <c r="C673" i="16"/>
  <c r="D673" i="16"/>
  <c r="C674" i="16"/>
  <c r="D674" i="16"/>
  <c r="C675" i="16"/>
  <c r="D675" i="16"/>
  <c r="C676" i="16"/>
  <c r="D676" i="16"/>
  <c r="C677" i="16"/>
  <c r="D677" i="16"/>
  <c r="C678" i="16"/>
  <c r="D678" i="16"/>
  <c r="C679" i="16"/>
  <c r="D679" i="16"/>
  <c r="C680" i="16"/>
  <c r="D680" i="16"/>
  <c r="C681" i="16"/>
  <c r="D681" i="16"/>
  <c r="C682" i="16"/>
  <c r="D682" i="16"/>
  <c r="C683" i="16"/>
  <c r="D683" i="16"/>
  <c r="C684" i="16"/>
  <c r="D684" i="16"/>
  <c r="C685" i="16"/>
  <c r="D685" i="16"/>
  <c r="C686" i="16"/>
  <c r="D686" i="16"/>
  <c r="C687" i="16"/>
  <c r="D687" i="16"/>
  <c r="C688" i="16"/>
  <c r="D688" i="16"/>
  <c r="C689" i="16"/>
  <c r="D689" i="16"/>
  <c r="C690" i="16"/>
  <c r="D690" i="16"/>
  <c r="C691" i="16"/>
  <c r="D691" i="16"/>
  <c r="C692" i="16"/>
  <c r="D692" i="16"/>
  <c r="C693" i="16"/>
  <c r="D693" i="16"/>
  <c r="C694" i="16"/>
  <c r="D694" i="16"/>
  <c r="C695" i="16"/>
  <c r="D695" i="16"/>
  <c r="C696" i="16"/>
  <c r="D696" i="16"/>
  <c r="C697" i="16"/>
  <c r="D697" i="16"/>
  <c r="C698" i="16"/>
  <c r="D698" i="16"/>
  <c r="C699" i="16"/>
  <c r="D699" i="16"/>
  <c r="C700" i="16"/>
  <c r="D700" i="16"/>
  <c r="C701" i="16"/>
  <c r="D701" i="16"/>
  <c r="C702" i="16"/>
  <c r="D702" i="16"/>
  <c r="C703" i="16"/>
  <c r="D703" i="16"/>
  <c r="C704" i="16"/>
  <c r="D704" i="16"/>
  <c r="C705" i="16"/>
  <c r="D705" i="16"/>
  <c r="C706" i="16"/>
  <c r="D706" i="16"/>
  <c r="C707" i="16"/>
  <c r="D707" i="16"/>
  <c r="C708" i="16"/>
  <c r="D708" i="16"/>
  <c r="C709" i="16"/>
  <c r="D709" i="16"/>
  <c r="C710" i="16"/>
  <c r="D710" i="16"/>
  <c r="C711" i="16"/>
  <c r="D711" i="16"/>
  <c r="C712" i="16"/>
  <c r="D712" i="16"/>
  <c r="C713" i="16"/>
  <c r="D713" i="16"/>
  <c r="C714" i="16"/>
  <c r="D714" i="16"/>
  <c r="C715" i="16"/>
  <c r="D715" i="16"/>
  <c r="C716" i="16"/>
  <c r="D716" i="16"/>
  <c r="C717" i="16"/>
  <c r="D717" i="16"/>
  <c r="C718" i="16"/>
  <c r="D718" i="16"/>
  <c r="C719" i="16"/>
  <c r="D719" i="16"/>
  <c r="C720" i="16"/>
  <c r="D720" i="16"/>
  <c r="C721" i="16"/>
  <c r="D721" i="16"/>
  <c r="C722" i="16"/>
  <c r="D722" i="16"/>
  <c r="C723" i="16"/>
  <c r="D723" i="16"/>
  <c r="C724" i="16"/>
  <c r="D724" i="16"/>
  <c r="C725" i="16"/>
  <c r="D725" i="16"/>
  <c r="C726" i="16"/>
  <c r="D726" i="16"/>
  <c r="C727" i="16"/>
  <c r="D727" i="16"/>
  <c r="C728" i="16"/>
  <c r="D728" i="16"/>
  <c r="C729" i="16"/>
  <c r="D729" i="16"/>
  <c r="C730" i="16"/>
  <c r="D730" i="16"/>
  <c r="C731" i="16"/>
  <c r="D731" i="16"/>
  <c r="C732" i="16"/>
  <c r="D732" i="16"/>
  <c r="C733" i="16"/>
  <c r="D733" i="16"/>
  <c r="C734" i="16"/>
  <c r="D734" i="16"/>
  <c r="C735" i="16"/>
  <c r="D735" i="16"/>
  <c r="C736" i="16"/>
  <c r="D736" i="16"/>
  <c r="C737" i="16"/>
  <c r="D737" i="16"/>
  <c r="C738" i="16"/>
  <c r="D738" i="16"/>
  <c r="C739" i="16"/>
  <c r="D739" i="16"/>
  <c r="C740" i="16"/>
  <c r="D740" i="16"/>
  <c r="C741" i="16"/>
  <c r="D741" i="16"/>
  <c r="C742" i="16"/>
  <c r="D742" i="16"/>
  <c r="C743" i="16"/>
  <c r="D743" i="16"/>
  <c r="C744" i="16"/>
  <c r="D744" i="16"/>
  <c r="C745" i="16"/>
  <c r="D745" i="16"/>
  <c r="C746" i="16"/>
  <c r="D746" i="16"/>
  <c r="C747" i="16"/>
  <c r="D747" i="16"/>
  <c r="C748" i="16"/>
  <c r="D748" i="16"/>
  <c r="C749" i="16"/>
  <c r="D749" i="16"/>
  <c r="C750" i="16"/>
  <c r="D750" i="16"/>
  <c r="C751" i="16"/>
  <c r="D751" i="16"/>
  <c r="C752" i="16"/>
  <c r="D752" i="16"/>
  <c r="C753" i="16"/>
  <c r="D753" i="16"/>
  <c r="C754" i="16"/>
  <c r="D754" i="16"/>
  <c r="C755" i="16"/>
  <c r="D755" i="16"/>
  <c r="C756" i="16"/>
  <c r="D756" i="16"/>
  <c r="C757" i="16"/>
  <c r="D757" i="16"/>
  <c r="C758" i="16"/>
  <c r="D758" i="16"/>
  <c r="C759" i="16"/>
  <c r="D759" i="16"/>
  <c r="C760" i="16"/>
  <c r="D760" i="16"/>
  <c r="C761" i="16"/>
  <c r="D761" i="16"/>
  <c r="C762" i="16"/>
  <c r="D762" i="16"/>
  <c r="C763" i="16"/>
  <c r="D763" i="16"/>
  <c r="C764" i="16"/>
  <c r="D764" i="16"/>
  <c r="C765" i="16"/>
  <c r="D765" i="16"/>
  <c r="C766" i="16"/>
  <c r="D766" i="16"/>
  <c r="C767" i="16"/>
  <c r="D767" i="16"/>
  <c r="C768" i="16"/>
  <c r="D768" i="16"/>
  <c r="C769" i="16"/>
  <c r="D769" i="16"/>
  <c r="C770" i="16"/>
  <c r="D770" i="16"/>
  <c r="C771" i="16"/>
  <c r="D771" i="16"/>
  <c r="C772" i="16"/>
  <c r="D772" i="16"/>
  <c r="C773" i="16"/>
  <c r="D773" i="16"/>
  <c r="C774" i="16"/>
  <c r="D774" i="16"/>
  <c r="C775" i="16"/>
  <c r="D775" i="16"/>
  <c r="C776" i="16"/>
  <c r="D776" i="16"/>
  <c r="C777" i="16"/>
  <c r="D777" i="16"/>
  <c r="C778" i="16"/>
  <c r="D778" i="16"/>
  <c r="C779" i="16"/>
  <c r="D779" i="16"/>
  <c r="C780" i="16"/>
  <c r="D780" i="16"/>
  <c r="C781" i="16"/>
  <c r="D781" i="16"/>
  <c r="C782" i="16"/>
  <c r="D782" i="16"/>
  <c r="C783" i="16"/>
  <c r="D783" i="16"/>
  <c r="C784" i="16"/>
  <c r="D784" i="16"/>
  <c r="C785" i="16"/>
  <c r="D785" i="16"/>
  <c r="C786" i="16"/>
  <c r="D786" i="16"/>
  <c r="C787" i="16"/>
  <c r="D787" i="16"/>
  <c r="C788" i="16"/>
  <c r="D788" i="16"/>
  <c r="C789" i="16"/>
  <c r="D789" i="16"/>
  <c r="C790" i="16"/>
  <c r="D790" i="16"/>
  <c r="C791" i="16"/>
  <c r="D791" i="16"/>
  <c r="C792" i="16"/>
  <c r="D792" i="16"/>
  <c r="C793" i="16"/>
  <c r="D793" i="16"/>
  <c r="C794" i="16"/>
  <c r="D794" i="16"/>
  <c r="C795" i="16"/>
  <c r="D795" i="16"/>
  <c r="C796" i="16"/>
  <c r="D796" i="16"/>
  <c r="C797" i="16"/>
  <c r="D797" i="16"/>
  <c r="C798" i="16"/>
  <c r="D798" i="16"/>
  <c r="C799" i="16"/>
  <c r="D799" i="16"/>
  <c r="C800" i="16"/>
  <c r="D800" i="16"/>
  <c r="C801" i="16"/>
  <c r="D801" i="16"/>
  <c r="C802" i="16"/>
  <c r="D802" i="16"/>
  <c r="C803" i="16"/>
  <c r="D803" i="16"/>
  <c r="C804" i="16"/>
  <c r="D804" i="16"/>
  <c r="C805" i="16"/>
  <c r="D805" i="16"/>
  <c r="C806" i="16"/>
  <c r="D806" i="16"/>
  <c r="C807" i="16"/>
  <c r="D807" i="16"/>
  <c r="C808" i="16"/>
  <c r="D808" i="16"/>
  <c r="C809" i="16"/>
  <c r="D809" i="16"/>
  <c r="C810" i="16"/>
  <c r="D810" i="16"/>
  <c r="C811" i="16"/>
  <c r="D811" i="16"/>
  <c r="C812" i="16"/>
  <c r="D812" i="16"/>
  <c r="C813" i="16"/>
  <c r="D813" i="16"/>
  <c r="C814" i="16"/>
  <c r="D814" i="16"/>
  <c r="C815" i="16"/>
  <c r="D815" i="16"/>
  <c r="C816" i="16"/>
  <c r="D816" i="16"/>
  <c r="C817" i="16"/>
  <c r="D817" i="16"/>
  <c r="C818" i="16"/>
  <c r="D818" i="16"/>
  <c r="C819" i="16"/>
  <c r="D819" i="16"/>
  <c r="C820" i="16"/>
  <c r="D820" i="16"/>
  <c r="C821" i="16"/>
  <c r="D821" i="16"/>
  <c r="C822" i="16"/>
  <c r="D822" i="16"/>
  <c r="C823" i="16"/>
  <c r="D823" i="16"/>
  <c r="C824" i="16"/>
  <c r="D824" i="16"/>
  <c r="C825" i="16"/>
  <c r="D825" i="16"/>
  <c r="C826" i="16"/>
  <c r="D826" i="16"/>
  <c r="C827" i="16"/>
  <c r="D827" i="16"/>
  <c r="C828" i="16"/>
  <c r="D828" i="16"/>
  <c r="C829" i="16"/>
  <c r="D829" i="16"/>
  <c r="C830" i="16"/>
  <c r="D830" i="16"/>
  <c r="C831" i="16"/>
  <c r="D831" i="16"/>
  <c r="C832" i="16"/>
  <c r="D832" i="16"/>
  <c r="C833" i="16"/>
  <c r="D833" i="16"/>
  <c r="C834" i="16"/>
  <c r="D834" i="16"/>
  <c r="C835" i="16"/>
  <c r="D835" i="16"/>
  <c r="C836" i="16"/>
  <c r="D836" i="16"/>
  <c r="C837" i="16"/>
  <c r="D837" i="16"/>
  <c r="C838" i="16"/>
  <c r="D838" i="16"/>
  <c r="C839" i="16"/>
  <c r="D839" i="16"/>
  <c r="C840" i="16"/>
  <c r="D840" i="16"/>
  <c r="C841" i="16"/>
  <c r="D841" i="16"/>
  <c r="C842" i="16"/>
  <c r="D842" i="16"/>
  <c r="C843" i="16"/>
  <c r="D843" i="16"/>
  <c r="C844" i="16"/>
  <c r="D844" i="16"/>
  <c r="C845" i="16"/>
  <c r="D845" i="16"/>
  <c r="C846" i="16"/>
  <c r="D846" i="16"/>
  <c r="C847" i="16"/>
  <c r="D847" i="16"/>
  <c r="C848" i="16"/>
  <c r="D848" i="16"/>
  <c r="C849" i="16"/>
  <c r="D849" i="16"/>
  <c r="C850" i="16"/>
  <c r="D850" i="16"/>
  <c r="C851" i="16"/>
  <c r="D851" i="16"/>
  <c r="C852" i="16"/>
  <c r="D852" i="16"/>
  <c r="C853" i="16"/>
  <c r="D853" i="16"/>
  <c r="C854" i="16"/>
  <c r="D854" i="16"/>
  <c r="C855" i="16"/>
  <c r="D855" i="16"/>
  <c r="C856" i="16"/>
  <c r="D856" i="16"/>
  <c r="C857" i="16"/>
  <c r="D857" i="16"/>
  <c r="C858" i="16"/>
  <c r="D858" i="16"/>
  <c r="C859" i="16"/>
  <c r="D859" i="16"/>
  <c r="C860" i="16"/>
  <c r="D860" i="16"/>
  <c r="C861" i="16"/>
  <c r="D861" i="16"/>
  <c r="C862" i="16"/>
  <c r="D862" i="16"/>
  <c r="C863" i="16"/>
  <c r="D863" i="16"/>
  <c r="C864" i="16"/>
  <c r="D864" i="16"/>
  <c r="C865" i="16"/>
  <c r="D865" i="16"/>
  <c r="C866" i="16"/>
  <c r="D866" i="16"/>
  <c r="C867" i="16"/>
  <c r="D867" i="16"/>
  <c r="C868" i="16"/>
  <c r="D868" i="16"/>
  <c r="C869" i="16"/>
  <c r="D869" i="16"/>
  <c r="C870" i="16"/>
  <c r="D870" i="16"/>
  <c r="C871" i="16"/>
  <c r="D871" i="16"/>
  <c r="C872" i="16"/>
  <c r="D872" i="16"/>
  <c r="C873" i="16"/>
  <c r="D873" i="16"/>
  <c r="C874" i="16"/>
  <c r="D874" i="16"/>
  <c r="C875" i="16"/>
  <c r="D875" i="16"/>
  <c r="C876" i="16"/>
  <c r="D876" i="16"/>
  <c r="C877" i="16"/>
  <c r="D877" i="16"/>
  <c r="C878" i="16"/>
  <c r="D878" i="16"/>
  <c r="C879" i="16"/>
  <c r="D879" i="16"/>
  <c r="C880" i="16"/>
  <c r="D880" i="16"/>
  <c r="C881" i="16"/>
  <c r="D881" i="16"/>
  <c r="C882" i="16"/>
  <c r="D882" i="16"/>
  <c r="C883" i="16"/>
  <c r="D883" i="16"/>
  <c r="C884" i="16"/>
  <c r="D884" i="16"/>
  <c r="C885" i="16"/>
  <c r="D885" i="16"/>
  <c r="C886" i="16"/>
  <c r="D886" i="16"/>
  <c r="C887" i="16"/>
  <c r="D887" i="16"/>
  <c r="C888" i="16"/>
  <c r="D888" i="16"/>
  <c r="C889" i="16"/>
  <c r="D889" i="16"/>
  <c r="C890" i="16"/>
  <c r="D890" i="16"/>
  <c r="C891" i="16"/>
  <c r="D891" i="16"/>
  <c r="C892" i="16"/>
  <c r="D892" i="16"/>
  <c r="C893" i="16"/>
  <c r="D893" i="16"/>
  <c r="C894" i="16"/>
  <c r="D894" i="16"/>
  <c r="C895" i="16"/>
  <c r="D895" i="16"/>
  <c r="C896" i="16"/>
  <c r="D896" i="16"/>
  <c r="C897" i="16"/>
  <c r="D897" i="16"/>
  <c r="C898" i="16"/>
  <c r="D898" i="16"/>
  <c r="C899" i="16"/>
  <c r="D899" i="16"/>
  <c r="C900" i="16"/>
  <c r="D900" i="16"/>
  <c r="C901" i="16"/>
  <c r="D901" i="16"/>
  <c r="C902" i="16"/>
  <c r="D902" i="16"/>
  <c r="C903" i="16"/>
  <c r="D903" i="16"/>
  <c r="C904" i="16"/>
  <c r="D904" i="16"/>
  <c r="C905" i="16"/>
  <c r="D905" i="16"/>
  <c r="C906" i="16"/>
  <c r="D906" i="16"/>
  <c r="C907" i="16"/>
  <c r="D907" i="16"/>
  <c r="C908" i="16"/>
  <c r="D908" i="16"/>
  <c r="C909" i="16"/>
  <c r="D909" i="16"/>
  <c r="C910" i="16"/>
  <c r="D910" i="16"/>
  <c r="C911" i="16"/>
  <c r="D911" i="16"/>
  <c r="C912" i="16"/>
  <c r="D912" i="16"/>
  <c r="C913" i="16"/>
  <c r="D913" i="16"/>
  <c r="C914" i="16"/>
  <c r="D914" i="16"/>
  <c r="C915" i="16"/>
  <c r="D915" i="16"/>
  <c r="C916" i="16"/>
  <c r="D916" i="16"/>
  <c r="C917" i="16"/>
  <c r="D917" i="16"/>
  <c r="C918" i="16"/>
  <c r="D918" i="16"/>
  <c r="C919" i="16"/>
  <c r="D919" i="16"/>
  <c r="C920" i="16"/>
  <c r="D920" i="16"/>
  <c r="C921" i="16"/>
  <c r="D921" i="16"/>
  <c r="C922" i="16"/>
  <c r="D922" i="16"/>
  <c r="C923" i="16"/>
  <c r="D923" i="16"/>
  <c r="C924" i="16"/>
  <c r="D924" i="16"/>
  <c r="C925" i="16"/>
  <c r="D925" i="16"/>
  <c r="C926" i="16"/>
  <c r="D926" i="16"/>
  <c r="C927" i="16"/>
  <c r="D927" i="16"/>
  <c r="C928" i="16"/>
  <c r="D928" i="16"/>
  <c r="C929" i="16"/>
  <c r="D929" i="16"/>
  <c r="C930" i="16"/>
  <c r="D930" i="16"/>
  <c r="C931" i="16"/>
  <c r="D931" i="16"/>
  <c r="C932" i="16"/>
  <c r="D932" i="16"/>
  <c r="C933" i="16"/>
  <c r="D933" i="16"/>
  <c r="C934" i="16"/>
  <c r="D934" i="16"/>
  <c r="C935" i="16"/>
  <c r="D935" i="16"/>
  <c r="C936" i="16"/>
  <c r="D936" i="16"/>
  <c r="C937" i="16"/>
  <c r="D937" i="16"/>
  <c r="C938" i="16"/>
  <c r="D938" i="16"/>
  <c r="C939" i="16"/>
  <c r="D939" i="16"/>
  <c r="C940" i="16"/>
  <c r="D940" i="16"/>
  <c r="C941" i="16"/>
  <c r="D941" i="16"/>
  <c r="C942" i="16"/>
  <c r="D942" i="16"/>
  <c r="C943" i="16"/>
  <c r="D943" i="16"/>
  <c r="C944" i="16"/>
  <c r="D944" i="16"/>
  <c r="C945" i="16"/>
  <c r="D945" i="16"/>
  <c r="C946" i="16"/>
  <c r="D946" i="16"/>
  <c r="C947" i="16"/>
  <c r="D947" i="16"/>
  <c r="C948" i="16"/>
  <c r="D948" i="16"/>
  <c r="C949" i="16"/>
  <c r="D949" i="16"/>
  <c r="C950" i="16"/>
  <c r="D950" i="16"/>
  <c r="C951" i="16"/>
  <c r="D951" i="16"/>
  <c r="C952" i="16"/>
  <c r="D952" i="16"/>
  <c r="C953" i="16"/>
  <c r="D953" i="16"/>
  <c r="C954" i="16"/>
  <c r="D954" i="16"/>
  <c r="C955" i="16"/>
  <c r="D955" i="16"/>
  <c r="C956" i="16"/>
  <c r="D956" i="16"/>
  <c r="C957" i="16"/>
  <c r="D957" i="16"/>
  <c r="C958" i="16"/>
  <c r="D958" i="16"/>
  <c r="C959" i="16"/>
  <c r="D959" i="16"/>
  <c r="C960" i="16"/>
  <c r="D960" i="16"/>
  <c r="C961" i="16"/>
  <c r="D961" i="16"/>
  <c r="C962" i="16"/>
  <c r="D962" i="16"/>
  <c r="C963" i="16"/>
  <c r="D963" i="16"/>
  <c r="C964" i="16"/>
  <c r="D964" i="16"/>
  <c r="C965" i="16"/>
  <c r="D965" i="16"/>
  <c r="C966" i="16"/>
  <c r="D966" i="16"/>
  <c r="C967" i="16"/>
  <c r="D967" i="16"/>
  <c r="C968" i="16"/>
  <c r="D968" i="16"/>
  <c r="C969" i="16"/>
  <c r="D969" i="16"/>
  <c r="C970" i="16"/>
  <c r="D970" i="16"/>
  <c r="C971" i="16"/>
  <c r="D971" i="16"/>
  <c r="C972" i="16"/>
  <c r="D972" i="16"/>
  <c r="C973" i="16"/>
  <c r="D973" i="16"/>
  <c r="C974" i="16"/>
  <c r="D974" i="16"/>
  <c r="C975" i="16"/>
  <c r="D975" i="16"/>
  <c r="C976" i="16"/>
  <c r="D976" i="16"/>
  <c r="C977" i="16"/>
  <c r="D977" i="16"/>
  <c r="C978" i="16"/>
  <c r="D978" i="16"/>
  <c r="C979" i="16"/>
  <c r="D979" i="16"/>
  <c r="C980" i="16"/>
  <c r="D980" i="16"/>
  <c r="C981" i="16"/>
  <c r="D981" i="16"/>
  <c r="C982" i="16"/>
  <c r="D982" i="16"/>
  <c r="C983" i="16"/>
  <c r="D983" i="16"/>
  <c r="C984" i="16"/>
  <c r="D984" i="16"/>
  <c r="C985" i="16"/>
  <c r="D985" i="16"/>
  <c r="C986" i="16"/>
  <c r="D986" i="16"/>
  <c r="C987" i="16"/>
  <c r="D987" i="16"/>
  <c r="C988" i="16"/>
  <c r="D988" i="16"/>
  <c r="C989" i="16"/>
  <c r="D989" i="16"/>
  <c r="C990" i="16"/>
  <c r="D990" i="16"/>
  <c r="C991" i="16"/>
  <c r="D991" i="16"/>
  <c r="C992" i="16"/>
  <c r="D992" i="16"/>
  <c r="C993" i="16"/>
  <c r="D993" i="16"/>
  <c r="C994" i="16"/>
  <c r="D994" i="16"/>
  <c r="C995" i="16"/>
  <c r="D995" i="16"/>
  <c r="C996" i="16"/>
  <c r="D996" i="16"/>
  <c r="C997" i="16"/>
  <c r="D997" i="16"/>
  <c r="C998" i="16"/>
  <c r="D998" i="16"/>
  <c r="C999" i="16"/>
  <c r="D999" i="16"/>
  <c r="C1000" i="16"/>
  <c r="D1000" i="16"/>
  <c r="C1001" i="16"/>
  <c r="D1001" i="16"/>
  <c r="C1002" i="16"/>
  <c r="D1002" i="16"/>
  <c r="C1003" i="16"/>
  <c r="D1003" i="16"/>
  <c r="C1004" i="16"/>
  <c r="D1004" i="16"/>
  <c r="C1005" i="16"/>
  <c r="D1005" i="16"/>
  <c r="C1006" i="16"/>
  <c r="D1006" i="16"/>
  <c r="C1007" i="16"/>
  <c r="D1007" i="16"/>
  <c r="C1008" i="16"/>
  <c r="D1008" i="16"/>
  <c r="C1009" i="16"/>
  <c r="D1009" i="16"/>
  <c r="C1010" i="16"/>
  <c r="D1010" i="16"/>
  <c r="C1011" i="16"/>
  <c r="D1011" i="16"/>
  <c r="C1012" i="16"/>
  <c r="D1012" i="16"/>
  <c r="C1013" i="16"/>
  <c r="D1013" i="16"/>
  <c r="C1014" i="16"/>
  <c r="D1014" i="16"/>
  <c r="C1015" i="16"/>
  <c r="D1015" i="16"/>
  <c r="C1016" i="16"/>
  <c r="D1016" i="16"/>
  <c r="C1017" i="16"/>
  <c r="D1017" i="16"/>
  <c r="C1018" i="16"/>
  <c r="D1018" i="16"/>
  <c r="C1019" i="16"/>
  <c r="D1019" i="16"/>
  <c r="C1020" i="16"/>
  <c r="D1020" i="16"/>
  <c r="C1021" i="16"/>
  <c r="D1021" i="16"/>
  <c r="C1022" i="16"/>
  <c r="D1022" i="16"/>
  <c r="C1023" i="16"/>
  <c r="D1023" i="16"/>
  <c r="C1024" i="16"/>
  <c r="D1024" i="16"/>
  <c r="C1025" i="16"/>
  <c r="D1025" i="16"/>
  <c r="C1026" i="16"/>
  <c r="D1026" i="16"/>
  <c r="C1027" i="16"/>
  <c r="D1027" i="16"/>
  <c r="C1028" i="16"/>
  <c r="D1028" i="16"/>
  <c r="C1029" i="16"/>
  <c r="D1029" i="16"/>
  <c r="C1030" i="16"/>
  <c r="D1030" i="16"/>
  <c r="C1031" i="16"/>
  <c r="D1031" i="16"/>
  <c r="C1032" i="16"/>
  <c r="D1032" i="16"/>
  <c r="C1033" i="16"/>
  <c r="D1033" i="16"/>
  <c r="C1034" i="16"/>
  <c r="D1034" i="16"/>
  <c r="C1035" i="16"/>
  <c r="D1035" i="16"/>
  <c r="C1036" i="16"/>
  <c r="D1036" i="16"/>
  <c r="C1037" i="16"/>
  <c r="D1037" i="16"/>
  <c r="C1038" i="16"/>
  <c r="D1038" i="16"/>
  <c r="C1039" i="16"/>
  <c r="D1039" i="16"/>
  <c r="C1040" i="16"/>
  <c r="D1040" i="16"/>
  <c r="C1041" i="16"/>
  <c r="D1041" i="16"/>
  <c r="C1042" i="16"/>
  <c r="D1042" i="16"/>
  <c r="C1043" i="16"/>
  <c r="D1043" i="16"/>
  <c r="C1044" i="16"/>
  <c r="D1044" i="16"/>
  <c r="C1045" i="16"/>
  <c r="D1045" i="16"/>
  <c r="C1046" i="16"/>
  <c r="D1046" i="16"/>
  <c r="C1047" i="16"/>
  <c r="D1047" i="16"/>
  <c r="C1048" i="16"/>
  <c r="D1048" i="16"/>
  <c r="C1049" i="16"/>
  <c r="D1049" i="16"/>
  <c r="C1050" i="16"/>
  <c r="D1050" i="16"/>
  <c r="C1051" i="16"/>
  <c r="D1051" i="16"/>
  <c r="C1052" i="16"/>
  <c r="D1052" i="16"/>
  <c r="C1053" i="16"/>
  <c r="D1053" i="16"/>
  <c r="C1054" i="16"/>
  <c r="D1054" i="16"/>
  <c r="C1055" i="16"/>
  <c r="D1055" i="16"/>
  <c r="C1056" i="16"/>
  <c r="D1056" i="16"/>
  <c r="C1057" i="16"/>
  <c r="D1057" i="16"/>
  <c r="C1058" i="16"/>
  <c r="D1058" i="16"/>
  <c r="C1059" i="16"/>
  <c r="D1059" i="16"/>
  <c r="C1060" i="16"/>
  <c r="D1060" i="16"/>
  <c r="C1061" i="16"/>
  <c r="D1061" i="16"/>
  <c r="C1062" i="16"/>
  <c r="D1062" i="16"/>
  <c r="C1063" i="16"/>
  <c r="D1063" i="16"/>
  <c r="C1064" i="16"/>
  <c r="D1064" i="16"/>
  <c r="C1065" i="16"/>
  <c r="D1065" i="16"/>
  <c r="C1066" i="16"/>
  <c r="D1066" i="16"/>
  <c r="C1067" i="16"/>
  <c r="D1067" i="16"/>
  <c r="C1068" i="16"/>
  <c r="D1068" i="16"/>
  <c r="C1069" i="16"/>
  <c r="D1069" i="16"/>
  <c r="C1070" i="16"/>
  <c r="D1070" i="16"/>
  <c r="C1071" i="16"/>
  <c r="D1071" i="16"/>
  <c r="C1072" i="16"/>
  <c r="D1072" i="16"/>
  <c r="C1073" i="16"/>
  <c r="D1073" i="16"/>
  <c r="C1074" i="16"/>
  <c r="D1074" i="16"/>
  <c r="C1075" i="16"/>
  <c r="D1075" i="16"/>
  <c r="C1076" i="16"/>
  <c r="D1076" i="16"/>
  <c r="C1077" i="16"/>
  <c r="D1077" i="16"/>
  <c r="C1078" i="16"/>
  <c r="D1078" i="16"/>
  <c r="C1079" i="16"/>
  <c r="D1079" i="16"/>
  <c r="C1080" i="16"/>
  <c r="D1080" i="16"/>
  <c r="C1081" i="16"/>
  <c r="D1081" i="16"/>
  <c r="C1082" i="16"/>
  <c r="D1082" i="16"/>
  <c r="C1083" i="16"/>
  <c r="D1083" i="16"/>
  <c r="C1084" i="16"/>
  <c r="D1084" i="16"/>
  <c r="C1085" i="16"/>
  <c r="D1085" i="16"/>
  <c r="C1086" i="16"/>
  <c r="D1086" i="16"/>
  <c r="C1087" i="16"/>
  <c r="D1087" i="16"/>
  <c r="C1088" i="16"/>
  <c r="D1088" i="16"/>
  <c r="C1089" i="16"/>
  <c r="D1089" i="16"/>
  <c r="C1090" i="16"/>
  <c r="D1090" i="16"/>
  <c r="C1091" i="16"/>
  <c r="D1091" i="16"/>
  <c r="C1092" i="16"/>
  <c r="D1092" i="16"/>
  <c r="C1093" i="16"/>
  <c r="D1093" i="16"/>
  <c r="C1094" i="16"/>
  <c r="D1094" i="16"/>
  <c r="C1095" i="16"/>
  <c r="D1095" i="16"/>
  <c r="C1096" i="16"/>
  <c r="D1096" i="16"/>
  <c r="C1097" i="16"/>
  <c r="D1097" i="16"/>
  <c r="C1098" i="16"/>
  <c r="D1098" i="16"/>
  <c r="C1099" i="16"/>
  <c r="D1099" i="16"/>
  <c r="C1100" i="16"/>
  <c r="D1100" i="16"/>
  <c r="C1101" i="16"/>
  <c r="D1101" i="16"/>
  <c r="C1102" i="16"/>
  <c r="D1102" i="16"/>
  <c r="C1103" i="16"/>
  <c r="D1103" i="16"/>
  <c r="C1104" i="16"/>
  <c r="D1104" i="16"/>
  <c r="C1105" i="16"/>
  <c r="D1105" i="16"/>
  <c r="C1106" i="16"/>
  <c r="D1106" i="16"/>
  <c r="C1107" i="16"/>
  <c r="D1107" i="16"/>
  <c r="C1108" i="16"/>
  <c r="D1108" i="16"/>
  <c r="C1109" i="16"/>
  <c r="D1109" i="16"/>
  <c r="C1110" i="16"/>
  <c r="D1110" i="16"/>
  <c r="C1111" i="16"/>
  <c r="D1111" i="16"/>
  <c r="C1112" i="16"/>
  <c r="D1112" i="16"/>
  <c r="C1113" i="16"/>
  <c r="D1113" i="16"/>
  <c r="C1114" i="16"/>
  <c r="D1114" i="16"/>
  <c r="C1115" i="16"/>
  <c r="D1115" i="16"/>
  <c r="C1116" i="16"/>
  <c r="D1116" i="16"/>
  <c r="C1117" i="16"/>
  <c r="D1117" i="16"/>
  <c r="C1118" i="16"/>
  <c r="D1118" i="16"/>
  <c r="C1119" i="16"/>
  <c r="D1119" i="16"/>
  <c r="C1120" i="16"/>
  <c r="D1120" i="16"/>
  <c r="C1121" i="16"/>
  <c r="D1121" i="16"/>
  <c r="C1122" i="16"/>
  <c r="D1122" i="16"/>
  <c r="C1123" i="16"/>
  <c r="D1123" i="16"/>
  <c r="C1124" i="16"/>
  <c r="D1124" i="16"/>
  <c r="C1125" i="16"/>
  <c r="D1125" i="16"/>
  <c r="C1126" i="16"/>
  <c r="D1126" i="16"/>
  <c r="C1127" i="16"/>
  <c r="D1127" i="16"/>
  <c r="C1128" i="16"/>
  <c r="D1128" i="16"/>
  <c r="C1129" i="16"/>
  <c r="D1129" i="16"/>
  <c r="C1130" i="16"/>
  <c r="D1130" i="16"/>
  <c r="C1131" i="16"/>
  <c r="D1131" i="16"/>
  <c r="C1132" i="16"/>
  <c r="D1132" i="16"/>
  <c r="C1133" i="16"/>
  <c r="D1133" i="16"/>
  <c r="C1134" i="16"/>
  <c r="D1134" i="16"/>
  <c r="C1135" i="16"/>
  <c r="D1135" i="16"/>
  <c r="C1136" i="16"/>
  <c r="D1136" i="16"/>
  <c r="C1137" i="16"/>
  <c r="D1137" i="16"/>
  <c r="C1138" i="16"/>
  <c r="D1138" i="16"/>
  <c r="C1139" i="16"/>
  <c r="D1139" i="16"/>
  <c r="C1140" i="16"/>
  <c r="D1140" i="16"/>
  <c r="C1141" i="16"/>
  <c r="D1141" i="16"/>
  <c r="C1142" i="16"/>
  <c r="D1142" i="16"/>
  <c r="C1143" i="16"/>
  <c r="D1143" i="16"/>
  <c r="C1144" i="16"/>
  <c r="D1144" i="16"/>
  <c r="C1145" i="16"/>
  <c r="D1145" i="16"/>
  <c r="C1146" i="16"/>
  <c r="D1146" i="16"/>
  <c r="C1147" i="16"/>
  <c r="D1147" i="16"/>
  <c r="C1148" i="16"/>
  <c r="D1148" i="16"/>
  <c r="C1149" i="16"/>
  <c r="D1149" i="16"/>
  <c r="C1150" i="16"/>
  <c r="D1150" i="16"/>
  <c r="C1151" i="16"/>
  <c r="D1151" i="16"/>
  <c r="C1152" i="16"/>
  <c r="D1152" i="16"/>
  <c r="C1153" i="16"/>
  <c r="D1153" i="16"/>
  <c r="C1154" i="16"/>
  <c r="D1154" i="16"/>
  <c r="C1155" i="16"/>
  <c r="D1155" i="16"/>
  <c r="C1156" i="16"/>
  <c r="D1156" i="16"/>
  <c r="C1157" i="16"/>
  <c r="D1157" i="16"/>
  <c r="C1158" i="16"/>
  <c r="D1158" i="16"/>
  <c r="C1159" i="16"/>
  <c r="D1159" i="16"/>
  <c r="C1160" i="16"/>
  <c r="D1160" i="16"/>
  <c r="C1161" i="16"/>
  <c r="D1161" i="16"/>
  <c r="C1162" i="16"/>
  <c r="D1162" i="16"/>
  <c r="C1163" i="16"/>
  <c r="D1163" i="16"/>
  <c r="C1164" i="16"/>
  <c r="D1164" i="16"/>
  <c r="C1165" i="16"/>
  <c r="D1165" i="16"/>
  <c r="C1166" i="16"/>
  <c r="D1166" i="16"/>
  <c r="C1167" i="16"/>
  <c r="D1167" i="16"/>
  <c r="C1168" i="16"/>
  <c r="D1168" i="16"/>
  <c r="C1169" i="16"/>
  <c r="D1169" i="16"/>
  <c r="C1170" i="16"/>
  <c r="D1170" i="16"/>
  <c r="C1171" i="16"/>
  <c r="D1171" i="16"/>
  <c r="C1172" i="16"/>
  <c r="D1172" i="16"/>
  <c r="C1173" i="16"/>
  <c r="D1173" i="16"/>
  <c r="C1174" i="16"/>
  <c r="D1174" i="16"/>
  <c r="C1175" i="16"/>
  <c r="D1175" i="16"/>
  <c r="C1176" i="16"/>
  <c r="D1176" i="16"/>
  <c r="C1177" i="16"/>
  <c r="D1177" i="16"/>
  <c r="C1178" i="16"/>
  <c r="D1178" i="16"/>
  <c r="C1179" i="16"/>
  <c r="D1179" i="16"/>
  <c r="C1180" i="16"/>
  <c r="D1180" i="16"/>
  <c r="C1181" i="16"/>
  <c r="D1181" i="16"/>
  <c r="C1182" i="16"/>
  <c r="D1182" i="16"/>
  <c r="C1183" i="16"/>
  <c r="D1183" i="16"/>
  <c r="C1184" i="16"/>
  <c r="D1184" i="16"/>
  <c r="C1185" i="16"/>
  <c r="D1185" i="16"/>
  <c r="C1186" i="16"/>
  <c r="D1186" i="16"/>
  <c r="C1187" i="16"/>
  <c r="D1187" i="16"/>
  <c r="C1188" i="16"/>
  <c r="D1188" i="16"/>
  <c r="C1189" i="16"/>
  <c r="D1189" i="16"/>
  <c r="C1190" i="16"/>
  <c r="D1190" i="16"/>
  <c r="C1191" i="16"/>
  <c r="D1191" i="16"/>
  <c r="C1192" i="16"/>
  <c r="D1192" i="16"/>
  <c r="C1193" i="16"/>
  <c r="D1193" i="16"/>
  <c r="C1194" i="16"/>
  <c r="D1194" i="16"/>
  <c r="C1195" i="16"/>
  <c r="D1195" i="16"/>
  <c r="C1196" i="16"/>
  <c r="D1196" i="16"/>
  <c r="C1197" i="16"/>
  <c r="D1197" i="16"/>
  <c r="C1198" i="16"/>
  <c r="D1198" i="16"/>
  <c r="C1199" i="16"/>
  <c r="D1199" i="16"/>
  <c r="C1200" i="16"/>
  <c r="D1200" i="16"/>
  <c r="C1201" i="16"/>
  <c r="D1201" i="16"/>
  <c r="C1202" i="16"/>
  <c r="D1202" i="16"/>
  <c r="C1203" i="16"/>
  <c r="D1203" i="16"/>
  <c r="C1204" i="16"/>
  <c r="D1204" i="16"/>
  <c r="C1205" i="16"/>
  <c r="D1205" i="16"/>
  <c r="C1206" i="16"/>
  <c r="D1206" i="16"/>
  <c r="C1207" i="16"/>
  <c r="D1207" i="16"/>
  <c r="C1208" i="16"/>
  <c r="D1208" i="16"/>
  <c r="C1209" i="16"/>
  <c r="D1209" i="16"/>
  <c r="C1210" i="16"/>
  <c r="D1210" i="16"/>
  <c r="C1211" i="16"/>
  <c r="D1211" i="16"/>
  <c r="C1212" i="16"/>
  <c r="D1212" i="16"/>
  <c r="C1213" i="16"/>
  <c r="D1213" i="16"/>
  <c r="C1214" i="16"/>
  <c r="D1214" i="16"/>
  <c r="C1215" i="16"/>
  <c r="D1215" i="16"/>
  <c r="C1216" i="16"/>
  <c r="D1216" i="16"/>
  <c r="C1217" i="16"/>
  <c r="D1217" i="16"/>
  <c r="C1218" i="16"/>
  <c r="D1218" i="16"/>
  <c r="C1219" i="16"/>
  <c r="D1219" i="16"/>
  <c r="C1220" i="16"/>
  <c r="D1220" i="16"/>
  <c r="C1221" i="16"/>
  <c r="D1221" i="16"/>
  <c r="C1222" i="16"/>
  <c r="D1222" i="16"/>
  <c r="C1223" i="16"/>
  <c r="D1223" i="16"/>
  <c r="C1224" i="16"/>
  <c r="D1224" i="16"/>
  <c r="C1225" i="16"/>
  <c r="D1225" i="16"/>
  <c r="C1226" i="16"/>
  <c r="D1226" i="16"/>
  <c r="C1227" i="16"/>
  <c r="D1227" i="16"/>
  <c r="C1228" i="16"/>
  <c r="D1228" i="16"/>
  <c r="C1229" i="16"/>
  <c r="D1229" i="16"/>
  <c r="C1230" i="16"/>
  <c r="D1230" i="16"/>
  <c r="C1231" i="16"/>
  <c r="D1231" i="16"/>
  <c r="C1232" i="16"/>
  <c r="D1232" i="16"/>
  <c r="C1233" i="16"/>
  <c r="D1233" i="16"/>
  <c r="C1234" i="16"/>
  <c r="D1234" i="16"/>
  <c r="C1235" i="16"/>
  <c r="D1235" i="16"/>
  <c r="C1236" i="16"/>
  <c r="D1236" i="16"/>
  <c r="C1237" i="16"/>
  <c r="D1237" i="16"/>
  <c r="C1238" i="16"/>
  <c r="D1238" i="16"/>
  <c r="C1239" i="16"/>
  <c r="D1239" i="16"/>
  <c r="C1240" i="16"/>
  <c r="D1240" i="16"/>
  <c r="C1241" i="16"/>
  <c r="D1241" i="16"/>
  <c r="C1242" i="16"/>
  <c r="D1242" i="16"/>
  <c r="C1243" i="16"/>
  <c r="D1243" i="16"/>
  <c r="C1244" i="16"/>
  <c r="D1244" i="16"/>
  <c r="C1245" i="16"/>
  <c r="D1245" i="16"/>
  <c r="C1246" i="16"/>
  <c r="D1246" i="16"/>
  <c r="C1247" i="16"/>
  <c r="D1247" i="16"/>
  <c r="C1248" i="16"/>
  <c r="D1248" i="16"/>
  <c r="C1249" i="16"/>
  <c r="D1249" i="16"/>
  <c r="C1250" i="16"/>
  <c r="D1250" i="16"/>
  <c r="C1251" i="16"/>
  <c r="D1251" i="16"/>
  <c r="C1252" i="16"/>
  <c r="D1252" i="16"/>
  <c r="C1253" i="16"/>
  <c r="D1253" i="16"/>
  <c r="C1254" i="16"/>
  <c r="D1254" i="16"/>
  <c r="C1255" i="16"/>
  <c r="D1255" i="16"/>
  <c r="C1256" i="16"/>
  <c r="D1256" i="16"/>
  <c r="C1257" i="16"/>
  <c r="D1257" i="16"/>
  <c r="C1258" i="16"/>
  <c r="D1258" i="16"/>
  <c r="C1259" i="16"/>
  <c r="D1259" i="16"/>
  <c r="C1260" i="16"/>
  <c r="D1260" i="16"/>
  <c r="C1261" i="16"/>
  <c r="D1261" i="16"/>
  <c r="C1262" i="16"/>
  <c r="D1262" i="16"/>
  <c r="C1263" i="16"/>
  <c r="D1263" i="16"/>
  <c r="C1264" i="16"/>
  <c r="D1264" i="16"/>
  <c r="C1265" i="16"/>
  <c r="D1265" i="16"/>
  <c r="C1266" i="16"/>
  <c r="D1266" i="16"/>
  <c r="C1267" i="16"/>
  <c r="D1267" i="16"/>
  <c r="C1268" i="16"/>
  <c r="D1268" i="16"/>
  <c r="C1269" i="16"/>
  <c r="D1269" i="16"/>
  <c r="C1270" i="16"/>
  <c r="D1270" i="16"/>
  <c r="C1271" i="16"/>
  <c r="D1271" i="16"/>
  <c r="C1272" i="16"/>
  <c r="D1272" i="16"/>
  <c r="C1273" i="16"/>
  <c r="D1273" i="16"/>
  <c r="C1274" i="16"/>
  <c r="D1274" i="16"/>
  <c r="C1275" i="16"/>
  <c r="D1275" i="16"/>
  <c r="C1276" i="16"/>
  <c r="D1276" i="16"/>
  <c r="C1277" i="16"/>
  <c r="D1277" i="16"/>
  <c r="C1278" i="16"/>
  <c r="D1278" i="16"/>
  <c r="C1279" i="16"/>
  <c r="D1279" i="16"/>
  <c r="C1280" i="16"/>
  <c r="D1280" i="16"/>
  <c r="C1281" i="16"/>
  <c r="D1281" i="16"/>
  <c r="C1282" i="16"/>
  <c r="D1282" i="16"/>
  <c r="C1283" i="16"/>
  <c r="D1283" i="16"/>
  <c r="C1284" i="16"/>
  <c r="D1284" i="16"/>
  <c r="C1285" i="16"/>
  <c r="D1285" i="16"/>
  <c r="C1286" i="16"/>
  <c r="D1286" i="16"/>
  <c r="C1287" i="16"/>
  <c r="D1287" i="16"/>
  <c r="C1288" i="16"/>
  <c r="D1288" i="16"/>
  <c r="C1289" i="16"/>
  <c r="D1289" i="16"/>
  <c r="C1290" i="16"/>
  <c r="D1290" i="16"/>
  <c r="C1291" i="16"/>
  <c r="D1291" i="16"/>
  <c r="C1292" i="16"/>
  <c r="D1292" i="16"/>
  <c r="C1293" i="16"/>
  <c r="D1293" i="16"/>
  <c r="C1294" i="16"/>
  <c r="D1294" i="16"/>
  <c r="C1295" i="16"/>
  <c r="D1295" i="16"/>
  <c r="C1296" i="16"/>
  <c r="D1296" i="16"/>
  <c r="C1297" i="16"/>
  <c r="D1297" i="16"/>
  <c r="C1298" i="16"/>
  <c r="D1298" i="16"/>
  <c r="C1299" i="16"/>
  <c r="D1299" i="16"/>
  <c r="C1300" i="16"/>
  <c r="D1300" i="16"/>
  <c r="C1301" i="16"/>
  <c r="D1301" i="16"/>
  <c r="C1302" i="16"/>
  <c r="D1302" i="16"/>
  <c r="C1303" i="16"/>
  <c r="D1303" i="16"/>
  <c r="C1304" i="16"/>
  <c r="D1304" i="16"/>
  <c r="C1305" i="16"/>
  <c r="D1305" i="16"/>
  <c r="C1306" i="16"/>
  <c r="D1306" i="16"/>
  <c r="C1307" i="16"/>
  <c r="D1307" i="16"/>
  <c r="C1308" i="16"/>
  <c r="D1308" i="16"/>
  <c r="C1309" i="16"/>
  <c r="D1309" i="16"/>
  <c r="C1310" i="16"/>
  <c r="D1310" i="16"/>
  <c r="C1311" i="16"/>
  <c r="D1311" i="16"/>
  <c r="C1312" i="16"/>
  <c r="D1312" i="16"/>
  <c r="C1313" i="16"/>
  <c r="D1313" i="16"/>
  <c r="C1314" i="16"/>
  <c r="D1314" i="16"/>
  <c r="C1315" i="16"/>
  <c r="D1315" i="16"/>
  <c r="C1316" i="16"/>
  <c r="D1316" i="16"/>
  <c r="C1317" i="16"/>
  <c r="D1317" i="16"/>
  <c r="C1318" i="16"/>
  <c r="D1318" i="16"/>
  <c r="C1319" i="16"/>
  <c r="D1319" i="16"/>
  <c r="C1320" i="16"/>
  <c r="D1320" i="16"/>
  <c r="C1321" i="16"/>
  <c r="D1321" i="16"/>
  <c r="C1322" i="16"/>
  <c r="D1322" i="16"/>
  <c r="C1323" i="16"/>
  <c r="D1323" i="16"/>
  <c r="C1324" i="16"/>
  <c r="D1324" i="16"/>
  <c r="C1325" i="16"/>
  <c r="D1325" i="16"/>
  <c r="C1326" i="16"/>
  <c r="D1326" i="16"/>
  <c r="C1327" i="16"/>
  <c r="D1327" i="16"/>
  <c r="C1328" i="16"/>
  <c r="D1328" i="16"/>
  <c r="C1329" i="16"/>
  <c r="D1329" i="16"/>
  <c r="C1330" i="16"/>
  <c r="D1330" i="16"/>
  <c r="C1331" i="16"/>
  <c r="D1331" i="16"/>
  <c r="C1332" i="16"/>
  <c r="D1332" i="16"/>
  <c r="C1333" i="16"/>
  <c r="D1333" i="16"/>
  <c r="C1334" i="16"/>
  <c r="D1334" i="16"/>
  <c r="C1335" i="16"/>
  <c r="D1335" i="16"/>
  <c r="C1336" i="16"/>
  <c r="D1336" i="16"/>
  <c r="C1337" i="16"/>
  <c r="D1337" i="16"/>
  <c r="C1338" i="16"/>
  <c r="D1338" i="16"/>
  <c r="C1339" i="16"/>
  <c r="D1339" i="16"/>
  <c r="C1340" i="16"/>
  <c r="D1340" i="16"/>
  <c r="C1341" i="16"/>
  <c r="D1341" i="16"/>
  <c r="C1342" i="16"/>
  <c r="D1342" i="16"/>
  <c r="C1343" i="16"/>
  <c r="D1343" i="16"/>
  <c r="C1344" i="16"/>
  <c r="D1344" i="16"/>
  <c r="C1345" i="16"/>
  <c r="D1345" i="16"/>
  <c r="C1346" i="16"/>
  <c r="D1346" i="16"/>
  <c r="C1347" i="16"/>
  <c r="D1347" i="16"/>
  <c r="C1348" i="16"/>
  <c r="D1348" i="16"/>
  <c r="C1349" i="16"/>
  <c r="D1349" i="16"/>
  <c r="C1350" i="16"/>
  <c r="D1350" i="16"/>
  <c r="C1351" i="16"/>
  <c r="D1351" i="16"/>
  <c r="C1352" i="16"/>
  <c r="D1352" i="16"/>
  <c r="C1353" i="16"/>
  <c r="D1353" i="16"/>
  <c r="C1354" i="16"/>
  <c r="D1354" i="16"/>
  <c r="C1355" i="16"/>
  <c r="D1355" i="16"/>
  <c r="C1356" i="16"/>
  <c r="D1356" i="16"/>
  <c r="C1357" i="16"/>
  <c r="D1357" i="16"/>
  <c r="C1358" i="16"/>
  <c r="D1358" i="16"/>
  <c r="C1359" i="16"/>
  <c r="D1359" i="16"/>
  <c r="C1360" i="16"/>
  <c r="D1360" i="16"/>
  <c r="C1361" i="16"/>
  <c r="D1361" i="16"/>
  <c r="C1362" i="16"/>
  <c r="D1362" i="16"/>
  <c r="C1363" i="16"/>
  <c r="D1363" i="16"/>
  <c r="C1364" i="16"/>
  <c r="D1364" i="16"/>
  <c r="C1365" i="16"/>
  <c r="D1365" i="16"/>
  <c r="C1366" i="16"/>
  <c r="D1366" i="16"/>
  <c r="C1367" i="16"/>
  <c r="D1367" i="16"/>
  <c r="C1368" i="16"/>
  <c r="D1368" i="16"/>
  <c r="C1369" i="16"/>
  <c r="D1369" i="16"/>
  <c r="C1370" i="16"/>
  <c r="D1370" i="16"/>
  <c r="C1371" i="16"/>
  <c r="D1371" i="16"/>
  <c r="C1372" i="16"/>
  <c r="D1372" i="16"/>
  <c r="C1373" i="16"/>
  <c r="D1373" i="16"/>
  <c r="C1374" i="16"/>
  <c r="D1374" i="16"/>
  <c r="C1375" i="16"/>
  <c r="D1375" i="16"/>
  <c r="C1376" i="16"/>
  <c r="D1376" i="16"/>
  <c r="C1377" i="16"/>
  <c r="D1377" i="16"/>
  <c r="C1378" i="16"/>
  <c r="D1378" i="16"/>
  <c r="C1379" i="16"/>
  <c r="D1379" i="16"/>
  <c r="C1380" i="16"/>
  <c r="D1380" i="16"/>
  <c r="C1381" i="16"/>
  <c r="D1381" i="16"/>
  <c r="C1382" i="16"/>
  <c r="D1382" i="16"/>
  <c r="C1383" i="16"/>
  <c r="D1383" i="16"/>
  <c r="C1384" i="16"/>
  <c r="D1384" i="16"/>
  <c r="C1385" i="16"/>
  <c r="D1385" i="16"/>
  <c r="C1386" i="16"/>
  <c r="D1386" i="16"/>
  <c r="C1387" i="16"/>
  <c r="D1387" i="16"/>
  <c r="C1388" i="16"/>
  <c r="D1388" i="16"/>
  <c r="C1389" i="16"/>
  <c r="D1389" i="16"/>
  <c r="C1390" i="16"/>
  <c r="D1390" i="16"/>
  <c r="C1391" i="16"/>
  <c r="D1391" i="16"/>
  <c r="C1392" i="16"/>
  <c r="D1392" i="16"/>
  <c r="C1393" i="16"/>
  <c r="D1393" i="16"/>
  <c r="C1394" i="16"/>
  <c r="D1394" i="16"/>
  <c r="C1395" i="16"/>
  <c r="D1395" i="16"/>
  <c r="C1396" i="16"/>
  <c r="D1396" i="16"/>
  <c r="C1397" i="16"/>
  <c r="D1397" i="16"/>
  <c r="C1398" i="16"/>
  <c r="D1398" i="16"/>
  <c r="C1399" i="16"/>
  <c r="D1399" i="16"/>
  <c r="C1400" i="16"/>
  <c r="D1400" i="16"/>
  <c r="C1401" i="16"/>
  <c r="D1401" i="16"/>
  <c r="C1402" i="16"/>
  <c r="D1402" i="16"/>
  <c r="C1403" i="16"/>
  <c r="D1403" i="16"/>
  <c r="C1404" i="16"/>
  <c r="D1404" i="16"/>
  <c r="C1405" i="16"/>
  <c r="D1405" i="16"/>
  <c r="C1406" i="16"/>
  <c r="D1406" i="16"/>
  <c r="C1407" i="16"/>
  <c r="D1407" i="16"/>
  <c r="C1408" i="16"/>
  <c r="D1408" i="16"/>
  <c r="C1409" i="16"/>
  <c r="D1409" i="16"/>
  <c r="C1410" i="16"/>
  <c r="D1410" i="16"/>
  <c r="C1411" i="16"/>
  <c r="D1411" i="16"/>
  <c r="C1412" i="16"/>
  <c r="D1412" i="16"/>
  <c r="C1413" i="16"/>
  <c r="D1413" i="16"/>
  <c r="C1414" i="16"/>
  <c r="D1414" i="16"/>
  <c r="C1415" i="16"/>
  <c r="D1415" i="16"/>
  <c r="C1416" i="16"/>
  <c r="D1416" i="16"/>
  <c r="C1417" i="16"/>
  <c r="D1417" i="16"/>
  <c r="C1418" i="16"/>
  <c r="D1418" i="16"/>
  <c r="C1419" i="16"/>
  <c r="D1419" i="16"/>
  <c r="C1420" i="16"/>
  <c r="D1420" i="16"/>
  <c r="C1421" i="16"/>
  <c r="D1421" i="16"/>
  <c r="C1422" i="16"/>
  <c r="D1422" i="16"/>
  <c r="C1423" i="16"/>
  <c r="D1423" i="16"/>
  <c r="C1424" i="16"/>
  <c r="D1424" i="16"/>
  <c r="C1425" i="16"/>
  <c r="D1425" i="16"/>
  <c r="C1426" i="16"/>
  <c r="D1426" i="16"/>
  <c r="C1427" i="16"/>
  <c r="D1427" i="16"/>
  <c r="C1428" i="16"/>
  <c r="D1428" i="16"/>
  <c r="C1429" i="16"/>
  <c r="D1429" i="16"/>
  <c r="C1430" i="16"/>
  <c r="D1430" i="16"/>
  <c r="C1431" i="16"/>
  <c r="D1431" i="16"/>
  <c r="C1432" i="16"/>
  <c r="D1432" i="16"/>
  <c r="C1433" i="16"/>
  <c r="D1433" i="16"/>
  <c r="C1434" i="16"/>
  <c r="D1434" i="16"/>
  <c r="C1435" i="16"/>
  <c r="D1435" i="16"/>
  <c r="C1436" i="16"/>
  <c r="D1436" i="16"/>
  <c r="C1437" i="16"/>
  <c r="D1437" i="16"/>
  <c r="C1438" i="16"/>
  <c r="D1438" i="16"/>
  <c r="C1439" i="16"/>
  <c r="D1439" i="16"/>
  <c r="C1440" i="16"/>
  <c r="D1440" i="16"/>
  <c r="C1441" i="16"/>
  <c r="D1441" i="16"/>
  <c r="C1442" i="16"/>
  <c r="D1442" i="16"/>
  <c r="C1443" i="16"/>
  <c r="D1443" i="16"/>
  <c r="C1444" i="16"/>
  <c r="D1444" i="16"/>
  <c r="C1445" i="16"/>
  <c r="D1445" i="16"/>
  <c r="C1446" i="16"/>
  <c r="D1446" i="16"/>
  <c r="C1447" i="16"/>
  <c r="D1447" i="16"/>
  <c r="C1448" i="16"/>
  <c r="D1448" i="16"/>
  <c r="C1449" i="16"/>
  <c r="D1449" i="16"/>
  <c r="C1450" i="16"/>
  <c r="D1450" i="16"/>
  <c r="C1451" i="16"/>
  <c r="D1451" i="16"/>
  <c r="C1452" i="16"/>
  <c r="D1452" i="16"/>
  <c r="C1453" i="16"/>
  <c r="D1453" i="16"/>
  <c r="C1454" i="16"/>
  <c r="D1454" i="16"/>
  <c r="C1455" i="16"/>
  <c r="D1455" i="16"/>
  <c r="C1456" i="16"/>
  <c r="D1456" i="16"/>
  <c r="C1457" i="16"/>
  <c r="D1457" i="16"/>
  <c r="C1458" i="16"/>
  <c r="D1458" i="16"/>
  <c r="C1459" i="16"/>
  <c r="D1459" i="16"/>
  <c r="C1460" i="16"/>
  <c r="D1460" i="16"/>
  <c r="C1461" i="16"/>
  <c r="D1461" i="16"/>
  <c r="C1462" i="16"/>
  <c r="D1462" i="16"/>
  <c r="C1463" i="16"/>
  <c r="D1463" i="16"/>
  <c r="C1464" i="16"/>
  <c r="D1464" i="16"/>
  <c r="C1465" i="16"/>
  <c r="D1465" i="16"/>
  <c r="C1466" i="16"/>
  <c r="D1466" i="16"/>
  <c r="C1467" i="16"/>
  <c r="D1467" i="16"/>
  <c r="C1468" i="16"/>
  <c r="D1468" i="16"/>
  <c r="C1469" i="16"/>
  <c r="D1469" i="16"/>
  <c r="C1470" i="16"/>
  <c r="D1470" i="16"/>
  <c r="C1471" i="16"/>
  <c r="D1471" i="16"/>
  <c r="C1472" i="16"/>
  <c r="D1472" i="16"/>
  <c r="C1473" i="16"/>
  <c r="D1473" i="16"/>
  <c r="C1474" i="16"/>
  <c r="D1474" i="16"/>
  <c r="C1475" i="16"/>
  <c r="D1475" i="16"/>
  <c r="C1476" i="16"/>
  <c r="D1476" i="16"/>
  <c r="C1477" i="16"/>
  <c r="D1477" i="16"/>
  <c r="C1478" i="16"/>
  <c r="D1478" i="16"/>
  <c r="C1479" i="16"/>
  <c r="D1479" i="16"/>
  <c r="C1480" i="16"/>
  <c r="D1480" i="16"/>
  <c r="C1481" i="16"/>
  <c r="D1481" i="16"/>
  <c r="C1482" i="16"/>
  <c r="D1482" i="16"/>
  <c r="C1483" i="16"/>
  <c r="D1483" i="16"/>
  <c r="C1484" i="16"/>
  <c r="D1484" i="16"/>
  <c r="C1485" i="16"/>
  <c r="D1485" i="16"/>
  <c r="C1486" i="16"/>
  <c r="D1486" i="16"/>
  <c r="C1487" i="16"/>
  <c r="D1487" i="16"/>
  <c r="C1488" i="16"/>
  <c r="D1488" i="16"/>
  <c r="C1489" i="16"/>
  <c r="D1489" i="16"/>
  <c r="C1490" i="16"/>
  <c r="D1490" i="16"/>
  <c r="C1491" i="16"/>
  <c r="D1491" i="16"/>
  <c r="C1492" i="16"/>
  <c r="D1492" i="16"/>
  <c r="C1493" i="16"/>
  <c r="D1493" i="16"/>
  <c r="C1494" i="16"/>
  <c r="D1494" i="16"/>
  <c r="C1495" i="16"/>
  <c r="D1495" i="16"/>
  <c r="C1496" i="16"/>
  <c r="D1496" i="16"/>
  <c r="C1497" i="16"/>
  <c r="D1497" i="16"/>
  <c r="C1498" i="16"/>
  <c r="D1498" i="16"/>
  <c r="C1499" i="16"/>
  <c r="D1499" i="16"/>
  <c r="C1500" i="16"/>
  <c r="D1500" i="16"/>
  <c r="C1501" i="16"/>
  <c r="D1501" i="16"/>
  <c r="C1502" i="16"/>
  <c r="D1502" i="16"/>
  <c r="C1503" i="16"/>
  <c r="D1503" i="16"/>
  <c r="C1504" i="16"/>
  <c r="D1504" i="16"/>
  <c r="C1505" i="16"/>
  <c r="D1505" i="16"/>
  <c r="C1506" i="16"/>
  <c r="D1506" i="16"/>
  <c r="C1507" i="16"/>
  <c r="D1507" i="16"/>
  <c r="C1508" i="16"/>
  <c r="D1508" i="16"/>
  <c r="C1509" i="16"/>
  <c r="D1509" i="16"/>
  <c r="C1510" i="16"/>
  <c r="D1510" i="16"/>
  <c r="C1511" i="16"/>
  <c r="D1511" i="16"/>
  <c r="C1512" i="16"/>
  <c r="D1512" i="16"/>
  <c r="C1513" i="16"/>
  <c r="D1513" i="16"/>
  <c r="C1514" i="16"/>
  <c r="D1514" i="16"/>
  <c r="C1515" i="16"/>
  <c r="D1515" i="16"/>
  <c r="C1516" i="16"/>
  <c r="D1516" i="16" s="1"/>
  <c r="H19" i="16" l="1"/>
  <c r="H18" i="16"/>
  <c r="F17" i="16"/>
  <c r="D7" i="9"/>
  <c r="D7" i="2"/>
  <c r="M17" i="16" a="1"/>
  <c r="L18" i="16"/>
  <c r="L19" i="16"/>
  <c r="L20" i="16" s="1"/>
  <c r="L21" i="16" s="1"/>
  <c r="L22" i="16"/>
  <c r="L23" i="16"/>
  <c r="L24" i="16"/>
  <c r="L25" i="16"/>
  <c r="L26" i="16"/>
  <c r="M18" i="16"/>
  <c r="F18" i="16"/>
  <c r="L27" i="16"/>
  <c r="F19" i="16"/>
  <c r="M19" i="16"/>
  <c r="L28" i="16"/>
  <c r="F20" i="16"/>
  <c r="M20" i="16"/>
  <c r="L29" i="16"/>
  <c r="F21" i="16"/>
  <c r="M21" i="16"/>
  <c r="L30" i="16"/>
  <c r="F22" i="16"/>
  <c r="M22" i="16"/>
  <c r="L31" i="16"/>
  <c r="F23" i="16"/>
  <c r="M23" i="16"/>
  <c r="L32" i="16"/>
  <c r="F24" i="16"/>
  <c r="M24" i="16"/>
  <c r="L33" i="16"/>
  <c r="F25" i="16"/>
  <c r="M25" i="16"/>
  <c r="L34" i="16"/>
  <c r="F26" i="16"/>
  <c r="M26" i="16"/>
  <c r="L35" i="16"/>
  <c r="M27" i="16"/>
  <c r="F27" i="16"/>
  <c r="L36" i="16"/>
  <c r="M28" i="16"/>
  <c r="F28" i="16"/>
  <c r="L37" i="16"/>
  <c r="F29" i="16"/>
  <c r="M29" i="16"/>
  <c r="L38" i="16"/>
  <c r="F30" i="16"/>
  <c r="M30" i="16"/>
  <c r="L39" i="16"/>
  <c r="M31" i="16"/>
  <c r="F31" i="16"/>
  <c r="L40" i="16"/>
  <c r="F32" i="16"/>
  <c r="M32" i="16"/>
  <c r="L41" i="16"/>
  <c r="F33" i="16"/>
  <c r="M33" i="16"/>
  <c r="L42" i="16"/>
  <c r="F34" i="16"/>
  <c r="M34" i="16"/>
  <c r="L43" i="16"/>
  <c r="F35" i="16"/>
  <c r="M35" i="16"/>
  <c r="L44" i="16"/>
  <c r="F36" i="16"/>
  <c r="M36" i="16"/>
  <c r="L45" i="16"/>
  <c r="F37" i="16"/>
  <c r="M37" i="16"/>
  <c r="L46" i="16"/>
  <c r="F38" i="16"/>
  <c r="M38" i="16"/>
  <c r="L47" i="16"/>
  <c r="M39" i="16"/>
  <c r="F39" i="16"/>
  <c r="L48" i="16"/>
  <c r="F40" i="16"/>
  <c r="M40" i="16"/>
  <c r="L49" i="16"/>
  <c r="F41" i="16"/>
  <c r="M41" i="16"/>
  <c r="L50" i="16"/>
  <c r="F42" i="16"/>
  <c r="M42" i="16"/>
  <c r="L51" i="16"/>
  <c r="F43" i="16"/>
  <c r="M43" i="16"/>
  <c r="L52" i="16"/>
  <c r="M44" i="16"/>
  <c r="F44" i="16"/>
  <c r="L53" i="16"/>
  <c r="F45" i="16"/>
  <c r="M45" i="16"/>
  <c r="L54" i="16"/>
  <c r="M46" i="16"/>
  <c r="F46" i="16"/>
  <c r="L55" i="16"/>
  <c r="M47" i="16"/>
  <c r="F47" i="16"/>
  <c r="L56" i="16"/>
  <c r="F48" i="16"/>
  <c r="M48" i="16"/>
  <c r="L57" i="16"/>
  <c r="M49" i="16"/>
  <c r="F49" i="16"/>
  <c r="L58" i="16"/>
  <c r="M50" i="16"/>
  <c r="F50" i="16"/>
  <c r="L59" i="16"/>
  <c r="F51" i="16"/>
  <c r="M51" i="16"/>
  <c r="L60" i="16"/>
  <c r="M52" i="16"/>
  <c r="F52" i="16"/>
  <c r="L61" i="16"/>
  <c r="F53" i="16"/>
  <c r="M53" i="16"/>
  <c r="L62" i="16"/>
  <c r="F54" i="16"/>
  <c r="M54" i="16"/>
  <c r="L63" i="16"/>
  <c r="M55" i="16"/>
  <c r="F55" i="16"/>
  <c r="L64" i="16"/>
  <c r="M56" i="16"/>
  <c r="F56" i="16"/>
  <c r="L65" i="16"/>
  <c r="M57" i="16"/>
  <c r="F57" i="16"/>
  <c r="L66" i="16"/>
  <c r="F58" i="16"/>
  <c r="M58" i="16"/>
  <c r="L67" i="16"/>
  <c r="F59" i="16"/>
  <c r="M59" i="16"/>
  <c r="L68" i="16"/>
  <c r="M60" i="16"/>
  <c r="F60" i="16"/>
  <c r="L69" i="16"/>
  <c r="M61" i="16"/>
  <c r="F61" i="16"/>
  <c r="L70" i="16"/>
  <c r="F62" i="16"/>
  <c r="M62" i="16"/>
  <c r="L71" i="16"/>
  <c r="M63" i="16"/>
  <c r="F63" i="16"/>
  <c r="L72" i="16"/>
  <c r="F64" i="16"/>
  <c r="M64" i="16"/>
  <c r="L73" i="16"/>
  <c r="F65" i="16"/>
  <c r="M65" i="16"/>
  <c r="L74" i="16"/>
  <c r="M66" i="16"/>
  <c r="F66" i="16"/>
  <c r="L75" i="16"/>
  <c r="M67" i="16"/>
  <c r="F67" i="16"/>
  <c r="L76" i="16"/>
  <c r="F68" i="16"/>
  <c r="M68" i="16"/>
  <c r="L77" i="16"/>
  <c r="M69" i="16"/>
  <c r="F69" i="16"/>
  <c r="L78" i="16"/>
  <c r="F70" i="16"/>
  <c r="M70" i="16"/>
  <c r="L79" i="16"/>
  <c r="F71" i="16"/>
  <c r="M71" i="16"/>
  <c r="L80" i="16"/>
  <c r="M72" i="16"/>
  <c r="F72" i="16"/>
  <c r="L81" i="16"/>
  <c r="M73" i="16"/>
  <c r="F73" i="16"/>
  <c r="L82" i="16"/>
  <c r="F74" i="16"/>
  <c r="M74" i="16"/>
  <c r="L83" i="16"/>
  <c r="F75" i="16"/>
  <c r="M75" i="16"/>
  <c r="L84" i="16"/>
  <c r="M76" i="16"/>
  <c r="F76" i="16"/>
  <c r="L85" i="16"/>
  <c r="F77" i="16"/>
  <c r="M77" i="16"/>
  <c r="L86" i="16"/>
  <c r="F78" i="16"/>
  <c r="M78" i="16"/>
  <c r="L87" i="16"/>
  <c r="M79" i="16"/>
  <c r="F79" i="16"/>
  <c r="L88" i="16"/>
  <c r="F80" i="16"/>
  <c r="M80" i="16"/>
  <c r="L89" i="16"/>
  <c r="M81" i="16"/>
  <c r="F81" i="16"/>
  <c r="L90" i="16"/>
  <c r="M82" i="16"/>
  <c r="F82" i="16"/>
  <c r="L91" i="16"/>
  <c r="F83" i="16"/>
  <c r="M83" i="16"/>
  <c r="L92" i="16"/>
  <c r="F84" i="16"/>
  <c r="M84" i="16"/>
  <c r="L93" i="16"/>
  <c r="F85" i="16"/>
  <c r="M85" i="16"/>
  <c r="L94" i="16"/>
  <c r="F86" i="16"/>
  <c r="M86" i="16"/>
  <c r="L95" i="16"/>
  <c r="F87" i="16"/>
  <c r="M87" i="16"/>
  <c r="L96" i="16"/>
  <c r="F88" i="16"/>
  <c r="M88" i="16"/>
  <c r="L97" i="16"/>
  <c r="F89" i="16"/>
  <c r="M89" i="16"/>
  <c r="L98" i="16"/>
  <c r="F90" i="16"/>
  <c r="M90" i="16"/>
  <c r="L99" i="16"/>
  <c r="F91" i="16"/>
  <c r="M91" i="16"/>
  <c r="L100" i="16"/>
  <c r="M92" i="16"/>
  <c r="F92" i="16"/>
  <c r="L101" i="16"/>
  <c r="F93" i="16"/>
  <c r="M93" i="16"/>
  <c r="L102" i="16"/>
  <c r="F94" i="16"/>
  <c r="M94" i="16"/>
  <c r="L103" i="16"/>
  <c r="F95" i="16"/>
  <c r="M95" i="16"/>
  <c r="L104" i="16"/>
  <c r="F96" i="16"/>
  <c r="M96" i="16"/>
  <c r="L105" i="16"/>
  <c r="M97" i="16"/>
  <c r="F97" i="16"/>
  <c r="L106" i="16"/>
  <c r="M98" i="16"/>
  <c r="F98" i="16"/>
  <c r="L107" i="16"/>
  <c r="F99" i="16"/>
  <c r="M99" i="16"/>
  <c r="L108" i="16"/>
  <c r="F100" i="16"/>
  <c r="M100" i="16"/>
  <c r="L109" i="16"/>
  <c r="F101" i="16"/>
  <c r="M101" i="16"/>
  <c r="L110" i="16"/>
  <c r="F102" i="16"/>
  <c r="M102" i="16"/>
  <c r="L111" i="16"/>
  <c r="F103" i="16"/>
  <c r="M103" i="16"/>
  <c r="L112" i="16"/>
  <c r="F104" i="16"/>
  <c r="M104" i="16"/>
  <c r="L113" i="16"/>
  <c r="M105" i="16"/>
  <c r="F105" i="16"/>
  <c r="L114" i="16"/>
  <c r="F106" i="16"/>
  <c r="M106" i="16"/>
  <c r="L115" i="16"/>
  <c r="F107" i="16"/>
  <c r="M107" i="16"/>
  <c r="L116" i="16"/>
  <c r="M108" i="16"/>
  <c r="F108" i="16"/>
  <c r="L117" i="16"/>
  <c r="F109" i="16"/>
  <c r="M109" i="16"/>
  <c r="L118" i="16"/>
  <c r="F110" i="16"/>
  <c r="M110" i="16"/>
  <c r="L119" i="16"/>
  <c r="F111" i="16"/>
  <c r="M111" i="16"/>
  <c r="L120" i="16"/>
  <c r="F112" i="16"/>
  <c r="M112" i="16"/>
  <c r="L121" i="16"/>
  <c r="F113" i="16"/>
  <c r="M113" i="16"/>
  <c r="L122" i="16"/>
  <c r="M114" i="16"/>
  <c r="F114" i="16"/>
  <c r="L123" i="16"/>
  <c r="F115" i="16"/>
  <c r="M115" i="16"/>
  <c r="L124" i="16"/>
  <c r="F116" i="16"/>
  <c r="M116" i="16"/>
  <c r="L125" i="16"/>
  <c r="F117" i="16"/>
  <c r="M117" i="16"/>
  <c r="L126" i="16"/>
  <c r="F118" i="16"/>
  <c r="M118" i="16"/>
  <c r="L127" i="16"/>
  <c r="M119" i="16"/>
  <c r="F119" i="16"/>
  <c r="L128" i="16"/>
  <c r="F120" i="16"/>
  <c r="M120" i="16"/>
  <c r="L129" i="16"/>
  <c r="F121" i="16"/>
  <c r="M121" i="16"/>
  <c r="L130" i="16"/>
  <c r="F122" i="16"/>
  <c r="M122" i="16"/>
  <c r="L131" i="16"/>
  <c r="F123" i="16"/>
  <c r="M123" i="16"/>
  <c r="L132" i="16"/>
  <c r="M124" i="16"/>
  <c r="F124" i="16"/>
  <c r="L133" i="16"/>
  <c r="F125" i="16"/>
  <c r="M125" i="16"/>
  <c r="L134" i="16"/>
  <c r="F126" i="16"/>
  <c r="M126" i="16"/>
  <c r="L135" i="16"/>
  <c r="F127" i="16"/>
  <c r="M127" i="16"/>
  <c r="L136" i="16"/>
  <c r="F128" i="16"/>
  <c r="M128" i="16"/>
  <c r="L137" i="16"/>
  <c r="F129" i="16"/>
  <c r="M129" i="16"/>
  <c r="L138" i="16"/>
  <c r="F130" i="16"/>
  <c r="M130" i="16"/>
  <c r="L139" i="16"/>
  <c r="M131" i="16"/>
  <c r="F131" i="16"/>
  <c r="L140" i="16"/>
  <c r="F132" i="16"/>
  <c r="M132" i="16"/>
  <c r="L141" i="16"/>
  <c r="F133" i="16"/>
  <c r="M133" i="16"/>
  <c r="L142" i="16"/>
  <c r="F134" i="16"/>
  <c r="M134" i="16"/>
  <c r="L143" i="16"/>
  <c r="F135" i="16"/>
  <c r="M135" i="16"/>
  <c r="L144" i="16"/>
  <c r="F136" i="16"/>
  <c r="M136" i="16"/>
  <c r="L145" i="16"/>
  <c r="F137" i="16"/>
  <c r="M137" i="16"/>
  <c r="L146" i="16"/>
  <c r="F138" i="16"/>
  <c r="M138" i="16"/>
  <c r="L147" i="16"/>
  <c r="F139" i="16"/>
  <c r="M139" i="16"/>
  <c r="L148" i="16"/>
  <c r="M140" i="16"/>
  <c r="F140" i="16"/>
  <c r="L149" i="16"/>
  <c r="F141" i="16"/>
  <c r="M141" i="16"/>
  <c r="L150" i="16"/>
  <c r="F142" i="16"/>
  <c r="M142" i="16"/>
  <c r="L151" i="16"/>
  <c r="M143" i="16"/>
  <c r="F143" i="16"/>
  <c r="L152" i="16"/>
  <c r="F144" i="16"/>
  <c r="M144" i="16"/>
  <c r="L153" i="16"/>
  <c r="F145" i="16"/>
  <c r="M145" i="16"/>
  <c r="L154" i="16"/>
  <c r="M146" i="16"/>
  <c r="F146" i="16"/>
  <c r="L155" i="16"/>
  <c r="F147" i="16"/>
  <c r="M147" i="16"/>
  <c r="L156" i="16"/>
  <c r="F148" i="16"/>
  <c r="M148" i="16"/>
  <c r="L157" i="16"/>
  <c r="F149" i="16"/>
  <c r="M149" i="16"/>
  <c r="L158" i="16"/>
  <c r="F150" i="16"/>
  <c r="M150" i="16"/>
  <c r="L159" i="16"/>
  <c r="F151" i="16"/>
  <c r="M151" i="16"/>
  <c r="L160" i="16"/>
  <c r="F152" i="16"/>
  <c r="M152" i="16"/>
  <c r="L161" i="16"/>
  <c r="F153" i="16"/>
  <c r="M153" i="16"/>
  <c r="L162" i="16"/>
  <c r="F154" i="16"/>
  <c r="M154" i="16"/>
  <c r="L163" i="16"/>
  <c r="F155" i="16"/>
  <c r="M155" i="16"/>
  <c r="L164" i="16"/>
  <c r="M156" i="16"/>
  <c r="F156" i="16"/>
  <c r="L165" i="16"/>
  <c r="F157" i="16"/>
  <c r="M157" i="16"/>
  <c r="L166" i="16"/>
  <c r="F158" i="16"/>
  <c r="M158" i="16"/>
  <c r="L167" i="16"/>
  <c r="M159" i="16"/>
  <c r="F159" i="16"/>
  <c r="L168" i="16"/>
  <c r="F160" i="16"/>
  <c r="M160" i="16"/>
  <c r="L169" i="16"/>
  <c r="M161" i="16"/>
  <c r="F161" i="16"/>
  <c r="L170" i="16"/>
  <c r="M162" i="16"/>
  <c r="F162" i="16"/>
  <c r="L171" i="16"/>
  <c r="F163" i="16"/>
  <c r="M163" i="16"/>
  <c r="L172" i="16"/>
  <c r="F164" i="16"/>
  <c r="M164" i="16"/>
  <c r="L173" i="16"/>
  <c r="M165" i="16"/>
  <c r="F165" i="16"/>
  <c r="L174" i="16"/>
  <c r="M166" i="16"/>
  <c r="F166" i="16"/>
  <c r="L175" i="16"/>
  <c r="F167" i="16"/>
  <c r="M167" i="16"/>
  <c r="L176" i="16"/>
  <c r="M168" i="16"/>
  <c r="F168" i="16"/>
  <c r="L177" i="16"/>
  <c r="M169" i="16"/>
  <c r="F169" i="16"/>
  <c r="L178" i="16"/>
  <c r="F170" i="16"/>
  <c r="M170" i="16"/>
  <c r="L179" i="16"/>
  <c r="F171" i="16"/>
  <c r="M171" i="16"/>
  <c r="L180" i="16"/>
  <c r="M172" i="16"/>
  <c r="F172" i="16"/>
  <c r="L181" i="16"/>
  <c r="F173" i="16"/>
  <c r="M173" i="16"/>
  <c r="L182" i="16"/>
  <c r="M174" i="16"/>
  <c r="F174" i="16"/>
  <c r="L183" i="16"/>
  <c r="M175" i="16"/>
  <c r="F175" i="16"/>
  <c r="L184" i="16"/>
  <c r="F176" i="16"/>
  <c r="M176" i="16"/>
  <c r="L185" i="16"/>
  <c r="M177" i="16"/>
  <c r="F177" i="16"/>
  <c r="L186" i="16"/>
  <c r="M178" i="16"/>
  <c r="F178" i="16"/>
  <c r="L187" i="16"/>
  <c r="F179" i="16"/>
  <c r="M179" i="16"/>
  <c r="L188" i="16"/>
  <c r="F180" i="16"/>
  <c r="M180" i="16"/>
  <c r="L189" i="16"/>
  <c r="F181" i="16"/>
  <c r="M181" i="16"/>
  <c r="L190" i="16"/>
  <c r="F182" i="16"/>
  <c r="M182" i="16"/>
  <c r="L191" i="16"/>
  <c r="F183" i="16"/>
  <c r="M183" i="16"/>
  <c r="L192" i="16"/>
  <c r="F184" i="16"/>
  <c r="M184" i="16"/>
  <c r="L193" i="16"/>
  <c r="F185" i="16"/>
  <c r="M185" i="16"/>
  <c r="L194" i="16"/>
  <c r="F186" i="16"/>
  <c r="M186" i="16"/>
  <c r="L195" i="16"/>
  <c r="F187" i="16"/>
  <c r="M187" i="16"/>
  <c r="L196" i="16"/>
  <c r="M188" i="16"/>
  <c r="F188" i="16"/>
  <c r="L197" i="16"/>
  <c r="F189" i="16"/>
  <c r="M189" i="16"/>
  <c r="L198" i="16"/>
  <c r="M190" i="16"/>
  <c r="F190" i="16"/>
  <c r="L199" i="16"/>
  <c r="M191" i="16"/>
  <c r="F191" i="16"/>
  <c r="L200" i="16"/>
  <c r="F192" i="16"/>
  <c r="M192" i="16"/>
  <c r="L201" i="16"/>
  <c r="F193" i="16"/>
  <c r="M193" i="16"/>
  <c r="L202" i="16"/>
  <c r="F194" i="16"/>
  <c r="M194" i="16"/>
  <c r="L203" i="16"/>
  <c r="F195" i="16"/>
  <c r="M195" i="16"/>
  <c r="L204" i="16"/>
  <c r="F196" i="16"/>
  <c r="M196" i="16"/>
  <c r="L205" i="16"/>
  <c r="F197" i="16"/>
  <c r="M197" i="16"/>
  <c r="L206" i="16"/>
  <c r="F198" i="16"/>
  <c r="M198" i="16"/>
  <c r="L207" i="16"/>
  <c r="F199" i="16"/>
  <c r="M199" i="16"/>
  <c r="L208" i="16"/>
  <c r="M200" i="16"/>
  <c r="F200" i="16"/>
  <c r="L209" i="16"/>
  <c r="F201" i="16"/>
  <c r="M201" i="16"/>
  <c r="L210" i="16"/>
  <c r="F202" i="16"/>
  <c r="M202" i="16"/>
  <c r="L211" i="16"/>
  <c r="F203" i="16"/>
  <c r="M203" i="16"/>
  <c r="L212" i="16"/>
  <c r="M204" i="16"/>
  <c r="F204" i="16"/>
  <c r="L213" i="16"/>
  <c r="F205" i="16"/>
  <c r="M205" i="16"/>
  <c r="L214" i="16"/>
  <c r="F206" i="16"/>
  <c r="M206" i="16"/>
  <c r="L215" i="16"/>
  <c r="F207" i="16"/>
  <c r="M207" i="16"/>
  <c r="L216" i="16"/>
  <c r="F208" i="16"/>
  <c r="M208" i="16"/>
  <c r="L217" i="16"/>
  <c r="F209" i="16"/>
  <c r="M209" i="16"/>
  <c r="L218" i="16"/>
  <c r="M210" i="16"/>
  <c r="F210" i="16"/>
  <c r="L219" i="16"/>
  <c r="F211" i="16"/>
  <c r="M211" i="16"/>
  <c r="L220" i="16"/>
  <c r="F212" i="16"/>
  <c r="M212" i="16"/>
  <c r="L221" i="16"/>
  <c r="F213" i="16"/>
  <c r="M213" i="16"/>
  <c r="L222" i="16"/>
  <c r="F214" i="16"/>
  <c r="M214" i="16"/>
  <c r="L223" i="16"/>
  <c r="F215" i="16"/>
  <c r="M215" i="16"/>
  <c r="L224" i="16"/>
  <c r="M216" i="16"/>
  <c r="F216" i="16"/>
  <c r="L225" i="16"/>
  <c r="M217" i="16"/>
  <c r="F217" i="16"/>
  <c r="L226" i="16"/>
  <c r="F218" i="16"/>
  <c r="M218" i="16"/>
  <c r="L227" i="16"/>
  <c r="F219" i="16"/>
  <c r="M219" i="16"/>
  <c r="L228" i="16"/>
  <c r="M220" i="16"/>
  <c r="F220" i="16"/>
  <c r="L229" i="16"/>
  <c r="F221" i="16"/>
  <c r="M221" i="16"/>
  <c r="L230" i="16"/>
  <c r="F222" i="16"/>
  <c r="M222" i="16"/>
  <c r="L231" i="16"/>
  <c r="F223" i="16"/>
  <c r="M223" i="16"/>
  <c r="L232" i="16"/>
  <c r="F224" i="16"/>
  <c r="M224" i="16"/>
  <c r="L233" i="16"/>
  <c r="F225" i="16"/>
  <c r="M225" i="16"/>
  <c r="L234" i="16"/>
  <c r="F226" i="16"/>
  <c r="M226" i="16"/>
  <c r="L235" i="16"/>
  <c r="F227" i="16"/>
  <c r="M227" i="16"/>
  <c r="L236" i="16"/>
  <c r="F228" i="16"/>
  <c r="M228" i="16"/>
  <c r="L237" i="16"/>
  <c r="F229" i="16"/>
  <c r="M229" i="16"/>
  <c r="L238" i="16"/>
  <c r="F230" i="16"/>
  <c r="M230" i="16"/>
  <c r="L239" i="16"/>
  <c r="F231" i="16"/>
  <c r="M231" i="16"/>
  <c r="L240" i="16"/>
  <c r="F232" i="16"/>
  <c r="M232" i="16"/>
  <c r="L241" i="16"/>
  <c r="F233" i="16"/>
  <c r="M233" i="16"/>
  <c r="L242" i="16"/>
  <c r="F234" i="16"/>
  <c r="M234" i="16"/>
  <c r="L243" i="16"/>
  <c r="F235" i="16"/>
  <c r="M235" i="16"/>
  <c r="L244" i="16"/>
  <c r="M236" i="16"/>
  <c r="F236" i="16"/>
  <c r="L245" i="16"/>
  <c r="F237" i="16"/>
  <c r="M237" i="16"/>
  <c r="L246" i="16"/>
  <c r="F238" i="16"/>
  <c r="M238" i="16"/>
  <c r="L247" i="16"/>
  <c r="M239" i="16"/>
  <c r="F239" i="16"/>
  <c r="L248" i="16"/>
  <c r="F240" i="16"/>
  <c r="M240" i="16"/>
  <c r="L249" i="16"/>
  <c r="F241" i="16"/>
  <c r="M241" i="16"/>
  <c r="L250" i="16"/>
  <c r="F242" i="16"/>
  <c r="M242" i="16"/>
  <c r="L251" i="16"/>
  <c r="M243" i="16"/>
  <c r="F243" i="16"/>
  <c r="L252" i="16"/>
  <c r="M244" i="16"/>
  <c r="F244" i="16"/>
  <c r="L253" i="16"/>
  <c r="F245" i="16"/>
  <c r="M245" i="16"/>
  <c r="L254" i="16"/>
  <c r="F246" i="16"/>
  <c r="M246" i="16"/>
  <c r="L255" i="16"/>
  <c r="M247" i="16"/>
  <c r="F247" i="16"/>
  <c r="L256" i="16"/>
  <c r="F248" i="16"/>
  <c r="M248" i="16"/>
  <c r="L257" i="16"/>
  <c r="M249" i="16"/>
  <c r="F249" i="16"/>
  <c r="L258" i="16"/>
  <c r="F250" i="16"/>
  <c r="M250" i="16"/>
  <c r="L259" i="16"/>
  <c r="F251" i="16"/>
  <c r="M251" i="16"/>
  <c r="L260" i="16"/>
  <c r="F252" i="16"/>
  <c r="M252" i="16"/>
  <c r="L261" i="16"/>
  <c r="M253" i="16"/>
  <c r="F253" i="16"/>
  <c r="L262" i="16"/>
  <c r="M254" i="16"/>
  <c r="F254" i="16"/>
  <c r="L263" i="16"/>
  <c r="M255" i="16"/>
  <c r="F255" i="16"/>
  <c r="L264" i="16"/>
  <c r="F256" i="16"/>
  <c r="M256" i="16"/>
  <c r="L265" i="16"/>
  <c r="F257" i="16"/>
  <c r="M257" i="16"/>
  <c r="L266" i="16"/>
  <c r="F258" i="16"/>
  <c r="M258" i="16"/>
  <c r="L267" i="16"/>
  <c r="F259" i="16"/>
  <c r="M259" i="16"/>
  <c r="L268" i="16"/>
  <c r="F260" i="16"/>
  <c r="M260" i="16"/>
  <c r="L269" i="16"/>
  <c r="M261" i="16"/>
  <c r="F261" i="16"/>
  <c r="L270" i="16"/>
  <c r="M262" i="16"/>
  <c r="F262" i="16"/>
  <c r="L271" i="16"/>
  <c r="M263" i="16"/>
  <c r="F263" i="16"/>
  <c r="L272" i="16"/>
  <c r="F264" i="16"/>
  <c r="M264" i="16"/>
  <c r="L273" i="16"/>
  <c r="F265" i="16"/>
  <c r="M265" i="16"/>
  <c r="L274" i="16"/>
  <c r="F266" i="16"/>
  <c r="M266" i="16"/>
  <c r="L275" i="16"/>
  <c r="F267" i="16"/>
  <c r="M267" i="16"/>
  <c r="L276" i="16"/>
  <c r="F268" i="16"/>
  <c r="M268" i="16"/>
  <c r="L277" i="16"/>
  <c r="M269" i="16"/>
  <c r="F269" i="16"/>
  <c r="L278" i="16"/>
  <c r="F270" i="16"/>
  <c r="M270" i="16"/>
  <c r="L279" i="16"/>
  <c r="F271" i="16"/>
  <c r="M271" i="16"/>
  <c r="L280" i="16"/>
  <c r="F272" i="16"/>
  <c r="M272" i="16"/>
  <c r="L281" i="16"/>
  <c r="F273" i="16"/>
  <c r="M273" i="16"/>
  <c r="L282" i="16"/>
  <c r="F274" i="16"/>
  <c r="M274" i="16"/>
  <c r="L283" i="16"/>
  <c r="F275" i="16"/>
  <c r="M275" i="16"/>
  <c r="L284" i="16"/>
  <c r="F276" i="16"/>
  <c r="M276" i="16"/>
  <c r="L285" i="16"/>
  <c r="F277" i="16"/>
  <c r="M277" i="16"/>
  <c r="L286" i="16"/>
  <c r="F278" i="16"/>
  <c r="M278" i="16"/>
  <c r="L287" i="16"/>
  <c r="F279" i="16"/>
  <c r="M279" i="16"/>
  <c r="L288" i="16"/>
  <c r="M280" i="16"/>
  <c r="F280" i="16"/>
  <c r="L289" i="16"/>
  <c r="F281" i="16"/>
  <c r="M281" i="16"/>
  <c r="L290" i="16"/>
  <c r="M282" i="16"/>
  <c r="F282" i="16"/>
  <c r="L291" i="16"/>
  <c r="F283" i="16"/>
  <c r="M283" i="16"/>
  <c r="L292" i="16"/>
  <c r="M284" i="16"/>
  <c r="F284" i="16"/>
  <c r="L293" i="16"/>
  <c r="F285" i="16"/>
  <c r="M285" i="16"/>
  <c r="L294" i="16"/>
  <c r="F286" i="16"/>
  <c r="M286" i="16"/>
  <c r="L295" i="16"/>
  <c r="F287" i="16"/>
  <c r="M287" i="16"/>
  <c r="L296" i="16"/>
  <c r="F288" i="16"/>
  <c r="M288" i="16"/>
  <c r="L297" i="16"/>
  <c r="F289" i="16"/>
  <c r="M289" i="16"/>
  <c r="L298" i="16"/>
  <c r="F290" i="16"/>
  <c r="M290" i="16"/>
  <c r="L299" i="16"/>
  <c r="F291" i="16"/>
  <c r="M291" i="16"/>
  <c r="L300" i="16"/>
  <c r="M292" i="16"/>
  <c r="F292" i="16"/>
  <c r="L301" i="16"/>
  <c r="F293" i="16"/>
  <c r="M293" i="16"/>
  <c r="L302" i="16"/>
  <c r="F294" i="16"/>
  <c r="M294" i="16"/>
  <c r="L303" i="16"/>
  <c r="F295" i="16"/>
  <c r="M295" i="16"/>
  <c r="L304" i="16"/>
  <c r="M296" i="16"/>
  <c r="F296" i="16"/>
  <c r="L305" i="16"/>
  <c r="F297" i="16"/>
  <c r="M297" i="16"/>
  <c r="L306" i="16"/>
  <c r="F298" i="16"/>
  <c r="M298" i="16"/>
  <c r="L307" i="16"/>
  <c r="F299" i="16"/>
  <c r="M299" i="16"/>
  <c r="L308" i="16"/>
  <c r="M300" i="16"/>
  <c r="F300" i="16"/>
  <c r="L309" i="16"/>
  <c r="F301" i="16"/>
  <c r="M301" i="16"/>
  <c r="L310" i="16"/>
  <c r="F302" i="16"/>
  <c r="M302" i="16"/>
  <c r="L311" i="16"/>
  <c r="F303" i="16"/>
  <c r="M303" i="16"/>
  <c r="L312" i="16"/>
  <c r="F304" i="16"/>
  <c r="M304" i="16"/>
  <c r="L313" i="16"/>
  <c r="F305" i="16"/>
  <c r="M305" i="16"/>
  <c r="L314" i="16"/>
  <c r="F306" i="16"/>
  <c r="M306" i="16"/>
  <c r="L315" i="16"/>
  <c r="F307" i="16"/>
  <c r="M307" i="16"/>
  <c r="L316" i="16"/>
  <c r="F308" i="16"/>
  <c r="M308" i="16"/>
  <c r="L317" i="16"/>
  <c r="F309" i="16"/>
  <c r="M309" i="16"/>
  <c r="L318" i="16"/>
  <c r="F310" i="16"/>
  <c r="M310" i="16"/>
  <c r="L319" i="16"/>
  <c r="F311" i="16"/>
  <c r="M311" i="16"/>
  <c r="L320" i="16"/>
  <c r="F312" i="16"/>
  <c r="M312" i="16"/>
  <c r="L321" i="16"/>
  <c r="F313" i="16"/>
  <c r="M313" i="16"/>
  <c r="L322" i="16"/>
  <c r="M314" i="16"/>
  <c r="F314" i="16"/>
  <c r="L323" i="16"/>
  <c r="F315" i="16"/>
  <c r="M315" i="16"/>
  <c r="L324" i="16"/>
  <c r="M316" i="16"/>
  <c r="F316" i="16"/>
  <c r="L325" i="16"/>
  <c r="F317" i="16"/>
  <c r="M317" i="16"/>
  <c r="L326" i="16"/>
  <c r="F318" i="16"/>
  <c r="M318" i="16"/>
  <c r="L327" i="16"/>
  <c r="F319" i="16"/>
  <c r="M319" i="16"/>
  <c r="L328" i="16"/>
  <c r="F320" i="16"/>
  <c r="M320" i="16"/>
  <c r="L329" i="16"/>
  <c r="F321" i="16"/>
  <c r="M321" i="16"/>
  <c r="L330" i="16"/>
  <c r="F322" i="16"/>
  <c r="M322" i="16"/>
  <c r="L331" i="16"/>
  <c r="F323" i="16"/>
  <c r="M323" i="16"/>
  <c r="L332" i="16"/>
  <c r="M324" i="16"/>
  <c r="F324" i="16"/>
  <c r="L333" i="16"/>
  <c r="F325" i="16"/>
  <c r="M325" i="16"/>
  <c r="L334" i="16"/>
  <c r="F326" i="16"/>
  <c r="M326" i="16"/>
  <c r="L335" i="16"/>
  <c r="F327" i="16"/>
  <c r="M327" i="16"/>
  <c r="L336" i="16"/>
  <c r="M328" i="16"/>
  <c r="F328" i="16"/>
  <c r="L337" i="16"/>
  <c r="F329" i="16"/>
  <c r="M329" i="16"/>
  <c r="L338" i="16"/>
  <c r="F330" i="16"/>
  <c r="M330" i="16"/>
  <c r="L339" i="16"/>
  <c r="F331" i="16"/>
  <c r="M331" i="16"/>
  <c r="L340" i="16"/>
  <c r="F332" i="16"/>
  <c r="M332" i="16"/>
  <c r="L341" i="16"/>
  <c r="F333" i="16"/>
  <c r="M333" i="16"/>
  <c r="L342" i="16"/>
  <c r="F334" i="16"/>
  <c r="M334" i="16"/>
  <c r="L343" i="16"/>
  <c r="F335" i="16"/>
  <c r="M335" i="16"/>
  <c r="L344" i="16"/>
  <c r="F336" i="16"/>
  <c r="M336" i="16"/>
  <c r="L345" i="16"/>
  <c r="F337" i="16"/>
  <c r="M337" i="16"/>
  <c r="L346" i="16"/>
  <c r="F338" i="16"/>
  <c r="M338" i="16"/>
  <c r="L347" i="16"/>
  <c r="F339" i="16"/>
  <c r="M339" i="16"/>
  <c r="L348" i="16"/>
  <c r="M340" i="16"/>
  <c r="F340" i="16"/>
  <c r="L349" i="16"/>
  <c r="F341" i="16"/>
  <c r="M341" i="16"/>
  <c r="L350" i="16"/>
  <c r="F342" i="16"/>
  <c r="M342" i="16"/>
  <c r="L351" i="16"/>
  <c r="F343" i="16"/>
  <c r="M343" i="16"/>
  <c r="L352" i="16"/>
  <c r="M344" i="16"/>
  <c r="F344" i="16"/>
  <c r="L353" i="16"/>
  <c r="F345" i="16"/>
  <c r="M345" i="16"/>
  <c r="L354" i="16"/>
  <c r="M346" i="16"/>
  <c r="F346" i="16"/>
  <c r="L355" i="16"/>
  <c r="F347" i="16"/>
  <c r="M347" i="16"/>
  <c r="L356" i="16"/>
  <c r="M348" i="16"/>
  <c r="F348" i="16"/>
  <c r="L357" i="16"/>
  <c r="F349" i="16"/>
  <c r="M349" i="16"/>
  <c r="L358" i="16"/>
  <c r="F350" i="16"/>
  <c r="M350" i="16"/>
  <c r="L359" i="16"/>
  <c r="F351" i="16"/>
  <c r="M351" i="16"/>
  <c r="L360" i="16"/>
  <c r="F352" i="16"/>
  <c r="M352" i="16"/>
  <c r="L361" i="16"/>
  <c r="F353" i="16"/>
  <c r="M353" i="16"/>
  <c r="L362" i="16"/>
  <c r="F354" i="16"/>
  <c r="M354" i="16"/>
  <c r="L363" i="16"/>
  <c r="F355" i="16"/>
  <c r="M355" i="16"/>
  <c r="L364" i="16"/>
  <c r="F356" i="16"/>
  <c r="M356" i="16"/>
  <c r="L365" i="16"/>
  <c r="F357" i="16"/>
  <c r="M357" i="16"/>
  <c r="L366" i="16"/>
  <c r="F358" i="16"/>
  <c r="M358" i="16"/>
  <c r="L367" i="16"/>
  <c r="F359" i="16"/>
  <c r="M359" i="16"/>
  <c r="L368" i="16"/>
  <c r="M360" i="16"/>
  <c r="F360" i="16"/>
  <c r="L369" i="16"/>
  <c r="F361" i="16"/>
  <c r="M361" i="16"/>
  <c r="L370" i="16"/>
  <c r="F362" i="16"/>
  <c r="M362" i="16"/>
  <c r="L371" i="16"/>
  <c r="F363" i="16"/>
  <c r="M363" i="16"/>
  <c r="L372" i="16"/>
  <c r="F364" i="16"/>
  <c r="M364" i="16"/>
  <c r="L373" i="16"/>
  <c r="F365" i="16"/>
  <c r="M365" i="16"/>
  <c r="L374" i="16"/>
  <c r="F366" i="16"/>
  <c r="M366" i="16"/>
  <c r="L375" i="16"/>
  <c r="F367" i="16"/>
  <c r="M367" i="16"/>
  <c r="L376" i="16"/>
  <c r="F368" i="16"/>
  <c r="M368" i="16"/>
  <c r="L377" i="16"/>
  <c r="F369" i="16"/>
  <c r="M369" i="16"/>
  <c r="L378" i="16"/>
  <c r="F370" i="16"/>
  <c r="M370" i="16"/>
  <c r="L379" i="16"/>
  <c r="F371" i="16"/>
  <c r="M371" i="16"/>
  <c r="L380" i="16"/>
  <c r="M372" i="16"/>
  <c r="F372" i="16"/>
  <c r="L381" i="16"/>
  <c r="F373" i="16"/>
  <c r="M373" i="16"/>
  <c r="L382" i="16"/>
  <c r="F374" i="16"/>
  <c r="M374" i="16"/>
  <c r="L383" i="16"/>
  <c r="F375" i="16"/>
  <c r="M375" i="16"/>
  <c r="L384" i="16"/>
  <c r="F376" i="16"/>
  <c r="M376" i="16"/>
  <c r="L385" i="16"/>
  <c r="F377" i="16"/>
  <c r="M377" i="16"/>
  <c r="L386" i="16"/>
  <c r="M378" i="16"/>
  <c r="F378" i="16"/>
  <c r="L387" i="16"/>
  <c r="F379" i="16"/>
  <c r="M379" i="16"/>
  <c r="L388" i="16"/>
  <c r="F380" i="16"/>
  <c r="M380" i="16"/>
  <c r="L389" i="16"/>
  <c r="F381" i="16"/>
  <c r="M381" i="16"/>
  <c r="L390" i="16"/>
  <c r="F382" i="16"/>
  <c r="M382" i="16"/>
  <c r="L391" i="16"/>
  <c r="F383" i="16"/>
  <c r="M383" i="16"/>
  <c r="L392" i="16"/>
  <c r="F384" i="16"/>
  <c r="M384" i="16"/>
  <c r="L393" i="16"/>
  <c r="F385" i="16"/>
  <c r="M385" i="16"/>
  <c r="L394" i="16"/>
  <c r="F386" i="16"/>
  <c r="M386" i="16"/>
  <c r="L395" i="16"/>
  <c r="F387" i="16"/>
  <c r="M387" i="16"/>
  <c r="L396" i="16"/>
  <c r="F388" i="16"/>
  <c r="M388" i="16"/>
  <c r="L397" i="16"/>
  <c r="F389" i="16"/>
  <c r="M389" i="16"/>
  <c r="L398" i="16"/>
  <c r="F390" i="16"/>
  <c r="M390" i="16"/>
  <c r="L399" i="16"/>
  <c r="F391" i="16"/>
  <c r="M391" i="16"/>
  <c r="L400" i="16"/>
  <c r="F392" i="16"/>
  <c r="M392" i="16"/>
  <c r="L401" i="16"/>
  <c r="F393" i="16"/>
  <c r="M393" i="16"/>
  <c r="L402" i="16"/>
  <c r="M394" i="16"/>
  <c r="F394" i="16"/>
  <c r="L403" i="16"/>
  <c r="F395" i="16"/>
  <c r="M395" i="16"/>
  <c r="L404" i="16"/>
  <c r="M396" i="16"/>
  <c r="F396" i="16"/>
  <c r="L405" i="16"/>
  <c r="F397" i="16"/>
  <c r="M397" i="16"/>
  <c r="L406" i="16"/>
  <c r="F398" i="16"/>
  <c r="M398" i="16"/>
  <c r="L407" i="16"/>
  <c r="F399" i="16"/>
  <c r="M399" i="16"/>
  <c r="L408" i="16"/>
  <c r="F400" i="16"/>
  <c r="M400" i="16"/>
  <c r="L409" i="16"/>
  <c r="F401" i="16"/>
  <c r="M401" i="16"/>
  <c r="L410" i="16"/>
  <c r="F402" i="16"/>
  <c r="M402" i="16"/>
  <c r="L411" i="16"/>
  <c r="F403" i="16"/>
  <c r="M403" i="16"/>
  <c r="L412" i="16"/>
  <c r="F404" i="16"/>
  <c r="M404" i="16"/>
  <c r="L413" i="16"/>
  <c r="F405" i="16"/>
  <c r="M405" i="16"/>
  <c r="L414" i="16"/>
  <c r="F406" i="16"/>
  <c r="M406" i="16"/>
  <c r="L415" i="16"/>
  <c r="F407" i="16"/>
  <c r="M407" i="16"/>
  <c r="L416" i="16"/>
  <c r="F408" i="16"/>
  <c r="M408" i="16"/>
  <c r="L417" i="16"/>
  <c r="F409" i="16"/>
  <c r="M409" i="16"/>
  <c r="L418" i="16"/>
  <c r="M410" i="16"/>
  <c r="F410" i="16"/>
  <c r="L419" i="16"/>
  <c r="F411" i="16"/>
  <c r="M411" i="16"/>
  <c r="L420" i="16"/>
  <c r="M412" i="16"/>
  <c r="F412" i="16"/>
  <c r="L421" i="16"/>
  <c r="F413" i="16"/>
  <c r="M413" i="16"/>
  <c r="L422" i="16"/>
  <c r="M414" i="16"/>
  <c r="F414" i="16"/>
  <c r="L423" i="16"/>
  <c r="F415" i="16"/>
  <c r="M415" i="16"/>
  <c r="L424" i="16"/>
  <c r="F416" i="16"/>
  <c r="M416" i="16"/>
  <c r="L425" i="16"/>
  <c r="F417" i="16"/>
  <c r="M417" i="16"/>
  <c r="L426" i="16"/>
  <c r="F418" i="16"/>
  <c r="M418" i="16"/>
  <c r="L427" i="16"/>
  <c r="F419" i="16"/>
  <c r="M419" i="16"/>
  <c r="L428" i="16"/>
  <c r="M420" i="16"/>
  <c r="F420" i="16"/>
  <c r="L429" i="16"/>
  <c r="M421" i="16"/>
  <c r="F421" i="16"/>
  <c r="L430" i="16"/>
  <c r="M422" i="16"/>
  <c r="F422" i="16"/>
  <c r="L431" i="16"/>
  <c r="M423" i="16"/>
  <c r="F423" i="16"/>
  <c r="L432" i="16"/>
  <c r="F424" i="16"/>
  <c r="M424" i="16"/>
  <c r="L433" i="16"/>
  <c r="F425" i="16"/>
  <c r="M425" i="16"/>
  <c r="L434" i="16"/>
  <c r="F426" i="16"/>
  <c r="M426" i="16"/>
  <c r="L435" i="16"/>
  <c r="F427" i="16"/>
  <c r="M427" i="16"/>
  <c r="L436" i="16"/>
  <c r="M428" i="16"/>
  <c r="F428" i="16"/>
  <c r="L437" i="16"/>
  <c r="F429" i="16"/>
  <c r="M429" i="16"/>
  <c r="L438" i="16"/>
  <c r="M430" i="16"/>
  <c r="F430" i="16"/>
  <c r="L439" i="16"/>
  <c r="M431" i="16"/>
  <c r="F431" i="16"/>
  <c r="L440" i="16"/>
  <c r="F432" i="16"/>
  <c r="M432" i="16"/>
  <c r="L441" i="16"/>
  <c r="F433" i="16"/>
  <c r="M433" i="16"/>
  <c r="L442" i="16"/>
  <c r="F434" i="16"/>
  <c r="M434" i="16"/>
  <c r="L443" i="16"/>
  <c r="F435" i="16"/>
  <c r="M435" i="16"/>
  <c r="L444" i="16"/>
  <c r="M436" i="16"/>
  <c r="F436" i="16"/>
  <c r="L445" i="16"/>
  <c r="F437" i="16"/>
  <c r="M437" i="16"/>
  <c r="L446" i="16"/>
  <c r="F438" i="16"/>
  <c r="M438" i="16"/>
  <c r="L447" i="16"/>
  <c r="M439" i="16"/>
  <c r="F439" i="16"/>
  <c r="L448" i="16"/>
  <c r="F440" i="16"/>
  <c r="M440" i="16"/>
  <c r="L449" i="16"/>
  <c r="F441" i="16"/>
  <c r="M441" i="16"/>
  <c r="L450" i="16"/>
  <c r="F442" i="16"/>
  <c r="M442" i="16"/>
  <c r="L451" i="16"/>
  <c r="F443" i="16"/>
  <c r="M443" i="16"/>
  <c r="L452" i="16"/>
  <c r="M444" i="16"/>
  <c r="F444" i="16"/>
  <c r="L453" i="16"/>
  <c r="M445" i="16"/>
  <c r="F445" i="16"/>
  <c r="L454" i="16"/>
  <c r="M446" i="16"/>
  <c r="F446" i="16"/>
  <c r="L455" i="16"/>
  <c r="M447" i="16"/>
  <c r="F447" i="16"/>
  <c r="L456" i="16"/>
  <c r="F448" i="16"/>
  <c r="M448" i="16"/>
  <c r="L457" i="16"/>
  <c r="F449" i="16"/>
  <c r="M449" i="16"/>
  <c r="L458" i="16"/>
  <c r="F450" i="16"/>
  <c r="M450" i="16"/>
  <c r="L459" i="16"/>
  <c r="M451" i="16"/>
  <c r="F451" i="16"/>
  <c r="L460" i="16"/>
  <c r="M452" i="16"/>
  <c r="F452" i="16"/>
  <c r="L461" i="16"/>
  <c r="F453" i="16"/>
  <c r="M453" i="16"/>
  <c r="L462" i="16"/>
  <c r="F454" i="16"/>
  <c r="M454" i="16"/>
  <c r="L463" i="16"/>
  <c r="M455" i="16"/>
  <c r="F455" i="16"/>
  <c r="L464" i="16"/>
  <c r="F456" i="16"/>
  <c r="M456" i="16"/>
  <c r="L465" i="16"/>
  <c r="F457" i="16"/>
  <c r="M457" i="16"/>
  <c r="L466" i="16"/>
  <c r="F458" i="16"/>
  <c r="M458" i="16"/>
  <c r="L467" i="16"/>
  <c r="M459" i="16"/>
  <c r="F459" i="16"/>
  <c r="L468" i="16"/>
  <c r="M460" i="16"/>
  <c r="F460" i="16"/>
  <c r="L469" i="16"/>
  <c r="F461" i="16"/>
  <c r="M461" i="16"/>
  <c r="L470" i="16"/>
  <c r="M462" i="16"/>
  <c r="F462" i="16"/>
  <c r="L471" i="16"/>
  <c r="F463" i="16"/>
  <c r="M463" i="16"/>
  <c r="L472" i="16"/>
  <c r="F464" i="16"/>
  <c r="M464" i="16"/>
  <c r="L473" i="16"/>
  <c r="M465" i="16"/>
  <c r="F465" i="16"/>
  <c r="L474" i="16"/>
  <c r="F466" i="16"/>
  <c r="M466" i="16"/>
  <c r="L475" i="16"/>
  <c r="F467" i="16"/>
  <c r="M467" i="16"/>
  <c r="L476" i="16"/>
  <c r="M468" i="16"/>
  <c r="F468" i="16"/>
  <c r="L477" i="16"/>
  <c r="F469" i="16"/>
  <c r="M469" i="16"/>
  <c r="L478" i="16"/>
  <c r="M470" i="16"/>
  <c r="F470" i="16"/>
  <c r="L479" i="16"/>
  <c r="F471" i="16"/>
  <c r="M471" i="16"/>
  <c r="L480" i="16"/>
  <c r="M472" i="16"/>
  <c r="F472" i="16"/>
  <c r="L481" i="16"/>
  <c r="F473" i="16"/>
  <c r="M473" i="16"/>
  <c r="L482" i="16"/>
  <c r="F474" i="16"/>
  <c r="M474" i="16"/>
  <c r="L483" i="16"/>
  <c r="M475" i="16"/>
  <c r="F475" i="16"/>
  <c r="L484" i="16"/>
  <c r="F476" i="16"/>
  <c r="M476" i="16"/>
  <c r="L485" i="16"/>
  <c r="M477" i="16"/>
  <c r="F477" i="16"/>
  <c r="L486" i="16"/>
  <c r="M478" i="16"/>
  <c r="F478" i="16"/>
  <c r="L487" i="16"/>
  <c r="F479" i="16"/>
  <c r="M479" i="16"/>
  <c r="L488" i="16"/>
  <c r="F480" i="16"/>
  <c r="M480" i="16"/>
  <c r="L489" i="16"/>
  <c r="F481" i="16"/>
  <c r="M481" i="16"/>
  <c r="L490" i="16"/>
  <c r="M482" i="16"/>
  <c r="F482" i="16"/>
  <c r="L491" i="16"/>
  <c r="M483" i="16"/>
  <c r="F483" i="16"/>
  <c r="L492" i="16"/>
  <c r="M484" i="16"/>
  <c r="F484" i="16"/>
  <c r="L493" i="16"/>
  <c r="F485" i="16"/>
  <c r="M485" i="16"/>
  <c r="L494" i="16"/>
  <c r="F486" i="16"/>
  <c r="M486" i="16"/>
  <c r="L495" i="16"/>
  <c r="M487" i="16"/>
  <c r="F487" i="16"/>
  <c r="L496" i="16"/>
  <c r="F488" i="16"/>
  <c r="M488" i="16"/>
  <c r="L497" i="16"/>
  <c r="M489" i="16"/>
  <c r="F489" i="16"/>
  <c r="L498" i="16"/>
  <c r="F490" i="16"/>
  <c r="M490" i="16"/>
  <c r="L499" i="16"/>
  <c r="M491" i="16"/>
  <c r="F491" i="16"/>
  <c r="L500" i="16"/>
  <c r="F492" i="16"/>
  <c r="M492" i="16"/>
  <c r="L501" i="16"/>
  <c r="F493" i="16"/>
  <c r="M493" i="16"/>
  <c r="L502" i="16"/>
  <c r="F494" i="16"/>
  <c r="M494" i="16"/>
  <c r="L503" i="16"/>
  <c r="M495" i="16"/>
  <c r="F495" i="16"/>
  <c r="L504" i="16"/>
  <c r="F496" i="16"/>
  <c r="M496" i="16"/>
  <c r="L505" i="16"/>
  <c r="M497" i="16"/>
  <c r="F497" i="16"/>
  <c r="L506" i="16"/>
  <c r="F498" i="16"/>
  <c r="M498" i="16"/>
  <c r="L507" i="16"/>
  <c r="M499" i="16"/>
  <c r="F499" i="16"/>
  <c r="L508" i="16"/>
  <c r="M500" i="16"/>
  <c r="F500" i="16"/>
  <c r="L509" i="16"/>
  <c r="F501" i="16"/>
  <c r="M501" i="16"/>
  <c r="L510" i="16"/>
  <c r="M502" i="16"/>
  <c r="F502" i="16"/>
  <c r="L511" i="16"/>
  <c r="F503" i="16"/>
  <c r="M503" i="16"/>
  <c r="L512" i="16"/>
  <c r="F504" i="16"/>
  <c r="M504" i="16"/>
  <c r="L513" i="16"/>
  <c r="M505" i="16"/>
  <c r="F505" i="16"/>
  <c r="L514" i="16"/>
  <c r="F506" i="16"/>
  <c r="M506" i="16"/>
  <c r="L515" i="16"/>
  <c r="F507" i="16"/>
  <c r="M507" i="16"/>
  <c r="L516" i="16"/>
  <c r="F508" i="16"/>
  <c r="M508" i="16"/>
  <c r="L517" i="16"/>
  <c r="M509" i="16"/>
  <c r="F509" i="16"/>
  <c r="L518" i="16"/>
  <c r="M510" i="16"/>
  <c r="F510" i="16"/>
  <c r="L519" i="16"/>
  <c r="F511" i="16"/>
  <c r="M511" i="16"/>
  <c r="L520" i="16"/>
  <c r="M512" i="16"/>
  <c r="F512" i="16"/>
  <c r="L521" i="16"/>
  <c r="M513" i="16"/>
  <c r="F513" i="16"/>
  <c r="L522" i="16"/>
  <c r="F514" i="16"/>
  <c r="M514" i="16"/>
  <c r="L523" i="16"/>
  <c r="M515" i="16"/>
  <c r="F515" i="16"/>
  <c r="L524" i="16"/>
  <c r="M516" i="16"/>
  <c r="F516" i="16"/>
  <c r="L525" i="16"/>
  <c r="M517" i="16"/>
  <c r="F517" i="16"/>
  <c r="L526" i="16"/>
  <c r="M518" i="16"/>
  <c r="F518" i="16"/>
  <c r="L527" i="16"/>
  <c r="M519" i="16"/>
  <c r="F519" i="16"/>
  <c r="L528" i="16"/>
  <c r="F520" i="16"/>
  <c r="M520" i="16"/>
  <c r="L529" i="16"/>
  <c r="M521" i="16"/>
  <c r="F521" i="16"/>
  <c r="L530" i="16"/>
  <c r="F522" i="16"/>
  <c r="M522" i="16"/>
  <c r="L531" i="16"/>
  <c r="M523" i="16"/>
  <c r="F523" i="16"/>
  <c r="L532" i="16"/>
  <c r="F524" i="16"/>
  <c r="M524" i="16"/>
  <c r="L533" i="16"/>
  <c r="M525" i="16"/>
  <c r="F525" i="16"/>
  <c r="L534" i="16"/>
  <c r="F526" i="16"/>
  <c r="M526" i="16"/>
  <c r="L535" i="16"/>
  <c r="M527" i="16"/>
  <c r="F527" i="16"/>
  <c r="L536" i="16"/>
  <c r="F528" i="16"/>
  <c r="M528" i="16"/>
  <c r="L537" i="16"/>
  <c r="M529" i="16"/>
  <c r="F529" i="16"/>
  <c r="L538" i="16"/>
  <c r="F530" i="16"/>
  <c r="M530" i="16"/>
  <c r="L539" i="16"/>
  <c r="F531" i="16"/>
  <c r="M531" i="16"/>
  <c r="L540" i="16"/>
  <c r="F532" i="16"/>
  <c r="M532" i="16"/>
  <c r="L541" i="16"/>
  <c r="F533" i="16"/>
  <c r="M533" i="16"/>
  <c r="L542" i="16"/>
  <c r="F534" i="16"/>
  <c r="M534" i="16"/>
  <c r="L543" i="16"/>
  <c r="M535" i="16"/>
  <c r="F535" i="16"/>
  <c r="L544" i="16"/>
  <c r="F536" i="16"/>
  <c r="M536" i="16"/>
  <c r="L545" i="16"/>
  <c r="M537" i="16"/>
  <c r="F537" i="16"/>
  <c r="L546" i="16"/>
  <c r="M538" i="16"/>
  <c r="F538" i="16"/>
  <c r="L547" i="16"/>
  <c r="F539" i="16"/>
  <c r="M539" i="16"/>
  <c r="L548" i="16"/>
  <c r="F540" i="16"/>
  <c r="M540" i="16"/>
  <c r="L549" i="16"/>
  <c r="F541" i="16"/>
  <c r="M541" i="16"/>
  <c r="L550" i="16"/>
  <c r="M542" i="16"/>
  <c r="F542" i="16"/>
  <c r="L551" i="16"/>
  <c r="F543" i="16"/>
  <c r="M543" i="16"/>
  <c r="L552" i="16"/>
  <c r="M544" i="16"/>
  <c r="F544" i="16"/>
  <c r="L553" i="16"/>
  <c r="M545" i="16"/>
  <c r="F545" i="16"/>
  <c r="L554" i="16"/>
  <c r="F546" i="16"/>
  <c r="M546" i="16"/>
  <c r="L555" i="16"/>
  <c r="M547" i="16"/>
  <c r="F547" i="16"/>
  <c r="L556" i="16"/>
  <c r="F548" i="16"/>
  <c r="M548" i="16"/>
  <c r="L557" i="16"/>
  <c r="M549" i="16"/>
  <c r="F549" i="16"/>
  <c r="L558" i="16"/>
  <c r="F550" i="16"/>
  <c r="M550" i="16"/>
  <c r="L559" i="16"/>
  <c r="F551" i="16"/>
  <c r="M551" i="16"/>
  <c r="L560" i="16"/>
  <c r="M552" i="16"/>
  <c r="F552" i="16"/>
  <c r="L561" i="16"/>
  <c r="M553" i="16"/>
  <c r="F553" i="16"/>
  <c r="L562" i="16"/>
  <c r="F554" i="16"/>
  <c r="M554" i="16"/>
  <c r="L563" i="16"/>
  <c r="M555" i="16"/>
  <c r="F555" i="16"/>
  <c r="L564" i="16"/>
  <c r="F556" i="16"/>
  <c r="M556" i="16"/>
  <c r="L565" i="16"/>
  <c r="M557" i="16"/>
  <c r="F557" i="16"/>
  <c r="L566" i="16"/>
  <c r="M558" i="16"/>
  <c r="F558" i="16"/>
  <c r="L567" i="16"/>
  <c r="M559" i="16"/>
  <c r="F559" i="16"/>
  <c r="L568" i="16"/>
  <c r="F560" i="16"/>
  <c r="M560" i="16"/>
  <c r="L569" i="16"/>
  <c r="M561" i="16"/>
  <c r="F561" i="16"/>
  <c r="L570" i="16"/>
  <c r="F562" i="16"/>
  <c r="M562" i="16"/>
  <c r="L571" i="16"/>
  <c r="M563" i="16"/>
  <c r="F563" i="16"/>
  <c r="L572" i="16"/>
  <c r="F564" i="16"/>
  <c r="M564" i="16"/>
  <c r="L573" i="16"/>
  <c r="M565" i="16"/>
  <c r="F565" i="16"/>
  <c r="L574" i="16"/>
  <c r="F566" i="16"/>
  <c r="M566" i="16"/>
  <c r="L575" i="16"/>
  <c r="F567" i="16"/>
  <c r="M567" i="16"/>
  <c r="L576" i="16"/>
  <c r="M568" i="16"/>
  <c r="F568" i="16"/>
  <c r="L577" i="16"/>
  <c r="M569" i="16"/>
  <c r="F569" i="16"/>
  <c r="L578" i="16"/>
  <c r="F570" i="16"/>
  <c r="M570" i="16"/>
  <c r="L579" i="16"/>
  <c r="M571" i="16"/>
  <c r="F571" i="16"/>
  <c r="L580" i="16"/>
  <c r="M572" i="16"/>
  <c r="F572" i="16"/>
  <c r="L581" i="16"/>
  <c r="M573" i="16"/>
  <c r="F573" i="16"/>
  <c r="L582" i="16"/>
  <c r="M574" i="16"/>
  <c r="F574" i="16"/>
  <c r="L583" i="16"/>
  <c r="M575" i="16"/>
  <c r="F575" i="16"/>
  <c r="L584" i="16"/>
  <c r="M576" i="16"/>
  <c r="F576" i="16"/>
  <c r="L585" i="16"/>
  <c r="M577" i="16"/>
  <c r="F577" i="16"/>
  <c r="L586" i="16"/>
  <c r="F578" i="16"/>
  <c r="M578" i="16"/>
  <c r="L587" i="16"/>
  <c r="M579" i="16"/>
  <c r="F579" i="16"/>
  <c r="L588" i="16"/>
  <c r="F580" i="16"/>
  <c r="M580" i="16"/>
  <c r="L589" i="16"/>
  <c r="M581" i="16"/>
  <c r="F581" i="16"/>
  <c r="L590" i="16"/>
  <c r="F582" i="16"/>
  <c r="M582" i="16"/>
  <c r="L591" i="16"/>
  <c r="M583" i="16"/>
  <c r="F583" i="16"/>
  <c r="L592" i="16"/>
  <c r="M584" i="16"/>
  <c r="F584" i="16"/>
  <c r="L593" i="16"/>
  <c r="M585" i="16"/>
  <c r="F585" i="16"/>
  <c r="L594" i="16"/>
  <c r="F586" i="16"/>
  <c r="M586" i="16"/>
  <c r="L595" i="16"/>
  <c r="M587" i="16"/>
  <c r="F587" i="16"/>
  <c r="L596" i="16"/>
  <c r="M588" i="16"/>
  <c r="F588" i="16"/>
  <c r="L597" i="16"/>
  <c r="M589" i="16"/>
  <c r="F589" i="16"/>
  <c r="L598" i="16"/>
  <c r="M590" i="16"/>
  <c r="F590" i="16"/>
  <c r="L599" i="16"/>
  <c r="F591" i="16"/>
  <c r="M591" i="16"/>
  <c r="L600" i="16"/>
  <c r="F592" i="16"/>
  <c r="M592" i="16"/>
  <c r="L601" i="16"/>
  <c r="M593" i="16"/>
  <c r="F593" i="16"/>
  <c r="L602" i="16"/>
  <c r="F594" i="16"/>
  <c r="M594" i="16"/>
  <c r="L603" i="16"/>
  <c r="M595" i="16"/>
  <c r="F595" i="16"/>
  <c r="L604" i="16"/>
  <c r="F596" i="16"/>
  <c r="M596" i="16"/>
  <c r="L605" i="16"/>
  <c r="F597" i="16"/>
  <c r="M597" i="16"/>
  <c r="L606" i="16"/>
  <c r="F598" i="16"/>
  <c r="M598" i="16"/>
  <c r="L607" i="16"/>
  <c r="M599" i="16"/>
  <c r="F599" i="16"/>
  <c r="L608" i="16"/>
  <c r="M600" i="16"/>
  <c r="F600" i="16"/>
  <c r="L609" i="16"/>
  <c r="M601" i="16"/>
  <c r="F601" i="16"/>
  <c r="L610" i="16"/>
  <c r="F602" i="16"/>
  <c r="M602" i="16"/>
  <c r="L611" i="16"/>
  <c r="M603" i="16"/>
  <c r="F603" i="16"/>
  <c r="L612" i="16"/>
  <c r="F604" i="16"/>
  <c r="M604" i="16"/>
  <c r="L613" i="16"/>
  <c r="M605" i="16"/>
  <c r="F605" i="16"/>
  <c r="L614" i="16"/>
  <c r="M606" i="16"/>
  <c r="F606" i="16"/>
  <c r="L615" i="16"/>
  <c r="F607" i="16"/>
  <c r="M607" i="16"/>
  <c r="L616" i="16"/>
  <c r="M608" i="16"/>
  <c r="F608" i="16"/>
  <c r="L617" i="16"/>
  <c r="M609" i="16"/>
  <c r="F609" i="16"/>
  <c r="L618" i="16"/>
  <c r="F610" i="16"/>
  <c r="M610" i="16"/>
  <c r="L619" i="16"/>
  <c r="M611" i="16"/>
  <c r="F611" i="16"/>
  <c r="L620" i="16"/>
  <c r="F612" i="16"/>
  <c r="M612" i="16"/>
  <c r="L621" i="16"/>
  <c r="M613" i="16"/>
  <c r="F613" i="16"/>
  <c r="L622" i="16"/>
  <c r="F614" i="16"/>
  <c r="M614" i="16"/>
  <c r="L623" i="16"/>
  <c r="M615" i="16"/>
  <c r="F615" i="16"/>
  <c r="L624" i="16"/>
  <c r="F616" i="16"/>
  <c r="M616" i="16"/>
  <c r="L625" i="16"/>
  <c r="F617" i="16"/>
  <c r="M617" i="16"/>
  <c r="L626" i="16"/>
  <c r="F618" i="16"/>
  <c r="M618" i="16"/>
  <c r="L627" i="16"/>
  <c r="F619" i="16"/>
  <c r="M619" i="16"/>
  <c r="L628" i="16"/>
  <c r="F620" i="16"/>
  <c r="M620" i="16"/>
  <c r="L629" i="16"/>
  <c r="F621" i="16"/>
  <c r="M621" i="16"/>
  <c r="L630" i="16"/>
  <c r="F622" i="16"/>
  <c r="M622" i="16"/>
  <c r="L631" i="16"/>
  <c r="M623" i="16"/>
  <c r="F623" i="16"/>
  <c r="L632" i="16"/>
  <c r="M624" i="16"/>
  <c r="F624" i="16"/>
  <c r="L633" i="16"/>
  <c r="F625" i="16"/>
  <c r="M625" i="16"/>
  <c r="L634" i="16"/>
  <c r="F626" i="16"/>
  <c r="M626" i="16"/>
  <c r="L635" i="16"/>
  <c r="F627" i="16"/>
  <c r="M627" i="16"/>
  <c r="L636" i="16"/>
  <c r="M628" i="16"/>
  <c r="F628" i="16"/>
  <c r="L637" i="16"/>
  <c r="F629" i="16"/>
  <c r="M629" i="16"/>
  <c r="L638" i="16"/>
  <c r="M630" i="16"/>
  <c r="F630" i="16"/>
  <c r="L639" i="16"/>
  <c r="M631" i="16"/>
  <c r="F631" i="16"/>
  <c r="L640" i="16"/>
  <c r="M632" i="16"/>
  <c r="F632" i="16"/>
  <c r="L641" i="16"/>
  <c r="F633" i="16"/>
  <c r="M633" i="16"/>
  <c r="L642" i="16"/>
  <c r="M634" i="16"/>
  <c r="F634" i="16"/>
  <c r="L643" i="16"/>
  <c r="F635" i="16"/>
  <c r="M635" i="16"/>
  <c r="L644" i="16"/>
  <c r="F636" i="16"/>
  <c r="M636" i="16"/>
  <c r="L645" i="16"/>
  <c r="F637" i="16"/>
  <c r="M637" i="16"/>
  <c r="L646" i="16"/>
  <c r="F638" i="16"/>
  <c r="M638" i="16"/>
  <c r="L647" i="16"/>
  <c r="M639" i="16"/>
  <c r="F639" i="16"/>
  <c r="L648" i="16"/>
  <c r="F640" i="16"/>
  <c r="M640" i="16"/>
  <c r="L649" i="16"/>
  <c r="F641" i="16"/>
  <c r="M641" i="16"/>
  <c r="L650" i="16"/>
  <c r="M642" i="16"/>
  <c r="F642" i="16"/>
  <c r="L651" i="16"/>
  <c r="F643" i="16"/>
  <c r="M643" i="16"/>
  <c r="L652" i="16"/>
  <c r="M644" i="16"/>
  <c r="F644" i="16"/>
  <c r="L653" i="16"/>
  <c r="F645" i="16"/>
  <c r="M645" i="16"/>
  <c r="L654" i="16"/>
  <c r="M646" i="16"/>
  <c r="F646" i="16"/>
  <c r="L655" i="16"/>
  <c r="M647" i="16"/>
  <c r="F647" i="16"/>
  <c r="L656" i="16"/>
  <c r="F648" i="16"/>
  <c r="M648" i="16"/>
  <c r="L657" i="16"/>
  <c r="F649" i="16"/>
  <c r="M649" i="16"/>
  <c r="L658" i="16"/>
  <c r="M650" i="16"/>
  <c r="F650" i="16"/>
  <c r="L659" i="16"/>
  <c r="F651" i="16"/>
  <c r="M651" i="16"/>
  <c r="L660" i="16"/>
  <c r="M652" i="16"/>
  <c r="F652" i="16"/>
  <c r="L661" i="16"/>
  <c r="F653" i="16"/>
  <c r="M653" i="16"/>
  <c r="L662" i="16"/>
  <c r="F654" i="16"/>
  <c r="M654" i="16"/>
  <c r="L663" i="16"/>
  <c r="M655" i="16"/>
  <c r="F655" i="16"/>
  <c r="L664" i="16"/>
  <c r="F656" i="16"/>
  <c r="M656" i="16"/>
  <c r="L665" i="16"/>
  <c r="F657" i="16"/>
  <c r="M657" i="16"/>
  <c r="L666" i="16"/>
  <c r="M658" i="16"/>
  <c r="F658" i="16"/>
  <c r="L667" i="16"/>
  <c r="F659" i="16"/>
  <c r="M659" i="16"/>
  <c r="L668" i="16"/>
  <c r="M660" i="16"/>
  <c r="F660" i="16"/>
  <c r="L669" i="16"/>
  <c r="F661" i="16"/>
  <c r="M661" i="16"/>
  <c r="L670" i="16"/>
  <c r="M662" i="16"/>
  <c r="F662" i="16"/>
  <c r="L671" i="16"/>
  <c r="M663" i="16"/>
  <c r="F663" i="16"/>
  <c r="L672" i="16"/>
  <c r="F664" i="16"/>
  <c r="M664" i="16"/>
  <c r="L673" i="16"/>
  <c r="F665" i="16"/>
  <c r="M665" i="16"/>
  <c r="L674" i="16"/>
  <c r="M666" i="16"/>
  <c r="F666" i="16"/>
  <c r="L675" i="16"/>
  <c r="F667" i="16"/>
  <c r="M667" i="16"/>
  <c r="L676" i="16"/>
  <c r="F668" i="16"/>
  <c r="M668" i="16"/>
  <c r="L677" i="16"/>
  <c r="M669" i="16"/>
  <c r="F669" i="16"/>
  <c r="L678" i="16"/>
  <c r="F670" i="16"/>
  <c r="M670" i="16"/>
  <c r="L679" i="16"/>
  <c r="M671" i="16"/>
  <c r="F671" i="16"/>
  <c r="L680" i="16"/>
  <c r="M672" i="16"/>
  <c r="F672" i="16"/>
  <c r="L681" i="16"/>
  <c r="F673" i="16"/>
  <c r="M673" i="16"/>
  <c r="L682" i="16"/>
  <c r="M674" i="16"/>
  <c r="F674" i="16"/>
  <c r="L683" i="16"/>
  <c r="F675" i="16"/>
  <c r="M675" i="16"/>
  <c r="L684" i="16"/>
  <c r="F676" i="16"/>
  <c r="M676" i="16"/>
  <c r="L685" i="16"/>
  <c r="F677" i="16"/>
  <c r="M677" i="16"/>
  <c r="L686" i="16"/>
  <c r="F678" i="16"/>
  <c r="M678" i="16"/>
  <c r="L687" i="16"/>
  <c r="F679" i="16"/>
  <c r="M679" i="16"/>
  <c r="L688" i="16"/>
  <c r="F680" i="16"/>
  <c r="M680" i="16"/>
  <c r="L689" i="16"/>
  <c r="F681" i="16"/>
  <c r="M681" i="16"/>
  <c r="L690" i="16"/>
  <c r="M682" i="16"/>
  <c r="F682" i="16"/>
  <c r="L691" i="16"/>
  <c r="F683" i="16"/>
  <c r="M683" i="16"/>
  <c r="L692" i="16"/>
  <c r="F684" i="16"/>
  <c r="M684" i="16"/>
  <c r="L693" i="16"/>
  <c r="F685" i="16"/>
  <c r="M685" i="16"/>
  <c r="L694" i="16"/>
  <c r="F686" i="16"/>
  <c r="M686" i="16"/>
  <c r="L695" i="16"/>
  <c r="M687" i="16"/>
  <c r="F687" i="16"/>
  <c r="L696" i="16"/>
  <c r="M688" i="16"/>
  <c r="F688" i="16"/>
  <c r="L697" i="16"/>
  <c r="F689" i="16"/>
  <c r="M689" i="16"/>
  <c r="L698" i="16"/>
  <c r="F690" i="16"/>
  <c r="M690" i="16"/>
  <c r="L699" i="16"/>
  <c r="F691" i="16"/>
  <c r="M691" i="16"/>
  <c r="L700" i="16"/>
  <c r="F692" i="16"/>
  <c r="M692" i="16"/>
  <c r="L701" i="16"/>
  <c r="M693" i="16"/>
  <c r="F693" i="16"/>
  <c r="L702" i="16"/>
  <c r="M694" i="16"/>
  <c r="F694" i="16"/>
  <c r="L703" i="16"/>
  <c r="M695" i="16"/>
  <c r="F695" i="16"/>
  <c r="L704" i="16"/>
  <c r="M696" i="16"/>
  <c r="F696" i="16"/>
  <c r="L705" i="16"/>
  <c r="F697" i="16"/>
  <c r="M697" i="16"/>
  <c r="L706" i="16"/>
  <c r="M698" i="16"/>
  <c r="F698" i="16"/>
  <c r="L707" i="16"/>
  <c r="M699" i="16"/>
  <c r="F699" i="16"/>
  <c r="L708" i="16"/>
  <c r="F700" i="16"/>
  <c r="M700" i="16"/>
  <c r="L709" i="16"/>
  <c r="F701" i="16"/>
  <c r="M701" i="16"/>
  <c r="L710" i="16"/>
  <c r="F702" i="16"/>
  <c r="M702" i="16"/>
  <c r="L711" i="16"/>
  <c r="M703" i="16"/>
  <c r="F703" i="16"/>
  <c r="L712" i="16"/>
  <c r="F704" i="16"/>
  <c r="M704" i="16"/>
  <c r="L713" i="16"/>
  <c r="F705" i="16"/>
  <c r="M705" i="16"/>
  <c r="L714" i="16"/>
  <c r="M706" i="16"/>
  <c r="F706" i="16"/>
  <c r="L715" i="16"/>
  <c r="M707" i="16"/>
  <c r="F707" i="16"/>
  <c r="L716" i="16"/>
  <c r="F708" i="16"/>
  <c r="M708" i="16"/>
  <c r="L717" i="16"/>
  <c r="F709" i="16"/>
  <c r="M709" i="16"/>
  <c r="L718" i="16"/>
  <c r="F710" i="16"/>
  <c r="M710" i="16"/>
  <c r="L719" i="16"/>
  <c r="M711" i="16"/>
  <c r="F711" i="16"/>
  <c r="L720" i="16"/>
  <c r="F712" i="16"/>
  <c r="M712" i="16"/>
  <c r="L721" i="16"/>
  <c r="F713" i="16"/>
  <c r="M713" i="16"/>
  <c r="L722" i="16"/>
  <c r="M714" i="16"/>
  <c r="F714" i="16"/>
  <c r="L723" i="16"/>
  <c r="F715" i="16"/>
  <c r="M715" i="16"/>
  <c r="L724" i="16"/>
  <c r="M716" i="16"/>
  <c r="F716" i="16"/>
  <c r="L725" i="16"/>
  <c r="F717" i="16"/>
  <c r="M717" i="16"/>
  <c r="L726" i="16"/>
  <c r="F718" i="16"/>
  <c r="M718" i="16"/>
  <c r="L727" i="16"/>
  <c r="F719" i="16"/>
  <c r="M719" i="16"/>
  <c r="L728" i="16"/>
  <c r="F720" i="16"/>
  <c r="M720" i="16"/>
  <c r="L729" i="16"/>
  <c r="F721" i="16"/>
  <c r="M721" i="16"/>
  <c r="L730" i="16"/>
  <c r="F722" i="16"/>
  <c r="M722" i="16"/>
  <c r="L731" i="16"/>
  <c r="F723" i="16"/>
  <c r="M723" i="16"/>
  <c r="L732" i="16"/>
  <c r="M724" i="16"/>
  <c r="F724" i="16"/>
  <c r="L733" i="16"/>
  <c r="F725" i="16"/>
  <c r="M725" i="16"/>
  <c r="L734" i="16"/>
  <c r="M726" i="16"/>
  <c r="F726" i="16"/>
  <c r="L735" i="16"/>
  <c r="F727" i="16"/>
  <c r="M727" i="16"/>
  <c r="L736" i="16"/>
  <c r="M728" i="16"/>
  <c r="F728" i="16"/>
  <c r="L737" i="16"/>
  <c r="F729" i="16"/>
  <c r="M729" i="16"/>
  <c r="L738" i="16"/>
  <c r="F730" i="16"/>
  <c r="M730" i="16"/>
  <c r="L739" i="16"/>
  <c r="M731" i="16"/>
  <c r="F731" i="16"/>
  <c r="L740" i="16"/>
  <c r="M732" i="16"/>
  <c r="F732" i="16"/>
  <c r="L741" i="16"/>
  <c r="F733" i="16"/>
  <c r="M733" i="16"/>
  <c r="L742" i="16"/>
  <c r="M734" i="16"/>
  <c r="F734" i="16"/>
  <c r="L743" i="16"/>
  <c r="M735" i="16"/>
  <c r="F735" i="16"/>
  <c r="L744" i="16"/>
  <c r="F736" i="16"/>
  <c r="M736" i="16"/>
  <c r="L745" i="16"/>
  <c r="F737" i="16"/>
  <c r="M737" i="16"/>
  <c r="L746" i="16"/>
  <c r="M738" i="16"/>
  <c r="F738" i="16"/>
  <c r="L747" i="16"/>
  <c r="M739" i="16"/>
  <c r="F739" i="16"/>
  <c r="L748" i="16"/>
  <c r="M740" i="16"/>
  <c r="F740" i="16"/>
  <c r="L749" i="16"/>
  <c r="F741" i="16"/>
  <c r="M741" i="16"/>
  <c r="L750" i="16"/>
  <c r="M742" i="16"/>
  <c r="F742" i="16"/>
  <c r="L751" i="16"/>
  <c r="F743" i="16"/>
  <c r="M743" i="16"/>
  <c r="L752" i="16"/>
  <c r="M744" i="16"/>
  <c r="F744" i="16"/>
  <c r="L753" i="16"/>
  <c r="F745" i="16"/>
  <c r="M745" i="16"/>
  <c r="L754" i="16"/>
  <c r="M746" i="16"/>
  <c r="F746" i="16"/>
  <c r="L755" i="16"/>
  <c r="F747" i="16"/>
  <c r="M747" i="16"/>
  <c r="L756" i="16"/>
  <c r="M748" i="16"/>
  <c r="F748" i="16"/>
  <c r="L757" i="16"/>
  <c r="F749" i="16"/>
  <c r="M749" i="16"/>
  <c r="L758" i="16"/>
  <c r="M750" i="16"/>
  <c r="F750" i="16"/>
  <c r="L759" i="16"/>
  <c r="F751" i="16"/>
  <c r="M751" i="16"/>
  <c r="L760" i="16"/>
  <c r="F752" i="16"/>
  <c r="M752" i="16"/>
  <c r="L761" i="16"/>
  <c r="F753" i="16"/>
  <c r="M753" i="16"/>
  <c r="L762" i="16"/>
  <c r="F754" i="16"/>
  <c r="M754" i="16"/>
  <c r="L763" i="16"/>
  <c r="F755" i="16"/>
  <c r="M755" i="16"/>
  <c r="L764" i="16"/>
  <c r="F756" i="16"/>
  <c r="M756" i="16"/>
  <c r="L765" i="16"/>
  <c r="F757" i="16"/>
  <c r="M757" i="16"/>
  <c r="L766" i="16"/>
  <c r="F758" i="16"/>
  <c r="M758" i="16"/>
  <c r="L767" i="16"/>
  <c r="M759" i="16"/>
  <c r="F759" i="16"/>
  <c r="L768" i="16"/>
  <c r="F760" i="16"/>
  <c r="M760" i="16"/>
  <c r="L769" i="16"/>
  <c r="F761" i="16"/>
  <c r="M761" i="16"/>
  <c r="L770" i="16"/>
  <c r="M762" i="16"/>
  <c r="F762" i="16"/>
  <c r="L771" i="16"/>
  <c r="F763" i="16"/>
  <c r="M763" i="16"/>
  <c r="L772" i="16"/>
  <c r="F764" i="16"/>
  <c r="M764" i="16"/>
  <c r="L773" i="16"/>
  <c r="F765" i="16"/>
  <c r="M765" i="16"/>
  <c r="L774" i="16"/>
  <c r="F766" i="16"/>
  <c r="M766" i="16"/>
  <c r="L775" i="16"/>
  <c r="M767" i="16"/>
  <c r="F767" i="16"/>
  <c r="L776" i="16"/>
  <c r="F768" i="16"/>
  <c r="M768" i="16"/>
  <c r="L777" i="16"/>
  <c r="F769" i="16"/>
  <c r="M769" i="16"/>
  <c r="L778" i="16"/>
  <c r="F770" i="16"/>
  <c r="M770" i="16"/>
  <c r="L779" i="16"/>
  <c r="F771" i="16"/>
  <c r="M771" i="16"/>
  <c r="L780" i="16"/>
  <c r="M772" i="16"/>
  <c r="F772" i="16"/>
  <c r="L781" i="16"/>
  <c r="F773" i="16"/>
  <c r="M773" i="16"/>
  <c r="L782" i="16"/>
  <c r="M774" i="16"/>
  <c r="F774" i="16"/>
  <c r="L783" i="16"/>
  <c r="F775" i="16"/>
  <c r="M775" i="16"/>
  <c r="L784" i="16"/>
  <c r="M776" i="16"/>
  <c r="F776" i="16"/>
  <c r="L785" i="16"/>
  <c r="F777" i="16"/>
  <c r="M777" i="16"/>
  <c r="L786" i="16"/>
  <c r="M778" i="16"/>
  <c r="F778" i="16"/>
  <c r="L787" i="16"/>
  <c r="F779" i="16"/>
  <c r="M779" i="16"/>
  <c r="L788" i="16"/>
  <c r="M780" i="16"/>
  <c r="F780" i="16"/>
  <c r="L789" i="16"/>
  <c r="F781" i="16"/>
  <c r="M781" i="16"/>
  <c r="L790" i="16"/>
  <c r="M782" i="16"/>
  <c r="F782" i="16"/>
  <c r="L791" i="16"/>
  <c r="M783" i="16"/>
  <c r="F783" i="16"/>
  <c r="L792" i="16"/>
  <c r="F784" i="16"/>
  <c r="M784" i="16"/>
  <c r="L793" i="16"/>
  <c r="F785" i="16"/>
  <c r="M785" i="16"/>
  <c r="L794" i="16"/>
  <c r="F786" i="16"/>
  <c r="M786" i="16"/>
  <c r="L795" i="16"/>
  <c r="F787" i="16"/>
  <c r="M787" i="16"/>
  <c r="L796" i="16"/>
  <c r="M788" i="16"/>
  <c r="F788" i="16"/>
  <c r="L797" i="16"/>
  <c r="M789" i="16"/>
  <c r="F789" i="16"/>
  <c r="L798" i="16"/>
  <c r="M790" i="16"/>
  <c r="F790" i="16"/>
  <c r="L799" i="16"/>
  <c r="M791" i="16"/>
  <c r="F791" i="16"/>
  <c r="L800" i="16"/>
  <c r="F792" i="16"/>
  <c r="M792" i="16"/>
  <c r="L801" i="16"/>
  <c r="F793" i="16"/>
  <c r="M793" i="16"/>
  <c r="L802" i="16"/>
  <c r="F794" i="16"/>
  <c r="M794" i="16"/>
  <c r="L803" i="16"/>
  <c r="F795" i="16"/>
  <c r="M795" i="16"/>
  <c r="L804" i="16"/>
  <c r="M796" i="16"/>
  <c r="F796" i="16"/>
  <c r="L805" i="16"/>
  <c r="M797" i="16"/>
  <c r="F797" i="16"/>
  <c r="L806" i="16"/>
  <c r="M798" i="16"/>
  <c r="F798" i="16"/>
  <c r="L807" i="16"/>
  <c r="M799" i="16"/>
  <c r="F799" i="16"/>
  <c r="L808" i="16"/>
  <c r="F800" i="16"/>
  <c r="M800" i="16"/>
  <c r="L809" i="16"/>
  <c r="F801" i="16"/>
  <c r="M801" i="16"/>
  <c r="L810" i="16"/>
  <c r="M802" i="16"/>
  <c r="F802" i="16"/>
  <c r="L811" i="16"/>
  <c r="F803" i="16"/>
  <c r="M803" i="16"/>
  <c r="L812" i="16"/>
  <c r="M804" i="16"/>
  <c r="F804" i="16"/>
  <c r="L813" i="16"/>
  <c r="F805" i="16"/>
  <c r="M805" i="16"/>
  <c r="L814" i="16"/>
  <c r="M806" i="16"/>
  <c r="F806" i="16"/>
  <c r="L815" i="16"/>
  <c r="M807" i="16"/>
  <c r="F807" i="16"/>
  <c r="L816" i="16"/>
  <c r="F808" i="16"/>
  <c r="M808" i="16"/>
  <c r="L817" i="16"/>
  <c r="F809" i="16"/>
  <c r="M809" i="16"/>
  <c r="L818" i="16"/>
  <c r="F810" i="16"/>
  <c r="M810" i="16"/>
  <c r="L819" i="16"/>
  <c r="F811" i="16"/>
  <c r="M811" i="16"/>
  <c r="L820" i="16"/>
  <c r="M812" i="16"/>
  <c r="F812" i="16"/>
  <c r="L821" i="16"/>
  <c r="F813" i="16"/>
  <c r="M813" i="16"/>
  <c r="L822" i="16"/>
  <c r="F814" i="16"/>
  <c r="M814" i="16"/>
  <c r="L823" i="16"/>
  <c r="M815" i="16"/>
  <c r="F815" i="16"/>
  <c r="L824" i="16"/>
  <c r="M816" i="16"/>
  <c r="F816" i="16"/>
  <c r="L825" i="16"/>
  <c r="F817" i="16"/>
  <c r="M817" i="16"/>
  <c r="L826" i="16"/>
  <c r="F818" i="16"/>
  <c r="M818" i="16"/>
  <c r="L827" i="16"/>
  <c r="F819" i="16"/>
  <c r="M819" i="16"/>
  <c r="L828" i="16"/>
  <c r="M820" i="16"/>
  <c r="F820" i="16"/>
  <c r="L829" i="16"/>
  <c r="F821" i="16"/>
  <c r="M821" i="16"/>
  <c r="L830" i="16"/>
  <c r="F822" i="16"/>
  <c r="M822" i="16"/>
  <c r="L831" i="16"/>
  <c r="F823" i="16"/>
  <c r="M823" i="16"/>
  <c r="L832" i="16"/>
  <c r="M824" i="16"/>
  <c r="F824" i="16"/>
  <c r="L833" i="16"/>
  <c r="F825" i="16"/>
  <c r="M825" i="16"/>
  <c r="L834" i="16"/>
  <c r="M826" i="16"/>
  <c r="F826" i="16"/>
  <c r="L835" i="16"/>
  <c r="F827" i="16"/>
  <c r="M827" i="16"/>
  <c r="L836" i="16"/>
  <c r="M828" i="16"/>
  <c r="F828" i="16"/>
  <c r="L837" i="16"/>
  <c r="F829" i="16"/>
  <c r="M829" i="16"/>
  <c r="L838" i="16"/>
  <c r="F830" i="16"/>
  <c r="M830" i="16"/>
  <c r="L839" i="16"/>
  <c r="F831" i="16"/>
  <c r="M831" i="16"/>
  <c r="L840" i="16"/>
  <c r="M832" i="16"/>
  <c r="F832" i="16"/>
  <c r="L841" i="16"/>
  <c r="M833" i="16"/>
  <c r="F833" i="16"/>
  <c r="L842" i="16"/>
  <c r="M834" i="16"/>
  <c r="F834" i="16"/>
  <c r="L843" i="16"/>
  <c r="F835" i="16"/>
  <c r="M835" i="16"/>
  <c r="L844" i="16"/>
  <c r="M836" i="16"/>
  <c r="F836" i="16"/>
  <c r="L845" i="16"/>
  <c r="F837" i="16"/>
  <c r="M837" i="16"/>
  <c r="L846" i="16"/>
  <c r="F838" i="16"/>
  <c r="M838" i="16"/>
  <c r="L847" i="16"/>
  <c r="F839" i="16"/>
  <c r="M839" i="16"/>
  <c r="L848" i="16"/>
  <c r="F840" i="16"/>
  <c r="M840" i="16"/>
  <c r="L849" i="16"/>
  <c r="F841" i="16"/>
  <c r="M841" i="16"/>
  <c r="L850" i="16"/>
  <c r="F842" i="16"/>
  <c r="M842" i="16"/>
  <c r="L851" i="16"/>
  <c r="M843" i="16"/>
  <c r="F843" i="16"/>
  <c r="L852" i="16"/>
  <c r="M844" i="16"/>
  <c r="F844" i="16"/>
  <c r="L853" i="16"/>
  <c r="F845" i="16"/>
  <c r="M845" i="16"/>
  <c r="L854" i="16"/>
  <c r="F846" i="16"/>
  <c r="M846" i="16"/>
  <c r="L855" i="16"/>
  <c r="F847" i="16"/>
  <c r="M847" i="16"/>
  <c r="L856" i="16"/>
  <c r="M848" i="16"/>
  <c r="F848" i="16"/>
  <c r="L857" i="16"/>
  <c r="F849" i="16"/>
  <c r="M849" i="16"/>
  <c r="L858" i="16"/>
  <c r="F850" i="16"/>
  <c r="M850" i="16"/>
  <c r="L859" i="16"/>
  <c r="M851" i="16"/>
  <c r="F851" i="16"/>
  <c r="L860" i="16"/>
  <c r="F852" i="16"/>
  <c r="M852" i="16"/>
  <c r="L861" i="16"/>
  <c r="F853" i="16"/>
  <c r="M853" i="16"/>
  <c r="L862" i="16"/>
  <c r="M854" i="16"/>
  <c r="F854" i="16"/>
  <c r="L863" i="16"/>
  <c r="F855" i="16"/>
  <c r="M855" i="16"/>
  <c r="L864" i="16"/>
  <c r="M856" i="16"/>
  <c r="F856" i="16"/>
  <c r="L865" i="16"/>
  <c r="M857" i="16"/>
  <c r="F857" i="16"/>
  <c r="L866" i="16"/>
  <c r="M858" i="16"/>
  <c r="F858" i="16"/>
  <c r="L867" i="16"/>
  <c r="F859" i="16"/>
  <c r="M859" i="16"/>
  <c r="L868" i="16"/>
  <c r="M860" i="16"/>
  <c r="F860" i="16"/>
  <c r="L869" i="16"/>
  <c r="F861" i="16"/>
  <c r="M861" i="16"/>
  <c r="L870" i="16"/>
  <c r="M862" i="16"/>
  <c r="F862" i="16"/>
  <c r="L871" i="16"/>
  <c r="F863" i="16"/>
  <c r="M863" i="16"/>
  <c r="L872" i="16"/>
  <c r="F864" i="16"/>
  <c r="M864" i="16"/>
  <c r="L873" i="16"/>
  <c r="F865" i="16"/>
  <c r="M865" i="16"/>
  <c r="L874" i="16"/>
  <c r="M866" i="16"/>
  <c r="F866" i="16"/>
  <c r="L875" i="16"/>
  <c r="F867" i="16"/>
  <c r="M867" i="16"/>
  <c r="L876" i="16"/>
  <c r="M868" i="16"/>
  <c r="F868" i="16"/>
  <c r="L877" i="16"/>
  <c r="F869" i="16"/>
  <c r="M869" i="16"/>
  <c r="L878" i="16"/>
  <c r="F870" i="16"/>
  <c r="M870" i="16"/>
  <c r="L879" i="16"/>
  <c r="F871" i="16"/>
  <c r="M871" i="16"/>
  <c r="L880" i="16"/>
  <c r="M872" i="16"/>
  <c r="F872" i="16"/>
  <c r="L881" i="16"/>
  <c r="F873" i="16"/>
  <c r="M873" i="16"/>
  <c r="L882" i="16"/>
  <c r="M874" i="16"/>
  <c r="F874" i="16"/>
  <c r="L883" i="16"/>
  <c r="F875" i="16"/>
  <c r="M875" i="16"/>
  <c r="L884" i="16"/>
  <c r="M876" i="16"/>
  <c r="F876" i="16"/>
  <c r="L885" i="16"/>
  <c r="M877" i="16"/>
  <c r="F877" i="16"/>
  <c r="L886" i="16"/>
  <c r="F878" i="16"/>
  <c r="M878" i="16"/>
  <c r="L887" i="16"/>
  <c r="F879" i="16"/>
  <c r="M879" i="16"/>
  <c r="L888" i="16"/>
  <c r="M880" i="16"/>
  <c r="F880" i="16"/>
  <c r="L889" i="16"/>
  <c r="F881" i="16"/>
  <c r="M881" i="16"/>
  <c r="L890" i="16"/>
  <c r="M882" i="16"/>
  <c r="F882" i="16"/>
  <c r="L891" i="16"/>
  <c r="F883" i="16"/>
  <c r="M883" i="16"/>
  <c r="L892" i="16"/>
  <c r="M884" i="16"/>
  <c r="F884" i="16"/>
  <c r="L893" i="16"/>
  <c r="F885" i="16"/>
  <c r="M885" i="16"/>
  <c r="L894" i="16"/>
  <c r="F886" i="16"/>
  <c r="M886" i="16"/>
  <c r="L895" i="16"/>
  <c r="F887" i="16"/>
  <c r="M887" i="16"/>
  <c r="L896" i="16"/>
  <c r="M888" i="16"/>
  <c r="F888" i="16"/>
  <c r="L897" i="16"/>
  <c r="M889" i="16"/>
  <c r="F889" i="16"/>
  <c r="L898" i="16"/>
  <c r="M890" i="16"/>
  <c r="F890" i="16"/>
  <c r="L899" i="16"/>
  <c r="F891" i="16"/>
  <c r="M891" i="16"/>
  <c r="L900" i="16"/>
  <c r="F892" i="16"/>
  <c r="M892" i="16"/>
  <c r="L901" i="16"/>
  <c r="F893" i="16"/>
  <c r="M893" i="16"/>
  <c r="L902" i="16"/>
  <c r="M894" i="16"/>
  <c r="F894" i="16"/>
  <c r="L903" i="16"/>
  <c r="F895" i="16"/>
  <c r="M895" i="16"/>
  <c r="L904" i="16"/>
  <c r="F896" i="16"/>
  <c r="M896" i="16"/>
  <c r="L905" i="16"/>
  <c r="M897" i="16"/>
  <c r="F897" i="16"/>
  <c r="L906" i="16"/>
  <c r="F898" i="16"/>
  <c r="M898" i="16"/>
  <c r="L907" i="16"/>
  <c r="M899" i="16"/>
  <c r="F899" i="16"/>
  <c r="L908" i="16"/>
  <c r="F900" i="16"/>
  <c r="M900" i="16"/>
  <c r="L909" i="16"/>
  <c r="M901" i="16"/>
  <c r="F901" i="16"/>
  <c r="L910" i="16"/>
  <c r="M902" i="16"/>
  <c r="F902" i="16"/>
  <c r="L911" i="16"/>
  <c r="M903" i="16"/>
  <c r="F903" i="16"/>
  <c r="L912" i="16"/>
  <c r="F904" i="16"/>
  <c r="M904" i="16"/>
  <c r="L913" i="16"/>
  <c r="F905" i="16"/>
  <c r="M905" i="16"/>
  <c r="L914" i="16"/>
  <c r="M906" i="16"/>
  <c r="F906" i="16"/>
  <c r="L915" i="16"/>
  <c r="F907" i="16"/>
  <c r="M907" i="16"/>
  <c r="L916" i="16"/>
  <c r="M908" i="16"/>
  <c r="F908" i="16"/>
  <c r="L917" i="16"/>
  <c r="F909" i="16"/>
  <c r="M909" i="16"/>
  <c r="L918" i="16"/>
  <c r="M910" i="16"/>
  <c r="F910" i="16"/>
  <c r="L919" i="16"/>
  <c r="F911" i="16"/>
  <c r="M911" i="16"/>
  <c r="L920" i="16"/>
  <c r="M912" i="16"/>
  <c r="F912" i="16"/>
  <c r="L921" i="16"/>
  <c r="F913" i="16"/>
  <c r="M913" i="16"/>
  <c r="L922" i="16"/>
  <c r="F914" i="16"/>
  <c r="M914" i="16"/>
  <c r="L923" i="16"/>
  <c r="F915" i="16"/>
  <c r="M915" i="16"/>
  <c r="L924" i="16"/>
  <c r="F916" i="16"/>
  <c r="M916" i="16"/>
  <c r="L925" i="16"/>
  <c r="M917" i="16"/>
  <c r="F917" i="16"/>
  <c r="L926" i="16"/>
  <c r="F918" i="16"/>
  <c r="M918" i="16"/>
  <c r="L927" i="16"/>
  <c r="M919" i="16"/>
  <c r="F919" i="16"/>
  <c r="L928" i="16"/>
  <c r="F920" i="16"/>
  <c r="M920" i="16"/>
  <c r="L929" i="16"/>
  <c r="M921" i="16"/>
  <c r="F921" i="16"/>
  <c r="L930" i="16"/>
  <c r="F922" i="16"/>
  <c r="M922" i="16"/>
  <c r="L931" i="16"/>
  <c r="M923" i="16"/>
  <c r="F923" i="16"/>
  <c r="L932" i="16"/>
  <c r="F924" i="16"/>
  <c r="M924" i="16"/>
  <c r="L933" i="16"/>
  <c r="M925" i="16"/>
  <c r="F925" i="16"/>
  <c r="L934" i="16"/>
  <c r="F926" i="16"/>
  <c r="M926" i="16"/>
  <c r="L935" i="16"/>
  <c r="F927" i="16"/>
  <c r="M927" i="16"/>
  <c r="L936" i="16"/>
  <c r="F928" i="16"/>
  <c r="M928" i="16"/>
  <c r="L937" i="16"/>
  <c r="F929" i="16"/>
  <c r="M929" i="16"/>
  <c r="L938" i="16"/>
  <c r="F930" i="16"/>
  <c r="M930" i="16"/>
  <c r="L939" i="16"/>
  <c r="M931" i="16"/>
  <c r="F931" i="16"/>
  <c r="L940" i="16"/>
  <c r="F932" i="16"/>
  <c r="M932" i="16"/>
  <c r="L941" i="16"/>
  <c r="M933" i="16"/>
  <c r="F933" i="16"/>
  <c r="L942" i="16"/>
  <c r="F934" i="16"/>
  <c r="M934" i="16"/>
  <c r="L943" i="16"/>
  <c r="F935" i="16"/>
  <c r="M935" i="16"/>
  <c r="L944" i="16"/>
  <c r="F936" i="16"/>
  <c r="M936" i="16"/>
  <c r="L945" i="16"/>
  <c r="F937" i="16"/>
  <c r="M937" i="16"/>
  <c r="L946" i="16"/>
  <c r="F938" i="16"/>
  <c r="M938" i="16"/>
  <c r="L947" i="16"/>
  <c r="M939" i="16"/>
  <c r="F939" i="16"/>
  <c r="L948" i="16"/>
  <c r="F940" i="16"/>
  <c r="M940" i="16"/>
  <c r="L949" i="16"/>
  <c r="F941" i="16"/>
  <c r="M941" i="16"/>
  <c r="L950" i="16"/>
  <c r="F942" i="16"/>
  <c r="M942" i="16"/>
  <c r="L951" i="16"/>
  <c r="M943" i="16"/>
  <c r="F943" i="16"/>
  <c r="L952" i="16"/>
  <c r="F944" i="16"/>
  <c r="M944" i="16"/>
  <c r="L953" i="16"/>
  <c r="F945" i="16"/>
  <c r="M945" i="16"/>
  <c r="L954" i="16"/>
  <c r="F946" i="16"/>
  <c r="M946" i="16"/>
  <c r="L955" i="16"/>
  <c r="F947" i="16"/>
  <c r="M947" i="16"/>
  <c r="L956" i="16"/>
  <c r="F948" i="16"/>
  <c r="M948" i="16"/>
  <c r="L957" i="16"/>
  <c r="M949" i="16"/>
  <c r="F949" i="16"/>
  <c r="L958" i="16"/>
  <c r="F950" i="16"/>
  <c r="M950" i="16"/>
  <c r="L959" i="16"/>
  <c r="M951" i="16"/>
  <c r="F951" i="16"/>
  <c r="L960" i="16"/>
  <c r="F952" i="16"/>
  <c r="M952" i="16"/>
  <c r="L961" i="16"/>
  <c r="F953" i="16"/>
  <c r="M953" i="16"/>
  <c r="L962" i="16"/>
  <c r="F954" i="16"/>
  <c r="M954" i="16"/>
  <c r="L963" i="16"/>
  <c r="F955" i="16"/>
  <c r="M955" i="16"/>
  <c r="L964" i="16"/>
  <c r="F956" i="16"/>
  <c r="M956" i="16"/>
  <c r="L965" i="16"/>
  <c r="F957" i="16"/>
  <c r="M957" i="16"/>
  <c r="L966" i="16"/>
  <c r="F958" i="16"/>
  <c r="M958" i="16"/>
  <c r="L967" i="16"/>
  <c r="F959" i="16"/>
  <c r="M959" i="16"/>
  <c r="L968" i="16"/>
  <c r="F960" i="16"/>
  <c r="M960" i="16"/>
  <c r="L969" i="16"/>
  <c r="M961" i="16"/>
  <c r="F961" i="16"/>
  <c r="L970" i="16"/>
  <c r="F962" i="16"/>
  <c r="M962" i="16"/>
  <c r="L971" i="16"/>
  <c r="F963" i="16"/>
  <c r="M963" i="16"/>
  <c r="L972" i="16"/>
  <c r="M964" i="16"/>
  <c r="F964" i="16"/>
  <c r="L973" i="16"/>
  <c r="M965" i="16"/>
  <c r="F965" i="16"/>
  <c r="L974" i="16"/>
  <c r="F966" i="16"/>
  <c r="M966" i="16"/>
  <c r="L975" i="16"/>
  <c r="M967" i="16"/>
  <c r="F967" i="16"/>
  <c r="L976" i="16"/>
  <c r="F968" i="16"/>
  <c r="M968" i="16"/>
  <c r="L977" i="16"/>
  <c r="F969" i="16"/>
  <c r="M969" i="16"/>
  <c r="L978" i="16"/>
  <c r="F970" i="16"/>
  <c r="M970" i="16"/>
  <c r="L979" i="16"/>
  <c r="F971" i="16"/>
  <c r="M971" i="16"/>
  <c r="L980" i="16"/>
  <c r="F972" i="16"/>
  <c r="M972" i="16"/>
  <c r="L981" i="16"/>
  <c r="F973" i="16"/>
  <c r="M973" i="16"/>
  <c r="L982" i="16"/>
  <c r="F974" i="16"/>
  <c r="M974" i="16"/>
  <c r="L983" i="16"/>
  <c r="F975" i="16"/>
  <c r="M975" i="16"/>
  <c r="L984" i="16"/>
  <c r="F976" i="16"/>
  <c r="M976" i="16"/>
  <c r="L985" i="16"/>
  <c r="F977" i="16"/>
  <c r="M977" i="16"/>
  <c r="L986" i="16"/>
  <c r="F978" i="16"/>
  <c r="M978" i="16"/>
  <c r="L987" i="16"/>
  <c r="F979" i="16"/>
  <c r="M979" i="16"/>
  <c r="L988" i="16"/>
  <c r="F980" i="16"/>
  <c r="M980" i="16"/>
  <c r="L989" i="16"/>
  <c r="F981" i="16"/>
  <c r="M981" i="16"/>
  <c r="L990" i="16"/>
  <c r="F982" i="16"/>
  <c r="M982" i="16"/>
  <c r="L991" i="16"/>
  <c r="F983" i="16"/>
  <c r="M983" i="16"/>
  <c r="L992" i="16"/>
  <c r="M984" i="16"/>
  <c r="F984" i="16"/>
  <c r="L993" i="16"/>
  <c r="F985" i="16"/>
  <c r="M985" i="16"/>
  <c r="L994" i="16"/>
  <c r="F986" i="16"/>
  <c r="M986" i="16"/>
  <c r="L995" i="16"/>
  <c r="F987" i="16"/>
  <c r="M987" i="16"/>
  <c r="L996" i="16"/>
  <c r="M988" i="16"/>
  <c r="F988" i="16"/>
  <c r="L997" i="16"/>
  <c r="F989" i="16"/>
  <c r="M989" i="16"/>
  <c r="L998" i="16"/>
  <c r="F990" i="16"/>
  <c r="M990" i="16"/>
  <c r="L999" i="16"/>
  <c r="M991" i="16"/>
  <c r="F991" i="16"/>
  <c r="L1000" i="16"/>
  <c r="F992" i="16"/>
  <c r="M992" i="16"/>
  <c r="L1001" i="16"/>
  <c r="M993" i="16"/>
  <c r="F993" i="16"/>
  <c r="L1002" i="16"/>
  <c r="F994" i="16"/>
  <c r="M994" i="16"/>
  <c r="L1003" i="16"/>
  <c r="F995" i="16"/>
  <c r="M995" i="16"/>
  <c r="L1004" i="16"/>
  <c r="M996" i="16"/>
  <c r="F996" i="16"/>
  <c r="L1005" i="16"/>
  <c r="F997" i="16"/>
  <c r="M997" i="16"/>
  <c r="L1006" i="16"/>
  <c r="F998" i="16"/>
  <c r="M998" i="16"/>
  <c r="L1007" i="16"/>
  <c r="F999" i="16"/>
  <c r="M999" i="16"/>
  <c r="L1008" i="16"/>
  <c r="F1000" i="16"/>
  <c r="M1000" i="16"/>
  <c r="L1009" i="16"/>
  <c r="M1001" i="16"/>
  <c r="F1001" i="16"/>
  <c r="L1010" i="16"/>
  <c r="F1002" i="16"/>
  <c r="M1002" i="16"/>
  <c r="L1011" i="16"/>
  <c r="F1003" i="16"/>
  <c r="M1003" i="16"/>
  <c r="L1012" i="16"/>
  <c r="F1004" i="16"/>
  <c r="M1004" i="16"/>
  <c r="L1013" i="16"/>
  <c r="F1005" i="16"/>
  <c r="M1005" i="16"/>
  <c r="L1014" i="16"/>
  <c r="F1006" i="16"/>
  <c r="M1006" i="16"/>
  <c r="L1015" i="16"/>
  <c r="F1007" i="16"/>
  <c r="M1007" i="16"/>
  <c r="L1016" i="16"/>
  <c r="F1008" i="16"/>
  <c r="M1008" i="16"/>
  <c r="L1017" i="16"/>
  <c r="F1009" i="16"/>
  <c r="M1009" i="16"/>
  <c r="L1018" i="16"/>
  <c r="F1010" i="16"/>
  <c r="M1010" i="16"/>
  <c r="L1019" i="16"/>
  <c r="F1011" i="16"/>
  <c r="M1011" i="16"/>
  <c r="L1020" i="16"/>
  <c r="F1012" i="16"/>
  <c r="M1012" i="16"/>
  <c r="L1021" i="16"/>
  <c r="F1013" i="16"/>
  <c r="M1013" i="16"/>
  <c r="L1022" i="16"/>
  <c r="F1014" i="16"/>
  <c r="M1014" i="16"/>
  <c r="L1023" i="16"/>
  <c r="M1015" i="16"/>
  <c r="F1015" i="16"/>
  <c r="L1024" i="16"/>
  <c r="F1016" i="16"/>
  <c r="M1016" i="16"/>
  <c r="L1025" i="16"/>
  <c r="F1017" i="16"/>
  <c r="M1017" i="16"/>
  <c r="L1026" i="16"/>
  <c r="F1018" i="16"/>
  <c r="M1018" i="16"/>
  <c r="L1027" i="16"/>
  <c r="F1019" i="16"/>
  <c r="M1019" i="16"/>
  <c r="L1028" i="16"/>
  <c r="M1020" i="16"/>
  <c r="F1020" i="16"/>
  <c r="L1029" i="16"/>
  <c r="F1021" i="16"/>
  <c r="M1021" i="16"/>
  <c r="L1030" i="16"/>
  <c r="F1022" i="16"/>
  <c r="M1022" i="16"/>
  <c r="L1031" i="16"/>
  <c r="F1023" i="16"/>
  <c r="M1023" i="16"/>
  <c r="L1032" i="16"/>
  <c r="F1024" i="16"/>
  <c r="M1024" i="16"/>
  <c r="L1033" i="16"/>
  <c r="F1025" i="16"/>
  <c r="M1025" i="16"/>
  <c r="L1034" i="16"/>
  <c r="F1026" i="16"/>
  <c r="M1026" i="16"/>
  <c r="L1035" i="16"/>
  <c r="F1027" i="16"/>
  <c r="M1027" i="16"/>
  <c r="L1036" i="16"/>
  <c r="F1028" i="16"/>
  <c r="M1028" i="16"/>
  <c r="L1037" i="16"/>
  <c r="F1029" i="16"/>
  <c r="M1029" i="16"/>
  <c r="L1038" i="16"/>
  <c r="F1030" i="16"/>
  <c r="M1030" i="16"/>
  <c r="L1039" i="16"/>
  <c r="F1031" i="16"/>
  <c r="M1031" i="16"/>
  <c r="L1040" i="16"/>
  <c r="F1032" i="16"/>
  <c r="M1032" i="16"/>
  <c r="L1041" i="16"/>
  <c r="M1033" i="16"/>
  <c r="F1033" i="16"/>
  <c r="L1042" i="16"/>
  <c r="F1034" i="16"/>
  <c r="M1034" i="16"/>
  <c r="L1043" i="16"/>
  <c r="M1035" i="16"/>
  <c r="F1035" i="16"/>
  <c r="L1044" i="16"/>
  <c r="F1036" i="16"/>
  <c r="M1036" i="16"/>
  <c r="L1045" i="16"/>
  <c r="M1037" i="16"/>
  <c r="F1037" i="16"/>
  <c r="L1046" i="16"/>
  <c r="F1038" i="16"/>
  <c r="M1038" i="16"/>
  <c r="L1047" i="16"/>
  <c r="F1039" i="16"/>
  <c r="M1039" i="16"/>
  <c r="L1048" i="16"/>
  <c r="F1040" i="16"/>
  <c r="M1040" i="16"/>
  <c r="L1049" i="16"/>
  <c r="F1041" i="16"/>
  <c r="M1041" i="16"/>
  <c r="L1050" i="16"/>
  <c r="F1042" i="16"/>
  <c r="M1042" i="16"/>
  <c r="L1051" i="16"/>
  <c r="F1043" i="16"/>
  <c r="M1043" i="16"/>
  <c r="L1052" i="16"/>
  <c r="F1044" i="16"/>
  <c r="M1044" i="16"/>
  <c r="L1053" i="16"/>
  <c r="M1045" i="16"/>
  <c r="F1045" i="16"/>
  <c r="L1054" i="16"/>
  <c r="F1046" i="16"/>
  <c r="M1046" i="16"/>
  <c r="L1055" i="16"/>
  <c r="F1047" i="16"/>
  <c r="M1047" i="16"/>
  <c r="L1056" i="16"/>
  <c r="F1048" i="16"/>
  <c r="M1048" i="16"/>
  <c r="L1057" i="16"/>
  <c r="M1049" i="16"/>
  <c r="F1049" i="16"/>
  <c r="L1058" i="16"/>
  <c r="F1050" i="16"/>
  <c r="M1050" i="16"/>
  <c r="L1059" i="16"/>
  <c r="F1051" i="16"/>
  <c r="M1051" i="16"/>
  <c r="L1060" i="16"/>
  <c r="M1052" i="16"/>
  <c r="F1052" i="16"/>
  <c r="L1061" i="16"/>
  <c r="F1053" i="16"/>
  <c r="M1053" i="16"/>
  <c r="L1062" i="16"/>
  <c r="F1054" i="16"/>
  <c r="M1054" i="16"/>
  <c r="L1063" i="16"/>
  <c r="M1055" i="16"/>
  <c r="F1055" i="16"/>
  <c r="L1064" i="16"/>
  <c r="F1056" i="16"/>
  <c r="M1056" i="16"/>
  <c r="L1065" i="16"/>
  <c r="F1057" i="16"/>
  <c r="M1057" i="16"/>
  <c r="L1066" i="16"/>
  <c r="F1058" i="16"/>
  <c r="M1058" i="16"/>
  <c r="L1067" i="16"/>
  <c r="M1059" i="16"/>
  <c r="F1059" i="16"/>
  <c r="L1068" i="16"/>
  <c r="F1060" i="16"/>
  <c r="M1060" i="16"/>
  <c r="L1069" i="16"/>
  <c r="F1061" i="16"/>
  <c r="M1061" i="16"/>
  <c r="L1070" i="16"/>
  <c r="F1062" i="16"/>
  <c r="M1062" i="16"/>
  <c r="L1071" i="16"/>
  <c r="M1063" i="16"/>
  <c r="F1063" i="16"/>
  <c r="L1072" i="16"/>
  <c r="F1064" i="16"/>
  <c r="M1064" i="16"/>
  <c r="L1073" i="16"/>
  <c r="F1065" i="16"/>
  <c r="M1065" i="16"/>
  <c r="L1074" i="16"/>
  <c r="F1066" i="16"/>
  <c r="M1066" i="16"/>
  <c r="L1075" i="16"/>
  <c r="F1067" i="16"/>
  <c r="M1067" i="16"/>
  <c r="L1076" i="16"/>
  <c r="F1068" i="16"/>
  <c r="M1068" i="16"/>
  <c r="L1077" i="16"/>
  <c r="F1069" i="16"/>
  <c r="M1069" i="16"/>
  <c r="L1078" i="16"/>
  <c r="F1070" i="16"/>
  <c r="M1070" i="16"/>
  <c r="L1079" i="16"/>
  <c r="M1071" i="16"/>
  <c r="F1071" i="16"/>
  <c r="L1080" i="16"/>
  <c r="F1072" i="16"/>
  <c r="M1072" i="16"/>
  <c r="L1081" i="16"/>
  <c r="M1073" i="16"/>
  <c r="F1073" i="16"/>
  <c r="L1082" i="16"/>
  <c r="F1074" i="16"/>
  <c r="M1074" i="16"/>
  <c r="L1083" i="16"/>
  <c r="M1075" i="16"/>
  <c r="F1075" i="16"/>
  <c r="L1084" i="16"/>
  <c r="F1076" i="16"/>
  <c r="M1076" i="16"/>
  <c r="L1085" i="16"/>
  <c r="M1077" i="16"/>
  <c r="F1077" i="16"/>
  <c r="L1086" i="16"/>
  <c r="F1078" i="16"/>
  <c r="M1078" i="16"/>
  <c r="L1087" i="16"/>
  <c r="M1079" i="16"/>
  <c r="F1079" i="16"/>
  <c r="L1088" i="16"/>
  <c r="F1080" i="16"/>
  <c r="M1080" i="16"/>
  <c r="L1089" i="16"/>
  <c r="F1081" i="16"/>
  <c r="M1081" i="16"/>
  <c r="L1090" i="16"/>
  <c r="F1082" i="16"/>
  <c r="M1082" i="16"/>
  <c r="L1091" i="16"/>
  <c r="M1083" i="16"/>
  <c r="F1083" i="16"/>
  <c r="L1092" i="16"/>
  <c r="F1084" i="16"/>
  <c r="M1084" i="16"/>
  <c r="L1093" i="16"/>
  <c r="M1085" i="16"/>
  <c r="F1085" i="16"/>
  <c r="L1094" i="16"/>
  <c r="F1086" i="16"/>
  <c r="M1086" i="16"/>
  <c r="L1095" i="16"/>
  <c r="F1087" i="16"/>
  <c r="M1087" i="16"/>
  <c r="L1096" i="16"/>
  <c r="F1088" i="16"/>
  <c r="M1088" i="16"/>
  <c r="L1097" i="16"/>
  <c r="M1089" i="16"/>
  <c r="F1089" i="16"/>
  <c r="L1098" i="16"/>
  <c r="F1090" i="16"/>
  <c r="M1090" i="16"/>
  <c r="L1099" i="16"/>
  <c r="F1091" i="16"/>
  <c r="M1091" i="16"/>
  <c r="L1100" i="16"/>
  <c r="F1092" i="16"/>
  <c r="M1092" i="16"/>
  <c r="L1101" i="16"/>
  <c r="F1093" i="16"/>
  <c r="M1093" i="16"/>
  <c r="L1102" i="16"/>
  <c r="F1094" i="16"/>
  <c r="M1094" i="16"/>
  <c r="L1103" i="16"/>
  <c r="F1095" i="16"/>
  <c r="M1095" i="16"/>
  <c r="L1104" i="16"/>
  <c r="F1096" i="16"/>
  <c r="M1096" i="16"/>
  <c r="L1105" i="16"/>
  <c r="F1097" i="16"/>
  <c r="M1097" i="16"/>
  <c r="L1106" i="16"/>
  <c r="F1098" i="16"/>
  <c r="M1098" i="16"/>
  <c r="L1107" i="16"/>
  <c r="M1099" i="16"/>
  <c r="F1099" i="16"/>
  <c r="L1108" i="16"/>
  <c r="F1100" i="16"/>
  <c r="M1100" i="16"/>
  <c r="L1109" i="16"/>
  <c r="F1101" i="16"/>
  <c r="M1101" i="16"/>
  <c r="L1110" i="16"/>
  <c r="F1102" i="16"/>
  <c r="M1102" i="16"/>
  <c r="L1111" i="16"/>
  <c r="F1103" i="16"/>
  <c r="M1103" i="16"/>
  <c r="L1112" i="16"/>
  <c r="F1104" i="16"/>
  <c r="M1104" i="16"/>
  <c r="L1113" i="16"/>
  <c r="M1105" i="16"/>
  <c r="F1105" i="16"/>
  <c r="L1114" i="16"/>
  <c r="F1106" i="16"/>
  <c r="M1106" i="16"/>
  <c r="L1115" i="16"/>
  <c r="F1107" i="16"/>
  <c r="M1107" i="16"/>
  <c r="L1116" i="16"/>
  <c r="F1108" i="16"/>
  <c r="M1108" i="16"/>
  <c r="L1117" i="16"/>
  <c r="M1109" i="16"/>
  <c r="F1109" i="16"/>
  <c r="L1118" i="16"/>
  <c r="F1110" i="16"/>
  <c r="M1110" i="16"/>
  <c r="L1119" i="16"/>
  <c r="M1111" i="16"/>
  <c r="F1111" i="16"/>
  <c r="L1120" i="16"/>
  <c r="F1112" i="16"/>
  <c r="M1112" i="16"/>
  <c r="L1121" i="16"/>
  <c r="F1113" i="16"/>
  <c r="M1113" i="16"/>
  <c r="L1122" i="16"/>
  <c r="F1114" i="16"/>
  <c r="M1114" i="16"/>
  <c r="L1123" i="16"/>
  <c r="M1115" i="16"/>
  <c r="F1115" i="16"/>
  <c r="L1124" i="16"/>
  <c r="F1116" i="16"/>
  <c r="M1116" i="16"/>
  <c r="L1125" i="16"/>
  <c r="M1117" i="16"/>
  <c r="F1117" i="16"/>
  <c r="L1126" i="16"/>
  <c r="F1118" i="16"/>
  <c r="M1118" i="16"/>
  <c r="L1127" i="16"/>
  <c r="F1119" i="16"/>
  <c r="M1119" i="16"/>
  <c r="L1128" i="16"/>
  <c r="F1120" i="16"/>
  <c r="M1120" i="16"/>
  <c r="L1129" i="16"/>
  <c r="M1121" i="16"/>
  <c r="F1121" i="16"/>
  <c r="L1130" i="16"/>
  <c r="F1122" i="16"/>
  <c r="M1122" i="16"/>
  <c r="L1131" i="16"/>
  <c r="F1123" i="16"/>
  <c r="M1123" i="16"/>
  <c r="L1132" i="16"/>
  <c r="F1124" i="16"/>
  <c r="M1124" i="16"/>
  <c r="L1133" i="16"/>
  <c r="F1125" i="16"/>
  <c r="M1125" i="16"/>
  <c r="L1134" i="16"/>
  <c r="F1126" i="16"/>
  <c r="M1126" i="16"/>
  <c r="L1135" i="16"/>
  <c r="F1127" i="16"/>
  <c r="M1127" i="16"/>
  <c r="L1136" i="16"/>
  <c r="F1128" i="16"/>
  <c r="M1128" i="16"/>
  <c r="L1137" i="16"/>
  <c r="M1129" i="16"/>
  <c r="F1129" i="16"/>
  <c r="L1138" i="16"/>
  <c r="F1130" i="16"/>
  <c r="M1130" i="16"/>
  <c r="L1139" i="16"/>
  <c r="M1131" i="16"/>
  <c r="F1131" i="16"/>
  <c r="L1140" i="16"/>
  <c r="F1132" i="16"/>
  <c r="M1132" i="16"/>
  <c r="L1141" i="16"/>
  <c r="F1133" i="16"/>
  <c r="M1133" i="16"/>
  <c r="L1142" i="16"/>
  <c r="F1134" i="16"/>
  <c r="M1134" i="16"/>
  <c r="L1143" i="16"/>
  <c r="M1135" i="16"/>
  <c r="F1135" i="16"/>
  <c r="L1144" i="16"/>
  <c r="F1136" i="16"/>
  <c r="M1136" i="16"/>
  <c r="L1145" i="16"/>
  <c r="M1137" i="16"/>
  <c r="F1137" i="16"/>
  <c r="L1146" i="16"/>
  <c r="F1138" i="16"/>
  <c r="M1138" i="16"/>
  <c r="L1147" i="16"/>
  <c r="F1139" i="16"/>
  <c r="M1139" i="16"/>
  <c r="L1148" i="16"/>
  <c r="F1140" i="16"/>
  <c r="M1140" i="16"/>
  <c r="L1149" i="16"/>
  <c r="M1141" i="16"/>
  <c r="F1141" i="16"/>
  <c r="L1150" i="16"/>
  <c r="F1142" i="16"/>
  <c r="M1142" i="16"/>
  <c r="L1151" i="16"/>
  <c r="M1143" i="16"/>
  <c r="F1143" i="16"/>
  <c r="L1152" i="16"/>
  <c r="F1144" i="16"/>
  <c r="M1144" i="16"/>
  <c r="L1153" i="16"/>
  <c r="M1145" i="16"/>
  <c r="F1145" i="16"/>
  <c r="L1154" i="16"/>
  <c r="F1146" i="16"/>
  <c r="M1146" i="16"/>
  <c r="L1155" i="16"/>
  <c r="F1147" i="16"/>
  <c r="M1147" i="16"/>
  <c r="L1156" i="16"/>
  <c r="F1148" i="16"/>
  <c r="M1148" i="16"/>
  <c r="L1157" i="16"/>
  <c r="F1149" i="16"/>
  <c r="M1149" i="16"/>
  <c r="L1158" i="16"/>
  <c r="F1150" i="16"/>
  <c r="M1150" i="16"/>
  <c r="L1159" i="16"/>
  <c r="F1151" i="16"/>
  <c r="M1151" i="16"/>
  <c r="L1160" i="16"/>
  <c r="F1152" i="16"/>
  <c r="M1152" i="16"/>
  <c r="L1161" i="16"/>
  <c r="M1153" i="16"/>
  <c r="F1153" i="16"/>
  <c r="L1162" i="16"/>
  <c r="F1154" i="16"/>
  <c r="M1154" i="16"/>
  <c r="L1163" i="16"/>
  <c r="F1155" i="16"/>
  <c r="M1155" i="16"/>
  <c r="L1164" i="16"/>
  <c r="F1156" i="16"/>
  <c r="M1156" i="16"/>
  <c r="L1165" i="16"/>
  <c r="F1157" i="16"/>
  <c r="M1157" i="16"/>
  <c r="L1166" i="16"/>
  <c r="F1158" i="16"/>
  <c r="M1158" i="16"/>
  <c r="L1167" i="16"/>
  <c r="F1159" i="16"/>
  <c r="M1159" i="16"/>
  <c r="L1168" i="16"/>
  <c r="F1160" i="16"/>
  <c r="M1160" i="16"/>
  <c r="L1169" i="16"/>
  <c r="F1161" i="16"/>
  <c r="M1161" i="16"/>
  <c r="L1170" i="16"/>
  <c r="F1162" i="16"/>
  <c r="M1162" i="16"/>
  <c r="L1171" i="16"/>
  <c r="M1163" i="16"/>
  <c r="F1163" i="16"/>
  <c r="L1172" i="16"/>
  <c r="F1164" i="16"/>
  <c r="M1164" i="16"/>
  <c r="L1173" i="16"/>
  <c r="M1165" i="16"/>
  <c r="F1165" i="16"/>
  <c r="L1174" i="16"/>
  <c r="F1166" i="16"/>
  <c r="M1166" i="16"/>
  <c r="L1175" i="16"/>
  <c r="M1167" i="16"/>
  <c r="F1167" i="16"/>
  <c r="L1176" i="16"/>
  <c r="F1168" i="16"/>
  <c r="M1168" i="16"/>
  <c r="L1177" i="16"/>
  <c r="F1169" i="16"/>
  <c r="M1169" i="16"/>
  <c r="L1178" i="16"/>
  <c r="F1170" i="16"/>
  <c r="M1170" i="16"/>
  <c r="L1179" i="16"/>
  <c r="F1171" i="16"/>
  <c r="M1171" i="16"/>
  <c r="L1180" i="16"/>
  <c r="F1172" i="16"/>
  <c r="M1172" i="16"/>
  <c r="L1181" i="16"/>
  <c r="M1173" i="16"/>
  <c r="F1173" i="16"/>
  <c r="L1182" i="16"/>
  <c r="F1174" i="16"/>
  <c r="M1174" i="16"/>
  <c r="L1183" i="16"/>
  <c r="F1175" i="16"/>
  <c r="M1175" i="16"/>
  <c r="L1184" i="16"/>
  <c r="F1176" i="16"/>
  <c r="M1176" i="16"/>
  <c r="L1185" i="16"/>
  <c r="M1177" i="16"/>
  <c r="F1177" i="16"/>
  <c r="L1186" i="16"/>
  <c r="F1178" i="16"/>
  <c r="M1178" i="16"/>
  <c r="L1187" i="16"/>
  <c r="M1179" i="16"/>
  <c r="F1179" i="16"/>
  <c r="L1188" i="16"/>
  <c r="M1180" i="16"/>
  <c r="F1180" i="16"/>
  <c r="L1189" i="16"/>
  <c r="M1181" i="16"/>
  <c r="F1181" i="16"/>
  <c r="L1190" i="16"/>
  <c r="F1182" i="16"/>
  <c r="M1182" i="16"/>
  <c r="L1191" i="16"/>
  <c r="F1183" i="16"/>
  <c r="M1183" i="16"/>
  <c r="L1192" i="16"/>
  <c r="F1184" i="16"/>
  <c r="M1184" i="16"/>
  <c r="L1193" i="16"/>
  <c r="F1185" i="16"/>
  <c r="M1185" i="16"/>
  <c r="L1194" i="16"/>
  <c r="F1186" i="16"/>
  <c r="M1186" i="16"/>
  <c r="L1195" i="16"/>
  <c r="M1187" i="16"/>
  <c r="F1187" i="16"/>
  <c r="L1196" i="16"/>
  <c r="F1188" i="16"/>
  <c r="M1188" i="16"/>
  <c r="L1197" i="16"/>
  <c r="F1189" i="16"/>
  <c r="M1189" i="16"/>
  <c r="L1198" i="16"/>
  <c r="F1190" i="16"/>
  <c r="M1190" i="16"/>
  <c r="L1199" i="16"/>
  <c r="M1191" i="16"/>
  <c r="F1191" i="16"/>
  <c r="L1200" i="16"/>
  <c r="F1192" i="16"/>
  <c r="M1192" i="16"/>
  <c r="L1201" i="16"/>
  <c r="F1193" i="16"/>
  <c r="M1193" i="16"/>
  <c r="L1202" i="16"/>
  <c r="F1194" i="16"/>
  <c r="M1194" i="16"/>
  <c r="L1203" i="16"/>
  <c r="F1195" i="16"/>
  <c r="M1195" i="16"/>
  <c r="L1204" i="16"/>
  <c r="F1196" i="16"/>
  <c r="M1196" i="16"/>
  <c r="L1205" i="16"/>
  <c r="F1197" i="16"/>
  <c r="M1197" i="16"/>
  <c r="L1206" i="16"/>
  <c r="F1198" i="16"/>
  <c r="M1198" i="16"/>
  <c r="L1207" i="16"/>
  <c r="F1199" i="16"/>
  <c r="M1199" i="16"/>
  <c r="L1208" i="16"/>
  <c r="F1200" i="16"/>
  <c r="M1200" i="16"/>
  <c r="L1209" i="16"/>
  <c r="M1201" i="16"/>
  <c r="F1201" i="16"/>
  <c r="L1210" i="16"/>
  <c r="F1202" i="16"/>
  <c r="M1202" i="16"/>
  <c r="L1211" i="16"/>
  <c r="F1203" i="16"/>
  <c r="M1203" i="16"/>
  <c r="L1212" i="16"/>
  <c r="F1204" i="16"/>
  <c r="M1204" i="16"/>
  <c r="L1213" i="16"/>
  <c r="F1205" i="16"/>
  <c r="M1205" i="16"/>
  <c r="L1214" i="16"/>
  <c r="F1206" i="16"/>
  <c r="M1206" i="16"/>
  <c r="L1215" i="16"/>
  <c r="F1207" i="16"/>
  <c r="M1207" i="16"/>
  <c r="L1216" i="16"/>
  <c r="F1208" i="16"/>
  <c r="M1208" i="16"/>
  <c r="L1217" i="16"/>
  <c r="M1209" i="16"/>
  <c r="F1209" i="16"/>
  <c r="L1218" i="16"/>
  <c r="F1210" i="16"/>
  <c r="M1210" i="16"/>
  <c r="L1219" i="16"/>
  <c r="F1211" i="16"/>
  <c r="M1211" i="16"/>
  <c r="L1220" i="16"/>
  <c r="F1212" i="16"/>
  <c r="M1212" i="16"/>
  <c r="L1221" i="16"/>
  <c r="F1213" i="16"/>
  <c r="M1213" i="16"/>
  <c r="L1222" i="16"/>
  <c r="F1214" i="16"/>
  <c r="M1214" i="16"/>
  <c r="L1223" i="16"/>
  <c r="F1215" i="16"/>
  <c r="M1215" i="16"/>
  <c r="L1224" i="16"/>
  <c r="F1216" i="16"/>
  <c r="M1216" i="16"/>
  <c r="L1225" i="16"/>
  <c r="M1217" i="16"/>
  <c r="F1217" i="16"/>
  <c r="L1226" i="16"/>
  <c r="F1218" i="16"/>
  <c r="M1218" i="16"/>
  <c r="L1227" i="16"/>
  <c r="M1219" i="16"/>
  <c r="F1219" i="16"/>
  <c r="L1228" i="16"/>
  <c r="M1220" i="16"/>
  <c r="F1220" i="16"/>
  <c r="L1229" i="16"/>
  <c r="M1221" i="16"/>
  <c r="F1221" i="16"/>
  <c r="L1230" i="16"/>
  <c r="F1222" i="16"/>
  <c r="M1222" i="16"/>
  <c r="L1231" i="16"/>
  <c r="F1223" i="16"/>
  <c r="M1223" i="16"/>
  <c r="L1232" i="16"/>
  <c r="F1224" i="16"/>
  <c r="M1224" i="16"/>
  <c r="L1233" i="16"/>
  <c r="F1225" i="16"/>
  <c r="M1225" i="16"/>
  <c r="L1234" i="16"/>
  <c r="F1226" i="16"/>
  <c r="M1226" i="16"/>
  <c r="L1235" i="16"/>
  <c r="M1227" i="16"/>
  <c r="F1227" i="16"/>
  <c r="L1236" i="16"/>
  <c r="F1228" i="16"/>
  <c r="M1228" i="16"/>
  <c r="L1237" i="16"/>
  <c r="M1229" i="16"/>
  <c r="F1229" i="16"/>
  <c r="L1238" i="16"/>
  <c r="F1230" i="16"/>
  <c r="M1230" i="16"/>
  <c r="L1239" i="16"/>
  <c r="M1231" i="16"/>
  <c r="F1231" i="16"/>
  <c r="L1240" i="16"/>
  <c r="F1232" i="16"/>
  <c r="M1232" i="16"/>
  <c r="L1241" i="16"/>
  <c r="F1233" i="16"/>
  <c r="M1233" i="16"/>
  <c r="L1242" i="16"/>
  <c r="F1234" i="16"/>
  <c r="M1234" i="16"/>
  <c r="L1243" i="16"/>
  <c r="F1235" i="16"/>
  <c r="M1235" i="16"/>
  <c r="L1244" i="16"/>
  <c r="F1236" i="16"/>
  <c r="M1236" i="16"/>
  <c r="L1245" i="16"/>
  <c r="M1237" i="16"/>
  <c r="F1237" i="16"/>
  <c r="L1246" i="16"/>
  <c r="F1238" i="16"/>
  <c r="M1238" i="16"/>
  <c r="L1247" i="16"/>
  <c r="M1239" i="16"/>
  <c r="F1239" i="16"/>
  <c r="L1248" i="16"/>
  <c r="F1240" i="16"/>
  <c r="M1240" i="16"/>
  <c r="L1249" i="16"/>
  <c r="M1241" i="16"/>
  <c r="F1241" i="16"/>
  <c r="L1250" i="16"/>
  <c r="F1242" i="16"/>
  <c r="M1242" i="16"/>
  <c r="L1251" i="16"/>
  <c r="M1243" i="16"/>
  <c r="F1243" i="16"/>
  <c r="L1252" i="16"/>
  <c r="M1244" i="16"/>
  <c r="F1244" i="16"/>
  <c r="L1253" i="16"/>
  <c r="F1245" i="16"/>
  <c r="M1245" i="16"/>
  <c r="L1254" i="16"/>
  <c r="F1246" i="16"/>
  <c r="M1246" i="16"/>
  <c r="L1255" i="16"/>
  <c r="F1247" i="16"/>
  <c r="M1247" i="16"/>
  <c r="L1256" i="16"/>
  <c r="F1248" i="16"/>
  <c r="M1248" i="16"/>
  <c r="L1257" i="16"/>
  <c r="F1249" i="16"/>
  <c r="M1249" i="16"/>
  <c r="L1258" i="16"/>
  <c r="F1250" i="16"/>
  <c r="M1250" i="16"/>
  <c r="L1259" i="16"/>
  <c r="F1251" i="16"/>
  <c r="M1251" i="16"/>
  <c r="L1260" i="16"/>
  <c r="F1252" i="16"/>
  <c r="M1252" i="16"/>
  <c r="L1261" i="16"/>
  <c r="M1253" i="16"/>
  <c r="F1253" i="16"/>
  <c r="L1262" i="16"/>
  <c r="F1254" i="16"/>
  <c r="M1254" i="16"/>
  <c r="L1263" i="16"/>
  <c r="F1255" i="16"/>
  <c r="M1255" i="16"/>
  <c r="L1264" i="16"/>
  <c r="F1256" i="16"/>
  <c r="M1256" i="16"/>
  <c r="L1265" i="16"/>
  <c r="F1257" i="16"/>
  <c r="M1257" i="16"/>
  <c r="L1266" i="16"/>
  <c r="F1258" i="16"/>
  <c r="M1258" i="16"/>
  <c r="L1267" i="16"/>
  <c r="M1259" i="16"/>
  <c r="F1259" i="16"/>
  <c r="L1268" i="16"/>
  <c r="F1260" i="16"/>
  <c r="M1260" i="16"/>
  <c r="L1269" i="16"/>
  <c r="M1261" i="16"/>
  <c r="F1261" i="16"/>
  <c r="L1270" i="16"/>
  <c r="F1262" i="16"/>
  <c r="M1262" i="16"/>
  <c r="L1271" i="16"/>
  <c r="M1263" i="16"/>
  <c r="F1263" i="16"/>
  <c r="L1272" i="16"/>
  <c r="F1264" i="16"/>
  <c r="M1264" i="16"/>
  <c r="L1273" i="16"/>
  <c r="M1265" i="16"/>
  <c r="F1265" i="16"/>
  <c r="L1274" i="16"/>
  <c r="F1266" i="16"/>
  <c r="M1266" i="16"/>
  <c r="L1275" i="16"/>
  <c r="F1267" i="16"/>
  <c r="M1267" i="16"/>
  <c r="L1276" i="16"/>
  <c r="M1268" i="16"/>
  <c r="F1268" i="16"/>
  <c r="L1277" i="16"/>
  <c r="M1269" i="16"/>
  <c r="F1269" i="16"/>
  <c r="L1278" i="16"/>
  <c r="F1270" i="16"/>
  <c r="M1270" i="16"/>
  <c r="L1279" i="16"/>
  <c r="M1271" i="16"/>
  <c r="F1271" i="16"/>
  <c r="L1280" i="16"/>
  <c r="F1272" i="16"/>
  <c r="M1272" i="16"/>
  <c r="L1281" i="16"/>
  <c r="M1273" i="16"/>
  <c r="F1273" i="16"/>
  <c r="L1282" i="16"/>
  <c r="F1274" i="16"/>
  <c r="M1274" i="16"/>
  <c r="L1283" i="16"/>
  <c r="F1275" i="16"/>
  <c r="M1275" i="16"/>
  <c r="L1284" i="16"/>
  <c r="F1276" i="16"/>
  <c r="M1276" i="16"/>
  <c r="L1285" i="16"/>
  <c r="M1277" i="16"/>
  <c r="F1277" i="16"/>
  <c r="L1286" i="16"/>
  <c r="F1278" i="16"/>
  <c r="M1278" i="16"/>
  <c r="L1287" i="16"/>
  <c r="F1279" i="16"/>
  <c r="M1279" i="16"/>
  <c r="L1288" i="16"/>
  <c r="F1280" i="16"/>
  <c r="M1280" i="16"/>
  <c r="L1289" i="16"/>
  <c r="F1281" i="16"/>
  <c r="M1281" i="16"/>
  <c r="L1290" i="16"/>
  <c r="F1282" i="16"/>
  <c r="M1282" i="16"/>
  <c r="L1291" i="16"/>
  <c r="F1283" i="16"/>
  <c r="M1283" i="16"/>
  <c r="L1292" i="16"/>
  <c r="F1284" i="16"/>
  <c r="M1284" i="16"/>
  <c r="L1293" i="16"/>
  <c r="F1285" i="16"/>
  <c r="M1285" i="16"/>
  <c r="L1294" i="16"/>
  <c r="F1286" i="16"/>
  <c r="M1286" i="16"/>
  <c r="L1295" i="16"/>
  <c r="F1287" i="16"/>
  <c r="M1287" i="16"/>
  <c r="L1296" i="16"/>
  <c r="F1288" i="16"/>
  <c r="M1288" i="16"/>
  <c r="L1297" i="16"/>
  <c r="F1289" i="16"/>
  <c r="M1289" i="16"/>
  <c r="L1298" i="16"/>
  <c r="F1290" i="16"/>
  <c r="M1290" i="16"/>
  <c r="L1299" i="16"/>
  <c r="F1291" i="16"/>
  <c r="M1291" i="16"/>
  <c r="L1300" i="16"/>
  <c r="F1292" i="16"/>
  <c r="M1292" i="16"/>
  <c r="L1301" i="16"/>
  <c r="F1293" i="16"/>
  <c r="M1293" i="16"/>
  <c r="L1302" i="16"/>
  <c r="F1294" i="16"/>
  <c r="M1294" i="16"/>
  <c r="L1303" i="16"/>
  <c r="M1295" i="16"/>
  <c r="F1295" i="16"/>
  <c r="L1304" i="16"/>
  <c r="F1296" i="16"/>
  <c r="M1296" i="16"/>
  <c r="L1305" i="16"/>
  <c r="F1297" i="16"/>
  <c r="M1297" i="16"/>
  <c r="L1306" i="16"/>
  <c r="F1298" i="16"/>
  <c r="M1298" i="16"/>
  <c r="L1307" i="16"/>
  <c r="M1299" i="16"/>
  <c r="F1299" i="16"/>
  <c r="L1308" i="16"/>
  <c r="F1300" i="16"/>
  <c r="M1300" i="16"/>
  <c r="L1309" i="16"/>
  <c r="M1301" i="16"/>
  <c r="F1301" i="16"/>
  <c r="L1310" i="16"/>
  <c r="F1302" i="16"/>
  <c r="M1302" i="16"/>
  <c r="L1311" i="16"/>
  <c r="F1303" i="16"/>
  <c r="M1303" i="16"/>
  <c r="L1312" i="16"/>
  <c r="F1304" i="16"/>
  <c r="M1304" i="16"/>
  <c r="L1313" i="16"/>
  <c r="F1305" i="16"/>
  <c r="M1305" i="16"/>
  <c r="L1314" i="16"/>
  <c r="F1306" i="16"/>
  <c r="M1306" i="16"/>
  <c r="L1315" i="16"/>
  <c r="F1307" i="16"/>
  <c r="M1307" i="16"/>
  <c r="L1316" i="16"/>
  <c r="F1308" i="16"/>
  <c r="M1308" i="16"/>
  <c r="L1317" i="16"/>
  <c r="F1309" i="16"/>
  <c r="M1309" i="16"/>
  <c r="L1318" i="16"/>
  <c r="F1310" i="16"/>
  <c r="M1310" i="16"/>
  <c r="L1319" i="16"/>
  <c r="F1311" i="16"/>
  <c r="M1311" i="16"/>
  <c r="L1320" i="16"/>
  <c r="F1312" i="16"/>
  <c r="M1312" i="16"/>
  <c r="L1321" i="16"/>
  <c r="M1313" i="16"/>
  <c r="F1313" i="16"/>
  <c r="L1322" i="16"/>
  <c r="F1314" i="16"/>
  <c r="M1314" i="16"/>
  <c r="L1323" i="16"/>
  <c r="F1315" i="16"/>
  <c r="M1315" i="16"/>
  <c r="L1324" i="16"/>
  <c r="F1316" i="16"/>
  <c r="M1316" i="16"/>
  <c r="L1325" i="16"/>
  <c r="F1317" i="16"/>
  <c r="M1317" i="16"/>
  <c r="L1326" i="16"/>
  <c r="F1318" i="16"/>
  <c r="M1318" i="16"/>
  <c r="L1327" i="16"/>
  <c r="F1319" i="16"/>
  <c r="M1319" i="16"/>
  <c r="L1328" i="16"/>
  <c r="F1320" i="16"/>
  <c r="M1320" i="16"/>
  <c r="L1329" i="16"/>
  <c r="F1321" i="16"/>
  <c r="M1321" i="16"/>
  <c r="L1330" i="16"/>
  <c r="F1322" i="16"/>
  <c r="M1322" i="16"/>
  <c r="L1331" i="16"/>
  <c r="F1323" i="16"/>
  <c r="M1323" i="16"/>
  <c r="L1332" i="16"/>
  <c r="F1324" i="16"/>
  <c r="M1324" i="16"/>
  <c r="L1333" i="16"/>
  <c r="F1325" i="16"/>
  <c r="M1325" i="16"/>
  <c r="L1334" i="16"/>
  <c r="F1326" i="16"/>
  <c r="M1326" i="16"/>
  <c r="L1335" i="16"/>
  <c r="F1327" i="16"/>
  <c r="M1327" i="16"/>
  <c r="L1336" i="16"/>
  <c r="F1328" i="16"/>
  <c r="M1328" i="16"/>
  <c r="L1337" i="16"/>
  <c r="F1329" i="16"/>
  <c r="M1329" i="16"/>
  <c r="L1338" i="16"/>
  <c r="F1330" i="16"/>
  <c r="M1330" i="16"/>
  <c r="L1339" i="16"/>
  <c r="M1331" i="16"/>
  <c r="F1331" i="16"/>
  <c r="L1340" i="16"/>
  <c r="F1332" i="16"/>
  <c r="M1332" i="16"/>
  <c r="L1341" i="16"/>
  <c r="F1333" i="16"/>
  <c r="M1333" i="16"/>
  <c r="L1342" i="16"/>
  <c r="F1334" i="16"/>
  <c r="M1334" i="16"/>
  <c r="L1343" i="16"/>
  <c r="F1335" i="16"/>
  <c r="M1335" i="16"/>
  <c r="L1344" i="16"/>
  <c r="F1336" i="16"/>
  <c r="M1336" i="16"/>
  <c r="L1345" i="16"/>
  <c r="F1337" i="16"/>
  <c r="M1337" i="16"/>
  <c r="L1346" i="16"/>
  <c r="F1338" i="16"/>
  <c r="M1338" i="16"/>
  <c r="L1347" i="16"/>
  <c r="F1339" i="16"/>
  <c r="M1339" i="16"/>
  <c r="L1348" i="16"/>
  <c r="F1340" i="16"/>
  <c r="M1340" i="16"/>
  <c r="L1349" i="16"/>
  <c r="F1341" i="16"/>
  <c r="M1341" i="16"/>
  <c r="L1350" i="16"/>
  <c r="F1342" i="16"/>
  <c r="M1342" i="16"/>
  <c r="L1351" i="16"/>
  <c r="F1343" i="16"/>
  <c r="M1343" i="16"/>
  <c r="L1352" i="16"/>
  <c r="F1344" i="16"/>
  <c r="M1344" i="16"/>
  <c r="L1353" i="16"/>
  <c r="F1345" i="16"/>
  <c r="M1345" i="16"/>
  <c r="L1354" i="16"/>
  <c r="F1346" i="16"/>
  <c r="M1346" i="16"/>
  <c r="L1355" i="16"/>
  <c r="F1347" i="16"/>
  <c r="M1347" i="16"/>
  <c r="L1356" i="16"/>
  <c r="F1348" i="16"/>
  <c r="M1348" i="16"/>
  <c r="L1357" i="16"/>
  <c r="M1349" i="16"/>
  <c r="F1349" i="16"/>
  <c r="L1358" i="16"/>
  <c r="F1350" i="16"/>
  <c r="M1350" i="16"/>
  <c r="L1359" i="16"/>
  <c r="F1351" i="16"/>
  <c r="M1351" i="16"/>
  <c r="L1360" i="16"/>
  <c r="F1352" i="16"/>
  <c r="M1352" i="16"/>
  <c r="L1361" i="16"/>
  <c r="F1353" i="16"/>
  <c r="M1353" i="16"/>
  <c r="L1362" i="16"/>
  <c r="F1354" i="16"/>
  <c r="M1354" i="16"/>
  <c r="L1363" i="16"/>
  <c r="F1355" i="16"/>
  <c r="M1355" i="16"/>
  <c r="L1364" i="16"/>
  <c r="F1356" i="16"/>
  <c r="M1356" i="16"/>
  <c r="L1365" i="16"/>
  <c r="F1357" i="16"/>
  <c r="M1357" i="16"/>
  <c r="L1366" i="16"/>
  <c r="F1358" i="16"/>
  <c r="M1358" i="16"/>
  <c r="L1367" i="16"/>
  <c r="F1359" i="16"/>
  <c r="M1359" i="16"/>
  <c r="L1368" i="16"/>
  <c r="F1360" i="16"/>
  <c r="M1360" i="16"/>
  <c r="L1369" i="16"/>
  <c r="F1361" i="16"/>
  <c r="M1361" i="16"/>
  <c r="L1370" i="16"/>
  <c r="F1362" i="16"/>
  <c r="M1362" i="16"/>
  <c r="L1371" i="16"/>
  <c r="F1363" i="16"/>
  <c r="M1363" i="16"/>
  <c r="L1372" i="16"/>
  <c r="F1364" i="16"/>
  <c r="M1364" i="16"/>
  <c r="L1373" i="16"/>
  <c r="F1365" i="16"/>
  <c r="M1365" i="16"/>
  <c r="L1374" i="16"/>
  <c r="F1366" i="16"/>
  <c r="M1366" i="16"/>
  <c r="L1375" i="16"/>
  <c r="F1367" i="16"/>
  <c r="M1367" i="16"/>
  <c r="L1376" i="16"/>
  <c r="F1368" i="16"/>
  <c r="M1368" i="16"/>
  <c r="L1377" i="16"/>
  <c r="M1369" i="16"/>
  <c r="F1369" i="16"/>
  <c r="L1378" i="16"/>
  <c r="F1370" i="16"/>
  <c r="M1370" i="16"/>
  <c r="L1379" i="16"/>
  <c r="F1371" i="16"/>
  <c r="M1371" i="16"/>
  <c r="L1380" i="16"/>
  <c r="F1372" i="16"/>
  <c r="M1372" i="16"/>
  <c r="L1381" i="16"/>
  <c r="F1373" i="16"/>
  <c r="M1373" i="16"/>
  <c r="L1382" i="16"/>
  <c r="F1374" i="16"/>
  <c r="M1374" i="16"/>
  <c r="L1383" i="16"/>
  <c r="F1375" i="16"/>
  <c r="M1375" i="16"/>
  <c r="L1384" i="16"/>
  <c r="F1376" i="16"/>
  <c r="M1376" i="16"/>
  <c r="L1385" i="16"/>
  <c r="F1377" i="16"/>
  <c r="M1377" i="16"/>
  <c r="L1386" i="16"/>
  <c r="F1378" i="16"/>
  <c r="M1378" i="16"/>
  <c r="L1387" i="16"/>
  <c r="F1379" i="16"/>
  <c r="M1379" i="16"/>
  <c r="L1388" i="16"/>
  <c r="F1380" i="16"/>
  <c r="M1380" i="16"/>
  <c r="L1389" i="16"/>
  <c r="F1381" i="16"/>
  <c r="M1381" i="16"/>
  <c r="L1390" i="16"/>
  <c r="F1382" i="16"/>
  <c r="M1382" i="16"/>
  <c r="L1391" i="16"/>
  <c r="F1383" i="16"/>
  <c r="M1383" i="16"/>
  <c r="L1392" i="16"/>
  <c r="F1384" i="16"/>
  <c r="M1384" i="16"/>
  <c r="L1393" i="16"/>
  <c r="F1385" i="16"/>
  <c r="M1385" i="16"/>
  <c r="L1394" i="16"/>
  <c r="F1386" i="16"/>
  <c r="M1386" i="16"/>
  <c r="L1395" i="16"/>
  <c r="F1387" i="16"/>
  <c r="M1387" i="16"/>
  <c r="L1396" i="16"/>
  <c r="F1388" i="16"/>
  <c r="M1388" i="16"/>
  <c r="L1397" i="16"/>
  <c r="F1389" i="16"/>
  <c r="M1389" i="16"/>
  <c r="L1398" i="16"/>
  <c r="F1390" i="16"/>
  <c r="M1390" i="16"/>
  <c r="L1399" i="16"/>
  <c r="F1391" i="16"/>
  <c r="M1391" i="16"/>
  <c r="L1400" i="16"/>
  <c r="F1392" i="16"/>
  <c r="M1392" i="16"/>
  <c r="L1401" i="16"/>
  <c r="F1393" i="16"/>
  <c r="M1393" i="16"/>
  <c r="L1402" i="16"/>
  <c r="F1394" i="16"/>
  <c r="M1394" i="16"/>
  <c r="L1403" i="16"/>
  <c r="M1395" i="16"/>
  <c r="F1395" i="16"/>
  <c r="L1404" i="16"/>
  <c r="F1396" i="16"/>
  <c r="M1396" i="16"/>
  <c r="L1405" i="16"/>
  <c r="F1397" i="16"/>
  <c r="M1397" i="16"/>
  <c r="L1406" i="16"/>
  <c r="F1398" i="16"/>
  <c r="M1398" i="16"/>
  <c r="L1407" i="16"/>
  <c r="F1399" i="16"/>
  <c r="M1399" i="16"/>
  <c r="L1408" i="16"/>
  <c r="F1400" i="16"/>
  <c r="M1400" i="16"/>
  <c r="L1409" i="16"/>
  <c r="F1401" i="16"/>
  <c r="M1401" i="16"/>
  <c r="L1410" i="16"/>
  <c r="F1402" i="16"/>
  <c r="M1402" i="16"/>
  <c r="L1411" i="16"/>
  <c r="M1403" i="16"/>
  <c r="F1403" i="16"/>
  <c r="L1412" i="16"/>
  <c r="F1404" i="16"/>
  <c r="M1404" i="16"/>
  <c r="L1413" i="16"/>
  <c r="F1405" i="16"/>
  <c r="M1405" i="16"/>
  <c r="L1414" i="16"/>
  <c r="F1406" i="16"/>
  <c r="M1406" i="16"/>
  <c r="L1415" i="16"/>
  <c r="F1407" i="16"/>
  <c r="M1407" i="16"/>
  <c r="L1416" i="16"/>
  <c r="F1408" i="16"/>
  <c r="M1408" i="16"/>
  <c r="L1417" i="16"/>
  <c r="M1409" i="16"/>
  <c r="F1409" i="16"/>
  <c r="L1418" i="16"/>
  <c r="F1410" i="16"/>
  <c r="M1410" i="16"/>
  <c r="L1419" i="16"/>
  <c r="F1411" i="16"/>
  <c r="M1411" i="16"/>
  <c r="L1420" i="16"/>
  <c r="F1412" i="16"/>
  <c r="M1412" i="16"/>
  <c r="L1421" i="16"/>
  <c r="F1413" i="16"/>
  <c r="M1413" i="16"/>
  <c r="L1422" i="16"/>
  <c r="F1414" i="16"/>
  <c r="M1414" i="16"/>
  <c r="L1423" i="16"/>
  <c r="F1415" i="16"/>
  <c r="M1415" i="16"/>
  <c r="L1424" i="16"/>
  <c r="F1416" i="16"/>
  <c r="M1416" i="16"/>
  <c r="L1425" i="16"/>
  <c r="F1417" i="16"/>
  <c r="M1417" i="16"/>
  <c r="L1426" i="16"/>
  <c r="F1418" i="16"/>
  <c r="M1418" i="16"/>
  <c r="L1427" i="16"/>
  <c r="F1419" i="16"/>
  <c r="M1419" i="16"/>
  <c r="L1428" i="16"/>
  <c r="F1420" i="16"/>
  <c r="M1420" i="16"/>
  <c r="L1429" i="16"/>
  <c r="F1421" i="16"/>
  <c r="M1421" i="16"/>
  <c r="L1430" i="16"/>
  <c r="F1422" i="16"/>
  <c r="M1422" i="16"/>
  <c r="L1431" i="16"/>
  <c r="M1423" i="16"/>
  <c r="F1423" i="16"/>
  <c r="L1432" i="16"/>
  <c r="F1424" i="16"/>
  <c r="M1424" i="16"/>
  <c r="L1433" i="16"/>
  <c r="F1425" i="16"/>
  <c r="M1425" i="16"/>
  <c r="L1434" i="16"/>
  <c r="F1426" i="16"/>
  <c r="M1426" i="16"/>
  <c r="L1435" i="16"/>
  <c r="M1427" i="16"/>
  <c r="F1427" i="16"/>
  <c r="L1436" i="16"/>
  <c r="F1428" i="16"/>
  <c r="M1428" i="16"/>
  <c r="L1437" i="16"/>
  <c r="F1429" i="16"/>
  <c r="M1429" i="16"/>
  <c r="L1438" i="16"/>
  <c r="F1430" i="16"/>
  <c r="M1430" i="16"/>
  <c r="L1439" i="16"/>
  <c r="F1431" i="16"/>
  <c r="M1431" i="16"/>
  <c r="L1440" i="16"/>
  <c r="F1432" i="16"/>
  <c r="M1432" i="16"/>
  <c r="L1441" i="16"/>
  <c r="M1433" i="16"/>
  <c r="F1433" i="16"/>
  <c r="L1442" i="16"/>
  <c r="F1434" i="16"/>
  <c r="M1434" i="16"/>
  <c r="L1443" i="16"/>
  <c r="F1435" i="16"/>
  <c r="M1435" i="16"/>
  <c r="L1444" i="16"/>
  <c r="F1436" i="16"/>
  <c r="M1436" i="16"/>
  <c r="L1445" i="16"/>
  <c r="F1437" i="16"/>
  <c r="M1437" i="16"/>
  <c r="L1446" i="16"/>
  <c r="F1438" i="16"/>
  <c r="M1438" i="16"/>
  <c r="L1447" i="16"/>
  <c r="F1439" i="16"/>
  <c r="M1439" i="16"/>
  <c r="L1448" i="16"/>
  <c r="F1440" i="16"/>
  <c r="M1440" i="16"/>
  <c r="L1449" i="16"/>
  <c r="F1441" i="16"/>
  <c r="M1441" i="16"/>
  <c r="L1450" i="16"/>
  <c r="F1442" i="16"/>
  <c r="M1442" i="16"/>
  <c r="L1451" i="16"/>
  <c r="F1443" i="16"/>
  <c r="M1443" i="16"/>
  <c r="L1452" i="16"/>
  <c r="F1444" i="16"/>
  <c r="M1444" i="16"/>
  <c r="L1453" i="16"/>
  <c r="F1445" i="16"/>
  <c r="M1445" i="16"/>
  <c r="L1454" i="16"/>
  <c r="F1446" i="16"/>
  <c r="M1446" i="16"/>
  <c r="L1455" i="16"/>
  <c r="F1447" i="16"/>
  <c r="M1447" i="16"/>
  <c r="L1456" i="16"/>
  <c r="F1448" i="16"/>
  <c r="M1448" i="16"/>
  <c r="L1457" i="16"/>
  <c r="F1449" i="16"/>
  <c r="M1449" i="16"/>
  <c r="L1458" i="16"/>
  <c r="F1450" i="16"/>
  <c r="M1450" i="16"/>
  <c r="L1459" i="16"/>
  <c r="F1451" i="16"/>
  <c r="M1451" i="16"/>
  <c r="L1460" i="16"/>
  <c r="F1452" i="16"/>
  <c r="M1452" i="16"/>
  <c r="L1461" i="16"/>
  <c r="F1453" i="16"/>
  <c r="M1453" i="16"/>
  <c r="L1462" i="16"/>
  <c r="F1454" i="16"/>
  <c r="M1454" i="16"/>
  <c r="L1463" i="16"/>
  <c r="F1455" i="16"/>
  <c r="M1455" i="16"/>
  <c r="L1464" i="16"/>
  <c r="F1456" i="16"/>
  <c r="M1456" i="16"/>
  <c r="L1465" i="16"/>
  <c r="M1457" i="16"/>
  <c r="F1457" i="16"/>
  <c r="L1466" i="16"/>
  <c r="F1458" i="16"/>
  <c r="M1458" i="16"/>
  <c r="L1467" i="16"/>
  <c r="F1459" i="16"/>
  <c r="M1459" i="16"/>
  <c r="L1468" i="16"/>
  <c r="F1460" i="16"/>
  <c r="M1460" i="16"/>
  <c r="L1469" i="16"/>
  <c r="F1461" i="16"/>
  <c r="M1461" i="16"/>
  <c r="L1470" i="16"/>
  <c r="F1462" i="16"/>
  <c r="M1462" i="16"/>
  <c r="L1471" i="16"/>
  <c r="F1463" i="16"/>
  <c r="M1463" i="16"/>
  <c r="L1472" i="16"/>
  <c r="F1464" i="16"/>
  <c r="M1464" i="16"/>
  <c r="L1473" i="16"/>
  <c r="F1465" i="16"/>
  <c r="M1465" i="16"/>
  <c r="L1474" i="16"/>
  <c r="F1466" i="16"/>
  <c r="M1466" i="16"/>
  <c r="L1475" i="16"/>
  <c r="F1467" i="16"/>
  <c r="M1467" i="16"/>
  <c r="L1476" i="16"/>
  <c r="F1468" i="16"/>
  <c r="M1468" i="16"/>
  <c r="L1477" i="16"/>
  <c r="F1469" i="16"/>
  <c r="M1469" i="16"/>
  <c r="L1478" i="16"/>
  <c r="F1470" i="16"/>
  <c r="M1470" i="16"/>
  <c r="L1479" i="16"/>
  <c r="F1471" i="16"/>
  <c r="M1471" i="16"/>
  <c r="L1480" i="16"/>
  <c r="F1472" i="16"/>
  <c r="M1472" i="16"/>
  <c r="L1481" i="16"/>
  <c r="F1473" i="16"/>
  <c r="M1473" i="16"/>
  <c r="L1482" i="16"/>
  <c r="F1474" i="16"/>
  <c r="M1474" i="16"/>
  <c r="L1483" i="16"/>
  <c r="F1475" i="16"/>
  <c r="M1475" i="16"/>
  <c r="L1484" i="16"/>
  <c r="F1476" i="16"/>
  <c r="M1476" i="16"/>
  <c r="L1485" i="16"/>
  <c r="F1477" i="16"/>
  <c r="M1477" i="16"/>
  <c r="L1486" i="16"/>
  <c r="F1478" i="16"/>
  <c r="M1478" i="16"/>
  <c r="L1487" i="16"/>
  <c r="F1479" i="16"/>
  <c r="M1479" i="16"/>
  <c r="L1488" i="16"/>
  <c r="F1480" i="16"/>
  <c r="M1480" i="16"/>
  <c r="L1489" i="16"/>
  <c r="F1481" i="16"/>
  <c r="M1481" i="16"/>
  <c r="L1490" i="16"/>
  <c r="F1482" i="16"/>
  <c r="M1482" i="16"/>
  <c r="L1491" i="16"/>
  <c r="F1483" i="16"/>
  <c r="M1483" i="16"/>
  <c r="L1492" i="16"/>
  <c r="F1484" i="16"/>
  <c r="M1484" i="16"/>
  <c r="L1493" i="16"/>
  <c r="F1485" i="16"/>
  <c r="M1485" i="16"/>
  <c r="L1494" i="16"/>
  <c r="F1486" i="16"/>
  <c r="M1486" i="16"/>
  <c r="L1495" i="16"/>
  <c r="F1487" i="16"/>
  <c r="M1487" i="16"/>
  <c r="L1496" i="16"/>
  <c r="F1488" i="16"/>
  <c r="M1488" i="16"/>
  <c r="L1497" i="16"/>
  <c r="F1489" i="16"/>
  <c r="M1489" i="16"/>
  <c r="L1498" i="16"/>
  <c r="F1490" i="16"/>
  <c r="M1490" i="16"/>
  <c r="L1499" i="16"/>
  <c r="F1491" i="16"/>
  <c r="M1491" i="16"/>
  <c r="L1500" i="16"/>
  <c r="F1492" i="16"/>
  <c r="M1492" i="16"/>
  <c r="L1501" i="16"/>
  <c r="F1493" i="16"/>
  <c r="M1493" i="16"/>
  <c r="L1502" i="16"/>
  <c r="F1494" i="16"/>
  <c r="M1494" i="16"/>
  <c r="L1503" i="16"/>
  <c r="F1495" i="16"/>
  <c r="M1495" i="16"/>
  <c r="L1504" i="16"/>
  <c r="F1496" i="16"/>
  <c r="M1496" i="16"/>
  <c r="L1505" i="16"/>
  <c r="F1497" i="16"/>
  <c r="M1497" i="16"/>
  <c r="L1506" i="16"/>
  <c r="F1498" i="16"/>
  <c r="M1498" i="16"/>
  <c r="L1507" i="16"/>
  <c r="F1499" i="16"/>
  <c r="M1499" i="16"/>
  <c r="L1508" i="16"/>
  <c r="F1500" i="16"/>
  <c r="M1500" i="16"/>
  <c r="L1509" i="16"/>
  <c r="F1501" i="16"/>
  <c r="M1501" i="16"/>
  <c r="L1510" i="16"/>
  <c r="F1502" i="16"/>
  <c r="M1502" i="16"/>
  <c r="L1511" i="16"/>
  <c r="F1503" i="16"/>
  <c r="M1503" i="16"/>
  <c r="L1512" i="16"/>
  <c r="F1504" i="16"/>
  <c r="M1504" i="16"/>
  <c r="L1513" i="16"/>
  <c r="F1505" i="16"/>
  <c r="M1505" i="16"/>
  <c r="L1514" i="16"/>
  <c r="F1506" i="16"/>
  <c r="M1506" i="16"/>
  <c r="L1515" i="16"/>
  <c r="F1507" i="16"/>
  <c r="M1507" i="16"/>
  <c r="L1516" i="16"/>
  <c r="F1508" i="16"/>
  <c r="M1508" i="16"/>
  <c r="F1509" i="16"/>
  <c r="M1509" i="16"/>
  <c r="F1510" i="16"/>
  <c r="M1510" i="16"/>
  <c r="F1511" i="16"/>
  <c r="M1511" i="16"/>
  <c r="F1512" i="16"/>
  <c r="M1512" i="16"/>
  <c r="F1513" i="16"/>
  <c r="M1513" i="16"/>
  <c r="F1514" i="16"/>
  <c r="M1514" i="16"/>
  <c r="F1515" i="16"/>
  <c r="M1515" i="16"/>
  <c r="E17" i="16" a="1"/>
  <c r="F1516" i="16"/>
  <c r="M1516" i="16"/>
  <c r="M17" i="16" l="1"/>
  <c r="E18" i="16"/>
  <c r="E26" i="16"/>
  <c r="E34" i="16"/>
  <c r="E24" i="16"/>
  <c r="E33" i="16"/>
  <c r="E42" i="16"/>
  <c r="E50" i="16"/>
  <c r="E58" i="16"/>
  <c r="E66" i="16"/>
  <c r="E74" i="16"/>
  <c r="E82" i="16"/>
  <c r="E90" i="16"/>
  <c r="E98" i="16"/>
  <c r="E106" i="16"/>
  <c r="E114" i="16"/>
  <c r="E122" i="16"/>
  <c r="E130" i="16"/>
  <c r="E138" i="16"/>
  <c r="E146" i="16"/>
  <c r="E154" i="16"/>
  <c r="E162" i="16"/>
  <c r="E170" i="16"/>
  <c r="E178" i="16"/>
  <c r="E186" i="16"/>
  <c r="E194" i="16"/>
  <c r="E202" i="16"/>
  <c r="E210" i="16"/>
  <c r="E218" i="16"/>
  <c r="E226" i="16"/>
  <c r="E234" i="16"/>
  <c r="E242" i="16"/>
  <c r="E250" i="16"/>
  <c r="E258" i="16"/>
  <c r="E266" i="16"/>
  <c r="E274" i="16"/>
  <c r="E282" i="16"/>
  <c r="E290" i="16"/>
  <c r="E298" i="16"/>
  <c r="E306" i="16"/>
  <c r="E314" i="16"/>
  <c r="E322" i="16"/>
  <c r="E330" i="16"/>
  <c r="E338" i="16"/>
  <c r="E346" i="16"/>
  <c r="E354" i="16"/>
  <c r="E362" i="16"/>
  <c r="E370" i="16"/>
  <c r="E378" i="16"/>
  <c r="E386" i="16"/>
  <c r="E394" i="16"/>
  <c r="E402" i="16"/>
  <c r="E410" i="16"/>
  <c r="E418" i="16"/>
  <c r="E426" i="16"/>
  <c r="E434" i="16"/>
  <c r="E442" i="16"/>
  <c r="E450" i="16"/>
  <c r="E458" i="16"/>
  <c r="E466" i="16"/>
  <c r="E474" i="16"/>
  <c r="E482" i="16"/>
  <c r="E490" i="16"/>
  <c r="E498" i="16"/>
  <c r="E506" i="16"/>
  <c r="E514" i="16"/>
  <c r="E522" i="16"/>
  <c r="E530" i="16"/>
  <c r="E538" i="16"/>
  <c r="E546" i="16"/>
  <c r="E554" i="16"/>
  <c r="E562" i="16"/>
  <c r="E570" i="16"/>
  <c r="E578" i="16"/>
  <c r="E586" i="16"/>
  <c r="E594" i="16"/>
  <c r="E602" i="16"/>
  <c r="E610" i="16"/>
  <c r="E618" i="16"/>
  <c r="E626" i="16"/>
  <c r="E634" i="16"/>
  <c r="E642" i="16"/>
  <c r="E650" i="16"/>
  <c r="E658" i="16"/>
  <c r="E666" i="16"/>
  <c r="E674" i="16"/>
  <c r="E682" i="16"/>
  <c r="E690" i="16"/>
  <c r="E698" i="16"/>
  <c r="E706" i="16"/>
  <c r="E714" i="16"/>
  <c r="E722" i="16"/>
  <c r="E730" i="16"/>
  <c r="E738" i="16"/>
  <c r="E746" i="16"/>
  <c r="E754" i="16"/>
  <c r="E762" i="16"/>
  <c r="E770" i="16"/>
  <c r="E778" i="16"/>
  <c r="E786" i="16"/>
  <c r="E25" i="16"/>
  <c r="E35" i="16"/>
  <c r="E43" i="16"/>
  <c r="E51" i="16"/>
  <c r="E59" i="16"/>
  <c r="E67" i="16"/>
  <c r="E75" i="16"/>
  <c r="E83" i="16"/>
  <c r="E91" i="16"/>
  <c r="E99" i="16"/>
  <c r="E107" i="16"/>
  <c r="E115" i="16"/>
  <c r="E123" i="16"/>
  <c r="E131" i="16"/>
  <c r="E139" i="16"/>
  <c r="E147" i="16"/>
  <c r="E155" i="16"/>
  <c r="E163" i="16"/>
  <c r="E171" i="16"/>
  <c r="E179" i="16"/>
  <c r="E187" i="16"/>
  <c r="E195" i="16"/>
  <c r="E203" i="16"/>
  <c r="E211" i="16"/>
  <c r="E219" i="16"/>
  <c r="E227" i="16"/>
  <c r="E235" i="16"/>
  <c r="E243" i="16"/>
  <c r="E251" i="16"/>
  <c r="E259" i="16"/>
  <c r="E267" i="16"/>
  <c r="E275" i="16"/>
  <c r="E283" i="16"/>
  <c r="E291" i="16"/>
  <c r="E299" i="16"/>
  <c r="E307" i="16"/>
  <c r="E315" i="16"/>
  <c r="E323" i="16"/>
  <c r="E331" i="16"/>
  <c r="E339" i="16"/>
  <c r="E347" i="16"/>
  <c r="E355" i="16"/>
  <c r="E363" i="16"/>
  <c r="E371" i="16"/>
  <c r="E379" i="16"/>
  <c r="E387" i="16"/>
  <c r="E395" i="16"/>
  <c r="E403" i="16"/>
  <c r="E411" i="16"/>
  <c r="E419" i="16"/>
  <c r="E427" i="16"/>
  <c r="E435" i="16"/>
  <c r="E443" i="16"/>
  <c r="E451" i="16"/>
  <c r="E459" i="16"/>
  <c r="E467" i="16"/>
  <c r="E475" i="16"/>
  <c r="E483" i="16"/>
  <c r="E491" i="16"/>
  <c r="E499" i="16"/>
  <c r="E507" i="16"/>
  <c r="E515" i="16"/>
  <c r="E523" i="16"/>
  <c r="E531" i="16"/>
  <c r="E539" i="16"/>
  <c r="E547" i="16"/>
  <c r="E555" i="16"/>
  <c r="E563" i="16"/>
  <c r="E571" i="16"/>
  <c r="E579" i="16"/>
  <c r="E587" i="16"/>
  <c r="E595" i="16"/>
  <c r="E603" i="16"/>
  <c r="E611" i="16"/>
  <c r="E619" i="16"/>
  <c r="E627" i="16"/>
  <c r="E635" i="16"/>
  <c r="E643" i="16"/>
  <c r="E651" i="16"/>
  <c r="E659" i="16"/>
  <c r="E667" i="16"/>
  <c r="E675" i="16"/>
  <c r="E683" i="16"/>
  <c r="E691" i="16"/>
  <c r="E699" i="16"/>
  <c r="E707" i="16"/>
  <c r="E715" i="16"/>
  <c r="E723" i="16"/>
  <c r="E731" i="16"/>
  <c r="E739" i="16"/>
  <c r="E747" i="16"/>
  <c r="E755" i="16"/>
  <c r="E763" i="16"/>
  <c r="E771" i="16"/>
  <c r="E779" i="16"/>
  <c r="E787" i="16"/>
  <c r="E21" i="16"/>
  <c r="E30" i="16"/>
  <c r="E39" i="16"/>
  <c r="E47" i="16"/>
  <c r="E55" i="16"/>
  <c r="E63" i="16"/>
  <c r="E71" i="16"/>
  <c r="E79" i="16"/>
  <c r="E87" i="16"/>
  <c r="E95" i="16"/>
  <c r="E103" i="16"/>
  <c r="E111" i="16"/>
  <c r="E119" i="16"/>
  <c r="E127" i="16"/>
  <c r="E135" i="16"/>
  <c r="E143" i="16"/>
  <c r="E151" i="16"/>
  <c r="E159" i="16"/>
  <c r="E167" i="16"/>
  <c r="E175" i="16"/>
  <c r="E183" i="16"/>
  <c r="E191" i="16"/>
  <c r="E199" i="16"/>
  <c r="E207" i="16"/>
  <c r="E215" i="16"/>
  <c r="E223" i="16"/>
  <c r="E231" i="16"/>
  <c r="E239" i="16"/>
  <c r="E247" i="16"/>
  <c r="E255" i="16"/>
  <c r="E263" i="16"/>
  <c r="E271" i="16"/>
  <c r="E279" i="16"/>
  <c r="E287" i="16"/>
  <c r="E295" i="16"/>
  <c r="E303" i="16"/>
  <c r="E311" i="16"/>
  <c r="E319" i="16"/>
  <c r="E327" i="16"/>
  <c r="E335" i="16"/>
  <c r="E343" i="16"/>
  <c r="E351" i="16"/>
  <c r="E359" i="16"/>
  <c r="E367" i="16"/>
  <c r="E375" i="16"/>
  <c r="E383" i="16"/>
  <c r="E391" i="16"/>
  <c r="E399" i="16"/>
  <c r="E407" i="16"/>
  <c r="E415" i="16"/>
  <c r="E423" i="16"/>
  <c r="E431" i="16"/>
  <c r="E439" i="16"/>
  <c r="E447" i="16"/>
  <c r="E455" i="16"/>
  <c r="E463" i="16"/>
  <c r="E471" i="16"/>
  <c r="E479" i="16"/>
  <c r="E487" i="16"/>
  <c r="E495" i="16"/>
  <c r="E503" i="16"/>
  <c r="E511" i="16"/>
  <c r="E519" i="16"/>
  <c r="E527" i="16"/>
  <c r="E535" i="16"/>
  <c r="E543" i="16"/>
  <c r="E551" i="16"/>
  <c r="E559" i="16"/>
  <c r="E567" i="16"/>
  <c r="E575" i="16"/>
  <c r="E583" i="16"/>
  <c r="E591" i="16"/>
  <c r="E599" i="16"/>
  <c r="E607" i="16"/>
  <c r="E615" i="16"/>
  <c r="E623" i="16"/>
  <c r="E631" i="16"/>
  <c r="E639" i="16"/>
  <c r="E647" i="16"/>
  <c r="E655" i="16"/>
  <c r="E663" i="16"/>
  <c r="E671" i="16"/>
  <c r="E679" i="16"/>
  <c r="E687" i="16"/>
  <c r="E695" i="16"/>
  <c r="E703" i="16"/>
  <c r="E711" i="16"/>
  <c r="E719" i="16"/>
  <c r="E727" i="16"/>
  <c r="E735" i="16"/>
  <c r="E743" i="16"/>
  <c r="E751" i="16"/>
  <c r="E759" i="16"/>
  <c r="E767" i="16"/>
  <c r="E775" i="16"/>
  <c r="E783" i="16"/>
  <c r="E791" i="16"/>
  <c r="E799" i="16"/>
  <c r="E807" i="16"/>
  <c r="E815" i="16"/>
  <c r="E823" i="16"/>
  <c r="E831" i="16"/>
  <c r="E839" i="16"/>
  <c r="E847" i="16"/>
  <c r="E855" i="16"/>
  <c r="E863" i="16"/>
  <c r="E871" i="16"/>
  <c r="E879" i="16"/>
  <c r="E887" i="16"/>
  <c r="E29" i="16"/>
  <c r="E44" i="16"/>
  <c r="E56" i="16"/>
  <c r="E69" i="16"/>
  <c r="E81" i="16"/>
  <c r="E94" i="16"/>
  <c r="E108" i="16"/>
  <c r="E120" i="16"/>
  <c r="E133" i="16"/>
  <c r="E145" i="16"/>
  <c r="E158" i="16"/>
  <c r="E172" i="16"/>
  <c r="E184" i="16"/>
  <c r="E197" i="16"/>
  <c r="E209" i="16"/>
  <c r="E222" i="16"/>
  <c r="E236" i="16"/>
  <c r="E248" i="16"/>
  <c r="E261" i="16"/>
  <c r="E273" i="16"/>
  <c r="E286" i="16"/>
  <c r="E300" i="16"/>
  <c r="E312" i="16"/>
  <c r="E325" i="16"/>
  <c r="E337" i="16"/>
  <c r="E350" i="16"/>
  <c r="E364" i="16"/>
  <c r="E376" i="16"/>
  <c r="E389" i="16"/>
  <c r="E401" i="16"/>
  <c r="E414" i="16"/>
  <c r="E428" i="16"/>
  <c r="E440" i="16"/>
  <c r="E453" i="16"/>
  <c r="E465" i="16"/>
  <c r="E478" i="16"/>
  <c r="E492" i="16"/>
  <c r="E504" i="16"/>
  <c r="E517" i="16"/>
  <c r="E529" i="16"/>
  <c r="E542" i="16"/>
  <c r="E556" i="16"/>
  <c r="E568" i="16"/>
  <c r="E581" i="16"/>
  <c r="E593" i="16"/>
  <c r="E606" i="16"/>
  <c r="E620" i="16"/>
  <c r="E17" i="16"/>
  <c r="E31" i="16"/>
  <c r="E45" i="16"/>
  <c r="E57" i="16"/>
  <c r="E70" i="16"/>
  <c r="E84" i="16"/>
  <c r="E96" i="16"/>
  <c r="E109" i="16"/>
  <c r="E121" i="16"/>
  <c r="E134" i="16"/>
  <c r="E148" i="16"/>
  <c r="E160" i="16"/>
  <c r="E173" i="16"/>
  <c r="E185" i="16"/>
  <c r="E198" i="16"/>
  <c r="E212" i="16"/>
  <c r="E224" i="16"/>
  <c r="E237" i="16"/>
  <c r="E249" i="16"/>
  <c r="E262" i="16"/>
  <c r="E276" i="16"/>
  <c r="E288" i="16"/>
  <c r="E301" i="16"/>
  <c r="E313" i="16"/>
  <c r="E326" i="16"/>
  <c r="E340" i="16"/>
  <c r="E352" i="16"/>
  <c r="E365" i="16"/>
  <c r="E377" i="16"/>
  <c r="E390" i="16"/>
  <c r="E404" i="16"/>
  <c r="E416" i="16"/>
  <c r="E429" i="16"/>
  <c r="E441" i="16"/>
  <c r="E454" i="16"/>
  <c r="E468" i="16"/>
  <c r="E480" i="16"/>
  <c r="E493" i="16"/>
  <c r="E505" i="16"/>
  <c r="E518" i="16"/>
  <c r="E532" i="16"/>
  <c r="E544" i="16"/>
  <c r="E557" i="16"/>
  <c r="E569" i="16"/>
  <c r="E582" i="16"/>
  <c r="E596" i="16"/>
  <c r="E608" i="16"/>
  <c r="E621" i="16"/>
  <c r="E19" i="16"/>
  <c r="E32" i="16"/>
  <c r="E46" i="16"/>
  <c r="E60" i="16"/>
  <c r="E72" i="16"/>
  <c r="E85" i="16"/>
  <c r="E97" i="16"/>
  <c r="E110" i="16"/>
  <c r="E124" i="16"/>
  <c r="E136" i="16"/>
  <c r="E149" i="16"/>
  <c r="E161" i="16"/>
  <c r="E174" i="16"/>
  <c r="E188" i="16"/>
  <c r="E200" i="16"/>
  <c r="E213" i="16"/>
  <c r="E225" i="16"/>
  <c r="E238" i="16"/>
  <c r="E252" i="16"/>
  <c r="E264" i="16"/>
  <c r="E277" i="16"/>
  <c r="E289" i="16"/>
  <c r="E302" i="16"/>
  <c r="E316" i="16"/>
  <c r="E328" i="16"/>
  <c r="E341" i="16"/>
  <c r="E353" i="16"/>
  <c r="E366" i="16"/>
  <c r="E380" i="16"/>
  <c r="E392" i="16"/>
  <c r="E405" i="16"/>
  <c r="E417" i="16"/>
  <c r="E430" i="16"/>
  <c r="E444" i="16"/>
  <c r="E456" i="16"/>
  <c r="E469" i="16"/>
  <c r="E481" i="16"/>
  <c r="E494" i="16"/>
  <c r="E508" i="16"/>
  <c r="E520" i="16"/>
  <c r="E533" i="16"/>
  <c r="E545" i="16"/>
  <c r="E558" i="16"/>
  <c r="E572" i="16"/>
  <c r="E584" i="16"/>
  <c r="E597" i="16"/>
  <c r="E609" i="16"/>
  <c r="E622" i="16"/>
  <c r="E636" i="16"/>
  <c r="E20" i="16"/>
  <c r="E36" i="16"/>
  <c r="E48" i="16"/>
  <c r="E61" i="16"/>
  <c r="E73" i="16"/>
  <c r="E86" i="16"/>
  <c r="E100" i="16"/>
  <c r="E112" i="16"/>
  <c r="E125" i="16"/>
  <c r="E137" i="16"/>
  <c r="E150" i="16"/>
  <c r="E164" i="16"/>
  <c r="E176" i="16"/>
  <c r="E189" i="16"/>
  <c r="E201" i="16"/>
  <c r="E214" i="16"/>
  <c r="E228" i="16"/>
  <c r="E240" i="16"/>
  <c r="E253" i="16"/>
  <c r="E265" i="16"/>
  <c r="E278" i="16"/>
  <c r="E292" i="16"/>
  <c r="E304" i="16"/>
  <c r="E317" i="16"/>
  <c r="E329" i="16"/>
  <c r="E342" i="16"/>
  <c r="E356" i="16"/>
  <c r="E368" i="16"/>
  <c r="E381" i="16"/>
  <c r="E393" i="16"/>
  <c r="E406" i="16"/>
  <c r="E420" i="16"/>
  <c r="E432" i="16"/>
  <c r="E445" i="16"/>
  <c r="E457" i="16"/>
  <c r="E470" i="16"/>
  <c r="E484" i="16"/>
  <c r="E496" i="16"/>
  <c r="E509" i="16"/>
  <c r="E521" i="16"/>
  <c r="E534" i="16"/>
  <c r="E548" i="16"/>
  <c r="E560" i="16"/>
  <c r="E573" i="16"/>
  <c r="E585" i="16"/>
  <c r="E598" i="16"/>
  <c r="E612" i="16"/>
  <c r="E624" i="16"/>
  <c r="E637" i="16"/>
  <c r="E649" i="16"/>
  <c r="E662" i="16"/>
  <c r="E676" i="16"/>
  <c r="E688" i="16"/>
  <c r="E701" i="16"/>
  <c r="E713" i="16"/>
  <c r="E726" i="16"/>
  <c r="E740" i="16"/>
  <c r="E752" i="16"/>
  <c r="E765" i="16"/>
  <c r="E777" i="16"/>
  <c r="E790" i="16"/>
  <c r="E800" i="16"/>
  <c r="E809" i="16"/>
  <c r="E818" i="16"/>
  <c r="E37" i="16"/>
  <c r="E62" i="16"/>
  <c r="E88" i="16"/>
  <c r="E113" i="16"/>
  <c r="E140" i="16"/>
  <c r="E165" i="16"/>
  <c r="E190" i="16"/>
  <c r="E216" i="16"/>
  <c r="E241" i="16"/>
  <c r="E268" i="16"/>
  <c r="E293" i="16"/>
  <c r="E318" i="16"/>
  <c r="E344" i="16"/>
  <c r="E369" i="16"/>
  <c r="E396" i="16"/>
  <c r="E421" i="16"/>
  <c r="E446" i="16"/>
  <c r="E472" i="16"/>
  <c r="E497" i="16"/>
  <c r="E524" i="16"/>
  <c r="E549" i="16"/>
  <c r="E574" i="16"/>
  <c r="E600" i="16"/>
  <c r="E625" i="16"/>
  <c r="E641" i="16"/>
  <c r="E656" i="16"/>
  <c r="E670" i="16"/>
  <c r="E685" i="16"/>
  <c r="E700" i="16"/>
  <c r="E716" i="16"/>
  <c r="E729" i="16"/>
  <c r="E744" i="16"/>
  <c r="E758" i="16"/>
  <c r="E773" i="16"/>
  <c r="E788" i="16"/>
  <c r="E38" i="16"/>
  <c r="E64" i="16"/>
  <c r="E89" i="16"/>
  <c r="E116" i="16"/>
  <c r="E141" i="16"/>
  <c r="E166" i="16"/>
  <c r="E192" i="16"/>
  <c r="E217" i="16"/>
  <c r="E244" i="16"/>
  <c r="E269" i="16"/>
  <c r="E294" i="16"/>
  <c r="E320" i="16"/>
  <c r="E345" i="16"/>
  <c r="E372" i="16"/>
  <c r="E397" i="16"/>
  <c r="E422" i="16"/>
  <c r="E448" i="16"/>
  <c r="E473" i="16"/>
  <c r="E500" i="16"/>
  <c r="E525" i="16"/>
  <c r="E550" i="16"/>
  <c r="E576" i="16"/>
  <c r="E601" i="16"/>
  <c r="E628" i="16"/>
  <c r="E644" i="16"/>
  <c r="E657" i="16"/>
  <c r="E672" i="16"/>
  <c r="E686" i="16"/>
  <c r="E702" i="16"/>
  <c r="E717" i="16"/>
  <c r="E732" i="16"/>
  <c r="E745" i="16"/>
  <c r="E760" i="16"/>
  <c r="E774" i="16"/>
  <c r="E789" i="16"/>
  <c r="E801" i="16"/>
  <c r="E811" i="16"/>
  <c r="E821" i="16"/>
  <c r="E830" i="16"/>
  <c r="E840" i="16"/>
  <c r="E849" i="16"/>
  <c r="E858" i="16"/>
  <c r="E867" i="16"/>
  <c r="E876" i="16"/>
  <c r="E885" i="16"/>
  <c r="E894" i="16"/>
  <c r="E902" i="16"/>
  <c r="E910" i="16"/>
  <c r="E918" i="16"/>
  <c r="E926" i="16"/>
  <c r="E934" i="16"/>
  <c r="E942" i="16"/>
  <c r="E950" i="16"/>
  <c r="E958" i="16"/>
  <c r="E966" i="16"/>
  <c r="E974" i="16"/>
  <c r="E982" i="16"/>
  <c r="E990" i="16"/>
  <c r="E998" i="16"/>
  <c r="E1006" i="16"/>
  <c r="E1014" i="16"/>
  <c r="E1022" i="16"/>
  <c r="E1030" i="16"/>
  <c r="E1038" i="16"/>
  <c r="E1046" i="16"/>
  <c r="E1054" i="16"/>
  <c r="E1062" i="16"/>
  <c r="E1070" i="16"/>
  <c r="E1078" i="16"/>
  <c r="E1086" i="16"/>
  <c r="E1094" i="16"/>
  <c r="E1102" i="16"/>
  <c r="E1110" i="16"/>
  <c r="E1118" i="16"/>
  <c r="E1126" i="16"/>
  <c r="E1134" i="16"/>
  <c r="E1142" i="16"/>
  <c r="E1150" i="16"/>
  <c r="E1158" i="16"/>
  <c r="E1166" i="16"/>
  <c r="E1174" i="16"/>
  <c r="E1182" i="16"/>
  <c r="E1190" i="16"/>
  <c r="E1198" i="16"/>
  <c r="E1206" i="16"/>
  <c r="E1214" i="16"/>
  <c r="E1222" i="16"/>
  <c r="E1230" i="16"/>
  <c r="E1238" i="16"/>
  <c r="E1246" i="16"/>
  <c r="E1254" i="16"/>
  <c r="E1262" i="16"/>
  <c r="E1270" i="16"/>
  <c r="E1278" i="16"/>
  <c r="E1286" i="16"/>
  <c r="E1294" i="16"/>
  <c r="E1302" i="16"/>
  <c r="E1310" i="16"/>
  <c r="E1318" i="16"/>
  <c r="E1326" i="16"/>
  <c r="E1334" i="16"/>
  <c r="E1342" i="16"/>
  <c r="E1350" i="16"/>
  <c r="E1358" i="16"/>
  <c r="E1366" i="16"/>
  <c r="E1374" i="16"/>
  <c r="E1382" i="16"/>
  <c r="E1390" i="16"/>
  <c r="E1398" i="16"/>
  <c r="E1406" i="16"/>
  <c r="E1414" i="16"/>
  <c r="E1422" i="16"/>
  <c r="E1430" i="16"/>
  <c r="E1438" i="16"/>
  <c r="E1446" i="16"/>
  <c r="E1454" i="16"/>
  <c r="E1462" i="16"/>
  <c r="E1470" i="16"/>
  <c r="E1478" i="16"/>
  <c r="E1486" i="16"/>
  <c r="E1494" i="16"/>
  <c r="E1502" i="16"/>
  <c r="E1510" i="16"/>
  <c r="E68" i="16"/>
  <c r="E118" i="16"/>
  <c r="E169" i="16"/>
  <c r="E221" i="16"/>
  <c r="E272" i="16"/>
  <c r="E324" i="16"/>
  <c r="E374" i="16"/>
  <c r="E425" i="16"/>
  <c r="E477" i="16"/>
  <c r="E528" i="16"/>
  <c r="E580" i="16"/>
  <c r="E646" i="16"/>
  <c r="E692" i="16"/>
  <c r="E720" i="16"/>
  <c r="E749" i="16"/>
  <c r="E40" i="16"/>
  <c r="E65" i="16"/>
  <c r="E92" i="16"/>
  <c r="E117" i="16"/>
  <c r="E142" i="16"/>
  <c r="E168" i="16"/>
  <c r="E193" i="16"/>
  <c r="E220" i="16"/>
  <c r="E245" i="16"/>
  <c r="E270" i="16"/>
  <c r="E296" i="16"/>
  <c r="E321" i="16"/>
  <c r="E348" i="16"/>
  <c r="E373" i="16"/>
  <c r="E398" i="16"/>
  <c r="E424" i="16"/>
  <c r="E449" i="16"/>
  <c r="E476" i="16"/>
  <c r="E501" i="16"/>
  <c r="E526" i="16"/>
  <c r="E552" i="16"/>
  <c r="E577" i="16"/>
  <c r="E604" i="16"/>
  <c r="E629" i="16"/>
  <c r="E645" i="16"/>
  <c r="E660" i="16"/>
  <c r="E673" i="16"/>
  <c r="E689" i="16"/>
  <c r="E704" i="16"/>
  <c r="E718" i="16"/>
  <c r="E733" i="16"/>
  <c r="E748" i="16"/>
  <c r="E761" i="16"/>
  <c r="E776" i="16"/>
  <c r="E792" i="16"/>
  <c r="E802" i="16"/>
  <c r="E812" i="16"/>
  <c r="E822" i="16"/>
  <c r="E832" i="16"/>
  <c r="E841" i="16"/>
  <c r="E850" i="16"/>
  <c r="E859" i="16"/>
  <c r="E868" i="16"/>
  <c r="E877" i="16"/>
  <c r="E886" i="16"/>
  <c r="E895" i="16"/>
  <c r="E903" i="16"/>
  <c r="E911" i="16"/>
  <c r="E919" i="16"/>
  <c r="E927" i="16"/>
  <c r="E935" i="16"/>
  <c r="E943" i="16"/>
  <c r="E951" i="16"/>
  <c r="E959" i="16"/>
  <c r="E967" i="16"/>
  <c r="E975" i="16"/>
  <c r="E983" i="16"/>
  <c r="E991" i="16"/>
  <c r="E999" i="16"/>
  <c r="E1007" i="16"/>
  <c r="E1015" i="16"/>
  <c r="E1023" i="16"/>
  <c r="E1031" i="16"/>
  <c r="E1039" i="16"/>
  <c r="E1047" i="16"/>
  <c r="E1055" i="16"/>
  <c r="E1063" i="16"/>
  <c r="E1071" i="16"/>
  <c r="E1079" i="16"/>
  <c r="E1087" i="16"/>
  <c r="E1095" i="16"/>
  <c r="E1103" i="16"/>
  <c r="E1111" i="16"/>
  <c r="E1119" i="16"/>
  <c r="E1127" i="16"/>
  <c r="E1135" i="16"/>
  <c r="E1143" i="16"/>
  <c r="E1151" i="16"/>
  <c r="E1159" i="16"/>
  <c r="E1167" i="16"/>
  <c r="E1175" i="16"/>
  <c r="E1183" i="16"/>
  <c r="E1191" i="16"/>
  <c r="E1199" i="16"/>
  <c r="E1207" i="16"/>
  <c r="E1215" i="16"/>
  <c r="E1223" i="16"/>
  <c r="E1231" i="16"/>
  <c r="E1239" i="16"/>
  <c r="E1247" i="16"/>
  <c r="E1255" i="16"/>
  <c r="E1263" i="16"/>
  <c r="E1271" i="16"/>
  <c r="E1279" i="16"/>
  <c r="E1287" i="16"/>
  <c r="E1295" i="16"/>
  <c r="E1303" i="16"/>
  <c r="E1311" i="16"/>
  <c r="E1319" i="16"/>
  <c r="E1327" i="16"/>
  <c r="E1335" i="16"/>
  <c r="E1343" i="16"/>
  <c r="E1351" i="16"/>
  <c r="E1359" i="16"/>
  <c r="E1367" i="16"/>
  <c r="E1375" i="16"/>
  <c r="E1383" i="16"/>
  <c r="E1391" i="16"/>
  <c r="E1399" i="16"/>
  <c r="E1407" i="16"/>
  <c r="E1415" i="16"/>
  <c r="E1423" i="16"/>
  <c r="E1431" i="16"/>
  <c r="E1439" i="16"/>
  <c r="E1447" i="16"/>
  <c r="E1455" i="16"/>
  <c r="E1463" i="16"/>
  <c r="E1471" i="16"/>
  <c r="E1479" i="16"/>
  <c r="E1487" i="16"/>
  <c r="E1495" i="16"/>
  <c r="E1503" i="16"/>
  <c r="E1511" i="16"/>
  <c r="E41" i="16"/>
  <c r="E93" i="16"/>
  <c r="E144" i="16"/>
  <c r="E196" i="16"/>
  <c r="E246" i="16"/>
  <c r="E297" i="16"/>
  <c r="E349" i="16"/>
  <c r="E400" i="16"/>
  <c r="E452" i="16"/>
  <c r="E502" i="16"/>
  <c r="E553" i="16"/>
  <c r="E605" i="16"/>
  <c r="E630" i="16"/>
  <c r="E661" i="16"/>
  <c r="E677" i="16"/>
  <c r="E705" i="16"/>
  <c r="E734" i="16"/>
  <c r="E27" i="16"/>
  <c r="E53" i="16"/>
  <c r="E78" i="16"/>
  <c r="E104" i="16"/>
  <c r="E129" i="16"/>
  <c r="E156" i="16"/>
  <c r="E181" i="16"/>
  <c r="E206" i="16"/>
  <c r="E232" i="16"/>
  <c r="E257" i="16"/>
  <c r="E284" i="16"/>
  <c r="E309" i="16"/>
  <c r="E334" i="16"/>
  <c r="E360" i="16"/>
  <c r="E385" i="16"/>
  <c r="E412" i="16"/>
  <c r="E437" i="16"/>
  <c r="E462" i="16"/>
  <c r="E488" i="16"/>
  <c r="E513" i="16"/>
  <c r="E540" i="16"/>
  <c r="E565" i="16"/>
  <c r="E590" i="16"/>
  <c r="E616" i="16"/>
  <c r="E638" i="16"/>
  <c r="E653" i="16"/>
  <c r="E668" i="16"/>
  <c r="E681" i="16"/>
  <c r="E696" i="16"/>
  <c r="E710" i="16"/>
  <c r="E725" i="16"/>
  <c r="E741" i="16"/>
  <c r="E756" i="16"/>
  <c r="E769" i="16"/>
  <c r="E784" i="16"/>
  <c r="E796" i="16"/>
  <c r="E806" i="16"/>
  <c r="E817" i="16"/>
  <c r="E827" i="16"/>
  <c r="E836" i="16"/>
  <c r="E845" i="16"/>
  <c r="E854" i="16"/>
  <c r="E864" i="16"/>
  <c r="E873" i="16"/>
  <c r="E882" i="16"/>
  <c r="E891" i="16"/>
  <c r="E899" i="16"/>
  <c r="E907" i="16"/>
  <c r="E915" i="16"/>
  <c r="E923" i="16"/>
  <c r="E931" i="16"/>
  <c r="E939" i="16"/>
  <c r="E947" i="16"/>
  <c r="E955" i="16"/>
  <c r="E963" i="16"/>
  <c r="E971" i="16"/>
  <c r="E979" i="16"/>
  <c r="E987" i="16"/>
  <c r="E995" i="16"/>
  <c r="E1003" i="16"/>
  <c r="E1011" i="16"/>
  <c r="E1019" i="16"/>
  <c r="E1027" i="16"/>
  <c r="E1035" i="16"/>
  <c r="E1043" i="16"/>
  <c r="E1051" i="16"/>
  <c r="E1059" i="16"/>
  <c r="E1067" i="16"/>
  <c r="E1075" i="16"/>
  <c r="E1083" i="16"/>
  <c r="E1091" i="16"/>
  <c r="E1099" i="16"/>
  <c r="E1107" i="16"/>
  <c r="E1115" i="16"/>
  <c r="E1123" i="16"/>
  <c r="E1131" i="16"/>
  <c r="E1139" i="16"/>
  <c r="E1147" i="16"/>
  <c r="E1155" i="16"/>
  <c r="E1163" i="16"/>
  <c r="E1171" i="16"/>
  <c r="E1179" i="16"/>
  <c r="E1187" i="16"/>
  <c r="E1195" i="16"/>
  <c r="E1203" i="16"/>
  <c r="E1211" i="16"/>
  <c r="E1219" i="16"/>
  <c r="E1227" i="16"/>
  <c r="E1235" i="16"/>
  <c r="E1243" i="16"/>
  <c r="E1251" i="16"/>
  <c r="E1259" i="16"/>
  <c r="E1267" i="16"/>
  <c r="E1275" i="16"/>
  <c r="E1283" i="16"/>
  <c r="E1291" i="16"/>
  <c r="E1299" i="16"/>
  <c r="E1307" i="16"/>
  <c r="E1315" i="16"/>
  <c r="E1323" i="16"/>
  <c r="E1331" i="16"/>
  <c r="E1339" i="16"/>
  <c r="E1347" i="16"/>
  <c r="E1355" i="16"/>
  <c r="E1363" i="16"/>
  <c r="E1371" i="16"/>
  <c r="E1379" i="16"/>
  <c r="E1387" i="16"/>
  <c r="E1395" i="16"/>
  <c r="E1403" i="16"/>
  <c r="E1411" i="16"/>
  <c r="E1419" i="16"/>
  <c r="E1427" i="16"/>
  <c r="E1435" i="16"/>
  <c r="E1443" i="16"/>
  <c r="E1451" i="16"/>
  <c r="E1459" i="16"/>
  <c r="E1467" i="16"/>
  <c r="E1475" i="16"/>
  <c r="E1483" i="16"/>
  <c r="E1491" i="16"/>
  <c r="E1499" i="16"/>
  <c r="E1507" i="16"/>
  <c r="E1515" i="16"/>
  <c r="E28" i="16"/>
  <c r="E54" i="16"/>
  <c r="E80" i="16"/>
  <c r="E105" i="16"/>
  <c r="E132" i="16"/>
  <c r="E157" i="16"/>
  <c r="E182" i="16"/>
  <c r="E208" i="16"/>
  <c r="E233" i="16"/>
  <c r="E260" i="16"/>
  <c r="E285" i="16"/>
  <c r="E310" i="16"/>
  <c r="E336" i="16"/>
  <c r="E361" i="16"/>
  <c r="E388" i="16"/>
  <c r="E413" i="16"/>
  <c r="E438" i="16"/>
  <c r="E464" i="16"/>
  <c r="E489" i="16"/>
  <c r="E516" i="16"/>
  <c r="E541" i="16"/>
  <c r="E566" i="16"/>
  <c r="E592" i="16"/>
  <c r="E617" i="16"/>
  <c r="E640" i="16"/>
  <c r="E654" i="16"/>
  <c r="E669" i="16"/>
  <c r="E684" i="16"/>
  <c r="E697" i="16"/>
  <c r="E712" i="16"/>
  <c r="E728" i="16"/>
  <c r="E742" i="16"/>
  <c r="E757" i="16"/>
  <c r="E772" i="16"/>
  <c r="E785" i="16"/>
  <c r="E797" i="16"/>
  <c r="E808" i="16"/>
  <c r="E819" i="16"/>
  <c r="E828" i="16"/>
  <c r="E837" i="16"/>
  <c r="E846" i="16"/>
  <c r="E856" i="16"/>
  <c r="E865" i="16"/>
  <c r="E874" i="16"/>
  <c r="E883" i="16"/>
  <c r="E892" i="16"/>
  <c r="E900" i="16"/>
  <c r="E908" i="16"/>
  <c r="E916" i="16"/>
  <c r="E924" i="16"/>
  <c r="E932" i="16"/>
  <c r="E940" i="16"/>
  <c r="E948" i="16"/>
  <c r="E956" i="16"/>
  <c r="E76" i="16"/>
  <c r="E177" i="16"/>
  <c r="E280" i="16"/>
  <c r="E382" i="16"/>
  <c r="E485" i="16"/>
  <c r="E588" i="16"/>
  <c r="E664" i="16"/>
  <c r="E721" i="16"/>
  <c r="E768" i="16"/>
  <c r="E803" i="16"/>
  <c r="E824" i="16"/>
  <c r="E860" i="16"/>
  <c r="E878" i="16"/>
  <c r="E896" i="16"/>
  <c r="E912" i="16"/>
  <c r="E928" i="16"/>
  <c r="E944" i="16"/>
  <c r="E972" i="16"/>
  <c r="E1010" i="16"/>
  <c r="E1088" i="16"/>
  <c r="E1216" i="16"/>
  <c r="E1420" i="16"/>
  <c r="E869" i="16"/>
  <c r="E1170" i="16"/>
  <c r="E1298" i="16"/>
  <c r="E1376" i="16"/>
  <c r="E1426" i="16"/>
  <c r="E1477" i="16"/>
  <c r="E753" i="16"/>
  <c r="E905" i="16"/>
  <c r="E980" i="16"/>
  <c r="E1044" i="16"/>
  <c r="E1121" i="16"/>
  <c r="E1185" i="16"/>
  <c r="E1236" i="16"/>
  <c r="E1288" i="16"/>
  <c r="E1352" i="16"/>
  <c r="E1416" i="16"/>
  <c r="E1466" i="16"/>
  <c r="E77" i="16"/>
  <c r="E180" i="16"/>
  <c r="E281" i="16"/>
  <c r="E384" i="16"/>
  <c r="E486" i="16"/>
  <c r="E589" i="16"/>
  <c r="E665" i="16"/>
  <c r="E724" i="16"/>
  <c r="E780" i="16"/>
  <c r="E804" i="16"/>
  <c r="E825" i="16"/>
  <c r="E843" i="16"/>
  <c r="E861" i="16"/>
  <c r="E880" i="16"/>
  <c r="E897" i="16"/>
  <c r="E913" i="16"/>
  <c r="E929" i="16"/>
  <c r="E945" i="16"/>
  <c r="E961" i="16"/>
  <c r="E973" i="16"/>
  <c r="E986" i="16"/>
  <c r="E1000" i="16"/>
  <c r="E1012" i="16"/>
  <c r="E1025" i="16"/>
  <c r="E1037" i="16"/>
  <c r="E1050" i="16"/>
  <c r="E1064" i="16"/>
  <c r="E1076" i="16"/>
  <c r="E1089" i="16"/>
  <c r="E1101" i="16"/>
  <c r="E1114" i="16"/>
  <c r="E1128" i="16"/>
  <c r="E1140" i="16"/>
  <c r="E1153" i="16"/>
  <c r="E1165" i="16"/>
  <c r="E1178" i="16"/>
  <c r="E1192" i="16"/>
  <c r="E1204" i="16"/>
  <c r="E1217" i="16"/>
  <c r="E1229" i="16"/>
  <c r="E1242" i="16"/>
  <c r="E1256" i="16"/>
  <c r="E1268" i="16"/>
  <c r="E1281" i="16"/>
  <c r="E1293" i="16"/>
  <c r="E1306" i="16"/>
  <c r="E1320" i="16"/>
  <c r="E1332" i="16"/>
  <c r="E1345" i="16"/>
  <c r="E1357" i="16"/>
  <c r="E1370" i="16"/>
  <c r="E1384" i="16"/>
  <c r="E1396" i="16"/>
  <c r="E1409" i="16"/>
  <c r="E1421" i="16"/>
  <c r="E1434" i="16"/>
  <c r="E1448" i="16"/>
  <c r="E1460" i="16"/>
  <c r="E1473" i="16"/>
  <c r="E1485" i="16"/>
  <c r="E1498" i="16"/>
  <c r="E1512" i="16"/>
  <c r="E102" i="16"/>
  <c r="E308" i="16"/>
  <c r="E614" i="16"/>
  <c r="E737" i="16"/>
  <c r="E810" i="16"/>
  <c r="E848" i="16"/>
  <c r="E901" i="16"/>
  <c r="E933" i="16"/>
  <c r="E977" i="16"/>
  <c r="E1002" i="16"/>
  <c r="E1028" i="16"/>
  <c r="E1053" i="16"/>
  <c r="E1092" i="16"/>
  <c r="E1117" i="16"/>
  <c r="E1144" i="16"/>
  <c r="E1169" i="16"/>
  <c r="E1194" i="16"/>
  <c r="E1220" i="16"/>
  <c r="E1245" i="16"/>
  <c r="E1272" i="16"/>
  <c r="E1309" i="16"/>
  <c r="E1336" i="16"/>
  <c r="E1361" i="16"/>
  <c r="E1386" i="16"/>
  <c r="E1412" i="16"/>
  <c r="E1437" i="16"/>
  <c r="E1464" i="16"/>
  <c r="E1489" i="16"/>
  <c r="E22" i="16"/>
  <c r="E229" i="16"/>
  <c r="E433" i="16"/>
  <c r="E632" i="16"/>
  <c r="E750" i="16"/>
  <c r="E813" i="16"/>
  <c r="E851" i="16"/>
  <c r="E904" i="16"/>
  <c r="E920" i="16"/>
  <c r="E965" i="16"/>
  <c r="E978" i="16"/>
  <c r="E1017" i="16"/>
  <c r="E1056" i="16"/>
  <c r="E1093" i="16"/>
  <c r="E1132" i="16"/>
  <c r="E1184" i="16"/>
  <c r="E1234" i="16"/>
  <c r="E1285" i="16"/>
  <c r="E1337" i="16"/>
  <c r="E1388" i="16"/>
  <c r="E1452" i="16"/>
  <c r="E1504" i="16"/>
  <c r="E23" i="16"/>
  <c r="E333" i="16"/>
  <c r="E537" i="16"/>
  <c r="E794" i="16"/>
  <c r="E852" i="16"/>
  <c r="E921" i="16"/>
  <c r="E968" i="16"/>
  <c r="E1018" i="16"/>
  <c r="E1069" i="16"/>
  <c r="E1108" i="16"/>
  <c r="E1160" i="16"/>
  <c r="E1210" i="16"/>
  <c r="E1261" i="16"/>
  <c r="E1313" i="16"/>
  <c r="E1364" i="16"/>
  <c r="E1441" i="16"/>
  <c r="E1505" i="16"/>
  <c r="E101" i="16"/>
  <c r="E204" i="16"/>
  <c r="E305" i="16"/>
  <c r="E408" i="16"/>
  <c r="E510" i="16"/>
  <c r="E613" i="16"/>
  <c r="E678" i="16"/>
  <c r="E736" i="16"/>
  <c r="E781" i="16"/>
  <c r="E805" i="16"/>
  <c r="E826" i="16"/>
  <c r="E844" i="16"/>
  <c r="E862" i="16"/>
  <c r="E881" i="16"/>
  <c r="E898" i="16"/>
  <c r="E914" i="16"/>
  <c r="E930" i="16"/>
  <c r="E946" i="16"/>
  <c r="E962" i="16"/>
  <c r="E976" i="16"/>
  <c r="E988" i="16"/>
  <c r="E1001" i="16"/>
  <c r="E1013" i="16"/>
  <c r="E1026" i="16"/>
  <c r="E1040" i="16"/>
  <c r="E1052" i="16"/>
  <c r="E1065" i="16"/>
  <c r="E1077" i="16"/>
  <c r="E1090" i="16"/>
  <c r="E1104" i="16"/>
  <c r="E1116" i="16"/>
  <c r="E1129" i="16"/>
  <c r="E1141" i="16"/>
  <c r="E1154" i="16"/>
  <c r="E1168" i="16"/>
  <c r="E1180" i="16"/>
  <c r="E1193" i="16"/>
  <c r="E1205" i="16"/>
  <c r="E1218" i="16"/>
  <c r="E1232" i="16"/>
  <c r="E1244" i="16"/>
  <c r="E1257" i="16"/>
  <c r="E1269" i="16"/>
  <c r="E1282" i="16"/>
  <c r="E1296" i="16"/>
  <c r="E1308" i="16"/>
  <c r="E1321" i="16"/>
  <c r="E1333" i="16"/>
  <c r="E1346" i="16"/>
  <c r="E1360" i="16"/>
  <c r="E1372" i="16"/>
  <c r="E1385" i="16"/>
  <c r="E1397" i="16"/>
  <c r="E1410" i="16"/>
  <c r="E1424" i="16"/>
  <c r="E1436" i="16"/>
  <c r="E1449" i="16"/>
  <c r="E1461" i="16"/>
  <c r="E1474" i="16"/>
  <c r="E1488" i="16"/>
  <c r="E1500" i="16"/>
  <c r="E1513" i="16"/>
  <c r="E205" i="16"/>
  <c r="E409" i="16"/>
  <c r="E512" i="16"/>
  <c r="E680" i="16"/>
  <c r="E782" i="16"/>
  <c r="E829" i="16"/>
  <c r="E866" i="16"/>
  <c r="E884" i="16"/>
  <c r="E917" i="16"/>
  <c r="E949" i="16"/>
  <c r="E964" i="16"/>
  <c r="E989" i="16"/>
  <c r="E1016" i="16"/>
  <c r="E1041" i="16"/>
  <c r="E1066" i="16"/>
  <c r="E1080" i="16"/>
  <c r="E1105" i="16"/>
  <c r="E1130" i="16"/>
  <c r="E1156" i="16"/>
  <c r="E1181" i="16"/>
  <c r="E1208" i="16"/>
  <c r="E1233" i="16"/>
  <c r="E1258" i="16"/>
  <c r="E1284" i="16"/>
  <c r="E1297" i="16"/>
  <c r="E1322" i="16"/>
  <c r="E1348" i="16"/>
  <c r="E1373" i="16"/>
  <c r="E1400" i="16"/>
  <c r="E1425" i="16"/>
  <c r="E1450" i="16"/>
  <c r="E1476" i="16"/>
  <c r="E1501" i="16"/>
  <c r="E1514" i="16"/>
  <c r="E126" i="16"/>
  <c r="E332" i="16"/>
  <c r="E536" i="16"/>
  <c r="E693" i="16"/>
  <c r="E793" i="16"/>
  <c r="E888" i="16"/>
  <c r="E936" i="16"/>
  <c r="E992" i="16"/>
  <c r="E1029" i="16"/>
  <c r="E1068" i="16"/>
  <c r="E1106" i="16"/>
  <c r="E1145" i="16"/>
  <c r="E1209" i="16"/>
  <c r="E1248" i="16"/>
  <c r="E1273" i="16"/>
  <c r="E1324" i="16"/>
  <c r="E1362" i="16"/>
  <c r="E1413" i="16"/>
  <c r="E1465" i="16"/>
  <c r="E128" i="16"/>
  <c r="E436" i="16"/>
  <c r="E694" i="16"/>
  <c r="E834" i="16"/>
  <c r="E889" i="16"/>
  <c r="E953" i="16"/>
  <c r="E1005" i="16"/>
  <c r="E1057" i="16"/>
  <c r="E1096" i="16"/>
  <c r="E1146" i="16"/>
  <c r="E1197" i="16"/>
  <c r="E1249" i="16"/>
  <c r="E1300" i="16"/>
  <c r="E1338" i="16"/>
  <c r="E1389" i="16"/>
  <c r="E1428" i="16"/>
  <c r="E1480" i="16"/>
  <c r="E49" i="16"/>
  <c r="E152" i="16"/>
  <c r="E254" i="16"/>
  <c r="E357" i="16"/>
  <c r="E460" i="16"/>
  <c r="E561" i="16"/>
  <c r="E648" i="16"/>
  <c r="E708" i="16"/>
  <c r="E764" i="16"/>
  <c r="E795" i="16"/>
  <c r="E816" i="16"/>
  <c r="E835" i="16"/>
  <c r="E853" i="16"/>
  <c r="E872" i="16"/>
  <c r="E890" i="16"/>
  <c r="E906" i="16"/>
  <c r="E922" i="16"/>
  <c r="E938" i="16"/>
  <c r="E954" i="16"/>
  <c r="E969" i="16"/>
  <c r="E981" i="16"/>
  <c r="E994" i="16"/>
  <c r="E1008" i="16"/>
  <c r="E1020" i="16"/>
  <c r="E1033" i="16"/>
  <c r="E1045" i="16"/>
  <c r="E1058" i="16"/>
  <c r="E1072" i="16"/>
  <c r="E1084" i="16"/>
  <c r="E1097" i="16"/>
  <c r="E1109" i="16"/>
  <c r="E1122" i="16"/>
  <c r="E1136" i="16"/>
  <c r="E1148" i="16"/>
  <c r="E1161" i="16"/>
  <c r="E1173" i="16"/>
  <c r="E1186" i="16"/>
  <c r="E1200" i="16"/>
  <c r="E1212" i="16"/>
  <c r="E1225" i="16"/>
  <c r="E1237" i="16"/>
  <c r="E1250" i="16"/>
  <c r="E1264" i="16"/>
  <c r="E1276" i="16"/>
  <c r="E1289" i="16"/>
  <c r="E1301" i="16"/>
  <c r="E1314" i="16"/>
  <c r="E1328" i="16"/>
  <c r="E1340" i="16"/>
  <c r="E1353" i="16"/>
  <c r="E1365" i="16"/>
  <c r="E1378" i="16"/>
  <c r="E1392" i="16"/>
  <c r="E1404" i="16"/>
  <c r="E1417" i="16"/>
  <c r="E1429" i="16"/>
  <c r="E1442" i="16"/>
  <c r="E1456" i="16"/>
  <c r="E1468" i="16"/>
  <c r="E1481" i="16"/>
  <c r="E1493" i="16"/>
  <c r="E1506" i="16"/>
  <c r="E52" i="16"/>
  <c r="E153" i="16"/>
  <c r="E256" i="16"/>
  <c r="E358" i="16"/>
  <c r="E461" i="16"/>
  <c r="E564" i="16"/>
  <c r="E652" i="16"/>
  <c r="E709" i="16"/>
  <c r="E766" i="16"/>
  <c r="E798" i="16"/>
  <c r="E820" i="16"/>
  <c r="E838" i="16"/>
  <c r="E857" i="16"/>
  <c r="E875" i="16"/>
  <c r="E893" i="16"/>
  <c r="E909" i="16"/>
  <c r="E925" i="16"/>
  <c r="E941" i="16"/>
  <c r="E957" i="16"/>
  <c r="E970" i="16"/>
  <c r="E984" i="16"/>
  <c r="E996" i="16"/>
  <c r="E1009" i="16"/>
  <c r="E1021" i="16"/>
  <c r="E1034" i="16"/>
  <c r="E1048" i="16"/>
  <c r="E1060" i="16"/>
  <c r="E1073" i="16"/>
  <c r="E1085" i="16"/>
  <c r="E1098" i="16"/>
  <c r="E1112" i="16"/>
  <c r="E1124" i="16"/>
  <c r="E1137" i="16"/>
  <c r="E1149" i="16"/>
  <c r="E1162" i="16"/>
  <c r="E1176" i="16"/>
  <c r="E1188" i="16"/>
  <c r="E1201" i="16"/>
  <c r="E1213" i="16"/>
  <c r="E1226" i="16"/>
  <c r="E1240" i="16"/>
  <c r="E1252" i="16"/>
  <c r="E1265" i="16"/>
  <c r="E1277" i="16"/>
  <c r="E1290" i="16"/>
  <c r="E1304" i="16"/>
  <c r="E1316" i="16"/>
  <c r="E1329" i="16"/>
  <c r="E1341" i="16"/>
  <c r="E1354" i="16"/>
  <c r="E1368" i="16"/>
  <c r="E1380" i="16"/>
  <c r="E1393" i="16"/>
  <c r="E1405" i="16"/>
  <c r="E1418" i="16"/>
  <c r="E1432" i="16"/>
  <c r="E1444" i="16"/>
  <c r="E1457" i="16"/>
  <c r="E1469" i="16"/>
  <c r="E1482" i="16"/>
  <c r="E1496" i="16"/>
  <c r="E1508" i="16"/>
  <c r="E842" i="16"/>
  <c r="E960" i="16"/>
  <c r="E985" i="16"/>
  <c r="E997" i="16"/>
  <c r="E1024" i="16"/>
  <c r="E1036" i="16"/>
  <c r="E1049" i="16"/>
  <c r="E1061" i="16"/>
  <c r="E1074" i="16"/>
  <c r="E1100" i="16"/>
  <c r="E1113" i="16"/>
  <c r="E1125" i="16"/>
  <c r="E1138" i="16"/>
  <c r="E1152" i="16"/>
  <c r="E1164" i="16"/>
  <c r="E1177" i="16"/>
  <c r="E1189" i="16"/>
  <c r="E1202" i="16"/>
  <c r="E1228" i="16"/>
  <c r="E1241" i="16"/>
  <c r="E1253" i="16"/>
  <c r="E1266" i="16"/>
  <c r="E1280" i="16"/>
  <c r="E1292" i="16"/>
  <c r="E1305" i="16"/>
  <c r="E1317" i="16"/>
  <c r="E1330" i="16"/>
  <c r="E1344" i="16"/>
  <c r="E1356" i="16"/>
  <c r="E1369" i="16"/>
  <c r="E1381" i="16"/>
  <c r="E1394" i="16"/>
  <c r="E1408" i="16"/>
  <c r="E1433" i="16"/>
  <c r="E1445" i="16"/>
  <c r="E1458" i="16"/>
  <c r="E1472" i="16"/>
  <c r="E1484" i="16"/>
  <c r="E1497" i="16"/>
  <c r="E1509" i="16"/>
  <c r="E833" i="16"/>
  <c r="E952" i="16"/>
  <c r="E1004" i="16"/>
  <c r="E1042" i="16"/>
  <c r="E1081" i="16"/>
  <c r="E1120" i="16"/>
  <c r="E1157" i="16"/>
  <c r="E1196" i="16"/>
  <c r="E1221" i="16"/>
  <c r="E1260" i="16"/>
  <c r="E1312" i="16"/>
  <c r="E1349" i="16"/>
  <c r="E1401" i="16"/>
  <c r="E1440" i="16"/>
  <c r="E1490" i="16"/>
  <c r="E1516" i="16"/>
  <c r="E230" i="16"/>
  <c r="E633" i="16"/>
  <c r="E814" i="16"/>
  <c r="E870" i="16"/>
  <c r="E937" i="16"/>
  <c r="E993" i="16"/>
  <c r="E1032" i="16"/>
  <c r="E1082" i="16"/>
  <c r="E1133" i="16"/>
  <c r="E1172" i="16"/>
  <c r="E1224" i="16"/>
  <c r="E1274" i="16"/>
  <c r="E1325" i="16"/>
  <c r="E1377" i="16"/>
  <c r="E1402" i="16"/>
  <c r="E1453" i="16"/>
  <c r="E1492" i="16"/>
  <c r="P1516" i="16"/>
  <c r="H1516" i="16"/>
  <c r="H1515" i="16"/>
  <c r="P1515" i="16"/>
  <c r="P1514" i="16"/>
  <c r="H1514" i="16"/>
  <c r="H1513" i="16"/>
  <c r="P1513" i="16"/>
  <c r="H1512" i="16"/>
  <c r="P1512" i="16"/>
  <c r="P1511" i="16"/>
  <c r="H1511" i="16"/>
  <c r="P1510" i="16"/>
  <c r="H1510" i="16"/>
  <c r="P1509" i="16"/>
  <c r="H1509" i="16"/>
  <c r="P1508" i="16"/>
  <c r="H1508" i="16"/>
  <c r="P1507" i="16"/>
  <c r="H1507" i="16"/>
  <c r="P1506" i="16"/>
  <c r="H1506" i="16"/>
  <c r="H1505" i="16"/>
  <c r="P1505" i="16"/>
  <c r="H1504" i="16"/>
  <c r="P1504" i="16"/>
  <c r="P1503" i="16"/>
  <c r="H1503" i="16"/>
  <c r="P1502" i="16"/>
  <c r="H1502" i="16"/>
  <c r="H1501" i="16"/>
  <c r="P1501" i="16"/>
  <c r="P1500" i="16"/>
  <c r="H1500" i="16"/>
  <c r="H1499" i="16"/>
  <c r="P1499" i="16"/>
  <c r="P1498" i="16"/>
  <c r="H1498" i="16"/>
  <c r="P1497" i="16"/>
  <c r="H1497" i="16"/>
  <c r="P1496" i="16"/>
  <c r="H1496" i="16"/>
  <c r="P1495" i="16"/>
  <c r="H1495" i="16"/>
  <c r="P1494" i="16"/>
  <c r="H1494" i="16"/>
  <c r="H1493" i="16"/>
  <c r="P1493" i="16"/>
  <c r="P1492" i="16"/>
  <c r="H1492" i="16"/>
  <c r="P1491" i="16"/>
  <c r="H1491" i="16"/>
  <c r="P1490" i="16"/>
  <c r="H1490" i="16"/>
  <c r="P1489" i="16"/>
  <c r="H1489" i="16"/>
  <c r="H1488" i="16"/>
  <c r="P1488" i="16"/>
  <c r="P1487" i="16"/>
  <c r="H1487" i="16"/>
  <c r="P1486" i="16"/>
  <c r="H1486" i="16"/>
  <c r="H1485" i="16"/>
  <c r="P1485" i="16"/>
  <c r="H1484" i="16"/>
  <c r="P1484" i="16"/>
  <c r="P1483" i="16"/>
  <c r="H1483" i="16"/>
  <c r="P1482" i="16"/>
  <c r="H1482" i="16"/>
  <c r="H1481" i="16"/>
  <c r="P1481" i="16"/>
  <c r="H1480" i="16"/>
  <c r="P1480" i="16"/>
  <c r="P1479" i="16"/>
  <c r="H1479" i="16"/>
  <c r="H1478" i="16"/>
  <c r="P1478" i="16"/>
  <c r="P1477" i="16"/>
  <c r="H1477" i="16"/>
  <c r="H1476" i="16"/>
  <c r="P1476" i="16"/>
  <c r="P1475" i="16"/>
  <c r="H1475" i="16"/>
  <c r="P1474" i="16"/>
  <c r="H1474" i="16"/>
  <c r="H1473" i="16"/>
  <c r="P1473" i="16"/>
  <c r="H1472" i="16"/>
  <c r="P1472" i="16"/>
  <c r="P1471" i="16"/>
  <c r="H1471" i="16"/>
  <c r="P1470" i="16"/>
  <c r="H1470" i="16"/>
  <c r="P1469" i="16"/>
  <c r="H1469" i="16"/>
  <c r="H1468" i="16"/>
  <c r="P1468" i="16"/>
  <c r="P1467" i="16"/>
  <c r="H1467" i="16"/>
  <c r="P1466" i="16"/>
  <c r="H1466" i="16"/>
  <c r="H1465" i="16"/>
  <c r="P1465" i="16"/>
  <c r="P1464" i="16"/>
  <c r="H1464" i="16"/>
  <c r="H1463" i="16"/>
  <c r="P1463" i="16"/>
  <c r="P1462" i="16"/>
  <c r="H1462" i="16"/>
  <c r="P1461" i="16"/>
  <c r="H1461" i="16"/>
  <c r="H1460" i="16"/>
  <c r="P1460" i="16"/>
  <c r="P1459" i="16"/>
  <c r="H1459" i="16"/>
  <c r="P1458" i="16"/>
  <c r="H1458" i="16"/>
  <c r="P1457" i="16"/>
  <c r="H1457" i="16"/>
  <c r="H1456" i="16"/>
  <c r="P1456" i="16"/>
  <c r="P1455" i="16"/>
  <c r="H1455" i="16"/>
  <c r="P1454" i="16"/>
  <c r="H1454" i="16"/>
  <c r="H1453" i="16"/>
  <c r="P1453" i="16"/>
  <c r="H1452" i="16"/>
  <c r="P1452" i="16"/>
  <c r="P1451" i="16"/>
  <c r="H1451" i="16"/>
  <c r="P1450" i="16"/>
  <c r="H1450" i="16"/>
  <c r="H1449" i="16"/>
  <c r="P1449" i="16"/>
  <c r="H1448" i="16"/>
  <c r="P1448" i="16"/>
  <c r="H1447" i="16"/>
  <c r="P1447" i="16"/>
  <c r="H1446" i="16"/>
  <c r="P1446" i="16"/>
  <c r="P1445" i="16"/>
  <c r="H1445" i="16"/>
  <c r="P1444" i="16"/>
  <c r="H1444" i="16"/>
  <c r="P1443" i="16"/>
  <c r="H1443" i="16"/>
  <c r="P1442" i="16"/>
  <c r="H1442" i="16"/>
  <c r="H1441" i="16"/>
  <c r="P1441" i="16"/>
  <c r="H1440" i="16"/>
  <c r="P1440" i="16"/>
  <c r="P1439" i="16"/>
  <c r="H1439" i="16"/>
  <c r="P1438" i="16"/>
  <c r="H1438" i="16"/>
  <c r="H1437" i="16"/>
  <c r="P1437" i="16"/>
  <c r="P1436" i="16"/>
  <c r="H1436" i="16"/>
  <c r="H1435" i="16"/>
  <c r="P1435" i="16"/>
  <c r="P1434" i="16"/>
  <c r="H1434" i="16"/>
  <c r="H1433" i="16"/>
  <c r="P1433" i="16"/>
  <c r="H1432" i="16"/>
  <c r="P1432" i="16"/>
  <c r="H1431" i="16"/>
  <c r="P1431" i="16"/>
  <c r="H1430" i="16"/>
  <c r="P1430" i="16"/>
  <c r="P1429" i="16"/>
  <c r="H1429" i="16"/>
  <c r="H1428" i="16"/>
  <c r="P1428" i="16"/>
  <c r="H1427" i="16"/>
  <c r="P1427" i="16"/>
  <c r="H1426" i="16"/>
  <c r="P1426" i="16"/>
  <c r="H1425" i="16"/>
  <c r="P1425" i="16"/>
  <c r="H1424" i="16"/>
  <c r="P1424" i="16"/>
  <c r="H1423" i="16"/>
  <c r="P1423" i="16"/>
  <c r="P1422" i="16"/>
  <c r="H1422" i="16"/>
  <c r="P1421" i="16"/>
  <c r="H1421" i="16"/>
  <c r="P1420" i="16"/>
  <c r="H1420" i="16"/>
  <c r="H1419" i="16"/>
  <c r="P1419" i="16"/>
  <c r="P1418" i="16"/>
  <c r="H1418" i="16"/>
  <c r="H1417" i="16"/>
  <c r="P1417" i="16"/>
  <c r="P1416" i="16"/>
  <c r="H1416" i="16"/>
  <c r="H1415" i="16"/>
  <c r="P1415" i="16"/>
  <c r="H1414" i="16"/>
  <c r="P1414" i="16"/>
  <c r="H1413" i="16"/>
  <c r="P1413" i="16"/>
  <c r="P1412" i="16"/>
  <c r="H1412" i="16"/>
  <c r="H1411" i="16"/>
  <c r="P1411" i="16"/>
  <c r="P1410" i="16"/>
  <c r="H1410" i="16"/>
  <c r="P1409" i="16"/>
  <c r="H1409" i="16"/>
  <c r="P1408" i="16"/>
  <c r="H1408" i="16"/>
  <c r="P1407" i="16"/>
  <c r="H1407" i="16"/>
  <c r="H1406" i="16"/>
  <c r="P1406" i="16"/>
  <c r="H1405" i="16"/>
  <c r="P1405" i="16"/>
  <c r="H1404" i="16"/>
  <c r="P1404" i="16"/>
  <c r="H1403" i="16"/>
  <c r="P1403" i="16"/>
  <c r="P1402" i="16"/>
  <c r="H1402" i="16"/>
  <c r="H1401" i="16"/>
  <c r="P1401" i="16"/>
  <c r="P1400" i="16"/>
  <c r="H1400" i="16"/>
  <c r="P1399" i="16"/>
  <c r="H1399" i="16"/>
  <c r="P1398" i="16"/>
  <c r="H1398" i="16"/>
  <c r="P1397" i="16"/>
  <c r="H1397" i="16"/>
  <c r="H1396" i="16"/>
  <c r="P1396" i="16"/>
  <c r="P1395" i="16"/>
  <c r="H1395" i="16"/>
  <c r="P1394" i="16"/>
  <c r="H1394" i="16"/>
  <c r="P1393" i="16"/>
  <c r="H1393" i="16"/>
  <c r="H1392" i="16"/>
  <c r="P1392" i="16"/>
  <c r="H1391" i="16"/>
  <c r="P1391" i="16"/>
  <c r="P1390" i="16"/>
  <c r="H1390" i="16"/>
  <c r="H1389" i="16"/>
  <c r="P1389" i="16"/>
  <c r="H1388" i="16"/>
  <c r="P1388" i="16"/>
  <c r="H1387" i="16"/>
  <c r="P1387" i="16"/>
  <c r="P1386" i="16"/>
  <c r="H1386" i="16"/>
  <c r="P1385" i="16"/>
  <c r="H1385" i="16"/>
  <c r="H1384" i="16"/>
  <c r="P1384" i="16"/>
  <c r="H1383" i="16"/>
  <c r="P1383" i="16"/>
  <c r="P1382" i="16"/>
  <c r="H1382" i="16"/>
  <c r="P1381" i="16"/>
  <c r="H1381" i="16"/>
  <c r="P1380" i="16"/>
  <c r="H1380" i="16"/>
  <c r="P1379" i="16"/>
  <c r="H1379" i="16"/>
  <c r="H1378" i="16"/>
  <c r="P1378" i="16"/>
  <c r="P1377" i="16"/>
  <c r="H1377" i="16"/>
  <c r="P1376" i="16"/>
  <c r="H1376" i="16"/>
  <c r="H1375" i="16"/>
  <c r="P1375" i="16"/>
  <c r="H1374" i="16"/>
  <c r="P1374" i="16"/>
  <c r="P1373" i="16"/>
  <c r="H1373" i="16"/>
  <c r="H1372" i="16"/>
  <c r="P1372" i="16"/>
  <c r="H1371" i="16"/>
  <c r="P1371" i="16"/>
  <c r="P1370" i="16"/>
  <c r="H1370" i="16"/>
  <c r="P1369" i="16"/>
  <c r="H1369" i="16"/>
  <c r="H1368" i="16"/>
  <c r="P1368" i="16"/>
  <c r="H1367" i="16"/>
  <c r="P1367" i="16"/>
  <c r="P1366" i="16"/>
  <c r="H1366" i="16"/>
  <c r="P1365" i="16"/>
  <c r="H1365" i="16"/>
  <c r="P1364" i="16"/>
  <c r="H1364" i="16"/>
  <c r="H1363" i="16"/>
  <c r="P1363" i="16"/>
  <c r="P1362" i="16"/>
  <c r="H1362" i="16"/>
  <c r="P1361" i="16"/>
  <c r="H1361" i="16"/>
  <c r="H1360" i="16"/>
  <c r="P1360" i="16"/>
  <c r="P1359" i="16"/>
  <c r="H1359" i="16"/>
  <c r="P1358" i="16"/>
  <c r="H1358" i="16"/>
  <c r="P1357" i="16"/>
  <c r="H1357" i="16"/>
  <c r="H1356" i="16"/>
  <c r="P1356" i="16"/>
  <c r="H1355" i="16"/>
  <c r="P1355" i="16"/>
  <c r="P1354" i="16"/>
  <c r="H1354" i="16"/>
  <c r="H1353" i="16"/>
  <c r="P1353" i="16"/>
  <c r="H1352" i="16"/>
  <c r="P1352" i="16"/>
  <c r="P1351" i="16"/>
  <c r="H1351" i="16"/>
  <c r="P1350" i="16"/>
  <c r="H1350" i="16"/>
  <c r="P1349" i="16"/>
  <c r="H1349" i="16"/>
  <c r="P1348" i="16"/>
  <c r="H1348" i="16"/>
  <c r="H1347" i="16"/>
  <c r="P1347" i="16"/>
  <c r="P1346" i="16"/>
  <c r="H1346" i="16"/>
  <c r="P1345" i="16"/>
  <c r="H1345" i="16"/>
  <c r="H1344" i="16"/>
  <c r="P1344" i="16"/>
  <c r="P1343" i="16"/>
  <c r="H1343" i="16"/>
  <c r="H1342" i="16"/>
  <c r="P1342" i="16"/>
  <c r="H1341" i="16"/>
  <c r="P1341" i="16"/>
  <c r="P1340" i="16"/>
  <c r="H1340" i="16"/>
  <c r="H1339" i="16"/>
  <c r="P1339" i="16"/>
  <c r="P1338" i="16"/>
  <c r="H1338" i="16"/>
  <c r="H1337" i="16"/>
  <c r="P1337" i="16"/>
  <c r="H1336" i="16"/>
  <c r="P1336" i="16"/>
  <c r="H1335" i="16"/>
  <c r="P1335" i="16"/>
  <c r="H1334" i="16"/>
  <c r="P1334" i="16"/>
  <c r="P1333" i="16"/>
  <c r="H1333" i="16"/>
  <c r="P1332" i="16"/>
  <c r="H1332" i="16"/>
  <c r="H1331" i="16"/>
  <c r="P1331" i="16"/>
  <c r="H1330" i="16"/>
  <c r="P1330" i="16"/>
  <c r="H1329" i="16"/>
  <c r="P1329" i="16"/>
  <c r="P1328" i="16"/>
  <c r="H1328" i="16"/>
  <c r="P1327" i="16"/>
  <c r="H1327" i="16"/>
  <c r="P1326" i="16"/>
  <c r="H1326" i="16"/>
  <c r="P1325" i="16"/>
  <c r="H1325" i="16"/>
  <c r="P1324" i="16"/>
  <c r="H1324" i="16"/>
  <c r="H1323" i="16"/>
  <c r="P1323" i="16"/>
  <c r="P1322" i="16"/>
  <c r="H1322" i="16"/>
  <c r="P1321" i="16"/>
  <c r="H1321" i="16"/>
  <c r="H1320" i="16"/>
  <c r="P1320" i="16"/>
  <c r="H1319" i="16"/>
  <c r="P1319" i="16"/>
  <c r="H1318" i="16"/>
  <c r="P1318" i="16"/>
  <c r="H1317" i="16"/>
  <c r="P1317" i="16"/>
  <c r="P1316" i="16"/>
  <c r="H1316" i="16"/>
  <c r="P1315" i="16"/>
  <c r="H1315" i="16"/>
  <c r="H1314" i="16"/>
  <c r="P1314" i="16"/>
  <c r="H1313" i="16"/>
  <c r="P1313" i="16"/>
  <c r="H1312" i="16"/>
  <c r="P1312" i="16"/>
  <c r="P1311" i="16"/>
  <c r="H1311" i="16"/>
  <c r="H1310" i="16"/>
  <c r="P1310" i="16"/>
  <c r="P1309" i="16"/>
  <c r="H1309" i="16"/>
  <c r="P1308" i="16"/>
  <c r="H1308" i="16"/>
  <c r="H1307" i="16"/>
  <c r="P1307" i="16"/>
  <c r="P1306" i="16"/>
  <c r="H1306" i="16"/>
  <c r="H1305" i="16"/>
  <c r="P1305" i="16"/>
  <c r="P1304" i="16"/>
  <c r="H1304" i="16"/>
  <c r="H1303" i="16"/>
  <c r="P1303" i="16"/>
  <c r="P1302" i="16"/>
  <c r="H1302" i="16"/>
  <c r="H1301" i="16"/>
  <c r="P1301" i="16"/>
  <c r="P1300" i="16"/>
  <c r="H1300" i="16"/>
  <c r="P1299" i="16"/>
  <c r="H1299" i="16"/>
  <c r="P1298" i="16"/>
  <c r="H1298" i="16"/>
  <c r="H1297" i="16"/>
  <c r="P1297" i="16"/>
  <c r="P1296" i="16"/>
  <c r="H1296" i="16"/>
  <c r="P1295" i="16"/>
  <c r="H1295" i="16"/>
  <c r="H1294" i="16"/>
  <c r="P1294" i="16"/>
  <c r="H1293" i="16"/>
  <c r="P1293" i="16"/>
  <c r="P1292" i="16"/>
  <c r="H1292" i="16"/>
  <c r="P1291" i="16"/>
  <c r="H1291" i="16"/>
  <c r="P1290" i="16"/>
  <c r="H1290" i="16"/>
  <c r="H1289" i="16"/>
  <c r="P1289" i="16"/>
  <c r="P1288" i="16"/>
  <c r="H1288" i="16"/>
  <c r="H1287" i="16"/>
  <c r="P1287" i="16"/>
  <c r="P1286" i="16"/>
  <c r="H1286" i="16"/>
  <c r="P1285" i="16"/>
  <c r="H1285" i="16"/>
  <c r="P1284" i="16"/>
  <c r="H1284" i="16"/>
  <c r="P1283" i="16"/>
  <c r="H1283" i="16"/>
  <c r="P1282" i="16"/>
  <c r="H1282" i="16"/>
  <c r="P1281" i="16"/>
  <c r="H1281" i="16"/>
  <c r="H1280" i="16"/>
  <c r="P1280" i="16"/>
  <c r="H1279" i="16"/>
  <c r="P1279" i="16"/>
  <c r="P1278" i="16"/>
  <c r="H1278" i="16"/>
  <c r="H1277" i="16"/>
  <c r="P1277" i="16"/>
  <c r="H1276" i="16"/>
  <c r="P1276" i="16"/>
  <c r="P1275" i="16"/>
  <c r="H1275" i="16"/>
  <c r="P1274" i="16"/>
  <c r="H1274" i="16"/>
  <c r="P1273" i="16"/>
  <c r="H1273" i="16"/>
  <c r="P1272" i="16"/>
  <c r="H1272" i="16"/>
  <c r="H1271" i="16"/>
  <c r="P1271" i="16"/>
  <c r="H1270" i="16"/>
  <c r="P1270" i="16"/>
  <c r="H1269" i="16"/>
  <c r="P1269" i="16"/>
  <c r="H1268" i="16"/>
  <c r="P1268" i="16"/>
  <c r="H1267" i="16"/>
  <c r="P1267" i="16"/>
  <c r="P1266" i="16"/>
  <c r="H1266" i="16"/>
  <c r="H1265" i="16"/>
  <c r="P1265" i="16"/>
  <c r="H1264" i="16"/>
  <c r="P1264" i="16"/>
  <c r="H1263" i="16"/>
  <c r="P1263" i="16"/>
  <c r="H1262" i="16"/>
  <c r="P1262" i="16"/>
  <c r="P1261" i="16"/>
  <c r="H1261" i="16"/>
  <c r="P1260" i="16"/>
  <c r="H1260" i="16"/>
  <c r="H1259" i="16"/>
  <c r="P1259" i="16"/>
  <c r="P1258" i="16"/>
  <c r="H1258" i="16"/>
  <c r="P1257" i="16"/>
  <c r="H1257" i="16"/>
  <c r="H1256" i="16"/>
  <c r="P1256" i="16"/>
  <c r="P1255" i="16"/>
  <c r="H1255" i="16"/>
  <c r="P1254" i="16"/>
  <c r="H1254" i="16"/>
  <c r="H1253" i="16"/>
  <c r="P1253" i="16"/>
  <c r="P1252" i="16"/>
  <c r="H1252" i="16"/>
  <c r="H1251" i="16"/>
  <c r="P1251" i="16"/>
  <c r="H1250" i="16"/>
  <c r="P1250" i="16"/>
  <c r="H1249" i="16"/>
  <c r="P1249" i="16"/>
  <c r="H1248" i="16"/>
  <c r="P1248" i="16"/>
  <c r="P1247" i="16"/>
  <c r="H1247" i="16"/>
  <c r="P1246" i="16"/>
  <c r="H1246" i="16"/>
  <c r="P1245" i="16"/>
  <c r="H1245" i="16"/>
  <c r="P1244" i="16"/>
  <c r="H1244" i="16"/>
  <c r="P1243" i="16"/>
  <c r="H1243" i="16"/>
  <c r="H1242" i="16"/>
  <c r="P1242" i="16"/>
  <c r="H1241" i="16"/>
  <c r="P1241" i="16"/>
  <c r="P1240" i="16"/>
  <c r="H1240" i="16"/>
  <c r="H1239" i="16"/>
  <c r="P1239" i="16"/>
  <c r="H1238" i="16"/>
  <c r="P1238" i="16"/>
  <c r="P1237" i="16"/>
  <c r="H1237" i="16"/>
  <c r="H1236" i="16"/>
  <c r="P1236" i="16"/>
  <c r="H1235" i="16"/>
  <c r="P1235" i="16"/>
  <c r="H1234" i="16"/>
  <c r="P1234" i="16"/>
  <c r="P1233" i="16"/>
  <c r="H1233" i="16"/>
  <c r="H1232" i="16"/>
  <c r="P1232" i="16"/>
  <c r="P1231" i="16"/>
  <c r="H1231" i="16"/>
  <c r="H1230" i="16"/>
  <c r="P1230" i="16"/>
  <c r="H1229" i="16"/>
  <c r="P1229" i="16"/>
  <c r="H1228" i="16"/>
  <c r="P1228" i="16"/>
  <c r="P1227" i="16"/>
  <c r="H1227" i="16"/>
  <c r="H1226" i="16"/>
  <c r="P1226" i="16"/>
  <c r="H1225" i="16"/>
  <c r="P1225" i="16"/>
  <c r="P1224" i="16"/>
  <c r="H1224" i="16"/>
  <c r="H1223" i="16"/>
  <c r="P1223" i="16"/>
  <c r="H1222" i="16"/>
  <c r="P1222" i="16"/>
  <c r="P1221" i="16"/>
  <c r="H1221" i="16"/>
  <c r="H1220" i="16"/>
  <c r="P1220" i="16"/>
  <c r="P1219" i="16"/>
  <c r="H1219" i="16"/>
  <c r="H1218" i="16"/>
  <c r="P1218" i="16"/>
  <c r="H1217" i="16"/>
  <c r="P1217" i="16"/>
  <c r="H1216" i="16"/>
  <c r="P1216" i="16"/>
  <c r="H1215" i="16"/>
  <c r="P1215" i="16"/>
  <c r="P1214" i="16"/>
  <c r="H1214" i="16"/>
  <c r="H1213" i="16"/>
  <c r="P1213" i="16"/>
  <c r="P1212" i="16"/>
  <c r="H1212" i="16"/>
  <c r="P1211" i="16"/>
  <c r="H1211" i="16"/>
  <c r="H1210" i="16"/>
  <c r="P1210" i="16"/>
  <c r="H1209" i="16"/>
  <c r="P1209" i="16"/>
  <c r="P1208" i="16"/>
  <c r="H1208" i="16"/>
  <c r="P1207" i="16"/>
  <c r="H1207" i="16"/>
  <c r="P1206" i="16"/>
  <c r="H1206" i="16"/>
  <c r="P1205" i="16"/>
  <c r="H1205" i="16"/>
  <c r="P1204" i="16"/>
  <c r="H1204" i="16"/>
  <c r="P1203" i="16"/>
  <c r="H1203" i="16"/>
  <c r="P1202" i="16"/>
  <c r="H1202" i="16"/>
  <c r="P1201" i="16"/>
  <c r="H1201" i="16"/>
  <c r="H1200" i="16"/>
  <c r="P1200" i="16"/>
  <c r="H1199" i="16"/>
  <c r="P1199" i="16"/>
  <c r="P1198" i="16"/>
  <c r="H1198" i="16"/>
  <c r="H1197" i="16"/>
  <c r="P1197" i="16"/>
  <c r="H1196" i="16"/>
  <c r="P1196" i="16"/>
  <c r="H1195" i="16"/>
  <c r="P1195" i="16"/>
  <c r="P1194" i="16"/>
  <c r="H1194" i="16"/>
  <c r="H1193" i="16"/>
  <c r="P1193" i="16"/>
  <c r="P1192" i="16"/>
  <c r="H1192" i="16"/>
  <c r="H1191" i="16"/>
  <c r="P1191" i="16"/>
  <c r="P1190" i="16"/>
  <c r="H1190" i="16"/>
  <c r="P1189" i="16"/>
  <c r="H1189" i="16"/>
  <c r="P1188" i="16"/>
  <c r="H1188" i="16"/>
  <c r="H1187" i="16"/>
  <c r="P1187" i="16"/>
  <c r="P1186" i="16"/>
  <c r="H1186" i="16"/>
  <c r="H1185" i="16"/>
  <c r="P1185" i="16"/>
  <c r="P1184" i="16"/>
  <c r="H1184" i="16"/>
  <c r="P1183" i="16"/>
  <c r="H1183" i="16"/>
  <c r="H1182" i="16"/>
  <c r="P1182" i="16"/>
  <c r="H1181" i="16"/>
  <c r="P1181" i="16"/>
  <c r="P1180" i="16"/>
  <c r="H1180" i="16"/>
  <c r="H1179" i="16"/>
  <c r="P1179" i="16"/>
  <c r="P1178" i="16"/>
  <c r="H1178" i="16"/>
  <c r="P1177" i="16"/>
  <c r="H1177" i="16"/>
  <c r="H1176" i="16"/>
  <c r="P1176" i="16"/>
  <c r="H1175" i="16"/>
  <c r="P1175" i="16"/>
  <c r="H1174" i="16"/>
  <c r="P1174" i="16"/>
  <c r="H1173" i="16"/>
  <c r="P1173" i="16"/>
  <c r="H1172" i="16"/>
  <c r="P1172" i="16"/>
  <c r="H1171" i="16"/>
  <c r="P1171" i="16"/>
  <c r="P1170" i="16"/>
  <c r="H1170" i="16"/>
  <c r="H1169" i="16"/>
  <c r="P1169" i="16"/>
  <c r="P1168" i="16"/>
  <c r="H1168" i="16"/>
  <c r="P1167" i="16"/>
  <c r="H1167" i="16"/>
  <c r="H1166" i="16"/>
  <c r="P1166" i="16"/>
  <c r="H1165" i="16"/>
  <c r="P1165" i="16"/>
  <c r="P1164" i="16"/>
  <c r="H1164" i="16"/>
  <c r="H1163" i="16"/>
  <c r="P1163" i="16"/>
  <c r="P1162" i="16"/>
  <c r="H1162" i="16"/>
  <c r="P1161" i="16"/>
  <c r="H1161" i="16"/>
  <c r="P1160" i="16"/>
  <c r="H1160" i="16"/>
  <c r="P1159" i="16"/>
  <c r="H1159" i="16"/>
  <c r="H1158" i="16"/>
  <c r="P1158" i="16"/>
  <c r="H1157" i="16"/>
  <c r="P1157" i="16"/>
  <c r="P1156" i="16"/>
  <c r="H1156" i="16"/>
  <c r="H1155" i="16"/>
  <c r="P1155" i="16"/>
  <c r="H1154" i="16"/>
  <c r="P1154" i="16"/>
  <c r="P1153" i="16"/>
  <c r="H1153" i="16"/>
  <c r="P1152" i="16"/>
  <c r="H1152" i="16"/>
  <c r="H1151" i="16"/>
  <c r="P1151" i="16"/>
  <c r="P1150" i="16"/>
  <c r="H1150" i="16"/>
  <c r="H1149" i="16"/>
  <c r="P1149" i="16"/>
  <c r="H1148" i="16"/>
  <c r="P1148" i="16"/>
  <c r="P1147" i="16"/>
  <c r="H1147" i="16"/>
  <c r="P1146" i="16"/>
  <c r="H1146" i="16"/>
  <c r="H1145" i="16"/>
  <c r="P1145" i="16"/>
  <c r="H1144" i="16"/>
  <c r="P1144" i="16"/>
  <c r="P1143" i="16"/>
  <c r="H1143" i="16"/>
  <c r="H1142" i="16"/>
  <c r="P1142" i="16"/>
  <c r="P1141" i="16"/>
  <c r="H1141" i="16"/>
  <c r="P1140" i="16"/>
  <c r="H1140" i="16"/>
  <c r="H1139" i="16"/>
  <c r="P1139" i="16"/>
  <c r="H1138" i="16"/>
  <c r="P1138" i="16"/>
  <c r="P1137" i="16"/>
  <c r="H1137" i="16"/>
  <c r="H1136" i="16"/>
  <c r="P1136" i="16"/>
  <c r="H1135" i="16"/>
  <c r="P1135" i="16"/>
  <c r="P1134" i="16"/>
  <c r="H1134" i="16"/>
  <c r="H1133" i="16"/>
  <c r="P1133" i="16"/>
  <c r="P1132" i="16"/>
  <c r="H1132" i="16"/>
  <c r="H1131" i="16"/>
  <c r="P1131" i="16"/>
  <c r="H1130" i="16"/>
  <c r="P1130" i="16"/>
  <c r="H1129" i="16"/>
  <c r="P1129" i="16"/>
  <c r="P1128" i="16"/>
  <c r="H1128" i="16"/>
  <c r="P1127" i="16"/>
  <c r="H1127" i="16"/>
  <c r="P1126" i="16"/>
  <c r="H1126" i="16"/>
  <c r="H1125" i="16"/>
  <c r="P1125" i="16"/>
  <c r="H1124" i="16"/>
  <c r="P1124" i="16"/>
  <c r="H1123" i="16"/>
  <c r="P1123" i="16"/>
  <c r="H1122" i="16"/>
  <c r="P1122" i="16"/>
  <c r="H1121" i="16"/>
  <c r="P1121" i="16"/>
  <c r="P1120" i="16"/>
  <c r="H1120" i="16"/>
  <c r="P1119" i="16"/>
  <c r="H1119" i="16"/>
  <c r="P1118" i="16"/>
  <c r="H1118" i="16"/>
  <c r="H1117" i="16"/>
  <c r="P1117" i="16"/>
  <c r="P1116" i="16"/>
  <c r="H1116" i="16"/>
  <c r="H1115" i="16"/>
  <c r="P1115" i="16"/>
  <c r="P1114" i="16"/>
  <c r="H1114" i="16"/>
  <c r="H1113" i="16"/>
  <c r="P1113" i="16"/>
  <c r="H1112" i="16"/>
  <c r="P1112" i="16"/>
  <c r="H1111" i="16"/>
  <c r="P1111" i="16"/>
  <c r="P1110" i="16"/>
  <c r="H1110" i="16"/>
  <c r="H1109" i="16"/>
  <c r="P1109" i="16"/>
  <c r="P1108" i="16"/>
  <c r="H1108" i="16"/>
  <c r="H1107" i="16"/>
  <c r="P1107" i="16"/>
  <c r="P1106" i="16"/>
  <c r="H1106" i="16"/>
  <c r="H1105" i="16"/>
  <c r="P1105" i="16"/>
  <c r="H1104" i="16"/>
  <c r="P1104" i="16"/>
  <c r="P1103" i="16"/>
  <c r="H1103" i="16"/>
  <c r="H1102" i="16"/>
  <c r="P1102" i="16"/>
  <c r="H1101" i="16"/>
  <c r="P1101" i="16"/>
  <c r="H1100" i="16"/>
  <c r="P1100" i="16"/>
  <c r="H1099" i="16"/>
  <c r="P1099" i="16"/>
  <c r="H1098" i="16"/>
  <c r="P1098" i="16"/>
  <c r="P1097" i="16"/>
  <c r="H1097" i="16"/>
  <c r="H1096" i="16"/>
  <c r="P1096" i="16"/>
  <c r="P1095" i="16"/>
  <c r="H1095" i="16"/>
  <c r="P1094" i="16"/>
  <c r="H1094" i="16"/>
  <c r="P1093" i="16"/>
  <c r="H1093" i="16"/>
  <c r="H1092" i="16"/>
  <c r="P1092" i="16"/>
  <c r="H1091" i="16"/>
  <c r="P1091" i="16"/>
  <c r="P1090" i="16"/>
  <c r="H1090" i="16"/>
  <c r="P1089" i="16"/>
  <c r="H1089" i="16"/>
  <c r="H1088" i="16"/>
  <c r="P1088" i="16"/>
  <c r="H1087" i="16"/>
  <c r="P1087" i="16"/>
  <c r="H1086" i="16"/>
  <c r="P1086" i="16"/>
  <c r="H1085" i="16"/>
  <c r="P1085" i="16"/>
  <c r="H1084" i="16"/>
  <c r="P1084" i="16"/>
  <c r="H1083" i="16"/>
  <c r="P1083" i="16"/>
  <c r="H1082" i="16"/>
  <c r="P1082" i="16"/>
  <c r="H1081" i="16"/>
  <c r="P1081" i="16"/>
  <c r="P1080" i="16"/>
  <c r="H1080" i="16"/>
  <c r="H1079" i="16"/>
  <c r="P1079" i="16"/>
  <c r="P1078" i="16"/>
  <c r="H1078" i="16"/>
  <c r="P1077" i="16"/>
  <c r="H1077" i="16"/>
  <c r="P1076" i="16"/>
  <c r="H1076" i="16"/>
  <c r="P1075" i="16"/>
  <c r="H1075" i="16"/>
  <c r="P1074" i="16"/>
  <c r="H1074" i="16"/>
  <c r="H1073" i="16"/>
  <c r="P1073" i="16"/>
  <c r="P1072" i="16"/>
  <c r="H1072" i="16"/>
  <c r="P1071" i="16"/>
  <c r="H1071" i="16"/>
  <c r="H1070" i="16"/>
  <c r="P1070" i="16"/>
  <c r="P1069" i="16"/>
  <c r="H1069" i="16"/>
  <c r="H1068" i="16"/>
  <c r="P1068" i="16"/>
  <c r="P1067" i="16"/>
  <c r="H1067" i="16"/>
  <c r="P1066" i="16"/>
  <c r="H1066" i="16"/>
  <c r="P1065" i="16"/>
  <c r="H1065" i="16"/>
  <c r="P1064" i="16"/>
  <c r="H1064" i="16"/>
  <c r="P1063" i="16"/>
  <c r="H1063" i="16"/>
  <c r="P1062" i="16"/>
  <c r="H1062" i="16"/>
  <c r="H1061" i="16"/>
  <c r="P1061" i="16"/>
  <c r="P1060" i="16"/>
  <c r="H1060" i="16"/>
  <c r="H1059" i="16"/>
  <c r="P1059" i="16"/>
  <c r="H1058" i="16"/>
  <c r="P1058" i="16"/>
  <c r="P1057" i="16"/>
  <c r="H1057" i="16"/>
  <c r="H1056" i="16"/>
  <c r="P1056" i="16"/>
  <c r="P1055" i="16"/>
  <c r="H1055" i="16"/>
  <c r="P1054" i="16"/>
  <c r="H1054" i="16"/>
  <c r="P1053" i="16"/>
  <c r="H1053" i="16"/>
  <c r="P1052" i="16"/>
  <c r="H1052" i="16"/>
  <c r="H1051" i="16"/>
  <c r="P1051" i="16"/>
  <c r="H1050" i="16"/>
  <c r="P1050" i="16"/>
  <c r="P1049" i="16"/>
  <c r="H1049" i="16"/>
  <c r="H1048" i="16"/>
  <c r="P1048" i="16"/>
  <c r="P1047" i="16"/>
  <c r="H1047" i="16"/>
  <c r="P1046" i="16"/>
  <c r="H1046" i="16"/>
  <c r="H1045" i="16"/>
  <c r="P1045" i="16"/>
  <c r="H1044" i="16"/>
  <c r="P1044" i="16"/>
  <c r="H1043" i="16"/>
  <c r="P1043" i="16"/>
  <c r="H1042" i="16"/>
  <c r="P1042" i="16"/>
  <c r="H1041" i="16"/>
  <c r="P1041" i="16"/>
  <c r="H1040" i="16"/>
  <c r="P1040" i="16"/>
  <c r="H1039" i="16"/>
  <c r="P1039" i="16"/>
  <c r="P1038" i="16"/>
  <c r="H1038" i="16"/>
  <c r="P1037" i="16"/>
  <c r="H1037" i="16"/>
  <c r="P1036" i="16"/>
  <c r="H1036" i="16"/>
  <c r="P1035" i="16"/>
  <c r="H1035" i="16"/>
  <c r="H1034" i="16"/>
  <c r="P1034" i="16"/>
  <c r="H1033" i="16"/>
  <c r="P1033" i="16"/>
  <c r="H1032" i="16"/>
  <c r="P1032" i="16"/>
  <c r="H1031" i="16"/>
  <c r="P1031" i="16"/>
  <c r="P1030" i="16"/>
  <c r="H1030" i="16"/>
  <c r="P1029" i="16"/>
  <c r="H1029" i="16"/>
  <c r="P1028" i="16"/>
  <c r="H1028" i="16"/>
  <c r="P1027" i="16"/>
  <c r="H1027" i="16"/>
  <c r="P1026" i="16"/>
  <c r="H1026" i="16"/>
  <c r="H1025" i="16"/>
  <c r="P1025" i="16"/>
  <c r="P1024" i="16"/>
  <c r="H1024" i="16"/>
  <c r="P1023" i="16"/>
  <c r="H1023" i="16"/>
  <c r="P1022" i="16"/>
  <c r="H1022" i="16"/>
  <c r="P1021" i="16"/>
  <c r="H1021" i="16"/>
  <c r="H1020" i="16"/>
  <c r="P1020" i="16"/>
  <c r="P1019" i="16"/>
  <c r="H1019" i="16"/>
  <c r="P1018" i="16"/>
  <c r="H1018" i="16"/>
  <c r="P1017" i="16"/>
  <c r="H1017" i="16"/>
  <c r="H1016" i="16"/>
  <c r="P1016" i="16"/>
  <c r="H1015" i="16"/>
  <c r="P1015" i="16"/>
  <c r="H1014" i="16"/>
  <c r="P1014" i="16"/>
  <c r="P1013" i="16"/>
  <c r="H1013" i="16"/>
  <c r="P1012" i="16"/>
  <c r="H1012" i="16"/>
  <c r="P1011" i="16"/>
  <c r="H1011" i="16"/>
  <c r="P1010" i="16"/>
  <c r="H1010" i="16"/>
  <c r="P1009" i="16"/>
  <c r="H1009" i="16"/>
  <c r="H1008" i="16"/>
  <c r="P1008" i="16"/>
  <c r="H1007" i="16"/>
  <c r="P1007" i="16"/>
  <c r="P1006" i="16"/>
  <c r="H1006" i="16"/>
  <c r="P1005" i="16"/>
  <c r="H1005" i="16"/>
  <c r="H1004" i="16"/>
  <c r="P1004" i="16"/>
  <c r="P1003" i="16"/>
  <c r="H1003" i="16"/>
  <c r="P1002" i="16"/>
  <c r="H1002" i="16"/>
  <c r="H1001" i="16"/>
  <c r="P1001" i="16"/>
  <c r="H1000" i="16"/>
  <c r="P1000" i="16"/>
  <c r="H999" i="16"/>
  <c r="P999" i="16"/>
  <c r="P998" i="16"/>
  <c r="H998" i="16"/>
  <c r="H997" i="16"/>
  <c r="P997" i="16"/>
  <c r="H996" i="16"/>
  <c r="P996" i="16"/>
  <c r="P995" i="16"/>
  <c r="H995" i="16"/>
  <c r="H994" i="16"/>
  <c r="P994" i="16"/>
  <c r="H993" i="16"/>
  <c r="P993" i="16"/>
  <c r="P992" i="16"/>
  <c r="H992" i="16"/>
  <c r="P991" i="16"/>
  <c r="H991" i="16"/>
  <c r="P990" i="16"/>
  <c r="H990" i="16"/>
  <c r="H989" i="16"/>
  <c r="P989" i="16"/>
  <c r="H988" i="16"/>
  <c r="P988" i="16"/>
  <c r="P987" i="16"/>
  <c r="H987" i="16"/>
  <c r="H986" i="16"/>
  <c r="P986" i="16"/>
  <c r="P985" i="16"/>
  <c r="H985" i="16"/>
  <c r="H984" i="16"/>
  <c r="P984" i="16"/>
  <c r="H983" i="16"/>
  <c r="P983" i="16"/>
  <c r="H982" i="16"/>
  <c r="P982" i="16"/>
  <c r="H981" i="16"/>
  <c r="P981" i="16"/>
  <c r="P980" i="16"/>
  <c r="H980" i="16"/>
  <c r="H979" i="16"/>
  <c r="P979" i="16"/>
  <c r="H978" i="16"/>
  <c r="P978" i="16"/>
  <c r="P977" i="16"/>
  <c r="H977" i="16"/>
  <c r="H976" i="16"/>
  <c r="P976" i="16"/>
  <c r="P975" i="16"/>
  <c r="H975" i="16"/>
  <c r="H974" i="16"/>
  <c r="P974" i="16"/>
  <c r="P973" i="16"/>
  <c r="H973" i="16"/>
  <c r="P972" i="16"/>
  <c r="H972" i="16"/>
  <c r="P971" i="16"/>
  <c r="H971" i="16"/>
  <c r="H970" i="16"/>
  <c r="P970" i="16"/>
  <c r="H969" i="16"/>
  <c r="P969" i="16"/>
  <c r="P968" i="16"/>
  <c r="H968" i="16"/>
  <c r="H967" i="16"/>
  <c r="P967" i="16"/>
  <c r="P966" i="16"/>
  <c r="H966" i="16"/>
  <c r="H965" i="16"/>
  <c r="P965" i="16"/>
  <c r="H964" i="16"/>
  <c r="P964" i="16"/>
  <c r="P963" i="16"/>
  <c r="H963" i="16"/>
  <c r="P962" i="16"/>
  <c r="H962" i="16"/>
  <c r="H961" i="16"/>
  <c r="P961" i="16"/>
  <c r="P960" i="16"/>
  <c r="H960" i="16"/>
  <c r="H959" i="16"/>
  <c r="P959" i="16"/>
  <c r="P958" i="16"/>
  <c r="H958" i="16"/>
  <c r="H957" i="16"/>
  <c r="P957" i="16"/>
  <c r="H956" i="16"/>
  <c r="P956" i="16"/>
  <c r="P955" i="16"/>
  <c r="H955" i="16"/>
  <c r="P954" i="16"/>
  <c r="H954" i="16"/>
  <c r="P953" i="16"/>
  <c r="H953" i="16"/>
  <c r="H952" i="16"/>
  <c r="P952" i="16"/>
  <c r="H951" i="16"/>
  <c r="P951" i="16"/>
  <c r="P950" i="16"/>
  <c r="H950" i="16"/>
  <c r="H949" i="16"/>
  <c r="P949" i="16"/>
  <c r="P948" i="16"/>
  <c r="H948" i="16"/>
  <c r="H947" i="16"/>
  <c r="P947" i="16"/>
  <c r="P946" i="16"/>
  <c r="H946" i="16"/>
  <c r="P945" i="16"/>
  <c r="H945" i="16"/>
  <c r="H944" i="16"/>
  <c r="P944" i="16"/>
  <c r="H943" i="16"/>
  <c r="P943" i="16"/>
  <c r="P942" i="16"/>
  <c r="H942" i="16"/>
  <c r="P941" i="16"/>
  <c r="H941" i="16"/>
  <c r="H940" i="16"/>
  <c r="P940" i="16"/>
  <c r="H939" i="16"/>
  <c r="P939" i="16"/>
  <c r="P938" i="16"/>
  <c r="H938" i="16"/>
  <c r="H937" i="16"/>
  <c r="P937" i="16"/>
  <c r="H936" i="16"/>
  <c r="P936" i="16"/>
  <c r="P935" i="16"/>
  <c r="H935" i="16"/>
  <c r="P934" i="16"/>
  <c r="H934" i="16"/>
  <c r="P933" i="16"/>
  <c r="H933" i="16"/>
  <c r="H932" i="16"/>
  <c r="P932" i="16"/>
  <c r="P931" i="16"/>
  <c r="H931" i="16"/>
  <c r="H930" i="16"/>
  <c r="P930" i="16"/>
  <c r="P929" i="16"/>
  <c r="H929" i="16"/>
  <c r="P928" i="16"/>
  <c r="H928" i="16"/>
  <c r="H927" i="16"/>
  <c r="P927" i="16"/>
  <c r="P926" i="16"/>
  <c r="H926" i="16"/>
  <c r="P925" i="16"/>
  <c r="H925" i="16"/>
  <c r="H924" i="16"/>
  <c r="P924" i="16"/>
  <c r="H923" i="16"/>
  <c r="P923" i="16"/>
  <c r="P922" i="16"/>
  <c r="H922" i="16"/>
  <c r="H921" i="16"/>
  <c r="P921" i="16"/>
  <c r="P920" i="16"/>
  <c r="H920" i="16"/>
  <c r="P919" i="16"/>
  <c r="H919" i="16"/>
  <c r="H918" i="16"/>
  <c r="P918" i="16"/>
  <c r="H917" i="16"/>
  <c r="P917" i="16"/>
  <c r="H916" i="16"/>
  <c r="P916" i="16"/>
  <c r="H915" i="16"/>
  <c r="P915" i="16"/>
  <c r="P914" i="16"/>
  <c r="H914" i="16"/>
  <c r="H913" i="16"/>
  <c r="P913" i="16"/>
  <c r="P912" i="16"/>
  <c r="H912" i="16"/>
  <c r="P911" i="16"/>
  <c r="H911" i="16"/>
  <c r="P910" i="16"/>
  <c r="H910" i="16"/>
  <c r="P909" i="16"/>
  <c r="H909" i="16"/>
  <c r="P908" i="16"/>
  <c r="H908" i="16"/>
  <c r="H907" i="16"/>
  <c r="P907" i="16"/>
  <c r="H906" i="16"/>
  <c r="P906" i="16"/>
  <c r="H905" i="16"/>
  <c r="P905" i="16"/>
  <c r="H904" i="16"/>
  <c r="P904" i="16"/>
  <c r="P903" i="16"/>
  <c r="H903" i="16"/>
  <c r="P902" i="16"/>
  <c r="H902" i="16"/>
  <c r="P901" i="16"/>
  <c r="H901" i="16"/>
  <c r="H900" i="16"/>
  <c r="P900" i="16"/>
  <c r="H899" i="16"/>
  <c r="P899" i="16"/>
  <c r="H898" i="16"/>
  <c r="P898" i="16"/>
  <c r="H897" i="16"/>
  <c r="P897" i="16"/>
  <c r="H896" i="16"/>
  <c r="P896" i="16"/>
  <c r="H895" i="16"/>
  <c r="P895" i="16"/>
  <c r="P894" i="16"/>
  <c r="H894" i="16"/>
  <c r="H893" i="16"/>
  <c r="P893" i="16"/>
  <c r="H892" i="16"/>
  <c r="P892" i="16"/>
  <c r="H891" i="16"/>
  <c r="P891" i="16"/>
  <c r="H890" i="16"/>
  <c r="P890" i="16"/>
  <c r="P889" i="16"/>
  <c r="H889" i="16"/>
  <c r="H888" i="16"/>
  <c r="P888" i="16"/>
  <c r="H887" i="16"/>
  <c r="P887" i="16"/>
  <c r="P886" i="16"/>
  <c r="H886" i="16"/>
  <c r="P885" i="16"/>
  <c r="H885" i="16"/>
  <c r="P884" i="16"/>
  <c r="H884" i="16"/>
  <c r="P883" i="16"/>
  <c r="H883" i="16"/>
  <c r="P882" i="16"/>
  <c r="H882" i="16"/>
  <c r="H881" i="16"/>
  <c r="P881" i="16"/>
  <c r="P880" i="16"/>
  <c r="H880" i="16"/>
  <c r="P879" i="16"/>
  <c r="H879" i="16"/>
  <c r="P878" i="16"/>
  <c r="H878" i="16"/>
  <c r="H877" i="16"/>
  <c r="P877" i="16"/>
  <c r="P876" i="16"/>
  <c r="H876" i="16"/>
  <c r="P875" i="16"/>
  <c r="H875" i="16"/>
  <c r="H874" i="16"/>
  <c r="P874" i="16"/>
  <c r="H873" i="16"/>
  <c r="P873" i="16"/>
  <c r="H872" i="16"/>
  <c r="P872" i="16"/>
  <c r="H871" i="16"/>
  <c r="P871" i="16"/>
  <c r="P870" i="16"/>
  <c r="H870" i="16"/>
  <c r="P869" i="16"/>
  <c r="H869" i="16"/>
  <c r="H868" i="16"/>
  <c r="P868" i="16"/>
  <c r="H867" i="16"/>
  <c r="P867" i="16"/>
  <c r="P866" i="16"/>
  <c r="H866" i="16"/>
  <c r="P865" i="16"/>
  <c r="H865" i="16"/>
  <c r="H864" i="16"/>
  <c r="P864" i="16"/>
  <c r="P863" i="16"/>
  <c r="H863" i="16"/>
  <c r="P862" i="16"/>
  <c r="H862" i="16"/>
  <c r="H861" i="16"/>
  <c r="P861" i="16"/>
  <c r="H860" i="16"/>
  <c r="P860" i="16"/>
  <c r="H859" i="16"/>
  <c r="P859" i="16"/>
  <c r="P858" i="16"/>
  <c r="H858" i="16"/>
  <c r="P857" i="16"/>
  <c r="H857" i="16"/>
  <c r="H856" i="16"/>
  <c r="P856" i="16"/>
  <c r="H855" i="16"/>
  <c r="P855" i="16"/>
  <c r="P854" i="16"/>
  <c r="H854" i="16"/>
  <c r="H853" i="16"/>
  <c r="P853" i="16"/>
  <c r="P852" i="16"/>
  <c r="H852" i="16"/>
  <c r="P851" i="16"/>
  <c r="H851" i="16"/>
  <c r="H850" i="16"/>
  <c r="P850" i="16"/>
  <c r="P849" i="16"/>
  <c r="H849" i="16"/>
  <c r="P848" i="16"/>
  <c r="H848" i="16"/>
  <c r="H847" i="16"/>
  <c r="P847" i="16"/>
  <c r="P846" i="16"/>
  <c r="H846" i="16"/>
  <c r="H845" i="16"/>
  <c r="P845" i="16"/>
  <c r="H844" i="16"/>
  <c r="P844" i="16"/>
  <c r="P843" i="16"/>
  <c r="H843" i="16"/>
  <c r="P842" i="16"/>
  <c r="H842" i="16"/>
  <c r="H841" i="16"/>
  <c r="P841" i="16"/>
  <c r="H840" i="16"/>
  <c r="P840" i="16"/>
  <c r="P839" i="16"/>
  <c r="H839" i="16"/>
  <c r="H838" i="16"/>
  <c r="P838" i="16"/>
  <c r="P837" i="16"/>
  <c r="H837" i="16"/>
  <c r="H836" i="16"/>
  <c r="P836" i="16"/>
  <c r="P835" i="16"/>
  <c r="H835" i="16"/>
  <c r="P834" i="16"/>
  <c r="H834" i="16"/>
  <c r="H833" i="16"/>
  <c r="P833" i="16"/>
  <c r="H832" i="16"/>
  <c r="P832" i="16"/>
  <c r="H831" i="16"/>
  <c r="P831" i="16"/>
  <c r="H830" i="16"/>
  <c r="P830" i="16"/>
  <c r="P829" i="16"/>
  <c r="H829" i="16"/>
  <c r="H828" i="16"/>
  <c r="P828" i="16"/>
  <c r="P827" i="16"/>
  <c r="H827" i="16"/>
  <c r="P826" i="16"/>
  <c r="H826" i="16"/>
  <c r="H825" i="16"/>
  <c r="P825" i="16"/>
  <c r="H824" i="16"/>
  <c r="P824" i="16"/>
  <c r="H823" i="16"/>
  <c r="P823" i="16"/>
  <c r="H822" i="16"/>
  <c r="P822" i="16"/>
  <c r="P821" i="16"/>
  <c r="H821" i="16"/>
  <c r="P820" i="16"/>
  <c r="H820" i="16"/>
  <c r="P819" i="16"/>
  <c r="H819" i="16"/>
  <c r="P818" i="16"/>
  <c r="H818" i="16"/>
  <c r="P817" i="16"/>
  <c r="H817" i="16"/>
  <c r="P816" i="16"/>
  <c r="H816" i="16"/>
  <c r="P815" i="16"/>
  <c r="H815" i="16"/>
  <c r="H814" i="16"/>
  <c r="P814" i="16"/>
  <c r="P813" i="16"/>
  <c r="H813" i="16"/>
  <c r="P812" i="16"/>
  <c r="H812" i="16"/>
  <c r="P811" i="16"/>
  <c r="H811" i="16"/>
  <c r="P810" i="16"/>
  <c r="H810" i="16"/>
  <c r="P809" i="16"/>
  <c r="H809" i="16"/>
  <c r="H808" i="16"/>
  <c r="P808" i="16"/>
  <c r="H807" i="16"/>
  <c r="P807" i="16"/>
  <c r="P806" i="16"/>
  <c r="H806" i="16"/>
  <c r="H805" i="16"/>
  <c r="P805" i="16"/>
  <c r="H804" i="16"/>
  <c r="P804" i="16"/>
  <c r="H803" i="16"/>
  <c r="P803" i="16"/>
  <c r="P802" i="16"/>
  <c r="H802" i="16"/>
  <c r="H801" i="16"/>
  <c r="P801" i="16"/>
  <c r="H800" i="16"/>
  <c r="P800" i="16"/>
  <c r="H799" i="16"/>
  <c r="P799" i="16"/>
  <c r="P798" i="16"/>
  <c r="H798" i="16"/>
  <c r="H797" i="16"/>
  <c r="P797" i="16"/>
  <c r="P796" i="16"/>
  <c r="H796" i="16"/>
  <c r="P795" i="16"/>
  <c r="H795" i="16"/>
  <c r="P794" i="16"/>
  <c r="H794" i="16"/>
  <c r="P793" i="16"/>
  <c r="H793" i="16"/>
  <c r="P792" i="16"/>
  <c r="H792" i="16"/>
  <c r="H791" i="16"/>
  <c r="P791" i="16"/>
  <c r="H790" i="16"/>
  <c r="P790" i="16"/>
  <c r="P789" i="16"/>
  <c r="H789" i="16"/>
  <c r="P788" i="16"/>
  <c r="H788" i="16"/>
  <c r="H787" i="16"/>
  <c r="P787" i="16"/>
  <c r="P786" i="16"/>
  <c r="H786" i="16"/>
  <c r="P785" i="16"/>
  <c r="H785" i="16"/>
  <c r="H784" i="16"/>
  <c r="P784" i="16"/>
  <c r="P783" i="16"/>
  <c r="H783" i="16"/>
  <c r="H782" i="16"/>
  <c r="P782" i="16"/>
  <c r="H781" i="16"/>
  <c r="P781" i="16"/>
  <c r="P780" i="16"/>
  <c r="H780" i="16"/>
  <c r="P779" i="16"/>
  <c r="H779" i="16"/>
  <c r="P778" i="16"/>
  <c r="H778" i="16"/>
  <c r="P777" i="16"/>
  <c r="H777" i="16"/>
  <c r="H776" i="16"/>
  <c r="P776" i="16"/>
  <c r="H775" i="16"/>
  <c r="P775" i="16"/>
  <c r="H774" i="16"/>
  <c r="P774" i="16"/>
  <c r="H773" i="16"/>
  <c r="P773" i="16"/>
  <c r="P772" i="16"/>
  <c r="H772" i="16"/>
  <c r="P771" i="16"/>
  <c r="H771" i="16"/>
  <c r="P770" i="16"/>
  <c r="H770" i="16"/>
  <c r="H769" i="16"/>
  <c r="P769" i="16"/>
  <c r="P768" i="16"/>
  <c r="H768" i="16"/>
  <c r="H767" i="16"/>
  <c r="P767" i="16"/>
  <c r="P766" i="16"/>
  <c r="H766" i="16"/>
  <c r="H765" i="16"/>
  <c r="P765" i="16"/>
  <c r="H764" i="16"/>
  <c r="P764" i="16"/>
  <c r="H763" i="16"/>
  <c r="P763" i="16"/>
  <c r="P762" i="16"/>
  <c r="H762" i="16"/>
  <c r="H761" i="16"/>
  <c r="P761" i="16"/>
  <c r="P760" i="16"/>
  <c r="H760" i="16"/>
  <c r="P759" i="16"/>
  <c r="H759" i="16"/>
  <c r="P758" i="16"/>
  <c r="H758" i="16"/>
  <c r="H757" i="16"/>
  <c r="P757" i="16"/>
  <c r="H756" i="16"/>
  <c r="P756" i="16"/>
  <c r="P755" i="16"/>
  <c r="H755" i="16"/>
  <c r="H754" i="16"/>
  <c r="P754" i="16"/>
  <c r="P753" i="16"/>
  <c r="H753" i="16"/>
  <c r="H752" i="16"/>
  <c r="P752" i="16"/>
  <c r="H751" i="16"/>
  <c r="P751" i="16"/>
  <c r="P750" i="16"/>
  <c r="H750" i="16"/>
  <c r="H749" i="16"/>
  <c r="P749" i="16"/>
  <c r="H748" i="16"/>
  <c r="P748" i="16"/>
  <c r="H747" i="16"/>
  <c r="P747" i="16"/>
  <c r="P746" i="16"/>
  <c r="H746" i="16"/>
  <c r="P745" i="16"/>
  <c r="H745" i="16"/>
  <c r="H744" i="16"/>
  <c r="P744" i="16"/>
  <c r="P743" i="16"/>
  <c r="H743" i="16"/>
  <c r="H742" i="16"/>
  <c r="P742" i="16"/>
  <c r="H741" i="16"/>
  <c r="P741" i="16"/>
  <c r="H740" i="16"/>
  <c r="P740" i="16"/>
  <c r="P739" i="16"/>
  <c r="H739" i="16"/>
  <c r="P738" i="16"/>
  <c r="H738" i="16"/>
  <c r="P737" i="16"/>
  <c r="H737" i="16"/>
  <c r="P736" i="16"/>
  <c r="H736" i="16"/>
  <c r="H735" i="16"/>
  <c r="P735" i="16"/>
  <c r="H734" i="16"/>
  <c r="P734" i="16"/>
  <c r="P733" i="16"/>
  <c r="H733" i="16"/>
  <c r="H732" i="16"/>
  <c r="P732" i="16"/>
  <c r="H731" i="16"/>
  <c r="P731" i="16"/>
  <c r="P730" i="16"/>
  <c r="H730" i="16"/>
  <c r="P729" i="16"/>
  <c r="H729" i="16"/>
  <c r="H728" i="16"/>
  <c r="P728" i="16"/>
  <c r="H727" i="16"/>
  <c r="P727" i="16"/>
  <c r="P726" i="16"/>
  <c r="H726" i="16"/>
  <c r="P725" i="16"/>
  <c r="H725" i="16"/>
  <c r="P724" i="16"/>
  <c r="H724" i="16"/>
  <c r="H723" i="16"/>
  <c r="P723" i="16"/>
  <c r="H722" i="16"/>
  <c r="P722" i="16"/>
  <c r="H721" i="16"/>
  <c r="P721" i="16"/>
  <c r="H720" i="16"/>
  <c r="P720" i="16"/>
  <c r="H719" i="16"/>
  <c r="P719" i="16"/>
  <c r="P718" i="16"/>
  <c r="H718" i="16"/>
  <c r="P717" i="16"/>
  <c r="H717" i="16"/>
  <c r="H716" i="16"/>
  <c r="P716" i="16"/>
  <c r="H715" i="16"/>
  <c r="P715" i="16"/>
  <c r="P714" i="16"/>
  <c r="H714" i="16"/>
  <c r="H713" i="16"/>
  <c r="P713" i="16"/>
  <c r="P712" i="16"/>
  <c r="H712" i="16"/>
  <c r="H711" i="16"/>
  <c r="P711" i="16"/>
  <c r="P710" i="16"/>
  <c r="H710" i="16"/>
  <c r="H709" i="16"/>
  <c r="P709" i="16"/>
  <c r="P708" i="16"/>
  <c r="H708" i="16"/>
  <c r="P707" i="16"/>
  <c r="H707" i="16"/>
  <c r="H706" i="16"/>
  <c r="P706" i="16"/>
  <c r="P705" i="16"/>
  <c r="H705" i="16"/>
  <c r="P704" i="16"/>
  <c r="H704" i="16"/>
  <c r="H703" i="16"/>
  <c r="P703" i="16"/>
  <c r="P702" i="16"/>
  <c r="H702" i="16"/>
  <c r="H701" i="16"/>
  <c r="P701" i="16"/>
  <c r="H700" i="16"/>
  <c r="P700" i="16"/>
  <c r="P699" i="16"/>
  <c r="H699" i="16"/>
  <c r="P698" i="16"/>
  <c r="H698" i="16"/>
  <c r="H697" i="16"/>
  <c r="P697" i="16"/>
  <c r="H696" i="16"/>
  <c r="P696" i="16"/>
  <c r="H695" i="16"/>
  <c r="P695" i="16"/>
  <c r="P694" i="16"/>
  <c r="H694" i="16"/>
  <c r="P693" i="16"/>
  <c r="H693" i="16"/>
  <c r="P692" i="16"/>
  <c r="H692" i="16"/>
  <c r="P691" i="16"/>
  <c r="H691" i="16"/>
  <c r="H690" i="16"/>
  <c r="P690" i="16"/>
  <c r="H689" i="16"/>
  <c r="P689" i="16"/>
  <c r="P688" i="16"/>
  <c r="H688" i="16"/>
  <c r="H687" i="16"/>
  <c r="P687" i="16"/>
  <c r="P686" i="16"/>
  <c r="H686" i="16"/>
  <c r="P685" i="16"/>
  <c r="H685" i="16"/>
  <c r="P684" i="16"/>
  <c r="H684" i="16"/>
  <c r="P683" i="16"/>
  <c r="H683" i="16"/>
  <c r="P682" i="16"/>
  <c r="H682" i="16"/>
  <c r="H681" i="16"/>
  <c r="P681" i="16"/>
  <c r="H680" i="16"/>
  <c r="P680" i="16"/>
  <c r="H679" i="16"/>
  <c r="P679" i="16"/>
  <c r="P678" i="16"/>
  <c r="H678" i="16"/>
  <c r="H677" i="16"/>
  <c r="P677" i="16"/>
  <c r="H676" i="16"/>
  <c r="P676" i="16"/>
  <c r="H675" i="16"/>
  <c r="P675" i="16"/>
  <c r="H674" i="16"/>
  <c r="P674" i="16"/>
  <c r="H673" i="16"/>
  <c r="P673" i="16"/>
  <c r="H672" i="16"/>
  <c r="P672" i="16"/>
  <c r="H671" i="16"/>
  <c r="P671" i="16"/>
  <c r="H670" i="16"/>
  <c r="P670" i="16"/>
  <c r="P669" i="16"/>
  <c r="H669" i="16"/>
  <c r="P668" i="16"/>
  <c r="H668" i="16"/>
  <c r="P667" i="16"/>
  <c r="H667" i="16"/>
  <c r="H666" i="16"/>
  <c r="P666" i="16"/>
  <c r="H665" i="16"/>
  <c r="P665" i="16"/>
  <c r="P664" i="16"/>
  <c r="H664" i="16"/>
  <c r="H663" i="16"/>
  <c r="P663" i="16"/>
  <c r="P662" i="16"/>
  <c r="H662" i="16"/>
  <c r="P661" i="16"/>
  <c r="H661" i="16"/>
  <c r="H660" i="16"/>
  <c r="P660" i="16"/>
  <c r="P659" i="16"/>
  <c r="H659" i="16"/>
  <c r="P658" i="16"/>
  <c r="H658" i="16"/>
  <c r="P657" i="16"/>
  <c r="H657" i="16"/>
  <c r="P656" i="16"/>
  <c r="H656" i="16"/>
  <c r="P655" i="16"/>
  <c r="H655" i="16"/>
  <c r="P654" i="16"/>
  <c r="H654" i="16"/>
  <c r="H653" i="16"/>
  <c r="P653" i="16"/>
  <c r="H652" i="16"/>
  <c r="P652" i="16"/>
  <c r="H651" i="16"/>
  <c r="P651" i="16"/>
  <c r="P650" i="16"/>
  <c r="H650" i="16"/>
  <c r="P649" i="16"/>
  <c r="H649" i="16"/>
  <c r="H648" i="16"/>
  <c r="P648" i="16"/>
  <c r="P647" i="16"/>
  <c r="H647" i="16"/>
  <c r="P646" i="16"/>
  <c r="H646" i="16"/>
  <c r="P645" i="16"/>
  <c r="H645" i="16"/>
  <c r="P644" i="16"/>
  <c r="H644" i="16"/>
  <c r="H643" i="16"/>
  <c r="P643" i="16"/>
  <c r="P642" i="16"/>
  <c r="H642" i="16"/>
  <c r="P641" i="16"/>
  <c r="H641" i="16"/>
  <c r="H640" i="16"/>
  <c r="P640" i="16"/>
  <c r="P639" i="16"/>
  <c r="H639" i="16"/>
  <c r="H638" i="16"/>
  <c r="P638" i="16"/>
  <c r="H637" i="16"/>
  <c r="P637" i="16"/>
  <c r="H636" i="16"/>
  <c r="P636" i="16"/>
  <c r="P635" i="16"/>
  <c r="H635" i="16"/>
  <c r="H634" i="16"/>
  <c r="P634" i="16"/>
  <c r="P633" i="16"/>
  <c r="H633" i="16"/>
  <c r="H632" i="16"/>
  <c r="P632" i="16"/>
  <c r="H631" i="16"/>
  <c r="P631" i="16"/>
  <c r="P630" i="16"/>
  <c r="H630" i="16"/>
  <c r="H629" i="16"/>
  <c r="P629" i="16"/>
  <c r="H628" i="16"/>
  <c r="P628" i="16"/>
  <c r="H627" i="16"/>
  <c r="P627" i="16"/>
  <c r="H626" i="16"/>
  <c r="P626" i="16"/>
  <c r="H625" i="16"/>
  <c r="P625" i="16"/>
  <c r="H624" i="16"/>
  <c r="P624" i="16"/>
  <c r="H623" i="16"/>
  <c r="P623" i="16"/>
  <c r="P622" i="16"/>
  <c r="H622" i="16"/>
  <c r="P621" i="16"/>
  <c r="H621" i="16"/>
  <c r="P620" i="16"/>
  <c r="H620" i="16"/>
  <c r="P619" i="16"/>
  <c r="H619" i="16"/>
  <c r="H618" i="16"/>
  <c r="P618" i="16"/>
  <c r="H617" i="16"/>
  <c r="P617" i="16"/>
  <c r="P616" i="16"/>
  <c r="H616" i="16"/>
  <c r="H615" i="16"/>
  <c r="P615" i="16"/>
  <c r="P614" i="16"/>
  <c r="H614" i="16"/>
  <c r="H613" i="16"/>
  <c r="P613" i="16"/>
  <c r="P612" i="16"/>
  <c r="H612" i="16"/>
  <c r="H611" i="16"/>
  <c r="P611" i="16"/>
  <c r="H610" i="16"/>
  <c r="P610" i="16"/>
  <c r="H609" i="16"/>
  <c r="P609" i="16"/>
  <c r="P608" i="16"/>
  <c r="H608" i="16"/>
  <c r="H607" i="16"/>
  <c r="P607" i="16"/>
  <c r="P606" i="16"/>
  <c r="H606" i="16"/>
  <c r="H605" i="16"/>
  <c r="P605" i="16"/>
  <c r="H604" i="16"/>
  <c r="P604" i="16"/>
  <c r="H603" i="16"/>
  <c r="P603" i="16"/>
  <c r="H602" i="16"/>
  <c r="P602" i="16"/>
  <c r="P601" i="16"/>
  <c r="H601" i="16"/>
  <c r="H600" i="16"/>
  <c r="P600" i="16"/>
  <c r="P599" i="16"/>
  <c r="H599" i="16"/>
  <c r="P598" i="16"/>
  <c r="H598" i="16"/>
  <c r="P597" i="16"/>
  <c r="H597" i="16"/>
  <c r="H596" i="16"/>
  <c r="P596" i="16"/>
  <c r="H595" i="16"/>
  <c r="P595" i="16"/>
  <c r="P594" i="16"/>
  <c r="H594" i="16"/>
  <c r="H593" i="16"/>
  <c r="P593" i="16"/>
  <c r="P592" i="16"/>
  <c r="H592" i="16"/>
  <c r="P591" i="16"/>
  <c r="H591" i="16"/>
  <c r="H590" i="16"/>
  <c r="P590" i="16"/>
  <c r="H589" i="16"/>
  <c r="P589" i="16"/>
  <c r="H588" i="16"/>
  <c r="P588" i="16"/>
  <c r="H587" i="16"/>
  <c r="P587" i="16"/>
  <c r="H586" i="16"/>
  <c r="P586" i="16"/>
  <c r="P585" i="16"/>
  <c r="H585" i="16"/>
  <c r="P584" i="16"/>
  <c r="H584" i="16"/>
  <c r="P583" i="16"/>
  <c r="H583" i="16"/>
  <c r="P582" i="16"/>
  <c r="H582" i="16"/>
  <c r="P581" i="16"/>
  <c r="H581" i="16"/>
  <c r="H580" i="16"/>
  <c r="P580" i="16"/>
  <c r="P579" i="16"/>
  <c r="H579" i="16"/>
  <c r="P578" i="16"/>
  <c r="H578" i="16"/>
  <c r="P577" i="16"/>
  <c r="H577" i="16"/>
  <c r="P576" i="16"/>
  <c r="H576" i="16"/>
  <c r="P575" i="16"/>
  <c r="H575" i="16"/>
  <c r="P574" i="16"/>
  <c r="H574" i="16"/>
  <c r="P573" i="16"/>
  <c r="H573" i="16"/>
  <c r="P572" i="16"/>
  <c r="H572" i="16"/>
  <c r="H571" i="16"/>
  <c r="P571" i="16"/>
  <c r="H570" i="16"/>
  <c r="P570" i="16"/>
  <c r="H569" i="16"/>
  <c r="P569" i="16"/>
  <c r="P568" i="16"/>
  <c r="H568" i="16"/>
  <c r="H567" i="16"/>
  <c r="P567" i="16"/>
  <c r="H566" i="16"/>
  <c r="P566" i="16"/>
  <c r="H565" i="16"/>
  <c r="P565" i="16"/>
  <c r="P564" i="16"/>
  <c r="H564" i="16"/>
  <c r="P563" i="16"/>
  <c r="H563" i="16"/>
  <c r="H562" i="16"/>
  <c r="P562" i="16"/>
  <c r="H561" i="16"/>
  <c r="P561" i="16"/>
  <c r="H560" i="16"/>
  <c r="P560" i="16"/>
  <c r="H559" i="16"/>
  <c r="P559" i="16"/>
  <c r="H558" i="16"/>
  <c r="P558" i="16"/>
  <c r="P557" i="16"/>
  <c r="H557" i="16"/>
  <c r="P556" i="16"/>
  <c r="H556" i="16"/>
  <c r="P555" i="16"/>
  <c r="H555" i="16"/>
  <c r="P554" i="16"/>
  <c r="H554" i="16"/>
  <c r="H553" i="16"/>
  <c r="P553" i="16"/>
  <c r="P552" i="16"/>
  <c r="H552" i="16"/>
  <c r="H551" i="16"/>
  <c r="P551" i="16"/>
  <c r="H550" i="16"/>
  <c r="P550" i="16"/>
  <c r="H549" i="16"/>
  <c r="P549" i="16"/>
  <c r="H548" i="16"/>
  <c r="P548" i="16"/>
  <c r="H547" i="16"/>
  <c r="P547" i="16"/>
  <c r="P546" i="16"/>
  <c r="H546" i="16"/>
  <c r="H545" i="16"/>
  <c r="P545" i="16"/>
  <c r="P544" i="16"/>
  <c r="H544" i="16"/>
  <c r="P543" i="16"/>
  <c r="H543" i="16"/>
  <c r="H542" i="16"/>
  <c r="P542" i="16"/>
  <c r="P541" i="16"/>
  <c r="H541" i="16"/>
  <c r="H540" i="16"/>
  <c r="P540" i="16"/>
  <c r="H539" i="16"/>
  <c r="P539" i="16"/>
  <c r="H538" i="16"/>
  <c r="P538" i="16"/>
  <c r="H537" i="16"/>
  <c r="P537" i="16"/>
  <c r="H536" i="16"/>
  <c r="P536" i="16"/>
  <c r="H535" i="16"/>
  <c r="P535" i="16"/>
  <c r="H534" i="16"/>
  <c r="P534" i="16"/>
  <c r="H533" i="16"/>
  <c r="P533" i="16"/>
  <c r="P532" i="16"/>
  <c r="H532" i="16"/>
  <c r="H531" i="16"/>
  <c r="P531" i="16"/>
  <c r="P530" i="16"/>
  <c r="H530" i="16"/>
  <c r="P529" i="16"/>
  <c r="H529" i="16"/>
  <c r="P528" i="16"/>
  <c r="H528" i="16"/>
  <c r="P527" i="16"/>
  <c r="H527" i="16"/>
  <c r="H526" i="16"/>
  <c r="P526" i="16"/>
  <c r="P525" i="16"/>
  <c r="H525" i="16"/>
  <c r="P524" i="16"/>
  <c r="H524" i="16"/>
  <c r="H523" i="16"/>
  <c r="P523" i="16"/>
  <c r="H522" i="16"/>
  <c r="P522" i="16"/>
  <c r="P521" i="16"/>
  <c r="H521" i="16"/>
  <c r="P520" i="16"/>
  <c r="H520" i="16"/>
  <c r="P519" i="16"/>
  <c r="H519" i="16"/>
  <c r="P518" i="16"/>
  <c r="H518" i="16"/>
  <c r="H517" i="16"/>
  <c r="P517" i="16"/>
  <c r="H516" i="16"/>
  <c r="P516" i="16"/>
  <c r="P515" i="16"/>
  <c r="H515" i="16"/>
  <c r="P514" i="16"/>
  <c r="H514" i="16"/>
  <c r="P513" i="16"/>
  <c r="H513" i="16"/>
  <c r="P512" i="16"/>
  <c r="H512" i="16"/>
  <c r="P511" i="16"/>
  <c r="H511" i="16"/>
  <c r="H510" i="16"/>
  <c r="P510" i="16"/>
  <c r="P509" i="16"/>
  <c r="H509" i="16"/>
  <c r="P508" i="16"/>
  <c r="H508" i="16"/>
  <c r="H507" i="16"/>
  <c r="P507" i="16"/>
  <c r="H506" i="16"/>
  <c r="P506" i="16"/>
  <c r="P505" i="16"/>
  <c r="H505" i="16"/>
  <c r="H504" i="16"/>
  <c r="P504" i="16"/>
  <c r="P503" i="16"/>
  <c r="H503" i="16"/>
  <c r="P502" i="16"/>
  <c r="H502" i="16"/>
  <c r="P501" i="16"/>
  <c r="H501" i="16"/>
  <c r="H500" i="16"/>
  <c r="P500" i="16"/>
  <c r="H499" i="16"/>
  <c r="P499" i="16"/>
  <c r="H498" i="16"/>
  <c r="P498" i="16"/>
  <c r="H497" i="16"/>
  <c r="P497" i="16"/>
  <c r="P496" i="16"/>
  <c r="H496" i="16"/>
  <c r="H495" i="16"/>
  <c r="P495" i="16"/>
  <c r="P494" i="16"/>
  <c r="H494" i="16"/>
  <c r="P493" i="16"/>
  <c r="H493" i="16"/>
  <c r="H492" i="16"/>
  <c r="P492" i="16"/>
  <c r="H491" i="16"/>
  <c r="P491" i="16"/>
  <c r="P490" i="16"/>
  <c r="H490" i="16"/>
  <c r="H489" i="16"/>
  <c r="P489" i="16"/>
  <c r="P488" i="16"/>
  <c r="H488" i="16"/>
  <c r="H487" i="16"/>
  <c r="P487" i="16"/>
  <c r="H486" i="16"/>
  <c r="P486" i="16"/>
  <c r="P485" i="16"/>
  <c r="H485" i="16"/>
  <c r="H484" i="16"/>
  <c r="P484" i="16"/>
  <c r="H483" i="16"/>
  <c r="P483" i="16"/>
  <c r="H482" i="16"/>
  <c r="P482" i="16"/>
  <c r="P481" i="16"/>
  <c r="H481" i="16"/>
  <c r="H480" i="16"/>
  <c r="P480" i="16"/>
  <c r="P479" i="16"/>
  <c r="H479" i="16"/>
  <c r="H478" i="16"/>
  <c r="P478" i="16"/>
  <c r="P477" i="16"/>
  <c r="H477" i="16"/>
  <c r="P476" i="16"/>
  <c r="H476" i="16"/>
  <c r="P475" i="16"/>
  <c r="H475" i="16"/>
  <c r="P474" i="16"/>
  <c r="H474" i="16"/>
  <c r="P473" i="16"/>
  <c r="H473" i="16"/>
  <c r="H472" i="16"/>
  <c r="P472" i="16"/>
  <c r="P471" i="16"/>
  <c r="H471" i="16"/>
  <c r="H470" i="16"/>
  <c r="P470" i="16"/>
  <c r="P469" i="16"/>
  <c r="H469" i="16"/>
  <c r="P468" i="16"/>
  <c r="H468" i="16"/>
  <c r="P467" i="16"/>
  <c r="H467" i="16"/>
  <c r="P466" i="16"/>
  <c r="H466" i="16"/>
  <c r="P465" i="16"/>
  <c r="H465" i="16"/>
  <c r="H464" i="16"/>
  <c r="P464" i="16"/>
  <c r="H463" i="16"/>
  <c r="P463" i="16"/>
  <c r="P462" i="16"/>
  <c r="H462" i="16"/>
  <c r="H461" i="16"/>
  <c r="P461" i="16"/>
  <c r="H460" i="16"/>
  <c r="P460" i="16"/>
  <c r="H459" i="16"/>
  <c r="P459" i="16"/>
  <c r="H458" i="16"/>
  <c r="P458" i="16"/>
  <c r="H457" i="16"/>
  <c r="P457" i="16"/>
  <c r="P456" i="16"/>
  <c r="H456" i="16"/>
  <c r="H455" i="16"/>
  <c r="P455" i="16"/>
  <c r="P454" i="16"/>
  <c r="H454" i="16"/>
  <c r="P453" i="16"/>
  <c r="H453" i="16"/>
  <c r="P452" i="16"/>
  <c r="H452" i="16"/>
  <c r="P451" i="16"/>
  <c r="H451" i="16"/>
  <c r="H450" i="16"/>
  <c r="P450" i="16"/>
  <c r="H449" i="16"/>
  <c r="P449" i="16"/>
  <c r="H448" i="16"/>
  <c r="P448" i="16"/>
  <c r="H447" i="16"/>
  <c r="P447" i="16"/>
  <c r="H446" i="16"/>
  <c r="P446" i="16"/>
  <c r="P445" i="16"/>
  <c r="H445" i="16"/>
  <c r="H444" i="16"/>
  <c r="P444" i="16"/>
  <c r="H443" i="16"/>
  <c r="P443" i="16"/>
  <c r="H442" i="16"/>
  <c r="P442" i="16"/>
  <c r="P441" i="16"/>
  <c r="H441" i="16"/>
  <c r="H440" i="16"/>
  <c r="P440" i="16"/>
  <c r="P439" i="16"/>
  <c r="H439" i="16"/>
  <c r="H438" i="16"/>
  <c r="P438" i="16"/>
  <c r="P437" i="16"/>
  <c r="H437" i="16"/>
  <c r="H436" i="16"/>
  <c r="P436" i="16"/>
  <c r="P435" i="16"/>
  <c r="H435" i="16"/>
  <c r="H434" i="16"/>
  <c r="P434" i="16"/>
  <c r="P433" i="16"/>
  <c r="H433" i="16"/>
  <c r="P432" i="16"/>
  <c r="H432" i="16"/>
  <c r="P431" i="16"/>
  <c r="H431" i="16"/>
  <c r="P430" i="16"/>
  <c r="H430" i="16"/>
  <c r="H429" i="16"/>
  <c r="P429" i="16"/>
  <c r="P428" i="16"/>
  <c r="H428" i="16"/>
  <c r="H427" i="16"/>
  <c r="P427" i="16"/>
  <c r="P426" i="16"/>
  <c r="H426" i="16"/>
  <c r="H425" i="16"/>
  <c r="P425" i="16"/>
  <c r="H424" i="16"/>
  <c r="P424" i="16"/>
  <c r="H423" i="16"/>
  <c r="P423" i="16"/>
  <c r="P422" i="16"/>
  <c r="H422" i="16"/>
  <c r="P421" i="16"/>
  <c r="H421" i="16"/>
  <c r="H420" i="16"/>
  <c r="P420" i="16"/>
  <c r="P419" i="16"/>
  <c r="H419" i="16"/>
  <c r="H418" i="16"/>
  <c r="P418" i="16"/>
  <c r="P417" i="16"/>
  <c r="H417" i="16"/>
  <c r="P416" i="16"/>
  <c r="H416" i="16"/>
  <c r="P415" i="16"/>
  <c r="H415" i="16"/>
  <c r="H414" i="16"/>
  <c r="P414" i="16"/>
  <c r="P413" i="16"/>
  <c r="H413" i="16"/>
  <c r="H412" i="16"/>
  <c r="P412" i="16"/>
  <c r="H411" i="16"/>
  <c r="P411" i="16"/>
  <c r="H410" i="16"/>
  <c r="P410" i="16"/>
  <c r="P409" i="16"/>
  <c r="H409" i="16"/>
  <c r="P408" i="16"/>
  <c r="H408" i="16"/>
  <c r="H407" i="16"/>
  <c r="P407" i="16"/>
  <c r="P406" i="16"/>
  <c r="H406" i="16"/>
  <c r="H405" i="16"/>
  <c r="P405" i="16"/>
  <c r="P404" i="16"/>
  <c r="H404" i="16"/>
  <c r="H403" i="16"/>
  <c r="P403" i="16"/>
  <c r="P402" i="16"/>
  <c r="H402" i="16"/>
  <c r="H401" i="16"/>
  <c r="P401" i="16"/>
  <c r="H400" i="16"/>
  <c r="P400" i="16"/>
  <c r="H399" i="16"/>
  <c r="P399" i="16"/>
  <c r="H398" i="16"/>
  <c r="P398" i="16"/>
  <c r="P397" i="16"/>
  <c r="H397" i="16"/>
  <c r="H396" i="16"/>
  <c r="P396" i="16"/>
  <c r="H395" i="16"/>
  <c r="P395" i="16"/>
  <c r="P394" i="16"/>
  <c r="H394" i="16"/>
  <c r="P393" i="16"/>
  <c r="H393" i="16"/>
  <c r="P392" i="16"/>
  <c r="H392" i="16"/>
  <c r="H391" i="16"/>
  <c r="P391" i="16"/>
  <c r="H390" i="16"/>
  <c r="P390" i="16"/>
  <c r="P389" i="16"/>
  <c r="H389" i="16"/>
  <c r="P388" i="16"/>
  <c r="H388" i="16"/>
  <c r="P387" i="16"/>
  <c r="H387" i="16"/>
  <c r="P386" i="16"/>
  <c r="H386" i="16"/>
  <c r="P385" i="16"/>
  <c r="H385" i="16"/>
  <c r="H384" i="16"/>
  <c r="P384" i="16"/>
  <c r="P383" i="16"/>
  <c r="H383" i="16"/>
  <c r="H382" i="16"/>
  <c r="P382" i="16"/>
  <c r="H381" i="16"/>
  <c r="P381" i="16"/>
  <c r="H380" i="16"/>
  <c r="P380" i="16"/>
  <c r="H379" i="16"/>
  <c r="P379" i="16"/>
  <c r="P378" i="16"/>
  <c r="H378" i="16"/>
  <c r="H377" i="16"/>
  <c r="P377" i="16"/>
  <c r="P376" i="16"/>
  <c r="H376" i="16"/>
  <c r="H375" i="16"/>
  <c r="P375" i="16"/>
  <c r="P374" i="16"/>
  <c r="H374" i="16"/>
  <c r="H373" i="16"/>
  <c r="P373" i="16"/>
  <c r="H372" i="16"/>
  <c r="P372" i="16"/>
  <c r="H371" i="16"/>
  <c r="P371" i="16"/>
  <c r="P370" i="16"/>
  <c r="H370" i="16"/>
  <c r="H369" i="16"/>
  <c r="P369" i="16"/>
  <c r="H368" i="16"/>
  <c r="P368" i="16"/>
  <c r="P367" i="16"/>
  <c r="H367" i="16"/>
  <c r="H366" i="16"/>
  <c r="P366" i="16"/>
  <c r="P365" i="16"/>
  <c r="H365" i="16"/>
  <c r="H364" i="16"/>
  <c r="P364" i="16"/>
  <c r="P363" i="16"/>
  <c r="H363" i="16"/>
  <c r="P362" i="16"/>
  <c r="H362" i="16"/>
  <c r="P361" i="16"/>
  <c r="H361" i="16"/>
  <c r="H360" i="16"/>
  <c r="P360" i="16"/>
  <c r="H359" i="16"/>
  <c r="P359" i="16"/>
  <c r="H358" i="16"/>
  <c r="P358" i="16"/>
  <c r="H357" i="16"/>
  <c r="P357" i="16"/>
  <c r="H356" i="16"/>
  <c r="P356" i="16"/>
  <c r="H355" i="16"/>
  <c r="P355" i="16"/>
  <c r="H354" i="16"/>
  <c r="P354" i="16"/>
  <c r="P353" i="16"/>
  <c r="H353" i="16"/>
  <c r="P352" i="16"/>
  <c r="H352" i="16"/>
  <c r="P351" i="16"/>
  <c r="H351" i="16"/>
  <c r="P350" i="16"/>
  <c r="H350" i="16"/>
  <c r="H349" i="16"/>
  <c r="P349" i="16"/>
  <c r="P348" i="16"/>
  <c r="H348" i="16"/>
  <c r="P347" i="16"/>
  <c r="H347" i="16"/>
  <c r="P346" i="16"/>
  <c r="H346" i="16"/>
  <c r="P345" i="16"/>
  <c r="H345" i="16"/>
  <c r="P344" i="16"/>
  <c r="H344" i="16"/>
  <c r="P343" i="16"/>
  <c r="H343" i="16"/>
  <c r="H342" i="16"/>
  <c r="P342" i="16"/>
  <c r="H341" i="16"/>
  <c r="P341" i="16"/>
  <c r="P340" i="16"/>
  <c r="H340" i="16"/>
  <c r="P339" i="16"/>
  <c r="H339" i="16"/>
  <c r="P338" i="16"/>
  <c r="H338" i="16"/>
  <c r="H337" i="16"/>
  <c r="P337" i="16"/>
  <c r="P336" i="16"/>
  <c r="H336" i="16"/>
  <c r="P335" i="16"/>
  <c r="H335" i="16"/>
  <c r="H334" i="16"/>
  <c r="P334" i="16"/>
  <c r="P333" i="16"/>
  <c r="H333" i="16"/>
  <c r="H332" i="16"/>
  <c r="P332" i="16"/>
  <c r="P331" i="16"/>
  <c r="H331" i="16"/>
  <c r="H330" i="16"/>
  <c r="P330" i="16"/>
  <c r="P329" i="16"/>
  <c r="H329" i="16"/>
  <c r="H328" i="16"/>
  <c r="P328" i="16"/>
  <c r="H327" i="16"/>
  <c r="P327" i="16"/>
  <c r="H326" i="16"/>
  <c r="P326" i="16"/>
  <c r="H325" i="16"/>
  <c r="P325" i="16"/>
  <c r="P324" i="16"/>
  <c r="H324" i="16"/>
  <c r="H323" i="16"/>
  <c r="P323" i="16"/>
  <c r="H322" i="16"/>
  <c r="P322" i="16"/>
  <c r="P321" i="16"/>
  <c r="H321" i="16"/>
  <c r="H320" i="16"/>
  <c r="P320" i="16"/>
  <c r="P319" i="16"/>
  <c r="H319" i="16"/>
  <c r="P318" i="16"/>
  <c r="H318" i="16"/>
  <c r="H317" i="16"/>
  <c r="P317" i="16"/>
  <c r="H316" i="16"/>
  <c r="P316" i="16"/>
  <c r="H315" i="16"/>
  <c r="P315" i="16"/>
  <c r="H314" i="16"/>
  <c r="P314" i="16"/>
  <c r="H313" i="16"/>
  <c r="P313" i="16"/>
  <c r="H312" i="16"/>
  <c r="P312" i="16"/>
  <c r="H311" i="16"/>
  <c r="P311" i="16"/>
  <c r="H310" i="16"/>
  <c r="P310" i="16"/>
  <c r="P309" i="16"/>
  <c r="H309" i="16"/>
  <c r="H308" i="16"/>
  <c r="P308" i="16"/>
  <c r="H307" i="16"/>
  <c r="P307" i="16"/>
  <c r="P306" i="16"/>
  <c r="H306" i="16"/>
  <c r="P305" i="16"/>
  <c r="H305" i="16"/>
  <c r="P304" i="16"/>
  <c r="H304" i="16"/>
  <c r="P303" i="16"/>
  <c r="H303" i="16"/>
  <c r="H302" i="16"/>
  <c r="P302" i="16"/>
  <c r="H301" i="16"/>
  <c r="P301" i="16"/>
  <c r="H300" i="16"/>
  <c r="P300" i="16"/>
  <c r="H299" i="16"/>
  <c r="P299" i="16"/>
  <c r="H298" i="16"/>
  <c r="P298" i="16"/>
  <c r="P297" i="16"/>
  <c r="H297" i="16"/>
  <c r="P296" i="16"/>
  <c r="H296" i="16"/>
  <c r="H295" i="16"/>
  <c r="P295" i="16"/>
  <c r="H294" i="16"/>
  <c r="P294" i="16"/>
  <c r="H293" i="16"/>
  <c r="P293" i="16"/>
  <c r="P292" i="16"/>
  <c r="H292" i="16"/>
  <c r="H291" i="16"/>
  <c r="P291" i="16"/>
  <c r="P290" i="16"/>
  <c r="H290" i="16"/>
  <c r="H289" i="16"/>
  <c r="P289" i="16"/>
  <c r="H288" i="16"/>
  <c r="P288" i="16"/>
  <c r="P287" i="16"/>
  <c r="H287" i="16"/>
  <c r="H286" i="16"/>
  <c r="P286" i="16"/>
  <c r="P285" i="16"/>
  <c r="H285" i="16"/>
  <c r="P284" i="16"/>
  <c r="H284" i="16"/>
  <c r="P283" i="16"/>
  <c r="H283" i="16"/>
  <c r="H282" i="16"/>
  <c r="P282" i="16"/>
  <c r="P281" i="16"/>
  <c r="H281" i="16"/>
  <c r="H280" i="16"/>
  <c r="P280" i="16"/>
  <c r="H279" i="16"/>
  <c r="P279" i="16"/>
  <c r="H278" i="16"/>
  <c r="P278" i="16"/>
  <c r="H277" i="16"/>
  <c r="P277" i="16"/>
  <c r="H276" i="16"/>
  <c r="P276" i="16"/>
  <c r="P275" i="16"/>
  <c r="H275" i="16"/>
  <c r="H274" i="16"/>
  <c r="P274" i="16"/>
  <c r="H273" i="16"/>
  <c r="P273" i="16"/>
  <c r="P272" i="16"/>
  <c r="H272" i="16"/>
  <c r="P271" i="16"/>
  <c r="H271" i="16"/>
  <c r="H270" i="16"/>
  <c r="P270" i="16"/>
  <c r="P269" i="16"/>
  <c r="H269" i="16"/>
  <c r="P268" i="16"/>
  <c r="H268" i="16"/>
  <c r="H267" i="16"/>
  <c r="P267" i="16"/>
  <c r="H266" i="16"/>
  <c r="P266" i="16"/>
  <c r="H265" i="16"/>
  <c r="P265" i="16"/>
  <c r="H264" i="16"/>
  <c r="P264" i="16"/>
  <c r="H263" i="16"/>
  <c r="P263" i="16"/>
  <c r="P262" i="16"/>
  <c r="H262" i="16"/>
  <c r="P261" i="16"/>
  <c r="H261" i="16"/>
  <c r="H260" i="16"/>
  <c r="P260" i="16"/>
  <c r="P259" i="16"/>
  <c r="H259" i="16"/>
  <c r="P258" i="16"/>
  <c r="H258" i="16"/>
  <c r="P257" i="16"/>
  <c r="H257" i="16"/>
  <c r="H256" i="16"/>
  <c r="P256" i="16"/>
  <c r="H255" i="16"/>
  <c r="P255" i="16"/>
  <c r="P254" i="16"/>
  <c r="H254" i="16"/>
  <c r="H253" i="16"/>
  <c r="P253" i="16"/>
  <c r="H252" i="16"/>
  <c r="P252" i="16"/>
  <c r="H251" i="16"/>
  <c r="P251" i="16"/>
  <c r="P250" i="16"/>
  <c r="H250" i="16"/>
  <c r="P249" i="16"/>
  <c r="H249" i="16"/>
  <c r="H248" i="16"/>
  <c r="P248" i="16"/>
  <c r="P247" i="16"/>
  <c r="H247" i="16"/>
  <c r="P246" i="16"/>
  <c r="H246" i="16"/>
  <c r="P245" i="16"/>
  <c r="H245" i="16"/>
  <c r="P244" i="16"/>
  <c r="H244" i="16"/>
  <c r="H243" i="16"/>
  <c r="P243" i="16"/>
  <c r="H242" i="16"/>
  <c r="P242" i="16"/>
  <c r="P241" i="16"/>
  <c r="H241" i="16"/>
  <c r="P240" i="16"/>
  <c r="H240" i="16"/>
  <c r="P239" i="16"/>
  <c r="H239" i="16"/>
  <c r="H238" i="16"/>
  <c r="P238" i="16"/>
  <c r="P237" i="16"/>
  <c r="H237" i="16"/>
  <c r="P236" i="16"/>
  <c r="H236" i="16"/>
  <c r="H235" i="16"/>
  <c r="P235" i="16"/>
  <c r="H234" i="16"/>
  <c r="P234" i="16"/>
  <c r="H233" i="16"/>
  <c r="P233" i="16"/>
  <c r="P232" i="16"/>
  <c r="H232" i="16"/>
  <c r="H231" i="16"/>
  <c r="P231" i="16"/>
  <c r="P230" i="16"/>
  <c r="H230" i="16"/>
  <c r="H229" i="16"/>
  <c r="P229" i="16"/>
  <c r="H228" i="16"/>
  <c r="P228" i="16"/>
  <c r="H227" i="16"/>
  <c r="P227" i="16"/>
  <c r="P226" i="16"/>
  <c r="H226" i="16"/>
  <c r="H225" i="16"/>
  <c r="P225" i="16"/>
  <c r="H224" i="16"/>
  <c r="P224" i="16"/>
  <c r="H223" i="16"/>
  <c r="P223" i="16"/>
  <c r="H222" i="16"/>
  <c r="P222" i="16"/>
  <c r="P221" i="16"/>
  <c r="H221" i="16"/>
  <c r="P220" i="16"/>
  <c r="H220" i="16"/>
  <c r="P219" i="16"/>
  <c r="H219" i="16"/>
  <c r="P218" i="16"/>
  <c r="H218" i="16"/>
  <c r="P217" i="16"/>
  <c r="H217" i="16"/>
  <c r="H216" i="16"/>
  <c r="P216" i="16"/>
  <c r="P215" i="16"/>
  <c r="H215" i="16"/>
  <c r="P214" i="16"/>
  <c r="H214" i="16"/>
  <c r="H213" i="16"/>
  <c r="P213" i="16"/>
  <c r="H212" i="16"/>
  <c r="P212" i="16"/>
  <c r="P211" i="16"/>
  <c r="H211" i="16"/>
  <c r="H210" i="16"/>
  <c r="P210" i="16"/>
  <c r="P209" i="16"/>
  <c r="H209" i="16"/>
  <c r="P208" i="16"/>
  <c r="H208" i="16"/>
  <c r="H207" i="16"/>
  <c r="P207" i="16"/>
  <c r="H206" i="16"/>
  <c r="P206" i="16"/>
  <c r="H205" i="16"/>
  <c r="P205" i="16"/>
  <c r="P204" i="16"/>
  <c r="H204" i="16"/>
  <c r="P203" i="16"/>
  <c r="H203" i="16"/>
  <c r="H202" i="16"/>
  <c r="P202" i="16"/>
  <c r="H201" i="16"/>
  <c r="P201" i="16"/>
  <c r="P200" i="16"/>
  <c r="H200" i="16"/>
  <c r="P199" i="16"/>
  <c r="H199" i="16"/>
  <c r="P198" i="16"/>
  <c r="H198" i="16"/>
  <c r="P197" i="16"/>
  <c r="H197" i="16"/>
  <c r="P196" i="16"/>
  <c r="H196" i="16"/>
  <c r="P195" i="16"/>
  <c r="H195" i="16"/>
  <c r="H194" i="16"/>
  <c r="P194" i="16"/>
  <c r="P193" i="16"/>
  <c r="H193" i="16"/>
  <c r="P192" i="16"/>
  <c r="H192" i="16"/>
  <c r="H191" i="16"/>
  <c r="P191" i="16"/>
  <c r="H190" i="16"/>
  <c r="P190" i="16"/>
  <c r="H189" i="16"/>
  <c r="P189" i="16"/>
  <c r="P188" i="16"/>
  <c r="H188" i="16"/>
  <c r="H187" i="16"/>
  <c r="P187" i="16"/>
  <c r="H186" i="16"/>
  <c r="P186" i="16"/>
  <c r="H185" i="16"/>
  <c r="P185" i="16"/>
  <c r="P184" i="16"/>
  <c r="H184" i="16"/>
  <c r="P183" i="16"/>
  <c r="H183" i="16"/>
  <c r="H182" i="16"/>
  <c r="P182" i="16"/>
  <c r="H181" i="16"/>
  <c r="P181" i="16"/>
  <c r="P180" i="16"/>
  <c r="H180" i="16"/>
  <c r="P179" i="16"/>
  <c r="H179" i="16"/>
  <c r="H178" i="16"/>
  <c r="P178" i="16"/>
  <c r="H177" i="16"/>
  <c r="P177" i="16"/>
  <c r="P176" i="16"/>
  <c r="H176" i="16"/>
  <c r="H175" i="16"/>
  <c r="P175" i="16"/>
  <c r="P174" i="16"/>
  <c r="H174" i="16"/>
  <c r="H173" i="16"/>
  <c r="P173" i="16"/>
  <c r="H172" i="16"/>
  <c r="P172" i="16"/>
  <c r="H171" i="16"/>
  <c r="P171" i="16"/>
  <c r="P170" i="16"/>
  <c r="H170" i="16"/>
  <c r="H169" i="16"/>
  <c r="P169" i="16"/>
  <c r="P168" i="16"/>
  <c r="H168" i="16"/>
  <c r="P167" i="16"/>
  <c r="H167" i="16"/>
  <c r="H166" i="16"/>
  <c r="P166" i="16"/>
  <c r="H165" i="16"/>
  <c r="P165" i="16"/>
  <c r="P164" i="16"/>
  <c r="H164" i="16"/>
  <c r="P163" i="16"/>
  <c r="H163" i="16"/>
  <c r="P162" i="16"/>
  <c r="H162" i="16"/>
  <c r="P161" i="16"/>
  <c r="H161" i="16"/>
  <c r="H160" i="16"/>
  <c r="P160" i="16"/>
  <c r="H159" i="16"/>
  <c r="P159" i="16"/>
  <c r="P158" i="16"/>
  <c r="H158" i="16"/>
  <c r="H157" i="16"/>
  <c r="P157" i="16"/>
  <c r="P156" i="16"/>
  <c r="H156" i="16"/>
  <c r="H155" i="16"/>
  <c r="P155" i="16"/>
  <c r="H154" i="16"/>
  <c r="P154" i="16"/>
  <c r="H153" i="16"/>
  <c r="P153" i="16"/>
  <c r="H152" i="16"/>
  <c r="P152" i="16"/>
  <c r="P151" i="16"/>
  <c r="H151" i="16"/>
  <c r="P150" i="16"/>
  <c r="H150" i="16"/>
  <c r="H149" i="16"/>
  <c r="P149" i="16"/>
  <c r="P148" i="16"/>
  <c r="H148" i="16"/>
  <c r="H147" i="16"/>
  <c r="P147" i="16"/>
  <c r="P146" i="16"/>
  <c r="H146" i="16"/>
  <c r="P145" i="16"/>
  <c r="H145" i="16"/>
  <c r="P144" i="16"/>
  <c r="H144" i="16"/>
  <c r="H143" i="16"/>
  <c r="P143" i="16"/>
  <c r="P142" i="16"/>
  <c r="H142" i="16"/>
  <c r="H141" i="16"/>
  <c r="P141" i="16"/>
  <c r="H140" i="16"/>
  <c r="P140" i="16"/>
  <c r="P139" i="16"/>
  <c r="H139" i="16"/>
  <c r="H138" i="16"/>
  <c r="P138" i="16"/>
  <c r="P137" i="16"/>
  <c r="H137" i="16"/>
  <c r="P136" i="16"/>
  <c r="H136" i="16"/>
  <c r="P135" i="16"/>
  <c r="H135" i="16"/>
  <c r="P134" i="16"/>
  <c r="H134" i="16"/>
  <c r="H133" i="16"/>
  <c r="P133" i="16"/>
  <c r="P132" i="16"/>
  <c r="H132" i="16"/>
  <c r="H131" i="16"/>
  <c r="P131" i="16"/>
  <c r="P130" i="16"/>
  <c r="H130" i="16"/>
  <c r="H129" i="16"/>
  <c r="P129" i="16"/>
  <c r="H128" i="16"/>
  <c r="P128" i="16"/>
  <c r="P127" i="16"/>
  <c r="H127" i="16"/>
  <c r="H126" i="16"/>
  <c r="P126" i="16"/>
  <c r="H125" i="16"/>
  <c r="P125" i="16"/>
  <c r="H124" i="16"/>
  <c r="P124" i="16"/>
  <c r="P123" i="16"/>
  <c r="H123" i="16"/>
  <c r="P122" i="16"/>
  <c r="H122" i="16"/>
  <c r="P121" i="16"/>
  <c r="H121" i="16"/>
  <c r="P120" i="16"/>
  <c r="H120" i="16"/>
  <c r="H119" i="16"/>
  <c r="P119" i="16"/>
  <c r="H118" i="16"/>
  <c r="P118" i="16"/>
  <c r="H117" i="16"/>
  <c r="P117" i="16"/>
  <c r="H116" i="16"/>
  <c r="P116" i="16"/>
  <c r="P115" i="16"/>
  <c r="H115" i="16"/>
  <c r="P114" i="16"/>
  <c r="H114" i="16"/>
  <c r="H113" i="16"/>
  <c r="P113" i="16"/>
  <c r="H112" i="16"/>
  <c r="P112" i="16"/>
  <c r="P111" i="16"/>
  <c r="H111" i="16"/>
  <c r="P110" i="16"/>
  <c r="H110" i="16"/>
  <c r="H109" i="16"/>
  <c r="P109" i="16"/>
  <c r="P108" i="16"/>
  <c r="H108" i="16"/>
  <c r="P107" i="16"/>
  <c r="H107" i="16"/>
  <c r="P106" i="16"/>
  <c r="H106" i="16"/>
  <c r="P105" i="16"/>
  <c r="H105" i="16"/>
  <c r="H104" i="16"/>
  <c r="P104" i="16"/>
  <c r="P103" i="16"/>
  <c r="H103" i="16"/>
  <c r="H102" i="16"/>
  <c r="P102" i="16"/>
  <c r="H101" i="16"/>
  <c r="P101" i="16"/>
  <c r="H100" i="16"/>
  <c r="P100" i="16"/>
  <c r="P99" i="16"/>
  <c r="H99" i="16"/>
  <c r="H98" i="16"/>
  <c r="P98" i="16"/>
  <c r="H97" i="16"/>
  <c r="P97" i="16"/>
  <c r="H96" i="16"/>
  <c r="P96" i="16"/>
  <c r="P95" i="16"/>
  <c r="H95" i="16"/>
  <c r="H94" i="16"/>
  <c r="P94" i="16"/>
  <c r="P93" i="16"/>
  <c r="H93" i="16"/>
  <c r="P92" i="16"/>
  <c r="H92" i="16"/>
  <c r="P91" i="16"/>
  <c r="H91" i="16"/>
  <c r="H90" i="16"/>
  <c r="P90" i="16"/>
  <c r="H89" i="16"/>
  <c r="P89" i="16"/>
  <c r="P88" i="16"/>
  <c r="H88" i="16"/>
  <c r="P87" i="16"/>
  <c r="H87" i="16"/>
  <c r="P86" i="16"/>
  <c r="H86" i="16"/>
  <c r="H85" i="16"/>
  <c r="P85" i="16"/>
  <c r="H84" i="16"/>
  <c r="P84" i="16"/>
  <c r="P83" i="16"/>
  <c r="H83" i="16"/>
  <c r="P82" i="16"/>
  <c r="H82" i="16"/>
  <c r="P81" i="16"/>
  <c r="H81" i="16"/>
  <c r="P80" i="16"/>
  <c r="H80" i="16"/>
  <c r="H79" i="16"/>
  <c r="P79" i="16"/>
  <c r="P78" i="16"/>
  <c r="H78" i="16"/>
  <c r="H77" i="16"/>
  <c r="P77" i="16"/>
  <c r="H76" i="16"/>
  <c r="P76" i="16"/>
  <c r="P75" i="16"/>
  <c r="H75" i="16"/>
  <c r="H74" i="16"/>
  <c r="P74" i="16"/>
  <c r="P73" i="16"/>
  <c r="H73" i="16"/>
  <c r="P72" i="16"/>
  <c r="H72" i="16"/>
  <c r="H71" i="16"/>
  <c r="P71" i="16"/>
  <c r="P70" i="16"/>
  <c r="H70" i="16"/>
  <c r="H69" i="16"/>
  <c r="P69" i="16"/>
  <c r="P68" i="16"/>
  <c r="H68" i="16"/>
  <c r="H67" i="16"/>
  <c r="P67" i="16"/>
  <c r="P66" i="16"/>
  <c r="H66" i="16"/>
  <c r="H65" i="16"/>
  <c r="P65" i="16"/>
  <c r="H64" i="16"/>
  <c r="P64" i="16"/>
  <c r="P63" i="16"/>
  <c r="H63" i="16"/>
  <c r="H62" i="16"/>
  <c r="P62" i="16"/>
  <c r="H61" i="16"/>
  <c r="P61" i="16"/>
  <c r="P60" i="16"/>
  <c r="H60" i="16"/>
  <c r="H59" i="16"/>
  <c r="P59" i="16"/>
  <c r="P58" i="16"/>
  <c r="H58" i="16"/>
  <c r="H57" i="16"/>
  <c r="P57" i="16"/>
  <c r="P56" i="16"/>
  <c r="H56" i="16"/>
  <c r="P55" i="16"/>
  <c r="H55" i="16"/>
  <c r="H54" i="16"/>
  <c r="P54" i="16"/>
  <c r="H53" i="16"/>
  <c r="P53" i="16"/>
  <c r="H52" i="16"/>
  <c r="P52" i="16"/>
  <c r="P51" i="16"/>
  <c r="H51" i="16"/>
  <c r="P50" i="16"/>
  <c r="H50" i="16"/>
  <c r="H49" i="16"/>
  <c r="P49" i="16"/>
  <c r="P48" i="16"/>
  <c r="H48" i="16"/>
  <c r="H47" i="16"/>
  <c r="P47" i="16"/>
  <c r="P46" i="16"/>
  <c r="H46" i="16"/>
  <c r="H45" i="16"/>
  <c r="P45" i="16"/>
  <c r="P44" i="16"/>
  <c r="H44" i="16"/>
  <c r="H43" i="16"/>
  <c r="P43" i="16"/>
  <c r="H42" i="16"/>
  <c r="P42" i="16"/>
  <c r="H41" i="16"/>
  <c r="P41" i="16"/>
  <c r="P40" i="16"/>
  <c r="H40" i="16"/>
  <c r="H39" i="16"/>
  <c r="P39" i="16"/>
  <c r="P38" i="16"/>
  <c r="H38" i="16"/>
  <c r="H37" i="16"/>
  <c r="P37" i="16"/>
  <c r="P36" i="16"/>
  <c r="H36" i="16"/>
  <c r="H35" i="16"/>
  <c r="P35" i="16"/>
  <c r="H34" i="16"/>
  <c r="P34" i="16"/>
  <c r="P33" i="16"/>
  <c r="H33" i="16"/>
  <c r="H32" i="16"/>
  <c r="P32" i="16"/>
  <c r="P31" i="16"/>
  <c r="H31" i="16"/>
  <c r="P30" i="16"/>
  <c r="H30" i="16"/>
  <c r="H29" i="16"/>
  <c r="P29" i="16"/>
  <c r="P28" i="16"/>
  <c r="H28" i="16"/>
  <c r="P27" i="16"/>
  <c r="H27" i="16"/>
  <c r="P26" i="16"/>
  <c r="H26" i="16"/>
  <c r="H25" i="16"/>
  <c r="P25" i="16"/>
  <c r="P24" i="16"/>
  <c r="H24" i="16"/>
  <c r="H23" i="16"/>
  <c r="P23" i="16"/>
  <c r="H22" i="16"/>
  <c r="P22" i="16"/>
  <c r="P21" i="16"/>
  <c r="H21" i="16"/>
  <c r="P20" i="16"/>
  <c r="H20" i="16"/>
  <c r="P19" i="16"/>
  <c r="P18" i="16"/>
  <c r="D8" i="2"/>
  <c r="D8" i="9"/>
  <c r="I1511" i="16"/>
  <c r="I1507" i="16"/>
  <c r="I1503" i="16"/>
  <c r="I1495" i="16"/>
  <c r="I1491" i="16"/>
  <c r="I1487" i="16"/>
  <c r="I1483" i="16"/>
  <c r="I1479" i="16"/>
  <c r="I1475" i="16"/>
  <c r="I1471" i="16"/>
  <c r="I1467" i="16"/>
  <c r="I1459" i="16"/>
  <c r="I1455" i="16"/>
  <c r="I1451" i="16"/>
  <c r="I1443" i="16"/>
  <c r="I1439" i="16"/>
  <c r="I1407" i="16"/>
  <c r="I1399" i="16"/>
  <c r="I1395" i="16"/>
  <c r="I1379" i="16"/>
  <c r="I1359" i="16"/>
  <c r="I1351" i="16"/>
  <c r="I1343" i="16"/>
  <c r="I1327" i="16"/>
  <c r="I1315" i="16"/>
  <c r="I1311" i="16"/>
  <c r="I1299" i="16"/>
  <c r="I1295" i="16"/>
  <c r="I1291" i="16"/>
  <c r="I1283" i="16"/>
  <c r="I1275" i="16"/>
  <c r="I1255" i="16"/>
  <c r="I1247" i="16"/>
  <c r="I1243" i="16"/>
  <c r="I1231" i="16"/>
  <c r="I1227" i="16"/>
  <c r="I1219" i="16"/>
  <c r="I1211" i="16"/>
  <c r="I1207" i="16"/>
  <c r="I1203" i="16"/>
  <c r="I1183" i="16"/>
  <c r="I1167" i="16"/>
  <c r="I1159" i="16"/>
  <c r="I1147" i="16"/>
  <c r="I1143" i="16"/>
  <c r="I1127" i="16"/>
  <c r="I1119" i="16"/>
  <c r="I1103" i="16"/>
  <c r="I1095" i="16"/>
  <c r="I1075" i="16"/>
  <c r="I1071" i="16"/>
  <c r="I1067" i="16"/>
  <c r="I1063" i="16"/>
  <c r="I1055" i="16"/>
  <c r="I1047" i="16"/>
  <c r="I1035" i="16"/>
  <c r="I1027" i="16"/>
  <c r="I1023" i="16"/>
  <c r="I1019" i="16"/>
  <c r="I1011" i="16"/>
  <c r="I1003" i="16"/>
  <c r="I995" i="16"/>
  <c r="I991" i="16"/>
  <c r="I987" i="16"/>
  <c r="I975" i="16"/>
  <c r="I971" i="16"/>
  <c r="I963" i="16"/>
  <c r="I955" i="16"/>
  <c r="I935" i="16"/>
  <c r="I931" i="16"/>
  <c r="I919" i="16"/>
  <c r="I911" i="16"/>
  <c r="I903" i="16"/>
  <c r="I883" i="16"/>
  <c r="I879" i="16"/>
  <c r="I875" i="16"/>
  <c r="I863" i="16"/>
  <c r="I851" i="16"/>
  <c r="I843" i="16"/>
  <c r="I839" i="16"/>
  <c r="I835" i="16"/>
  <c r="I827" i="16"/>
  <c r="I819" i="16"/>
  <c r="I815" i="16"/>
  <c r="I811" i="16"/>
  <c r="I795" i="16"/>
  <c r="I783" i="16"/>
  <c r="I779" i="16"/>
  <c r="I771" i="16"/>
  <c r="I759" i="16"/>
  <c r="I755" i="16"/>
  <c r="I743" i="16"/>
  <c r="I1478" i="16"/>
  <c r="I1446" i="16"/>
  <c r="I1430" i="16"/>
  <c r="I1426" i="16"/>
  <c r="I1414" i="16"/>
  <c r="I1406" i="16"/>
  <c r="I1378" i="16"/>
  <c r="I1374" i="16"/>
  <c r="I1342" i="16"/>
  <c r="I1334" i="16"/>
  <c r="I1330" i="16"/>
  <c r="I1318" i="16"/>
  <c r="I1314" i="16"/>
  <c r="I1310" i="16"/>
  <c r="I1294" i="16"/>
  <c r="I1270" i="16"/>
  <c r="I1262" i="16"/>
  <c r="I1250" i="16"/>
  <c r="I1242" i="16"/>
  <c r="I1238" i="16"/>
  <c r="I1234" i="16"/>
  <c r="I1230" i="16"/>
  <c r="I1226" i="16"/>
  <c r="I1222" i="16"/>
  <c r="I1218" i="16"/>
  <c r="I1210" i="16"/>
  <c r="I1182" i="16"/>
  <c r="I1174" i="16"/>
  <c r="I1166" i="16"/>
  <c r="I1158" i="16"/>
  <c r="I1154" i="16"/>
  <c r="I1142" i="16"/>
  <c r="I1138" i="16"/>
  <c r="I1130" i="16"/>
  <c r="I1122" i="16"/>
  <c r="I1102" i="16"/>
  <c r="I1098" i="16"/>
  <c r="I1086" i="16"/>
  <c r="I1082" i="16"/>
  <c r="I1070" i="16"/>
  <c r="I1058" i="16"/>
  <c r="I1050" i="16"/>
  <c r="I1042" i="16"/>
  <c r="I1034" i="16"/>
  <c r="I1014" i="16"/>
  <c r="I994" i="16"/>
  <c r="I986" i="16"/>
  <c r="I982" i="16"/>
  <c r="I978" i="16"/>
  <c r="I974" i="16"/>
  <c r="I970" i="16"/>
  <c r="I930" i="16"/>
  <c r="I918" i="16"/>
  <c r="I906" i="16"/>
  <c r="I898" i="16"/>
  <c r="I890" i="16"/>
  <c r="I874" i="16"/>
  <c r="I850" i="16"/>
  <c r="I838" i="16"/>
  <c r="I830" i="16"/>
  <c r="I822" i="16"/>
  <c r="I814" i="16"/>
  <c r="I790" i="16"/>
  <c r="I782" i="16"/>
  <c r="I774" i="16"/>
  <c r="I754" i="16"/>
  <c r="I1514" i="16"/>
  <c r="I1510" i="16"/>
  <c r="I1506" i="16"/>
  <c r="I1502" i="16"/>
  <c r="I1498" i="16"/>
  <c r="I1494" i="16"/>
  <c r="I1490" i="16"/>
  <c r="I1486" i="16"/>
  <c r="I1482" i="16"/>
  <c r="I1474" i="16"/>
  <c r="I1470" i="16"/>
  <c r="I1466" i="16"/>
  <c r="I1462" i="16"/>
  <c r="I1458" i="16"/>
  <c r="I1454" i="16"/>
  <c r="I1450" i="16"/>
  <c r="I1442" i="16"/>
  <c r="I1438" i="16"/>
  <c r="I1434" i="16"/>
  <c r="I1422" i="16"/>
  <c r="I1418" i="16"/>
  <c r="I1410" i="16"/>
  <c r="I1402" i="16"/>
  <c r="I1398" i="16"/>
  <c r="I1394" i="16"/>
  <c r="I1390" i="16"/>
  <c r="I1386" i="16"/>
  <c r="I1382" i="16"/>
  <c r="I1370" i="16"/>
  <c r="I1366" i="16"/>
  <c r="I1362" i="16"/>
  <c r="I1358" i="16"/>
  <c r="I1354" i="16"/>
  <c r="I1350" i="16"/>
  <c r="I1346" i="16"/>
  <c r="I1338" i="16"/>
  <c r="I1326" i="16"/>
  <c r="I1322" i="16"/>
  <c r="I1306" i="16"/>
  <c r="I1302" i="16"/>
  <c r="I1298" i="16"/>
  <c r="I1290" i="16"/>
  <c r="I1286" i="16"/>
  <c r="I1282" i="16"/>
  <c r="I1278" i="16"/>
  <c r="I1274" i="16"/>
  <c r="I1266" i="16"/>
  <c r="I1258" i="16"/>
  <c r="I1254" i="16"/>
  <c r="I1246" i="16"/>
  <c r="I1214" i="16"/>
  <c r="I1206" i="16"/>
  <c r="I1202" i="16"/>
  <c r="I1198" i="16"/>
  <c r="I1194" i="16"/>
  <c r="I1190" i="16"/>
  <c r="I1186" i="16"/>
  <c r="I1178" i="16"/>
  <c r="I1170" i="16"/>
  <c r="I1162" i="16"/>
  <c r="I1150" i="16"/>
  <c r="I1146" i="16"/>
  <c r="I1134" i="16"/>
  <c r="I1126" i="16"/>
  <c r="I1118" i="16"/>
  <c r="I1114" i="16"/>
  <c r="I1110" i="16"/>
  <c r="I1106" i="16"/>
  <c r="I1094" i="16"/>
  <c r="I1090" i="16"/>
  <c r="I1078" i="16"/>
  <c r="I1074" i="16"/>
  <c r="I1066" i="16"/>
  <c r="I1062" i="16"/>
  <c r="I1054" i="16"/>
  <c r="I1046" i="16"/>
  <c r="I1038" i="16"/>
  <c r="I1030" i="16"/>
  <c r="I1026" i="16"/>
  <c r="I1022" i="16"/>
  <c r="I1018" i="16"/>
  <c r="I1010" i="16"/>
  <c r="I1006" i="16"/>
  <c r="I1002" i="16"/>
  <c r="I998" i="16"/>
  <c r="I990" i="16"/>
  <c r="I966" i="16"/>
  <c r="I962" i="16"/>
  <c r="I958" i="16"/>
  <c r="I954" i="16"/>
  <c r="I950" i="16"/>
  <c r="I946" i="16"/>
  <c r="I942" i="16"/>
  <c r="I938" i="16"/>
  <c r="I934" i="16"/>
  <c r="I926" i="16"/>
  <c r="I922" i="16"/>
  <c r="I914" i="16"/>
  <c r="I910" i="16"/>
  <c r="I902" i="16"/>
  <c r="I894" i="16"/>
  <c r="I886" i="16"/>
  <c r="I882" i="16"/>
  <c r="I878" i="16"/>
  <c r="I870" i="16"/>
  <c r="I866" i="16"/>
  <c r="I862" i="16"/>
  <c r="I858" i="16"/>
  <c r="I854" i="16"/>
  <c r="I846" i="16"/>
  <c r="I842" i="16"/>
  <c r="I834" i="16"/>
  <c r="I826" i="16"/>
  <c r="I818" i="16"/>
  <c r="I810" i="16"/>
  <c r="I806" i="16"/>
  <c r="I802" i="16"/>
  <c r="I798" i="16"/>
  <c r="I794" i="16"/>
  <c r="I786" i="16"/>
  <c r="I778" i="16"/>
  <c r="I770" i="16"/>
  <c r="I766" i="16"/>
  <c r="I762" i="16"/>
  <c r="I758" i="16"/>
  <c r="I750" i="16"/>
  <c r="I746" i="16"/>
  <c r="I1509" i="16"/>
  <c r="I1497" i="16"/>
  <c r="I1489" i="16"/>
  <c r="I1477" i="16"/>
  <c r="I1469" i="16"/>
  <c r="I1461" i="16"/>
  <c r="I1457" i="16"/>
  <c r="I1445" i="16"/>
  <c r="I1429" i="16"/>
  <c r="I1421" i="16"/>
  <c r="I1409" i="16"/>
  <c r="I1397" i="16"/>
  <c r="I1393" i="16"/>
  <c r="I1385" i="16"/>
  <c r="I1381" i="16"/>
  <c r="I1377" i="16"/>
  <c r="I1373" i="16"/>
  <c r="I1369" i="16"/>
  <c r="I1365" i="16"/>
  <c r="I1361" i="16"/>
  <c r="I1357" i="16"/>
  <c r="I1349" i="16"/>
  <c r="I1345" i="16"/>
  <c r="I1333" i="16"/>
  <c r="I1325" i="16"/>
  <c r="I1321" i="16"/>
  <c r="I1309" i="16"/>
  <c r="I1285" i="16"/>
  <c r="I1281" i="16"/>
  <c r="I1273" i="16"/>
  <c r="I1261" i="16"/>
  <c r="I1257" i="16"/>
  <c r="I1245" i="16"/>
  <c r="I1237" i="16"/>
  <c r="I1233" i="16"/>
  <c r="I1221" i="16"/>
  <c r="I1205" i="16"/>
  <c r="I1201" i="16"/>
  <c r="I1189" i="16"/>
  <c r="I1177" i="16"/>
  <c r="I1161" i="16"/>
  <c r="I1153" i="16"/>
  <c r="I1141" i="16"/>
  <c r="I1137" i="16"/>
  <c r="I1097" i="16"/>
  <c r="I1093" i="16"/>
  <c r="I1089" i="16"/>
  <c r="I1077" i="16"/>
  <c r="I1069" i="16"/>
  <c r="I1065" i="16"/>
  <c r="I1057" i="16"/>
  <c r="I1053" i="16"/>
  <c r="I1049" i="16"/>
  <c r="I1037" i="16"/>
  <c r="I1029" i="16"/>
  <c r="I1021" i="16"/>
  <c r="I1017" i="16"/>
  <c r="I1013" i="16"/>
  <c r="I1009" i="16"/>
  <c r="I1005" i="16"/>
  <c r="I985" i="16"/>
  <c r="I977" i="16"/>
  <c r="I973" i="16"/>
  <c r="I953" i="16"/>
  <c r="I945" i="16"/>
  <c r="I941" i="16"/>
  <c r="I933" i="16"/>
  <c r="I929" i="16"/>
  <c r="I925" i="16"/>
  <c r="I909" i="16"/>
  <c r="I901" i="16"/>
  <c r="I889" i="16"/>
  <c r="I885" i="16"/>
  <c r="I869" i="16"/>
  <c r="I865" i="16"/>
  <c r="I857" i="16"/>
  <c r="I849" i="16"/>
  <c r="I837" i="16"/>
  <c r="I829" i="16"/>
  <c r="I821" i="16"/>
  <c r="I817" i="16"/>
  <c r="I813" i="16"/>
  <c r="I809" i="16"/>
  <c r="I793" i="16"/>
  <c r="I789" i="16"/>
  <c r="I785" i="16"/>
  <c r="I777" i="16"/>
  <c r="I753" i="16"/>
  <c r="I745" i="16"/>
  <c r="I739" i="16"/>
  <c r="I707" i="16"/>
  <c r="I699" i="16"/>
  <c r="I691" i="16"/>
  <c r="I683" i="16"/>
  <c r="I667" i="16"/>
  <c r="I659" i="16"/>
  <c r="I655" i="16"/>
  <c r="I647" i="16"/>
  <c r="I639" i="16"/>
  <c r="I635" i="16"/>
  <c r="I619" i="16"/>
  <c r="I599" i="16"/>
  <c r="I591" i="16"/>
  <c r="I583" i="16"/>
  <c r="I579" i="16"/>
  <c r="I575" i="16"/>
  <c r="I563" i="16"/>
  <c r="I555" i="16"/>
  <c r="I543" i="16"/>
  <c r="I527" i="16"/>
  <c r="I519" i="16"/>
  <c r="I515" i="16"/>
  <c r="I511" i="16"/>
  <c r="I503" i="16"/>
  <c r="I479" i="16"/>
  <c r="I475" i="16"/>
  <c r="I471" i="16"/>
  <c r="I467" i="16"/>
  <c r="I451" i="16"/>
  <c r="I439" i="16"/>
  <c r="I435" i="16"/>
  <c r="I431" i="16"/>
  <c r="I419" i="16"/>
  <c r="I415" i="16"/>
  <c r="I387" i="16"/>
  <c r="I383" i="16"/>
  <c r="I367" i="16"/>
  <c r="I363" i="16"/>
  <c r="I351" i="16"/>
  <c r="I347" i="16"/>
  <c r="I343" i="16"/>
  <c r="I339" i="16"/>
  <c r="I335" i="16"/>
  <c r="I331" i="16"/>
  <c r="I319" i="16"/>
  <c r="I303" i="16"/>
  <c r="I287" i="16"/>
  <c r="I283" i="16"/>
  <c r="I275" i="16"/>
  <c r="I271" i="16"/>
  <c r="I259" i="16"/>
  <c r="I247" i="16"/>
  <c r="I239" i="16"/>
  <c r="I219" i="16"/>
  <c r="I215" i="16"/>
  <c r="I211" i="16"/>
  <c r="I203" i="16"/>
  <c r="I199" i="16"/>
  <c r="I195" i="16"/>
  <c r="I183" i="16"/>
  <c r="I179" i="16"/>
  <c r="I167" i="16"/>
  <c r="I163" i="16"/>
  <c r="I151" i="16"/>
  <c r="I139" i="16"/>
  <c r="I135" i="16"/>
  <c r="I127" i="16"/>
  <c r="I123" i="16"/>
  <c r="I115" i="16"/>
  <c r="I111" i="16"/>
  <c r="I107" i="16"/>
  <c r="I103" i="16"/>
  <c r="I99" i="16"/>
  <c r="I95" i="16"/>
  <c r="I91" i="16"/>
  <c r="I87" i="16"/>
  <c r="I83" i="16"/>
  <c r="I75" i="16"/>
  <c r="I63" i="16"/>
  <c r="I55" i="16"/>
  <c r="I51" i="16"/>
  <c r="I31" i="16"/>
  <c r="I27" i="16"/>
  <c r="I19" i="16"/>
  <c r="I742" i="16"/>
  <c r="I734" i="16"/>
  <c r="I722" i="16"/>
  <c r="I706" i="16"/>
  <c r="I690" i="16"/>
  <c r="I674" i="16"/>
  <c r="I670" i="16"/>
  <c r="I666" i="16"/>
  <c r="I638" i="16"/>
  <c r="I634" i="16"/>
  <c r="I626" i="16"/>
  <c r="I618" i="16"/>
  <c r="I610" i="16"/>
  <c r="I602" i="16"/>
  <c r="I590" i="16"/>
  <c r="I586" i="16"/>
  <c r="I570" i="16"/>
  <c r="I566" i="16"/>
  <c r="I562" i="16"/>
  <c r="I558" i="16"/>
  <c r="I550" i="16"/>
  <c r="I542" i="16"/>
  <c r="I538" i="16"/>
  <c r="I534" i="16"/>
  <c r="I526" i="16"/>
  <c r="I522" i="16"/>
  <c r="I510" i="16"/>
  <c r="I506" i="16"/>
  <c r="I498" i="16"/>
  <c r="I486" i="16"/>
  <c r="I482" i="16"/>
  <c r="I478" i="16"/>
  <c r="I470" i="16"/>
  <c r="I458" i="16"/>
  <c r="I450" i="16"/>
  <c r="I446" i="16"/>
  <c r="I442" i="16"/>
  <c r="I438" i="16"/>
  <c r="I434" i="16"/>
  <c r="I418" i="16"/>
  <c r="I414" i="16"/>
  <c r="I410" i="16"/>
  <c r="I398" i="16"/>
  <c r="I390" i="16"/>
  <c r="I382" i="16"/>
  <c r="I366" i="16"/>
  <c r="I358" i="16"/>
  <c r="I354" i="16"/>
  <c r="I342" i="16"/>
  <c r="I334" i="16"/>
  <c r="I330" i="16"/>
  <c r="I326" i="16"/>
  <c r="I322" i="16"/>
  <c r="I314" i="16"/>
  <c r="I310" i="16"/>
  <c r="I302" i="16"/>
  <c r="I298" i="16"/>
  <c r="I294" i="16"/>
  <c r="I286" i="16"/>
  <c r="I282" i="16"/>
  <c r="I278" i="16"/>
  <c r="I274" i="16"/>
  <c r="I270" i="16"/>
  <c r="I266" i="16"/>
  <c r="I242" i="16"/>
  <c r="I238" i="16"/>
  <c r="I234" i="16"/>
  <c r="I222" i="16"/>
  <c r="I210" i="16"/>
  <c r="I206" i="16"/>
  <c r="I202" i="16"/>
  <c r="I194" i="16"/>
  <c r="I190" i="16"/>
  <c r="I186" i="16"/>
  <c r="I182" i="16"/>
  <c r="I178" i="16"/>
  <c r="I166" i="16"/>
  <c r="I154" i="16"/>
  <c r="I138" i="16"/>
  <c r="I126" i="16"/>
  <c r="I118" i="16"/>
  <c r="I102" i="16"/>
  <c r="I98" i="16"/>
  <c r="I94" i="16"/>
  <c r="I90" i="16"/>
  <c r="I74" i="16"/>
  <c r="I62" i="16"/>
  <c r="I54" i="16"/>
  <c r="I42" i="16"/>
  <c r="I34" i="16"/>
  <c r="I22" i="16"/>
  <c r="I1513" i="16"/>
  <c r="I1505" i="16"/>
  <c r="I1501" i="16"/>
  <c r="I1493" i="16"/>
  <c r="I1485" i="16"/>
  <c r="I1481" i="16"/>
  <c r="I1473" i="16"/>
  <c r="I1465" i="16"/>
  <c r="I1453" i="16"/>
  <c r="I1449" i="16"/>
  <c r="I1441" i="16"/>
  <c r="I1437" i="16"/>
  <c r="I1433" i="16"/>
  <c r="I1425" i="16"/>
  <c r="I1417" i="16"/>
  <c r="I1413" i="16"/>
  <c r="I1405" i="16"/>
  <c r="I1401" i="16"/>
  <c r="I1389" i="16"/>
  <c r="I1353" i="16"/>
  <c r="I1341" i="16"/>
  <c r="I1337" i="16"/>
  <c r="I1329" i="16"/>
  <c r="I1317" i="16"/>
  <c r="I1313" i="16"/>
  <c r="I1305" i="16"/>
  <c r="I1301" i="16"/>
  <c r="I1297" i="16"/>
  <c r="I1293" i="16"/>
  <c r="I1289" i="16"/>
  <c r="I1265" i="16"/>
  <c r="I1253" i="16"/>
  <c r="I1249" i="16"/>
  <c r="I1241" i="16"/>
  <c r="I1229" i="16"/>
  <c r="I1225" i="16"/>
  <c r="I738" i="16"/>
  <c r="I730" i="16"/>
  <c r="I726" i="16"/>
  <c r="I718" i="16"/>
  <c r="I714" i="16"/>
  <c r="I710" i="16"/>
  <c r="I702" i="16"/>
  <c r="I698" i="16"/>
  <c r="I694" i="16"/>
  <c r="I686" i="16"/>
  <c r="I682" i="16"/>
  <c r="I678" i="16"/>
  <c r="I662" i="16"/>
  <c r="I658" i="16"/>
  <c r="I654" i="16"/>
  <c r="I650" i="16"/>
  <c r="I646" i="16"/>
  <c r="I642" i="16"/>
  <c r="I630" i="16"/>
  <c r="I622" i="16"/>
  <c r="I614" i="16"/>
  <c r="I606" i="16"/>
  <c r="I598" i="16"/>
  <c r="I594" i="16"/>
  <c r="I582" i="16"/>
  <c r="I578" i="16"/>
  <c r="I574" i="16"/>
  <c r="I554" i="16"/>
  <c r="I546" i="16"/>
  <c r="I530" i="16"/>
  <c r="I518" i="16"/>
  <c r="I514" i="16"/>
  <c r="I502" i="16"/>
  <c r="I494" i="16"/>
  <c r="I490" i="16"/>
  <c r="I474" i="16"/>
  <c r="I466" i="16"/>
  <c r="I462" i="16"/>
  <c r="I454" i="16"/>
  <c r="I430" i="16"/>
  <c r="I426" i="16"/>
  <c r="I422" i="16"/>
  <c r="I406" i="16"/>
  <c r="I402" i="16"/>
  <c r="I394" i="16"/>
  <c r="I386" i="16"/>
  <c r="I378" i="16"/>
  <c r="I374" i="16"/>
  <c r="I370" i="16"/>
  <c r="I362" i="16"/>
  <c r="I350" i="16"/>
  <c r="I346" i="16"/>
  <c r="I338" i="16"/>
  <c r="I318" i="16"/>
  <c r="I306" i="16"/>
  <c r="I290" i="16"/>
  <c r="I262" i="16"/>
  <c r="I258" i="16"/>
  <c r="I254" i="16"/>
  <c r="I250" i="16"/>
  <c r="I246" i="16"/>
  <c r="I230" i="16"/>
  <c r="I226" i="16"/>
  <c r="I218" i="16"/>
  <c r="I214" i="16"/>
  <c r="I198" i="16"/>
  <c r="I174" i="16"/>
  <c r="I170" i="16"/>
  <c r="I162" i="16"/>
  <c r="I158" i="16"/>
  <c r="I150" i="16"/>
  <c r="I146" i="16"/>
  <c r="I142" i="16"/>
  <c r="I134" i="16"/>
  <c r="I130" i="16"/>
  <c r="I122" i="16"/>
  <c r="I114" i="16"/>
  <c r="I110" i="16"/>
  <c r="I106" i="16"/>
  <c r="I86" i="16"/>
  <c r="I82" i="16"/>
  <c r="I78" i="16"/>
  <c r="I70" i="16"/>
  <c r="I66" i="16"/>
  <c r="I58" i="16"/>
  <c r="I50" i="16"/>
  <c r="I46" i="16"/>
  <c r="I38" i="16"/>
  <c r="I30" i="16"/>
  <c r="I26" i="16"/>
  <c r="I18" i="16"/>
  <c r="I737" i="16"/>
  <c r="I733" i="16"/>
  <c r="I729" i="16"/>
  <c r="I725" i="16"/>
  <c r="I717" i="16"/>
  <c r="I705" i="16"/>
  <c r="I693" i="16"/>
  <c r="I685" i="16"/>
  <c r="I669" i="16"/>
  <c r="I661" i="16"/>
  <c r="I657" i="16"/>
  <c r="I649" i="16"/>
  <c r="I645" i="16"/>
  <c r="I641" i="16"/>
  <c r="I633" i="16"/>
  <c r="I621" i="16"/>
  <c r="I601" i="16"/>
  <c r="I597" i="16"/>
  <c r="I585" i="16"/>
  <c r="I581" i="16"/>
  <c r="I577" i="16"/>
  <c r="I573" i="16"/>
  <c r="I557" i="16"/>
  <c r="I541" i="16"/>
  <c r="I529" i="16"/>
  <c r="I525" i="16"/>
  <c r="I521" i="16"/>
  <c r="I513" i="16"/>
  <c r="I509" i="16"/>
  <c r="I505" i="16"/>
  <c r="I501" i="16"/>
  <c r="I493" i="16"/>
  <c r="I485" i="16"/>
  <c r="I481" i="16"/>
  <c r="I477" i="16"/>
  <c r="I473" i="16"/>
  <c r="I469" i="16"/>
  <c r="I465" i="16"/>
  <c r="I453" i="16"/>
  <c r="I445" i="16"/>
  <c r="I441" i="16"/>
  <c r="I437" i="16"/>
  <c r="I433" i="16"/>
  <c r="I421" i="16"/>
  <c r="I417" i="16"/>
  <c r="I413" i="16"/>
  <c r="I409" i="16"/>
  <c r="I397" i="16"/>
  <c r="I393" i="16"/>
  <c r="I389" i="16"/>
  <c r="I385" i="16"/>
  <c r="I365" i="16"/>
  <c r="I361" i="16"/>
  <c r="I353" i="16"/>
  <c r="I345" i="16"/>
  <c r="I333" i="16"/>
  <c r="I329" i="16"/>
  <c r="I321" i="16"/>
  <c r="I309" i="16"/>
  <c r="I305" i="16"/>
  <c r="I297" i="16"/>
  <c r="I285" i="16"/>
  <c r="I281" i="16"/>
  <c r="I269" i="16"/>
  <c r="I261" i="16"/>
  <c r="I257" i="16"/>
  <c r="I249" i="16"/>
  <c r="I245" i="16"/>
  <c r="I241" i="16"/>
  <c r="I237" i="16"/>
  <c r="I221" i="16"/>
  <c r="I217" i="16"/>
  <c r="I209" i="16"/>
  <c r="I197" i="16"/>
  <c r="I193" i="16"/>
  <c r="I161" i="16"/>
  <c r="I145" i="16"/>
  <c r="I137" i="16"/>
  <c r="I121" i="16"/>
  <c r="I105" i="16"/>
  <c r="I93" i="16"/>
  <c r="I81" i="16"/>
  <c r="I73" i="16"/>
  <c r="I33" i="16"/>
  <c r="I21" i="16"/>
  <c r="I1512" i="16"/>
  <c r="I1504" i="16"/>
  <c r="I1488" i="16"/>
  <c r="I1484" i="16"/>
  <c r="I1480" i="16"/>
  <c r="I1476" i="16"/>
  <c r="I1472" i="16"/>
  <c r="I1468" i="16"/>
  <c r="I1460" i="16"/>
  <c r="I1456" i="16"/>
  <c r="I1452" i="16"/>
  <c r="I1448" i="16"/>
  <c r="I1516" i="16"/>
  <c r="I1508" i="16"/>
  <c r="I1500" i="16"/>
  <c r="I1496" i="16"/>
  <c r="I1492" i="16"/>
  <c r="I1464" i="16"/>
  <c r="I1444" i="16"/>
  <c r="I1436" i="16"/>
  <c r="I1420" i="16"/>
  <c r="I1416" i="16"/>
  <c r="I1412" i="16"/>
  <c r="I1408" i="16"/>
  <c r="I1400" i="16"/>
  <c r="I1380" i="16"/>
  <c r="I1376" i="16"/>
  <c r="I1364" i="16"/>
  <c r="I1348" i="16"/>
  <c r="I1340" i="16"/>
  <c r="I1332" i="16"/>
  <c r="I1328" i="16"/>
  <c r="I1324" i="16"/>
  <c r="I1316" i="16"/>
  <c r="I1308" i="16"/>
  <c r="I1304" i="16"/>
  <c r="I1300" i="16"/>
  <c r="I1296" i="16"/>
  <c r="I1292" i="16"/>
  <c r="I1288" i="16"/>
  <c r="I1284" i="16"/>
  <c r="I1272" i="16"/>
  <c r="I1260" i="16"/>
  <c r="I1252" i="16"/>
  <c r="I1244" i="16"/>
  <c r="I1240" i="16"/>
  <c r="I1224" i="16"/>
  <c r="I1212" i="16"/>
  <c r="I1208" i="16"/>
  <c r="I1204" i="16"/>
  <c r="I1192" i="16"/>
  <c r="I1188" i="16"/>
  <c r="I1184" i="16"/>
  <c r="I1180" i="16"/>
  <c r="I1168" i="16"/>
  <c r="I1164" i="16"/>
  <c r="I1160" i="16"/>
  <c r="I1156" i="16"/>
  <c r="I1152" i="16"/>
  <c r="I1140" i="16"/>
  <c r="I1132" i="16"/>
  <c r="I1128" i="16"/>
  <c r="I1120" i="16"/>
  <c r="I1116" i="16"/>
  <c r="I1108" i="16"/>
  <c r="I1080" i="16"/>
  <c r="I1076" i="16"/>
  <c r="I1072" i="16"/>
  <c r="I1064" i="16"/>
  <c r="I1060" i="16"/>
  <c r="I1052" i="16"/>
  <c r="I1036" i="16"/>
  <c r="I1028" i="16"/>
  <c r="I1024" i="16"/>
  <c r="I1012" i="16"/>
  <c r="I992" i="16"/>
  <c r="I980" i="16"/>
  <c r="I972" i="16"/>
  <c r="I968" i="16"/>
  <c r="I960" i="16"/>
  <c r="I948" i="16"/>
  <c r="I928" i="16"/>
  <c r="I920" i="16"/>
  <c r="I912" i="16"/>
  <c r="I908" i="16"/>
  <c r="I884" i="16"/>
  <c r="I880" i="16"/>
  <c r="I876" i="16"/>
  <c r="I852" i="16"/>
  <c r="I848" i="16"/>
  <c r="I820" i="16"/>
  <c r="I816" i="16"/>
  <c r="I812" i="16"/>
  <c r="I796" i="16"/>
  <c r="I792" i="16"/>
  <c r="I788" i="16"/>
  <c r="I780" i="16"/>
  <c r="I772" i="16"/>
  <c r="I768" i="16"/>
  <c r="I760" i="16"/>
  <c r="I736" i="16"/>
  <c r="I724" i="16"/>
  <c r="I712" i="16"/>
  <c r="I708" i="16"/>
  <c r="I704" i="16"/>
  <c r="I692" i="16"/>
  <c r="I688" i="16"/>
  <c r="I684" i="16"/>
  <c r="I668" i="16"/>
  <c r="I664" i="16"/>
  <c r="I656" i="16"/>
  <c r="I644" i="16"/>
  <c r="I620" i="16"/>
  <c r="I616" i="16"/>
  <c r="I612" i="16"/>
  <c r="I608" i="16"/>
  <c r="I592" i="16"/>
  <c r="I584" i="16"/>
  <c r="I576" i="16"/>
  <c r="I572" i="16"/>
  <c r="I568" i="16"/>
  <c r="I564" i="16"/>
  <c r="I556" i="16"/>
  <c r="I552" i="16"/>
  <c r="I544" i="16"/>
  <c r="I532" i="16"/>
  <c r="I528" i="16"/>
  <c r="I524" i="16"/>
  <c r="I520" i="16"/>
  <c r="I512" i="16"/>
  <c r="I508" i="16"/>
  <c r="I496" i="16"/>
  <c r="I488" i="16"/>
  <c r="I476" i="16"/>
  <c r="I468" i="16"/>
  <c r="I456" i="16"/>
  <c r="I452" i="16"/>
  <c r="I432" i="16"/>
  <c r="I428" i="16"/>
  <c r="I1515" i="16"/>
  <c r="I1499" i="16"/>
  <c r="I1463" i="16"/>
  <c r="I1447" i="16"/>
  <c r="I1435" i="16"/>
  <c r="I1431" i="16"/>
  <c r="I1427" i="16"/>
  <c r="I1423" i="16"/>
  <c r="I1419" i="16"/>
  <c r="I1415" i="16"/>
  <c r="I1411" i="16"/>
  <c r="I1403" i="16"/>
  <c r="I1391" i="16"/>
  <c r="I1387" i="16"/>
  <c r="I1383" i="16"/>
  <c r="I1375" i="16"/>
  <c r="I1371" i="16"/>
  <c r="I1367" i="16"/>
  <c r="I1363" i="16"/>
  <c r="I1355" i="16"/>
  <c r="I1347" i="16"/>
  <c r="I1339" i="16"/>
  <c r="I1335" i="16"/>
  <c r="I1331" i="16"/>
  <c r="I1323" i="16"/>
  <c r="I1319" i="16"/>
  <c r="I1307" i="16"/>
  <c r="I1303" i="16"/>
  <c r="I1287" i="16"/>
  <c r="I1279" i="16"/>
  <c r="I1271" i="16"/>
  <c r="I1267" i="16"/>
  <c r="I1263" i="16"/>
  <c r="I1259" i="16"/>
  <c r="I1251" i="16"/>
  <c r="I1239" i="16"/>
  <c r="I1235" i="16"/>
  <c r="I1223" i="16"/>
  <c r="I1215" i="16"/>
  <c r="I1199" i="16"/>
  <c r="I1195" i="16"/>
  <c r="I1191" i="16"/>
  <c r="I1187" i="16"/>
  <c r="I1179" i="16"/>
  <c r="I1175" i="16"/>
  <c r="I1171" i="16"/>
  <c r="I1163" i="16"/>
  <c r="I1155" i="16"/>
  <c r="I1151" i="16"/>
  <c r="I1139" i="16"/>
  <c r="I1135" i="16"/>
  <c r="I1131" i="16"/>
  <c r="I1123" i="16"/>
  <c r="I1115" i="16"/>
  <c r="I1111" i="16"/>
  <c r="I1107" i="16"/>
  <c r="I1099" i="16"/>
  <c r="I1091" i="16"/>
  <c r="I1087" i="16"/>
  <c r="I1083" i="16"/>
  <c r="I1079" i="16"/>
  <c r="I1059" i="16"/>
  <c r="I1051" i="16"/>
  <c r="I1043" i="16"/>
  <c r="I1039" i="16"/>
  <c r="I1031" i="16"/>
  <c r="I1015" i="16"/>
  <c r="I1007" i="16"/>
  <c r="I999" i="16"/>
  <c r="I983" i="16"/>
  <c r="I979" i="16"/>
  <c r="I967" i="16"/>
  <c r="I959" i="16"/>
  <c r="I951" i="16"/>
  <c r="I947" i="16"/>
  <c r="I943" i="16"/>
  <c r="I939" i="16"/>
  <c r="I927" i="16"/>
  <c r="I923" i="16"/>
  <c r="I915" i="16"/>
  <c r="I907" i="16"/>
  <c r="I899" i="16"/>
  <c r="I895" i="16"/>
  <c r="I891" i="16"/>
  <c r="I887" i="16"/>
  <c r="I871" i="16"/>
  <c r="I867" i="16"/>
  <c r="I859" i="16"/>
  <c r="I855" i="16"/>
  <c r="I847" i="16"/>
  <c r="I831" i="16"/>
  <c r="I823" i="16"/>
  <c r="I807" i="16"/>
  <c r="I803" i="16"/>
  <c r="I799" i="16"/>
  <c r="I791" i="16"/>
  <c r="I787" i="16"/>
  <c r="I775" i="16"/>
  <c r="I767" i="16"/>
  <c r="I763" i="16"/>
  <c r="I751" i="16"/>
  <c r="I747" i="16"/>
  <c r="I735" i="16"/>
  <c r="I731" i="16"/>
  <c r="I727" i="16"/>
  <c r="I723" i="16"/>
  <c r="I719" i="16"/>
  <c r="I715" i="16"/>
  <c r="I711" i="16"/>
  <c r="I703" i="16"/>
  <c r="I695" i="16"/>
  <c r="I687" i="16"/>
  <c r="I679" i="16"/>
  <c r="I675" i="16"/>
  <c r="I671" i="16"/>
  <c r="I663" i="16"/>
  <c r="I651" i="16"/>
  <c r="I643" i="16"/>
  <c r="I416" i="16"/>
  <c r="I408" i="16"/>
  <c r="I404" i="16"/>
  <c r="I392" i="16"/>
  <c r="I388" i="16"/>
  <c r="I376" i="16"/>
  <c r="I352" i="16"/>
  <c r="I348" i="16"/>
  <c r="I344" i="16"/>
  <c r="I340" i="16"/>
  <c r="I336" i="16"/>
  <c r="I324" i="16"/>
  <c r="I304" i="16"/>
  <c r="I296" i="16"/>
  <c r="I292" i="16"/>
  <c r="I284" i="16"/>
  <c r="I272" i="16"/>
  <c r="I268" i="16"/>
  <c r="I244" i="16"/>
  <c r="I240" i="16"/>
  <c r="I236" i="16"/>
  <c r="I232" i="16"/>
  <c r="I220" i="16"/>
  <c r="I208" i="16"/>
  <c r="I204" i="16"/>
  <c r="I200" i="16"/>
  <c r="I196" i="16"/>
  <c r="I192" i="16"/>
  <c r="I188" i="16"/>
  <c r="I184" i="16"/>
  <c r="I180" i="16"/>
  <c r="I176" i="16"/>
  <c r="I168" i="16"/>
  <c r="I164" i="16"/>
  <c r="I156" i="16"/>
  <c r="I148" i="16"/>
  <c r="I144" i="16"/>
  <c r="I136" i="16"/>
  <c r="I132" i="16"/>
  <c r="I120" i="16"/>
  <c r="I108" i="16"/>
  <c r="I92" i="16"/>
  <c r="I88" i="16"/>
  <c r="I80" i="16"/>
  <c r="I72" i="16"/>
  <c r="I68" i="16"/>
  <c r="I60" i="16"/>
  <c r="I56" i="16"/>
  <c r="I48" i="16"/>
  <c r="I44" i="16"/>
  <c r="I40" i="16"/>
  <c r="I36" i="16"/>
  <c r="I28" i="16"/>
  <c r="I24" i="16"/>
  <c r="I20" i="16"/>
  <c r="I191" i="16"/>
  <c r="I175" i="16"/>
  <c r="I171" i="16"/>
  <c r="I159" i="16"/>
  <c r="I155" i="16"/>
  <c r="I147" i="16"/>
  <c r="I143" i="16"/>
  <c r="I119" i="16"/>
  <c r="I79" i="16"/>
  <c r="I71" i="16"/>
  <c r="I67" i="16"/>
  <c r="I59" i="16"/>
  <c r="I47" i="16"/>
  <c r="I43" i="16"/>
  <c r="I35" i="16"/>
  <c r="I23" i="16"/>
  <c r="I631" i="16"/>
  <c r="I627" i="16"/>
  <c r="I623" i="16"/>
  <c r="I615" i="16"/>
  <c r="I611" i="16"/>
  <c r="I607" i="16"/>
  <c r="I603" i="16"/>
  <c r="I595" i="16"/>
  <c r="I587" i="16"/>
  <c r="I571" i="16"/>
  <c r="I567" i="16"/>
  <c r="I559" i="16"/>
  <c r="I551" i="16"/>
  <c r="I547" i="16"/>
  <c r="I539" i="16"/>
  <c r="I535" i="16"/>
  <c r="I531" i="16"/>
  <c r="I523" i="16"/>
  <c r="I507" i="16"/>
  <c r="I499" i="16"/>
  <c r="I495" i="16"/>
  <c r="I491" i="16"/>
  <c r="I487" i="16"/>
  <c r="I483" i="16"/>
  <c r="I463" i="16"/>
  <c r="I459" i="16"/>
  <c r="I455" i="16"/>
  <c r="I447" i="16"/>
  <c r="I443" i="16"/>
  <c r="I427" i="16"/>
  <c r="I423" i="16"/>
  <c r="I411" i="16"/>
  <c r="I407" i="16"/>
  <c r="I403" i="16"/>
  <c r="I399" i="16"/>
  <c r="I395" i="16"/>
  <c r="I391" i="16"/>
  <c r="I379" i="16"/>
  <c r="I375" i="16"/>
  <c r="I371" i="16"/>
  <c r="I359" i="16"/>
  <c r="I355" i="16"/>
  <c r="I327" i="16"/>
  <c r="I323" i="16"/>
  <c r="I315" i="16"/>
  <c r="I311" i="16"/>
  <c r="I307" i="16"/>
  <c r="I299" i="16"/>
  <c r="I295" i="16"/>
  <c r="I291" i="16"/>
  <c r="I279" i="16"/>
  <c r="I267" i="16"/>
  <c r="I263" i="16"/>
  <c r="I255" i="16"/>
  <c r="I251" i="16"/>
  <c r="I243" i="16"/>
  <c r="I235" i="16"/>
  <c r="I231" i="16"/>
  <c r="I227" i="16"/>
  <c r="I223" i="16"/>
  <c r="I207" i="16"/>
  <c r="I187" i="16"/>
  <c r="I131" i="16"/>
  <c r="I39" i="16"/>
  <c r="I1440" i="16"/>
  <c r="I1432" i="16"/>
  <c r="I1428" i="16"/>
  <c r="I1424" i="16"/>
  <c r="I1404" i="16"/>
  <c r="I1396" i="16"/>
  <c r="I1392" i="16"/>
  <c r="I1388" i="16"/>
  <c r="I1384" i="16"/>
  <c r="I1372" i="16"/>
  <c r="I1368" i="16"/>
  <c r="I1360" i="16"/>
  <c r="I1356" i="16"/>
  <c r="I1352" i="16"/>
  <c r="I1344" i="16"/>
  <c r="I1336" i="16"/>
  <c r="I1320" i="16"/>
  <c r="I1312" i="16"/>
  <c r="I1280" i="16"/>
  <c r="I1276" i="16"/>
  <c r="I1268" i="16"/>
  <c r="I1264" i="16"/>
  <c r="I1256" i="16"/>
  <c r="I1248" i="16"/>
  <c r="I1236" i="16"/>
  <c r="I1232" i="16"/>
  <c r="I1228" i="16"/>
  <c r="I1220" i="16"/>
  <c r="I1216" i="16"/>
  <c r="I1200" i="16"/>
  <c r="I1196" i="16"/>
  <c r="I1176" i="16"/>
  <c r="I1172" i="16"/>
  <c r="I1148" i="16"/>
  <c r="I1144" i="16"/>
  <c r="I1136" i="16"/>
  <c r="I1124" i="16"/>
  <c r="I1112" i="16"/>
  <c r="I1104" i="16"/>
  <c r="I1100" i="16"/>
  <c r="I1096" i="16"/>
  <c r="I1092" i="16"/>
  <c r="I1088" i="16"/>
  <c r="I1084" i="16"/>
  <c r="I1068" i="16"/>
  <c r="I1056" i="16"/>
  <c r="I1048" i="16"/>
  <c r="I1044" i="16"/>
  <c r="I1040" i="16"/>
  <c r="I1032" i="16"/>
  <c r="I1020" i="16"/>
  <c r="I1016" i="16"/>
  <c r="I1008" i="16"/>
  <c r="I1004" i="16"/>
  <c r="I1000" i="16"/>
  <c r="I996" i="16"/>
  <c r="I988" i="16"/>
  <c r="I984" i="16"/>
  <c r="I976" i="16"/>
  <c r="I964" i="16"/>
  <c r="I956" i="16"/>
  <c r="I952" i="16"/>
  <c r="I944" i="16"/>
  <c r="I940" i="16"/>
  <c r="I936" i="16"/>
  <c r="I932" i="16"/>
  <c r="I924" i="16"/>
  <c r="I916" i="16"/>
  <c r="I904" i="16"/>
  <c r="I900" i="16"/>
  <c r="I896" i="16"/>
  <c r="I892" i="16"/>
  <c r="I888" i="16"/>
  <c r="I872" i="16"/>
  <c r="I868" i="16"/>
  <c r="I864" i="16"/>
  <c r="I860" i="16"/>
  <c r="I856" i="16"/>
  <c r="I844" i="16"/>
  <c r="I840" i="16"/>
  <c r="I836" i="16"/>
  <c r="I832" i="16"/>
  <c r="I828" i="16"/>
  <c r="I824" i="16"/>
  <c r="I808" i="16"/>
  <c r="I804" i="16"/>
  <c r="I800" i="16"/>
  <c r="I784" i="16"/>
  <c r="I776" i="16"/>
  <c r="I764" i="16"/>
  <c r="I756" i="16"/>
  <c r="I752" i="16"/>
  <c r="I748" i="16"/>
  <c r="I744" i="16"/>
  <c r="I740" i="16"/>
  <c r="I732" i="16"/>
  <c r="I728" i="16"/>
  <c r="I720" i="16"/>
  <c r="I716" i="16"/>
  <c r="I700" i="16"/>
  <c r="I696" i="16"/>
  <c r="I680" i="16"/>
  <c r="I676" i="16"/>
  <c r="I672" i="16"/>
  <c r="I660" i="16"/>
  <c r="I652" i="16"/>
  <c r="I648" i="16"/>
  <c r="I640" i="16"/>
  <c r="I636" i="16"/>
  <c r="I632" i="16"/>
  <c r="I628" i="16"/>
  <c r="I624" i="16"/>
  <c r="I604" i="16"/>
  <c r="I600" i="16"/>
  <c r="I596" i="16"/>
  <c r="I588" i="16"/>
  <c r="I580" i="16"/>
  <c r="I560" i="16"/>
  <c r="I548" i="16"/>
  <c r="I540" i="16"/>
  <c r="I536" i="16"/>
  <c r="I516" i="16"/>
  <c r="I504" i="16"/>
  <c r="I500" i="16"/>
  <c r="I492" i="16"/>
  <c r="I484" i="16"/>
  <c r="I480" i="16"/>
  <c r="I1197" i="16"/>
  <c r="I1149" i="16"/>
  <c r="I1117" i="16"/>
  <c r="I1061" i="16"/>
  <c r="I1045" i="16"/>
  <c r="I997" i="16"/>
  <c r="I969" i="16"/>
  <c r="I921" i="16"/>
  <c r="I833" i="16"/>
  <c r="I805" i="16"/>
  <c r="I765" i="16"/>
  <c r="I709" i="16"/>
  <c r="I677" i="16"/>
  <c r="I625" i="16"/>
  <c r="I605" i="16"/>
  <c r="I565" i="16"/>
  <c r="I549" i="16"/>
  <c r="I497" i="16"/>
  <c r="I461" i="16"/>
  <c r="I429" i="16"/>
  <c r="I381" i="16"/>
  <c r="I341" i="16"/>
  <c r="I325" i="16"/>
  <c r="I265" i="16"/>
  <c r="I225" i="16"/>
  <c r="I201" i="16"/>
  <c r="I181" i="16"/>
  <c r="I141" i="16"/>
  <c r="I101" i="16"/>
  <c r="I61" i="16"/>
  <c r="I41" i="16"/>
  <c r="I1125" i="16"/>
  <c r="I1101" i="16"/>
  <c r="I1085" i="16"/>
  <c r="I993" i="16"/>
  <c r="I961" i="16"/>
  <c r="I913" i="16"/>
  <c r="I897" i="16"/>
  <c r="I877" i="16"/>
  <c r="I861" i="16"/>
  <c r="I845" i="16"/>
  <c r="I825" i="16"/>
  <c r="I769" i="16"/>
  <c r="I749" i="16"/>
  <c r="I713" i="16"/>
  <c r="I689" i="16"/>
  <c r="I609" i="16"/>
  <c r="I533" i="16"/>
  <c r="I517" i="16"/>
  <c r="I405" i="16"/>
  <c r="I369" i="16"/>
  <c r="I337" i="16"/>
  <c r="I317" i="16"/>
  <c r="I205" i="16"/>
  <c r="I177" i="16"/>
  <c r="I157" i="16"/>
  <c r="I133" i="16"/>
  <c r="I113" i="16"/>
  <c r="I57" i="16"/>
  <c r="I37" i="16"/>
  <c r="I25" i="16"/>
  <c r="I1129" i="16"/>
  <c r="I1025" i="16"/>
  <c r="I981" i="16"/>
  <c r="I881" i="16"/>
  <c r="I797" i="16"/>
  <c r="I757" i="16"/>
  <c r="I721" i="16"/>
  <c r="I701" i="16"/>
  <c r="I681" i="16"/>
  <c r="I629" i="16"/>
  <c r="I613" i="16"/>
  <c r="I593" i="16"/>
  <c r="I569" i="16"/>
  <c r="I545" i="16"/>
  <c r="I489" i="16"/>
  <c r="I449" i="16"/>
  <c r="I425" i="16"/>
  <c r="I401" i="16"/>
  <c r="I373" i="16"/>
  <c r="I349" i="16"/>
  <c r="I289" i="16"/>
  <c r="I253" i="16"/>
  <c r="I229" i="16"/>
  <c r="I185" i="16"/>
  <c r="I165" i="16"/>
  <c r="I125" i="16"/>
  <c r="I85" i="16"/>
  <c r="I65" i="16"/>
  <c r="I49" i="16"/>
  <c r="I29" i="16"/>
  <c r="I464" i="16"/>
  <c r="I460" i="16"/>
  <c r="I448" i="16"/>
  <c r="I444" i="16"/>
  <c r="I440" i="16"/>
  <c r="I436" i="16"/>
  <c r="I424" i="16"/>
  <c r="I420" i="16"/>
  <c r="I412" i="16"/>
  <c r="I400" i="16"/>
  <c r="I396" i="16"/>
  <c r="I384" i="16"/>
  <c r="I380" i="16"/>
  <c r="I372" i="16"/>
  <c r="I368" i="16"/>
  <c r="I364" i="16"/>
  <c r="I360" i="16"/>
  <c r="I356" i="16"/>
  <c r="I332" i="16"/>
  <c r="I328" i="16"/>
  <c r="I320" i="16"/>
  <c r="I316" i="16"/>
  <c r="I312" i="16"/>
  <c r="I308" i="16"/>
  <c r="I300" i="16"/>
  <c r="I288" i="16"/>
  <c r="I280" i="16"/>
  <c r="I276" i="16"/>
  <c r="I264" i="16"/>
  <c r="I260" i="16"/>
  <c r="I256" i="16"/>
  <c r="I252" i="16"/>
  <c r="I248" i="16"/>
  <c r="I228" i="16"/>
  <c r="I224" i="16"/>
  <c r="I216" i="16"/>
  <c r="I212" i="16"/>
  <c r="I172" i="16"/>
  <c r="I160" i="16"/>
  <c r="I152" i="16"/>
  <c r="I140" i="16"/>
  <c r="I128" i="16"/>
  <c r="I124" i="16"/>
  <c r="I116" i="16"/>
  <c r="I112" i="16"/>
  <c r="I104" i="16"/>
  <c r="I100" i="16"/>
  <c r="I96" i="16"/>
  <c r="I84" i="16"/>
  <c r="I76" i="16"/>
  <c r="I64" i="16"/>
  <c r="I52" i="16"/>
  <c r="I32" i="16"/>
  <c r="I1277" i="16"/>
  <c r="I1269" i="16"/>
  <c r="I1217" i="16"/>
  <c r="I1213" i="16"/>
  <c r="I1209" i="16"/>
  <c r="I1193" i="16"/>
  <c r="I1185" i="16"/>
  <c r="I1181" i="16"/>
  <c r="I1173" i="16"/>
  <c r="I1169" i="16"/>
  <c r="I1165" i="16"/>
  <c r="I1157" i="16"/>
  <c r="I1145" i="16"/>
  <c r="I1133" i="16"/>
  <c r="I1121" i="16"/>
  <c r="I1113" i="16"/>
  <c r="I1109" i="16"/>
  <c r="I1105" i="16"/>
  <c r="I1081" i="16"/>
  <c r="I1073" i="16"/>
  <c r="I1041" i="16"/>
  <c r="I1033" i="16"/>
  <c r="I1001" i="16"/>
  <c r="I989" i="16"/>
  <c r="I965" i="16"/>
  <c r="I957" i="16"/>
  <c r="I949" i="16"/>
  <c r="I937" i="16"/>
  <c r="I917" i="16"/>
  <c r="I905" i="16"/>
  <c r="I893" i="16"/>
  <c r="I873" i="16"/>
  <c r="I853" i="16"/>
  <c r="I841" i="16"/>
  <c r="I801" i="16"/>
  <c r="I781" i="16"/>
  <c r="I773" i="16"/>
  <c r="I761" i="16"/>
  <c r="I741" i="16"/>
  <c r="I697" i="16"/>
  <c r="I673" i="16"/>
  <c r="I665" i="16"/>
  <c r="I653" i="16"/>
  <c r="I637" i="16"/>
  <c r="I617" i="16"/>
  <c r="I589" i="16"/>
  <c r="I561" i="16"/>
  <c r="I553" i="16"/>
  <c r="I537" i="16"/>
  <c r="I457" i="16"/>
  <c r="I377" i="16"/>
  <c r="I357" i="16"/>
  <c r="I313" i="16"/>
  <c r="I301" i="16"/>
  <c r="I293" i="16"/>
  <c r="I277" i="16"/>
  <c r="I273" i="16"/>
  <c r="I233" i="16"/>
  <c r="I213" i="16"/>
  <c r="I189" i="16"/>
  <c r="I173" i="16"/>
  <c r="I169" i="16"/>
  <c r="I153" i="16"/>
  <c r="I149" i="16"/>
  <c r="I129" i="16"/>
  <c r="I117" i="16"/>
  <c r="I109" i="16"/>
  <c r="I97" i="16"/>
  <c r="I89" i="16"/>
  <c r="I77" i="16"/>
  <c r="I69" i="16"/>
  <c r="I53" i="16"/>
  <c r="I45" i="16"/>
  <c r="I472" i="16"/>
  <c r="N17" i="16" a="1"/>
  <c r="Q1509" i="16"/>
  <c r="R1509" i="16" s="1"/>
  <c r="Q1505" i="16"/>
  <c r="R1505" i="16" s="1"/>
  <c r="Q1501" i="16"/>
  <c r="R1501" i="16" s="1"/>
  <c r="Q1493" i="16"/>
  <c r="R1493" i="16" s="1"/>
  <c r="Q1485" i="16"/>
  <c r="R1485" i="16" s="1"/>
  <c r="Q1481" i="16"/>
  <c r="R1481" i="16" s="1"/>
  <c r="Q1473" i="16"/>
  <c r="R1473" i="16" s="1"/>
  <c r="Q1465" i="16"/>
  <c r="R1465" i="16" s="1"/>
  <c r="Q1453" i="16"/>
  <c r="R1453" i="16" s="1"/>
  <c r="Q1449" i="16"/>
  <c r="R1449" i="16" s="1"/>
  <c r="Q1441" i="16"/>
  <c r="R1441" i="16" s="1"/>
  <c r="Q1437" i="16"/>
  <c r="R1437" i="16" s="1"/>
  <c r="Q1433" i="16"/>
  <c r="R1433" i="16" s="1"/>
  <c r="Q1425" i="16"/>
  <c r="R1425" i="16" s="1"/>
  <c r="Q1417" i="16"/>
  <c r="R1417" i="16" s="1"/>
  <c r="Q1413" i="16"/>
  <c r="R1413" i="16" s="1"/>
  <c r="Q1405" i="16"/>
  <c r="R1405" i="16" s="1"/>
  <c r="Q1401" i="16"/>
  <c r="R1401" i="16" s="1"/>
  <c r="Q1389" i="16"/>
  <c r="R1389" i="16" s="1"/>
  <c r="Q1353" i="16"/>
  <c r="R1353" i="16" s="1"/>
  <c r="Q1341" i="16"/>
  <c r="R1341" i="16" s="1"/>
  <c r="Q1337" i="16"/>
  <c r="R1337" i="16" s="1"/>
  <c r="Q1329" i="16"/>
  <c r="R1329" i="16" s="1"/>
  <c r="Q1317" i="16"/>
  <c r="R1317" i="16" s="1"/>
  <c r="Q1313" i="16"/>
  <c r="R1313" i="16" s="1"/>
  <c r="Q1305" i="16"/>
  <c r="R1305" i="16" s="1"/>
  <c r="Q1301" i="16"/>
  <c r="R1301" i="16" s="1"/>
  <c r="Q1297" i="16"/>
  <c r="R1297" i="16" s="1"/>
  <c r="Q1293" i="16"/>
  <c r="R1293" i="16" s="1"/>
  <c r="Q1289" i="16"/>
  <c r="R1289" i="16" s="1"/>
  <c r="Q1277" i="16"/>
  <c r="R1277" i="16" s="1"/>
  <c r="Q1269" i="16"/>
  <c r="R1269" i="16" s="1"/>
  <c r="Q1265" i="16"/>
  <c r="R1265" i="16" s="1"/>
  <c r="Q1253" i="16"/>
  <c r="R1253" i="16" s="1"/>
  <c r="Q1249" i="16"/>
  <c r="R1249" i="16" s="1"/>
  <c r="Q1241" i="16"/>
  <c r="R1241" i="16" s="1"/>
  <c r="Q1229" i="16"/>
  <c r="R1229" i="16" s="1"/>
  <c r="Q1225" i="16"/>
  <c r="R1225" i="16" s="1"/>
  <c r="Q1217" i="16"/>
  <c r="R1217" i="16" s="1"/>
  <c r="Q1213" i="16"/>
  <c r="R1213" i="16" s="1"/>
  <c r="Q1209" i="16"/>
  <c r="R1209" i="16" s="1"/>
  <c r="Q1197" i="16"/>
  <c r="R1197" i="16" s="1"/>
  <c r="Q1193" i="16"/>
  <c r="R1193" i="16" s="1"/>
  <c r="Q1185" i="16"/>
  <c r="R1185" i="16" s="1"/>
  <c r="Q1181" i="16"/>
  <c r="R1181" i="16" s="1"/>
  <c r="Q1173" i="16"/>
  <c r="R1173" i="16" s="1"/>
  <c r="Q1169" i="16"/>
  <c r="R1169" i="16" s="1"/>
  <c r="Q1165" i="16"/>
  <c r="R1165" i="16" s="1"/>
  <c r="Q1157" i="16"/>
  <c r="R1157" i="16" s="1"/>
  <c r="Q1149" i="16"/>
  <c r="R1149" i="16" s="1"/>
  <c r="Q1145" i="16"/>
  <c r="R1145" i="16" s="1"/>
  <c r="Q1133" i="16"/>
  <c r="R1133" i="16" s="1"/>
  <c r="Q1129" i="16"/>
  <c r="R1129" i="16" s="1"/>
  <c r="Q1125" i="16"/>
  <c r="R1125" i="16" s="1"/>
  <c r="Q1121" i="16"/>
  <c r="R1121" i="16" s="1"/>
  <c r="Q1117" i="16"/>
  <c r="R1117" i="16" s="1"/>
  <c r="Q1113" i="16"/>
  <c r="R1113" i="16" s="1"/>
  <c r="Q1109" i="16"/>
  <c r="R1109" i="16" s="1"/>
  <c r="Q1105" i="16"/>
  <c r="R1105" i="16" s="1"/>
  <c r="Q1101" i="16"/>
  <c r="R1101" i="16" s="1"/>
  <c r="Q1085" i="16"/>
  <c r="R1085" i="16" s="1"/>
  <c r="Q1081" i="16"/>
  <c r="R1081" i="16" s="1"/>
  <c r="Q1073" i="16"/>
  <c r="R1073" i="16" s="1"/>
  <c r="Q1061" i="16"/>
  <c r="R1061" i="16" s="1"/>
  <c r="Q1045" i="16"/>
  <c r="R1045" i="16" s="1"/>
  <c r="Q1041" i="16"/>
  <c r="R1041" i="16" s="1"/>
  <c r="Q1033" i="16"/>
  <c r="R1033" i="16" s="1"/>
  <c r="Q1025" i="16"/>
  <c r="R1025" i="16" s="1"/>
  <c r="Q1001" i="16"/>
  <c r="R1001" i="16" s="1"/>
  <c r="Q997" i="16"/>
  <c r="R997" i="16" s="1"/>
  <c r="Q993" i="16"/>
  <c r="R993" i="16" s="1"/>
  <c r="Q989" i="16"/>
  <c r="R989" i="16" s="1"/>
  <c r="Q981" i="16"/>
  <c r="R981" i="16" s="1"/>
  <c r="Q969" i="16"/>
  <c r="R969" i="16" s="1"/>
  <c r="Q965" i="16"/>
  <c r="R965" i="16" s="1"/>
  <c r="Q961" i="16"/>
  <c r="R961" i="16" s="1"/>
  <c r="Q957" i="16"/>
  <c r="R957" i="16" s="1"/>
  <c r="Q949" i="16"/>
  <c r="R949" i="16" s="1"/>
  <c r="Q937" i="16"/>
  <c r="R937" i="16" s="1"/>
  <c r="Q921" i="16"/>
  <c r="R921" i="16" s="1"/>
  <c r="Q917" i="16"/>
  <c r="R917" i="16" s="1"/>
  <c r="Q913" i="16"/>
  <c r="R913" i="16" s="1"/>
  <c r="Q905" i="16"/>
  <c r="R905" i="16" s="1"/>
  <c r="Q897" i="16"/>
  <c r="R897" i="16" s="1"/>
  <c r="Q893" i="16"/>
  <c r="R893" i="16" s="1"/>
  <c r="Q881" i="16"/>
  <c r="R881" i="16" s="1"/>
  <c r="Q877" i="16"/>
  <c r="R877" i="16" s="1"/>
  <c r="Q873" i="16"/>
  <c r="R873" i="16" s="1"/>
  <c r="Q861" i="16"/>
  <c r="R861" i="16" s="1"/>
  <c r="Q853" i="16"/>
  <c r="R853" i="16" s="1"/>
  <c r="Q845" i="16"/>
  <c r="R845" i="16" s="1"/>
  <c r="Q841" i="16"/>
  <c r="R841" i="16" s="1"/>
  <c r="Q833" i="16"/>
  <c r="R833" i="16" s="1"/>
  <c r="Q825" i="16"/>
  <c r="R825" i="16" s="1"/>
  <c r="Q805" i="16"/>
  <c r="R805" i="16" s="1"/>
  <c r="Q801" i="16"/>
  <c r="R801" i="16" s="1"/>
  <c r="Q797" i="16"/>
  <c r="R797" i="16" s="1"/>
  <c r="Q781" i="16"/>
  <c r="R781" i="16" s="1"/>
  <c r="Q773" i="16"/>
  <c r="R773" i="16" s="1"/>
  <c r="Q769" i="16"/>
  <c r="R769" i="16" s="1"/>
  <c r="Q765" i="16"/>
  <c r="R765" i="16" s="1"/>
  <c r="Q761" i="16"/>
  <c r="R761" i="16" s="1"/>
  <c r="Q757" i="16"/>
  <c r="R757" i="16" s="1"/>
  <c r="Q749" i="16"/>
  <c r="R749" i="16" s="1"/>
  <c r="Q741" i="16"/>
  <c r="R741" i="16" s="1"/>
  <c r="Q721" i="16"/>
  <c r="R721" i="16" s="1"/>
  <c r="Q713" i="16"/>
  <c r="R713" i="16" s="1"/>
  <c r="Q709" i="16"/>
  <c r="R709" i="16" s="1"/>
  <c r="Q701" i="16"/>
  <c r="R701" i="16" s="1"/>
  <c r="Q697" i="16"/>
  <c r="R697" i="16" s="1"/>
  <c r="Q689" i="16"/>
  <c r="R689" i="16" s="1"/>
  <c r="Q681" i="16"/>
  <c r="R681" i="16" s="1"/>
  <c r="Q677" i="16"/>
  <c r="R677" i="16" s="1"/>
  <c r="Q673" i="16"/>
  <c r="R673" i="16" s="1"/>
  <c r="Q665" i="16"/>
  <c r="R665" i="16" s="1"/>
  <c r="Q653" i="16"/>
  <c r="R653" i="16" s="1"/>
  <c r="Q637" i="16"/>
  <c r="R637" i="16" s="1"/>
  <c r="Q629" i="16"/>
  <c r="R629" i="16" s="1"/>
  <c r="Q625" i="16"/>
  <c r="R625" i="16" s="1"/>
  <c r="Q617" i="16"/>
  <c r="R617" i="16" s="1"/>
  <c r="Q613" i="16"/>
  <c r="R613" i="16" s="1"/>
  <c r="Q609" i="16"/>
  <c r="R609" i="16" s="1"/>
  <c r="Q605" i="16"/>
  <c r="R605" i="16" s="1"/>
  <c r="Q593" i="16"/>
  <c r="R593" i="16" s="1"/>
  <c r="Q589" i="16"/>
  <c r="R589" i="16" s="1"/>
  <c r="Q569" i="16"/>
  <c r="R569" i="16" s="1"/>
  <c r="Q565" i="16"/>
  <c r="R565" i="16" s="1"/>
  <c r="Q561" i="16"/>
  <c r="R561" i="16" s="1"/>
  <c r="Q553" i="16"/>
  <c r="R553" i="16" s="1"/>
  <c r="Q549" i="16"/>
  <c r="R549" i="16" s="1"/>
  <c r="Q545" i="16"/>
  <c r="R545" i="16" s="1"/>
  <c r="Q537" i="16"/>
  <c r="R537" i="16" s="1"/>
  <c r="Q533" i="16"/>
  <c r="R533" i="16" s="1"/>
  <c r="Q517" i="16"/>
  <c r="R517" i="16" s="1"/>
  <c r="Q497" i="16"/>
  <c r="R497" i="16" s="1"/>
  <c r="Q489" i="16"/>
  <c r="R489" i="16" s="1"/>
  <c r="Q461" i="16"/>
  <c r="R461" i="16" s="1"/>
  <c r="Q457" i="16"/>
  <c r="R457" i="16" s="1"/>
  <c r="Q449" i="16"/>
  <c r="R449" i="16" s="1"/>
  <c r="Q429" i="16"/>
  <c r="R429" i="16" s="1"/>
  <c r="Q425" i="16"/>
  <c r="R425" i="16" s="1"/>
  <c r="Q405" i="16"/>
  <c r="R405" i="16" s="1"/>
  <c r="Q401" i="16"/>
  <c r="R401" i="16" s="1"/>
  <c r="Q381" i="16"/>
  <c r="R381" i="16" s="1"/>
  <c r="Q377" i="16"/>
  <c r="R377" i="16" s="1"/>
  <c r="Q373" i="16"/>
  <c r="R373" i="16" s="1"/>
  <c r="Q369" i="16"/>
  <c r="R369" i="16" s="1"/>
  <c r="Q357" i="16"/>
  <c r="R357" i="16" s="1"/>
  <c r="Q349" i="16"/>
  <c r="R349" i="16" s="1"/>
  <c r="Q341" i="16"/>
  <c r="R341" i="16" s="1"/>
  <c r="Q337" i="16"/>
  <c r="R337" i="16" s="1"/>
  <c r="Q325" i="16"/>
  <c r="R325" i="16" s="1"/>
  <c r="Q317" i="16"/>
  <c r="R317" i="16" s="1"/>
  <c r="Q313" i="16"/>
  <c r="R313" i="16" s="1"/>
  <c r="Q301" i="16"/>
  <c r="R301" i="16" s="1"/>
  <c r="Q293" i="16"/>
  <c r="R293" i="16" s="1"/>
  <c r="Q289" i="16"/>
  <c r="R289" i="16" s="1"/>
  <c r="Q277" i="16"/>
  <c r="R277" i="16" s="1"/>
  <c r="Q273" i="16"/>
  <c r="R273" i="16" s="1"/>
  <c r="Q265" i="16"/>
  <c r="R265" i="16" s="1"/>
  <c r="Q253" i="16"/>
  <c r="R253" i="16" s="1"/>
  <c r="Q233" i="16"/>
  <c r="R233" i="16" s="1"/>
  <c r="Q229" i="16"/>
  <c r="R229" i="16" s="1"/>
  <c r="Q225" i="16"/>
  <c r="R225" i="16" s="1"/>
  <c r="Q213" i="16"/>
  <c r="R213" i="16" s="1"/>
  <c r="Q205" i="16"/>
  <c r="R205" i="16" s="1"/>
  <c r="Q201" i="16"/>
  <c r="R201" i="16" s="1"/>
  <c r="Q189" i="16"/>
  <c r="R189" i="16" s="1"/>
  <c r="Q185" i="16"/>
  <c r="R185" i="16" s="1"/>
  <c r="Q181" i="16"/>
  <c r="R181" i="16" s="1"/>
  <c r="Q177" i="16"/>
  <c r="R177" i="16" s="1"/>
  <c r="Q173" i="16"/>
  <c r="R173" i="16" s="1"/>
  <c r="Q169" i="16"/>
  <c r="R169" i="16" s="1"/>
  <c r="Q165" i="16"/>
  <c r="R165" i="16" s="1"/>
  <c r="Q157" i="16"/>
  <c r="R157" i="16" s="1"/>
  <c r="Q153" i="16"/>
  <c r="R153" i="16" s="1"/>
  <c r="Q149" i="16"/>
  <c r="R149" i="16" s="1"/>
  <c r="Q141" i="16"/>
  <c r="R141" i="16" s="1"/>
  <c r="Q133" i="16"/>
  <c r="R133" i="16" s="1"/>
  <c r="Q129" i="16"/>
  <c r="R129" i="16" s="1"/>
  <c r="Q125" i="16"/>
  <c r="R125" i="16" s="1"/>
  <c r="Q117" i="16"/>
  <c r="R117" i="16" s="1"/>
  <c r="Q113" i="16"/>
  <c r="R113" i="16" s="1"/>
  <c r="Q109" i="16"/>
  <c r="R109" i="16" s="1"/>
  <c r="Q101" i="16"/>
  <c r="R101" i="16" s="1"/>
  <c r="Q97" i="16"/>
  <c r="R97" i="16" s="1"/>
  <c r="Q89" i="16"/>
  <c r="R89" i="16" s="1"/>
  <c r="Q85" i="16"/>
  <c r="R85" i="16" s="1"/>
  <c r="Q77" i="16"/>
  <c r="R77" i="16" s="1"/>
  <c r="Q69" i="16"/>
  <c r="R69" i="16" s="1"/>
  <c r="Q65" i="16"/>
  <c r="R65" i="16" s="1"/>
  <c r="Q61" i="16"/>
  <c r="R61" i="16" s="1"/>
  <c r="Q57" i="16"/>
  <c r="R57" i="16" s="1"/>
  <c r="Q53" i="16"/>
  <c r="R53" i="16" s="1"/>
  <c r="Q49" i="16"/>
  <c r="R49" i="16" s="1"/>
  <c r="Q45" i="16"/>
  <c r="R45" i="16" s="1"/>
  <c r="Q41" i="16"/>
  <c r="R41" i="16" s="1"/>
  <c r="Q37" i="16"/>
  <c r="R37" i="16" s="1"/>
  <c r="Q29" i="16"/>
  <c r="R29" i="16" s="1"/>
  <c r="Q25" i="16"/>
  <c r="R25" i="16" s="1"/>
  <c r="Q1412" i="16"/>
  <c r="R1412" i="16" s="1"/>
  <c r="Q1376" i="16"/>
  <c r="R1376" i="16" s="1"/>
  <c r="Q1340" i="16"/>
  <c r="R1340" i="16" s="1"/>
  <c r="Q1308" i="16"/>
  <c r="R1308" i="16" s="1"/>
  <c r="Q1284" i="16"/>
  <c r="R1284" i="16" s="1"/>
  <c r="Q1240" i="16"/>
  <c r="R1240" i="16" s="1"/>
  <c r="Q1224" i="16"/>
  <c r="R1224" i="16" s="1"/>
  <c r="Q1204" i="16"/>
  <c r="R1204" i="16" s="1"/>
  <c r="Q1188" i="16"/>
  <c r="R1188" i="16" s="1"/>
  <c r="Q1160" i="16"/>
  <c r="R1160" i="16" s="1"/>
  <c r="Q1132" i="16"/>
  <c r="R1132" i="16" s="1"/>
  <c r="Q1080" i="16"/>
  <c r="R1080" i="16" s="1"/>
  <c r="Q1064" i="16"/>
  <c r="R1064" i="16" s="1"/>
  <c r="Q1052" i="16"/>
  <c r="R1052" i="16" s="1"/>
  <c r="Q1036" i="16"/>
  <c r="R1036" i="16" s="1"/>
  <c r="Q1024" i="16"/>
  <c r="R1024" i="16" s="1"/>
  <c r="Q992" i="16"/>
  <c r="R992" i="16" s="1"/>
  <c r="Q972" i="16"/>
  <c r="R972" i="16" s="1"/>
  <c r="Q920" i="16"/>
  <c r="R920" i="16" s="1"/>
  <c r="Q852" i="16"/>
  <c r="R852" i="16" s="1"/>
  <c r="Q816" i="16"/>
  <c r="R816" i="16" s="1"/>
  <c r="Q792" i="16"/>
  <c r="R792" i="16" s="1"/>
  <c r="Q772" i="16"/>
  <c r="R772" i="16" s="1"/>
  <c r="Q712" i="16"/>
  <c r="R712" i="16" s="1"/>
  <c r="Q656" i="16"/>
  <c r="R656" i="16" s="1"/>
  <c r="Q616" i="16"/>
  <c r="R616" i="16" s="1"/>
  <c r="Q564" i="16"/>
  <c r="R564" i="16" s="1"/>
  <c r="Q544" i="16"/>
  <c r="R544" i="16" s="1"/>
  <c r="Q524" i="16"/>
  <c r="R524" i="16" s="1"/>
  <c r="Q456" i="16"/>
  <c r="R456" i="16" s="1"/>
  <c r="Q416" i="16"/>
  <c r="R416" i="16" s="1"/>
  <c r="Q388" i="16"/>
  <c r="R388" i="16" s="1"/>
  <c r="Q340" i="16"/>
  <c r="R340" i="16" s="1"/>
  <c r="Q292" i="16"/>
  <c r="R292" i="16" s="1"/>
  <c r="Q268" i="16"/>
  <c r="R268" i="16" s="1"/>
  <c r="Q236" i="16"/>
  <c r="R236" i="16" s="1"/>
  <c r="Q204" i="16"/>
  <c r="R204" i="16" s="1"/>
  <c r="Q180" i="16"/>
  <c r="R180" i="16" s="1"/>
  <c r="Q156" i="16"/>
  <c r="R156" i="16" s="1"/>
  <c r="Q132" i="16"/>
  <c r="R132" i="16" s="1"/>
  <c r="Q92" i="16"/>
  <c r="R92" i="16" s="1"/>
  <c r="Q72" i="16"/>
  <c r="R72" i="16" s="1"/>
  <c r="Q36" i="16"/>
  <c r="R36" i="16" s="1"/>
  <c r="Q1499" i="16"/>
  <c r="R1499" i="16" s="1"/>
  <c r="Q1427" i="16"/>
  <c r="R1427" i="16" s="1"/>
  <c r="Q1415" i="16"/>
  <c r="R1415" i="16" s="1"/>
  <c r="Q1403" i="16"/>
  <c r="R1403" i="16" s="1"/>
  <c r="Q1391" i="16"/>
  <c r="R1391" i="16" s="1"/>
  <c r="Q1367" i="16"/>
  <c r="R1367" i="16" s="1"/>
  <c r="Q1355" i="16"/>
  <c r="R1355" i="16" s="1"/>
  <c r="Q1347" i="16"/>
  <c r="R1347" i="16" s="1"/>
  <c r="Q1339" i="16"/>
  <c r="R1339" i="16" s="1"/>
  <c r="Q1307" i="16"/>
  <c r="R1307" i="16" s="1"/>
  <c r="Q1267" i="16"/>
  <c r="R1267" i="16" s="1"/>
  <c r="Q1215" i="16"/>
  <c r="R1215" i="16" s="1"/>
  <c r="Q1195" i="16"/>
  <c r="R1195" i="16" s="1"/>
  <c r="Q1179" i="16"/>
  <c r="R1179" i="16" s="1"/>
  <c r="Q1131" i="16"/>
  <c r="R1131" i="16" s="1"/>
  <c r="Q1115" i="16"/>
  <c r="R1115" i="16" s="1"/>
  <c r="Q1083" i="16"/>
  <c r="R1083" i="16" s="1"/>
  <c r="Q1007" i="16"/>
  <c r="R1007" i="16" s="1"/>
  <c r="Q979" i="16"/>
  <c r="R979" i="16" s="1"/>
  <c r="Q967" i="16"/>
  <c r="R967" i="16" s="1"/>
  <c r="Q939" i="16"/>
  <c r="R939" i="16" s="1"/>
  <c r="Q867" i="16"/>
  <c r="R867" i="16" s="1"/>
  <c r="Q847" i="16"/>
  <c r="R847" i="16" s="1"/>
  <c r="Q831" i="16"/>
  <c r="R831" i="16" s="1"/>
  <c r="Q775" i="16"/>
  <c r="R775" i="16" s="1"/>
  <c r="Q723" i="16"/>
  <c r="R723" i="16" s="1"/>
  <c r="Q703" i="16"/>
  <c r="R703" i="16" s="1"/>
  <c r="Q687" i="16"/>
  <c r="R687" i="16" s="1"/>
  <c r="Q663" i="16"/>
  <c r="R663" i="16" s="1"/>
  <c r="Q643" i="16"/>
  <c r="R643" i="16" s="1"/>
  <c r="Q623" i="16"/>
  <c r="R623" i="16" s="1"/>
  <c r="Q607" i="16"/>
  <c r="R607" i="16" s="1"/>
  <c r="Q587" i="16"/>
  <c r="R587" i="16" s="1"/>
  <c r="Q571" i="16"/>
  <c r="R571" i="16" s="1"/>
  <c r="Q551" i="16"/>
  <c r="R551" i="16" s="1"/>
  <c r="Q531" i="16"/>
  <c r="R531" i="16" s="1"/>
  <c r="Q495" i="16"/>
  <c r="R495" i="16" s="1"/>
  <c r="Q395" i="16"/>
  <c r="R395" i="16" s="1"/>
  <c r="Q371" i="16"/>
  <c r="R371" i="16" s="1"/>
  <c r="Q327" i="16"/>
  <c r="R327" i="16" s="1"/>
  <c r="Q311" i="16"/>
  <c r="R311" i="16" s="1"/>
  <c r="Q291" i="16"/>
  <c r="R291" i="16" s="1"/>
  <c r="Q251" i="16"/>
  <c r="R251" i="16" s="1"/>
  <c r="Q231" i="16"/>
  <c r="R231" i="16" s="1"/>
  <c r="Q187" i="16"/>
  <c r="R187" i="16" s="1"/>
  <c r="Q147" i="16"/>
  <c r="R147" i="16" s="1"/>
  <c r="Q79" i="16"/>
  <c r="R79" i="16" s="1"/>
  <c r="Q47" i="16"/>
  <c r="R47" i="16" s="1"/>
  <c r="Q35" i="16"/>
  <c r="R35" i="16" s="1"/>
  <c r="Q1507" i="16"/>
  <c r="R1507" i="16" s="1"/>
  <c r="Q1487" i="16"/>
  <c r="R1487" i="16" s="1"/>
  <c r="Q1475" i="16"/>
  <c r="R1475" i="16" s="1"/>
  <c r="Q1459" i="16"/>
  <c r="R1459" i="16" s="1"/>
  <c r="Q1443" i="16"/>
  <c r="R1443" i="16" s="1"/>
  <c r="Q1407" i="16"/>
  <c r="R1407" i="16" s="1"/>
  <c r="Q1395" i="16"/>
  <c r="R1395" i="16" s="1"/>
  <c r="Q1379" i="16"/>
  <c r="R1379" i="16" s="1"/>
  <c r="Q1351" i="16"/>
  <c r="R1351" i="16" s="1"/>
  <c r="Q1311" i="16"/>
  <c r="R1311" i="16" s="1"/>
  <c r="Q1299" i="16"/>
  <c r="R1299" i="16" s="1"/>
  <c r="Q1283" i="16"/>
  <c r="R1283" i="16" s="1"/>
  <c r="Q1247" i="16"/>
  <c r="R1247" i="16" s="1"/>
  <c r="Q1231" i="16"/>
  <c r="R1231" i="16" s="1"/>
  <c r="Q1219" i="16"/>
  <c r="R1219" i="16" s="1"/>
  <c r="Q1207" i="16"/>
  <c r="R1207" i="16" s="1"/>
  <c r="Q1167" i="16"/>
  <c r="R1167" i="16" s="1"/>
  <c r="Q1103" i="16"/>
  <c r="R1103" i="16" s="1"/>
  <c r="Q1063" i="16"/>
  <c r="R1063" i="16" s="1"/>
  <c r="Q1055" i="16"/>
  <c r="R1055" i="16" s="1"/>
  <c r="Q1027" i="16"/>
  <c r="R1027" i="16" s="1"/>
  <c r="Q995" i="16"/>
  <c r="R995" i="16" s="1"/>
  <c r="Q971" i="16"/>
  <c r="R971" i="16" s="1"/>
  <c r="Q935" i="16"/>
  <c r="R935" i="16" s="1"/>
  <c r="Q919" i="16"/>
  <c r="R919" i="16" s="1"/>
  <c r="Q883" i="16"/>
  <c r="R883" i="16" s="1"/>
  <c r="Q843" i="16"/>
  <c r="R843" i="16" s="1"/>
  <c r="Q827" i="16"/>
  <c r="R827" i="16" s="1"/>
  <c r="Q699" i="16"/>
  <c r="R699" i="16" s="1"/>
  <c r="Q683" i="16"/>
  <c r="R683" i="16" s="1"/>
  <c r="Q647" i="16"/>
  <c r="R647" i="16" s="1"/>
  <c r="Q599" i="16"/>
  <c r="R599" i="16" s="1"/>
  <c r="Q583" i="16"/>
  <c r="R583" i="16" s="1"/>
  <c r="Q519" i="16"/>
  <c r="R519" i="16" s="1"/>
  <c r="Q503" i="16"/>
  <c r="R503" i="16" s="1"/>
  <c r="Q467" i="16"/>
  <c r="R467" i="16" s="1"/>
  <c r="Q451" i="16"/>
  <c r="R451" i="16" s="1"/>
  <c r="Q431" i="16"/>
  <c r="R431" i="16" s="1"/>
  <c r="Q339" i="16"/>
  <c r="R339" i="16" s="1"/>
  <c r="Q319" i="16"/>
  <c r="R319" i="16" s="1"/>
  <c r="Q303" i="16"/>
  <c r="R303" i="16" s="1"/>
  <c r="Q283" i="16"/>
  <c r="R283" i="16" s="1"/>
  <c r="Q123" i="16"/>
  <c r="R123" i="16" s="1"/>
  <c r="Q107" i="16"/>
  <c r="R107" i="16" s="1"/>
  <c r="Q91" i="16"/>
  <c r="R91" i="16" s="1"/>
  <c r="Q75" i="16"/>
  <c r="R75" i="16" s="1"/>
  <c r="Q27" i="16"/>
  <c r="R27" i="16" s="1"/>
  <c r="Q1510" i="16"/>
  <c r="R1510" i="16" s="1"/>
  <c r="Q1342" i="16"/>
  <c r="R1342" i="16" s="1"/>
  <c r="Q1330" i="16"/>
  <c r="R1330" i="16" s="1"/>
  <c r="Q1314" i="16"/>
  <c r="R1314" i="16" s="1"/>
  <c r="Q1294" i="16"/>
  <c r="R1294" i="16" s="1"/>
  <c r="Q1270" i="16"/>
  <c r="R1270" i="16" s="1"/>
  <c r="Q1262" i="16"/>
  <c r="R1262" i="16" s="1"/>
  <c r="Q1250" i="16"/>
  <c r="R1250" i="16" s="1"/>
  <c r="Q1238" i="16"/>
  <c r="R1238" i="16" s="1"/>
  <c r="Q1226" i="16"/>
  <c r="R1226" i="16" s="1"/>
  <c r="Q1210" i="16"/>
  <c r="R1210" i="16" s="1"/>
  <c r="Q1174" i="16"/>
  <c r="R1174" i="16" s="1"/>
  <c r="Q1154" i="16"/>
  <c r="R1154" i="16" s="1"/>
  <c r="Q1138" i="16"/>
  <c r="R1138" i="16" s="1"/>
  <c r="Q1098" i="16"/>
  <c r="R1098" i="16" s="1"/>
  <c r="Q1086" i="16"/>
  <c r="R1086" i="16" s="1"/>
  <c r="Q1058" i="16"/>
  <c r="R1058" i="16" s="1"/>
  <c r="Q994" i="16"/>
  <c r="R994" i="16" s="1"/>
  <c r="Q970" i="16"/>
  <c r="R970" i="16" s="1"/>
  <c r="Q898" i="16"/>
  <c r="R898" i="16" s="1"/>
  <c r="Q690" i="16"/>
  <c r="R690" i="16" s="1"/>
  <c r="Q674" i="16"/>
  <c r="R674" i="16" s="1"/>
  <c r="Q626" i="16"/>
  <c r="R626" i="16" s="1"/>
  <c r="Q610" i="16"/>
  <c r="R610" i="16" s="1"/>
  <c r="Q570" i="16"/>
  <c r="R570" i="16" s="1"/>
  <c r="Q558" i="16"/>
  <c r="R558" i="16" s="1"/>
  <c r="Q538" i="16"/>
  <c r="R538" i="16" s="1"/>
  <c r="Q522" i="16"/>
  <c r="R522" i="16" s="1"/>
  <c r="Q510" i="16"/>
  <c r="R510" i="16" s="1"/>
  <c r="Q498" i="16"/>
  <c r="R498" i="16" s="1"/>
  <c r="Q478" i="16"/>
  <c r="R478" i="16" s="1"/>
  <c r="Q442" i="16"/>
  <c r="R442" i="16" s="1"/>
  <c r="Q434" i="16"/>
  <c r="R434" i="16" s="1"/>
  <c r="Q418" i="16"/>
  <c r="R418" i="16" s="1"/>
  <c r="Q358" i="16"/>
  <c r="R358" i="16" s="1"/>
  <c r="Q342" i="16"/>
  <c r="R342" i="16" s="1"/>
  <c r="Q302" i="16"/>
  <c r="R302" i="16" s="1"/>
  <c r="Q282" i="16"/>
  <c r="R282" i="16" s="1"/>
  <c r="Q210" i="16"/>
  <c r="R210" i="16" s="1"/>
  <c r="Q182" i="16"/>
  <c r="R182" i="16" s="1"/>
  <c r="Q90" i="16"/>
  <c r="R90" i="16" s="1"/>
  <c r="Q1512" i="16"/>
  <c r="R1512" i="16" s="1"/>
  <c r="Q1497" i="16"/>
  <c r="R1497" i="16" s="1"/>
  <c r="Q1489" i="16"/>
  <c r="R1489" i="16" s="1"/>
  <c r="Q1477" i="16"/>
  <c r="R1477" i="16" s="1"/>
  <c r="Q1469" i="16"/>
  <c r="R1469" i="16" s="1"/>
  <c r="Q1461" i="16"/>
  <c r="R1461" i="16" s="1"/>
  <c r="Q1457" i="16"/>
  <c r="R1457" i="16" s="1"/>
  <c r="Q1445" i="16"/>
  <c r="R1445" i="16" s="1"/>
  <c r="Q1429" i="16"/>
  <c r="R1429" i="16" s="1"/>
  <c r="Q1421" i="16"/>
  <c r="R1421" i="16" s="1"/>
  <c r="Q1409" i="16"/>
  <c r="R1409" i="16" s="1"/>
  <c r="Q1397" i="16"/>
  <c r="R1397" i="16" s="1"/>
  <c r="Q1393" i="16"/>
  <c r="R1393" i="16" s="1"/>
  <c r="Q1385" i="16"/>
  <c r="R1385" i="16" s="1"/>
  <c r="Q1381" i="16"/>
  <c r="R1381" i="16" s="1"/>
  <c r="Q1377" i="16"/>
  <c r="R1377" i="16" s="1"/>
  <c r="Q1373" i="16"/>
  <c r="R1373" i="16" s="1"/>
  <c r="Q1369" i="16"/>
  <c r="R1369" i="16" s="1"/>
  <c r="Q1365" i="16"/>
  <c r="R1365" i="16" s="1"/>
  <c r="Q1361" i="16"/>
  <c r="R1361" i="16" s="1"/>
  <c r="Q1357" i="16"/>
  <c r="R1357" i="16" s="1"/>
  <c r="Q1349" i="16"/>
  <c r="R1349" i="16" s="1"/>
  <c r="Q1345" i="16"/>
  <c r="R1345" i="16" s="1"/>
  <c r="Q1333" i="16"/>
  <c r="R1333" i="16" s="1"/>
  <c r="Q1325" i="16"/>
  <c r="R1325" i="16" s="1"/>
  <c r="Q1321" i="16"/>
  <c r="R1321" i="16" s="1"/>
  <c r="Q1309" i="16"/>
  <c r="R1309" i="16" s="1"/>
  <c r="Q1285" i="16"/>
  <c r="R1285" i="16" s="1"/>
  <c r="Q1281" i="16"/>
  <c r="R1281" i="16" s="1"/>
  <c r="Q1273" i="16"/>
  <c r="R1273" i="16" s="1"/>
  <c r="Q1261" i="16"/>
  <c r="R1261" i="16" s="1"/>
  <c r="Q1257" i="16"/>
  <c r="R1257" i="16" s="1"/>
  <c r="Q1245" i="16"/>
  <c r="R1245" i="16" s="1"/>
  <c r="Q1237" i="16"/>
  <c r="R1237" i="16" s="1"/>
  <c r="Q1233" i="16"/>
  <c r="R1233" i="16" s="1"/>
  <c r="Q1221" i="16"/>
  <c r="R1221" i="16" s="1"/>
  <c r="Q1205" i="16"/>
  <c r="R1205" i="16" s="1"/>
  <c r="Q1201" i="16"/>
  <c r="R1201" i="16" s="1"/>
  <c r="Q1189" i="16"/>
  <c r="R1189" i="16" s="1"/>
  <c r="Q1177" i="16"/>
  <c r="R1177" i="16" s="1"/>
  <c r="Q1161" i="16"/>
  <c r="R1161" i="16" s="1"/>
  <c r="Q1153" i="16"/>
  <c r="R1153" i="16" s="1"/>
  <c r="Q1141" i="16"/>
  <c r="R1141" i="16" s="1"/>
  <c r="Q1137" i="16"/>
  <c r="R1137" i="16" s="1"/>
  <c r="Q1097" i="16"/>
  <c r="R1097" i="16" s="1"/>
  <c r="Q1093" i="16"/>
  <c r="R1093" i="16" s="1"/>
  <c r="Q1089" i="16"/>
  <c r="R1089" i="16" s="1"/>
  <c r="Q1077" i="16"/>
  <c r="R1077" i="16" s="1"/>
  <c r="Q1069" i="16"/>
  <c r="R1069" i="16" s="1"/>
  <c r="Q1065" i="16"/>
  <c r="R1065" i="16" s="1"/>
  <c r="Q1057" i="16"/>
  <c r="R1057" i="16" s="1"/>
  <c r="Q1053" i="16"/>
  <c r="R1053" i="16" s="1"/>
  <c r="Q1049" i="16"/>
  <c r="R1049" i="16" s="1"/>
  <c r="Q1037" i="16"/>
  <c r="R1037" i="16" s="1"/>
  <c r="Q1029" i="16"/>
  <c r="R1029" i="16" s="1"/>
  <c r="Q1021" i="16"/>
  <c r="R1021" i="16" s="1"/>
  <c r="Q1017" i="16"/>
  <c r="R1017" i="16" s="1"/>
  <c r="Q1013" i="16"/>
  <c r="R1013" i="16" s="1"/>
  <c r="Q1009" i="16"/>
  <c r="R1009" i="16" s="1"/>
  <c r="Q1005" i="16"/>
  <c r="R1005" i="16" s="1"/>
  <c r="Q985" i="16"/>
  <c r="R985" i="16" s="1"/>
  <c r="Q977" i="16"/>
  <c r="R977" i="16" s="1"/>
  <c r="Q973" i="16"/>
  <c r="R973" i="16" s="1"/>
  <c r="Q953" i="16"/>
  <c r="R953" i="16" s="1"/>
  <c r="Q945" i="16"/>
  <c r="R945" i="16" s="1"/>
  <c r="Q941" i="16"/>
  <c r="R941" i="16" s="1"/>
  <c r="Q933" i="16"/>
  <c r="R933" i="16" s="1"/>
  <c r="Q929" i="16"/>
  <c r="R929" i="16" s="1"/>
  <c r="Q925" i="16"/>
  <c r="R925" i="16" s="1"/>
  <c r="Q909" i="16"/>
  <c r="R909" i="16" s="1"/>
  <c r="Q901" i="16"/>
  <c r="R901" i="16" s="1"/>
  <c r="Q889" i="16"/>
  <c r="R889" i="16" s="1"/>
  <c r="Q885" i="16"/>
  <c r="R885" i="16" s="1"/>
  <c r="Q869" i="16"/>
  <c r="R869" i="16" s="1"/>
  <c r="Q865" i="16"/>
  <c r="R865" i="16" s="1"/>
  <c r="Q857" i="16"/>
  <c r="R857" i="16" s="1"/>
  <c r="Q849" i="16"/>
  <c r="R849" i="16" s="1"/>
  <c r="Q837" i="16"/>
  <c r="R837" i="16" s="1"/>
  <c r="Q829" i="16"/>
  <c r="R829" i="16" s="1"/>
  <c r="Q821" i="16"/>
  <c r="R821" i="16" s="1"/>
  <c r="Q817" i="16"/>
  <c r="R817" i="16" s="1"/>
  <c r="Q813" i="16"/>
  <c r="R813" i="16" s="1"/>
  <c r="Q809" i="16"/>
  <c r="R809" i="16" s="1"/>
  <c r="Q793" i="16"/>
  <c r="R793" i="16" s="1"/>
  <c r="Q789" i="16"/>
  <c r="R789" i="16" s="1"/>
  <c r="Q785" i="16"/>
  <c r="R785" i="16" s="1"/>
  <c r="Q777" i="16"/>
  <c r="R777" i="16" s="1"/>
  <c r="Q753" i="16"/>
  <c r="R753" i="16" s="1"/>
  <c r="Q745" i="16"/>
  <c r="R745" i="16" s="1"/>
  <c r="Q737" i="16"/>
  <c r="R737" i="16" s="1"/>
  <c r="Q733" i="16"/>
  <c r="R733" i="16" s="1"/>
  <c r="Q729" i="16"/>
  <c r="R729" i="16" s="1"/>
  <c r="Q725" i="16"/>
  <c r="R725" i="16" s="1"/>
  <c r="Q717" i="16"/>
  <c r="R717" i="16" s="1"/>
  <c r="Q705" i="16"/>
  <c r="R705" i="16" s="1"/>
  <c r="Q693" i="16"/>
  <c r="R693" i="16" s="1"/>
  <c r="Q685" i="16"/>
  <c r="R685" i="16" s="1"/>
  <c r="Q669" i="16"/>
  <c r="R669" i="16" s="1"/>
  <c r="Q661" i="16"/>
  <c r="R661" i="16" s="1"/>
  <c r="Q657" i="16"/>
  <c r="R657" i="16" s="1"/>
  <c r="Q649" i="16"/>
  <c r="R649" i="16" s="1"/>
  <c r="Q645" i="16"/>
  <c r="R645" i="16" s="1"/>
  <c r="Q641" i="16"/>
  <c r="R641" i="16" s="1"/>
  <c r="Q633" i="16"/>
  <c r="R633" i="16" s="1"/>
  <c r="Q621" i="16"/>
  <c r="R621" i="16" s="1"/>
  <c r="Q601" i="16"/>
  <c r="R601" i="16" s="1"/>
  <c r="Q597" i="16"/>
  <c r="R597" i="16" s="1"/>
  <c r="Q585" i="16"/>
  <c r="R585" i="16" s="1"/>
  <c r="Q581" i="16"/>
  <c r="R581" i="16" s="1"/>
  <c r="Q577" i="16"/>
  <c r="R577" i="16" s="1"/>
  <c r="Q573" i="16"/>
  <c r="R573" i="16" s="1"/>
  <c r="Q557" i="16"/>
  <c r="R557" i="16" s="1"/>
  <c r="Q541" i="16"/>
  <c r="R541" i="16" s="1"/>
  <c r="Q529" i="16"/>
  <c r="R529" i="16" s="1"/>
  <c r="Q525" i="16"/>
  <c r="R525" i="16" s="1"/>
  <c r="Q521" i="16"/>
  <c r="R521" i="16" s="1"/>
  <c r="Q513" i="16"/>
  <c r="R513" i="16" s="1"/>
  <c r="Q509" i="16"/>
  <c r="R509" i="16" s="1"/>
  <c r="Q505" i="16"/>
  <c r="R505" i="16" s="1"/>
  <c r="Q501" i="16"/>
  <c r="R501" i="16" s="1"/>
  <c r="Q493" i="16"/>
  <c r="R493" i="16" s="1"/>
  <c r="Q485" i="16"/>
  <c r="R485" i="16" s="1"/>
  <c r="Q481" i="16"/>
  <c r="R481" i="16" s="1"/>
  <c r="Q477" i="16"/>
  <c r="R477" i="16" s="1"/>
  <c r="Q473" i="16"/>
  <c r="R473" i="16" s="1"/>
  <c r="Q469" i="16"/>
  <c r="R469" i="16" s="1"/>
  <c r="Q465" i="16"/>
  <c r="R465" i="16" s="1"/>
  <c r="Q453" i="16"/>
  <c r="R453" i="16" s="1"/>
  <c r="Q445" i="16"/>
  <c r="R445" i="16" s="1"/>
  <c r="Q441" i="16"/>
  <c r="R441" i="16" s="1"/>
  <c r="Q437" i="16"/>
  <c r="R437" i="16" s="1"/>
  <c r="Q433" i="16"/>
  <c r="R433" i="16" s="1"/>
  <c r="Q421" i="16"/>
  <c r="R421" i="16" s="1"/>
  <c r="Q417" i="16"/>
  <c r="R417" i="16" s="1"/>
  <c r="Q413" i="16"/>
  <c r="R413" i="16" s="1"/>
  <c r="Q409" i="16"/>
  <c r="R409" i="16" s="1"/>
  <c r="Q397" i="16"/>
  <c r="R397" i="16" s="1"/>
  <c r="Q393" i="16"/>
  <c r="R393" i="16" s="1"/>
  <c r="Q389" i="16"/>
  <c r="R389" i="16" s="1"/>
  <c r="Q385" i="16"/>
  <c r="R385" i="16" s="1"/>
  <c r="Q365" i="16"/>
  <c r="R365" i="16" s="1"/>
  <c r="Q361" i="16"/>
  <c r="R361" i="16" s="1"/>
  <c r="Q353" i="16"/>
  <c r="R353" i="16" s="1"/>
  <c r="Q345" i="16"/>
  <c r="R345" i="16" s="1"/>
  <c r="Q333" i="16"/>
  <c r="R333" i="16" s="1"/>
  <c r="Q329" i="16"/>
  <c r="R329" i="16" s="1"/>
  <c r="Q321" i="16"/>
  <c r="R321" i="16" s="1"/>
  <c r="Q309" i="16"/>
  <c r="R309" i="16" s="1"/>
  <c r="Q305" i="16"/>
  <c r="R305" i="16" s="1"/>
  <c r="Q297" i="16"/>
  <c r="R297" i="16" s="1"/>
  <c r="Q285" i="16"/>
  <c r="R285" i="16" s="1"/>
  <c r="Q281" i="16"/>
  <c r="R281" i="16" s="1"/>
  <c r="Q269" i="16"/>
  <c r="R269" i="16" s="1"/>
  <c r="Q261" i="16"/>
  <c r="R261" i="16" s="1"/>
  <c r="Q257" i="16"/>
  <c r="R257" i="16" s="1"/>
  <c r="Q249" i="16"/>
  <c r="R249" i="16" s="1"/>
  <c r="Q245" i="16"/>
  <c r="R245" i="16" s="1"/>
  <c r="Q241" i="16"/>
  <c r="R241" i="16" s="1"/>
  <c r="Q237" i="16"/>
  <c r="R237" i="16" s="1"/>
  <c r="Q221" i="16"/>
  <c r="R221" i="16" s="1"/>
  <c r="Q217" i="16"/>
  <c r="R217" i="16" s="1"/>
  <c r="Q209" i="16"/>
  <c r="R209" i="16" s="1"/>
  <c r="Q197" i="16"/>
  <c r="R197" i="16" s="1"/>
  <c r="Q193" i="16"/>
  <c r="R193" i="16" s="1"/>
  <c r="Q161" i="16"/>
  <c r="R161" i="16" s="1"/>
  <c r="Q145" i="16"/>
  <c r="R145" i="16" s="1"/>
  <c r="Q137" i="16"/>
  <c r="R137" i="16" s="1"/>
  <c r="Q121" i="16"/>
  <c r="R121" i="16" s="1"/>
  <c r="Q105" i="16"/>
  <c r="R105" i="16" s="1"/>
  <c r="Q93" i="16"/>
  <c r="R93" i="16" s="1"/>
  <c r="Q81" i="16"/>
  <c r="R81" i="16" s="1"/>
  <c r="Q73" i="16"/>
  <c r="R73" i="16" s="1"/>
  <c r="Q33" i="16"/>
  <c r="R33" i="16" s="1"/>
  <c r="Q1508" i="16"/>
  <c r="R1508" i="16" s="1"/>
  <c r="Q1408" i="16"/>
  <c r="R1408" i="16" s="1"/>
  <c r="Q1328" i="16"/>
  <c r="R1328" i="16" s="1"/>
  <c r="Q1304" i="16"/>
  <c r="R1304" i="16" s="1"/>
  <c r="Q1292" i="16"/>
  <c r="R1292" i="16" s="1"/>
  <c r="Q1244" i="16"/>
  <c r="R1244" i="16" s="1"/>
  <c r="Q1208" i="16"/>
  <c r="R1208" i="16" s="1"/>
  <c r="Q1184" i="16"/>
  <c r="R1184" i="16" s="1"/>
  <c r="Q1168" i="16"/>
  <c r="R1168" i="16" s="1"/>
  <c r="Q1152" i="16"/>
  <c r="R1152" i="16" s="1"/>
  <c r="Q1140" i="16"/>
  <c r="R1140" i="16" s="1"/>
  <c r="Q1128" i="16"/>
  <c r="R1128" i="16" s="1"/>
  <c r="Q1116" i="16"/>
  <c r="R1116" i="16" s="1"/>
  <c r="Q1108" i="16"/>
  <c r="R1108" i="16" s="1"/>
  <c r="Q1072" i="16"/>
  <c r="R1072" i="16" s="1"/>
  <c r="Q1060" i="16"/>
  <c r="R1060" i="16" s="1"/>
  <c r="Q968" i="16"/>
  <c r="R968" i="16" s="1"/>
  <c r="Q884" i="16"/>
  <c r="R884" i="16" s="1"/>
  <c r="Q848" i="16"/>
  <c r="R848" i="16" s="1"/>
  <c r="Q796" i="16"/>
  <c r="R796" i="16" s="1"/>
  <c r="Q788" i="16"/>
  <c r="R788" i="16" s="1"/>
  <c r="Q736" i="16"/>
  <c r="R736" i="16" s="1"/>
  <c r="Q724" i="16"/>
  <c r="R724" i="16" s="1"/>
  <c r="Q704" i="16"/>
  <c r="R704" i="16" s="1"/>
  <c r="Q692" i="16"/>
  <c r="R692" i="16" s="1"/>
  <c r="Q664" i="16"/>
  <c r="R664" i="16" s="1"/>
  <c r="Q608" i="16"/>
  <c r="R608" i="16" s="1"/>
  <c r="Q592" i="16"/>
  <c r="R592" i="16" s="1"/>
  <c r="Q584" i="16"/>
  <c r="R584" i="16" s="1"/>
  <c r="Q568" i="16"/>
  <c r="R568" i="16" s="1"/>
  <c r="Q556" i="16"/>
  <c r="R556" i="16" s="1"/>
  <c r="Q528" i="16"/>
  <c r="R528" i="16" s="1"/>
  <c r="Q508" i="16"/>
  <c r="R508" i="16" s="1"/>
  <c r="Q496" i="16"/>
  <c r="R496" i="16" s="1"/>
  <c r="Q432" i="16"/>
  <c r="R432" i="16" s="1"/>
  <c r="Q404" i="16"/>
  <c r="R404" i="16" s="1"/>
  <c r="Q344" i="16"/>
  <c r="R344" i="16" s="1"/>
  <c r="Q324" i="16"/>
  <c r="R324" i="16" s="1"/>
  <c r="Q240" i="16"/>
  <c r="R240" i="16" s="1"/>
  <c r="Q220" i="16"/>
  <c r="R220" i="16" s="1"/>
  <c r="Q196" i="16"/>
  <c r="R196" i="16" s="1"/>
  <c r="Q188" i="16"/>
  <c r="R188" i="16" s="1"/>
  <c r="Q164" i="16"/>
  <c r="R164" i="16" s="1"/>
  <c r="Q148" i="16"/>
  <c r="R148" i="16" s="1"/>
  <c r="Q136" i="16"/>
  <c r="R136" i="16" s="1"/>
  <c r="Q120" i="16"/>
  <c r="R120" i="16" s="1"/>
  <c r="Q108" i="16"/>
  <c r="R108" i="16" s="1"/>
  <c r="Q68" i="16"/>
  <c r="R68" i="16" s="1"/>
  <c r="Q56" i="16"/>
  <c r="R56" i="16" s="1"/>
  <c r="Q40" i="16"/>
  <c r="R40" i="16" s="1"/>
  <c r="Q28" i="16"/>
  <c r="R28" i="16" s="1"/>
  <c r="Q18" i="16"/>
  <c r="R18" i="16" s="1"/>
  <c r="Q1463" i="16"/>
  <c r="R1463" i="16" s="1"/>
  <c r="Q1419" i="16"/>
  <c r="R1419" i="16" s="1"/>
  <c r="Q1375" i="16"/>
  <c r="R1375" i="16" s="1"/>
  <c r="Q1363" i="16"/>
  <c r="R1363" i="16" s="1"/>
  <c r="Q1323" i="16"/>
  <c r="R1323" i="16" s="1"/>
  <c r="Q1259" i="16"/>
  <c r="R1259" i="16" s="1"/>
  <c r="Q1239" i="16"/>
  <c r="R1239" i="16" s="1"/>
  <c r="Q1223" i="16"/>
  <c r="R1223" i="16" s="1"/>
  <c r="Q1191" i="16"/>
  <c r="R1191" i="16" s="1"/>
  <c r="Q1175" i="16"/>
  <c r="R1175" i="16" s="1"/>
  <c r="Q1155" i="16"/>
  <c r="R1155" i="16" s="1"/>
  <c r="Q1139" i="16"/>
  <c r="R1139" i="16" s="1"/>
  <c r="Q1123" i="16"/>
  <c r="R1123" i="16" s="1"/>
  <c r="Q1107" i="16"/>
  <c r="R1107" i="16" s="1"/>
  <c r="Q1091" i="16"/>
  <c r="R1091" i="16" s="1"/>
  <c r="Q1043" i="16"/>
  <c r="R1043" i="16" s="1"/>
  <c r="Q1031" i="16"/>
  <c r="R1031" i="16" s="1"/>
  <c r="Q951" i="16"/>
  <c r="R951" i="16" s="1"/>
  <c r="Q895" i="16"/>
  <c r="R895" i="16" s="1"/>
  <c r="Q859" i="16"/>
  <c r="R859" i="16" s="1"/>
  <c r="Q823" i="16"/>
  <c r="R823" i="16" s="1"/>
  <c r="Q803" i="16"/>
  <c r="R803" i="16" s="1"/>
  <c r="Q763" i="16"/>
  <c r="R763" i="16" s="1"/>
  <c r="Q727" i="16"/>
  <c r="R727" i="16" s="1"/>
  <c r="Q711" i="16"/>
  <c r="R711" i="16" s="1"/>
  <c r="Q675" i="16"/>
  <c r="R675" i="16" s="1"/>
  <c r="Q595" i="16"/>
  <c r="R595" i="16" s="1"/>
  <c r="Q559" i="16"/>
  <c r="R559" i="16" s="1"/>
  <c r="Q499" i="16"/>
  <c r="R499" i="16" s="1"/>
  <c r="Q483" i="16"/>
  <c r="R483" i="16" s="1"/>
  <c r="Q463" i="16"/>
  <c r="R463" i="16" s="1"/>
  <c r="Q447" i="16"/>
  <c r="R447" i="16" s="1"/>
  <c r="Q427" i="16"/>
  <c r="R427" i="16" s="1"/>
  <c r="Q411" i="16"/>
  <c r="R411" i="16" s="1"/>
  <c r="Q391" i="16"/>
  <c r="R391" i="16" s="1"/>
  <c r="Q379" i="16"/>
  <c r="R379" i="16" s="1"/>
  <c r="Q315" i="16"/>
  <c r="R315" i="16" s="1"/>
  <c r="Q299" i="16"/>
  <c r="R299" i="16" s="1"/>
  <c r="Q263" i="16"/>
  <c r="R263" i="16" s="1"/>
  <c r="Q227" i="16"/>
  <c r="R227" i="16" s="1"/>
  <c r="Q207" i="16"/>
  <c r="R207" i="16" s="1"/>
  <c r="Q191" i="16"/>
  <c r="R191" i="16" s="1"/>
  <c r="Q171" i="16"/>
  <c r="R171" i="16" s="1"/>
  <c r="Q155" i="16"/>
  <c r="R155" i="16" s="1"/>
  <c r="Q71" i="16"/>
  <c r="R71" i="16" s="1"/>
  <c r="Q17" i="16"/>
  <c r="R17" i="16" s="1"/>
  <c r="Q1503" i="16"/>
  <c r="R1503" i="16" s="1"/>
  <c r="Q1495" i="16"/>
  <c r="R1495" i="16" s="1"/>
  <c r="Q1483" i="16"/>
  <c r="R1483" i="16" s="1"/>
  <c r="Q1471" i="16"/>
  <c r="R1471" i="16" s="1"/>
  <c r="Q1451" i="16"/>
  <c r="R1451" i="16" s="1"/>
  <c r="Q1439" i="16"/>
  <c r="R1439" i="16" s="1"/>
  <c r="Q1291" i="16"/>
  <c r="R1291" i="16" s="1"/>
  <c r="Q1275" i="16"/>
  <c r="R1275" i="16" s="1"/>
  <c r="Q1255" i="16"/>
  <c r="R1255" i="16" s="1"/>
  <c r="Q1127" i="16"/>
  <c r="R1127" i="16" s="1"/>
  <c r="Q1071" i="16"/>
  <c r="R1071" i="16" s="1"/>
  <c r="Q1047" i="16"/>
  <c r="R1047" i="16" s="1"/>
  <c r="Q1023" i="16"/>
  <c r="R1023" i="16" s="1"/>
  <c r="Q963" i="16"/>
  <c r="R963" i="16" s="1"/>
  <c r="Q931" i="16"/>
  <c r="R931" i="16" s="1"/>
  <c r="Q879" i="16"/>
  <c r="R879" i="16" s="1"/>
  <c r="Q863" i="16"/>
  <c r="R863" i="16" s="1"/>
  <c r="Q851" i="16"/>
  <c r="R851" i="16" s="1"/>
  <c r="Q839" i="16"/>
  <c r="R839" i="16" s="1"/>
  <c r="Q811" i="16"/>
  <c r="R811" i="16" s="1"/>
  <c r="Q783" i="16"/>
  <c r="R783" i="16" s="1"/>
  <c r="Q771" i="16"/>
  <c r="R771" i="16" s="1"/>
  <c r="Q755" i="16"/>
  <c r="R755" i="16" s="1"/>
  <c r="Q707" i="16"/>
  <c r="R707" i="16" s="1"/>
  <c r="Q667" i="16"/>
  <c r="R667" i="16" s="1"/>
  <c r="Q659" i="16"/>
  <c r="R659" i="16" s="1"/>
  <c r="Q635" i="16"/>
  <c r="R635" i="16" s="1"/>
  <c r="Q579" i="16"/>
  <c r="R579" i="16" s="1"/>
  <c r="Q471" i="16"/>
  <c r="R471" i="16" s="1"/>
  <c r="Q435" i="16"/>
  <c r="R435" i="16" s="1"/>
  <c r="Q415" i="16"/>
  <c r="R415" i="16" s="1"/>
  <c r="Q387" i="16"/>
  <c r="R387" i="16" s="1"/>
  <c r="Q363" i="16"/>
  <c r="R363" i="16" s="1"/>
  <c r="Q351" i="16"/>
  <c r="R351" i="16" s="1"/>
  <c r="Q335" i="16"/>
  <c r="R335" i="16" s="1"/>
  <c r="Q287" i="16"/>
  <c r="R287" i="16" s="1"/>
  <c r="Q259" i="16"/>
  <c r="R259" i="16" s="1"/>
  <c r="Q247" i="16"/>
  <c r="R247" i="16" s="1"/>
  <c r="Q211" i="16"/>
  <c r="R211" i="16" s="1"/>
  <c r="Q199" i="16"/>
  <c r="R199" i="16" s="1"/>
  <c r="Q139" i="16"/>
  <c r="R139" i="16" s="1"/>
  <c r="Q127" i="16"/>
  <c r="R127" i="16" s="1"/>
  <c r="Q103" i="16"/>
  <c r="R103" i="16" s="1"/>
  <c r="Q87" i="16"/>
  <c r="R87" i="16" s="1"/>
  <c r="Q63" i="16"/>
  <c r="R63" i="16" s="1"/>
  <c r="Q51" i="16"/>
  <c r="R51" i="16" s="1"/>
  <c r="Q31" i="16"/>
  <c r="R31" i="16" s="1"/>
  <c r="Q20" i="16"/>
  <c r="R20" i="16" s="1"/>
  <c r="Q1514" i="16"/>
  <c r="R1514" i="16" s="1"/>
  <c r="Q1406" i="16"/>
  <c r="R1406" i="16" s="1"/>
  <c r="Q1310" i="16"/>
  <c r="R1310" i="16" s="1"/>
  <c r="Q1234" i="16"/>
  <c r="R1234" i="16" s="1"/>
  <c r="Q1222" i="16"/>
  <c r="R1222" i="16" s="1"/>
  <c r="Q1158" i="16"/>
  <c r="R1158" i="16" s="1"/>
  <c r="Q1142" i="16"/>
  <c r="R1142" i="16" s="1"/>
  <c r="Q1130" i="16"/>
  <c r="R1130" i="16" s="1"/>
  <c r="Q1102" i="16"/>
  <c r="R1102" i="16" s="1"/>
  <c r="Q1050" i="16"/>
  <c r="R1050" i="16" s="1"/>
  <c r="Q1042" i="16"/>
  <c r="R1042" i="16" s="1"/>
  <c r="Q1034" i="16"/>
  <c r="R1034" i="16" s="1"/>
  <c r="Q986" i="16"/>
  <c r="R986" i="16" s="1"/>
  <c r="Q974" i="16"/>
  <c r="R974" i="16" s="1"/>
  <c r="Q930" i="16"/>
  <c r="R930" i="16" s="1"/>
  <c r="Q918" i="16"/>
  <c r="R918" i="16" s="1"/>
  <c r="Q906" i="16"/>
  <c r="R906" i="16" s="1"/>
  <c r="Q890" i="16"/>
  <c r="R890" i="16" s="1"/>
  <c r="Q830" i="16"/>
  <c r="R830" i="16" s="1"/>
  <c r="Q814" i="16"/>
  <c r="R814" i="16" s="1"/>
  <c r="Q782" i="16"/>
  <c r="R782" i="16" s="1"/>
  <c r="Q754" i="16"/>
  <c r="R754" i="16" s="1"/>
  <c r="Q742" i="16"/>
  <c r="R742" i="16" s="1"/>
  <c r="Q734" i="16"/>
  <c r="R734" i="16" s="1"/>
  <c r="Q722" i="16"/>
  <c r="R722" i="16" s="1"/>
  <c r="Q666" i="16"/>
  <c r="R666" i="16" s="1"/>
  <c r="Q634" i="16"/>
  <c r="R634" i="16" s="1"/>
  <c r="Q618" i="16"/>
  <c r="R618" i="16" s="1"/>
  <c r="Q590" i="16"/>
  <c r="R590" i="16" s="1"/>
  <c r="Q562" i="16"/>
  <c r="R562" i="16" s="1"/>
  <c r="Q486" i="16"/>
  <c r="R486" i="16" s="1"/>
  <c r="Q470" i="16"/>
  <c r="R470" i="16" s="1"/>
  <c r="Q446" i="16"/>
  <c r="R446" i="16" s="1"/>
  <c r="Q410" i="16"/>
  <c r="R410" i="16" s="1"/>
  <c r="Q326" i="16"/>
  <c r="R326" i="16" s="1"/>
  <c r="Q314" i="16"/>
  <c r="R314" i="16" s="1"/>
  <c r="Q294" i="16"/>
  <c r="R294" i="16" s="1"/>
  <c r="Q278" i="16"/>
  <c r="R278" i="16" s="1"/>
  <c r="Q270" i="16"/>
  <c r="R270" i="16" s="1"/>
  <c r="Q238" i="16"/>
  <c r="R238" i="16" s="1"/>
  <c r="Q222" i="16"/>
  <c r="R222" i="16" s="1"/>
  <c r="Q206" i="16"/>
  <c r="R206" i="16" s="1"/>
  <c r="Q186" i="16"/>
  <c r="R186" i="16" s="1"/>
  <c r="Q154" i="16"/>
  <c r="R154" i="16" s="1"/>
  <c r="Q1516" i="16"/>
  <c r="R1516" i="16" s="1"/>
  <c r="Q1504" i="16"/>
  <c r="R1504" i="16" s="1"/>
  <c r="Q1488" i="16"/>
  <c r="R1488" i="16" s="1"/>
  <c r="Q1484" i="16"/>
  <c r="R1484" i="16" s="1"/>
  <c r="Q1480" i="16"/>
  <c r="R1480" i="16" s="1"/>
  <c r="Q1476" i="16"/>
  <c r="R1476" i="16" s="1"/>
  <c r="Q1472" i="16"/>
  <c r="R1472" i="16" s="1"/>
  <c r="Q1468" i="16"/>
  <c r="R1468" i="16" s="1"/>
  <c r="Q1460" i="16"/>
  <c r="R1460" i="16" s="1"/>
  <c r="Q1456" i="16"/>
  <c r="R1456" i="16" s="1"/>
  <c r="Q1452" i="16"/>
  <c r="R1452" i="16" s="1"/>
  <c r="Q1448" i="16"/>
  <c r="R1448" i="16" s="1"/>
  <c r="Q1440" i="16"/>
  <c r="R1440" i="16" s="1"/>
  <c r="Q1432" i="16"/>
  <c r="R1432" i="16" s="1"/>
  <c r="Q1428" i="16"/>
  <c r="R1428" i="16" s="1"/>
  <c r="Q1424" i="16"/>
  <c r="R1424" i="16" s="1"/>
  <c r="Q1404" i="16"/>
  <c r="R1404" i="16" s="1"/>
  <c r="Q1396" i="16"/>
  <c r="R1396" i="16" s="1"/>
  <c r="Q1392" i="16"/>
  <c r="R1392" i="16" s="1"/>
  <c r="Q1388" i="16"/>
  <c r="R1388" i="16" s="1"/>
  <c r="Q1384" i="16"/>
  <c r="R1384" i="16" s="1"/>
  <c r="Q1372" i="16"/>
  <c r="R1372" i="16" s="1"/>
  <c r="Q1368" i="16"/>
  <c r="R1368" i="16" s="1"/>
  <c r="Q1360" i="16"/>
  <c r="R1360" i="16" s="1"/>
  <c r="Q1356" i="16"/>
  <c r="R1356" i="16" s="1"/>
  <c r="Q1352" i="16"/>
  <c r="R1352" i="16" s="1"/>
  <c r="Q1344" i="16"/>
  <c r="R1344" i="16" s="1"/>
  <c r="Q1336" i="16"/>
  <c r="R1336" i="16" s="1"/>
  <c r="Q1320" i="16"/>
  <c r="R1320" i="16" s="1"/>
  <c r="Q1312" i="16"/>
  <c r="R1312" i="16" s="1"/>
  <c r="Q1280" i="16"/>
  <c r="R1280" i="16" s="1"/>
  <c r="Q1276" i="16"/>
  <c r="R1276" i="16" s="1"/>
  <c r="Q1268" i="16"/>
  <c r="R1268" i="16" s="1"/>
  <c r="Q1264" i="16"/>
  <c r="R1264" i="16" s="1"/>
  <c r="Q1256" i="16"/>
  <c r="R1256" i="16" s="1"/>
  <c r="Q1248" i="16"/>
  <c r="R1248" i="16" s="1"/>
  <c r="Q1236" i="16"/>
  <c r="R1236" i="16" s="1"/>
  <c r="Q1232" i="16"/>
  <c r="R1232" i="16" s="1"/>
  <c r="Q1228" i="16"/>
  <c r="R1228" i="16" s="1"/>
  <c r="Q1220" i="16"/>
  <c r="R1220" i="16" s="1"/>
  <c r="Q1216" i="16"/>
  <c r="R1216" i="16" s="1"/>
  <c r="Q1200" i="16"/>
  <c r="R1200" i="16" s="1"/>
  <c r="Q1196" i="16"/>
  <c r="R1196" i="16" s="1"/>
  <c r="Q1176" i="16"/>
  <c r="R1176" i="16" s="1"/>
  <c r="Q1172" i="16"/>
  <c r="R1172" i="16" s="1"/>
  <c r="Q1148" i="16"/>
  <c r="R1148" i="16" s="1"/>
  <c r="Q1144" i="16"/>
  <c r="R1144" i="16" s="1"/>
  <c r="Q1136" i="16"/>
  <c r="R1136" i="16" s="1"/>
  <c r="Q1124" i="16"/>
  <c r="R1124" i="16" s="1"/>
  <c r="Q1112" i="16"/>
  <c r="R1112" i="16" s="1"/>
  <c r="Q1104" i="16"/>
  <c r="R1104" i="16" s="1"/>
  <c r="Q1100" i="16"/>
  <c r="R1100" i="16" s="1"/>
  <c r="Q1096" i="16"/>
  <c r="R1096" i="16" s="1"/>
  <c r="Q1092" i="16"/>
  <c r="R1092" i="16" s="1"/>
  <c r="Q1088" i="16"/>
  <c r="R1088" i="16" s="1"/>
  <c r="Q1084" i="16"/>
  <c r="R1084" i="16" s="1"/>
  <c r="Q1068" i="16"/>
  <c r="R1068" i="16" s="1"/>
  <c r="Q1056" i="16"/>
  <c r="R1056" i="16" s="1"/>
  <c r="Q1048" i="16"/>
  <c r="R1048" i="16" s="1"/>
  <c r="Q1044" i="16"/>
  <c r="R1044" i="16" s="1"/>
  <c r="Q1040" i="16"/>
  <c r="R1040" i="16" s="1"/>
  <c r="Q1032" i="16"/>
  <c r="R1032" i="16" s="1"/>
  <c r="Q1020" i="16"/>
  <c r="R1020" i="16" s="1"/>
  <c r="Q1016" i="16"/>
  <c r="R1016" i="16" s="1"/>
  <c r="Q1008" i="16"/>
  <c r="R1008" i="16" s="1"/>
  <c r="Q1004" i="16"/>
  <c r="R1004" i="16" s="1"/>
  <c r="Q1000" i="16"/>
  <c r="R1000" i="16" s="1"/>
  <c r="Q996" i="16"/>
  <c r="R996" i="16" s="1"/>
  <c r="Q988" i="16"/>
  <c r="R988" i="16" s="1"/>
  <c r="Q984" i="16"/>
  <c r="R984" i="16" s="1"/>
  <c r="Q976" i="16"/>
  <c r="R976" i="16" s="1"/>
  <c r="Q964" i="16"/>
  <c r="R964" i="16" s="1"/>
  <c r="Q956" i="16"/>
  <c r="R956" i="16" s="1"/>
  <c r="Q952" i="16"/>
  <c r="R952" i="16" s="1"/>
  <c r="Q944" i="16"/>
  <c r="R944" i="16" s="1"/>
  <c r="Q940" i="16"/>
  <c r="R940" i="16" s="1"/>
  <c r="Q936" i="16"/>
  <c r="R936" i="16" s="1"/>
  <c r="Q932" i="16"/>
  <c r="R932" i="16" s="1"/>
  <c r="Q924" i="16"/>
  <c r="R924" i="16" s="1"/>
  <c r="Q916" i="16"/>
  <c r="R916" i="16" s="1"/>
  <c r="Q904" i="16"/>
  <c r="R904" i="16" s="1"/>
  <c r="Q900" i="16"/>
  <c r="R900" i="16" s="1"/>
  <c r="Q896" i="16"/>
  <c r="R896" i="16" s="1"/>
  <c r="Q892" i="16"/>
  <c r="R892" i="16" s="1"/>
  <c r="Q888" i="16"/>
  <c r="R888" i="16" s="1"/>
  <c r="Q872" i="16"/>
  <c r="R872" i="16" s="1"/>
  <c r="Q868" i="16"/>
  <c r="R868" i="16" s="1"/>
  <c r="Q864" i="16"/>
  <c r="R864" i="16" s="1"/>
  <c r="Q860" i="16"/>
  <c r="R860" i="16" s="1"/>
  <c r="Q856" i="16"/>
  <c r="R856" i="16" s="1"/>
  <c r="Q844" i="16"/>
  <c r="R844" i="16" s="1"/>
  <c r="Q840" i="16"/>
  <c r="R840" i="16" s="1"/>
  <c r="Q836" i="16"/>
  <c r="R836" i="16" s="1"/>
  <c r="Q832" i="16"/>
  <c r="R832" i="16" s="1"/>
  <c r="Q828" i="16"/>
  <c r="R828" i="16" s="1"/>
  <c r="Q824" i="16"/>
  <c r="R824" i="16" s="1"/>
  <c r="Q808" i="16"/>
  <c r="R808" i="16" s="1"/>
  <c r="Q804" i="16"/>
  <c r="R804" i="16" s="1"/>
  <c r="Q800" i="16"/>
  <c r="R800" i="16" s="1"/>
  <c r="Q784" i="16"/>
  <c r="R784" i="16" s="1"/>
  <c r="Q776" i="16"/>
  <c r="R776" i="16" s="1"/>
  <c r="Q764" i="16"/>
  <c r="R764" i="16" s="1"/>
  <c r="Q756" i="16"/>
  <c r="R756" i="16" s="1"/>
  <c r="Q752" i="16"/>
  <c r="R752" i="16" s="1"/>
  <c r="Q748" i="16"/>
  <c r="R748" i="16" s="1"/>
  <c r="Q744" i="16"/>
  <c r="R744" i="16" s="1"/>
  <c r="Q740" i="16"/>
  <c r="R740" i="16" s="1"/>
  <c r="Q732" i="16"/>
  <c r="R732" i="16" s="1"/>
  <c r="Q728" i="16"/>
  <c r="R728" i="16" s="1"/>
  <c r="Q720" i="16"/>
  <c r="R720" i="16" s="1"/>
  <c r="Q716" i="16"/>
  <c r="R716" i="16" s="1"/>
  <c r="Q700" i="16"/>
  <c r="R700" i="16" s="1"/>
  <c r="Q696" i="16"/>
  <c r="R696" i="16" s="1"/>
  <c r="Q680" i="16"/>
  <c r="R680" i="16" s="1"/>
  <c r="Q676" i="16"/>
  <c r="R676" i="16" s="1"/>
  <c r="Q672" i="16"/>
  <c r="R672" i="16" s="1"/>
  <c r="Q660" i="16"/>
  <c r="R660" i="16" s="1"/>
  <c r="Q652" i="16"/>
  <c r="R652" i="16" s="1"/>
  <c r="Q648" i="16"/>
  <c r="R648" i="16" s="1"/>
  <c r="Q640" i="16"/>
  <c r="R640" i="16" s="1"/>
  <c r="Q636" i="16"/>
  <c r="R636" i="16" s="1"/>
  <c r="Q632" i="16"/>
  <c r="R632" i="16" s="1"/>
  <c r="Q628" i="16"/>
  <c r="R628" i="16" s="1"/>
  <c r="Q624" i="16"/>
  <c r="R624" i="16" s="1"/>
  <c r="Q604" i="16"/>
  <c r="R604" i="16" s="1"/>
  <c r="Q600" i="16"/>
  <c r="R600" i="16" s="1"/>
  <c r="Q596" i="16"/>
  <c r="R596" i="16" s="1"/>
  <c r="Q588" i="16"/>
  <c r="R588" i="16" s="1"/>
  <c r="Q580" i="16"/>
  <c r="R580" i="16" s="1"/>
  <c r="Q560" i="16"/>
  <c r="R560" i="16" s="1"/>
  <c r="Q548" i="16"/>
  <c r="R548" i="16" s="1"/>
  <c r="Q540" i="16"/>
  <c r="R540" i="16" s="1"/>
  <c r="Q536" i="16"/>
  <c r="R536" i="16" s="1"/>
  <c r="Q516" i="16"/>
  <c r="R516" i="16" s="1"/>
  <c r="Q504" i="16"/>
  <c r="R504" i="16" s="1"/>
  <c r="Q500" i="16"/>
  <c r="R500" i="16" s="1"/>
  <c r="Q492" i="16"/>
  <c r="R492" i="16" s="1"/>
  <c r="Q484" i="16"/>
  <c r="R484" i="16" s="1"/>
  <c r="Q480" i="16"/>
  <c r="R480" i="16" s="1"/>
  <c r="Q472" i="16"/>
  <c r="R472" i="16" s="1"/>
  <c r="Q464" i="16"/>
  <c r="R464" i="16" s="1"/>
  <c r="Q460" i="16"/>
  <c r="R460" i="16" s="1"/>
  <c r="Q448" i="16"/>
  <c r="R448" i="16" s="1"/>
  <c r="Q444" i="16"/>
  <c r="R444" i="16" s="1"/>
  <c r="Q440" i="16"/>
  <c r="R440" i="16" s="1"/>
  <c r="Q436" i="16"/>
  <c r="R436" i="16" s="1"/>
  <c r="Q424" i="16"/>
  <c r="R424" i="16" s="1"/>
  <c r="Q420" i="16"/>
  <c r="R420" i="16" s="1"/>
  <c r="Q412" i="16"/>
  <c r="R412" i="16" s="1"/>
  <c r="Q400" i="16"/>
  <c r="R400" i="16" s="1"/>
  <c r="Q396" i="16"/>
  <c r="R396" i="16" s="1"/>
  <c r="Q384" i="16"/>
  <c r="R384" i="16" s="1"/>
  <c r="Q380" i="16"/>
  <c r="R380" i="16" s="1"/>
  <c r="Q372" i="16"/>
  <c r="R372" i="16" s="1"/>
  <c r="Q368" i="16"/>
  <c r="R368" i="16" s="1"/>
  <c r="Q364" i="16"/>
  <c r="R364" i="16" s="1"/>
  <c r="Q360" i="16"/>
  <c r="R360" i="16" s="1"/>
  <c r="Q356" i="16"/>
  <c r="R356" i="16" s="1"/>
  <c r="Q332" i="16"/>
  <c r="R332" i="16" s="1"/>
  <c r="Q328" i="16"/>
  <c r="R328" i="16" s="1"/>
  <c r="Q320" i="16"/>
  <c r="R320" i="16" s="1"/>
  <c r="Q316" i="16"/>
  <c r="R316" i="16" s="1"/>
  <c r="Q312" i="16"/>
  <c r="R312" i="16" s="1"/>
  <c r="Q308" i="16"/>
  <c r="R308" i="16" s="1"/>
  <c r="Q300" i="16"/>
  <c r="R300" i="16" s="1"/>
  <c r="Q288" i="16"/>
  <c r="R288" i="16" s="1"/>
  <c r="Q280" i="16"/>
  <c r="R280" i="16" s="1"/>
  <c r="Q276" i="16"/>
  <c r="R276" i="16" s="1"/>
  <c r="Q264" i="16"/>
  <c r="R264" i="16" s="1"/>
  <c r="Q260" i="16"/>
  <c r="R260" i="16" s="1"/>
  <c r="Q256" i="16"/>
  <c r="R256" i="16" s="1"/>
  <c r="Q252" i="16"/>
  <c r="R252" i="16" s="1"/>
  <c r="Q248" i="16"/>
  <c r="R248" i="16" s="1"/>
  <c r="Q228" i="16"/>
  <c r="R228" i="16" s="1"/>
  <c r="Q224" i="16"/>
  <c r="R224" i="16" s="1"/>
  <c r="Q216" i="16"/>
  <c r="R216" i="16" s="1"/>
  <c r="Q212" i="16"/>
  <c r="R212" i="16" s="1"/>
  <c r="Q172" i="16"/>
  <c r="R172" i="16" s="1"/>
  <c r="Q160" i="16"/>
  <c r="R160" i="16" s="1"/>
  <c r="Q152" i="16"/>
  <c r="R152" i="16" s="1"/>
  <c r="Q140" i="16"/>
  <c r="R140" i="16" s="1"/>
  <c r="Q128" i="16"/>
  <c r="R128" i="16" s="1"/>
  <c r="Q124" i="16"/>
  <c r="R124" i="16" s="1"/>
  <c r="Q116" i="16"/>
  <c r="R116" i="16" s="1"/>
  <c r="Q112" i="16"/>
  <c r="R112" i="16" s="1"/>
  <c r="Q104" i="16"/>
  <c r="R104" i="16" s="1"/>
  <c r="Q100" i="16"/>
  <c r="R100" i="16" s="1"/>
  <c r="Q96" i="16"/>
  <c r="R96" i="16" s="1"/>
  <c r="Q84" i="16"/>
  <c r="R84" i="16" s="1"/>
  <c r="Q76" i="16"/>
  <c r="R76" i="16" s="1"/>
  <c r="Q64" i="16"/>
  <c r="R64" i="16" s="1"/>
  <c r="Q52" i="16"/>
  <c r="R52" i="16" s="1"/>
  <c r="Q32" i="16"/>
  <c r="R32" i="16" s="1"/>
  <c r="Q21" i="16"/>
  <c r="R21" i="16" s="1"/>
  <c r="Q1515" i="16"/>
  <c r="R1515" i="16" s="1"/>
  <c r="Q1444" i="16"/>
  <c r="R1444" i="16" s="1"/>
  <c r="Q1416" i="16"/>
  <c r="R1416" i="16" s="1"/>
  <c r="Q1332" i="16"/>
  <c r="R1332" i="16" s="1"/>
  <c r="Q1316" i="16"/>
  <c r="R1316" i="16" s="1"/>
  <c r="Q1296" i="16"/>
  <c r="R1296" i="16" s="1"/>
  <c r="Q1272" i="16"/>
  <c r="R1272" i="16" s="1"/>
  <c r="Q1252" i="16"/>
  <c r="R1252" i="16" s="1"/>
  <c r="Q1180" i="16"/>
  <c r="R1180" i="16" s="1"/>
  <c r="Q1156" i="16"/>
  <c r="R1156" i="16" s="1"/>
  <c r="Q1120" i="16"/>
  <c r="R1120" i="16" s="1"/>
  <c r="Q1076" i="16"/>
  <c r="R1076" i="16" s="1"/>
  <c r="Q948" i="16"/>
  <c r="R948" i="16" s="1"/>
  <c r="Q908" i="16"/>
  <c r="R908" i="16" s="1"/>
  <c r="Q876" i="16"/>
  <c r="R876" i="16" s="1"/>
  <c r="Q812" i="16"/>
  <c r="R812" i="16" s="1"/>
  <c r="Q768" i="16"/>
  <c r="R768" i="16" s="1"/>
  <c r="Q684" i="16"/>
  <c r="R684" i="16" s="1"/>
  <c r="Q644" i="16"/>
  <c r="R644" i="16" s="1"/>
  <c r="Q620" i="16"/>
  <c r="R620" i="16" s="1"/>
  <c r="Q572" i="16"/>
  <c r="R572" i="16" s="1"/>
  <c r="Q532" i="16"/>
  <c r="R532" i="16" s="1"/>
  <c r="Q512" i="16"/>
  <c r="R512" i="16" s="1"/>
  <c r="Q476" i="16"/>
  <c r="R476" i="16" s="1"/>
  <c r="Q428" i="16"/>
  <c r="R428" i="16" s="1"/>
  <c r="Q352" i="16"/>
  <c r="R352" i="16" s="1"/>
  <c r="Q336" i="16"/>
  <c r="R336" i="16" s="1"/>
  <c r="Q304" i="16"/>
  <c r="R304" i="16" s="1"/>
  <c r="Q284" i="16"/>
  <c r="R284" i="16" s="1"/>
  <c r="Q272" i="16"/>
  <c r="R272" i="16" s="1"/>
  <c r="Q244" i="16"/>
  <c r="R244" i="16" s="1"/>
  <c r="Q208" i="16"/>
  <c r="R208" i="16" s="1"/>
  <c r="Q192" i="16"/>
  <c r="R192" i="16" s="1"/>
  <c r="Q176" i="16"/>
  <c r="R176" i="16" s="1"/>
  <c r="Q144" i="16"/>
  <c r="R144" i="16" s="1"/>
  <c r="Q80" i="16"/>
  <c r="R80" i="16" s="1"/>
  <c r="Q48" i="16"/>
  <c r="R48" i="16" s="1"/>
  <c r="Q1435" i="16"/>
  <c r="R1435" i="16" s="1"/>
  <c r="Q1423" i="16"/>
  <c r="R1423" i="16" s="1"/>
  <c r="Q1387" i="16"/>
  <c r="R1387" i="16" s="1"/>
  <c r="Q1331" i="16"/>
  <c r="R1331" i="16" s="1"/>
  <c r="Q1279" i="16"/>
  <c r="R1279" i="16" s="1"/>
  <c r="Q1263" i="16"/>
  <c r="R1263" i="16" s="1"/>
  <c r="Q1199" i="16"/>
  <c r="R1199" i="16" s="1"/>
  <c r="Q1171" i="16"/>
  <c r="R1171" i="16" s="1"/>
  <c r="Q1151" i="16"/>
  <c r="R1151" i="16" s="1"/>
  <c r="Q1135" i="16"/>
  <c r="R1135" i="16" s="1"/>
  <c r="Q1111" i="16"/>
  <c r="R1111" i="16" s="1"/>
  <c r="Q1099" i="16"/>
  <c r="R1099" i="16" s="1"/>
  <c r="Q1087" i="16"/>
  <c r="R1087" i="16" s="1"/>
  <c r="Q1051" i="16"/>
  <c r="R1051" i="16" s="1"/>
  <c r="Q1015" i="16"/>
  <c r="R1015" i="16" s="1"/>
  <c r="Q959" i="16"/>
  <c r="R959" i="16" s="1"/>
  <c r="Q947" i="16"/>
  <c r="R947" i="16" s="1"/>
  <c r="Q923" i="16"/>
  <c r="R923" i="16" s="1"/>
  <c r="Q915" i="16"/>
  <c r="R915" i="16" s="1"/>
  <c r="Q899" i="16"/>
  <c r="R899" i="16" s="1"/>
  <c r="Q891" i="16"/>
  <c r="R891" i="16" s="1"/>
  <c r="Q807" i="16"/>
  <c r="R807" i="16" s="1"/>
  <c r="Q799" i="16"/>
  <c r="R799" i="16" s="1"/>
  <c r="Q787" i="16"/>
  <c r="R787" i="16" s="1"/>
  <c r="Q767" i="16"/>
  <c r="R767" i="16" s="1"/>
  <c r="Q747" i="16"/>
  <c r="R747" i="16" s="1"/>
  <c r="Q731" i="16"/>
  <c r="R731" i="16" s="1"/>
  <c r="Q719" i="16"/>
  <c r="R719" i="16" s="1"/>
  <c r="Q695" i="16"/>
  <c r="R695" i="16" s="1"/>
  <c r="Q679" i="16"/>
  <c r="R679" i="16" s="1"/>
  <c r="Q671" i="16"/>
  <c r="R671" i="16" s="1"/>
  <c r="Q627" i="16"/>
  <c r="R627" i="16" s="1"/>
  <c r="Q611" i="16"/>
  <c r="R611" i="16" s="1"/>
  <c r="Q547" i="16"/>
  <c r="R547" i="16" s="1"/>
  <c r="Q535" i="16"/>
  <c r="R535" i="16" s="1"/>
  <c r="Q487" i="16"/>
  <c r="R487" i="16" s="1"/>
  <c r="Q455" i="16"/>
  <c r="R455" i="16" s="1"/>
  <c r="Q443" i="16"/>
  <c r="R443" i="16" s="1"/>
  <c r="Q407" i="16"/>
  <c r="R407" i="16" s="1"/>
  <c r="Q375" i="16"/>
  <c r="R375" i="16" s="1"/>
  <c r="Q359" i="16"/>
  <c r="R359" i="16" s="1"/>
  <c r="Q307" i="16"/>
  <c r="R307" i="16" s="1"/>
  <c r="Q295" i="16"/>
  <c r="R295" i="16" s="1"/>
  <c r="Q267" i="16"/>
  <c r="R267" i="16" s="1"/>
  <c r="Q255" i="16"/>
  <c r="R255" i="16" s="1"/>
  <c r="Q243" i="16"/>
  <c r="R243" i="16" s="1"/>
  <c r="Q235" i="16"/>
  <c r="R235" i="16" s="1"/>
  <c r="Q223" i="16"/>
  <c r="R223" i="16" s="1"/>
  <c r="Q159" i="16"/>
  <c r="R159" i="16" s="1"/>
  <c r="Q59" i="16"/>
  <c r="R59" i="16" s="1"/>
  <c r="Q39" i="16"/>
  <c r="R39" i="16" s="1"/>
  <c r="Q1479" i="16"/>
  <c r="R1479" i="16" s="1"/>
  <c r="Q1455" i="16"/>
  <c r="R1455" i="16" s="1"/>
  <c r="Q1315" i="16"/>
  <c r="R1315" i="16" s="1"/>
  <c r="Q1295" i="16"/>
  <c r="R1295" i="16" s="1"/>
  <c r="Q1203" i="16"/>
  <c r="R1203" i="16" s="1"/>
  <c r="Q1183" i="16"/>
  <c r="R1183" i="16" s="1"/>
  <c r="Q1143" i="16"/>
  <c r="R1143" i="16" s="1"/>
  <c r="Q1119" i="16"/>
  <c r="R1119" i="16" s="1"/>
  <c r="Q1095" i="16"/>
  <c r="R1095" i="16" s="1"/>
  <c r="Q1075" i="16"/>
  <c r="R1075" i="16" s="1"/>
  <c r="Q1011" i="16"/>
  <c r="R1011" i="16" s="1"/>
  <c r="Q987" i="16"/>
  <c r="R987" i="16" s="1"/>
  <c r="Q903" i="16"/>
  <c r="R903" i="16" s="1"/>
  <c r="Q815" i="16"/>
  <c r="R815" i="16" s="1"/>
  <c r="Q795" i="16"/>
  <c r="R795" i="16" s="1"/>
  <c r="Q759" i="16"/>
  <c r="R759" i="16" s="1"/>
  <c r="Q739" i="16"/>
  <c r="R739" i="16" s="1"/>
  <c r="Q591" i="16"/>
  <c r="R591" i="16" s="1"/>
  <c r="Q575" i="16"/>
  <c r="R575" i="16" s="1"/>
  <c r="Q555" i="16"/>
  <c r="R555" i="16" s="1"/>
  <c r="Q515" i="16"/>
  <c r="R515" i="16" s="1"/>
  <c r="Q479" i="16"/>
  <c r="R479" i="16" s="1"/>
  <c r="Q383" i="16"/>
  <c r="R383" i="16" s="1"/>
  <c r="Q367" i="16"/>
  <c r="R367" i="16" s="1"/>
  <c r="Q347" i="16"/>
  <c r="R347" i="16" s="1"/>
  <c r="Q331" i="16"/>
  <c r="R331" i="16" s="1"/>
  <c r="Q275" i="16"/>
  <c r="R275" i="16" s="1"/>
  <c r="Q239" i="16"/>
  <c r="R239" i="16" s="1"/>
  <c r="Q219" i="16"/>
  <c r="R219" i="16" s="1"/>
  <c r="Q203" i="16"/>
  <c r="R203" i="16" s="1"/>
  <c r="Q183" i="16"/>
  <c r="R183" i="16" s="1"/>
  <c r="Q167" i="16"/>
  <c r="R167" i="16" s="1"/>
  <c r="Q151" i="16"/>
  <c r="R151" i="16" s="1"/>
  <c r="Q135" i="16"/>
  <c r="R135" i="16" s="1"/>
  <c r="Q115" i="16"/>
  <c r="R115" i="16" s="1"/>
  <c r="Q99" i="16"/>
  <c r="R99" i="16" s="1"/>
  <c r="Q83" i="16"/>
  <c r="R83" i="16" s="1"/>
  <c r="Q1478" i="16"/>
  <c r="R1478" i="16" s="1"/>
  <c r="Q1446" i="16"/>
  <c r="R1446" i="16" s="1"/>
  <c r="Q1430" i="16"/>
  <c r="R1430" i="16" s="1"/>
  <c r="Q1426" i="16"/>
  <c r="R1426" i="16" s="1"/>
  <c r="Q1414" i="16"/>
  <c r="R1414" i="16" s="1"/>
  <c r="Q1378" i="16"/>
  <c r="R1378" i="16" s="1"/>
  <c r="Q1374" i="16"/>
  <c r="R1374" i="16" s="1"/>
  <c r="Q1334" i="16"/>
  <c r="R1334" i="16" s="1"/>
  <c r="Q1318" i="16"/>
  <c r="R1318" i="16" s="1"/>
  <c r="Q1242" i="16"/>
  <c r="R1242" i="16" s="1"/>
  <c r="Q1230" i="16"/>
  <c r="R1230" i="16" s="1"/>
  <c r="Q1218" i="16"/>
  <c r="R1218" i="16" s="1"/>
  <c r="Q1182" i="16"/>
  <c r="R1182" i="16" s="1"/>
  <c r="Q1166" i="16"/>
  <c r="R1166" i="16" s="1"/>
  <c r="Q1122" i="16"/>
  <c r="R1122" i="16" s="1"/>
  <c r="Q1082" i="16"/>
  <c r="R1082" i="16" s="1"/>
  <c r="Q1070" i="16"/>
  <c r="R1070" i="16" s="1"/>
  <c r="Q1014" i="16"/>
  <c r="R1014" i="16" s="1"/>
  <c r="Q978" i="16"/>
  <c r="R978" i="16" s="1"/>
  <c r="Q874" i="16"/>
  <c r="R874" i="16" s="1"/>
  <c r="Q850" i="16"/>
  <c r="R850" i="16" s="1"/>
  <c r="Q838" i="16"/>
  <c r="R838" i="16" s="1"/>
  <c r="Q822" i="16"/>
  <c r="R822" i="16" s="1"/>
  <c r="Q790" i="16"/>
  <c r="R790" i="16" s="1"/>
  <c r="Q774" i="16"/>
  <c r="R774" i="16" s="1"/>
  <c r="Q706" i="16"/>
  <c r="R706" i="16" s="1"/>
  <c r="Q670" i="16"/>
  <c r="R670" i="16" s="1"/>
  <c r="Q638" i="16"/>
  <c r="R638" i="16" s="1"/>
  <c r="Q602" i="16"/>
  <c r="R602" i="16" s="1"/>
  <c r="Q586" i="16"/>
  <c r="R586" i="16" s="1"/>
  <c r="Q566" i="16"/>
  <c r="R566" i="16" s="1"/>
  <c r="Q542" i="16"/>
  <c r="R542" i="16" s="1"/>
  <c r="Q534" i="16"/>
  <c r="R534" i="16" s="1"/>
  <c r="Q526" i="16"/>
  <c r="R526" i="16" s="1"/>
  <c r="Q506" i="16"/>
  <c r="R506" i="16" s="1"/>
  <c r="Q482" i="16"/>
  <c r="R482" i="16" s="1"/>
  <c r="Q450" i="16"/>
  <c r="R450" i="16" s="1"/>
  <c r="Q438" i="16"/>
  <c r="R438" i="16" s="1"/>
  <c r="Q414" i="16"/>
  <c r="R414" i="16" s="1"/>
  <c r="Q398" i="16"/>
  <c r="R398" i="16" s="1"/>
  <c r="Q382" i="16"/>
  <c r="R382" i="16" s="1"/>
  <c r="Q366" i="16"/>
  <c r="R366" i="16" s="1"/>
  <c r="Q354" i="16"/>
  <c r="R354" i="16" s="1"/>
  <c r="Q334" i="16"/>
  <c r="R334" i="16" s="1"/>
  <c r="Q322" i="16"/>
  <c r="R322" i="16" s="1"/>
  <c r="Q310" i="16"/>
  <c r="R310" i="16" s="1"/>
  <c r="Q298" i="16"/>
  <c r="R298" i="16" s="1"/>
  <c r="Q286" i="16"/>
  <c r="R286" i="16" s="1"/>
  <c r="Q274" i="16"/>
  <c r="R274" i="16" s="1"/>
  <c r="Q266" i="16"/>
  <c r="R266" i="16" s="1"/>
  <c r="Q242" i="16"/>
  <c r="R242" i="16" s="1"/>
  <c r="Q234" i="16"/>
  <c r="R234" i="16" s="1"/>
  <c r="Q202" i="16"/>
  <c r="R202" i="16" s="1"/>
  <c r="Q190" i="16"/>
  <c r="R190" i="16" s="1"/>
  <c r="Q178" i="16"/>
  <c r="R178" i="16" s="1"/>
  <c r="Q138" i="16"/>
  <c r="R138" i="16" s="1"/>
  <c r="Q126" i="16"/>
  <c r="R126" i="16" s="1"/>
  <c r="Q102" i="16"/>
  <c r="R102" i="16" s="1"/>
  <c r="Q94" i="16"/>
  <c r="R94" i="16" s="1"/>
  <c r="Q74" i="16"/>
  <c r="R74" i="16" s="1"/>
  <c r="Q62" i="16"/>
  <c r="R62" i="16" s="1"/>
  <c r="Q54" i="16"/>
  <c r="R54" i="16" s="1"/>
  <c r="Q42" i="16"/>
  <c r="R42" i="16" s="1"/>
  <c r="Q34" i="16"/>
  <c r="R34" i="16" s="1"/>
  <c r="Q22" i="16"/>
  <c r="R22" i="16" s="1"/>
  <c r="D7" i="17"/>
  <c r="Q1513" i="16"/>
  <c r="R1513" i="16" s="1"/>
  <c r="Q1506" i="16"/>
  <c r="R1506" i="16" s="1"/>
  <c r="Q1502" i="16"/>
  <c r="R1502" i="16" s="1"/>
  <c r="Q1498" i="16"/>
  <c r="R1498" i="16" s="1"/>
  <c r="Q1494" i="16"/>
  <c r="R1494" i="16" s="1"/>
  <c r="Q1490" i="16"/>
  <c r="R1490" i="16" s="1"/>
  <c r="Q1486" i="16"/>
  <c r="R1486" i="16" s="1"/>
  <c r="Q1482" i="16"/>
  <c r="R1482" i="16" s="1"/>
  <c r="Q1474" i="16"/>
  <c r="R1474" i="16" s="1"/>
  <c r="Q1470" i="16"/>
  <c r="R1470" i="16" s="1"/>
  <c r="Q1466" i="16"/>
  <c r="R1466" i="16" s="1"/>
  <c r="Q1462" i="16"/>
  <c r="R1462" i="16" s="1"/>
  <c r="Q1458" i="16"/>
  <c r="R1458" i="16" s="1"/>
  <c r="Q1454" i="16"/>
  <c r="R1454" i="16" s="1"/>
  <c r="Q1450" i="16"/>
  <c r="R1450" i="16" s="1"/>
  <c r="Q1442" i="16"/>
  <c r="R1442" i="16" s="1"/>
  <c r="Q1438" i="16"/>
  <c r="R1438" i="16" s="1"/>
  <c r="Q1434" i="16"/>
  <c r="R1434" i="16" s="1"/>
  <c r="Q1422" i="16"/>
  <c r="R1422" i="16" s="1"/>
  <c r="Q1418" i="16"/>
  <c r="R1418" i="16" s="1"/>
  <c r="Q1410" i="16"/>
  <c r="R1410" i="16" s="1"/>
  <c r="Q1402" i="16"/>
  <c r="R1402" i="16" s="1"/>
  <c r="Q1398" i="16"/>
  <c r="R1398" i="16" s="1"/>
  <c r="Q1394" i="16"/>
  <c r="R1394" i="16" s="1"/>
  <c r="Q1390" i="16"/>
  <c r="R1390" i="16" s="1"/>
  <c r="Q1386" i="16"/>
  <c r="R1386" i="16" s="1"/>
  <c r="Q1382" i="16"/>
  <c r="R1382" i="16" s="1"/>
  <c r="Q1370" i="16"/>
  <c r="R1370" i="16" s="1"/>
  <c r="Q1366" i="16"/>
  <c r="R1366" i="16" s="1"/>
  <c r="Q1362" i="16"/>
  <c r="R1362" i="16" s="1"/>
  <c r="Q1358" i="16"/>
  <c r="R1358" i="16" s="1"/>
  <c r="Q1354" i="16"/>
  <c r="R1354" i="16" s="1"/>
  <c r="Q1350" i="16"/>
  <c r="R1350" i="16" s="1"/>
  <c r="Q1346" i="16"/>
  <c r="R1346" i="16" s="1"/>
  <c r="Q1338" i="16"/>
  <c r="R1338" i="16" s="1"/>
  <c r="Q1326" i="16"/>
  <c r="R1326" i="16" s="1"/>
  <c r="Q1322" i="16"/>
  <c r="R1322" i="16" s="1"/>
  <c r="Q1306" i="16"/>
  <c r="R1306" i="16" s="1"/>
  <c r="Q1302" i="16"/>
  <c r="R1302" i="16" s="1"/>
  <c r="Q1298" i="16"/>
  <c r="R1298" i="16" s="1"/>
  <c r="Q1290" i="16"/>
  <c r="R1290" i="16" s="1"/>
  <c r="Q1286" i="16"/>
  <c r="R1286" i="16" s="1"/>
  <c r="Q1282" i="16"/>
  <c r="R1282" i="16" s="1"/>
  <c r="Q1278" i="16"/>
  <c r="R1278" i="16" s="1"/>
  <c r="Q1274" i="16"/>
  <c r="R1274" i="16" s="1"/>
  <c r="Q1266" i="16"/>
  <c r="R1266" i="16" s="1"/>
  <c r="Q1258" i="16"/>
  <c r="R1258" i="16" s="1"/>
  <c r="Q1254" i="16"/>
  <c r="R1254" i="16" s="1"/>
  <c r="Q1246" i="16"/>
  <c r="R1246" i="16" s="1"/>
  <c r="Q1214" i="16"/>
  <c r="R1214" i="16" s="1"/>
  <c r="Q1206" i="16"/>
  <c r="R1206" i="16" s="1"/>
  <c r="Q1202" i="16"/>
  <c r="R1202" i="16" s="1"/>
  <c r="Q1198" i="16"/>
  <c r="R1198" i="16" s="1"/>
  <c r="Q1194" i="16"/>
  <c r="R1194" i="16" s="1"/>
  <c r="Q1190" i="16"/>
  <c r="R1190" i="16" s="1"/>
  <c r="Q1186" i="16"/>
  <c r="R1186" i="16" s="1"/>
  <c r="Q1178" i="16"/>
  <c r="R1178" i="16" s="1"/>
  <c r="Q1170" i="16"/>
  <c r="R1170" i="16" s="1"/>
  <c r="Q1162" i="16"/>
  <c r="R1162" i="16" s="1"/>
  <c r="Q1150" i="16"/>
  <c r="R1150" i="16" s="1"/>
  <c r="Q1146" i="16"/>
  <c r="R1146" i="16" s="1"/>
  <c r="Q1134" i="16"/>
  <c r="R1134" i="16" s="1"/>
  <c r="Q1126" i="16"/>
  <c r="R1126" i="16" s="1"/>
  <c r="Q1118" i="16"/>
  <c r="R1118" i="16" s="1"/>
  <c r="Q1114" i="16"/>
  <c r="R1114" i="16" s="1"/>
  <c r="Q1110" i="16"/>
  <c r="R1110" i="16" s="1"/>
  <c r="Q1106" i="16"/>
  <c r="R1106" i="16" s="1"/>
  <c r="Q1094" i="16"/>
  <c r="R1094" i="16" s="1"/>
  <c r="Q1090" i="16"/>
  <c r="R1090" i="16" s="1"/>
  <c r="Q1078" i="16"/>
  <c r="R1078" i="16" s="1"/>
  <c r="Q1074" i="16"/>
  <c r="R1074" i="16" s="1"/>
  <c r="Q1066" i="16"/>
  <c r="R1066" i="16" s="1"/>
  <c r="Q1062" i="16"/>
  <c r="R1062" i="16" s="1"/>
  <c r="Q1054" i="16"/>
  <c r="R1054" i="16" s="1"/>
  <c r="Q1046" i="16"/>
  <c r="R1046" i="16" s="1"/>
  <c r="Q1038" i="16"/>
  <c r="R1038" i="16" s="1"/>
  <c r="Q1030" i="16"/>
  <c r="R1030" i="16" s="1"/>
  <c r="Q1026" i="16"/>
  <c r="R1026" i="16" s="1"/>
  <c r="Q1022" i="16"/>
  <c r="R1022" i="16" s="1"/>
  <c r="Q1018" i="16"/>
  <c r="R1018" i="16" s="1"/>
  <c r="Q1010" i="16"/>
  <c r="R1010" i="16" s="1"/>
  <c r="Q1006" i="16"/>
  <c r="R1006" i="16" s="1"/>
  <c r="Q1002" i="16"/>
  <c r="R1002" i="16" s="1"/>
  <c r="Q998" i="16"/>
  <c r="R998" i="16" s="1"/>
  <c r="Q990" i="16"/>
  <c r="R990" i="16" s="1"/>
  <c r="Q966" i="16"/>
  <c r="R966" i="16" s="1"/>
  <c r="Q962" i="16"/>
  <c r="R962" i="16" s="1"/>
  <c r="Q958" i="16"/>
  <c r="R958" i="16" s="1"/>
  <c r="Q954" i="16"/>
  <c r="R954" i="16" s="1"/>
  <c r="Q950" i="16"/>
  <c r="R950" i="16" s="1"/>
  <c r="Q946" i="16"/>
  <c r="R946" i="16" s="1"/>
  <c r="Q942" i="16"/>
  <c r="R942" i="16" s="1"/>
  <c r="Q938" i="16"/>
  <c r="R938" i="16" s="1"/>
  <c r="Q934" i="16"/>
  <c r="R934" i="16" s="1"/>
  <c r="Q926" i="16"/>
  <c r="R926" i="16" s="1"/>
  <c r="Q922" i="16"/>
  <c r="R922" i="16" s="1"/>
  <c r="Q914" i="16"/>
  <c r="R914" i="16" s="1"/>
  <c r="Q910" i="16"/>
  <c r="R910" i="16" s="1"/>
  <c r="Q902" i="16"/>
  <c r="R902" i="16" s="1"/>
  <c r="Q894" i="16"/>
  <c r="R894" i="16" s="1"/>
  <c r="Q886" i="16"/>
  <c r="R886" i="16" s="1"/>
  <c r="Q882" i="16"/>
  <c r="R882" i="16" s="1"/>
  <c r="Q878" i="16"/>
  <c r="R878" i="16" s="1"/>
  <c r="Q870" i="16"/>
  <c r="R870" i="16" s="1"/>
  <c r="Q866" i="16"/>
  <c r="R866" i="16" s="1"/>
  <c r="Q862" i="16"/>
  <c r="R862" i="16" s="1"/>
  <c r="Q858" i="16"/>
  <c r="R858" i="16" s="1"/>
  <c r="Q854" i="16"/>
  <c r="R854" i="16" s="1"/>
  <c r="Q846" i="16"/>
  <c r="R846" i="16" s="1"/>
  <c r="Q842" i="16"/>
  <c r="R842" i="16" s="1"/>
  <c r="Q834" i="16"/>
  <c r="R834" i="16" s="1"/>
  <c r="Q826" i="16"/>
  <c r="R826" i="16" s="1"/>
  <c r="Q818" i="16"/>
  <c r="R818" i="16" s="1"/>
  <c r="Q810" i="16"/>
  <c r="R810" i="16" s="1"/>
  <c r="Q806" i="16"/>
  <c r="R806" i="16" s="1"/>
  <c r="Q802" i="16"/>
  <c r="R802" i="16" s="1"/>
  <c r="Q798" i="16"/>
  <c r="R798" i="16" s="1"/>
  <c r="Q794" i="16"/>
  <c r="R794" i="16" s="1"/>
  <c r="Q786" i="16"/>
  <c r="R786" i="16" s="1"/>
  <c r="Q778" i="16"/>
  <c r="R778" i="16" s="1"/>
  <c r="Q770" i="16"/>
  <c r="R770" i="16" s="1"/>
  <c r="Q766" i="16"/>
  <c r="R766" i="16" s="1"/>
  <c r="Q762" i="16"/>
  <c r="R762" i="16" s="1"/>
  <c r="Q758" i="16"/>
  <c r="R758" i="16" s="1"/>
  <c r="Q750" i="16"/>
  <c r="R750" i="16" s="1"/>
  <c r="Q746" i="16"/>
  <c r="R746" i="16" s="1"/>
  <c r="Q738" i="16"/>
  <c r="R738" i="16" s="1"/>
  <c r="Q730" i="16"/>
  <c r="R730" i="16" s="1"/>
  <c r="Q726" i="16"/>
  <c r="R726" i="16" s="1"/>
  <c r="Q718" i="16"/>
  <c r="R718" i="16" s="1"/>
  <c r="Q714" i="16"/>
  <c r="R714" i="16" s="1"/>
  <c r="Q710" i="16"/>
  <c r="R710" i="16" s="1"/>
  <c r="Q702" i="16"/>
  <c r="R702" i="16" s="1"/>
  <c r="Q698" i="16"/>
  <c r="R698" i="16" s="1"/>
  <c r="Q694" i="16"/>
  <c r="R694" i="16" s="1"/>
  <c r="Q686" i="16"/>
  <c r="R686" i="16" s="1"/>
  <c r="Q682" i="16"/>
  <c r="R682" i="16" s="1"/>
  <c r="Q678" i="16"/>
  <c r="R678" i="16" s="1"/>
  <c r="Q662" i="16"/>
  <c r="R662" i="16" s="1"/>
  <c r="Q658" i="16"/>
  <c r="R658" i="16" s="1"/>
  <c r="Q654" i="16"/>
  <c r="R654" i="16" s="1"/>
  <c r="Q650" i="16"/>
  <c r="R650" i="16" s="1"/>
  <c r="Q646" i="16"/>
  <c r="R646" i="16" s="1"/>
  <c r="Q642" i="16"/>
  <c r="R642" i="16" s="1"/>
  <c r="Q630" i="16"/>
  <c r="R630" i="16" s="1"/>
  <c r="Q622" i="16"/>
  <c r="R622" i="16" s="1"/>
  <c r="Q614" i="16"/>
  <c r="R614" i="16" s="1"/>
  <c r="Q606" i="16"/>
  <c r="R606" i="16" s="1"/>
  <c r="Q598" i="16"/>
  <c r="R598" i="16" s="1"/>
  <c r="Q594" i="16"/>
  <c r="R594" i="16" s="1"/>
  <c r="Q582" i="16"/>
  <c r="R582" i="16" s="1"/>
  <c r="Q578" i="16"/>
  <c r="R578" i="16" s="1"/>
  <c r="Q574" i="16"/>
  <c r="R574" i="16" s="1"/>
  <c r="Q554" i="16"/>
  <c r="R554" i="16" s="1"/>
  <c r="Q546" i="16"/>
  <c r="R546" i="16" s="1"/>
  <c r="Q530" i="16"/>
  <c r="R530" i="16" s="1"/>
  <c r="Q518" i="16"/>
  <c r="R518" i="16" s="1"/>
  <c r="Q514" i="16"/>
  <c r="R514" i="16" s="1"/>
  <c r="Q502" i="16"/>
  <c r="R502" i="16" s="1"/>
  <c r="Q494" i="16"/>
  <c r="R494" i="16" s="1"/>
  <c r="Q490" i="16"/>
  <c r="R490" i="16" s="1"/>
  <c r="Q474" i="16"/>
  <c r="R474" i="16" s="1"/>
  <c r="Q466" i="16"/>
  <c r="R466" i="16" s="1"/>
  <c r="Q462" i="16"/>
  <c r="R462" i="16" s="1"/>
  <c r="Q454" i="16"/>
  <c r="R454" i="16" s="1"/>
  <c r="Q430" i="16"/>
  <c r="R430" i="16" s="1"/>
  <c r="Q426" i="16"/>
  <c r="R426" i="16" s="1"/>
  <c r="Q422" i="16"/>
  <c r="R422" i="16" s="1"/>
  <c r="Q406" i="16"/>
  <c r="R406" i="16" s="1"/>
  <c r="Q402" i="16"/>
  <c r="R402" i="16" s="1"/>
  <c r="Q394" i="16"/>
  <c r="R394" i="16" s="1"/>
  <c r="Q386" i="16"/>
  <c r="R386" i="16" s="1"/>
  <c r="Q378" i="16"/>
  <c r="R378" i="16" s="1"/>
  <c r="Q374" i="16"/>
  <c r="R374" i="16" s="1"/>
  <c r="Q370" i="16"/>
  <c r="R370" i="16" s="1"/>
  <c r="Q362" i="16"/>
  <c r="R362" i="16" s="1"/>
  <c r="Q350" i="16"/>
  <c r="R350" i="16" s="1"/>
  <c r="Q346" i="16"/>
  <c r="R346" i="16" s="1"/>
  <c r="Q338" i="16"/>
  <c r="R338" i="16" s="1"/>
  <c r="Q318" i="16"/>
  <c r="R318" i="16" s="1"/>
  <c r="Q306" i="16"/>
  <c r="R306" i="16" s="1"/>
  <c r="Q290" i="16"/>
  <c r="R290" i="16" s="1"/>
  <c r="Q262" i="16"/>
  <c r="R262" i="16" s="1"/>
  <c r="Q258" i="16"/>
  <c r="R258" i="16" s="1"/>
  <c r="Q254" i="16"/>
  <c r="R254" i="16" s="1"/>
  <c r="Q250" i="16"/>
  <c r="R250" i="16" s="1"/>
  <c r="Q246" i="16"/>
  <c r="R246" i="16" s="1"/>
  <c r="Q230" i="16"/>
  <c r="R230" i="16" s="1"/>
  <c r="Q226" i="16"/>
  <c r="R226" i="16" s="1"/>
  <c r="Q218" i="16"/>
  <c r="R218" i="16" s="1"/>
  <c r="Q214" i="16"/>
  <c r="R214" i="16" s="1"/>
  <c r="Q198" i="16"/>
  <c r="R198" i="16" s="1"/>
  <c r="Q174" i="16"/>
  <c r="R174" i="16" s="1"/>
  <c r="Q170" i="16"/>
  <c r="R170" i="16" s="1"/>
  <c r="Q162" i="16"/>
  <c r="R162" i="16" s="1"/>
  <c r="Q158" i="16"/>
  <c r="R158" i="16" s="1"/>
  <c r="Q150" i="16"/>
  <c r="R150" i="16" s="1"/>
  <c r="Q146" i="16"/>
  <c r="R146" i="16" s="1"/>
  <c r="Q142" i="16"/>
  <c r="R142" i="16" s="1"/>
  <c r="Q134" i="16"/>
  <c r="R134" i="16" s="1"/>
  <c r="Q130" i="16"/>
  <c r="R130" i="16" s="1"/>
  <c r="Q122" i="16"/>
  <c r="R122" i="16" s="1"/>
  <c r="Q114" i="16"/>
  <c r="R114" i="16" s="1"/>
  <c r="Q110" i="16"/>
  <c r="R110" i="16" s="1"/>
  <c r="Q106" i="16"/>
  <c r="R106" i="16" s="1"/>
  <c r="Q86" i="16"/>
  <c r="R86" i="16" s="1"/>
  <c r="Q82" i="16"/>
  <c r="R82" i="16" s="1"/>
  <c r="Q78" i="16"/>
  <c r="R78" i="16" s="1"/>
  <c r="Q70" i="16"/>
  <c r="R70" i="16" s="1"/>
  <c r="Q66" i="16"/>
  <c r="R66" i="16" s="1"/>
  <c r="Q58" i="16"/>
  <c r="R58" i="16" s="1"/>
  <c r="Q50" i="16"/>
  <c r="R50" i="16" s="1"/>
  <c r="Q46" i="16"/>
  <c r="R46" i="16" s="1"/>
  <c r="Q38" i="16"/>
  <c r="R38" i="16" s="1"/>
  <c r="Q30" i="16"/>
  <c r="R30" i="16" s="1"/>
  <c r="Q26" i="16"/>
  <c r="R26" i="16" s="1"/>
  <c r="Q1500" i="16"/>
  <c r="R1500" i="16" s="1"/>
  <c r="Q1496" i="16"/>
  <c r="R1496" i="16" s="1"/>
  <c r="Q1492" i="16"/>
  <c r="R1492" i="16" s="1"/>
  <c r="Q1464" i="16"/>
  <c r="R1464" i="16" s="1"/>
  <c r="Q1436" i="16"/>
  <c r="R1436" i="16" s="1"/>
  <c r="Q1420" i="16"/>
  <c r="R1420" i="16" s="1"/>
  <c r="Q1400" i="16"/>
  <c r="R1400" i="16" s="1"/>
  <c r="Q1380" i="16"/>
  <c r="R1380" i="16" s="1"/>
  <c r="Q1364" i="16"/>
  <c r="R1364" i="16" s="1"/>
  <c r="Q1348" i="16"/>
  <c r="R1348" i="16" s="1"/>
  <c r="Q1324" i="16"/>
  <c r="R1324" i="16" s="1"/>
  <c r="Q1300" i="16"/>
  <c r="R1300" i="16" s="1"/>
  <c r="Q1288" i="16"/>
  <c r="R1288" i="16" s="1"/>
  <c r="Q1260" i="16"/>
  <c r="R1260" i="16" s="1"/>
  <c r="Q1212" i="16"/>
  <c r="R1212" i="16" s="1"/>
  <c r="Q1192" i="16"/>
  <c r="R1192" i="16" s="1"/>
  <c r="Q1164" i="16"/>
  <c r="R1164" i="16" s="1"/>
  <c r="Q1028" i="16"/>
  <c r="R1028" i="16" s="1"/>
  <c r="Q1012" i="16"/>
  <c r="R1012" i="16" s="1"/>
  <c r="Q980" i="16"/>
  <c r="R980" i="16" s="1"/>
  <c r="Q960" i="16"/>
  <c r="R960" i="16" s="1"/>
  <c r="Q928" i="16"/>
  <c r="R928" i="16" s="1"/>
  <c r="Q912" i="16"/>
  <c r="R912" i="16" s="1"/>
  <c r="Q880" i="16"/>
  <c r="R880" i="16" s="1"/>
  <c r="Q820" i="16"/>
  <c r="R820" i="16" s="1"/>
  <c r="Q780" i="16"/>
  <c r="R780" i="16" s="1"/>
  <c r="Q760" i="16"/>
  <c r="R760" i="16" s="1"/>
  <c r="Q708" i="16"/>
  <c r="R708" i="16" s="1"/>
  <c r="Q688" i="16"/>
  <c r="R688" i="16" s="1"/>
  <c r="Q668" i="16"/>
  <c r="R668" i="16" s="1"/>
  <c r="Q612" i="16"/>
  <c r="R612" i="16" s="1"/>
  <c r="Q576" i="16"/>
  <c r="R576" i="16" s="1"/>
  <c r="Q552" i="16"/>
  <c r="R552" i="16" s="1"/>
  <c r="Q520" i="16"/>
  <c r="R520" i="16" s="1"/>
  <c r="Q488" i="16"/>
  <c r="R488" i="16" s="1"/>
  <c r="Q468" i="16"/>
  <c r="R468" i="16" s="1"/>
  <c r="Q452" i="16"/>
  <c r="R452" i="16" s="1"/>
  <c r="Q408" i="16"/>
  <c r="R408" i="16" s="1"/>
  <c r="Q392" i="16"/>
  <c r="R392" i="16" s="1"/>
  <c r="Q376" i="16"/>
  <c r="R376" i="16" s="1"/>
  <c r="Q348" i="16"/>
  <c r="R348" i="16" s="1"/>
  <c r="Q296" i="16"/>
  <c r="R296" i="16" s="1"/>
  <c r="Q232" i="16"/>
  <c r="R232" i="16" s="1"/>
  <c r="Q200" i="16"/>
  <c r="R200" i="16" s="1"/>
  <c r="Q184" i="16"/>
  <c r="R184" i="16" s="1"/>
  <c r="Q168" i="16"/>
  <c r="R168" i="16" s="1"/>
  <c r="Q88" i="16"/>
  <c r="R88" i="16" s="1"/>
  <c r="Q60" i="16"/>
  <c r="R60" i="16" s="1"/>
  <c r="Q44" i="16"/>
  <c r="R44" i="16" s="1"/>
  <c r="Q24" i="16"/>
  <c r="R24" i="16" s="1"/>
  <c r="Q1511" i="16"/>
  <c r="R1511" i="16" s="1"/>
  <c r="Q1447" i="16"/>
  <c r="R1447" i="16" s="1"/>
  <c r="Q1431" i="16"/>
  <c r="R1431" i="16" s="1"/>
  <c r="Q1411" i="16"/>
  <c r="R1411" i="16" s="1"/>
  <c r="Q1383" i="16"/>
  <c r="R1383" i="16" s="1"/>
  <c r="Q1371" i="16"/>
  <c r="R1371" i="16" s="1"/>
  <c r="Q1335" i="16"/>
  <c r="R1335" i="16" s="1"/>
  <c r="Q1319" i="16"/>
  <c r="R1319" i="16" s="1"/>
  <c r="Q1303" i="16"/>
  <c r="R1303" i="16" s="1"/>
  <c r="Q1287" i="16"/>
  <c r="R1287" i="16" s="1"/>
  <c r="Q1271" i="16"/>
  <c r="R1271" i="16" s="1"/>
  <c r="Q1251" i="16"/>
  <c r="R1251" i="16" s="1"/>
  <c r="Q1235" i="16"/>
  <c r="R1235" i="16" s="1"/>
  <c r="Q1187" i="16"/>
  <c r="R1187" i="16" s="1"/>
  <c r="Q1163" i="16"/>
  <c r="R1163" i="16" s="1"/>
  <c r="Q1079" i="16"/>
  <c r="R1079" i="16" s="1"/>
  <c r="Q1059" i="16"/>
  <c r="R1059" i="16" s="1"/>
  <c r="Q1039" i="16"/>
  <c r="R1039" i="16" s="1"/>
  <c r="Q999" i="16"/>
  <c r="R999" i="16" s="1"/>
  <c r="Q983" i="16"/>
  <c r="R983" i="16" s="1"/>
  <c r="Q943" i="16"/>
  <c r="R943" i="16" s="1"/>
  <c r="Q927" i="16"/>
  <c r="R927" i="16" s="1"/>
  <c r="Q907" i="16"/>
  <c r="R907" i="16" s="1"/>
  <c r="Q887" i="16"/>
  <c r="R887" i="16" s="1"/>
  <c r="Q871" i="16"/>
  <c r="R871" i="16" s="1"/>
  <c r="Q855" i="16"/>
  <c r="R855" i="16" s="1"/>
  <c r="Q791" i="16"/>
  <c r="R791" i="16" s="1"/>
  <c r="Q751" i="16"/>
  <c r="R751" i="16" s="1"/>
  <c r="Q735" i="16"/>
  <c r="R735" i="16" s="1"/>
  <c r="Q715" i="16"/>
  <c r="R715" i="16" s="1"/>
  <c r="Q651" i="16"/>
  <c r="R651" i="16" s="1"/>
  <c r="Q631" i="16"/>
  <c r="R631" i="16" s="1"/>
  <c r="Q615" i="16"/>
  <c r="R615" i="16" s="1"/>
  <c r="Q603" i="16"/>
  <c r="R603" i="16" s="1"/>
  <c r="Q567" i="16"/>
  <c r="R567" i="16" s="1"/>
  <c r="Q539" i="16"/>
  <c r="R539" i="16" s="1"/>
  <c r="Q523" i="16"/>
  <c r="R523" i="16" s="1"/>
  <c r="Q507" i="16"/>
  <c r="R507" i="16" s="1"/>
  <c r="Q491" i="16"/>
  <c r="R491" i="16" s="1"/>
  <c r="Q459" i="16"/>
  <c r="R459" i="16" s="1"/>
  <c r="Q423" i="16"/>
  <c r="R423" i="16" s="1"/>
  <c r="Q403" i="16"/>
  <c r="R403" i="16" s="1"/>
  <c r="Q399" i="16"/>
  <c r="R399" i="16" s="1"/>
  <c r="Q355" i="16"/>
  <c r="R355" i="16" s="1"/>
  <c r="Q323" i="16"/>
  <c r="R323" i="16" s="1"/>
  <c r="Q279" i="16"/>
  <c r="R279" i="16" s="1"/>
  <c r="Q175" i="16"/>
  <c r="R175" i="16" s="1"/>
  <c r="Q143" i="16"/>
  <c r="R143" i="16" s="1"/>
  <c r="Q131" i="16"/>
  <c r="R131" i="16" s="1"/>
  <c r="Q119" i="16"/>
  <c r="R119" i="16" s="1"/>
  <c r="Q67" i="16"/>
  <c r="R67" i="16" s="1"/>
  <c r="Q43" i="16"/>
  <c r="R43" i="16" s="1"/>
  <c r="Q1491" i="16"/>
  <c r="R1491" i="16" s="1"/>
  <c r="Q1467" i="16"/>
  <c r="R1467" i="16" s="1"/>
  <c r="Q1399" i="16"/>
  <c r="R1399" i="16" s="1"/>
  <c r="Q1359" i="16"/>
  <c r="R1359" i="16" s="1"/>
  <c r="Q1343" i="16"/>
  <c r="R1343" i="16" s="1"/>
  <c r="Q1327" i="16"/>
  <c r="R1327" i="16" s="1"/>
  <c r="Q1243" i="16"/>
  <c r="R1243" i="16" s="1"/>
  <c r="Q1227" i="16"/>
  <c r="R1227" i="16" s="1"/>
  <c r="Q1211" i="16"/>
  <c r="R1211" i="16" s="1"/>
  <c r="Q1159" i="16"/>
  <c r="R1159" i="16" s="1"/>
  <c r="Q1147" i="16"/>
  <c r="R1147" i="16" s="1"/>
  <c r="Q1067" i="16"/>
  <c r="R1067" i="16" s="1"/>
  <c r="Q1035" i="16"/>
  <c r="R1035" i="16" s="1"/>
  <c r="Q1019" i="16"/>
  <c r="R1019" i="16" s="1"/>
  <c r="Q1003" i="16"/>
  <c r="R1003" i="16" s="1"/>
  <c r="Q991" i="16"/>
  <c r="R991" i="16" s="1"/>
  <c r="Q975" i="16"/>
  <c r="R975" i="16" s="1"/>
  <c r="Q955" i="16"/>
  <c r="R955" i="16" s="1"/>
  <c r="Q911" i="16"/>
  <c r="R911" i="16" s="1"/>
  <c r="Q875" i="16"/>
  <c r="R875" i="16" s="1"/>
  <c r="Q835" i="16"/>
  <c r="R835" i="16" s="1"/>
  <c r="Q819" i="16"/>
  <c r="R819" i="16" s="1"/>
  <c r="Q779" i="16"/>
  <c r="R779" i="16" s="1"/>
  <c r="Q743" i="16"/>
  <c r="R743" i="16" s="1"/>
  <c r="Q691" i="16"/>
  <c r="R691" i="16" s="1"/>
  <c r="Q655" i="16"/>
  <c r="R655" i="16" s="1"/>
  <c r="Q639" i="16"/>
  <c r="R639" i="16" s="1"/>
  <c r="Q619" i="16"/>
  <c r="R619" i="16" s="1"/>
  <c r="Q563" i="16"/>
  <c r="R563" i="16" s="1"/>
  <c r="Q543" i="16"/>
  <c r="R543" i="16" s="1"/>
  <c r="Q527" i="16"/>
  <c r="R527" i="16" s="1"/>
  <c r="Q511" i="16"/>
  <c r="R511" i="16" s="1"/>
  <c r="Q475" i="16"/>
  <c r="R475" i="16" s="1"/>
  <c r="Q439" i="16"/>
  <c r="R439" i="16" s="1"/>
  <c r="Q419" i="16"/>
  <c r="R419" i="16" s="1"/>
  <c r="Q343" i="16"/>
  <c r="R343" i="16" s="1"/>
  <c r="Q271" i="16"/>
  <c r="R271" i="16" s="1"/>
  <c r="Q215" i="16"/>
  <c r="R215" i="16" s="1"/>
  <c r="Q195" i="16"/>
  <c r="R195" i="16" s="1"/>
  <c r="Q179" i="16"/>
  <c r="R179" i="16" s="1"/>
  <c r="Q163" i="16"/>
  <c r="R163" i="16" s="1"/>
  <c r="Q111" i="16"/>
  <c r="R111" i="16" s="1"/>
  <c r="Q95" i="16"/>
  <c r="R95" i="16" s="1"/>
  <c r="Q55" i="16"/>
  <c r="R55" i="16" s="1"/>
  <c r="D7" i="3"/>
  <c r="Q982" i="16"/>
  <c r="R982" i="16" s="1"/>
  <c r="Q550" i="16"/>
  <c r="R550" i="16" s="1"/>
  <c r="Q458" i="16"/>
  <c r="R458" i="16" s="1"/>
  <c r="Q390" i="16"/>
  <c r="R390" i="16" s="1"/>
  <c r="Q330" i="16"/>
  <c r="R330" i="16" s="1"/>
  <c r="Q194" i="16"/>
  <c r="R194" i="16" s="1"/>
  <c r="Q166" i="16"/>
  <c r="R166" i="16" s="1"/>
  <c r="Q118" i="16"/>
  <c r="R118" i="16" s="1"/>
  <c r="Q98" i="16"/>
  <c r="R98" i="16" s="1"/>
  <c r="Q19" i="16"/>
  <c r="R19" i="16" s="1"/>
  <c r="J17" i="16" a="1"/>
  <c r="Q23" i="16"/>
  <c r="R23" i="16" s="1"/>
  <c r="N17" i="16" l="1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37" i="16"/>
  <c r="N145" i="16"/>
  <c r="N153" i="16"/>
  <c r="N161" i="16"/>
  <c r="N169" i="16"/>
  <c r="N177" i="16"/>
  <c r="N185" i="16"/>
  <c r="N193" i="16"/>
  <c r="N201" i="16"/>
  <c r="N209" i="16"/>
  <c r="N217" i="16"/>
  <c r="N225" i="16"/>
  <c r="N233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38" i="16"/>
  <c r="N146" i="16"/>
  <c r="N154" i="16"/>
  <c r="N162" i="16"/>
  <c r="N170" i="16"/>
  <c r="N178" i="16"/>
  <c r="N186" i="16"/>
  <c r="N194" i="16"/>
  <c r="N202" i="16"/>
  <c r="N210" i="16"/>
  <c r="N218" i="16"/>
  <c r="N226" i="16"/>
  <c r="N234" i="16"/>
  <c r="N242" i="16"/>
  <c r="N250" i="16"/>
  <c r="N258" i="16"/>
  <c r="N266" i="16"/>
  <c r="N274" i="16"/>
  <c r="N282" i="16"/>
  <c r="N290" i="16"/>
  <c r="N298" i="16"/>
  <c r="N306" i="16"/>
  <c r="N314" i="16"/>
  <c r="N322" i="16"/>
  <c r="N330" i="16"/>
  <c r="N338" i="16"/>
  <c r="N346" i="16"/>
  <c r="N354" i="16"/>
  <c r="N362" i="16"/>
  <c r="N370" i="16"/>
  <c r="N378" i="16"/>
  <c r="N386" i="16"/>
  <c r="N394" i="16"/>
  <c r="N402" i="16"/>
  <c r="N410" i="16"/>
  <c r="N418" i="16"/>
  <c r="N426" i="16"/>
  <c r="N434" i="16"/>
  <c r="N442" i="16"/>
  <c r="N450" i="16"/>
  <c r="N458" i="16"/>
  <c r="N466" i="16"/>
  <c r="N474" i="16"/>
  <c r="N482" i="16"/>
  <c r="N490" i="16"/>
  <c r="N498" i="16"/>
  <c r="N506" i="16"/>
  <c r="N514" i="16"/>
  <c r="N522" i="16"/>
  <c r="N530" i="16"/>
  <c r="N538" i="16"/>
  <c r="N546" i="16"/>
  <c r="N554" i="16"/>
  <c r="N562" i="16"/>
  <c r="N570" i="16"/>
  <c r="N578" i="16"/>
  <c r="N586" i="16"/>
  <c r="N594" i="16"/>
  <c r="N602" i="16"/>
  <c r="N610" i="16"/>
  <c r="N618" i="16"/>
  <c r="N626" i="16"/>
  <c r="N634" i="16"/>
  <c r="N642" i="16"/>
  <c r="N650" i="16"/>
  <c r="N658" i="16"/>
  <c r="N666" i="16"/>
  <c r="N674" i="16"/>
  <c r="N682" i="16"/>
  <c r="N690" i="16"/>
  <c r="N19" i="16"/>
  <c r="N27" i="16"/>
  <c r="N22" i="16"/>
  <c r="N35" i="16"/>
  <c r="N45" i="16"/>
  <c r="N55" i="16"/>
  <c r="N67" i="16"/>
  <c r="N77" i="16"/>
  <c r="N87" i="16"/>
  <c r="N99" i="16"/>
  <c r="N109" i="16"/>
  <c r="N119" i="16"/>
  <c r="N131" i="16"/>
  <c r="N141" i="16"/>
  <c r="N151" i="16"/>
  <c r="N163" i="16"/>
  <c r="N173" i="16"/>
  <c r="N183" i="16"/>
  <c r="N195" i="16"/>
  <c r="N205" i="16"/>
  <c r="N215" i="16"/>
  <c r="N227" i="16"/>
  <c r="N237" i="16"/>
  <c r="N246" i="16"/>
  <c r="N255" i="16"/>
  <c r="N264" i="16"/>
  <c r="N273" i="16"/>
  <c r="N283" i="16"/>
  <c r="N292" i="16"/>
  <c r="N301" i="16"/>
  <c r="N310" i="16"/>
  <c r="N319" i="16"/>
  <c r="N328" i="16"/>
  <c r="N337" i="16"/>
  <c r="N347" i="16"/>
  <c r="N356" i="16"/>
  <c r="N365" i="16"/>
  <c r="N374" i="16"/>
  <c r="N383" i="16"/>
  <c r="N392" i="16"/>
  <c r="N401" i="16"/>
  <c r="N411" i="16"/>
  <c r="N420" i="16"/>
  <c r="N429" i="16"/>
  <c r="N438" i="16"/>
  <c r="N447" i="16"/>
  <c r="N456" i="16"/>
  <c r="N465" i="16"/>
  <c r="N475" i="16"/>
  <c r="N484" i="16"/>
  <c r="N493" i="16"/>
  <c r="N502" i="16"/>
  <c r="N511" i="16"/>
  <c r="N520" i="16"/>
  <c r="N529" i="16"/>
  <c r="N539" i="16"/>
  <c r="N548" i="16"/>
  <c r="N557" i="16"/>
  <c r="N566" i="16"/>
  <c r="N575" i="16"/>
  <c r="N584" i="16"/>
  <c r="N593" i="16"/>
  <c r="N603" i="16"/>
  <c r="N612" i="16"/>
  <c r="N621" i="16"/>
  <c r="N630" i="16"/>
  <c r="N639" i="16"/>
  <c r="N648" i="16"/>
  <c r="N657" i="16"/>
  <c r="N667" i="16"/>
  <c r="N676" i="16"/>
  <c r="N685" i="16"/>
  <c r="N694" i="16"/>
  <c r="N702" i="16"/>
  <c r="N710" i="16"/>
  <c r="N718" i="16"/>
  <c r="N726" i="16"/>
  <c r="N734" i="16"/>
  <c r="N742" i="16"/>
  <c r="N750" i="16"/>
  <c r="N758" i="16"/>
  <c r="N766" i="16"/>
  <c r="N29" i="16"/>
  <c r="N39" i="16"/>
  <c r="N51" i="16"/>
  <c r="N61" i="16"/>
  <c r="N71" i="16"/>
  <c r="N83" i="16"/>
  <c r="N93" i="16"/>
  <c r="N103" i="16"/>
  <c r="N115" i="16"/>
  <c r="N125" i="16"/>
  <c r="N135" i="16"/>
  <c r="N147" i="16"/>
  <c r="N157" i="16"/>
  <c r="N167" i="16"/>
  <c r="N179" i="16"/>
  <c r="N189" i="16"/>
  <c r="N199" i="16"/>
  <c r="N211" i="16"/>
  <c r="N221" i="16"/>
  <c r="N231" i="16"/>
  <c r="N241" i="16"/>
  <c r="N251" i="16"/>
  <c r="N260" i="16"/>
  <c r="N269" i="16"/>
  <c r="N278" i="16"/>
  <c r="N287" i="16"/>
  <c r="N296" i="16"/>
  <c r="N305" i="16"/>
  <c r="N315" i="16"/>
  <c r="N324" i="16"/>
  <c r="N333" i="16"/>
  <c r="N342" i="16"/>
  <c r="N351" i="16"/>
  <c r="N360" i="16"/>
  <c r="N369" i="16"/>
  <c r="N379" i="16"/>
  <c r="N388" i="16"/>
  <c r="N397" i="16"/>
  <c r="N406" i="16"/>
  <c r="N415" i="16"/>
  <c r="N424" i="16"/>
  <c r="N433" i="16"/>
  <c r="N443" i="16"/>
  <c r="N452" i="16"/>
  <c r="N461" i="16"/>
  <c r="N470" i="16"/>
  <c r="N479" i="16"/>
  <c r="N488" i="16"/>
  <c r="N497" i="16"/>
  <c r="N507" i="16"/>
  <c r="N516" i="16"/>
  <c r="N525" i="16"/>
  <c r="N534" i="16"/>
  <c r="N543" i="16"/>
  <c r="N552" i="16"/>
  <c r="N561" i="16"/>
  <c r="N571" i="16"/>
  <c r="N580" i="16"/>
  <c r="N589" i="16"/>
  <c r="N598" i="16"/>
  <c r="N607" i="16"/>
  <c r="N616" i="16"/>
  <c r="N625" i="16"/>
  <c r="N635" i="16"/>
  <c r="N644" i="16"/>
  <c r="N653" i="16"/>
  <c r="N662" i="16"/>
  <c r="N671" i="16"/>
  <c r="N680" i="16"/>
  <c r="N689" i="16"/>
  <c r="N698" i="16"/>
  <c r="N706" i="16"/>
  <c r="N714" i="16"/>
  <c r="N722" i="16"/>
  <c r="N730" i="16"/>
  <c r="N738" i="16"/>
  <c r="N746" i="16"/>
  <c r="N754" i="16"/>
  <c r="N762" i="16"/>
  <c r="N770" i="16"/>
  <c r="N778" i="16"/>
  <c r="N786" i="16"/>
  <c r="N794" i="16"/>
  <c r="N802" i="16"/>
  <c r="N810" i="16"/>
  <c r="N23" i="16"/>
  <c r="N38" i="16"/>
  <c r="N53" i="16"/>
  <c r="N68" i="16"/>
  <c r="N80" i="16"/>
  <c r="N95" i="16"/>
  <c r="N110" i="16"/>
  <c r="N124" i="16"/>
  <c r="N139" i="16"/>
  <c r="N152" i="16"/>
  <c r="N166" i="16"/>
  <c r="N181" i="16"/>
  <c r="N196" i="16"/>
  <c r="N208" i="16"/>
  <c r="N223" i="16"/>
  <c r="N238" i="16"/>
  <c r="N249" i="16"/>
  <c r="N262" i="16"/>
  <c r="N275" i="16"/>
  <c r="N286" i="16"/>
  <c r="N299" i="16"/>
  <c r="N311" i="16"/>
  <c r="N323" i="16"/>
  <c r="N335" i="16"/>
  <c r="N348" i="16"/>
  <c r="N359" i="16"/>
  <c r="N372" i="16"/>
  <c r="N384" i="16"/>
  <c r="N396" i="16"/>
  <c r="N408" i="16"/>
  <c r="N421" i="16"/>
  <c r="N432" i="16"/>
  <c r="N445" i="16"/>
  <c r="N457" i="16"/>
  <c r="N469" i="16"/>
  <c r="N481" i="16"/>
  <c r="N494" i="16"/>
  <c r="N505" i="16"/>
  <c r="N518" i="16"/>
  <c r="N531" i="16"/>
  <c r="N542" i="16"/>
  <c r="N555" i="16"/>
  <c r="N567" i="16"/>
  <c r="N579" i="16"/>
  <c r="N591" i="16"/>
  <c r="N604" i="16"/>
  <c r="N615" i="16"/>
  <c r="N628" i="16"/>
  <c r="N640" i="16"/>
  <c r="N652" i="16"/>
  <c r="N664" i="16"/>
  <c r="N677" i="16"/>
  <c r="N688" i="16"/>
  <c r="N700" i="16"/>
  <c r="N711" i="16"/>
  <c r="N721" i="16"/>
  <c r="N732" i="16"/>
  <c r="N743" i="16"/>
  <c r="N753" i="16"/>
  <c r="N764" i="16"/>
  <c r="N774" i="16"/>
  <c r="N783" i="16"/>
  <c r="N792" i="16"/>
  <c r="N801" i="16"/>
  <c r="N811" i="16"/>
  <c r="N819" i="16"/>
  <c r="N827" i="16"/>
  <c r="N835" i="16"/>
  <c r="N843" i="16"/>
  <c r="N851" i="16"/>
  <c r="N859" i="16"/>
  <c r="N867" i="16"/>
  <c r="N875" i="16"/>
  <c r="N883" i="16"/>
  <c r="N891" i="16"/>
  <c r="N899" i="16"/>
  <c r="N907" i="16"/>
  <c r="N915" i="16"/>
  <c r="N923" i="16"/>
  <c r="N931" i="16"/>
  <c r="N939" i="16"/>
  <c r="N947" i="16"/>
  <c r="N955" i="16"/>
  <c r="N963" i="16"/>
  <c r="N971" i="16"/>
  <c r="N979" i="16"/>
  <c r="N987" i="16"/>
  <c r="N995" i="16"/>
  <c r="N1003" i="16"/>
  <c r="N1011" i="16"/>
  <c r="N1019" i="16"/>
  <c r="N1027" i="16"/>
  <c r="N1035" i="16"/>
  <c r="N1043" i="16"/>
  <c r="N1051" i="16"/>
  <c r="N1059" i="16"/>
  <c r="N1067" i="16"/>
  <c r="N1075" i="16"/>
  <c r="N1083" i="16"/>
  <c r="N1091" i="16"/>
  <c r="N1099" i="16"/>
  <c r="N1107" i="16"/>
  <c r="N1115" i="16"/>
  <c r="N1123" i="16"/>
  <c r="N1131" i="16"/>
  <c r="N1139" i="16"/>
  <c r="N1147" i="16"/>
  <c r="N1155" i="16"/>
  <c r="N1163" i="16"/>
  <c r="N1171" i="16"/>
  <c r="N1179" i="16"/>
  <c r="N1187" i="16"/>
  <c r="N1195" i="16"/>
  <c r="N1203" i="16"/>
  <c r="N1211" i="16"/>
  <c r="N1219" i="16"/>
  <c r="N1227" i="16"/>
  <c r="N1235" i="16"/>
  <c r="N1243" i="16"/>
  <c r="N1251" i="16"/>
  <c r="N1259" i="16"/>
  <c r="N1267" i="16"/>
  <c r="N1275" i="16"/>
  <c r="N1283" i="16"/>
  <c r="N1291" i="16"/>
  <c r="N1299" i="16"/>
  <c r="N1307" i="16"/>
  <c r="N1315" i="16"/>
  <c r="N1323" i="16"/>
  <c r="N1331" i="16"/>
  <c r="N1339" i="16"/>
  <c r="N1347" i="16"/>
  <c r="N1355" i="16"/>
  <c r="N1363" i="16"/>
  <c r="N1371" i="16"/>
  <c r="N1379" i="16"/>
  <c r="N1387" i="16"/>
  <c r="N1395" i="16"/>
  <c r="N1403" i="16"/>
  <c r="N1411" i="16"/>
  <c r="N1419" i="16"/>
  <c r="N1427" i="16"/>
  <c r="N1435" i="16"/>
  <c r="N1443" i="16"/>
  <c r="N1451" i="16"/>
  <c r="N1459" i="16"/>
  <c r="N1467" i="16"/>
  <c r="N1475" i="16"/>
  <c r="N1483" i="16"/>
  <c r="N1491" i="16"/>
  <c r="N1499" i="16"/>
  <c r="N1507" i="16"/>
  <c r="N1515" i="16"/>
  <c r="N31" i="16"/>
  <c r="N46" i="16"/>
  <c r="N60" i="16"/>
  <c r="N75" i="16"/>
  <c r="N88" i="16"/>
  <c r="N102" i="16"/>
  <c r="N117" i="16"/>
  <c r="N132" i="16"/>
  <c r="N144" i="16"/>
  <c r="N159" i="16"/>
  <c r="N174" i="16"/>
  <c r="N188" i="16"/>
  <c r="N203" i="16"/>
  <c r="N216" i="16"/>
  <c r="N230" i="16"/>
  <c r="N244" i="16"/>
  <c r="N256" i="16"/>
  <c r="N268" i="16"/>
  <c r="N280" i="16"/>
  <c r="N293" i="16"/>
  <c r="N304" i="16"/>
  <c r="N317" i="16"/>
  <c r="N329" i="16"/>
  <c r="N341" i="16"/>
  <c r="N353" i="16"/>
  <c r="N366" i="16"/>
  <c r="N377" i="16"/>
  <c r="N390" i="16"/>
  <c r="N403" i="16"/>
  <c r="N414" i="16"/>
  <c r="N427" i="16"/>
  <c r="N439" i="16"/>
  <c r="N451" i="16"/>
  <c r="N463" i="16"/>
  <c r="N476" i="16"/>
  <c r="N487" i="16"/>
  <c r="N500" i="16"/>
  <c r="N512" i="16"/>
  <c r="N524" i="16"/>
  <c r="N536" i="16"/>
  <c r="N549" i="16"/>
  <c r="N560" i="16"/>
  <c r="N573" i="16"/>
  <c r="N585" i="16"/>
  <c r="N597" i="16"/>
  <c r="N609" i="16"/>
  <c r="N622" i="16"/>
  <c r="N633" i="16"/>
  <c r="N646" i="16"/>
  <c r="N659" i="16"/>
  <c r="N670" i="16"/>
  <c r="N683" i="16"/>
  <c r="N695" i="16"/>
  <c r="N705" i="16"/>
  <c r="N716" i="16"/>
  <c r="N727" i="16"/>
  <c r="N737" i="16"/>
  <c r="N748" i="16"/>
  <c r="N759" i="16"/>
  <c r="N769" i="16"/>
  <c r="N779" i="16"/>
  <c r="N788" i="16"/>
  <c r="N797" i="16"/>
  <c r="N806" i="16"/>
  <c r="N815" i="16"/>
  <c r="N823" i="16"/>
  <c r="N831" i="16"/>
  <c r="N839" i="16"/>
  <c r="N847" i="16"/>
  <c r="N855" i="16"/>
  <c r="N863" i="16"/>
  <c r="N871" i="16"/>
  <c r="N879" i="16"/>
  <c r="N887" i="16"/>
  <c r="N895" i="16"/>
  <c r="N903" i="16"/>
  <c r="N911" i="16"/>
  <c r="N919" i="16"/>
  <c r="N927" i="16"/>
  <c r="N935" i="16"/>
  <c r="N943" i="16"/>
  <c r="N951" i="16"/>
  <c r="N959" i="16"/>
  <c r="N967" i="16"/>
  <c r="N975" i="16"/>
  <c r="N983" i="16"/>
  <c r="N991" i="16"/>
  <c r="N999" i="16"/>
  <c r="N1007" i="16"/>
  <c r="N1015" i="16"/>
  <c r="N1023" i="16"/>
  <c r="N1031" i="16"/>
  <c r="N1039" i="16"/>
  <c r="N1047" i="16"/>
  <c r="N1055" i="16"/>
  <c r="N1063" i="16"/>
  <c r="N1071" i="16"/>
  <c r="N1079" i="16"/>
  <c r="N1087" i="16"/>
  <c r="N1095" i="16"/>
  <c r="N1103" i="16"/>
  <c r="N1111" i="16"/>
  <c r="N1119" i="16"/>
  <c r="N1127" i="16"/>
  <c r="N1135" i="16"/>
  <c r="N1143" i="16"/>
  <c r="N1151" i="16"/>
  <c r="N1159" i="16"/>
  <c r="N1167" i="16"/>
  <c r="N1175" i="16"/>
  <c r="N1183" i="16"/>
  <c r="N1191" i="16"/>
  <c r="N1199" i="16"/>
  <c r="N1207" i="16"/>
  <c r="N1215" i="16"/>
  <c r="N1223" i="16"/>
  <c r="N1231" i="16"/>
  <c r="N1239" i="16"/>
  <c r="N1247" i="16"/>
  <c r="N1255" i="16"/>
  <c r="N1263" i="16"/>
  <c r="N1271" i="16"/>
  <c r="N1279" i="16"/>
  <c r="N1287" i="16"/>
  <c r="N1295" i="16"/>
  <c r="N1303" i="16"/>
  <c r="N1311" i="16"/>
  <c r="N1319" i="16"/>
  <c r="N1327" i="16"/>
  <c r="N1335" i="16"/>
  <c r="N1343" i="16"/>
  <c r="N1351" i="16"/>
  <c r="N1359" i="16"/>
  <c r="N1367" i="16"/>
  <c r="N1375" i="16"/>
  <c r="N1383" i="16"/>
  <c r="N1391" i="16"/>
  <c r="N1399" i="16"/>
  <c r="N1407" i="16"/>
  <c r="N1415" i="16"/>
  <c r="N1423" i="16"/>
  <c r="N1431" i="16"/>
  <c r="N1439" i="16"/>
  <c r="N1447" i="16"/>
  <c r="N1455" i="16"/>
  <c r="N1463" i="16"/>
  <c r="N1471" i="16"/>
  <c r="N1479" i="16"/>
  <c r="N1487" i="16"/>
  <c r="N1495" i="16"/>
  <c r="N1503" i="16"/>
  <c r="N1511" i="16"/>
  <c r="N32" i="16"/>
  <c r="N47" i="16"/>
  <c r="N62" i="16"/>
  <c r="N76" i="16"/>
  <c r="N91" i="16"/>
  <c r="N104" i="16"/>
  <c r="N118" i="16"/>
  <c r="N133" i="16"/>
  <c r="N148" i="16"/>
  <c r="N160" i="16"/>
  <c r="N175" i="16"/>
  <c r="N190" i="16"/>
  <c r="N204" i="16"/>
  <c r="N219" i="16"/>
  <c r="N232" i="16"/>
  <c r="N245" i="16"/>
  <c r="N257" i="16"/>
  <c r="N270" i="16"/>
  <c r="N21" i="16"/>
  <c r="N44" i="16"/>
  <c r="N69" i="16"/>
  <c r="N92" i="16"/>
  <c r="N112" i="16"/>
  <c r="N136" i="16"/>
  <c r="N158" i="16"/>
  <c r="N182" i="16"/>
  <c r="N206" i="16"/>
  <c r="N228" i="16"/>
  <c r="N24" i="16"/>
  <c r="N48" i="16"/>
  <c r="N70" i="16"/>
  <c r="N94" i="16"/>
  <c r="N116" i="16"/>
  <c r="N140" i="16"/>
  <c r="N164" i="16"/>
  <c r="N184" i="16"/>
  <c r="N207" i="16"/>
  <c r="N229" i="16"/>
  <c r="N252" i="16"/>
  <c r="N271" i="16"/>
  <c r="N288" i="16"/>
  <c r="N303" i="16"/>
  <c r="N320" i="16"/>
  <c r="N336" i="16"/>
  <c r="N352" i="16"/>
  <c r="N368" i="16"/>
  <c r="N385" i="16"/>
  <c r="N400" i="16"/>
  <c r="N417" i="16"/>
  <c r="N435" i="16"/>
  <c r="N449" i="16"/>
  <c r="N467" i="16"/>
  <c r="N483" i="16"/>
  <c r="N499" i="16"/>
  <c r="N515" i="16"/>
  <c r="N532" i="16"/>
  <c r="N547" i="16"/>
  <c r="N564" i="16"/>
  <c r="N581" i="16"/>
  <c r="N596" i="16"/>
  <c r="N613" i="16"/>
  <c r="N629" i="16"/>
  <c r="N645" i="16"/>
  <c r="N661" i="16"/>
  <c r="N678" i="16"/>
  <c r="N693" i="16"/>
  <c r="N708" i="16"/>
  <c r="N723" i="16"/>
  <c r="N736" i="16"/>
  <c r="N751" i="16"/>
  <c r="N765" i="16"/>
  <c r="N777" i="16"/>
  <c r="N790" i="16"/>
  <c r="N803" i="16"/>
  <c r="N814" i="16"/>
  <c r="N825" i="16"/>
  <c r="N836" i="16"/>
  <c r="N846" i="16"/>
  <c r="N857" i="16"/>
  <c r="N868" i="16"/>
  <c r="N878" i="16"/>
  <c r="N889" i="16"/>
  <c r="N900" i="16"/>
  <c r="N910" i="16"/>
  <c r="N921" i="16"/>
  <c r="N932" i="16"/>
  <c r="N942" i="16"/>
  <c r="N953" i="16"/>
  <c r="N964" i="16"/>
  <c r="N974" i="16"/>
  <c r="N985" i="16"/>
  <c r="N996" i="16"/>
  <c r="N1006" i="16"/>
  <c r="N1017" i="16"/>
  <c r="N1028" i="16"/>
  <c r="N1038" i="16"/>
  <c r="N1049" i="16"/>
  <c r="N1060" i="16"/>
  <c r="N1070" i="16"/>
  <c r="N1081" i="16"/>
  <c r="N1092" i="16"/>
  <c r="N1102" i="16"/>
  <c r="N1113" i="16"/>
  <c r="N1124" i="16"/>
  <c r="N1134" i="16"/>
  <c r="N1145" i="16"/>
  <c r="N1156" i="16"/>
  <c r="N1166" i="16"/>
  <c r="N1177" i="16"/>
  <c r="N1188" i="16"/>
  <c r="N1198" i="16"/>
  <c r="N1209" i="16"/>
  <c r="N1220" i="16"/>
  <c r="N1230" i="16"/>
  <c r="N1241" i="16"/>
  <c r="N1252" i="16"/>
  <c r="N1262" i="16"/>
  <c r="N1273" i="16"/>
  <c r="N1284" i="16"/>
  <c r="N1294" i="16"/>
  <c r="N1305" i="16"/>
  <c r="N1316" i="16"/>
  <c r="N1326" i="16"/>
  <c r="N1337" i="16"/>
  <c r="N1348" i="16"/>
  <c r="N1358" i="16"/>
  <c r="N1369" i="16"/>
  <c r="N1380" i="16"/>
  <c r="N1390" i="16"/>
  <c r="N1401" i="16"/>
  <c r="N1412" i="16"/>
  <c r="N1422" i="16"/>
  <c r="N1433" i="16"/>
  <c r="N1444" i="16"/>
  <c r="N1454" i="16"/>
  <c r="N1465" i="16"/>
  <c r="N1476" i="16"/>
  <c r="N1486" i="16"/>
  <c r="N1497" i="16"/>
  <c r="N1508" i="16"/>
  <c r="N28" i="16"/>
  <c r="N52" i="16"/>
  <c r="N72" i="16"/>
  <c r="N96" i="16"/>
  <c r="N120" i="16"/>
  <c r="N142" i="16"/>
  <c r="N165" i="16"/>
  <c r="N187" i="16"/>
  <c r="N212" i="16"/>
  <c r="N235" i="16"/>
  <c r="N253" i="16"/>
  <c r="N272" i="16"/>
  <c r="N289" i="16"/>
  <c r="N307" i="16"/>
  <c r="N321" i="16"/>
  <c r="N339" i="16"/>
  <c r="N355" i="16"/>
  <c r="N371" i="16"/>
  <c r="N387" i="16"/>
  <c r="N404" i="16"/>
  <c r="N419" i="16"/>
  <c r="N436" i="16"/>
  <c r="N453" i="16"/>
  <c r="N468" i="16"/>
  <c r="N485" i="16"/>
  <c r="N501" i="16"/>
  <c r="N517" i="16"/>
  <c r="N533" i="16"/>
  <c r="N550" i="16"/>
  <c r="N565" i="16"/>
  <c r="N582" i="16"/>
  <c r="N599" i="16"/>
  <c r="N614" i="16"/>
  <c r="N631" i="16"/>
  <c r="N647" i="16"/>
  <c r="N663" i="16"/>
  <c r="N679" i="16"/>
  <c r="N696" i="16"/>
  <c r="N709" i="16"/>
  <c r="N724" i="16"/>
  <c r="N739" i="16"/>
  <c r="N752" i="16"/>
  <c r="N767" i="16"/>
  <c r="N780" i="16"/>
  <c r="N791" i="16"/>
  <c r="N804" i="16"/>
  <c r="N816" i="16"/>
  <c r="N826" i="16"/>
  <c r="N837" i="16"/>
  <c r="N848" i="16"/>
  <c r="N858" i="16"/>
  <c r="N869" i="16"/>
  <c r="N880" i="16"/>
  <c r="N890" i="16"/>
  <c r="N901" i="16"/>
  <c r="N912" i="16"/>
  <c r="N922" i="16"/>
  <c r="N933" i="16"/>
  <c r="N37" i="16"/>
  <c r="N59" i="16"/>
  <c r="N84" i="16"/>
  <c r="N107" i="16"/>
  <c r="N127" i="16"/>
  <c r="N150" i="16"/>
  <c r="N172" i="16"/>
  <c r="N197" i="16"/>
  <c r="N220" i="16"/>
  <c r="N240" i="16"/>
  <c r="N261" i="16"/>
  <c r="N279" i="16"/>
  <c r="N295" i="16"/>
  <c r="N312" i="16"/>
  <c r="N327" i="16"/>
  <c r="N344" i="16"/>
  <c r="N361" i="16"/>
  <c r="N376" i="16"/>
  <c r="N393" i="16"/>
  <c r="N409" i="16"/>
  <c r="N425" i="16"/>
  <c r="N441" i="16"/>
  <c r="N459" i="16"/>
  <c r="N473" i="16"/>
  <c r="N491" i="16"/>
  <c r="N508" i="16"/>
  <c r="N523" i="16"/>
  <c r="N540" i="16"/>
  <c r="N556" i="16"/>
  <c r="N572" i="16"/>
  <c r="N588" i="16"/>
  <c r="N605" i="16"/>
  <c r="N620" i="16"/>
  <c r="N637" i="16"/>
  <c r="N654" i="16"/>
  <c r="N669" i="16"/>
  <c r="N686" i="16"/>
  <c r="N701" i="16"/>
  <c r="N715" i="16"/>
  <c r="N729" i="16"/>
  <c r="N744" i="16"/>
  <c r="N757" i="16"/>
  <c r="N772" i="16"/>
  <c r="N784" i="16"/>
  <c r="N796" i="16"/>
  <c r="N808" i="16"/>
  <c r="N820" i="16"/>
  <c r="N830" i="16"/>
  <c r="N841" i="16"/>
  <c r="N852" i="16"/>
  <c r="N862" i="16"/>
  <c r="N873" i="16"/>
  <c r="N884" i="16"/>
  <c r="N894" i="16"/>
  <c r="N905" i="16"/>
  <c r="N916" i="16"/>
  <c r="N926" i="16"/>
  <c r="N937" i="16"/>
  <c r="N948" i="16"/>
  <c r="N958" i="16"/>
  <c r="N969" i="16"/>
  <c r="N980" i="16"/>
  <c r="N990" i="16"/>
  <c r="N1001" i="16"/>
  <c r="N1012" i="16"/>
  <c r="N1022" i="16"/>
  <c r="N1033" i="16"/>
  <c r="N1044" i="16"/>
  <c r="N1054" i="16"/>
  <c r="N1065" i="16"/>
  <c r="N1076" i="16"/>
  <c r="N1086" i="16"/>
  <c r="N1097" i="16"/>
  <c r="N1108" i="16"/>
  <c r="N1118" i="16"/>
  <c r="N1129" i="16"/>
  <c r="N1140" i="16"/>
  <c r="N1150" i="16"/>
  <c r="N1161" i="16"/>
  <c r="N1172" i="16"/>
  <c r="N1182" i="16"/>
  <c r="N1193" i="16"/>
  <c r="N1204" i="16"/>
  <c r="N1214" i="16"/>
  <c r="N1225" i="16"/>
  <c r="N1236" i="16"/>
  <c r="N1246" i="16"/>
  <c r="N1257" i="16"/>
  <c r="N1268" i="16"/>
  <c r="N1278" i="16"/>
  <c r="N1289" i="16"/>
  <c r="N1300" i="16"/>
  <c r="N1310" i="16"/>
  <c r="N1321" i="16"/>
  <c r="N1332" i="16"/>
  <c r="N1342" i="16"/>
  <c r="N1353" i="16"/>
  <c r="N1364" i="16"/>
  <c r="N1374" i="16"/>
  <c r="N1385" i="16"/>
  <c r="N1396" i="16"/>
  <c r="N1406" i="16"/>
  <c r="N1417" i="16"/>
  <c r="N1428" i="16"/>
  <c r="N1438" i="16"/>
  <c r="N1449" i="16"/>
  <c r="N1460" i="16"/>
  <c r="N1470" i="16"/>
  <c r="N1481" i="16"/>
  <c r="N1492" i="16"/>
  <c r="N1502" i="16"/>
  <c r="N1513" i="16"/>
  <c r="N40" i="16"/>
  <c r="N63" i="16"/>
  <c r="N85" i="16"/>
  <c r="N108" i="16"/>
  <c r="N128" i="16"/>
  <c r="N155" i="16"/>
  <c r="N176" i="16"/>
  <c r="N198" i="16"/>
  <c r="N222" i="16"/>
  <c r="N243" i="16"/>
  <c r="N263" i="16"/>
  <c r="N281" i="16"/>
  <c r="N297" i="16"/>
  <c r="N313" i="16"/>
  <c r="N331" i="16"/>
  <c r="N345" i="16"/>
  <c r="N363" i="16"/>
  <c r="N380" i="16"/>
  <c r="N395" i="16"/>
  <c r="N412" i="16"/>
  <c r="N428" i="16"/>
  <c r="N444" i="16"/>
  <c r="N460" i="16"/>
  <c r="N477" i="16"/>
  <c r="N492" i="16"/>
  <c r="N509" i="16"/>
  <c r="N526" i="16"/>
  <c r="N541" i="16"/>
  <c r="N558" i="16"/>
  <c r="N574" i="16"/>
  <c r="N590" i="16"/>
  <c r="N606" i="16"/>
  <c r="N623" i="16"/>
  <c r="N638" i="16"/>
  <c r="N655" i="16"/>
  <c r="N672" i="16"/>
  <c r="N687" i="16"/>
  <c r="N703" i="16"/>
  <c r="N717" i="16"/>
  <c r="N731" i="16"/>
  <c r="N745" i="16"/>
  <c r="N760" i="16"/>
  <c r="N773" i="16"/>
  <c r="N785" i="16"/>
  <c r="N798" i="16"/>
  <c r="N809" i="16"/>
  <c r="N821" i="16"/>
  <c r="N832" i="16"/>
  <c r="N842" i="16"/>
  <c r="N853" i="16"/>
  <c r="N864" i="16"/>
  <c r="N874" i="16"/>
  <c r="N885" i="16"/>
  <c r="N896" i="16"/>
  <c r="N906" i="16"/>
  <c r="N917" i="16"/>
  <c r="N928" i="16"/>
  <c r="N938" i="16"/>
  <c r="N949" i="16"/>
  <c r="N960" i="16"/>
  <c r="N36" i="16"/>
  <c r="N100" i="16"/>
  <c r="N156" i="16"/>
  <c r="N214" i="16"/>
  <c r="N265" i="16"/>
  <c r="N300" i="16"/>
  <c r="N332" i="16"/>
  <c r="N364" i="16"/>
  <c r="N398" i="16"/>
  <c r="N430" i="16"/>
  <c r="N462" i="16"/>
  <c r="N495" i="16"/>
  <c r="N527" i="16"/>
  <c r="N559" i="16"/>
  <c r="N592" i="16"/>
  <c r="N624" i="16"/>
  <c r="N656" i="16"/>
  <c r="N691" i="16"/>
  <c r="N719" i="16"/>
  <c r="N747" i="16"/>
  <c r="N775" i="16"/>
  <c r="N799" i="16"/>
  <c r="N822" i="16"/>
  <c r="N844" i="16"/>
  <c r="N865" i="16"/>
  <c r="N886" i="16"/>
  <c r="N908" i="16"/>
  <c r="N929" i="16"/>
  <c r="N946" i="16"/>
  <c r="N965" i="16"/>
  <c r="N978" i="16"/>
  <c r="N993" i="16"/>
  <c r="N1008" i="16"/>
  <c r="N1021" i="16"/>
  <c r="N1036" i="16"/>
  <c r="N1050" i="16"/>
  <c r="N1064" i="16"/>
  <c r="N1078" i="16"/>
  <c r="N1093" i="16"/>
  <c r="N1106" i="16"/>
  <c r="N1121" i="16"/>
  <c r="N1136" i="16"/>
  <c r="N1149" i="16"/>
  <c r="N1164" i="16"/>
  <c r="N1178" i="16"/>
  <c r="N1192" i="16"/>
  <c r="N1206" i="16"/>
  <c r="N1221" i="16"/>
  <c r="N1234" i="16"/>
  <c r="N1249" i="16"/>
  <c r="N1264" i="16"/>
  <c r="N1277" i="16"/>
  <c r="N1292" i="16"/>
  <c r="N1306" i="16"/>
  <c r="N1320" i="16"/>
  <c r="N1334" i="16"/>
  <c r="N1349" i="16"/>
  <c r="N1362" i="16"/>
  <c r="N1377" i="16"/>
  <c r="N1392" i="16"/>
  <c r="N1405" i="16"/>
  <c r="N1420" i="16"/>
  <c r="N1434" i="16"/>
  <c r="N1448" i="16"/>
  <c r="N1462" i="16"/>
  <c r="N1477" i="16"/>
  <c r="N1490" i="16"/>
  <c r="N1505" i="16"/>
  <c r="N43" i="16"/>
  <c r="N101" i="16"/>
  <c r="N168" i="16"/>
  <c r="N224" i="16"/>
  <c r="N267" i="16"/>
  <c r="N302" i="16"/>
  <c r="N334" i="16"/>
  <c r="N367" i="16"/>
  <c r="N399" i="16"/>
  <c r="N431" i="16"/>
  <c r="N464" i="16"/>
  <c r="N496" i="16"/>
  <c r="N528" i="16"/>
  <c r="N563" i="16"/>
  <c r="N595" i="16"/>
  <c r="N627" i="16"/>
  <c r="N660" i="16"/>
  <c r="N692" i="16"/>
  <c r="N720" i="16"/>
  <c r="N749" i="16"/>
  <c r="N776" i="16"/>
  <c r="N800" i="16"/>
  <c r="N824" i="16"/>
  <c r="N845" i="16"/>
  <c r="N866" i="16"/>
  <c r="N888" i="16"/>
  <c r="N909" i="16"/>
  <c r="N930" i="16"/>
  <c r="N950" i="16"/>
  <c r="N966" i="16"/>
  <c r="N981" i="16"/>
  <c r="N994" i="16"/>
  <c r="N1009" i="16"/>
  <c r="N1024" i="16"/>
  <c r="N1037" i="16"/>
  <c r="N1052" i="16"/>
  <c r="N1066" i="16"/>
  <c r="N1080" i="16"/>
  <c r="N1094" i="16"/>
  <c r="N1109" i="16"/>
  <c r="N1122" i="16"/>
  <c r="N1137" i="16"/>
  <c r="N1152" i="16"/>
  <c r="N1165" i="16"/>
  <c r="N1180" i="16"/>
  <c r="N1194" i="16"/>
  <c r="N1208" i="16"/>
  <c r="N1222" i="16"/>
  <c r="N1237" i="16"/>
  <c r="N1250" i="16"/>
  <c r="N1265" i="16"/>
  <c r="N1280" i="16"/>
  <c r="N1293" i="16"/>
  <c r="N1308" i="16"/>
  <c r="N1322" i="16"/>
  <c r="N1336" i="16"/>
  <c r="N1350" i="16"/>
  <c r="N1365" i="16"/>
  <c r="N1378" i="16"/>
  <c r="N1393" i="16"/>
  <c r="N1408" i="16"/>
  <c r="N1421" i="16"/>
  <c r="N1436" i="16"/>
  <c r="N1450" i="16"/>
  <c r="N1464" i="16"/>
  <c r="N1478" i="16"/>
  <c r="N1493" i="16"/>
  <c r="N1506" i="16"/>
  <c r="N54" i="16"/>
  <c r="N111" i="16"/>
  <c r="N171" i="16"/>
  <c r="N236" i="16"/>
  <c r="N276" i="16"/>
  <c r="N308" i="16"/>
  <c r="N340" i="16"/>
  <c r="N373" i="16"/>
  <c r="N405" i="16"/>
  <c r="N437" i="16"/>
  <c r="N471" i="16"/>
  <c r="N503" i="16"/>
  <c r="N535" i="16"/>
  <c r="N568" i="16"/>
  <c r="N600" i="16"/>
  <c r="N632" i="16"/>
  <c r="N665" i="16"/>
  <c r="N697" i="16"/>
  <c r="N725" i="16"/>
  <c r="N755" i="16"/>
  <c r="N781" i="16"/>
  <c r="N805" i="16"/>
  <c r="N828" i="16"/>
  <c r="N849" i="16"/>
  <c r="N870" i="16"/>
  <c r="N892" i="16"/>
  <c r="N913" i="16"/>
  <c r="N934" i="16"/>
  <c r="N952" i="16"/>
  <c r="N968" i="16"/>
  <c r="N982" i="16"/>
  <c r="N997" i="16"/>
  <c r="N1010" i="16"/>
  <c r="N1025" i="16"/>
  <c r="N1040" i="16"/>
  <c r="N1053" i="16"/>
  <c r="N1068" i="16"/>
  <c r="N1082" i="16"/>
  <c r="N1096" i="16"/>
  <c r="N1110" i="16"/>
  <c r="N1125" i="16"/>
  <c r="N1138" i="16"/>
  <c r="N1153" i="16"/>
  <c r="N1168" i="16"/>
  <c r="N1181" i="16"/>
  <c r="N1196" i="16"/>
  <c r="N1210" i="16"/>
  <c r="N1224" i="16"/>
  <c r="N1238" i="16"/>
  <c r="N1253" i="16"/>
  <c r="N1266" i="16"/>
  <c r="N1281" i="16"/>
  <c r="N1296" i="16"/>
  <c r="N1309" i="16"/>
  <c r="N1324" i="16"/>
  <c r="N1338" i="16"/>
  <c r="N1352" i="16"/>
  <c r="N1366" i="16"/>
  <c r="N1381" i="16"/>
  <c r="N1394" i="16"/>
  <c r="N1409" i="16"/>
  <c r="N1424" i="16"/>
  <c r="N1452" i="16"/>
  <c r="N1480" i="16"/>
  <c r="N1509" i="16"/>
  <c r="N123" i="16"/>
  <c r="N180" i="16"/>
  <c r="N277" i="16"/>
  <c r="N309" i="16"/>
  <c r="N375" i="16"/>
  <c r="N440" i="16"/>
  <c r="N472" i="16"/>
  <c r="N537" i="16"/>
  <c r="N601" i="16"/>
  <c r="N668" i="16"/>
  <c r="N728" i="16"/>
  <c r="N782" i="16"/>
  <c r="N829" i="16"/>
  <c r="N872" i="16"/>
  <c r="N914" i="16"/>
  <c r="N954" i="16"/>
  <c r="N970" i="16"/>
  <c r="N998" i="16"/>
  <c r="N1026" i="16"/>
  <c r="N1056" i="16"/>
  <c r="N1084" i="16"/>
  <c r="N1112" i="16"/>
  <c r="N1141" i="16"/>
  <c r="N1169" i="16"/>
  <c r="N1197" i="16"/>
  <c r="N1226" i="16"/>
  <c r="N1254" i="16"/>
  <c r="N1282" i="16"/>
  <c r="N1312" i="16"/>
  <c r="N1340" i="16"/>
  <c r="N1368" i="16"/>
  <c r="N1397" i="16"/>
  <c r="N1425" i="16"/>
  <c r="N1453" i="16"/>
  <c r="N1482" i="16"/>
  <c r="N1510" i="16"/>
  <c r="N64" i="16"/>
  <c r="N126" i="16"/>
  <c r="N191" i="16"/>
  <c r="N247" i="16"/>
  <c r="N284" i="16"/>
  <c r="N316" i="16"/>
  <c r="N349" i="16"/>
  <c r="N381" i="16"/>
  <c r="N413" i="16"/>
  <c r="N446" i="16"/>
  <c r="N478" i="16"/>
  <c r="N510" i="16"/>
  <c r="N544" i="16"/>
  <c r="N576" i="16"/>
  <c r="N608" i="16"/>
  <c r="N641" i="16"/>
  <c r="N673" i="16"/>
  <c r="N704" i="16"/>
  <c r="N733" i="16"/>
  <c r="N761" i="16"/>
  <c r="N787" i="16"/>
  <c r="N812" i="16"/>
  <c r="N833" i="16"/>
  <c r="N854" i="16"/>
  <c r="N876" i="16"/>
  <c r="N897" i="16"/>
  <c r="N918" i="16"/>
  <c r="N940" i="16"/>
  <c r="N956" i="16"/>
  <c r="N972" i="16"/>
  <c r="N986" i="16"/>
  <c r="N1000" i="16"/>
  <c r="N1014" i="16"/>
  <c r="N1029" i="16"/>
  <c r="N1042" i="16"/>
  <c r="N1057" i="16"/>
  <c r="N1072" i="16"/>
  <c r="N1085" i="16"/>
  <c r="N1100" i="16"/>
  <c r="N1114" i="16"/>
  <c r="N1128" i="16"/>
  <c r="N1142" i="16"/>
  <c r="N1157" i="16"/>
  <c r="N1170" i="16"/>
  <c r="N1185" i="16"/>
  <c r="N1200" i="16"/>
  <c r="N1213" i="16"/>
  <c r="N1228" i="16"/>
  <c r="N1242" i="16"/>
  <c r="N1256" i="16"/>
  <c r="N1270" i="16"/>
  <c r="N1285" i="16"/>
  <c r="N1298" i="16"/>
  <c r="N1313" i="16"/>
  <c r="N1328" i="16"/>
  <c r="N1341" i="16"/>
  <c r="N1356" i="16"/>
  <c r="N1370" i="16"/>
  <c r="N1384" i="16"/>
  <c r="N1398" i="16"/>
  <c r="N1413" i="16"/>
  <c r="N1426" i="16"/>
  <c r="N1441" i="16"/>
  <c r="N1456" i="16"/>
  <c r="N1469" i="16"/>
  <c r="N1484" i="16"/>
  <c r="N1498" i="16"/>
  <c r="N1512" i="16"/>
  <c r="N78" i="16"/>
  <c r="N134" i="16"/>
  <c r="N192" i="16"/>
  <c r="N248" i="16"/>
  <c r="N285" i="16"/>
  <c r="N318" i="16"/>
  <c r="N350" i="16"/>
  <c r="N382" i="16"/>
  <c r="N416" i="16"/>
  <c r="N448" i="16"/>
  <c r="N480" i="16"/>
  <c r="N513" i="16"/>
  <c r="N545" i="16"/>
  <c r="N577" i="16"/>
  <c r="N611" i="16"/>
  <c r="N643" i="16"/>
  <c r="N675" i="16"/>
  <c r="N707" i="16"/>
  <c r="N735" i="16"/>
  <c r="N763" i="16"/>
  <c r="N789" i="16"/>
  <c r="N813" i="16"/>
  <c r="N834" i="16"/>
  <c r="N856" i="16"/>
  <c r="N877" i="16"/>
  <c r="N898" i="16"/>
  <c r="N920" i="16"/>
  <c r="N941" i="16"/>
  <c r="N957" i="16"/>
  <c r="N973" i="16"/>
  <c r="N988" i="16"/>
  <c r="N1002" i="16"/>
  <c r="N1016" i="16"/>
  <c r="N1030" i="16"/>
  <c r="N1045" i="16"/>
  <c r="N1058" i="16"/>
  <c r="N1073" i="16"/>
  <c r="N1088" i="16"/>
  <c r="N1101" i="16"/>
  <c r="N1116" i="16"/>
  <c r="N1130" i="16"/>
  <c r="N1144" i="16"/>
  <c r="N1158" i="16"/>
  <c r="N1173" i="16"/>
  <c r="N1186" i="16"/>
  <c r="N1201" i="16"/>
  <c r="N1216" i="16"/>
  <c r="N1229" i="16"/>
  <c r="N1244" i="16"/>
  <c r="N1258" i="16"/>
  <c r="N1272" i="16"/>
  <c r="N1286" i="16"/>
  <c r="N1301" i="16"/>
  <c r="N1314" i="16"/>
  <c r="N1329" i="16"/>
  <c r="N1344" i="16"/>
  <c r="N1357" i="16"/>
  <c r="N1372" i="16"/>
  <c r="N1386" i="16"/>
  <c r="N1400" i="16"/>
  <c r="N1414" i="16"/>
  <c r="N1429" i="16"/>
  <c r="N1442" i="16"/>
  <c r="N1457" i="16"/>
  <c r="N1472" i="16"/>
  <c r="N1485" i="16"/>
  <c r="N1500" i="16"/>
  <c r="N1514" i="16"/>
  <c r="N20" i="16"/>
  <c r="N79" i="16"/>
  <c r="N143" i="16"/>
  <c r="N200" i="16"/>
  <c r="N254" i="16"/>
  <c r="N291" i="16"/>
  <c r="N325" i="16"/>
  <c r="N357" i="16"/>
  <c r="N389" i="16"/>
  <c r="N422" i="16"/>
  <c r="N454" i="16"/>
  <c r="N486" i="16"/>
  <c r="N519" i="16"/>
  <c r="N551" i="16"/>
  <c r="N583" i="16"/>
  <c r="N617" i="16"/>
  <c r="N649" i="16"/>
  <c r="N681" i="16"/>
  <c r="N712" i="16"/>
  <c r="N740" i="16"/>
  <c r="N768" i="16"/>
  <c r="N793" i="16"/>
  <c r="N817" i="16"/>
  <c r="N838" i="16"/>
  <c r="N860" i="16"/>
  <c r="N881" i="16"/>
  <c r="N902" i="16"/>
  <c r="N924" i="16"/>
  <c r="N944" i="16"/>
  <c r="N961" i="16"/>
  <c r="N976" i="16"/>
  <c r="N989" i="16"/>
  <c r="N1004" i="16"/>
  <c r="N1018" i="16"/>
  <c r="N1032" i="16"/>
  <c r="N1046" i="16"/>
  <c r="N1061" i="16"/>
  <c r="N1074" i="16"/>
  <c r="N1089" i="16"/>
  <c r="N1104" i="16"/>
  <c r="N1117" i="16"/>
  <c r="N1132" i="16"/>
  <c r="N1146" i="16"/>
  <c r="N1160" i="16"/>
  <c r="N1174" i="16"/>
  <c r="N1189" i="16"/>
  <c r="N1202" i="16"/>
  <c r="N1217" i="16"/>
  <c r="N1232" i="16"/>
  <c r="N1245" i="16"/>
  <c r="N1260" i="16"/>
  <c r="N1274" i="16"/>
  <c r="N1288" i="16"/>
  <c r="N1302" i="16"/>
  <c r="N1317" i="16"/>
  <c r="N1330" i="16"/>
  <c r="N1345" i="16"/>
  <c r="N1360" i="16"/>
  <c r="N1373" i="16"/>
  <c r="N1388" i="16"/>
  <c r="N1402" i="16"/>
  <c r="N1416" i="16"/>
  <c r="N1430" i="16"/>
  <c r="N1445" i="16"/>
  <c r="N1458" i="16"/>
  <c r="N1473" i="16"/>
  <c r="N1488" i="16"/>
  <c r="N1501" i="16"/>
  <c r="N1516" i="16"/>
  <c r="N30" i="16"/>
  <c r="N86" i="16"/>
  <c r="N149" i="16"/>
  <c r="N213" i="16"/>
  <c r="N259" i="16"/>
  <c r="N294" i="16"/>
  <c r="N326" i="16"/>
  <c r="N358" i="16"/>
  <c r="N391" i="16"/>
  <c r="N423" i="16"/>
  <c r="N455" i="16"/>
  <c r="N489" i="16"/>
  <c r="N521" i="16"/>
  <c r="N553" i="16"/>
  <c r="N587" i="16"/>
  <c r="N619" i="16"/>
  <c r="N651" i="16"/>
  <c r="N684" i="16"/>
  <c r="N713" i="16"/>
  <c r="N741" i="16"/>
  <c r="N771" i="16"/>
  <c r="N795" i="16"/>
  <c r="N818" i="16"/>
  <c r="N840" i="16"/>
  <c r="N861" i="16"/>
  <c r="N882" i="16"/>
  <c r="N904" i="16"/>
  <c r="N925" i="16"/>
  <c r="N945" i="16"/>
  <c r="N962" i="16"/>
  <c r="N977" i="16"/>
  <c r="N992" i="16"/>
  <c r="N1005" i="16"/>
  <c r="N1020" i="16"/>
  <c r="N1034" i="16"/>
  <c r="N1048" i="16"/>
  <c r="N1062" i="16"/>
  <c r="N1077" i="16"/>
  <c r="N1090" i="16"/>
  <c r="N1105" i="16"/>
  <c r="N1120" i="16"/>
  <c r="N1133" i="16"/>
  <c r="N1148" i="16"/>
  <c r="N1162" i="16"/>
  <c r="N1176" i="16"/>
  <c r="N1190" i="16"/>
  <c r="N1205" i="16"/>
  <c r="N1218" i="16"/>
  <c r="N1233" i="16"/>
  <c r="N1248" i="16"/>
  <c r="N1261" i="16"/>
  <c r="N1276" i="16"/>
  <c r="N1290" i="16"/>
  <c r="N1304" i="16"/>
  <c r="N1318" i="16"/>
  <c r="N1333" i="16"/>
  <c r="N1346" i="16"/>
  <c r="N1361" i="16"/>
  <c r="N1376" i="16"/>
  <c r="N1389" i="16"/>
  <c r="N1404" i="16"/>
  <c r="N1418" i="16"/>
  <c r="N1432" i="16"/>
  <c r="N1446" i="16"/>
  <c r="N1461" i="16"/>
  <c r="N1474" i="16"/>
  <c r="N1489" i="16"/>
  <c r="N1504" i="16"/>
  <c r="N1437" i="16"/>
  <c r="N1466" i="16"/>
  <c r="N1494" i="16"/>
  <c r="N56" i="16"/>
  <c r="N239" i="16"/>
  <c r="N343" i="16"/>
  <c r="N407" i="16"/>
  <c r="N504" i="16"/>
  <c r="N569" i="16"/>
  <c r="N636" i="16"/>
  <c r="N699" i="16"/>
  <c r="N756" i="16"/>
  <c r="N807" i="16"/>
  <c r="N850" i="16"/>
  <c r="N893" i="16"/>
  <c r="N936" i="16"/>
  <c r="N984" i="16"/>
  <c r="N1013" i="16"/>
  <c r="N1041" i="16"/>
  <c r="N1069" i="16"/>
  <c r="N1098" i="16"/>
  <c r="N1126" i="16"/>
  <c r="N1154" i="16"/>
  <c r="N1184" i="16"/>
  <c r="N1212" i="16"/>
  <c r="N1240" i="16"/>
  <c r="N1269" i="16"/>
  <c r="N1297" i="16"/>
  <c r="N1325" i="16"/>
  <c r="N1354" i="16"/>
  <c r="N1382" i="16"/>
  <c r="N1410" i="16"/>
  <c r="N1440" i="16"/>
  <c r="N1468" i="16"/>
  <c r="N1496" i="16"/>
  <c r="J17" i="16"/>
  <c r="J25" i="16"/>
  <c r="J33" i="16"/>
  <c r="J41" i="16"/>
  <c r="J49" i="16"/>
  <c r="J57" i="16"/>
  <c r="J65" i="16"/>
  <c r="J73" i="16"/>
  <c r="J81" i="16"/>
  <c r="J89" i="16"/>
  <c r="J97" i="16"/>
  <c r="J105" i="16"/>
  <c r="J113" i="16"/>
  <c r="J121" i="16"/>
  <c r="J129" i="16"/>
  <c r="J137" i="16"/>
  <c r="J145" i="16"/>
  <c r="J153" i="16"/>
  <c r="J161" i="16"/>
  <c r="J169" i="16"/>
  <c r="J177" i="16"/>
  <c r="J185" i="16"/>
  <c r="J193" i="16"/>
  <c r="J201" i="16"/>
  <c r="J209" i="16"/>
  <c r="J217" i="16"/>
  <c r="J225" i="16"/>
  <c r="J233" i="16"/>
  <c r="J241" i="16"/>
  <c r="J249" i="16"/>
  <c r="J257" i="16"/>
  <c r="J265" i="16"/>
  <c r="J273" i="16"/>
  <c r="J281" i="16"/>
  <c r="J289" i="16"/>
  <c r="J297" i="16"/>
  <c r="J305" i="16"/>
  <c r="J313" i="16"/>
  <c r="J321" i="16"/>
  <c r="J329" i="16"/>
  <c r="J337" i="16"/>
  <c r="J345" i="16"/>
  <c r="J353" i="16"/>
  <c r="J361" i="16"/>
  <c r="J369" i="16"/>
  <c r="J377" i="16"/>
  <c r="J385" i="16"/>
  <c r="J393" i="16"/>
  <c r="J401" i="16"/>
  <c r="J409" i="16"/>
  <c r="J417" i="16"/>
  <c r="J425" i="16"/>
  <c r="J433" i="16"/>
  <c r="J441" i="16"/>
  <c r="J449" i="16"/>
  <c r="J457" i="16"/>
  <c r="J465" i="16"/>
  <c r="J473" i="16"/>
  <c r="J481" i="16"/>
  <c r="J489" i="16"/>
  <c r="J497" i="16"/>
  <c r="J505" i="16"/>
  <c r="J513" i="16"/>
  <c r="J521" i="16"/>
  <c r="J529" i="16"/>
  <c r="J537" i="16"/>
  <c r="J545" i="16"/>
  <c r="J553" i="16"/>
  <c r="J561" i="16"/>
  <c r="J569" i="16"/>
  <c r="J577" i="16"/>
  <c r="J585" i="16"/>
  <c r="J593" i="16"/>
  <c r="J601" i="16"/>
  <c r="J609" i="16"/>
  <c r="J617" i="16"/>
  <c r="J625" i="16"/>
  <c r="J633" i="16"/>
  <c r="J641" i="16"/>
  <c r="J649" i="16"/>
  <c r="J657" i="16"/>
  <c r="J665" i="16"/>
  <c r="J673" i="16"/>
  <c r="J681" i="16"/>
  <c r="J689" i="16"/>
  <c r="J18" i="16"/>
  <c r="J26" i="16"/>
  <c r="J34" i="16"/>
  <c r="J42" i="16"/>
  <c r="J50" i="16"/>
  <c r="J58" i="16"/>
  <c r="J66" i="16"/>
  <c r="J74" i="16"/>
  <c r="J82" i="16"/>
  <c r="J90" i="16"/>
  <c r="J98" i="16"/>
  <c r="J106" i="16"/>
  <c r="J114" i="16"/>
  <c r="J122" i="16"/>
  <c r="J130" i="16"/>
  <c r="J138" i="16"/>
  <c r="J146" i="16"/>
  <c r="J154" i="16"/>
  <c r="J162" i="16"/>
  <c r="J170" i="16"/>
  <c r="J178" i="16"/>
  <c r="J186" i="16"/>
  <c r="J194" i="16"/>
  <c r="J202" i="16"/>
  <c r="J210" i="16"/>
  <c r="J218" i="16"/>
  <c r="J226" i="16"/>
  <c r="J234" i="16"/>
  <c r="J242" i="16"/>
  <c r="J250" i="16"/>
  <c r="J258" i="16"/>
  <c r="J266" i="16"/>
  <c r="J274" i="16"/>
  <c r="J282" i="16"/>
  <c r="J290" i="16"/>
  <c r="J298" i="16"/>
  <c r="J306" i="16"/>
  <c r="J314" i="16"/>
  <c r="J322" i="16"/>
  <c r="J330" i="16"/>
  <c r="J338" i="16"/>
  <c r="J346" i="16"/>
  <c r="J354" i="16"/>
  <c r="J362" i="16"/>
  <c r="J370" i="16"/>
  <c r="J378" i="16"/>
  <c r="J386" i="16"/>
  <c r="J394" i="16"/>
  <c r="J402" i="16"/>
  <c r="J410" i="16"/>
  <c r="J418" i="16"/>
  <c r="J426" i="16"/>
  <c r="J434" i="16"/>
  <c r="J442" i="16"/>
  <c r="J450" i="16"/>
  <c r="J458" i="16"/>
  <c r="J466" i="16"/>
  <c r="J474" i="16"/>
  <c r="J482" i="16"/>
  <c r="J490" i="16"/>
  <c r="J498" i="16"/>
  <c r="J506" i="16"/>
  <c r="J514" i="16"/>
  <c r="J522" i="16"/>
  <c r="J530" i="16"/>
  <c r="J538" i="16"/>
  <c r="J546" i="16"/>
  <c r="J554" i="16"/>
  <c r="J562" i="16"/>
  <c r="J570" i="16"/>
  <c r="J578" i="16"/>
  <c r="J586" i="16"/>
  <c r="J594" i="16"/>
  <c r="J602" i="16"/>
  <c r="J610" i="16"/>
  <c r="J22" i="16"/>
  <c r="J30" i="16"/>
  <c r="J19" i="16"/>
  <c r="J31" i="16"/>
  <c r="J43" i="16"/>
  <c r="J53" i="16"/>
  <c r="J63" i="16"/>
  <c r="J75" i="16"/>
  <c r="J85" i="16"/>
  <c r="J95" i="16"/>
  <c r="J107" i="16"/>
  <c r="J117" i="16"/>
  <c r="J127" i="16"/>
  <c r="J139" i="16"/>
  <c r="J149" i="16"/>
  <c r="J159" i="16"/>
  <c r="J171" i="16"/>
  <c r="J181" i="16"/>
  <c r="J191" i="16"/>
  <c r="J203" i="16"/>
  <c r="J213" i="16"/>
  <c r="J223" i="16"/>
  <c r="J235" i="16"/>
  <c r="J245" i="16"/>
  <c r="J255" i="16"/>
  <c r="J267" i="16"/>
  <c r="J277" i="16"/>
  <c r="J287" i="16"/>
  <c r="J299" i="16"/>
  <c r="J309" i="16"/>
  <c r="J319" i="16"/>
  <c r="J331" i="16"/>
  <c r="J341" i="16"/>
  <c r="J351" i="16"/>
  <c r="J363" i="16"/>
  <c r="J373" i="16"/>
  <c r="J383" i="16"/>
  <c r="J395" i="16"/>
  <c r="J405" i="16"/>
  <c r="J415" i="16"/>
  <c r="J427" i="16"/>
  <c r="J437" i="16"/>
  <c r="J447" i="16"/>
  <c r="J459" i="16"/>
  <c r="J469" i="16"/>
  <c r="J479" i="16"/>
  <c r="J491" i="16"/>
  <c r="J501" i="16"/>
  <c r="J511" i="16"/>
  <c r="J523" i="16"/>
  <c r="J533" i="16"/>
  <c r="J543" i="16"/>
  <c r="J555" i="16"/>
  <c r="J565" i="16"/>
  <c r="J575" i="16"/>
  <c r="J587" i="16"/>
  <c r="J597" i="16"/>
  <c r="J607" i="16"/>
  <c r="J618" i="16"/>
  <c r="J627" i="16"/>
  <c r="J636" i="16"/>
  <c r="J645" i="16"/>
  <c r="J654" i="16"/>
  <c r="J663" i="16"/>
  <c r="J672" i="16"/>
  <c r="J682" i="16"/>
  <c r="J691" i="16"/>
  <c r="J699" i="16"/>
  <c r="J707" i="16"/>
  <c r="J715" i="16"/>
  <c r="J723" i="16"/>
  <c r="J731" i="16"/>
  <c r="J739" i="16"/>
  <c r="J747" i="16"/>
  <c r="J755" i="16"/>
  <c r="J763" i="16"/>
  <c r="J771" i="16"/>
  <c r="J779" i="16"/>
  <c r="J787" i="16"/>
  <c r="J795" i="16"/>
  <c r="J803" i="16"/>
  <c r="J811" i="16"/>
  <c r="J819" i="16"/>
  <c r="J827" i="16"/>
  <c r="J835" i="16"/>
  <c r="J843" i="16"/>
  <c r="J851" i="16"/>
  <c r="J859" i="16"/>
  <c r="J867" i="16"/>
  <c r="J875" i="16"/>
  <c r="J883" i="16"/>
  <c r="J891" i="16"/>
  <c r="J20" i="16"/>
  <c r="J32" i="16"/>
  <c r="J44" i="16"/>
  <c r="J54" i="16"/>
  <c r="J64" i="16"/>
  <c r="J76" i="16"/>
  <c r="J86" i="16"/>
  <c r="J96" i="16"/>
  <c r="J108" i="16"/>
  <c r="J118" i="16"/>
  <c r="J128" i="16"/>
  <c r="J140" i="16"/>
  <c r="J150" i="16"/>
  <c r="J160" i="16"/>
  <c r="J172" i="16"/>
  <c r="J182" i="16"/>
  <c r="J192" i="16"/>
  <c r="J204" i="16"/>
  <c r="J214" i="16"/>
  <c r="J224" i="16"/>
  <c r="J236" i="16"/>
  <c r="J246" i="16"/>
  <c r="J256" i="16"/>
  <c r="J268" i="16"/>
  <c r="J278" i="16"/>
  <c r="J288" i="16"/>
  <c r="J300" i="16"/>
  <c r="J310" i="16"/>
  <c r="J320" i="16"/>
  <c r="J332" i="16"/>
  <c r="J342" i="16"/>
  <c r="J352" i="16"/>
  <c r="J364" i="16"/>
  <c r="J374" i="16"/>
  <c r="J384" i="16"/>
  <c r="J396" i="16"/>
  <c r="J406" i="16"/>
  <c r="J416" i="16"/>
  <c r="J428" i="16"/>
  <c r="J438" i="16"/>
  <c r="J448" i="16"/>
  <c r="J460" i="16"/>
  <c r="J470" i="16"/>
  <c r="J480" i="16"/>
  <c r="J492" i="16"/>
  <c r="J502" i="16"/>
  <c r="J512" i="16"/>
  <c r="J524" i="16"/>
  <c r="J534" i="16"/>
  <c r="J544" i="16"/>
  <c r="J556" i="16"/>
  <c r="J566" i="16"/>
  <c r="J576" i="16"/>
  <c r="J588" i="16"/>
  <c r="J598" i="16"/>
  <c r="J608" i="16"/>
  <c r="J619" i="16"/>
  <c r="J628" i="16"/>
  <c r="J637" i="16"/>
  <c r="J646" i="16"/>
  <c r="J655" i="16"/>
  <c r="J664" i="16"/>
  <c r="J674" i="16"/>
  <c r="J683" i="16"/>
  <c r="J692" i="16"/>
  <c r="J700" i="16"/>
  <c r="J708" i="16"/>
  <c r="J716" i="16"/>
  <c r="J724" i="16"/>
  <c r="J732" i="16"/>
  <c r="J740" i="16"/>
  <c r="J748" i="16"/>
  <c r="J756" i="16"/>
  <c r="J764" i="16"/>
  <c r="J772" i="16"/>
  <c r="J780" i="16"/>
  <c r="J788" i="16"/>
  <c r="J796" i="16"/>
  <c r="J804" i="16"/>
  <c r="J812" i="16"/>
  <c r="J820" i="16"/>
  <c r="J828" i="16"/>
  <c r="J836" i="16"/>
  <c r="J844" i="16"/>
  <c r="J852" i="16"/>
  <c r="J27" i="16"/>
  <c r="J38" i="16"/>
  <c r="J48" i="16"/>
  <c r="J60" i="16"/>
  <c r="J70" i="16"/>
  <c r="J80" i="16"/>
  <c r="J92" i="16"/>
  <c r="J102" i="16"/>
  <c r="J112" i="16"/>
  <c r="J124" i="16"/>
  <c r="J134" i="16"/>
  <c r="J144" i="16"/>
  <c r="J156" i="16"/>
  <c r="J166" i="16"/>
  <c r="J176" i="16"/>
  <c r="J188" i="16"/>
  <c r="J198" i="16"/>
  <c r="J208" i="16"/>
  <c r="J220" i="16"/>
  <c r="J230" i="16"/>
  <c r="J240" i="16"/>
  <c r="J252" i="16"/>
  <c r="J262" i="16"/>
  <c r="J272" i="16"/>
  <c r="J284" i="16"/>
  <c r="J294" i="16"/>
  <c r="J304" i="16"/>
  <c r="J316" i="16"/>
  <c r="J326" i="16"/>
  <c r="J336" i="16"/>
  <c r="J348" i="16"/>
  <c r="J358" i="16"/>
  <c r="J368" i="16"/>
  <c r="J380" i="16"/>
  <c r="J390" i="16"/>
  <c r="J400" i="16"/>
  <c r="J412" i="16"/>
  <c r="J422" i="16"/>
  <c r="J432" i="16"/>
  <c r="J444" i="16"/>
  <c r="J454" i="16"/>
  <c r="J464" i="16"/>
  <c r="J476" i="16"/>
  <c r="J486" i="16"/>
  <c r="J496" i="16"/>
  <c r="J508" i="16"/>
  <c r="J518" i="16"/>
  <c r="J528" i="16"/>
  <c r="J540" i="16"/>
  <c r="J550" i="16"/>
  <c r="J560" i="16"/>
  <c r="J572" i="16"/>
  <c r="J582" i="16"/>
  <c r="J592" i="16"/>
  <c r="J604" i="16"/>
  <c r="J614" i="16"/>
  <c r="J623" i="16"/>
  <c r="J632" i="16"/>
  <c r="J642" i="16"/>
  <c r="J651" i="16"/>
  <c r="J660" i="16"/>
  <c r="J669" i="16"/>
  <c r="J678" i="16"/>
  <c r="J687" i="16"/>
  <c r="J696" i="16"/>
  <c r="J704" i="16"/>
  <c r="J712" i="16"/>
  <c r="J720" i="16"/>
  <c r="J728" i="16"/>
  <c r="J736" i="16"/>
  <c r="J744" i="16"/>
  <c r="J752" i="16"/>
  <c r="J760" i="16"/>
  <c r="J37" i="16"/>
  <c r="J55" i="16"/>
  <c r="J71" i="16"/>
  <c r="J88" i="16"/>
  <c r="J104" i="16"/>
  <c r="J123" i="16"/>
  <c r="J21" i="16"/>
  <c r="J39" i="16"/>
  <c r="J56" i="16"/>
  <c r="J72" i="16"/>
  <c r="J91" i="16"/>
  <c r="J109" i="16"/>
  <c r="J125" i="16"/>
  <c r="J142" i="16"/>
  <c r="J158" i="16"/>
  <c r="J175" i="16"/>
  <c r="J195" i="16"/>
  <c r="J211" i="16"/>
  <c r="J228" i="16"/>
  <c r="J244" i="16"/>
  <c r="J261" i="16"/>
  <c r="J279" i="16"/>
  <c r="J295" i="16"/>
  <c r="J312" i="16"/>
  <c r="J328" i="16"/>
  <c r="J347" i="16"/>
  <c r="J365" i="16"/>
  <c r="J381" i="16"/>
  <c r="J398" i="16"/>
  <c r="J414" i="16"/>
  <c r="J431" i="16"/>
  <c r="J451" i="16"/>
  <c r="J467" i="16"/>
  <c r="J484" i="16"/>
  <c r="J500" i="16"/>
  <c r="J517" i="16"/>
  <c r="J535" i="16"/>
  <c r="J551" i="16"/>
  <c r="J568" i="16"/>
  <c r="J584" i="16"/>
  <c r="J603" i="16"/>
  <c r="J620" i="16"/>
  <c r="J634" i="16"/>
  <c r="J648" i="16"/>
  <c r="J662" i="16"/>
  <c r="J677" i="16"/>
  <c r="J693" i="16"/>
  <c r="J705" i="16"/>
  <c r="J718" i="16"/>
  <c r="J730" i="16"/>
  <c r="J743" i="16"/>
  <c r="J757" i="16"/>
  <c r="J768" i="16"/>
  <c r="J778" i="16"/>
  <c r="J790" i="16"/>
  <c r="J800" i="16"/>
  <c r="J810" i="16"/>
  <c r="J822" i="16"/>
  <c r="J832" i="16"/>
  <c r="J842" i="16"/>
  <c r="J854" i="16"/>
  <c r="J863" i="16"/>
  <c r="J872" i="16"/>
  <c r="J881" i="16"/>
  <c r="J890" i="16"/>
  <c r="J899" i="16"/>
  <c r="J907" i="16"/>
  <c r="J915" i="16"/>
  <c r="J923" i="16"/>
  <c r="J931" i="16"/>
  <c r="J939" i="16"/>
  <c r="J947" i="16"/>
  <c r="J955" i="16"/>
  <c r="J963" i="16"/>
  <c r="J971" i="16"/>
  <c r="J979" i="16"/>
  <c r="J987" i="16"/>
  <c r="J995" i="16"/>
  <c r="J1003" i="16"/>
  <c r="J1011" i="16"/>
  <c r="J1019" i="16"/>
  <c r="J1027" i="16"/>
  <c r="J1035" i="16"/>
  <c r="J1043" i="16"/>
  <c r="J1051" i="16"/>
  <c r="J1059" i="16"/>
  <c r="J1067" i="16"/>
  <c r="J1075" i="16"/>
  <c r="J1083" i="16"/>
  <c r="J1091" i="16"/>
  <c r="J1099" i="16"/>
  <c r="J1107" i="16"/>
  <c r="J1115" i="16"/>
  <c r="J1123" i="16"/>
  <c r="J1131" i="16"/>
  <c r="J1139" i="16"/>
  <c r="J1147" i="16"/>
  <c r="J1155" i="16"/>
  <c r="J1163" i="16"/>
  <c r="J1171" i="16"/>
  <c r="J1179" i="16"/>
  <c r="J1187" i="16"/>
  <c r="J1195" i="16"/>
  <c r="J1203" i="16"/>
  <c r="J1211" i="16"/>
  <c r="J1219" i="16"/>
  <c r="J1227" i="16"/>
  <c r="J1235" i="16"/>
  <c r="J1243" i="16"/>
  <c r="J1251" i="16"/>
  <c r="J1259" i="16"/>
  <c r="J1267" i="16"/>
  <c r="J1275" i="16"/>
  <c r="J1283" i="16"/>
  <c r="J1291" i="16"/>
  <c r="J1299" i="16"/>
  <c r="J1307" i="16"/>
  <c r="J1315" i="16"/>
  <c r="J1323" i="16"/>
  <c r="J1331" i="16"/>
  <c r="J1339" i="16"/>
  <c r="J1347" i="16"/>
  <c r="J1355" i="16"/>
  <c r="J1363" i="16"/>
  <c r="J1371" i="16"/>
  <c r="J1379" i="16"/>
  <c r="J1387" i="16"/>
  <c r="J1395" i="16"/>
  <c r="J1403" i="16"/>
  <c r="J1411" i="16"/>
  <c r="J1419" i="16"/>
  <c r="J1427" i="16"/>
  <c r="J1435" i="16"/>
  <c r="J1443" i="16"/>
  <c r="J1451" i="16"/>
  <c r="J1459" i="16"/>
  <c r="J23" i="16"/>
  <c r="J40" i="16"/>
  <c r="J59" i="16"/>
  <c r="J77" i="16"/>
  <c r="J93" i="16"/>
  <c r="J110" i="16"/>
  <c r="J126" i="16"/>
  <c r="J143" i="16"/>
  <c r="J163" i="16"/>
  <c r="J179" i="16"/>
  <c r="J196" i="16"/>
  <c r="J212" i="16"/>
  <c r="J229" i="16"/>
  <c r="J247" i="16"/>
  <c r="J263" i="16"/>
  <c r="J280" i="16"/>
  <c r="J296" i="16"/>
  <c r="J315" i="16"/>
  <c r="J333" i="16"/>
  <c r="J349" i="16"/>
  <c r="J366" i="16"/>
  <c r="J382" i="16"/>
  <c r="J399" i="16"/>
  <c r="J419" i="16"/>
  <c r="J435" i="16"/>
  <c r="J452" i="16"/>
  <c r="J468" i="16"/>
  <c r="J485" i="16"/>
  <c r="J503" i="16"/>
  <c r="J519" i="16"/>
  <c r="J536" i="16"/>
  <c r="J552" i="16"/>
  <c r="J571" i="16"/>
  <c r="J589" i="16"/>
  <c r="J605" i="16"/>
  <c r="J621" i="16"/>
  <c r="J635" i="16"/>
  <c r="J650" i="16"/>
  <c r="J666" i="16"/>
  <c r="J679" i="16"/>
  <c r="J694" i="16"/>
  <c r="J706" i="16"/>
  <c r="J719" i="16"/>
  <c r="J733" i="16"/>
  <c r="J745" i="16"/>
  <c r="J758" i="16"/>
  <c r="J769" i="16"/>
  <c r="J781" i="16"/>
  <c r="J791" i="16"/>
  <c r="J801" i="16"/>
  <c r="J813" i="16"/>
  <c r="J823" i="16"/>
  <c r="J833" i="16"/>
  <c r="J845" i="16"/>
  <c r="J855" i="16"/>
  <c r="J864" i="16"/>
  <c r="J873" i="16"/>
  <c r="J882" i="16"/>
  <c r="J892" i="16"/>
  <c r="J900" i="16"/>
  <c r="J908" i="16"/>
  <c r="J916" i="16"/>
  <c r="J924" i="16"/>
  <c r="J932" i="16"/>
  <c r="J940" i="16"/>
  <c r="J948" i="16"/>
  <c r="J956" i="16"/>
  <c r="J964" i="16"/>
  <c r="J972" i="16"/>
  <c r="J980" i="16"/>
  <c r="J988" i="16"/>
  <c r="J996" i="16"/>
  <c r="J1004" i="16"/>
  <c r="J1012" i="16"/>
  <c r="J1020" i="16"/>
  <c r="J1028" i="16"/>
  <c r="J1036" i="16"/>
  <c r="J1044" i="16"/>
  <c r="J1052" i="16"/>
  <c r="J1060" i="16"/>
  <c r="J1068" i="16"/>
  <c r="J1076" i="16"/>
  <c r="J1084" i="16"/>
  <c r="J1092" i="16"/>
  <c r="J1100" i="16"/>
  <c r="J1108" i="16"/>
  <c r="J1116" i="16"/>
  <c r="J1124" i="16"/>
  <c r="J1132" i="16"/>
  <c r="J1140" i="16"/>
  <c r="J1148" i="16"/>
  <c r="J1156" i="16"/>
  <c r="J1164" i="16"/>
  <c r="J1172" i="16"/>
  <c r="J1180" i="16"/>
  <c r="J1188" i="16"/>
  <c r="J1196" i="16"/>
  <c r="J1204" i="16"/>
  <c r="J1212" i="16"/>
  <c r="J1220" i="16"/>
  <c r="J1228" i="16"/>
  <c r="J1236" i="16"/>
  <c r="J1244" i="16"/>
  <c r="J1252" i="16"/>
  <c r="J1260" i="16"/>
  <c r="J1268" i="16"/>
  <c r="J1276" i="16"/>
  <c r="J1284" i="16"/>
  <c r="J1292" i="16"/>
  <c r="J1300" i="16"/>
  <c r="J24" i="16"/>
  <c r="J45" i="16"/>
  <c r="J61" i="16"/>
  <c r="J78" i="16"/>
  <c r="J94" i="16"/>
  <c r="J111" i="16"/>
  <c r="J131" i="16"/>
  <c r="J147" i="16"/>
  <c r="J164" i="16"/>
  <c r="J180" i="16"/>
  <c r="J197" i="16"/>
  <c r="J215" i="16"/>
  <c r="J231" i="16"/>
  <c r="J248" i="16"/>
  <c r="J264" i="16"/>
  <c r="J283" i="16"/>
  <c r="J301" i="16"/>
  <c r="J317" i="16"/>
  <c r="J334" i="16"/>
  <c r="J350" i="16"/>
  <c r="J367" i="16"/>
  <c r="J387" i="16"/>
  <c r="J403" i="16"/>
  <c r="J420" i="16"/>
  <c r="J436" i="16"/>
  <c r="J453" i="16"/>
  <c r="J471" i="16"/>
  <c r="J487" i="16"/>
  <c r="J504" i="16"/>
  <c r="J520" i="16"/>
  <c r="J539" i="16"/>
  <c r="J557" i="16"/>
  <c r="J573" i="16"/>
  <c r="J590" i="16"/>
  <c r="J606" i="16"/>
  <c r="J622" i="16"/>
  <c r="J638" i="16"/>
  <c r="J652" i="16"/>
  <c r="J667" i="16"/>
  <c r="J680" i="16"/>
  <c r="J695" i="16"/>
  <c r="J709" i="16"/>
  <c r="J721" i="16"/>
  <c r="J734" i="16"/>
  <c r="J746" i="16"/>
  <c r="J759" i="16"/>
  <c r="J770" i="16"/>
  <c r="J782" i="16"/>
  <c r="J792" i="16"/>
  <c r="J802" i="16"/>
  <c r="J814" i="16"/>
  <c r="J824" i="16"/>
  <c r="J834" i="16"/>
  <c r="J846" i="16"/>
  <c r="J856" i="16"/>
  <c r="J865" i="16"/>
  <c r="J874" i="16"/>
  <c r="J884" i="16"/>
  <c r="J893" i="16"/>
  <c r="J901" i="16"/>
  <c r="J909" i="16"/>
  <c r="J917" i="16"/>
  <c r="J925" i="16"/>
  <c r="J933" i="16"/>
  <c r="J941" i="16"/>
  <c r="J949" i="16"/>
  <c r="J957" i="16"/>
  <c r="J965" i="16"/>
  <c r="J973" i="16"/>
  <c r="J981" i="16"/>
  <c r="J989" i="16"/>
  <c r="J997" i="16"/>
  <c r="J1005" i="16"/>
  <c r="J1013" i="16"/>
  <c r="J1021" i="16"/>
  <c r="J1029" i="16"/>
  <c r="J1037" i="16"/>
  <c r="J1045" i="16"/>
  <c r="J1053" i="16"/>
  <c r="J1061" i="16"/>
  <c r="J1069" i="16"/>
  <c r="J1077" i="16"/>
  <c r="J1085" i="16"/>
  <c r="J1093" i="16"/>
  <c r="J1101" i="16"/>
  <c r="J29" i="16"/>
  <c r="J67" i="16"/>
  <c r="J100" i="16"/>
  <c r="J133" i="16"/>
  <c r="J157" i="16"/>
  <c r="J187" i="16"/>
  <c r="J216" i="16"/>
  <c r="J239" i="16"/>
  <c r="J270" i="16"/>
  <c r="J293" i="16"/>
  <c r="J324" i="16"/>
  <c r="J355" i="16"/>
  <c r="J376" i="16"/>
  <c r="J407" i="16"/>
  <c r="J430" i="16"/>
  <c r="J461" i="16"/>
  <c r="J488" i="16"/>
  <c r="J515" i="16"/>
  <c r="J542" i="16"/>
  <c r="J567" i="16"/>
  <c r="J596" i="16"/>
  <c r="J624" i="16"/>
  <c r="J644" i="16"/>
  <c r="J670" i="16"/>
  <c r="J690" i="16"/>
  <c r="J713" i="16"/>
  <c r="J735" i="16"/>
  <c r="J753" i="16"/>
  <c r="J774" i="16"/>
  <c r="J789" i="16"/>
  <c r="J807" i="16"/>
  <c r="J825" i="16"/>
  <c r="J840" i="16"/>
  <c r="J858" i="16"/>
  <c r="J871" i="16"/>
  <c r="J887" i="16"/>
  <c r="J902" i="16"/>
  <c r="J913" i="16"/>
  <c r="J927" i="16"/>
  <c r="J938" i="16"/>
  <c r="J952" i="16"/>
  <c r="J966" i="16"/>
  <c r="J977" i="16"/>
  <c r="J991" i="16"/>
  <c r="J1002" i="16"/>
  <c r="J1016" i="16"/>
  <c r="J1030" i="16"/>
  <c r="J1041" i="16"/>
  <c r="J1055" i="16"/>
  <c r="J1066" i="16"/>
  <c r="J1080" i="16"/>
  <c r="J1094" i="16"/>
  <c r="J1105" i="16"/>
  <c r="J1117" i="16"/>
  <c r="J1127" i="16"/>
  <c r="J1137" i="16"/>
  <c r="J1149" i="16"/>
  <c r="J1159" i="16"/>
  <c r="J1169" i="16"/>
  <c r="J1181" i="16"/>
  <c r="J1191" i="16"/>
  <c r="J1201" i="16"/>
  <c r="J1213" i="16"/>
  <c r="J1223" i="16"/>
  <c r="J1233" i="16"/>
  <c r="J1245" i="16"/>
  <c r="J1255" i="16"/>
  <c r="J1265" i="16"/>
  <c r="J1277" i="16"/>
  <c r="J1287" i="16"/>
  <c r="J1297" i="16"/>
  <c r="J1308" i="16"/>
  <c r="J1317" i="16"/>
  <c r="J1326" i="16"/>
  <c r="J1335" i="16"/>
  <c r="J1344" i="16"/>
  <c r="J1353" i="16"/>
  <c r="J1362" i="16"/>
  <c r="J1372" i="16"/>
  <c r="J1381" i="16"/>
  <c r="J1390" i="16"/>
  <c r="J1399" i="16"/>
  <c r="J1408" i="16"/>
  <c r="J1417" i="16"/>
  <c r="J1426" i="16"/>
  <c r="J1436" i="16"/>
  <c r="J1445" i="16"/>
  <c r="J1454" i="16"/>
  <c r="J1463" i="16"/>
  <c r="J1471" i="16"/>
  <c r="J1479" i="16"/>
  <c r="J1487" i="16"/>
  <c r="J1495" i="16"/>
  <c r="J1503" i="16"/>
  <c r="J1511" i="16"/>
  <c r="J35" i="16"/>
  <c r="J68" i="16"/>
  <c r="J101" i="16"/>
  <c r="J135" i="16"/>
  <c r="J165" i="16"/>
  <c r="J189" i="16"/>
  <c r="J219" i="16"/>
  <c r="J243" i="16"/>
  <c r="J271" i="16"/>
  <c r="J302" i="16"/>
  <c r="J325" i="16"/>
  <c r="J356" i="16"/>
  <c r="J379" i="16"/>
  <c r="J408" i="16"/>
  <c r="J439" i="16"/>
  <c r="J462" i="16"/>
  <c r="J493" i="16"/>
  <c r="J516" i="16"/>
  <c r="J547" i="16"/>
  <c r="J574" i="16"/>
  <c r="J599" i="16"/>
  <c r="J626" i="16"/>
  <c r="J647" i="16"/>
  <c r="J671" i="16"/>
  <c r="J697" i="16"/>
  <c r="J714" i="16"/>
  <c r="J737" i="16"/>
  <c r="J754" i="16"/>
  <c r="J775" i="16"/>
  <c r="J793" i="16"/>
  <c r="J808" i="16"/>
  <c r="J826" i="16"/>
  <c r="J841" i="16"/>
  <c r="J860" i="16"/>
  <c r="J876" i="16"/>
  <c r="J888" i="16"/>
  <c r="J903" i="16"/>
  <c r="J914" i="16"/>
  <c r="J928" i="16"/>
  <c r="J942" i="16"/>
  <c r="J953" i="16"/>
  <c r="J967" i="16"/>
  <c r="J978" i="16"/>
  <c r="J992" i="16"/>
  <c r="J1006" i="16"/>
  <c r="J1017" i="16"/>
  <c r="J1031" i="16"/>
  <c r="J1042" i="16"/>
  <c r="J1056" i="16"/>
  <c r="J1070" i="16"/>
  <c r="J1081" i="16"/>
  <c r="J1095" i="16"/>
  <c r="J1106" i="16"/>
  <c r="J1118" i="16"/>
  <c r="J1128" i="16"/>
  <c r="J1138" i="16"/>
  <c r="J1150" i="16"/>
  <c r="J1160" i="16"/>
  <c r="J1170" i="16"/>
  <c r="J1182" i="16"/>
  <c r="J1192" i="16"/>
  <c r="J1202" i="16"/>
  <c r="J1214" i="16"/>
  <c r="J1224" i="16"/>
  <c r="J1234" i="16"/>
  <c r="J1246" i="16"/>
  <c r="J1256" i="16"/>
  <c r="J1266" i="16"/>
  <c r="J1278" i="16"/>
  <c r="J1288" i="16"/>
  <c r="J1298" i="16"/>
  <c r="J1309" i="16"/>
  <c r="J1318" i="16"/>
  <c r="J1327" i="16"/>
  <c r="J1336" i="16"/>
  <c r="J1345" i="16"/>
  <c r="J1354" i="16"/>
  <c r="J1364" i="16"/>
  <c r="J1373" i="16"/>
  <c r="J1382" i="16"/>
  <c r="J1391" i="16"/>
  <c r="J1400" i="16"/>
  <c r="J1409" i="16"/>
  <c r="J1418" i="16"/>
  <c r="J1428" i="16"/>
  <c r="J1437" i="16"/>
  <c r="J1446" i="16"/>
  <c r="J1455" i="16"/>
  <c r="J1464" i="16"/>
  <c r="J51" i="16"/>
  <c r="J84" i="16"/>
  <c r="J119" i="16"/>
  <c r="J151" i="16"/>
  <c r="J174" i="16"/>
  <c r="J205" i="16"/>
  <c r="J232" i="16"/>
  <c r="J259" i="16"/>
  <c r="J286" i="16"/>
  <c r="J311" i="16"/>
  <c r="J340" i="16"/>
  <c r="J371" i="16"/>
  <c r="J392" i="16"/>
  <c r="J423" i="16"/>
  <c r="J446" i="16"/>
  <c r="J477" i="16"/>
  <c r="J507" i="16"/>
  <c r="J531" i="16"/>
  <c r="J559" i="16"/>
  <c r="J583" i="16"/>
  <c r="J613" i="16"/>
  <c r="J639" i="16"/>
  <c r="J659" i="16"/>
  <c r="J685" i="16"/>
  <c r="J703" i="16"/>
  <c r="J726" i="16"/>
  <c r="J749" i="16"/>
  <c r="J766" i="16"/>
  <c r="J784" i="16"/>
  <c r="J799" i="16"/>
  <c r="J817" i="16"/>
  <c r="J837" i="16"/>
  <c r="J850" i="16"/>
  <c r="J868" i="16"/>
  <c r="J880" i="16"/>
  <c r="J896" i="16"/>
  <c r="J910" i="16"/>
  <c r="J921" i="16"/>
  <c r="J935" i="16"/>
  <c r="J946" i="16"/>
  <c r="J960" i="16"/>
  <c r="J974" i="16"/>
  <c r="J985" i="16"/>
  <c r="J999" i="16"/>
  <c r="J1010" i="16"/>
  <c r="J1024" i="16"/>
  <c r="J1038" i="16"/>
  <c r="J1049" i="16"/>
  <c r="J1063" i="16"/>
  <c r="J1074" i="16"/>
  <c r="J1088" i="16"/>
  <c r="J1102" i="16"/>
  <c r="J1112" i="16"/>
  <c r="J1122" i="16"/>
  <c r="J1134" i="16"/>
  <c r="J1144" i="16"/>
  <c r="J1154" i="16"/>
  <c r="J1166" i="16"/>
  <c r="J1176" i="16"/>
  <c r="J1186" i="16"/>
  <c r="J1198" i="16"/>
  <c r="J1208" i="16"/>
  <c r="J1218" i="16"/>
  <c r="J1230" i="16"/>
  <c r="J1240" i="16"/>
  <c r="J1250" i="16"/>
  <c r="J1262" i="16"/>
  <c r="J1272" i="16"/>
  <c r="J1282" i="16"/>
  <c r="J1294" i="16"/>
  <c r="J1304" i="16"/>
  <c r="J1313" i="16"/>
  <c r="J1322" i="16"/>
  <c r="J1332" i="16"/>
  <c r="J1341" i="16"/>
  <c r="J1350" i="16"/>
  <c r="J1359" i="16"/>
  <c r="J1368" i="16"/>
  <c r="J1377" i="16"/>
  <c r="J1386" i="16"/>
  <c r="J1396" i="16"/>
  <c r="J1405" i="16"/>
  <c r="J1414" i="16"/>
  <c r="J1423" i="16"/>
  <c r="J1432" i="16"/>
  <c r="J28" i="16"/>
  <c r="J83" i="16"/>
  <c r="J136" i="16"/>
  <c r="J183" i="16"/>
  <c r="J222" i="16"/>
  <c r="J269" i="16"/>
  <c r="J308" i="16"/>
  <c r="J357" i="16"/>
  <c r="J397" i="16"/>
  <c r="J36" i="16"/>
  <c r="J87" i="16"/>
  <c r="J141" i="16"/>
  <c r="J184" i="16"/>
  <c r="J227" i="16"/>
  <c r="J275" i="16"/>
  <c r="J318" i="16"/>
  <c r="J359" i="16"/>
  <c r="J404" i="16"/>
  <c r="J445" i="16"/>
  <c r="J494" i="16"/>
  <c r="J532" i="16"/>
  <c r="J580" i="16"/>
  <c r="J616" i="16"/>
  <c r="J658" i="16"/>
  <c r="J698" i="16"/>
  <c r="J727" i="16"/>
  <c r="J762" i="16"/>
  <c r="J786" i="16"/>
  <c r="J816" i="16"/>
  <c r="J847" i="16"/>
  <c r="J869" i="16"/>
  <c r="J894" i="16"/>
  <c r="J912" i="16"/>
  <c r="J934" i="16"/>
  <c r="J954" i="16"/>
  <c r="J975" i="16"/>
  <c r="J994" i="16"/>
  <c r="J1015" i="16"/>
  <c r="J1034" i="16"/>
  <c r="J1057" i="16"/>
  <c r="J1078" i="16"/>
  <c r="J1097" i="16"/>
  <c r="J1114" i="16"/>
  <c r="J1133" i="16"/>
  <c r="J1151" i="16"/>
  <c r="J1167" i="16"/>
  <c r="J1184" i="16"/>
  <c r="J1200" i="16"/>
  <c r="J1217" i="16"/>
  <c r="J1237" i="16"/>
  <c r="J1253" i="16"/>
  <c r="J1270" i="16"/>
  <c r="J1286" i="16"/>
  <c r="J1303" i="16"/>
  <c r="J1319" i="16"/>
  <c r="J1333" i="16"/>
  <c r="J1348" i="16"/>
  <c r="J1361" i="16"/>
  <c r="J1376" i="16"/>
  <c r="J1392" i="16"/>
  <c r="J1406" i="16"/>
  <c r="J1421" i="16"/>
  <c r="J1434" i="16"/>
  <c r="J1448" i="16"/>
  <c r="J1460" i="16"/>
  <c r="J1470" i="16"/>
  <c r="J1480" i="16"/>
  <c r="J1489" i="16"/>
  <c r="J1498" i="16"/>
  <c r="J1507" i="16"/>
  <c r="J1516" i="16"/>
  <c r="J46" i="16"/>
  <c r="J99" i="16"/>
  <c r="J148" i="16"/>
  <c r="J190" i="16"/>
  <c r="J237" i="16"/>
  <c r="J276" i="16"/>
  <c r="J323" i="16"/>
  <c r="J360" i="16"/>
  <c r="J411" i="16"/>
  <c r="J455" i="16"/>
  <c r="J495" i="16"/>
  <c r="J541" i="16"/>
  <c r="J581" i="16"/>
  <c r="J629" i="16"/>
  <c r="J661" i="16"/>
  <c r="J701" i="16"/>
  <c r="J729" i="16"/>
  <c r="J765" i="16"/>
  <c r="J794" i="16"/>
  <c r="J818" i="16"/>
  <c r="J848" i="16"/>
  <c r="J870" i="16"/>
  <c r="J895" i="16"/>
  <c r="J918" i="16"/>
  <c r="J936" i="16"/>
  <c r="J958" i="16"/>
  <c r="J976" i="16"/>
  <c r="J998" i="16"/>
  <c r="J1018" i="16"/>
  <c r="J1039" i="16"/>
  <c r="J1058" i="16"/>
  <c r="J1079" i="16"/>
  <c r="J1098" i="16"/>
  <c r="J1119" i="16"/>
  <c r="J1135" i="16"/>
  <c r="J1152" i="16"/>
  <c r="J1168" i="16"/>
  <c r="J1185" i="16"/>
  <c r="J1205" i="16"/>
  <c r="J1221" i="16"/>
  <c r="J1238" i="16"/>
  <c r="J1254" i="16"/>
  <c r="J1271" i="16"/>
  <c r="J1289" i="16"/>
  <c r="J1305" i="16"/>
  <c r="J1320" i="16"/>
  <c r="J1334" i="16"/>
  <c r="J1349" i="16"/>
  <c r="J1365" i="16"/>
  <c r="J1378" i="16"/>
  <c r="J1393" i="16"/>
  <c r="J1407" i="16"/>
  <c r="J1422" i="16"/>
  <c r="J1438" i="16"/>
  <c r="J1449" i="16"/>
  <c r="J1461" i="16"/>
  <c r="J1472" i="16"/>
  <c r="J1481" i="16"/>
  <c r="J1490" i="16"/>
  <c r="J1499" i="16"/>
  <c r="J1508" i="16"/>
  <c r="J69" i="16"/>
  <c r="J120" i="16"/>
  <c r="J168" i="16"/>
  <c r="J207" i="16"/>
  <c r="J254" i="16"/>
  <c r="J303" i="16"/>
  <c r="J343" i="16"/>
  <c r="J389" i="16"/>
  <c r="J429" i="16"/>
  <c r="J475" i="16"/>
  <c r="J525" i="16"/>
  <c r="J563" i="16"/>
  <c r="J611" i="16"/>
  <c r="J643" i="16"/>
  <c r="J684" i="16"/>
  <c r="J717" i="16"/>
  <c r="J750" i="16"/>
  <c r="J777" i="16"/>
  <c r="J806" i="16"/>
  <c r="J831" i="16"/>
  <c r="J861" i="16"/>
  <c r="J885" i="16"/>
  <c r="J905" i="16"/>
  <c r="J926" i="16"/>
  <c r="J945" i="16"/>
  <c r="J968" i="16"/>
  <c r="J986" i="16"/>
  <c r="J1008" i="16"/>
  <c r="J1026" i="16"/>
  <c r="J1048" i="16"/>
  <c r="J1071" i="16"/>
  <c r="J1089" i="16"/>
  <c r="J1110" i="16"/>
  <c r="J1126" i="16"/>
  <c r="J1143" i="16"/>
  <c r="J1161" i="16"/>
  <c r="J1177" i="16"/>
  <c r="J1194" i="16"/>
  <c r="J1210" i="16"/>
  <c r="J1229" i="16"/>
  <c r="J1247" i="16"/>
  <c r="J1263" i="16"/>
  <c r="J1280" i="16"/>
  <c r="J1296" i="16"/>
  <c r="J1312" i="16"/>
  <c r="J1328" i="16"/>
  <c r="J1342" i="16"/>
  <c r="J1357" i="16"/>
  <c r="J1370" i="16"/>
  <c r="J1385" i="16"/>
  <c r="J1401" i="16"/>
  <c r="J1415" i="16"/>
  <c r="J1430" i="16"/>
  <c r="J1442" i="16"/>
  <c r="J1456" i="16"/>
  <c r="J1467" i="16"/>
  <c r="J1476" i="16"/>
  <c r="J1485" i="16"/>
  <c r="J1494" i="16"/>
  <c r="J1504" i="16"/>
  <c r="J1513" i="16"/>
  <c r="J47" i="16"/>
  <c r="J152" i="16"/>
  <c r="J238" i="16"/>
  <c r="J327" i="16"/>
  <c r="J413" i="16"/>
  <c r="J478" i="16"/>
  <c r="J549" i="16"/>
  <c r="J615" i="16"/>
  <c r="J676" i="16"/>
  <c r="J738" i="16"/>
  <c r="J783" i="16"/>
  <c r="J829" i="16"/>
  <c r="J866" i="16"/>
  <c r="J904" i="16"/>
  <c r="J937" i="16"/>
  <c r="J969" i="16"/>
  <c r="J1001" i="16"/>
  <c r="J1033" i="16"/>
  <c r="J1065" i="16"/>
  <c r="J1103" i="16"/>
  <c r="J1129" i="16"/>
  <c r="J1157" i="16"/>
  <c r="J1183" i="16"/>
  <c r="J1209" i="16"/>
  <c r="J1239" i="16"/>
  <c r="J1264" i="16"/>
  <c r="J1293" i="16"/>
  <c r="J1316" i="16"/>
  <c r="J1340" i="16"/>
  <c r="J1366" i="16"/>
  <c r="J1388" i="16"/>
  <c r="J1412" i="16"/>
  <c r="J1433" i="16"/>
  <c r="J1453" i="16"/>
  <c r="J1473" i="16"/>
  <c r="J1486" i="16"/>
  <c r="J1501" i="16"/>
  <c r="J1515" i="16"/>
  <c r="J52" i="16"/>
  <c r="J155" i="16"/>
  <c r="J251" i="16"/>
  <c r="J335" i="16"/>
  <c r="J421" i="16"/>
  <c r="J483" i="16"/>
  <c r="J558" i="16"/>
  <c r="J630" i="16"/>
  <c r="J686" i="16"/>
  <c r="J741" i="16"/>
  <c r="J785" i="16"/>
  <c r="J830" i="16"/>
  <c r="J877" i="16"/>
  <c r="J906" i="16"/>
  <c r="J943" i="16"/>
  <c r="J970" i="16"/>
  <c r="J1007" i="16"/>
  <c r="J1040" i="16"/>
  <c r="J1072" i="16"/>
  <c r="J1104" i="16"/>
  <c r="J1130" i="16"/>
  <c r="J1158" i="16"/>
  <c r="J1189" i="16"/>
  <c r="J1215" i="16"/>
  <c r="J1241" i="16"/>
  <c r="J1269" i="16"/>
  <c r="J1295" i="16"/>
  <c r="J1321" i="16"/>
  <c r="J1343" i="16"/>
  <c r="J1367" i="16"/>
  <c r="J1389" i="16"/>
  <c r="J1413" i="16"/>
  <c r="J1439" i="16"/>
  <c r="J1457" i="16"/>
  <c r="J1474" i="16"/>
  <c r="J1488" i="16"/>
  <c r="J1502" i="16"/>
  <c r="J62" i="16"/>
  <c r="J167" i="16"/>
  <c r="J253" i="16"/>
  <c r="J339" i="16"/>
  <c r="J424" i="16"/>
  <c r="J499" i="16"/>
  <c r="J564" i="16"/>
  <c r="J631" i="16"/>
  <c r="J688" i="16"/>
  <c r="J742" i="16"/>
  <c r="J797" i="16"/>
  <c r="J838" i="16"/>
  <c r="J878" i="16"/>
  <c r="J911" i="16"/>
  <c r="J944" i="16"/>
  <c r="J982" i="16"/>
  <c r="J1009" i="16"/>
  <c r="J1046" i="16"/>
  <c r="J1073" i="16"/>
  <c r="J1109" i="16"/>
  <c r="J1136" i="16"/>
  <c r="J1162" i="16"/>
  <c r="J1190" i="16"/>
  <c r="J1216" i="16"/>
  <c r="J1242" i="16"/>
  <c r="J1273" i="16"/>
  <c r="J1301" i="16"/>
  <c r="J1324" i="16"/>
  <c r="J1346" i="16"/>
  <c r="J1369" i="16"/>
  <c r="J1394" i="16"/>
  <c r="J1416" i="16"/>
  <c r="J1440" i="16"/>
  <c r="J1458" i="16"/>
  <c r="J1475" i="16"/>
  <c r="J1491" i="16"/>
  <c r="J1505" i="16"/>
  <c r="J79" i="16"/>
  <c r="J173" i="16"/>
  <c r="J260" i="16"/>
  <c r="J344" i="16"/>
  <c r="J440" i="16"/>
  <c r="J509" i="16"/>
  <c r="J579" i="16"/>
  <c r="J640" i="16"/>
  <c r="J702" i="16"/>
  <c r="J751" i="16"/>
  <c r="J798" i="16"/>
  <c r="J839" i="16"/>
  <c r="J879" i="16"/>
  <c r="J919" i="16"/>
  <c r="J950" i="16"/>
  <c r="J983" i="16"/>
  <c r="J1014" i="16"/>
  <c r="J1047" i="16"/>
  <c r="J1082" i="16"/>
  <c r="J1111" i="16"/>
  <c r="J1141" i="16"/>
  <c r="J1165" i="16"/>
  <c r="J1193" i="16"/>
  <c r="J1222" i="16"/>
  <c r="J1248" i="16"/>
  <c r="J1274" i="16"/>
  <c r="J1302" i="16"/>
  <c r="J1325" i="16"/>
  <c r="J1351" i="16"/>
  <c r="J1374" i="16"/>
  <c r="J1397" i="16"/>
  <c r="J1420" i="16"/>
  <c r="J1441" i="16"/>
  <c r="J1462" i="16"/>
  <c r="J1477" i="16"/>
  <c r="J1492" i="16"/>
  <c r="J1506" i="16"/>
  <c r="J103" i="16"/>
  <c r="J285" i="16"/>
  <c r="J443" i="16"/>
  <c r="J591" i="16"/>
  <c r="J710" i="16"/>
  <c r="J805" i="16"/>
  <c r="J886" i="16"/>
  <c r="J951" i="16"/>
  <c r="J1022" i="16"/>
  <c r="J1086" i="16"/>
  <c r="J1142" i="16"/>
  <c r="J1197" i="16"/>
  <c r="J1249" i="16"/>
  <c r="J1306" i="16"/>
  <c r="J1352" i="16"/>
  <c r="J1398" i="16"/>
  <c r="J1444" i="16"/>
  <c r="J1478" i="16"/>
  <c r="J1509" i="16"/>
  <c r="J115" i="16"/>
  <c r="J291" i="16"/>
  <c r="J456" i="16"/>
  <c r="J595" i="16"/>
  <c r="J711" i="16"/>
  <c r="J809" i="16"/>
  <c r="J889" i="16"/>
  <c r="J959" i="16"/>
  <c r="J1023" i="16"/>
  <c r="J1087" i="16"/>
  <c r="J1145" i="16"/>
  <c r="J1199" i="16"/>
  <c r="J1257" i="16"/>
  <c r="J1310" i="16"/>
  <c r="J1356" i="16"/>
  <c r="J1402" i="16"/>
  <c r="J1447" i="16"/>
  <c r="J1482" i="16"/>
  <c r="J1510" i="16"/>
  <c r="J307" i="16"/>
  <c r="J725" i="16"/>
  <c r="J898" i="16"/>
  <c r="J1096" i="16"/>
  <c r="J1207" i="16"/>
  <c r="J1314" i="16"/>
  <c r="J1452" i="16"/>
  <c r="J1514" i="16"/>
  <c r="J116" i="16"/>
  <c r="J292" i="16"/>
  <c r="J463" i="16"/>
  <c r="J600" i="16"/>
  <c r="J722" i="16"/>
  <c r="J815" i="16"/>
  <c r="J897" i="16"/>
  <c r="J961" i="16"/>
  <c r="J1025" i="16"/>
  <c r="J1090" i="16"/>
  <c r="J1146" i="16"/>
  <c r="J1206" i="16"/>
  <c r="J1258" i="16"/>
  <c r="J1311" i="16"/>
  <c r="J1358" i="16"/>
  <c r="J1404" i="16"/>
  <c r="J1450" i="16"/>
  <c r="J1483" i="16"/>
  <c r="J1512" i="16"/>
  <c r="J132" i="16"/>
  <c r="J472" i="16"/>
  <c r="J612" i="16"/>
  <c r="J821" i="16"/>
  <c r="J962" i="16"/>
  <c r="J1032" i="16"/>
  <c r="J1153" i="16"/>
  <c r="J1261" i="16"/>
  <c r="J1360" i="16"/>
  <c r="J1410" i="16"/>
  <c r="J1484" i="16"/>
  <c r="J206" i="16"/>
  <c r="J388" i="16"/>
  <c r="J527" i="16"/>
  <c r="J668" i="16"/>
  <c r="J773" i="16"/>
  <c r="J857" i="16"/>
  <c r="J929" i="16"/>
  <c r="J993" i="16"/>
  <c r="J1062" i="16"/>
  <c r="J1121" i="16"/>
  <c r="J1175" i="16"/>
  <c r="J1231" i="16"/>
  <c r="J1285" i="16"/>
  <c r="J1337" i="16"/>
  <c r="J1383" i="16"/>
  <c r="J1429" i="16"/>
  <c r="J1468" i="16"/>
  <c r="J1497" i="16"/>
  <c r="J221" i="16"/>
  <c r="J391" i="16"/>
  <c r="J548" i="16"/>
  <c r="J675" i="16"/>
  <c r="J776" i="16"/>
  <c r="J862" i="16"/>
  <c r="J930" i="16"/>
  <c r="J1000" i="16"/>
  <c r="J1064" i="16"/>
  <c r="J1125" i="16"/>
  <c r="J1178" i="16"/>
  <c r="J1232" i="16"/>
  <c r="J1290" i="16"/>
  <c r="J1338" i="16"/>
  <c r="J1384" i="16"/>
  <c r="J1431" i="16"/>
  <c r="J1469" i="16"/>
  <c r="J1500" i="16"/>
  <c r="J199" i="16"/>
  <c r="J761" i="16"/>
  <c r="J1050" i="16"/>
  <c r="J1279" i="16"/>
  <c r="J1465" i="16"/>
  <c r="J1380" i="16"/>
  <c r="J200" i="16"/>
  <c r="J767" i="16"/>
  <c r="J1054" i="16"/>
  <c r="J1281" i="16"/>
  <c r="J1466" i="16"/>
  <c r="J853" i="16"/>
  <c r="J1330" i="16"/>
  <c r="J920" i="16"/>
  <c r="J526" i="16"/>
  <c r="J372" i="16"/>
  <c r="J849" i="16"/>
  <c r="J1113" i="16"/>
  <c r="J1329" i="16"/>
  <c r="J1493" i="16"/>
  <c r="J375" i="16"/>
  <c r="J1120" i="16"/>
  <c r="J1496" i="16"/>
  <c r="J510" i="16"/>
  <c r="J1375" i="16"/>
  <c r="J922" i="16"/>
  <c r="J653" i="16"/>
  <c r="J984" i="16"/>
  <c r="J1225" i="16"/>
  <c r="J1424" i="16"/>
  <c r="J656" i="16"/>
  <c r="J990" i="16"/>
  <c r="J1226" i="16"/>
  <c r="J1425" i="16"/>
  <c r="J1173" i="16"/>
  <c r="J1174" i="16"/>
  <c r="D8" i="3"/>
  <c r="D8" i="17"/>
  <c r="D7" i="4"/>
  <c r="D8" i="4" l="1"/>
  <c r="E7" i="8"/>
  <c r="E8" i="8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<sst xmlns="http://schemas.openxmlformats.org/spreadsheetml/2006/main" count="6942" uniqueCount="299">
  <si>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</si>
  <si>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</si>
  <si>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</si>
  <si>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</si>
  <si>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</si>
  <si>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</si>
  <si>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</si>
  <si>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</si>
  <si>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</si>
  <si>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</si>
  <si>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</si>
  <si>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</si>
  <si>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</si>
  <si>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</si>
  <si>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</si>
  <si>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</si>
  <si>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</si>
  <si>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</si>
  <si>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</si>
  <si>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</si>
  <si>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</si>
  <si>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</si>
  <si>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</si>
  <si>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</si>
  <si>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</si>
  <si>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</si>
  <si>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</si>
  <si>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</si>
  <si>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</si>
  <si>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</si>
  <si>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</si>
  <si>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</si>
  <si>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</si>
  <si>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</si>
  <si>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</si>
  <si>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</si>
  <si>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</si>
  <si>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</si>
  <si>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</si>
  <si>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</si>
  <si>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</si>
  <si>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</si>
  <si>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</si>
  <si>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</si>
  <si>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</si>
  <si>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</si>
  <si>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</si>
  <si>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</si>
  <si>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</si>
  <si>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</si>
  <si>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</si>
  <si>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</si>
  <si>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</si>
  <si>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</si>
  <si>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</si>
  <si>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</si>
  <si>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</si>
  <si>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</si>
  <si>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</si>
  <si>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</si>
  <si>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</si>
  <si>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</si>
  <si>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</si>
  <si>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</si>
  <si>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</si>
  <si>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</si>
  <si>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</si>
  <si>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</si>
  <si>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</si>
  <si>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</si>
  <si>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</si>
  <si>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</si>
  <si>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</si>
  <si>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</si>
  <si>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</si>
  <si>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</si>
  <si>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</si>
  <si>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</si>
  <si>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</si>
  <si>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</si>
  <si>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</si>
  <si>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</si>
  <si>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</si>
  <si>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</si>
  <si>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</si>
  <si>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</si>
  <si>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</si>
  <si>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</si>
  <si>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</si>
  <si>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</si>
  <si>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</si>
  <si>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</si>
  <si>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</si>
  <si>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</si>
  <si>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</si>
  <si>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</si>
  <si>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</si>
  <si>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</si>
  <si>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</si>
  <si>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</si>
  <si>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</si>
  <si>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</si>
  <si>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</si>
  <si>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</si>
  <si>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</si>
  <si>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</si>
  <si>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</si>
  <si>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</si>
  <si>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</si>
  <si>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</si>
  <si>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</si>
  <si>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</si>
  <si>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</si>
  <si>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</si>
  <si>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</si>
  <si>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</si>
  <si>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</si>
  <si>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</si>
  <si>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</si>
  <si>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</si>
  <si>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</si>
  <si>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</si>
  <si>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</si>
  <si>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</si>
  <si>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</si>
  <si>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</si>
  <si>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</si>
  <si>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</si>
  <si>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</si>
  <si>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</si>
  <si>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</si>
  <si>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</si>
  <si>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</si>
  <si>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</si>
  <si>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</si>
  <si>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</si>
  <si>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</si>
  <si>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</si>
  <si>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</si>
  <si>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</si>
  <si>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</si>
  <si>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</si>
  <si>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</si>
  <si>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</si>
  <si>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</si>
  <si>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</si>
  <si>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</si>
  <si>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</si>
  <si>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</si>
  <si>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</si>
  <si>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</si>
  <si>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</si>
  <si>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</si>
  <si>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</si>
  <si>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</si>
  <si>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</si>
  <si>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</si>
  <si>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</si>
  <si>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</si>
  <si>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</si>
  <si>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</si>
  <si>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</si>
  <si>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</si>
  <si>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</si>
  <si>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</si>
  <si>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</si>
  <si>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</si>
  <si>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</si>
  <si>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</si>
  <si>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</si>
  <si>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</si>
  <si>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</si>
  <si>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</si>
  <si>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</si>
  <si>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</si>
  <si>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</si>
  <si>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</si>
  <si>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</si>
  <si>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</si>
  <si>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</si>
  <si>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</si>
  <si>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</si>
  <si>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</si>
  <si>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</si>
  <si>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</si>
  <si>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</si>
  <si>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</si>
  <si>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</si>
  <si>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</si>
  <si>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</si>
  <si>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</si>
  <si>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</si>
  <si>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</si>
  <si>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</si>
  <si>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</si>
  <si>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</si>
  <si>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</si>
  <si>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</si>
  <si>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</si>
  <si>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</si>
  <si>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</si>
  <si>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</si>
  <si>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</si>
  <si>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</si>
  <si>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</si>
  <si>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</si>
  <si>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</si>
  <si>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</si>
  <si>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</si>
  <si>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</si>
  <si>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</si>
  <si>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</si>
  <si>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</si>
  <si>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</si>
  <si>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</si>
  <si>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</si>
  <si>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</si>
  <si>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</si>
  <si>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</si>
  <si>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</si>
  <si>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</si>
  <si>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</si>
  <si>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</si>
  <si>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</si>
  <si>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</si>
  <si>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</si>
  <si>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</si>
  <si>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</si>
  <si>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</si>
  <si>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</si>
  <si>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</si>
  <si>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</si>
  <si>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</si>
  <si>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</si>
  <si>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</si>
  <si>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</si>
  <si>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</si>
  <si>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</si>
  <si>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</si>
  <si>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</si>
  <si>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</si>
  <si>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</si>
  <si>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</si>
  <si>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</si>
  <si>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</si>
  <si>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</si>
  <si>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</si>
  <si>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Xccy Basis Swap Conventions</t>
  </si>
  <si>
    <t>Known Leg</t>
  </si>
  <si>
    <t>Leg1Discount Unknown :
OIS is the initial guess</t>
  </si>
  <si>
    <t>Curve Loaded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</si>
  <si>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</si>
  <si>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</si>
  <si>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</si>
  <si>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</si>
  <si>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</si>
  <si>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</si>
  <si>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</si>
  <si>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</si>
  <si>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IndexName</t>
  </si>
  <si>
    <t>FromDate</t>
  </si>
  <si>
    <t>ToDate</t>
  </si>
  <si>
    <t>meCurveForwardRates</t>
  </si>
  <si>
    <t>Year Fraction</t>
  </si>
  <si>
    <t>meCurveForwardRatesFromYearFraction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</si>
  <si>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</si>
  <si>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STD:USD3ML</t>
  </si>
  <si>
    <t>simple</t>
  </si>
  <si>
    <t>ED2 COMB Comdty</t>
  </si>
  <si>
    <t>ED3 COMB Comdty</t>
  </si>
  <si>
    <t>ED4  COMB Comdty</t>
  </si>
  <si>
    <t>MeanReversion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</si>
  <si>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</si>
  <si>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</si>
  <si>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</si>
  <si>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</si>
  <si>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</si>
  <si>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</si>
  <si>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</si>
  <si>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</si>
  <si>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IsTimeInterpolation</t>
  </si>
  <si>
    <t>meCurveForwardRatesFromYearFraction(fromDateVec,yearFraction,curveCollection,curveIndex,dayCount,businessDayAdj,calendar,frequency)</t>
  </si>
  <si>
    <t>USD3ML</t>
  </si>
  <si>
    <t>isEomRoll</t>
  </si>
  <si>
    <t>EomDay</t>
  </si>
  <si>
    <t>Libor Fixing Table</t>
  </si>
  <si>
    <t>Money Market O/N and T/N Conventions</t>
  </si>
  <si>
    <t>isRenotionalAdjust</t>
  </si>
  <si>
    <t>Solving For
Leg1Discount</t>
  </si>
  <si>
    <t>USDOIS</t>
  </si>
  <si>
    <t>EURDF_USDCSA</t>
  </si>
  <si>
    <t>EURDF</t>
  </si>
  <si>
    <t>basis.interpolation</t>
  </si>
  <si>
    <t>meCurveForwardRatesFromForwardDates(fromDates,toDates, curveCollection,curveIndex,dayCount,businessDayAdj,calendar,frequency)</t>
  </si>
  <si>
    <r>
      <rPr>
        <sz val="18"/>
        <color rgb="FF0000FF"/>
        <rFont val="Calibri"/>
        <family val="2"/>
        <scheme val="minor"/>
      </rPr>
      <t>meCurveForwardRates</t>
    </r>
    <r>
      <rPr>
        <sz val="18"/>
        <color theme="1"/>
        <rFont val="Calibri"/>
        <family val="2"/>
        <scheme val="minor"/>
      </rPr>
      <t xml:space="preserve">( FixingDates, CurveCollection, CurveIndex ) </t>
    </r>
    <r>
      <rPr>
        <sz val="18"/>
        <color rgb="FFC00000"/>
        <rFont val="Calibri"/>
        <family val="2"/>
        <scheme val="minor"/>
      </rPr>
      <t>[NEW]</t>
    </r>
  </si>
  <si>
    <t>[NEW]</t>
  </si>
  <si>
    <t>Calnedar</t>
  </si>
  <si>
    <t>NYB:LNB</t>
  </si>
  <si>
    <t>Using Forward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</si>
</sst>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#,##0.00000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3" fillId="0" borderId="0" xfId="0" applyFont="1"/>
    <xf numFmtId="0" fontId="5" fillId="2" borderId="0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25" xfId="0" applyFill="1" applyBorder="1"/>
    <xf numFmtId="0" fontId="0" fillId="2" borderId="26" xfId="0" applyFill="1" applyBorder="1"/>
    <xf numFmtId="2" fontId="0" fillId="2" borderId="0" xfId="0" applyNumberFormat="1" applyFill="1" applyBorder="1"/>
    <xf numFmtId="0" fontId="0" fillId="0" borderId="1" xfId="0" applyFill="1" applyBorder="1"/>
    <xf numFmtId="0" fontId="9" fillId="0" borderId="1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11" xfId="0" applyFill="1" applyBorder="1"/>
    <xf numFmtId="0" fontId="5" fillId="0" borderId="0" xfId="0" applyFont="1" applyFill="1" applyBorder="1"/>
    <xf numFmtId="15" fontId="9" fillId="0" borderId="27" xfId="0" applyNumberFormat="1" applyFont="1" applyFill="1" applyBorder="1" applyAlignment="1">
      <alignment horizontal="center" vertical="center"/>
    </xf>
    <xf numFmtId="15" fontId="9" fillId="0" borderId="28" xfId="0" applyNumberFormat="1" applyFont="1" applyFill="1" applyBorder="1" applyAlignment="1">
      <alignment horizontal="center" vertical="center"/>
    </xf>
    <xf numFmtId="16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65" fontId="9" fillId="0" borderId="31" xfId="0" applyNumberFormat="1" applyFont="1" applyFill="1" applyBorder="1" applyAlignment="1">
      <alignment horizontal="center" vertical="center"/>
    </xf>
    <xf numFmtId="15" fontId="9" fillId="0" borderId="32" xfId="0" applyNumberFormat="1" applyFont="1" applyFill="1" applyBorder="1" applyAlignment="1">
      <alignment horizontal="center" vertical="center"/>
    </xf>
    <xf numFmtId="15" fontId="9" fillId="0" borderId="33" xfId="0" applyNumberFormat="1" applyFont="1" applyFill="1" applyBorder="1" applyAlignment="1">
      <alignment horizontal="center" vertical="center"/>
    </xf>
    <xf numFmtId="165" fontId="9" fillId="0" borderId="34" xfId="0" applyNumberFormat="1" applyFont="1" applyFill="1" applyBorder="1" applyAlignment="1">
      <alignment horizontal="center" vertical="center"/>
    </xf>
    <xf numFmtId="167" fontId="9" fillId="0" borderId="28" xfId="0" applyNumberFormat="1" applyFont="1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 vertical="center"/>
    </xf>
    <xf numFmtId="167" fontId="9" fillId="0" borderId="33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165" fontId="9" fillId="0" borderId="28" xfId="0" applyNumberFormat="1" applyFont="1" applyFill="1" applyBorder="1" applyAlignment="1">
      <alignment horizontal="center" vertical="center"/>
    </xf>
    <xf numFmtId="165" fontId="9" fillId="0" borderId="33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165" fontId="27" fillId="2" borderId="0" xfId="0" applyNumberFormat="1" applyFont="1" applyFill="1" applyBorder="1" applyAlignment="1">
      <alignment horizontal="center" vertical="center"/>
    </xf>
    <xf numFmtId="165" fontId="9" fillId="0" borderId="35" xfId="0" applyNumberFormat="1" applyFont="1" applyFill="1" applyBorder="1" applyAlignment="1">
      <alignment horizontal="center" vertical="center"/>
    </xf>
    <xf numFmtId="0" fontId="0" fillId="2" borderId="33" xfId="0" applyFill="1" applyBorder="1"/>
    <xf numFmtId="0" fontId="0" fillId="2" borderId="36" xfId="0" applyFill="1" applyBorder="1"/>
    <xf numFmtId="0" fontId="21" fillId="0" borderId="16" xfId="0" applyFont="1" applyFill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zoomScaleNormal="10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252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251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251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(0.06200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6" t="s">
        <v>250</v>
      </c>
      <c r="D8" s="127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86</v>
      </c>
      <c r="D11" s="107" t="s">
        <v>232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85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87</v>
      </c>
      <c r="D13" s="110" t="s">
        <v>235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68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68</v>
      </c>
      <c r="D19" s="47"/>
      <c r="E19" s="7"/>
      <c r="F19" s="50" t="s">
        <v>79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80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234</v>
      </c>
      <c r="E21" s="7"/>
      <c r="F21" s="17" t="s">
        <v>81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82</v>
      </c>
      <c r="E22" s="7"/>
      <c r="F22" s="17" t="s">
        <v>82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83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84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77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70</v>
      </c>
      <c r="G30" s="10"/>
      <c r="H30" s="10"/>
      <c r="I30" s="10"/>
      <c r="J30" s="10"/>
      <c r="K30" s="10"/>
      <c r="L30" s="49" t="s">
        <v>72</v>
      </c>
      <c r="M30" s="10"/>
      <c r="N30" s="55"/>
    </row>
    <row r="31" spans="2:14" x14ac:dyDescent="0.25">
      <c r="B31" s="5"/>
      <c r="C31" s="27" t="s">
        <v>3</v>
      </c>
      <c r="D31" s="34" t="s">
        <v>233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73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44</v>
      </c>
      <c r="G32" s="19">
        <v>3.7000000000000002E-3</v>
      </c>
      <c r="H32" s="20" t="s">
        <v>35</v>
      </c>
      <c r="I32" s="20" t="s">
        <v>35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236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31</v>
      </c>
      <c r="D34" s="35" t="s">
        <v>32</v>
      </c>
      <c r="E34" s="9"/>
      <c r="F34" s="24" t="s">
        <v>237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238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33</v>
      </c>
      <c r="D36" s="35" t="s">
        <v>34</v>
      </c>
      <c r="E36" s="9"/>
      <c r="F36" s="24" t="s">
        <v>239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240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36</v>
      </c>
      <c r="D38" s="35" t="s">
        <v>37</v>
      </c>
      <c r="E38" s="9"/>
      <c r="F38" s="24" t="s">
        <v>241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283</v>
      </c>
      <c r="D39" s="35" t="b">
        <v>1</v>
      </c>
      <c r="E39" s="9"/>
      <c r="F39" s="24" t="s">
        <v>242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284</v>
      </c>
      <c r="D40" s="35">
        <v>31</v>
      </c>
      <c r="E40" s="9"/>
      <c r="F40" s="24" t="s">
        <v>243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36</v>
      </c>
      <c r="D41" s="108" t="s">
        <v>37</v>
      </c>
      <c r="E41" s="9"/>
      <c r="F41" s="24" t="s">
        <v>244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38</v>
      </c>
      <c r="D42" s="108" t="s">
        <v>39</v>
      </c>
      <c r="E42" s="9"/>
      <c r="F42" s="24" t="s">
        <v>45</v>
      </c>
      <c r="G42" s="19">
        <v>6.6E-3</v>
      </c>
      <c r="H42" s="20" t="s">
        <v>35</v>
      </c>
      <c r="I42" s="20" t="s">
        <v>35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40</v>
      </c>
      <c r="D43" s="108" t="s">
        <v>41</v>
      </c>
      <c r="E43" s="9"/>
      <c r="F43" s="24" t="s">
        <v>41</v>
      </c>
      <c r="G43" s="19">
        <v>7.7600000000000004E-3</v>
      </c>
      <c r="H43" s="20" t="s">
        <v>35</v>
      </c>
      <c r="I43" s="20" t="s">
        <v>35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42</v>
      </c>
      <c r="D44" s="108" t="s">
        <v>43</v>
      </c>
      <c r="E44" s="9"/>
      <c r="F44" s="24" t="s">
        <v>48</v>
      </c>
      <c r="G44" s="19">
        <v>8.8000000000000005E-3</v>
      </c>
      <c r="H44" s="20" t="s">
        <v>35</v>
      </c>
      <c r="I44" s="20" t="s">
        <v>35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133</v>
      </c>
      <c r="D45" s="115">
        <v>1E-10</v>
      </c>
      <c r="E45" s="9"/>
      <c r="F45" s="24" t="s">
        <v>50</v>
      </c>
      <c r="G45" s="19">
        <v>9.7900000000000001E-3</v>
      </c>
      <c r="H45" s="20" t="s">
        <v>35</v>
      </c>
      <c r="I45" s="20" t="s">
        <v>35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134</v>
      </c>
      <c r="D46" s="106">
        <v>1000</v>
      </c>
      <c r="E46" s="9"/>
      <c r="F46" s="24" t="s">
        <v>52</v>
      </c>
      <c r="G46" s="19">
        <v>1.072E-2</v>
      </c>
      <c r="H46" s="20" t="s">
        <v>35</v>
      </c>
      <c r="I46" s="20" t="s">
        <v>35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28" t="s">
        <v>36</v>
      </c>
      <c r="D47" s="108" t="s">
        <v>37</v>
      </c>
      <c r="E47" s="9"/>
      <c r="F47" s="24" t="s">
        <v>54</v>
      </c>
      <c r="G47" s="19">
        <v>1.159E-2</v>
      </c>
      <c r="H47" s="20" t="s">
        <v>35</v>
      </c>
      <c r="I47" s="20" t="s">
        <v>35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59</v>
      </c>
      <c r="G48" s="19">
        <v>1.371E-2</v>
      </c>
      <c r="H48" s="20" t="s">
        <v>35</v>
      </c>
      <c r="I48" s="20" t="s">
        <v>35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61</v>
      </c>
      <c r="G49" s="19">
        <v>1.482E-2</v>
      </c>
      <c r="H49" s="20" t="s">
        <v>35</v>
      </c>
      <c r="I49" s="20" t="s">
        <v>35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62</v>
      </c>
      <c r="G50" s="19">
        <v>1.6E-2</v>
      </c>
      <c r="H50" s="20" t="s">
        <v>35</v>
      </c>
      <c r="I50" s="20" t="s">
        <v>35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63</v>
      </c>
      <c r="G51" s="19">
        <v>1.72E-2</v>
      </c>
      <c r="H51" s="20" t="s">
        <v>35</v>
      </c>
      <c r="I51" s="20" t="s">
        <v>35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64</v>
      </c>
      <c r="G52" s="19">
        <v>1.7780000000000001E-2</v>
      </c>
      <c r="H52" s="20" t="s">
        <v>35</v>
      </c>
      <c r="I52" s="20" t="s">
        <v>35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65</v>
      </c>
      <c r="G53" s="19">
        <v>1.813E-2</v>
      </c>
      <c r="H53" s="20" t="s">
        <v>35</v>
      </c>
      <c r="I53" s="20" t="s">
        <v>35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76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69</v>
      </c>
      <c r="D63" s="10"/>
      <c r="E63" s="10"/>
      <c r="F63" s="49" t="s">
        <v>71</v>
      </c>
      <c r="G63" s="10"/>
      <c r="H63" s="10"/>
      <c r="I63" s="49" t="s">
        <v>74</v>
      </c>
      <c r="J63" s="10"/>
      <c r="K63" s="10"/>
      <c r="L63" s="49" t="s">
        <v>75</v>
      </c>
      <c r="M63" s="10"/>
      <c r="N63" s="55"/>
    </row>
    <row r="64" spans="2:14" x14ac:dyDescent="0.25">
      <c r="B64" s="5"/>
      <c r="C64" s="27" t="s">
        <v>1</v>
      </c>
      <c r="D64" s="34" t="s">
        <v>245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245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45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45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41</v>
      </c>
      <c r="G66" s="51">
        <v>2.7799999999999999E-3</v>
      </c>
      <c r="H66" s="10"/>
      <c r="I66" s="28" t="s">
        <v>29</v>
      </c>
      <c r="J66" s="35" t="s">
        <v>246</v>
      </c>
      <c r="K66" s="10"/>
      <c r="L66" s="24" t="s">
        <v>41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48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48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50</v>
      </c>
      <c r="G68" s="51">
        <v>3.0600000000000002E-3</v>
      </c>
      <c r="H68" s="10"/>
      <c r="I68" s="28"/>
      <c r="J68" s="35"/>
      <c r="K68" s="10"/>
      <c r="L68" s="24" t="s">
        <v>50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52</v>
      </c>
      <c r="G69" s="51">
        <v>3.1899999999999997E-3</v>
      </c>
      <c r="H69" s="10"/>
      <c r="I69" s="29"/>
      <c r="J69" s="35"/>
      <c r="K69" s="10"/>
      <c r="L69" s="24" t="s">
        <v>52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54</v>
      </c>
      <c r="G70" s="51">
        <v>3.29E-3</v>
      </c>
      <c r="H70" s="10"/>
      <c r="I70" s="30"/>
      <c r="J70" s="36"/>
      <c r="K70" s="10"/>
      <c r="L70" s="24" t="s">
        <v>54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59</v>
      </c>
      <c r="G71" s="51">
        <v>3.4700000000000004E-3</v>
      </c>
      <c r="H71" s="10"/>
      <c r="I71" s="28"/>
      <c r="J71" s="35"/>
      <c r="K71" s="10"/>
      <c r="L71" s="24" t="s">
        <v>59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61</v>
      </c>
      <c r="G72" s="51">
        <v>3.5200000000000001E-3</v>
      </c>
      <c r="H72" s="10"/>
      <c r="I72" s="28"/>
      <c r="J72" s="35"/>
      <c r="K72" s="10"/>
      <c r="L72" s="24" t="s">
        <v>61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62</v>
      </c>
      <c r="G73" s="51">
        <v>3.5700000000000003E-3</v>
      </c>
      <c r="H73" s="10"/>
      <c r="I73" s="28"/>
      <c r="J73" s="35"/>
      <c r="K73" s="10"/>
      <c r="L73" s="24" t="s">
        <v>62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63</v>
      </c>
      <c r="G74" s="51">
        <v>3.6200000000000004E-3</v>
      </c>
      <c r="H74" s="10"/>
      <c r="I74" s="28"/>
      <c r="J74" s="35"/>
      <c r="K74" s="10"/>
      <c r="L74" s="24" t="s">
        <v>63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64</v>
      </c>
      <c r="G75" s="51">
        <v>3.64E-3</v>
      </c>
      <c r="H75" s="10"/>
      <c r="I75" s="28"/>
      <c r="J75" s="35"/>
      <c r="K75" s="10"/>
      <c r="L75" s="24" t="s">
        <v>64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65</v>
      </c>
      <c r="G76" s="51">
        <v>3.65E-3</v>
      </c>
      <c r="H76" s="10"/>
      <c r="I76" s="29"/>
      <c r="J76" s="35"/>
      <c r="K76" s="10"/>
      <c r="L76" s="24" t="s">
        <v>65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2"/>
  <sheetViews>
    <sheetView showGridLines="0" workbookViewId="0"/>
  </sheetViews>
  <sheetFormatPr defaultRowHeight="15" x14ac:dyDescent="0.25"/>
  <cols>
    <col min="2" max="2" width="2.7109375" customWidth="1"/>
    <col min="3" max="3" width="22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265</v>
      </c>
    </row>
    <row r="5" spans="2:12" x14ac:dyDescent="0.25">
      <c r="B5" s="56" t="s">
        <v>254</v>
      </c>
    </row>
    <row r="6" spans="2:12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4"/>
    </row>
    <row r="7" spans="2:12" x14ac:dyDescent="0.25">
      <c r="B7" s="5"/>
      <c r="C7" s="64" t="s">
        <v>254</v>
      </c>
      <c r="D7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(0.03100 sec)</v>
      </c>
      <c r="E7" s="62"/>
      <c r="F7" s="63"/>
      <c r="G7" s="7"/>
      <c r="H7" s="7"/>
      <c r="I7" s="7"/>
      <c r="J7" s="7"/>
      <c r="K7" s="7"/>
      <c r="L7" s="8"/>
    </row>
    <row r="8" spans="2:12" x14ac:dyDescent="0.25">
      <c r="B8" s="5"/>
      <c r="C8" s="126" t="s">
        <v>250</v>
      </c>
      <c r="D8" s="127" t="b">
        <f ca="1">LEFT(D7,9)="USDYC STD"</f>
        <v>1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7"/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6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48" t="s">
        <v>0</v>
      </c>
      <c r="D11" s="57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27" t="s">
        <v>86</v>
      </c>
      <c r="D12" s="107" t="s">
        <v>232</v>
      </c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8" t="s">
        <v>85</v>
      </c>
      <c r="D13" s="108" t="s">
        <v>88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59" t="s">
        <v>87</v>
      </c>
      <c r="D14" s="110" t="s">
        <v>266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/>
      <c r="L14" s="8" t="s">
        <v>4</v>
      </c>
    </row>
    <row r="15" spans="2:12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3"/>
    </row>
    <row r="18" spans="2:12" x14ac:dyDescent="0.25">
      <c r="B18" s="56" t="s">
        <v>68</v>
      </c>
    </row>
    <row r="19" spans="2:12" x14ac:dyDescent="0.25">
      <c r="B19" s="2"/>
      <c r="C19" s="45"/>
      <c r="D19" s="46"/>
      <c r="E19" s="3"/>
      <c r="F19" s="3"/>
      <c r="G19" s="3"/>
      <c r="H19" s="66"/>
      <c r="I19" s="3"/>
      <c r="J19" s="3"/>
      <c r="K19" s="3"/>
      <c r="L19" s="4"/>
    </row>
    <row r="20" spans="2:12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7"/>
      <c r="J20" s="7"/>
      <c r="K20" s="7"/>
      <c r="L20" s="8"/>
    </row>
    <row r="21" spans="2:12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7"/>
      <c r="J21" s="7"/>
      <c r="K21" s="7"/>
      <c r="L21" s="8"/>
    </row>
    <row r="22" spans="2:12" x14ac:dyDescent="0.25">
      <c r="B22" s="5"/>
      <c r="C22" s="28" t="s">
        <v>16</v>
      </c>
      <c r="D22" s="108" t="s">
        <v>234</v>
      </c>
      <c r="E22" s="7"/>
      <c r="F22" s="17" t="s">
        <v>81</v>
      </c>
      <c r="G22" s="18"/>
      <c r="H22" s="7"/>
      <c r="I22" s="7"/>
      <c r="J22" s="7"/>
      <c r="K22" s="7"/>
      <c r="L22" s="8"/>
    </row>
    <row r="23" spans="2:12" x14ac:dyDescent="0.25">
      <c r="B23" s="5"/>
      <c r="C23" s="29" t="s">
        <v>90</v>
      </c>
      <c r="D23" s="111" t="s">
        <v>82</v>
      </c>
      <c r="E23" s="7"/>
      <c r="F23" s="17" t="s">
        <v>82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24</v>
      </c>
      <c r="D24" s="111" t="s">
        <v>82</v>
      </c>
      <c r="E24" s="7"/>
      <c r="F24" s="17" t="s">
        <v>83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92</v>
      </c>
      <c r="D25" s="108" t="b">
        <v>0</v>
      </c>
      <c r="E25" s="7"/>
      <c r="F25" s="17" t="s">
        <v>84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91</v>
      </c>
      <c r="D26" s="108" t="b">
        <v>1</v>
      </c>
      <c r="E26" s="7"/>
      <c r="F26" s="17"/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27</v>
      </c>
      <c r="D27" s="108" t="s">
        <v>28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93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44"/>
      <c r="D30" s="110"/>
      <c r="E30" s="7"/>
      <c r="F30" s="21"/>
      <c r="G30" s="22"/>
      <c r="H30" s="7"/>
      <c r="I30" s="7"/>
      <c r="J30" s="7"/>
      <c r="K30" s="7"/>
      <c r="L30" s="8"/>
    </row>
    <row r="31" spans="2:12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3"/>
    </row>
    <row r="34" spans="2:12" x14ac:dyDescent="0.25">
      <c r="B34" s="56" t="s">
        <v>94</v>
      </c>
    </row>
    <row r="35" spans="2:12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x14ac:dyDescent="0.25">
      <c r="B36" s="5"/>
      <c r="C36" s="49" t="s">
        <v>286</v>
      </c>
      <c r="D36" s="10"/>
      <c r="E36" s="10"/>
      <c r="F36" s="49" t="s">
        <v>101</v>
      </c>
      <c r="G36" s="10"/>
      <c r="H36" s="10"/>
      <c r="I36" s="49" t="s">
        <v>285</v>
      </c>
      <c r="J36" s="10"/>
      <c r="K36" s="10"/>
      <c r="L36" s="55"/>
    </row>
    <row r="37" spans="2:12" x14ac:dyDescent="0.25">
      <c r="B37" s="5"/>
      <c r="C37" s="27" t="s">
        <v>3</v>
      </c>
      <c r="D37" s="34" t="s">
        <v>233</v>
      </c>
      <c r="E37" s="7"/>
      <c r="F37" s="27" t="s">
        <v>3</v>
      </c>
      <c r="G37" s="34" t="s">
        <v>245</v>
      </c>
      <c r="H37" s="10"/>
      <c r="I37" s="78" t="s">
        <v>11</v>
      </c>
      <c r="J37" s="78" t="s">
        <v>12</v>
      </c>
      <c r="K37" s="78"/>
      <c r="L37" s="55"/>
    </row>
    <row r="38" spans="2:12" x14ac:dyDescent="0.25">
      <c r="B38" s="5"/>
      <c r="C38" s="28" t="s">
        <v>7</v>
      </c>
      <c r="D38" s="35" t="s">
        <v>146</v>
      </c>
      <c r="E38" s="9"/>
      <c r="F38" s="30" t="s">
        <v>7</v>
      </c>
      <c r="G38" s="69" t="s">
        <v>146</v>
      </c>
      <c r="H38" s="10"/>
      <c r="I38" s="71" t="s">
        <v>183</v>
      </c>
      <c r="J38" s="75">
        <v>4.3179999999999998E-3</v>
      </c>
      <c r="K38" s="78"/>
      <c r="L38" s="55"/>
    </row>
    <row r="39" spans="2:12" x14ac:dyDescent="0.25">
      <c r="B39" s="5"/>
      <c r="C39" s="28" t="s">
        <v>23</v>
      </c>
      <c r="D39" s="68" t="s">
        <v>97</v>
      </c>
      <c r="E39" s="9"/>
      <c r="F39" s="29" t="s">
        <v>25</v>
      </c>
      <c r="G39" s="35" t="s">
        <v>267</v>
      </c>
      <c r="H39" s="10"/>
      <c r="I39" s="72" t="s">
        <v>167</v>
      </c>
      <c r="J39" s="76">
        <v>6.2459999999999998E-3</v>
      </c>
      <c r="K39" s="78"/>
      <c r="L39" s="55"/>
    </row>
    <row r="40" spans="2:12" x14ac:dyDescent="0.25">
      <c r="B40" s="5"/>
      <c r="C40" s="28"/>
      <c r="D40" s="35"/>
      <c r="E40" s="9"/>
      <c r="F40" s="29" t="s">
        <v>15</v>
      </c>
      <c r="G40" s="69" t="s">
        <v>121</v>
      </c>
      <c r="H40" s="10"/>
      <c r="I40" s="72" t="s">
        <v>102</v>
      </c>
      <c r="J40" s="76">
        <v>8.9814999999999999E-3</v>
      </c>
      <c r="K40" s="78"/>
      <c r="L40" s="55"/>
    </row>
    <row r="41" spans="2:12" x14ac:dyDescent="0.25">
      <c r="B41" s="5"/>
      <c r="C41" s="28"/>
      <c r="D41" s="35"/>
      <c r="E41" s="9"/>
      <c r="F41" s="29" t="s">
        <v>23</v>
      </c>
      <c r="G41" s="68" t="s">
        <v>22</v>
      </c>
      <c r="H41" s="10"/>
      <c r="I41" s="72" t="s">
        <v>55</v>
      </c>
      <c r="J41" s="76">
        <v>1.21365E-2</v>
      </c>
      <c r="K41" s="78"/>
      <c r="L41" s="55"/>
    </row>
    <row r="42" spans="2:12" x14ac:dyDescent="0.25">
      <c r="B42" s="5"/>
      <c r="C42" s="33"/>
      <c r="D42" s="40"/>
      <c r="E42" s="9"/>
      <c r="F42" s="44"/>
      <c r="G42" s="70"/>
      <c r="H42" s="10"/>
      <c r="I42" s="73"/>
      <c r="J42" s="77"/>
      <c r="K42" s="78"/>
      <c r="L42" s="55"/>
    </row>
    <row r="43" spans="2:12" x14ac:dyDescent="0.25">
      <c r="B43" s="5"/>
      <c r="C43" s="9"/>
      <c r="D43" s="9"/>
      <c r="E43" s="9"/>
      <c r="F43" s="10"/>
      <c r="G43" s="10"/>
      <c r="H43" s="10"/>
      <c r="I43" s="10" t="s">
        <v>184</v>
      </c>
      <c r="J43" s="10"/>
      <c r="K43" s="10"/>
      <c r="L43" s="55"/>
    </row>
    <row r="44" spans="2:12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7" spans="2:12" x14ac:dyDescent="0.25">
      <c r="B47" s="56" t="s">
        <v>103</v>
      </c>
    </row>
    <row r="48" spans="2:12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25">
      <c r="B49" s="5"/>
      <c r="C49" s="49" t="s">
        <v>104</v>
      </c>
      <c r="D49" s="10"/>
      <c r="E49" s="10"/>
      <c r="F49" s="49" t="s">
        <v>135</v>
      </c>
      <c r="G49" s="10"/>
      <c r="H49" s="10"/>
      <c r="I49" s="49" t="s">
        <v>136</v>
      </c>
      <c r="J49" s="10"/>
      <c r="K49" s="10"/>
      <c r="L49" s="55"/>
    </row>
    <row r="50" spans="2:12" x14ac:dyDescent="0.25">
      <c r="B50" s="5"/>
      <c r="C50" s="27"/>
      <c r="D50" s="34"/>
      <c r="E50" s="7"/>
      <c r="F50" s="78" t="s">
        <v>11</v>
      </c>
      <c r="G50" s="78" t="s">
        <v>12</v>
      </c>
      <c r="H50" s="10"/>
      <c r="I50" s="78" t="s">
        <v>11</v>
      </c>
      <c r="J50" s="78" t="s">
        <v>12</v>
      </c>
      <c r="K50" s="78"/>
      <c r="L50" s="55"/>
    </row>
    <row r="51" spans="2:12" x14ac:dyDescent="0.25">
      <c r="B51" s="5"/>
      <c r="C51" s="28"/>
      <c r="D51" s="35"/>
      <c r="E51" s="9"/>
      <c r="F51" s="71"/>
      <c r="G51" s="75"/>
      <c r="H51" s="10"/>
      <c r="I51" s="71"/>
      <c r="J51" s="75"/>
      <c r="K51" s="78"/>
      <c r="L51" s="55"/>
    </row>
    <row r="52" spans="2:12" x14ac:dyDescent="0.25">
      <c r="B52" s="5"/>
      <c r="C52" s="28"/>
      <c r="D52" s="35"/>
      <c r="E52" s="9"/>
      <c r="F52" s="72"/>
      <c r="G52" s="76"/>
      <c r="H52" s="10"/>
      <c r="I52" s="72"/>
      <c r="J52" s="76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33"/>
      <c r="D63" s="40"/>
      <c r="E63" s="9"/>
      <c r="F63" s="73"/>
      <c r="G63" s="77"/>
      <c r="H63" s="10"/>
      <c r="I63" s="73"/>
      <c r="J63" s="77"/>
      <c r="K63" s="78"/>
      <c r="L63" s="55"/>
    </row>
    <row r="64" spans="2:12" x14ac:dyDescent="0.25">
      <c r="B64" s="5"/>
      <c r="C64" s="9"/>
      <c r="D64" s="9"/>
      <c r="E64" s="9"/>
      <c r="F64" s="10"/>
      <c r="G64" s="10"/>
      <c r="H64" s="10"/>
      <c r="I64" s="10"/>
      <c r="J64" s="10"/>
      <c r="K64" s="78"/>
      <c r="L64" s="55"/>
    </row>
    <row r="65" spans="2:12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8" spans="2:12" x14ac:dyDescent="0.25">
      <c r="B68" s="56" t="s">
        <v>119</v>
      </c>
    </row>
    <row r="69" spans="2:12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4"/>
    </row>
    <row r="70" spans="2:12" x14ac:dyDescent="0.25">
      <c r="B70" s="5"/>
      <c r="C70" s="49" t="s">
        <v>120</v>
      </c>
      <c r="D70" s="10"/>
      <c r="E70" s="10"/>
      <c r="F70" s="49" t="s">
        <v>123</v>
      </c>
      <c r="G70" s="10"/>
      <c r="H70" s="10"/>
      <c r="I70" s="10"/>
      <c r="J70" s="10"/>
      <c r="K70" s="10"/>
      <c r="L70" s="55"/>
    </row>
    <row r="71" spans="2:12" x14ac:dyDescent="0.25">
      <c r="B71" s="5"/>
      <c r="C71" s="27" t="s">
        <v>3</v>
      </c>
      <c r="D71" s="34" t="s">
        <v>233</v>
      </c>
      <c r="E71" s="7"/>
      <c r="F71" s="97" t="s">
        <v>137</v>
      </c>
      <c r="G71" s="97" t="s">
        <v>13</v>
      </c>
      <c r="H71" s="97" t="s">
        <v>14</v>
      </c>
      <c r="I71" s="97" t="s">
        <v>12</v>
      </c>
      <c r="J71" s="97" t="s">
        <v>122</v>
      </c>
      <c r="K71" s="10"/>
      <c r="L71" s="55"/>
    </row>
    <row r="72" spans="2:12" x14ac:dyDescent="0.25">
      <c r="B72" s="5"/>
      <c r="C72" s="28" t="s">
        <v>7</v>
      </c>
      <c r="D72" s="35" t="s">
        <v>146</v>
      </c>
      <c r="E72" s="9"/>
      <c r="F72" s="83" t="s">
        <v>268</v>
      </c>
      <c r="G72" s="80">
        <v>42634</v>
      </c>
      <c r="H72" s="80">
        <v>42725</v>
      </c>
      <c r="I72" s="81">
        <v>99.17</v>
      </c>
      <c r="J72" s="82">
        <v>8.9999999999999993E-3</v>
      </c>
      <c r="K72" s="10"/>
      <c r="L72" s="55"/>
    </row>
    <row r="73" spans="2:12" x14ac:dyDescent="0.25">
      <c r="B73" s="5"/>
      <c r="C73" s="28" t="s">
        <v>15</v>
      </c>
      <c r="D73" s="35" t="s">
        <v>121</v>
      </c>
      <c r="E73" s="9"/>
      <c r="F73" s="84" t="s">
        <v>269</v>
      </c>
      <c r="G73" s="85">
        <v>42725</v>
      </c>
      <c r="H73" s="85">
        <v>42809</v>
      </c>
      <c r="I73" s="86">
        <v>99.085000000000008</v>
      </c>
      <c r="J73" s="87">
        <v>8.9999999999999993E-3</v>
      </c>
      <c r="K73" s="10"/>
      <c r="L73" s="55"/>
    </row>
    <row r="74" spans="2:12" x14ac:dyDescent="0.25">
      <c r="B74" s="5"/>
      <c r="C74" s="28" t="s">
        <v>23</v>
      </c>
      <c r="D74" s="105" t="s">
        <v>22</v>
      </c>
      <c r="E74" s="9"/>
      <c r="F74" s="84" t="s">
        <v>270</v>
      </c>
      <c r="G74" s="85">
        <v>42809</v>
      </c>
      <c r="H74" s="85">
        <v>42907</v>
      </c>
      <c r="I74" s="86">
        <v>99.025000000000006</v>
      </c>
      <c r="J74" s="87">
        <v>8.9999999999999993E-3</v>
      </c>
      <c r="K74" s="10"/>
      <c r="L74" s="55"/>
    </row>
    <row r="75" spans="2:12" x14ac:dyDescent="0.25">
      <c r="B75" s="5"/>
      <c r="C75" s="28" t="s">
        <v>271</v>
      </c>
      <c r="D75" s="74">
        <v>0.03</v>
      </c>
      <c r="E75" s="9"/>
      <c r="F75" s="84" t="s">
        <v>272</v>
      </c>
      <c r="G75" s="85">
        <v>42907</v>
      </c>
      <c r="H75" s="85">
        <v>42998</v>
      </c>
      <c r="I75" s="86">
        <v>98.960000000000008</v>
      </c>
      <c r="J75" s="87">
        <v>8.9999999999999993E-3</v>
      </c>
      <c r="K75" s="10"/>
      <c r="L75" s="55"/>
    </row>
    <row r="76" spans="2:12" x14ac:dyDescent="0.25">
      <c r="B76" s="5"/>
      <c r="C76" s="28" t="s">
        <v>106</v>
      </c>
      <c r="D76" s="35" t="b">
        <v>1</v>
      </c>
      <c r="E76" s="9"/>
      <c r="F76" s="84" t="s">
        <v>273</v>
      </c>
      <c r="G76" s="85">
        <v>42998</v>
      </c>
      <c r="H76" s="85">
        <v>43089</v>
      </c>
      <c r="I76" s="86">
        <v>98.885000000000005</v>
      </c>
      <c r="J76" s="87">
        <v>8.9999999999999993E-3</v>
      </c>
      <c r="K76" s="10"/>
      <c r="L76" s="55"/>
    </row>
    <row r="77" spans="2:12" x14ac:dyDescent="0.25">
      <c r="B77" s="5"/>
      <c r="C77" s="28" t="s">
        <v>107</v>
      </c>
      <c r="D77" s="35">
        <v>2</v>
      </c>
      <c r="E77" s="9"/>
      <c r="F77" s="84" t="s">
        <v>274</v>
      </c>
      <c r="G77" s="85">
        <v>43089</v>
      </c>
      <c r="H77" s="85">
        <v>43180</v>
      </c>
      <c r="I77" s="86">
        <v>98.81</v>
      </c>
      <c r="J77" s="87">
        <v>8.9999999999999993E-3</v>
      </c>
      <c r="K77" s="10"/>
      <c r="L77" s="55"/>
    </row>
    <row r="78" spans="2:12" x14ac:dyDescent="0.25">
      <c r="B78" s="5"/>
      <c r="C78" s="28"/>
      <c r="D78" s="35"/>
      <c r="E78" s="9"/>
      <c r="F78" s="84" t="s">
        <v>275</v>
      </c>
      <c r="G78" s="85">
        <v>43180</v>
      </c>
      <c r="H78" s="85">
        <v>43271</v>
      </c>
      <c r="I78" s="86">
        <v>98.75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276</v>
      </c>
      <c r="G79" s="85">
        <v>43271</v>
      </c>
      <c r="H79" s="85">
        <v>43362</v>
      </c>
      <c r="I79" s="86">
        <v>98.68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8" t="s">
        <v>277</v>
      </c>
      <c r="G80" s="85">
        <v>43362</v>
      </c>
      <c r="H80" s="85">
        <v>43453</v>
      </c>
      <c r="I80" s="89">
        <v>98.615000000000009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90" t="s">
        <v>278</v>
      </c>
      <c r="G81" s="91">
        <v>43453</v>
      </c>
      <c r="H81" s="91">
        <v>43544</v>
      </c>
      <c r="I81" s="89">
        <v>98.54</v>
      </c>
      <c r="J81" s="92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279</v>
      </c>
      <c r="G82" s="91">
        <v>43544</v>
      </c>
      <c r="H82" s="91">
        <v>43635</v>
      </c>
      <c r="I82" s="89">
        <v>98.484999999999999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33"/>
      <c r="D84" s="40"/>
      <c r="E84" s="9"/>
      <c r="F84" s="93"/>
      <c r="G84" s="94"/>
      <c r="H84" s="94"/>
      <c r="I84" s="95"/>
      <c r="J84" s="96"/>
      <c r="K84" s="10"/>
      <c r="L84" s="55"/>
    </row>
    <row r="85" spans="2:12" x14ac:dyDescent="0.25">
      <c r="B85" s="5"/>
      <c r="C85" s="9"/>
      <c r="D85" s="9"/>
      <c r="E85" s="9"/>
      <c r="F85" s="10"/>
      <c r="G85" s="10"/>
      <c r="H85" s="10"/>
      <c r="I85" s="10"/>
      <c r="J85" s="10"/>
      <c r="K85" s="10"/>
      <c r="L85" s="55"/>
    </row>
    <row r="86" spans="2:12" x14ac:dyDescent="0.25"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9" spans="2:12" x14ac:dyDescent="0.25">
      <c r="B89" s="56" t="s">
        <v>124</v>
      </c>
    </row>
    <row r="90" spans="2:12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4"/>
    </row>
    <row r="91" spans="2:12" x14ac:dyDescent="0.25">
      <c r="B91" s="5"/>
      <c r="C91" s="49" t="s">
        <v>125</v>
      </c>
      <c r="D91" s="10"/>
      <c r="E91" s="10"/>
      <c r="F91" s="49" t="s">
        <v>126</v>
      </c>
      <c r="G91" s="10"/>
      <c r="H91" s="10"/>
      <c r="I91" s="10"/>
      <c r="J91" s="10"/>
      <c r="K91" s="10"/>
      <c r="L91" s="55"/>
    </row>
    <row r="92" spans="2:12" x14ac:dyDescent="0.25">
      <c r="B92" s="5"/>
      <c r="C92" s="102" t="s">
        <v>1</v>
      </c>
      <c r="D92" s="34" t="s">
        <v>245</v>
      </c>
      <c r="E92" s="7"/>
      <c r="F92" s="78" t="s">
        <v>11</v>
      </c>
      <c r="G92" s="78" t="s">
        <v>12</v>
      </c>
      <c r="H92" s="78" t="s">
        <v>8</v>
      </c>
      <c r="I92" s="10"/>
      <c r="J92" s="10"/>
      <c r="K92" s="10"/>
      <c r="L92" s="55"/>
    </row>
    <row r="93" spans="2:12" x14ac:dyDescent="0.25">
      <c r="B93" s="5"/>
      <c r="C93" s="103" t="s">
        <v>95</v>
      </c>
      <c r="D93" s="35" t="s">
        <v>20</v>
      </c>
      <c r="E93" s="9"/>
      <c r="F93" s="101" t="s">
        <v>50</v>
      </c>
      <c r="G93" s="98">
        <v>1.3004999999999999E-2</v>
      </c>
      <c r="H93" s="75" t="b">
        <v>1</v>
      </c>
      <c r="I93" s="10"/>
      <c r="J93" s="10"/>
      <c r="K93" s="10"/>
      <c r="L93" s="55"/>
    </row>
    <row r="94" spans="2:12" x14ac:dyDescent="0.25">
      <c r="B94" s="5"/>
      <c r="C94" s="103" t="s">
        <v>127</v>
      </c>
      <c r="D94" s="35" t="s">
        <v>6</v>
      </c>
      <c r="E94" s="9"/>
      <c r="F94" s="24" t="s">
        <v>54</v>
      </c>
      <c r="G94" s="99">
        <v>1.502E-2</v>
      </c>
      <c r="H94" s="76" t="b">
        <v>1</v>
      </c>
      <c r="I94" s="10"/>
      <c r="J94" s="10"/>
      <c r="K94" s="10"/>
      <c r="L94" s="55"/>
    </row>
    <row r="95" spans="2:12" x14ac:dyDescent="0.25">
      <c r="B95" s="5"/>
      <c r="C95" s="103" t="s">
        <v>27</v>
      </c>
      <c r="D95" s="35" t="s">
        <v>128</v>
      </c>
      <c r="E95" s="9"/>
      <c r="F95" s="24" t="s">
        <v>59</v>
      </c>
      <c r="G95" s="99">
        <v>1.7344999999999999E-2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129</v>
      </c>
      <c r="D96" s="35" t="s">
        <v>28</v>
      </c>
      <c r="E96" s="9"/>
      <c r="F96" s="24" t="s">
        <v>60</v>
      </c>
      <c r="G96" s="99">
        <v>1.7989999999999999E-2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130</v>
      </c>
      <c r="D97" s="111" t="s">
        <v>82</v>
      </c>
      <c r="E97" s="9"/>
      <c r="F97" s="24" t="s">
        <v>61</v>
      </c>
      <c r="G97" s="99">
        <v>1.8494999999999998E-2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100</v>
      </c>
      <c r="D98" s="35" t="b">
        <v>1</v>
      </c>
      <c r="E98" s="9"/>
      <c r="F98" s="24" t="s">
        <v>62</v>
      </c>
      <c r="G98" s="99">
        <v>1.9720000000000001E-2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284</v>
      </c>
      <c r="D99" s="35">
        <v>31</v>
      </c>
      <c r="E99" s="9"/>
      <c r="F99" s="24" t="s">
        <v>63</v>
      </c>
      <c r="G99" s="99">
        <v>2.0975000000000001E-2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131</v>
      </c>
      <c r="D100" s="35" t="b">
        <v>1</v>
      </c>
      <c r="E100" s="9"/>
      <c r="F100" s="24" t="s">
        <v>64</v>
      </c>
      <c r="G100" s="99">
        <v>2.1579999999999998E-2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280</v>
      </c>
      <c r="D101" s="35" t="b">
        <v>1</v>
      </c>
      <c r="E101" s="9"/>
      <c r="F101" s="24" t="s">
        <v>65</v>
      </c>
      <c r="G101" s="99">
        <v>2.198E-2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99</v>
      </c>
      <c r="D102" s="35">
        <v>2</v>
      </c>
      <c r="E102" s="9"/>
      <c r="F102" s="24" t="s">
        <v>66</v>
      </c>
      <c r="G102" s="99">
        <v>2.2151999999999998E-2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21</v>
      </c>
      <c r="D103" s="68" t="s">
        <v>22</v>
      </c>
      <c r="E103" s="9"/>
      <c r="F103" s="24"/>
      <c r="G103" s="99"/>
      <c r="H103" s="76"/>
      <c r="I103" s="10"/>
      <c r="J103" s="10"/>
      <c r="K103" s="10"/>
      <c r="L103" s="55"/>
    </row>
    <row r="104" spans="2:12" x14ac:dyDescent="0.25">
      <c r="B104" s="5"/>
      <c r="C104" s="103" t="s">
        <v>132</v>
      </c>
      <c r="D104" s="35" t="b">
        <v>1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133</v>
      </c>
      <c r="D105" s="38">
        <v>1.0000000000000001E-9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134</v>
      </c>
      <c r="D106" s="106">
        <v>1000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4"/>
      <c r="D110" s="40"/>
      <c r="E110" s="9"/>
      <c r="F110" s="25"/>
      <c r="G110" s="100"/>
      <c r="H110" s="77"/>
      <c r="I110" s="10"/>
      <c r="J110" s="10"/>
      <c r="K110" s="10"/>
      <c r="L110" s="55"/>
    </row>
    <row r="111" spans="2:12" x14ac:dyDescent="0.25">
      <c r="B111" s="5"/>
      <c r="C111" s="9"/>
      <c r="D111" s="9"/>
      <c r="E111" s="9"/>
      <c r="F111" s="10"/>
      <c r="G111" s="10"/>
      <c r="H111" s="10"/>
      <c r="I111" s="10"/>
      <c r="J111" s="10"/>
      <c r="K111" s="10"/>
      <c r="L111" s="55"/>
    </row>
    <row r="112" spans="2:12" x14ac:dyDescent="0.25"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</sheetData>
  <dataValidations count="2">
    <dataValidation type="list" allowBlank="1" showInputMessage="1" showErrorMessage="1" sqref="D97 D23: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G41 D103 D74 D39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253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251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251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6" t="s">
        <v>250</v>
      </c>
      <c r="D8" s="127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86</v>
      </c>
      <c r="D11" s="107" t="s">
        <v>78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85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87</v>
      </c>
      <c r="D13" s="110" t="s">
        <v>226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68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68</v>
      </c>
      <c r="D19" s="47"/>
      <c r="E19" s="7"/>
      <c r="F19" s="50" t="s">
        <v>79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80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81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82</v>
      </c>
      <c r="E22" s="7"/>
      <c r="F22" s="17" t="s">
        <v>82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83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84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77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70</v>
      </c>
      <c r="G30" s="10"/>
      <c r="H30" s="10"/>
      <c r="I30" s="10"/>
      <c r="J30" s="10"/>
      <c r="K30" s="10"/>
      <c r="L30" s="49" t="s">
        <v>72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73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44</v>
      </c>
      <c r="G32" s="19">
        <v>-2.4299999999999999E-3</v>
      </c>
      <c r="H32" s="20" t="s">
        <v>35</v>
      </c>
      <c r="I32" s="20" t="s">
        <v>35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46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47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49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283</v>
      </c>
      <c r="D36" s="35" t="b">
        <v>1</v>
      </c>
      <c r="E36" s="9"/>
      <c r="F36" s="24" t="s">
        <v>51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284</v>
      </c>
      <c r="D37" s="36">
        <v>31</v>
      </c>
      <c r="E37" s="9"/>
      <c r="F37" s="24" t="s">
        <v>53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31</v>
      </c>
      <c r="D38" s="35" t="s">
        <v>32</v>
      </c>
      <c r="E38" s="9"/>
      <c r="F38" s="24" t="s">
        <v>55</v>
      </c>
      <c r="G38" s="19">
        <v>-3.6900000000000001E-3</v>
      </c>
      <c r="H38" s="20" t="s">
        <v>35</v>
      </c>
      <c r="I38" s="20" t="s">
        <v>35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33</v>
      </c>
      <c r="D39" s="35" t="s">
        <v>34</v>
      </c>
      <c r="E39" s="9"/>
      <c r="F39" s="24" t="s">
        <v>57</v>
      </c>
      <c r="G39" s="19">
        <v>-3.79E-3</v>
      </c>
      <c r="H39" s="20" t="s">
        <v>35</v>
      </c>
      <c r="I39" s="20" t="s">
        <v>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36</v>
      </c>
      <c r="D40" s="35" t="s">
        <v>37</v>
      </c>
      <c r="E40" s="9"/>
      <c r="F40" s="24" t="s">
        <v>45</v>
      </c>
      <c r="G40" s="19">
        <v>-3.7699999999999999E-3</v>
      </c>
      <c r="H40" s="20" t="s">
        <v>35</v>
      </c>
      <c r="I40" s="20" t="s">
        <v>35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35" t="s">
        <v>39</v>
      </c>
      <c r="E41" s="9"/>
      <c r="F41" s="24" t="s">
        <v>41</v>
      </c>
      <c r="G41" s="19">
        <v>-3.4000000000000002E-3</v>
      </c>
      <c r="H41" s="20" t="s">
        <v>35</v>
      </c>
      <c r="I41" s="20" t="s">
        <v>35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40</v>
      </c>
      <c r="D42" s="35" t="s">
        <v>41</v>
      </c>
      <c r="E42" s="9"/>
      <c r="F42" s="24" t="s">
        <v>48</v>
      </c>
      <c r="G42" s="19">
        <v>-2.6900000000000001E-3</v>
      </c>
      <c r="H42" s="20" t="s">
        <v>35</v>
      </c>
      <c r="I42" s="20" t="s">
        <v>35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42</v>
      </c>
      <c r="D43" s="35" t="s">
        <v>43</v>
      </c>
      <c r="E43" s="9"/>
      <c r="F43" s="24" t="s">
        <v>50</v>
      </c>
      <c r="G43" s="19">
        <v>-1.7499999999999998E-3</v>
      </c>
      <c r="H43" s="20" t="s">
        <v>35</v>
      </c>
      <c r="I43" s="20" t="s">
        <v>35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133</v>
      </c>
      <c r="D44" s="38">
        <v>1E-10</v>
      </c>
      <c r="E44" s="9"/>
      <c r="F44" s="24" t="s">
        <v>52</v>
      </c>
      <c r="G44" s="19">
        <v>-6.4000000000000005E-4</v>
      </c>
      <c r="H44" s="20" t="s">
        <v>35</v>
      </c>
      <c r="I44" s="20" t="s">
        <v>35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134</v>
      </c>
      <c r="D45" s="106">
        <v>1000</v>
      </c>
      <c r="E45" s="9"/>
      <c r="F45" s="24" t="s">
        <v>54</v>
      </c>
      <c r="G45" s="19">
        <v>5.6999999999999998E-4</v>
      </c>
      <c r="H45" s="20" t="s">
        <v>35</v>
      </c>
      <c r="I45" s="20" t="s">
        <v>35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56</v>
      </c>
      <c r="G46" s="19">
        <v>1.83E-3</v>
      </c>
      <c r="H46" s="20" t="s">
        <v>35</v>
      </c>
      <c r="I46" s="20" t="s">
        <v>35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58</v>
      </c>
      <c r="G47" s="19">
        <v>3.0599999999999998E-3</v>
      </c>
      <c r="H47" s="20" t="s">
        <v>35</v>
      </c>
      <c r="I47" s="20" t="s">
        <v>35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59</v>
      </c>
      <c r="G48" s="19">
        <v>4.1900000000000001E-3</v>
      </c>
      <c r="H48" s="20" t="s">
        <v>35</v>
      </c>
      <c r="I48" s="20" t="s">
        <v>35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60</v>
      </c>
      <c r="G49" s="19">
        <v>5.2100000000000002E-3</v>
      </c>
      <c r="H49" s="20" t="s">
        <v>35</v>
      </c>
      <c r="I49" s="20" t="s">
        <v>35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61</v>
      </c>
      <c r="G50" s="19">
        <v>6.0899999999999999E-3</v>
      </c>
      <c r="H50" s="20" t="s">
        <v>35</v>
      </c>
      <c r="I50" s="20" t="s">
        <v>35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62</v>
      </c>
      <c r="G51" s="19">
        <v>8.1000000000000013E-3</v>
      </c>
      <c r="H51" s="20" t="s">
        <v>35</v>
      </c>
      <c r="I51" s="20" t="s">
        <v>35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63</v>
      </c>
      <c r="G52" s="19">
        <v>9.75E-3</v>
      </c>
      <c r="H52" s="20" t="s">
        <v>35</v>
      </c>
      <c r="I52" s="20" t="s">
        <v>35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64</v>
      </c>
      <c r="G53" s="19">
        <v>1.0329999999999999E-2</v>
      </c>
      <c r="H53" s="20" t="s">
        <v>35</v>
      </c>
      <c r="I53" s="20" t="s">
        <v>35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65</v>
      </c>
      <c r="G54" s="19">
        <v>1.0529999999999999E-2</v>
      </c>
      <c r="H54" s="20" t="s">
        <v>35</v>
      </c>
      <c r="I54" s="20" t="s">
        <v>35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66</v>
      </c>
      <c r="G55" s="19">
        <v>1.061E-2</v>
      </c>
      <c r="H55" s="20" t="s">
        <v>35</v>
      </c>
      <c r="I55" s="20" t="s">
        <v>35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67</v>
      </c>
      <c r="G56" s="19">
        <v>1.01E-2</v>
      </c>
      <c r="H56" s="20" t="s">
        <v>35</v>
      </c>
      <c r="I56" s="20" t="s">
        <v>35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76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69</v>
      </c>
      <c r="D63" s="10"/>
      <c r="E63" s="10"/>
      <c r="F63" s="49" t="s">
        <v>71</v>
      </c>
      <c r="G63" s="10"/>
      <c r="H63" s="10"/>
      <c r="I63" s="49" t="s">
        <v>74</v>
      </c>
      <c r="J63" s="10"/>
      <c r="K63" s="10"/>
      <c r="L63" s="49" t="s">
        <v>75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45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45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41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41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48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48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50</v>
      </c>
      <c r="G68" s="51">
        <v>1.34E-3</v>
      </c>
      <c r="H68" s="10"/>
      <c r="I68" s="28"/>
      <c r="J68" s="35"/>
      <c r="K68" s="10"/>
      <c r="L68" s="24" t="s">
        <v>50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52</v>
      </c>
      <c r="G69" s="51">
        <v>1.33E-3</v>
      </c>
      <c r="H69" s="10"/>
      <c r="I69" s="29"/>
      <c r="J69" s="35"/>
      <c r="K69" s="10"/>
      <c r="L69" s="24" t="s">
        <v>52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54</v>
      </c>
      <c r="G70" s="51">
        <v>1.32E-3</v>
      </c>
      <c r="H70" s="10"/>
      <c r="I70" s="30"/>
      <c r="J70" s="36"/>
      <c r="K70" s="10"/>
      <c r="L70" s="24" t="s">
        <v>54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56</v>
      </c>
      <c r="G71" s="51">
        <v>1.31E-3</v>
      </c>
      <c r="H71" s="10"/>
      <c r="I71" s="28"/>
      <c r="J71" s="35"/>
      <c r="K71" s="10"/>
      <c r="L71" s="24" t="s">
        <v>56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58</v>
      </c>
      <c r="G72" s="51">
        <v>1.2999999999999999E-3</v>
      </c>
      <c r="H72" s="10"/>
      <c r="I72" s="28"/>
      <c r="J72" s="35"/>
      <c r="K72" s="10"/>
      <c r="L72" s="24" t="s">
        <v>58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59</v>
      </c>
      <c r="G73" s="51">
        <v>1.2800000000000001E-3</v>
      </c>
      <c r="H73" s="10"/>
      <c r="I73" s="28"/>
      <c r="J73" s="35"/>
      <c r="K73" s="10"/>
      <c r="L73" s="24" t="s">
        <v>59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60</v>
      </c>
      <c r="G74" s="51">
        <v>1.2699999999999999E-3</v>
      </c>
      <c r="H74" s="10"/>
      <c r="I74" s="28"/>
      <c r="J74" s="35"/>
      <c r="K74" s="10"/>
      <c r="L74" s="24" t="s">
        <v>60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61</v>
      </c>
      <c r="G75" s="51">
        <v>1.2600000000000001E-3</v>
      </c>
      <c r="H75" s="10"/>
      <c r="I75" s="28"/>
      <c r="J75" s="35"/>
      <c r="K75" s="10"/>
      <c r="L75" s="24" t="s">
        <v>61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62</v>
      </c>
      <c r="G76" s="51">
        <v>1.1900000000000001E-3</v>
      </c>
      <c r="H76" s="10"/>
      <c r="I76" s="29"/>
      <c r="J76" s="35"/>
      <c r="K76" s="10"/>
      <c r="L76" s="24" t="s">
        <v>62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63</v>
      </c>
      <c r="G77" s="51">
        <v>1.0400000000000001E-3</v>
      </c>
      <c r="H77" s="10"/>
      <c r="I77" s="31"/>
      <c r="J77" s="37"/>
      <c r="K77" s="10"/>
      <c r="L77" s="24" t="s">
        <v>63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64</v>
      </c>
      <c r="G78" s="51">
        <v>9.1999999999999992E-4</v>
      </c>
      <c r="H78" s="10"/>
      <c r="I78" s="31"/>
      <c r="J78" s="38"/>
      <c r="K78" s="10"/>
      <c r="L78" s="24" t="s">
        <v>64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65</v>
      </c>
      <c r="G79" s="51">
        <v>8.1999999999999998E-4</v>
      </c>
      <c r="H79" s="10"/>
      <c r="I79" s="31"/>
      <c r="J79" s="37"/>
      <c r="K79" s="10"/>
      <c r="L79" s="24" t="s">
        <v>65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66</v>
      </c>
      <c r="G80" s="51">
        <v>6.6E-4</v>
      </c>
      <c r="H80" s="10"/>
      <c r="I80" s="32"/>
      <c r="J80" s="35"/>
      <c r="K80" s="10"/>
      <c r="L80" s="24" t="s">
        <v>66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67</v>
      </c>
      <c r="G81" s="51">
        <v>5.6999999999999998E-4</v>
      </c>
      <c r="H81" s="10"/>
      <c r="I81" s="32"/>
      <c r="J81" s="39"/>
      <c r="K81" s="10"/>
      <c r="L81" s="24" t="s">
        <v>67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2"/>
  <sheetViews>
    <sheetView showGridLines="0" workbookViewId="0"/>
  </sheetViews>
  <sheetFormatPr defaultRowHeight="15" x14ac:dyDescent="0.25"/>
  <cols>
    <col min="2" max="2" width="2.7109375" customWidth="1"/>
    <col min="3" max="3" width="22.710937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255</v>
      </c>
    </row>
    <row r="5" spans="2:12" x14ac:dyDescent="0.25">
      <c r="B5" s="56" t="s">
        <v>254</v>
      </c>
    </row>
    <row r="6" spans="2:12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4"/>
    </row>
    <row r="7" spans="2:12" x14ac:dyDescent="0.25">
      <c r="B7" s="5"/>
      <c r="C7" s="64" t="s">
        <v>254</v>
      </c>
      <c r="D7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(0.01600 sec)</v>
      </c>
      <c r="E7" s="62"/>
      <c r="F7" s="63"/>
      <c r="G7" s="7"/>
      <c r="H7" s="7"/>
      <c r="I7" s="7"/>
      <c r="J7" s="7"/>
      <c r="K7" s="7"/>
      <c r="L7" s="8"/>
    </row>
    <row r="8" spans="2:12" x14ac:dyDescent="0.25">
      <c r="B8" s="5"/>
      <c r="C8" s="126" t="s">
        <v>250</v>
      </c>
      <c r="D8" s="127" t="b">
        <f ca="1">LEFT(D7,9)="EURYC STD"</f>
        <v>1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7"/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6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48" t="s">
        <v>0</v>
      </c>
      <c r="D11" s="57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27" t="s">
        <v>86</v>
      </c>
      <c r="D12" s="107" t="s">
        <v>78</v>
      </c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8" t="s">
        <v>85</v>
      </c>
      <c r="D13" s="108" t="s">
        <v>88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59" t="s">
        <v>87</v>
      </c>
      <c r="D14" s="110" t="s">
        <v>89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/>
      <c r="L14" s="8" t="s">
        <v>4</v>
      </c>
    </row>
    <row r="15" spans="2:12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3"/>
    </row>
    <row r="18" spans="2:12" x14ac:dyDescent="0.25">
      <c r="B18" s="56" t="s">
        <v>68</v>
      </c>
    </row>
    <row r="19" spans="2:12" x14ac:dyDescent="0.25">
      <c r="B19" s="2"/>
      <c r="C19" s="45"/>
      <c r="D19" s="46"/>
      <c r="E19" s="3"/>
      <c r="F19" s="3"/>
      <c r="G19" s="3"/>
      <c r="H19" s="66"/>
      <c r="I19" s="3"/>
      <c r="J19" s="3"/>
      <c r="K19" s="3"/>
      <c r="L19" s="4"/>
    </row>
    <row r="20" spans="2:12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7"/>
      <c r="J20" s="7"/>
      <c r="K20" s="7"/>
      <c r="L20" s="8"/>
    </row>
    <row r="21" spans="2:12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7"/>
      <c r="J21" s="7"/>
      <c r="K21" s="7"/>
      <c r="L21" s="8"/>
    </row>
    <row r="22" spans="2:12" x14ac:dyDescent="0.25">
      <c r="B22" s="5"/>
      <c r="C22" s="28" t="s">
        <v>16</v>
      </c>
      <c r="D22" s="108" t="s">
        <v>17</v>
      </c>
      <c r="E22" s="7"/>
      <c r="F22" s="17" t="s">
        <v>81</v>
      </c>
      <c r="G22" s="18"/>
      <c r="H22" s="7"/>
      <c r="I22" s="7"/>
      <c r="J22" s="7"/>
      <c r="K22" s="7"/>
      <c r="L22" s="8"/>
    </row>
    <row r="23" spans="2:12" x14ac:dyDescent="0.25">
      <c r="B23" s="5"/>
      <c r="C23" s="29" t="s">
        <v>90</v>
      </c>
      <c r="D23" s="109" t="s">
        <v>82</v>
      </c>
      <c r="E23" s="7"/>
      <c r="F23" s="17" t="s">
        <v>82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24</v>
      </c>
      <c r="D24" s="109" t="s">
        <v>82</v>
      </c>
      <c r="E24" s="7"/>
      <c r="F24" s="17" t="s">
        <v>83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92</v>
      </c>
      <c r="D25" s="108" t="b">
        <v>1</v>
      </c>
      <c r="E25" s="7"/>
      <c r="F25" s="17" t="s">
        <v>84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91</v>
      </c>
      <c r="D26" s="108" t="b">
        <v>0</v>
      </c>
      <c r="E26" s="7"/>
      <c r="F26" s="17"/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27</v>
      </c>
      <c r="D27" s="108" t="s">
        <v>128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93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44"/>
      <c r="D30" s="110"/>
      <c r="E30" s="7"/>
      <c r="F30" s="21"/>
      <c r="G30" s="22"/>
      <c r="H30" s="7"/>
      <c r="I30" s="7"/>
      <c r="J30" s="7"/>
      <c r="K30" s="7"/>
      <c r="L30" s="8"/>
    </row>
    <row r="31" spans="2:12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3"/>
    </row>
    <row r="34" spans="2:12" x14ac:dyDescent="0.25">
      <c r="B34" s="56" t="s">
        <v>94</v>
      </c>
    </row>
    <row r="35" spans="2:12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x14ac:dyDescent="0.25">
      <c r="B36" s="5"/>
      <c r="C36" s="49" t="s">
        <v>286</v>
      </c>
      <c r="D36" s="10"/>
      <c r="E36" s="10"/>
      <c r="F36" s="49" t="s">
        <v>101</v>
      </c>
      <c r="G36" s="10"/>
      <c r="H36" s="10"/>
      <c r="I36" s="49" t="s">
        <v>285</v>
      </c>
      <c r="J36" s="10"/>
      <c r="K36" s="10"/>
      <c r="L36" s="55"/>
    </row>
    <row r="37" spans="2:12" x14ac:dyDescent="0.25">
      <c r="B37" s="5"/>
      <c r="C37" s="27" t="s">
        <v>1</v>
      </c>
      <c r="D37" s="34" t="s">
        <v>2</v>
      </c>
      <c r="E37" s="7"/>
      <c r="F37" s="27" t="s">
        <v>1</v>
      </c>
      <c r="G37" s="34" t="s">
        <v>2</v>
      </c>
      <c r="H37" s="10"/>
      <c r="I37" s="78" t="s">
        <v>11</v>
      </c>
      <c r="J37" s="78" t="s">
        <v>12</v>
      </c>
      <c r="K37" s="78"/>
      <c r="L37" s="55"/>
    </row>
    <row r="38" spans="2:12" x14ac:dyDescent="0.25">
      <c r="B38" s="5"/>
      <c r="C38" s="28" t="s">
        <v>95</v>
      </c>
      <c r="D38" s="35" t="s">
        <v>6</v>
      </c>
      <c r="E38" s="9"/>
      <c r="F38" s="30" t="s">
        <v>18</v>
      </c>
      <c r="G38" s="69" t="s">
        <v>6</v>
      </c>
      <c r="H38" s="10"/>
      <c r="I38" s="71" t="s">
        <v>183</v>
      </c>
      <c r="J38" s="75">
        <v>-2.8E-3</v>
      </c>
      <c r="K38" s="78"/>
      <c r="L38" s="55"/>
    </row>
    <row r="39" spans="2:12" x14ac:dyDescent="0.25">
      <c r="B39" s="5"/>
      <c r="C39" s="28" t="s">
        <v>96</v>
      </c>
      <c r="D39" s="35" t="s">
        <v>97</v>
      </c>
      <c r="E39" s="9"/>
      <c r="F39" s="29" t="s">
        <v>27</v>
      </c>
      <c r="G39" s="35" t="s">
        <v>98</v>
      </c>
      <c r="H39" s="10"/>
      <c r="I39" s="72" t="s">
        <v>167</v>
      </c>
      <c r="J39" s="76">
        <v>-2.2000000000000001E-3</v>
      </c>
      <c r="K39" s="78"/>
      <c r="L39" s="55"/>
    </row>
    <row r="40" spans="2:12" x14ac:dyDescent="0.25">
      <c r="B40" s="5"/>
      <c r="C40" s="28"/>
      <c r="D40" s="35"/>
      <c r="E40" s="9"/>
      <c r="F40" s="29" t="s">
        <v>99</v>
      </c>
      <c r="G40" s="69">
        <v>2</v>
      </c>
      <c r="H40" s="10"/>
      <c r="I40" s="72" t="s">
        <v>102</v>
      </c>
      <c r="J40" s="76">
        <v>-1.31E-3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21</v>
      </c>
      <c r="G41" s="69" t="s">
        <v>22</v>
      </c>
      <c r="H41" s="10"/>
      <c r="I41" s="72" t="s">
        <v>55</v>
      </c>
      <c r="J41" s="76">
        <v>-1E-4</v>
      </c>
      <c r="K41" s="78"/>
      <c r="L41" s="55"/>
    </row>
    <row r="42" spans="2:12" x14ac:dyDescent="0.25">
      <c r="B42" s="5"/>
      <c r="C42" s="33"/>
      <c r="D42" s="40"/>
      <c r="E42" s="9"/>
      <c r="F42" s="44"/>
      <c r="G42" s="70"/>
      <c r="H42" s="10"/>
      <c r="I42" s="73"/>
      <c r="J42" s="77"/>
      <c r="K42" s="78"/>
      <c r="L42" s="55"/>
    </row>
    <row r="43" spans="2:12" x14ac:dyDescent="0.25">
      <c r="B43" s="5"/>
      <c r="C43" s="9"/>
      <c r="D43" s="9"/>
      <c r="E43" s="9"/>
      <c r="F43" s="10"/>
      <c r="G43" s="10"/>
      <c r="H43" s="10"/>
      <c r="I43" s="10" t="s">
        <v>184</v>
      </c>
      <c r="J43" s="10"/>
      <c r="K43" s="10"/>
      <c r="L43" s="55"/>
    </row>
    <row r="44" spans="2:12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7" spans="2:12" x14ac:dyDescent="0.25">
      <c r="B47" s="56" t="s">
        <v>103</v>
      </c>
    </row>
    <row r="48" spans="2:12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25">
      <c r="B49" s="5"/>
      <c r="C49" s="49" t="s">
        <v>104</v>
      </c>
      <c r="D49" s="10"/>
      <c r="E49" s="10"/>
      <c r="F49" s="49" t="s">
        <v>135</v>
      </c>
      <c r="G49" s="10"/>
      <c r="H49" s="10"/>
      <c r="I49" s="49" t="s">
        <v>136</v>
      </c>
      <c r="J49" s="10"/>
      <c r="K49" s="10"/>
      <c r="L49" s="55"/>
    </row>
    <row r="50" spans="2:12" x14ac:dyDescent="0.25">
      <c r="B50" s="5"/>
      <c r="C50" s="27" t="s">
        <v>1</v>
      </c>
      <c r="D50" s="34" t="s">
        <v>2</v>
      </c>
      <c r="E50" s="7"/>
      <c r="F50" s="78" t="s">
        <v>11</v>
      </c>
      <c r="G50" s="78" t="s">
        <v>12</v>
      </c>
      <c r="H50" s="10"/>
      <c r="I50" s="78" t="s">
        <v>11</v>
      </c>
      <c r="J50" s="78" t="s">
        <v>12</v>
      </c>
      <c r="K50" s="78"/>
      <c r="L50" s="55"/>
    </row>
    <row r="51" spans="2:12" x14ac:dyDescent="0.25">
      <c r="B51" s="5"/>
      <c r="C51" s="28" t="s">
        <v>95</v>
      </c>
      <c r="D51" s="35" t="s">
        <v>6</v>
      </c>
      <c r="E51" s="9"/>
      <c r="F51" s="71"/>
      <c r="G51" s="75"/>
      <c r="H51" s="10"/>
      <c r="I51" s="71" t="s">
        <v>108</v>
      </c>
      <c r="J51" s="75">
        <v>-1.2900000000000001E-3</v>
      </c>
      <c r="K51" s="78"/>
      <c r="L51" s="55"/>
    </row>
    <row r="52" spans="2:12" x14ac:dyDescent="0.25">
      <c r="B52" s="5"/>
      <c r="C52" s="28" t="s">
        <v>105</v>
      </c>
      <c r="D52" s="35">
        <v>2</v>
      </c>
      <c r="E52" s="9"/>
      <c r="F52" s="72"/>
      <c r="G52" s="76"/>
      <c r="H52" s="10"/>
      <c r="I52" s="72" t="s">
        <v>109</v>
      </c>
      <c r="J52" s="76">
        <v>-1.2900000000000001E-3</v>
      </c>
      <c r="K52" s="78"/>
      <c r="L52" s="55"/>
    </row>
    <row r="53" spans="2:12" x14ac:dyDescent="0.25">
      <c r="B53" s="5"/>
      <c r="C53" s="28" t="s">
        <v>21</v>
      </c>
      <c r="D53" s="68" t="s">
        <v>22</v>
      </c>
      <c r="E53" s="9"/>
      <c r="F53" s="72"/>
      <c r="G53" s="76"/>
      <c r="H53" s="10"/>
      <c r="I53" s="72" t="s">
        <v>110</v>
      </c>
      <c r="J53" s="76">
        <v>-1.33E-3</v>
      </c>
      <c r="K53" s="78"/>
      <c r="L53" s="55"/>
    </row>
    <row r="54" spans="2:12" x14ac:dyDescent="0.25">
      <c r="B54" s="5"/>
      <c r="C54" s="28" t="s">
        <v>100</v>
      </c>
      <c r="D54" s="35" t="b">
        <v>0</v>
      </c>
      <c r="E54" s="9"/>
      <c r="F54" s="72"/>
      <c r="G54" s="76"/>
      <c r="H54" s="10"/>
      <c r="I54" s="72" t="s">
        <v>111</v>
      </c>
      <c r="J54" s="76">
        <v>-1.3900000000000002E-3</v>
      </c>
      <c r="K54" s="78"/>
      <c r="L54" s="55"/>
    </row>
    <row r="55" spans="2:12" x14ac:dyDescent="0.25">
      <c r="B55" s="5"/>
      <c r="C55" s="28" t="s">
        <v>106</v>
      </c>
      <c r="D55" s="35" t="b">
        <v>1</v>
      </c>
      <c r="E55" s="9"/>
      <c r="F55" s="72"/>
      <c r="G55" s="76"/>
      <c r="H55" s="10"/>
      <c r="I55" s="72" t="s">
        <v>112</v>
      </c>
      <c r="J55" s="76">
        <v>-1.4399999999999999E-3</v>
      </c>
      <c r="K55" s="78"/>
      <c r="L55" s="55"/>
    </row>
    <row r="56" spans="2:12" x14ac:dyDescent="0.25">
      <c r="B56" s="5"/>
      <c r="C56" s="28" t="s">
        <v>107</v>
      </c>
      <c r="D56" s="35">
        <v>2</v>
      </c>
      <c r="E56" s="9"/>
      <c r="F56" s="72"/>
      <c r="G56" s="76"/>
      <c r="H56" s="10"/>
      <c r="I56" s="72" t="s">
        <v>113</v>
      </c>
      <c r="J56" s="76">
        <v>-1.4399999999999999E-3</v>
      </c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 t="s">
        <v>114</v>
      </c>
      <c r="J57" s="76">
        <v>-1.4599999999999999E-3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115</v>
      </c>
      <c r="J58" s="76">
        <v>-1.47E-3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116</v>
      </c>
      <c r="J59" s="76">
        <v>-1.4599999999999999E-3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117</v>
      </c>
      <c r="J60" s="76">
        <v>-1.4299999999999998E-3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118</v>
      </c>
      <c r="J61" s="76">
        <v>-1.4099999999999998E-3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33"/>
      <c r="D63" s="40"/>
      <c r="E63" s="9"/>
      <c r="F63" s="73"/>
      <c r="G63" s="77"/>
      <c r="H63" s="10"/>
      <c r="I63" s="73"/>
      <c r="J63" s="77"/>
      <c r="K63" s="78"/>
      <c r="L63" s="55"/>
    </row>
    <row r="64" spans="2:12" x14ac:dyDescent="0.25">
      <c r="B64" s="5"/>
      <c r="C64" s="9"/>
      <c r="D64" s="9"/>
      <c r="E64" s="9"/>
      <c r="F64" s="10"/>
      <c r="G64" s="10"/>
      <c r="H64" s="10"/>
      <c r="I64" s="10"/>
      <c r="J64" s="10"/>
      <c r="K64" s="78"/>
      <c r="L64" s="55"/>
    </row>
    <row r="65" spans="2:12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8" spans="2:12" x14ac:dyDescent="0.25">
      <c r="B68" s="56" t="s">
        <v>119</v>
      </c>
    </row>
    <row r="69" spans="2:12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4"/>
    </row>
    <row r="70" spans="2:12" x14ac:dyDescent="0.25">
      <c r="B70" s="5"/>
      <c r="C70" s="49" t="s">
        <v>120</v>
      </c>
      <c r="D70" s="10"/>
      <c r="E70" s="10"/>
      <c r="F70" s="49" t="s">
        <v>123</v>
      </c>
      <c r="G70" s="10"/>
      <c r="H70" s="10"/>
      <c r="I70" s="10"/>
      <c r="J70" s="10"/>
      <c r="K70" s="10"/>
      <c r="L70" s="55"/>
    </row>
    <row r="71" spans="2:12" x14ac:dyDescent="0.25">
      <c r="B71" s="5"/>
      <c r="C71" s="27"/>
      <c r="D71" s="34"/>
      <c r="E71" s="7"/>
      <c r="F71" s="97" t="s">
        <v>137</v>
      </c>
      <c r="G71" s="97" t="s">
        <v>13</v>
      </c>
      <c r="H71" s="97" t="s">
        <v>14</v>
      </c>
      <c r="I71" s="97" t="s">
        <v>12</v>
      </c>
      <c r="J71" s="97" t="s">
        <v>122</v>
      </c>
      <c r="K71" s="10"/>
      <c r="L71" s="55"/>
    </row>
    <row r="72" spans="2:12" x14ac:dyDescent="0.25">
      <c r="B72" s="5"/>
      <c r="C72" s="28"/>
      <c r="D72" s="35"/>
      <c r="E72" s="9"/>
      <c r="F72" s="79"/>
      <c r="G72" s="80"/>
      <c r="H72" s="80"/>
      <c r="I72" s="81"/>
      <c r="J72" s="82"/>
      <c r="K72" s="10"/>
      <c r="L72" s="55"/>
    </row>
    <row r="73" spans="2:12" x14ac:dyDescent="0.25">
      <c r="B73" s="5"/>
      <c r="C73" s="28"/>
      <c r="D73" s="35"/>
      <c r="E73" s="9"/>
      <c r="F73" s="83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105"/>
      <c r="E74" s="9"/>
      <c r="F74" s="84"/>
      <c r="G74" s="85"/>
      <c r="H74" s="85"/>
      <c r="I74" s="86"/>
      <c r="J74" s="87"/>
      <c r="K74" s="10"/>
      <c r="L74" s="55"/>
    </row>
    <row r="75" spans="2:12" x14ac:dyDescent="0.25">
      <c r="B75" s="5"/>
      <c r="C75" s="28"/>
      <c r="D75" s="74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35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8"/>
      <c r="G81" s="85"/>
      <c r="H81" s="85"/>
      <c r="I81" s="89"/>
      <c r="J81" s="87"/>
      <c r="K81" s="10"/>
      <c r="L81" s="55"/>
    </row>
    <row r="82" spans="2:12" x14ac:dyDescent="0.25">
      <c r="B82" s="5"/>
      <c r="C82" s="28"/>
      <c r="D82" s="35"/>
      <c r="E82" s="9"/>
      <c r="F82" s="90"/>
      <c r="G82" s="91"/>
      <c r="H82" s="91"/>
      <c r="I82" s="89"/>
      <c r="J82" s="92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33"/>
      <c r="D84" s="40"/>
      <c r="E84" s="9"/>
      <c r="F84" s="93"/>
      <c r="G84" s="94"/>
      <c r="H84" s="94"/>
      <c r="I84" s="95"/>
      <c r="J84" s="96"/>
      <c r="K84" s="10"/>
      <c r="L84" s="55"/>
    </row>
    <row r="85" spans="2:12" x14ac:dyDescent="0.25">
      <c r="B85" s="5"/>
      <c r="C85" s="9"/>
      <c r="D85" s="9"/>
      <c r="E85" s="9"/>
      <c r="F85" s="10"/>
      <c r="G85" s="10"/>
      <c r="H85" s="10"/>
      <c r="I85" s="10"/>
      <c r="J85" s="10"/>
      <c r="K85" s="10"/>
      <c r="L85" s="55"/>
    </row>
    <row r="86" spans="2:12" x14ac:dyDescent="0.25"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9" spans="2:12" x14ac:dyDescent="0.25">
      <c r="B89" s="56" t="s">
        <v>124</v>
      </c>
    </row>
    <row r="90" spans="2:12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4"/>
    </row>
    <row r="91" spans="2:12" x14ac:dyDescent="0.25">
      <c r="B91" s="5"/>
      <c r="C91" s="49" t="s">
        <v>125</v>
      </c>
      <c r="D91" s="10"/>
      <c r="E91" s="10"/>
      <c r="F91" s="49" t="s">
        <v>126</v>
      </c>
      <c r="G91" s="10"/>
      <c r="H91" s="10"/>
      <c r="I91" s="10"/>
      <c r="J91" s="10"/>
      <c r="K91" s="10"/>
      <c r="L91" s="55"/>
    </row>
    <row r="92" spans="2:12" x14ac:dyDescent="0.25">
      <c r="B92" s="5"/>
      <c r="C92" s="102" t="s">
        <v>1</v>
      </c>
      <c r="D92" s="34" t="s">
        <v>2</v>
      </c>
      <c r="E92" s="7"/>
      <c r="F92" s="78" t="s">
        <v>11</v>
      </c>
      <c r="G92" s="78" t="s">
        <v>12</v>
      </c>
      <c r="H92" s="78" t="s">
        <v>8</v>
      </c>
      <c r="I92" s="10"/>
      <c r="J92" s="10"/>
      <c r="K92" s="10"/>
      <c r="L92" s="55"/>
    </row>
    <row r="93" spans="2:12" x14ac:dyDescent="0.25">
      <c r="B93" s="5"/>
      <c r="C93" s="103" t="s">
        <v>95</v>
      </c>
      <c r="D93" s="35" t="s">
        <v>20</v>
      </c>
      <c r="E93" s="9"/>
      <c r="F93" s="101" t="s">
        <v>45</v>
      </c>
      <c r="G93" s="98">
        <v>-1.33E-3</v>
      </c>
      <c r="H93" s="75" t="b">
        <v>1</v>
      </c>
      <c r="I93" s="10"/>
      <c r="J93" s="10"/>
      <c r="K93" s="10"/>
      <c r="L93" s="55"/>
    </row>
    <row r="94" spans="2:12" x14ac:dyDescent="0.25">
      <c r="B94" s="5"/>
      <c r="C94" s="103" t="s">
        <v>127</v>
      </c>
      <c r="D94" s="35" t="s">
        <v>6</v>
      </c>
      <c r="E94" s="9"/>
      <c r="F94" s="24" t="s">
        <v>41</v>
      </c>
      <c r="G94" s="99">
        <v>-8.699999999999999E-4</v>
      </c>
      <c r="H94" s="76" t="b">
        <v>1</v>
      </c>
      <c r="I94" s="10"/>
      <c r="J94" s="10"/>
      <c r="K94" s="10"/>
      <c r="L94" s="55"/>
    </row>
    <row r="95" spans="2:12" x14ac:dyDescent="0.25">
      <c r="B95" s="5"/>
      <c r="C95" s="103" t="s">
        <v>27</v>
      </c>
      <c r="D95" s="35" t="s">
        <v>26</v>
      </c>
      <c r="E95" s="9"/>
      <c r="F95" s="24" t="s">
        <v>48</v>
      </c>
      <c r="G95" s="99">
        <v>-8.0000000000000007E-5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129</v>
      </c>
      <c r="D96" s="35" t="s">
        <v>128</v>
      </c>
      <c r="E96" s="9"/>
      <c r="F96" s="24" t="s">
        <v>50</v>
      </c>
      <c r="G96" s="99">
        <v>9.2999999999999995E-4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130</v>
      </c>
      <c r="D97" s="111" t="s">
        <v>82</v>
      </c>
      <c r="E97" s="9"/>
      <c r="F97" s="24" t="s">
        <v>52</v>
      </c>
      <c r="G97" s="99">
        <v>2.0200000000000001E-3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100</v>
      </c>
      <c r="D98" s="35" t="b">
        <v>1</v>
      </c>
      <c r="E98" s="9"/>
      <c r="F98" s="24" t="s">
        <v>54</v>
      </c>
      <c r="G98" s="99">
        <v>3.2100000000000002E-3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284</v>
      </c>
      <c r="D99" s="35">
        <v>31</v>
      </c>
      <c r="E99" s="9"/>
      <c r="F99" s="24" t="s">
        <v>56</v>
      </c>
      <c r="G99" s="99">
        <v>4.4400000000000004E-3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99</v>
      </c>
      <c r="D100" s="35">
        <v>2</v>
      </c>
      <c r="E100" s="9"/>
      <c r="F100" s="24" t="s">
        <v>58</v>
      </c>
      <c r="G100" s="99">
        <v>5.6100000000000004E-3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21</v>
      </c>
      <c r="D101" s="68" t="s">
        <v>22</v>
      </c>
      <c r="E101" s="9"/>
      <c r="F101" s="24" t="s">
        <v>59</v>
      </c>
      <c r="G101" s="99">
        <v>6.6700000000000006E-3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131</v>
      </c>
      <c r="D102" s="35" t="b">
        <v>1</v>
      </c>
      <c r="E102" s="9"/>
      <c r="F102" s="24" t="s">
        <v>60</v>
      </c>
      <c r="G102" s="99">
        <v>7.6300000000000005E-3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132</v>
      </c>
      <c r="D103" s="35" t="b">
        <v>1</v>
      </c>
      <c r="E103" s="9"/>
      <c r="F103" s="24" t="s">
        <v>61</v>
      </c>
      <c r="G103" s="99">
        <v>8.4700000000000001E-3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133</v>
      </c>
      <c r="D104" s="38">
        <v>1.0000000000000001E-9</v>
      </c>
      <c r="E104" s="9"/>
      <c r="F104" s="24" t="s">
        <v>62</v>
      </c>
      <c r="G104" s="99">
        <v>1.03E-2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134</v>
      </c>
      <c r="D105" s="106">
        <v>1000</v>
      </c>
      <c r="E105" s="9"/>
      <c r="F105" s="24" t="s">
        <v>63</v>
      </c>
      <c r="G105" s="99">
        <v>1.1659999999999998E-2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/>
      <c r="D106" s="35"/>
      <c r="E106" s="9"/>
      <c r="F106" s="24" t="s">
        <v>64</v>
      </c>
      <c r="G106" s="99">
        <v>1.201E-2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65</v>
      </c>
      <c r="G107" s="99">
        <v>1.204E-2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66</v>
      </c>
      <c r="G108" s="99">
        <v>1.1859999999999999E-2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67</v>
      </c>
      <c r="G109" s="99">
        <v>1.1200000000000002E-2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4"/>
      <c r="D110" s="40"/>
      <c r="E110" s="9"/>
      <c r="F110" s="25"/>
      <c r="G110" s="100"/>
      <c r="H110" s="77"/>
      <c r="I110" s="10"/>
      <c r="J110" s="10"/>
      <c r="K110" s="10"/>
      <c r="L110" s="55"/>
    </row>
    <row r="111" spans="2:12" x14ac:dyDescent="0.25">
      <c r="B111" s="5"/>
      <c r="C111" s="9"/>
      <c r="D111" s="9"/>
      <c r="E111" s="9"/>
      <c r="F111" s="10"/>
      <c r="G111" s="10"/>
      <c r="H111" s="10"/>
      <c r="I111" s="10"/>
      <c r="J111" s="10"/>
      <c r="K111" s="10"/>
      <c r="L111" s="55"/>
    </row>
    <row r="112" spans="2:12" x14ac:dyDescent="0.25"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</sheetData>
  <dataValidations count="2">
    <dataValidation type="list" allowBlank="1" showInputMessage="1" showErrorMessage="1" sqref="D97 D23: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3 D101 D74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I78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56" t="s">
        <v>257</v>
      </c>
    </row>
    <row r="5" spans="2:9" x14ac:dyDescent="0.25">
      <c r="B5" s="56" t="s">
        <v>256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256</v>
      </c>
      <c r="D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E7" s="62"/>
      <c r="F7" s="63"/>
      <c r="G7" s="7"/>
      <c r="H7" s="7"/>
      <c r="I7" s="8"/>
    </row>
    <row r="8" spans="2:9" x14ac:dyDescent="0.25">
      <c r="B8" s="5"/>
      <c r="C8" s="126" t="s">
        <v>250</v>
      </c>
      <c r="D8" s="127" t="b">
        <f ca="1">LEFT(D7,10)="EURYC 3M6M"</f>
        <v>1</v>
      </c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86</v>
      </c>
      <c r="D12" s="107" t="s">
        <v>78</v>
      </c>
      <c r="E12" s="7"/>
      <c r="F12" s="7"/>
      <c r="G12" s="7"/>
      <c r="H12" s="7"/>
      <c r="I12" s="8"/>
    </row>
    <row r="13" spans="2:9" x14ac:dyDescent="0.25">
      <c r="B13" s="5"/>
      <c r="C13" s="28" t="s">
        <v>85</v>
      </c>
      <c r="D13" s="108" t="s">
        <v>138</v>
      </c>
      <c r="E13" s="7"/>
      <c r="F13" s="7"/>
      <c r="G13" s="7"/>
      <c r="H13" s="7"/>
      <c r="I13" s="8"/>
    </row>
    <row r="14" spans="2:9" x14ac:dyDescent="0.25">
      <c r="B14" s="5"/>
      <c r="C14" s="59" t="s">
        <v>87</v>
      </c>
      <c r="D14" s="110" t="s">
        <v>139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68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81</v>
      </c>
      <c r="G22" s="18"/>
      <c r="H22" s="7"/>
      <c r="I22" s="8"/>
    </row>
    <row r="23" spans="2:9" x14ac:dyDescent="0.25">
      <c r="B23" s="5"/>
      <c r="C23" s="28" t="s">
        <v>292</v>
      </c>
      <c r="D23" s="111" t="s">
        <v>82</v>
      </c>
      <c r="E23" s="7"/>
      <c r="F23" s="17" t="s">
        <v>82</v>
      </c>
      <c r="G23" s="18"/>
      <c r="H23" s="7"/>
      <c r="I23" s="8"/>
    </row>
    <row r="24" spans="2:9" x14ac:dyDescent="0.25">
      <c r="B24" s="5"/>
      <c r="C24" s="28"/>
      <c r="D24" s="111"/>
      <c r="E24" s="7"/>
      <c r="F24" s="17" t="s">
        <v>83</v>
      </c>
      <c r="G24" s="18"/>
      <c r="H24" s="7"/>
      <c r="I24" s="8"/>
    </row>
    <row r="25" spans="2:9" x14ac:dyDescent="0.25">
      <c r="B25" s="5"/>
      <c r="C25" s="28"/>
      <c r="D25" s="111"/>
      <c r="E25" s="7"/>
      <c r="F25" s="17" t="s">
        <v>84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44"/>
      <c r="D27" s="110"/>
      <c r="E27" s="7"/>
      <c r="F27" s="21"/>
      <c r="G27" s="22"/>
      <c r="H27" s="7"/>
      <c r="I27" s="8"/>
    </row>
    <row r="28" spans="2:9" x14ac:dyDescent="0.25">
      <c r="B28" s="11"/>
      <c r="C28" s="12"/>
      <c r="D28" s="12"/>
      <c r="E28" s="12"/>
      <c r="F28" s="12"/>
      <c r="G28" s="12"/>
      <c r="H28" s="12"/>
      <c r="I28" s="13"/>
    </row>
    <row r="31" spans="2:9" x14ac:dyDescent="0.25">
      <c r="B31" s="56" t="s">
        <v>140</v>
      </c>
    </row>
    <row r="32" spans="2:9" x14ac:dyDescent="0.25">
      <c r="B32" s="2"/>
      <c r="C32" s="3"/>
      <c r="D32" s="3"/>
      <c r="E32" s="3"/>
      <c r="F32" s="3"/>
      <c r="G32" s="3"/>
      <c r="H32" s="3"/>
      <c r="I32" s="4"/>
    </row>
    <row r="33" spans="2:9" x14ac:dyDescent="0.25">
      <c r="B33" s="5"/>
      <c r="C33" s="49" t="s">
        <v>182</v>
      </c>
      <c r="D33" s="10"/>
      <c r="E33" s="10"/>
      <c r="F33" s="49" t="s">
        <v>185</v>
      </c>
      <c r="G33" s="10"/>
      <c r="H33" s="10"/>
      <c r="I33" s="55"/>
    </row>
    <row r="34" spans="2:9" x14ac:dyDescent="0.25">
      <c r="B34" s="5"/>
      <c r="C34" s="27" t="s">
        <v>141</v>
      </c>
      <c r="D34" s="34" t="s">
        <v>142</v>
      </c>
      <c r="E34" s="7"/>
      <c r="F34" s="78" t="s">
        <v>11</v>
      </c>
      <c r="G34" s="78" t="s">
        <v>12</v>
      </c>
      <c r="H34" s="10"/>
      <c r="I34" s="55"/>
    </row>
    <row r="35" spans="2:9" ht="15" customHeight="1" x14ac:dyDescent="0.25">
      <c r="B35" s="5"/>
      <c r="C35" s="112" t="s">
        <v>143</v>
      </c>
      <c r="D35" s="113" t="b">
        <v>0</v>
      </c>
      <c r="E35" s="9"/>
      <c r="F35" s="71" t="s">
        <v>181</v>
      </c>
      <c r="G35" s="75">
        <v>1.1300000000000001E-3</v>
      </c>
      <c r="H35" s="10"/>
      <c r="I35" s="55"/>
    </row>
    <row r="36" spans="2:9" x14ac:dyDescent="0.25">
      <c r="B36" s="5"/>
      <c r="C36" s="28" t="s">
        <v>144</v>
      </c>
      <c r="D36" s="35" t="s">
        <v>2</v>
      </c>
      <c r="E36" s="9"/>
      <c r="F36" s="72" t="s">
        <v>45</v>
      </c>
      <c r="G36" s="76">
        <v>1.1925E-3</v>
      </c>
      <c r="H36" s="10"/>
      <c r="I36" s="55"/>
    </row>
    <row r="37" spans="2:9" x14ac:dyDescent="0.25">
      <c r="B37" s="5"/>
      <c r="C37" s="28" t="s">
        <v>145</v>
      </c>
      <c r="D37" s="35" t="s">
        <v>146</v>
      </c>
      <c r="E37" s="9"/>
      <c r="F37" s="72" t="s">
        <v>41</v>
      </c>
      <c r="G37" s="76">
        <v>1.2425000000000001E-3</v>
      </c>
      <c r="H37" s="10"/>
      <c r="I37" s="55"/>
    </row>
    <row r="38" spans="2:9" x14ac:dyDescent="0.25">
      <c r="B38" s="5"/>
      <c r="C38" s="28" t="s">
        <v>147</v>
      </c>
      <c r="D38" s="68" t="s">
        <v>128</v>
      </c>
      <c r="E38" s="9"/>
      <c r="F38" s="72" t="s">
        <v>48</v>
      </c>
      <c r="G38" s="76">
        <v>1.2975E-3</v>
      </c>
      <c r="H38" s="10"/>
      <c r="I38" s="55"/>
    </row>
    <row r="39" spans="2:9" x14ac:dyDescent="0.25">
      <c r="B39" s="5"/>
      <c r="C39" s="28" t="s">
        <v>148</v>
      </c>
      <c r="D39" s="68" t="s">
        <v>22</v>
      </c>
      <c r="E39" s="9"/>
      <c r="F39" s="72" t="s">
        <v>50</v>
      </c>
      <c r="G39" s="76">
        <v>1.3324999999999999E-3</v>
      </c>
      <c r="H39" s="10"/>
      <c r="I39" s="55"/>
    </row>
    <row r="40" spans="2:9" x14ac:dyDescent="0.25">
      <c r="B40" s="5"/>
      <c r="C40" s="28" t="s">
        <v>149</v>
      </c>
      <c r="D40" s="35" t="s">
        <v>121</v>
      </c>
      <c r="E40" s="9"/>
      <c r="F40" s="72" t="s">
        <v>52</v>
      </c>
      <c r="G40" s="76">
        <v>1.3074999999999999E-3</v>
      </c>
      <c r="H40" s="10"/>
      <c r="I40" s="55"/>
    </row>
    <row r="41" spans="2:9" x14ac:dyDescent="0.25">
      <c r="B41" s="5"/>
      <c r="C41" s="28" t="s">
        <v>150</v>
      </c>
      <c r="D41" s="35" t="s">
        <v>9</v>
      </c>
      <c r="E41" s="9"/>
      <c r="F41" s="72" t="s">
        <v>54</v>
      </c>
      <c r="G41" s="76">
        <v>1.2725E-3</v>
      </c>
      <c r="H41" s="10"/>
      <c r="I41" s="55"/>
    </row>
    <row r="42" spans="2:9" x14ac:dyDescent="0.25">
      <c r="B42" s="5"/>
      <c r="C42" s="28" t="s">
        <v>151</v>
      </c>
      <c r="D42" s="35" t="s">
        <v>186</v>
      </c>
      <c r="E42" s="9"/>
      <c r="F42" s="72" t="s">
        <v>56</v>
      </c>
      <c r="G42" s="76">
        <v>1.2275000000000001E-3</v>
      </c>
      <c r="H42" s="10"/>
      <c r="I42" s="55"/>
    </row>
    <row r="43" spans="2:9" x14ac:dyDescent="0.25">
      <c r="B43" s="5"/>
      <c r="C43" s="28" t="s">
        <v>152</v>
      </c>
      <c r="D43" s="35" t="s">
        <v>102</v>
      </c>
      <c r="E43" s="9"/>
      <c r="F43" s="72" t="s">
        <v>58</v>
      </c>
      <c r="G43" s="76">
        <v>1.1675000000000001E-3</v>
      </c>
      <c r="H43" s="10"/>
      <c r="I43" s="55"/>
    </row>
    <row r="44" spans="2:9" x14ac:dyDescent="0.25">
      <c r="B44" s="5"/>
      <c r="C44" s="28" t="s">
        <v>153</v>
      </c>
      <c r="D44" s="35" t="s">
        <v>146</v>
      </c>
      <c r="E44" s="9"/>
      <c r="F44" s="72" t="s">
        <v>59</v>
      </c>
      <c r="G44" s="76">
        <v>1.1025E-3</v>
      </c>
      <c r="H44" s="10"/>
      <c r="I44" s="55"/>
    </row>
    <row r="45" spans="2:9" x14ac:dyDescent="0.25">
      <c r="B45" s="5"/>
      <c r="C45" s="28" t="s">
        <v>154</v>
      </c>
      <c r="D45" s="35" t="s">
        <v>2</v>
      </c>
      <c r="E45" s="9"/>
      <c r="F45" s="72" t="s">
        <v>60</v>
      </c>
      <c r="G45" s="76">
        <v>1.0425E-3</v>
      </c>
      <c r="H45" s="10"/>
      <c r="I45" s="55"/>
    </row>
    <row r="46" spans="2:9" x14ac:dyDescent="0.25">
      <c r="B46" s="5"/>
      <c r="C46" s="28" t="s">
        <v>155</v>
      </c>
      <c r="D46" s="35" t="s">
        <v>98</v>
      </c>
      <c r="E46" s="9"/>
      <c r="F46" s="72" t="s">
        <v>61</v>
      </c>
      <c r="G46" s="76">
        <v>9.9250000000000011E-4</v>
      </c>
      <c r="H46" s="10"/>
      <c r="I46" s="55"/>
    </row>
    <row r="47" spans="2:9" x14ac:dyDescent="0.25">
      <c r="B47" s="5"/>
      <c r="C47" s="28" t="s">
        <v>156</v>
      </c>
      <c r="D47" s="35" t="s">
        <v>2</v>
      </c>
      <c r="E47" s="9"/>
      <c r="F47" s="72" t="s">
        <v>62</v>
      </c>
      <c r="G47" s="76">
        <v>8.6249999999999999E-4</v>
      </c>
      <c r="H47" s="10"/>
      <c r="I47" s="55"/>
    </row>
    <row r="48" spans="2:9" x14ac:dyDescent="0.25">
      <c r="B48" s="5"/>
      <c r="C48" s="28" t="s">
        <v>157</v>
      </c>
      <c r="D48" s="35" t="s">
        <v>121</v>
      </c>
      <c r="E48" s="9"/>
      <c r="F48" s="72" t="s">
        <v>63</v>
      </c>
      <c r="G48" s="76">
        <v>6.8749999999999996E-4</v>
      </c>
      <c r="H48" s="10"/>
      <c r="I48" s="55"/>
    </row>
    <row r="49" spans="2:9" x14ac:dyDescent="0.25">
      <c r="B49" s="5"/>
      <c r="C49" s="114" t="s">
        <v>158</v>
      </c>
      <c r="D49" s="68" t="s">
        <v>22</v>
      </c>
      <c r="E49" s="9"/>
      <c r="F49" s="72" t="s">
        <v>64</v>
      </c>
      <c r="G49" s="76">
        <v>5.8250000000000001E-4</v>
      </c>
      <c r="H49" s="10"/>
      <c r="I49" s="55"/>
    </row>
    <row r="50" spans="2:9" x14ac:dyDescent="0.25">
      <c r="B50" s="5"/>
      <c r="C50" s="112" t="s">
        <v>159</v>
      </c>
      <c r="D50" s="113" t="s">
        <v>2</v>
      </c>
      <c r="E50" s="9"/>
      <c r="F50" s="72" t="s">
        <v>65</v>
      </c>
      <c r="G50" s="76">
        <v>5.1250000000000004E-4</v>
      </c>
      <c r="H50" s="10"/>
      <c r="I50" s="55"/>
    </row>
    <row r="51" spans="2:9" x14ac:dyDescent="0.25">
      <c r="B51" s="5"/>
      <c r="C51" s="28" t="s">
        <v>160</v>
      </c>
      <c r="D51" s="35" t="s">
        <v>146</v>
      </c>
      <c r="E51" s="9"/>
      <c r="F51" s="72"/>
      <c r="G51" s="76"/>
      <c r="H51" s="10"/>
      <c r="I51" s="55"/>
    </row>
    <row r="52" spans="2:9" x14ac:dyDescent="0.25">
      <c r="B52" s="5"/>
      <c r="C52" s="28" t="s">
        <v>161</v>
      </c>
      <c r="D52" s="68" t="s">
        <v>28</v>
      </c>
      <c r="E52" s="9"/>
      <c r="F52" s="72"/>
      <c r="G52" s="76"/>
      <c r="H52" s="10"/>
      <c r="I52" s="55"/>
    </row>
    <row r="53" spans="2:9" x14ac:dyDescent="0.25">
      <c r="B53" s="5"/>
      <c r="C53" s="28" t="s">
        <v>162</v>
      </c>
      <c r="D53" s="68" t="s">
        <v>22</v>
      </c>
      <c r="E53" s="9"/>
      <c r="F53" s="72"/>
      <c r="G53" s="76"/>
      <c r="H53" s="10"/>
      <c r="I53" s="55"/>
    </row>
    <row r="54" spans="2:9" x14ac:dyDescent="0.25">
      <c r="B54" s="5"/>
      <c r="C54" s="28" t="s">
        <v>163</v>
      </c>
      <c r="D54" s="35" t="s">
        <v>121</v>
      </c>
      <c r="E54" s="9"/>
      <c r="F54" s="72"/>
      <c r="G54" s="76"/>
      <c r="H54" s="10"/>
      <c r="I54" s="55"/>
    </row>
    <row r="55" spans="2:9" x14ac:dyDescent="0.25">
      <c r="B55" s="5"/>
      <c r="C55" s="28" t="s">
        <v>164</v>
      </c>
      <c r="D55" s="35" t="s">
        <v>9</v>
      </c>
      <c r="E55" s="9"/>
      <c r="F55" s="72"/>
      <c r="G55" s="76"/>
      <c r="H55" s="10"/>
      <c r="I55" s="55"/>
    </row>
    <row r="56" spans="2:9" x14ac:dyDescent="0.25">
      <c r="B56" s="5"/>
      <c r="C56" s="28" t="s">
        <v>165</v>
      </c>
      <c r="D56" s="35" t="s">
        <v>88</v>
      </c>
      <c r="E56" s="9"/>
      <c r="F56" s="72"/>
      <c r="G56" s="76"/>
      <c r="H56" s="10"/>
      <c r="I56" s="55"/>
    </row>
    <row r="57" spans="2:9" x14ac:dyDescent="0.25">
      <c r="B57" s="5"/>
      <c r="C57" s="28" t="s">
        <v>166</v>
      </c>
      <c r="D57" s="35" t="s">
        <v>167</v>
      </c>
      <c r="E57" s="9"/>
      <c r="F57" s="72"/>
      <c r="G57" s="76"/>
      <c r="H57" s="10"/>
      <c r="I57" s="55"/>
    </row>
    <row r="58" spans="2:9" x14ac:dyDescent="0.25">
      <c r="B58" s="5"/>
      <c r="C58" s="28" t="s">
        <v>168</v>
      </c>
      <c r="D58" s="35" t="s">
        <v>146</v>
      </c>
      <c r="E58" s="9"/>
      <c r="F58" s="72"/>
      <c r="G58" s="76"/>
      <c r="H58" s="10"/>
      <c r="I58" s="55"/>
    </row>
    <row r="59" spans="2:9" x14ac:dyDescent="0.25">
      <c r="B59" s="5"/>
      <c r="C59" s="28" t="s">
        <v>169</v>
      </c>
      <c r="D59" s="35" t="s">
        <v>2</v>
      </c>
      <c r="E59" s="9"/>
      <c r="F59" s="72"/>
      <c r="G59" s="76"/>
      <c r="H59" s="10"/>
      <c r="I59" s="55"/>
    </row>
    <row r="60" spans="2:9" x14ac:dyDescent="0.25">
      <c r="B60" s="5"/>
      <c r="C60" s="28" t="s">
        <v>170</v>
      </c>
      <c r="D60" s="35" t="s">
        <v>98</v>
      </c>
      <c r="E60" s="9"/>
      <c r="F60" s="72"/>
      <c r="G60" s="76"/>
      <c r="H60" s="10"/>
      <c r="I60" s="55"/>
    </row>
    <row r="61" spans="2:9" x14ac:dyDescent="0.25">
      <c r="B61" s="5"/>
      <c r="C61" s="28" t="s">
        <v>171</v>
      </c>
      <c r="D61" s="35" t="s">
        <v>2</v>
      </c>
      <c r="E61" s="9"/>
      <c r="F61" s="72"/>
      <c r="G61" s="76"/>
      <c r="H61" s="10"/>
      <c r="I61" s="55"/>
    </row>
    <row r="62" spans="2:9" x14ac:dyDescent="0.25">
      <c r="B62" s="5"/>
      <c r="C62" s="28" t="s">
        <v>172</v>
      </c>
      <c r="D62" s="35" t="s">
        <v>121</v>
      </c>
      <c r="E62" s="9"/>
      <c r="F62" s="72"/>
      <c r="G62" s="76"/>
      <c r="H62" s="10"/>
      <c r="I62" s="55"/>
    </row>
    <row r="63" spans="2:9" x14ac:dyDescent="0.25">
      <c r="B63" s="5"/>
      <c r="C63" s="114" t="s">
        <v>173</v>
      </c>
      <c r="D63" s="68" t="s">
        <v>22</v>
      </c>
      <c r="E63" s="9"/>
      <c r="F63" s="72"/>
      <c r="G63" s="76"/>
      <c r="H63" s="10"/>
      <c r="I63" s="55"/>
    </row>
    <row r="64" spans="2:9" ht="15" customHeight="1" x14ac:dyDescent="0.25">
      <c r="B64" s="5"/>
      <c r="C64" s="124" t="s">
        <v>174</v>
      </c>
      <c r="D64" s="123" t="s">
        <v>175</v>
      </c>
      <c r="E64" s="9"/>
      <c r="F64" s="72"/>
      <c r="G64" s="76"/>
      <c r="H64" s="10"/>
      <c r="I64" s="55"/>
    </row>
    <row r="65" spans="2:9" x14ac:dyDescent="0.25">
      <c r="B65" s="5"/>
      <c r="C65" s="28" t="s">
        <v>132</v>
      </c>
      <c r="D65" s="35" t="b">
        <v>1</v>
      </c>
      <c r="E65" s="9"/>
      <c r="F65" s="72"/>
      <c r="G65" s="76"/>
      <c r="H65" s="10"/>
      <c r="I65" s="55"/>
    </row>
    <row r="66" spans="2:9" x14ac:dyDescent="0.25">
      <c r="B66" s="5"/>
      <c r="C66" s="28" t="s">
        <v>176</v>
      </c>
      <c r="D66" s="111" t="s">
        <v>82</v>
      </c>
      <c r="E66" s="9"/>
      <c r="F66" s="72"/>
      <c r="G66" s="76"/>
      <c r="H66" s="10"/>
      <c r="I66" s="55"/>
    </row>
    <row r="67" spans="2:9" x14ac:dyDescent="0.25">
      <c r="B67" s="5"/>
      <c r="C67" s="28" t="s">
        <v>177</v>
      </c>
      <c r="D67" s="35" t="b">
        <v>1</v>
      </c>
      <c r="E67" s="9"/>
      <c r="F67" s="72"/>
      <c r="G67" s="76"/>
      <c r="H67" s="10"/>
      <c r="I67" s="55"/>
    </row>
    <row r="68" spans="2:9" x14ac:dyDescent="0.25">
      <c r="B68" s="5"/>
      <c r="C68" s="28" t="s">
        <v>178</v>
      </c>
      <c r="D68" s="35" t="b">
        <v>1</v>
      </c>
      <c r="E68" s="9"/>
      <c r="F68" s="72"/>
      <c r="G68" s="76"/>
      <c r="H68" s="10"/>
      <c r="I68" s="55"/>
    </row>
    <row r="69" spans="2:9" x14ac:dyDescent="0.25">
      <c r="B69" s="5"/>
      <c r="C69" s="28" t="s">
        <v>179</v>
      </c>
      <c r="D69" s="35" t="s">
        <v>167</v>
      </c>
      <c r="E69" s="9"/>
      <c r="F69" s="72"/>
      <c r="G69" s="76"/>
      <c r="H69" s="10"/>
      <c r="I69" s="55"/>
    </row>
    <row r="70" spans="2:9" x14ac:dyDescent="0.25">
      <c r="B70" s="5"/>
      <c r="C70" s="28" t="s">
        <v>180</v>
      </c>
      <c r="D70" s="35" t="b">
        <v>0</v>
      </c>
      <c r="E70" s="9"/>
      <c r="F70" s="72"/>
      <c r="G70" s="76"/>
      <c r="H70" s="10"/>
      <c r="I70" s="55"/>
    </row>
    <row r="71" spans="2:9" x14ac:dyDescent="0.25">
      <c r="B71" s="5"/>
      <c r="C71" s="28" t="s">
        <v>133</v>
      </c>
      <c r="D71" s="38">
        <v>1.0000000000000001E-9</v>
      </c>
      <c r="E71" s="9"/>
      <c r="F71" s="72"/>
      <c r="G71" s="76"/>
      <c r="H71" s="10"/>
      <c r="I71" s="55"/>
    </row>
    <row r="72" spans="2:9" x14ac:dyDescent="0.25">
      <c r="B72" s="5"/>
      <c r="C72" s="28" t="s">
        <v>134</v>
      </c>
      <c r="D72" s="106">
        <v>1000</v>
      </c>
      <c r="E72" s="9"/>
      <c r="F72" s="72"/>
      <c r="G72" s="76"/>
      <c r="H72" s="10"/>
      <c r="I72" s="55"/>
    </row>
    <row r="73" spans="2:9" x14ac:dyDescent="0.25">
      <c r="B73" s="5"/>
      <c r="C73" s="28"/>
      <c r="D73" s="35"/>
      <c r="E73" s="9"/>
      <c r="F73" s="72"/>
      <c r="G73" s="76"/>
      <c r="H73" s="10"/>
      <c r="I73" s="55"/>
    </row>
    <row r="74" spans="2:9" x14ac:dyDescent="0.25">
      <c r="B74" s="5"/>
      <c r="C74" s="28"/>
      <c r="D74" s="35"/>
      <c r="E74" s="9"/>
      <c r="F74" s="72"/>
      <c r="G74" s="76"/>
      <c r="H74" s="10"/>
      <c r="I74" s="55"/>
    </row>
    <row r="75" spans="2:9" x14ac:dyDescent="0.25">
      <c r="B75" s="5"/>
      <c r="C75" s="28"/>
      <c r="D75" s="35"/>
      <c r="E75" s="9"/>
      <c r="F75" s="72"/>
      <c r="G75" s="76"/>
      <c r="H75" s="10"/>
      <c r="I75" s="55"/>
    </row>
    <row r="76" spans="2:9" x14ac:dyDescent="0.25">
      <c r="B76" s="5"/>
      <c r="C76" s="33"/>
      <c r="D76" s="40"/>
      <c r="E76" s="9"/>
      <c r="F76" s="73"/>
      <c r="G76" s="77"/>
      <c r="H76" s="10"/>
      <c r="I76" s="55"/>
    </row>
    <row r="77" spans="2:9" x14ac:dyDescent="0.25">
      <c r="B77" s="5"/>
      <c r="C77" s="9"/>
      <c r="D77" s="9"/>
      <c r="E77" s="9"/>
      <c r="F77" s="10"/>
      <c r="G77" s="10"/>
      <c r="H77" s="10"/>
      <c r="I77" s="55"/>
    </row>
    <row r="78" spans="2:9" x14ac:dyDescent="0.25">
      <c r="B78" s="11"/>
      <c r="C78" s="12"/>
      <c r="D78" s="12"/>
      <c r="E78" s="12"/>
      <c r="F78" s="12"/>
      <c r="G78" s="12"/>
      <c r="H78" s="12"/>
      <c r="I78" s="13"/>
    </row>
  </sheetData>
  <dataValidations disablePrompts="1" count="3">
    <dataValidation type="list" allowBlank="1" showInputMessage="1" showErrorMessage="1" sqref="D23:D25 D6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37 D63 D53 D49 D39">
      <formula1>"FOLLOWING,MOD_FOLLOWING,PRECEDING,MOD_PRECEEDING,NO_CHANGE"</formula1>
    </dataValidation>
    <dataValidation type="list" allowBlank="1" showInputMessage="1" showErrorMessage="1" sqref="D38 D52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4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258</v>
      </c>
    </row>
    <row r="5" spans="1:9" x14ac:dyDescent="0.25">
      <c r="B5" s="56" t="s">
        <v>256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256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(0.01600 sec)</v>
      </c>
      <c r="F7" s="62"/>
      <c r="G7" s="63"/>
      <c r="H7" s="7"/>
      <c r="I7" s="8"/>
    </row>
    <row r="8" spans="1:9" x14ac:dyDescent="0.25">
      <c r="B8" s="5"/>
      <c r="C8" s="7"/>
      <c r="D8" s="126" t="s">
        <v>250</v>
      </c>
      <c r="E8" s="127" t="b">
        <f ca="1">LEFT(E7,10)="EURYC 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86</v>
      </c>
      <c r="E11" s="107" t="s">
        <v>78</v>
      </c>
      <c r="F11" s="7"/>
      <c r="G11" s="7"/>
      <c r="H11" s="7"/>
      <c r="I11" s="8"/>
    </row>
    <row r="12" spans="1:9" x14ac:dyDescent="0.25">
      <c r="B12" s="5"/>
      <c r="C12" s="7"/>
      <c r="D12" s="28" t="s">
        <v>85</v>
      </c>
      <c r="E12" s="108" t="s">
        <v>189</v>
      </c>
      <c r="F12" s="7"/>
      <c r="G12" s="7"/>
      <c r="H12" s="7"/>
      <c r="I12" s="8"/>
    </row>
    <row r="13" spans="1:9" x14ac:dyDescent="0.25">
      <c r="B13" s="5"/>
      <c r="C13" s="7"/>
      <c r="D13" s="59" t="s">
        <v>87</v>
      </c>
      <c r="E13" s="110" t="s">
        <v>190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68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68</v>
      </c>
      <c r="E19" s="47"/>
      <c r="F19" s="7"/>
      <c r="G19" s="50" t="s">
        <v>79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80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81</v>
      </c>
      <c r="H21" s="18"/>
      <c r="I21" s="8"/>
    </row>
    <row r="22" spans="2:9" x14ac:dyDescent="0.25">
      <c r="B22" s="5"/>
      <c r="C22" s="7"/>
      <c r="D22" s="28" t="s">
        <v>292</v>
      </c>
      <c r="E22" s="111" t="s">
        <v>82</v>
      </c>
      <c r="F22" s="7"/>
      <c r="G22" s="17" t="s">
        <v>82</v>
      </c>
      <c r="H22" s="18"/>
      <c r="I22" s="8"/>
    </row>
    <row r="23" spans="2:9" x14ac:dyDescent="0.25">
      <c r="B23" s="5"/>
      <c r="C23" s="7"/>
      <c r="D23" s="28" t="s">
        <v>287</v>
      </c>
      <c r="E23" s="108" t="b">
        <v>1</v>
      </c>
      <c r="F23" s="7"/>
      <c r="G23" s="17" t="s">
        <v>83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84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187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247</v>
      </c>
      <c r="E31" s="10"/>
      <c r="F31" s="10"/>
      <c r="G31" s="49" t="s">
        <v>188</v>
      </c>
      <c r="H31" s="10"/>
      <c r="I31" s="55"/>
    </row>
    <row r="32" spans="2:9" x14ac:dyDescent="0.25">
      <c r="B32" s="5"/>
      <c r="C32" s="122"/>
      <c r="D32" s="117" t="s">
        <v>141</v>
      </c>
      <c r="E32" s="119" t="s">
        <v>191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66" t="s">
        <v>249</v>
      </c>
      <c r="D33" s="118" t="s">
        <v>192</v>
      </c>
      <c r="E33" s="111" t="s">
        <v>82</v>
      </c>
      <c r="F33" s="9"/>
      <c r="G33" s="71" t="s">
        <v>181</v>
      </c>
      <c r="H33" s="75">
        <v>1.1300000000000001E-3</v>
      </c>
      <c r="I33" s="55"/>
    </row>
    <row r="34" spans="2:9" x14ac:dyDescent="0.25">
      <c r="B34" s="5"/>
      <c r="C34" s="167"/>
      <c r="D34" s="29" t="s">
        <v>193</v>
      </c>
      <c r="E34" s="121" t="b">
        <v>1</v>
      </c>
      <c r="F34" s="9"/>
      <c r="G34" s="72" t="s">
        <v>45</v>
      </c>
      <c r="H34" s="76">
        <v>1.1925E-3</v>
      </c>
      <c r="I34" s="55"/>
    </row>
    <row r="35" spans="2:9" x14ac:dyDescent="0.25">
      <c r="B35" s="5"/>
      <c r="C35" s="167"/>
      <c r="D35" s="29" t="s">
        <v>194</v>
      </c>
      <c r="E35" s="108" t="s">
        <v>227</v>
      </c>
      <c r="F35" s="9"/>
      <c r="G35" s="72" t="s">
        <v>41</v>
      </c>
      <c r="H35" s="76">
        <v>1.2425000000000001E-3</v>
      </c>
      <c r="I35" s="55"/>
    </row>
    <row r="36" spans="2:9" x14ac:dyDescent="0.25">
      <c r="B36" s="5"/>
      <c r="C36" s="167"/>
      <c r="D36" s="29" t="s">
        <v>195</v>
      </c>
      <c r="E36" s="108" t="s">
        <v>146</v>
      </c>
      <c r="F36" s="9"/>
      <c r="G36" s="72" t="s">
        <v>48</v>
      </c>
      <c r="H36" s="76">
        <v>1.2975E-3</v>
      </c>
      <c r="I36" s="55"/>
    </row>
    <row r="37" spans="2:9" x14ac:dyDescent="0.25">
      <c r="B37" s="5"/>
      <c r="C37" s="167"/>
      <c r="D37" s="29" t="s">
        <v>196</v>
      </c>
      <c r="E37" s="108" t="s">
        <v>28</v>
      </c>
      <c r="F37" s="9"/>
      <c r="G37" s="72" t="s">
        <v>50</v>
      </c>
      <c r="H37" s="76">
        <v>1.3324999999999999E-3</v>
      </c>
      <c r="I37" s="55"/>
    </row>
    <row r="38" spans="2:9" x14ac:dyDescent="0.25">
      <c r="B38" s="5"/>
      <c r="C38" s="167"/>
      <c r="D38" s="29" t="s">
        <v>197</v>
      </c>
      <c r="E38" s="68" t="s">
        <v>22</v>
      </c>
      <c r="F38" s="9"/>
      <c r="G38" s="72" t="s">
        <v>52</v>
      </c>
      <c r="H38" s="76">
        <v>1.3074999999999999E-3</v>
      </c>
      <c r="I38" s="55"/>
    </row>
    <row r="39" spans="2:9" x14ac:dyDescent="0.25">
      <c r="B39" s="5"/>
      <c r="C39" s="167"/>
      <c r="D39" s="29" t="s">
        <v>198</v>
      </c>
      <c r="E39" s="108" t="s">
        <v>30</v>
      </c>
      <c r="F39" s="9"/>
      <c r="G39" s="72" t="s">
        <v>54</v>
      </c>
      <c r="H39" s="76">
        <v>1.2725E-3</v>
      </c>
      <c r="I39" s="55"/>
    </row>
    <row r="40" spans="2:9" x14ac:dyDescent="0.25">
      <c r="B40" s="5"/>
      <c r="C40" s="167"/>
      <c r="D40" s="29" t="s">
        <v>199</v>
      </c>
      <c r="E40" s="108" t="s">
        <v>229</v>
      </c>
      <c r="F40" s="9"/>
      <c r="G40" s="72" t="s">
        <v>56</v>
      </c>
      <c r="H40" s="76">
        <v>1.2275000000000001E-3</v>
      </c>
      <c r="I40" s="55"/>
    </row>
    <row r="41" spans="2:9" x14ac:dyDescent="0.25">
      <c r="B41" s="5"/>
      <c r="C41" s="167"/>
      <c r="D41" s="29" t="s">
        <v>200</v>
      </c>
      <c r="E41" s="108" t="s">
        <v>230</v>
      </c>
      <c r="F41" s="9"/>
      <c r="G41" s="72" t="s">
        <v>58</v>
      </c>
      <c r="H41" s="76">
        <v>1.1675000000000001E-3</v>
      </c>
      <c r="I41" s="55"/>
    </row>
    <row r="42" spans="2:9" x14ac:dyDescent="0.25">
      <c r="B42" s="5"/>
      <c r="C42" s="167"/>
      <c r="D42" s="29" t="s">
        <v>201</v>
      </c>
      <c r="E42" s="108" t="s">
        <v>167</v>
      </c>
      <c r="F42" s="9"/>
      <c r="G42" s="72" t="s">
        <v>59</v>
      </c>
      <c r="H42" s="76">
        <v>1.1025E-3</v>
      </c>
      <c r="I42" s="55"/>
    </row>
    <row r="43" spans="2:9" x14ac:dyDescent="0.25">
      <c r="B43" s="5"/>
      <c r="C43" s="167"/>
      <c r="D43" s="29" t="s">
        <v>202</v>
      </c>
      <c r="E43" s="108" t="s">
        <v>146</v>
      </c>
      <c r="F43" s="9"/>
      <c r="G43" s="72" t="s">
        <v>60</v>
      </c>
      <c r="H43" s="76">
        <v>1.0425E-3</v>
      </c>
      <c r="I43" s="55"/>
    </row>
    <row r="44" spans="2:9" x14ac:dyDescent="0.25">
      <c r="B44" s="5"/>
      <c r="C44" s="167"/>
      <c r="D44" s="29" t="s">
        <v>203</v>
      </c>
      <c r="E44" s="108" t="s">
        <v>2</v>
      </c>
      <c r="F44" s="9"/>
      <c r="G44" s="72" t="s">
        <v>61</v>
      </c>
      <c r="H44" s="76">
        <v>9.9250000000000011E-4</v>
      </c>
      <c r="I44" s="55"/>
    </row>
    <row r="45" spans="2:9" x14ac:dyDescent="0.25">
      <c r="B45" s="5"/>
      <c r="C45" s="167"/>
      <c r="D45" s="29" t="s">
        <v>204</v>
      </c>
      <c r="E45" s="108" t="s">
        <v>98</v>
      </c>
      <c r="F45" s="9"/>
      <c r="G45" s="72" t="s">
        <v>62</v>
      </c>
      <c r="H45" s="76">
        <v>8.6249999999999999E-4</v>
      </c>
      <c r="I45" s="55"/>
    </row>
    <row r="46" spans="2:9" x14ac:dyDescent="0.25">
      <c r="B46" s="5"/>
      <c r="C46" s="167"/>
      <c r="D46" s="29" t="s">
        <v>205</v>
      </c>
      <c r="E46" s="108" t="s">
        <v>228</v>
      </c>
      <c r="F46" s="9"/>
      <c r="G46" s="72" t="s">
        <v>63</v>
      </c>
      <c r="H46" s="76">
        <v>6.8749999999999996E-4</v>
      </c>
      <c r="I46" s="55"/>
    </row>
    <row r="47" spans="2:9" x14ac:dyDescent="0.25">
      <c r="B47" s="5"/>
      <c r="C47" s="167"/>
      <c r="D47" s="29" t="s">
        <v>206</v>
      </c>
      <c r="E47" s="108">
        <v>2</v>
      </c>
      <c r="F47" s="9"/>
      <c r="G47" s="72" t="s">
        <v>64</v>
      </c>
      <c r="H47" s="76">
        <v>5.8250000000000001E-4</v>
      </c>
      <c r="I47" s="55"/>
    </row>
    <row r="48" spans="2:9" x14ac:dyDescent="0.25">
      <c r="B48" s="5"/>
      <c r="C48" s="168"/>
      <c r="D48" s="29" t="s">
        <v>207</v>
      </c>
      <c r="E48" s="68" t="s">
        <v>22</v>
      </c>
      <c r="F48" s="9"/>
      <c r="G48" s="72" t="s">
        <v>65</v>
      </c>
      <c r="H48" s="76">
        <v>5.1250000000000004E-4</v>
      </c>
      <c r="I48" s="55"/>
    </row>
    <row r="49" spans="2:9" x14ac:dyDescent="0.25">
      <c r="B49" s="5"/>
      <c r="C49" s="169" t="s">
        <v>248</v>
      </c>
      <c r="D49" s="118" t="s">
        <v>208</v>
      </c>
      <c r="E49" s="120" t="s">
        <v>227</v>
      </c>
      <c r="F49" s="9"/>
      <c r="G49" s="72"/>
      <c r="H49" s="76"/>
      <c r="I49" s="55"/>
    </row>
    <row r="50" spans="2:9" x14ac:dyDescent="0.25">
      <c r="B50" s="5"/>
      <c r="C50" s="170"/>
      <c r="D50" s="29" t="s">
        <v>209</v>
      </c>
      <c r="E50" s="108" t="s">
        <v>146</v>
      </c>
      <c r="F50" s="9"/>
      <c r="G50" s="72"/>
      <c r="H50" s="76"/>
      <c r="I50" s="55"/>
    </row>
    <row r="51" spans="2:9" x14ac:dyDescent="0.25">
      <c r="B51" s="5"/>
      <c r="C51" s="170"/>
      <c r="D51" s="29" t="s">
        <v>210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70"/>
      <c r="D52" s="29" t="s">
        <v>211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70"/>
      <c r="D53" s="29" t="s">
        <v>212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70"/>
      <c r="D54" s="29" t="s">
        <v>213</v>
      </c>
      <c r="E54" s="108" t="s">
        <v>214</v>
      </c>
      <c r="F54" s="9"/>
      <c r="G54" s="72"/>
      <c r="H54" s="76"/>
      <c r="I54" s="55"/>
    </row>
    <row r="55" spans="2:9" x14ac:dyDescent="0.25">
      <c r="B55" s="5"/>
      <c r="C55" s="170"/>
      <c r="D55" s="29" t="s">
        <v>215</v>
      </c>
      <c r="E55" s="108" t="s">
        <v>231</v>
      </c>
      <c r="F55" s="9"/>
      <c r="G55" s="72"/>
      <c r="H55" s="76"/>
      <c r="I55" s="55"/>
    </row>
    <row r="56" spans="2:9" x14ac:dyDescent="0.25">
      <c r="B56" s="5"/>
      <c r="C56" s="170"/>
      <c r="D56" s="29" t="s">
        <v>216</v>
      </c>
      <c r="E56" s="108" t="s">
        <v>167</v>
      </c>
      <c r="F56" s="9"/>
      <c r="G56" s="72"/>
      <c r="H56" s="76"/>
      <c r="I56" s="55"/>
    </row>
    <row r="57" spans="2:9" x14ac:dyDescent="0.25">
      <c r="B57" s="5"/>
      <c r="C57" s="170"/>
      <c r="D57" s="29" t="s">
        <v>217</v>
      </c>
      <c r="E57" s="108" t="s">
        <v>146</v>
      </c>
      <c r="F57" s="9"/>
      <c r="G57" s="72"/>
      <c r="H57" s="76"/>
      <c r="I57" s="55"/>
    </row>
    <row r="58" spans="2:9" x14ac:dyDescent="0.25">
      <c r="B58" s="5"/>
      <c r="C58" s="170"/>
      <c r="D58" s="29" t="s">
        <v>218</v>
      </c>
      <c r="E58" s="108" t="s">
        <v>228</v>
      </c>
      <c r="F58" s="9"/>
      <c r="G58" s="72"/>
      <c r="H58" s="76"/>
      <c r="I58" s="55"/>
    </row>
    <row r="59" spans="2:9" x14ac:dyDescent="0.25">
      <c r="B59" s="5"/>
      <c r="C59" s="170"/>
      <c r="D59" s="29" t="s">
        <v>219</v>
      </c>
      <c r="E59" s="108" t="s">
        <v>98</v>
      </c>
      <c r="F59" s="9"/>
      <c r="G59" s="72"/>
      <c r="H59" s="76"/>
      <c r="I59" s="55"/>
    </row>
    <row r="60" spans="2:9" x14ac:dyDescent="0.25">
      <c r="B60" s="5"/>
      <c r="C60" s="170"/>
      <c r="D60" s="29" t="s">
        <v>220</v>
      </c>
      <c r="E60" s="108" t="s">
        <v>228</v>
      </c>
      <c r="F60" s="9"/>
      <c r="G60" s="72"/>
      <c r="H60" s="76"/>
      <c r="I60" s="55"/>
    </row>
    <row r="61" spans="2:9" x14ac:dyDescent="0.25">
      <c r="B61" s="5"/>
      <c r="C61" s="170"/>
      <c r="D61" s="29" t="s">
        <v>221</v>
      </c>
      <c r="E61" s="108" t="s">
        <v>121</v>
      </c>
      <c r="F61" s="9"/>
      <c r="G61" s="72"/>
      <c r="H61" s="76"/>
      <c r="I61" s="55"/>
    </row>
    <row r="62" spans="2:9" x14ac:dyDescent="0.25">
      <c r="B62" s="5"/>
      <c r="C62" s="171"/>
      <c r="D62" s="29" t="s">
        <v>222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69" t="s">
        <v>288</v>
      </c>
      <c r="D63" s="118" t="s">
        <v>223</v>
      </c>
      <c r="E63" s="123" t="s">
        <v>224</v>
      </c>
      <c r="F63" s="9"/>
      <c r="G63" s="72"/>
      <c r="H63" s="76"/>
      <c r="I63" s="55"/>
    </row>
    <row r="64" spans="2:9" x14ac:dyDescent="0.25">
      <c r="B64" s="5"/>
      <c r="C64" s="172"/>
      <c r="D64" s="29" t="s">
        <v>132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72"/>
      <c r="D65" s="29" t="s">
        <v>177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72"/>
      <c r="D66" s="29" t="s">
        <v>176</v>
      </c>
      <c r="E66" s="111" t="s">
        <v>82</v>
      </c>
      <c r="F66" s="9"/>
      <c r="G66" s="72"/>
      <c r="H66" s="76"/>
      <c r="I66" s="55"/>
    </row>
    <row r="67" spans="2:9" x14ac:dyDescent="0.25">
      <c r="B67" s="5"/>
      <c r="C67" s="172"/>
      <c r="D67" s="29" t="s">
        <v>180</v>
      </c>
      <c r="E67" s="108" t="s">
        <v>225</v>
      </c>
      <c r="F67" s="9"/>
      <c r="G67" s="72"/>
      <c r="H67" s="76"/>
      <c r="I67" s="55"/>
    </row>
    <row r="68" spans="2:9" x14ac:dyDescent="0.25">
      <c r="B68" s="5"/>
      <c r="C68" s="172"/>
      <c r="D68" s="29" t="s">
        <v>179</v>
      </c>
      <c r="E68" s="108" t="s">
        <v>167</v>
      </c>
      <c r="F68" s="9"/>
      <c r="G68" s="72"/>
      <c r="H68" s="76"/>
      <c r="I68" s="55"/>
    </row>
    <row r="69" spans="2:9" x14ac:dyDescent="0.25">
      <c r="B69" s="5"/>
      <c r="C69" s="172"/>
      <c r="D69" s="28" t="s">
        <v>133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72"/>
      <c r="D70" s="28" t="s">
        <v>134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72"/>
      <c r="D71" s="29" t="s">
        <v>178</v>
      </c>
      <c r="E71" s="108" t="b">
        <v>1</v>
      </c>
      <c r="F71" s="9"/>
      <c r="G71" s="72"/>
      <c r="H71" s="76"/>
      <c r="I71" s="55"/>
    </row>
    <row r="72" spans="2:9" x14ac:dyDescent="0.25">
      <c r="B72" s="5"/>
      <c r="C72" s="173"/>
      <c r="D72" s="33"/>
      <c r="E72" s="40"/>
      <c r="F72" s="9"/>
      <c r="G72" s="73"/>
      <c r="H72" s="77"/>
      <c r="I72" s="55"/>
    </row>
    <row r="73" spans="2:9" x14ac:dyDescent="0.25">
      <c r="B73" s="5"/>
      <c r="C73" s="7"/>
      <c r="D73" s="9"/>
      <c r="E73" s="9"/>
      <c r="F73" s="9"/>
      <c r="G73" s="10"/>
      <c r="H73" s="10"/>
      <c r="I73" s="55"/>
    </row>
    <row r="74" spans="2:9" x14ac:dyDescent="0.25">
      <c r="B74" s="11"/>
      <c r="C74" s="12"/>
      <c r="D74" s="12"/>
      <c r="E74" s="12"/>
      <c r="F74" s="12"/>
      <c r="G74" s="12"/>
      <c r="H74" s="12"/>
      <c r="I74" s="13"/>
    </row>
  </sheetData>
  <mergeCells count="3">
    <mergeCell ref="C33:C48"/>
    <mergeCell ref="C49:C62"/>
    <mergeCell ref="C63:C72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S1518"/>
  <sheetViews>
    <sheetView showGridLines="0" tabSelected="1" workbookViewId="0"/>
  </sheetViews>
  <sheetFormatPr defaultRowHeight="15" x14ac:dyDescent="0.25"/>
  <cols>
    <col min="1" max="1" width="9.140625" style="128"/>
    <col min="2" max="2" width="2.7109375" customWidth="1"/>
    <col min="3" max="3" width="19" customWidth="1"/>
    <col min="4" max="4" width="20.7109375" customWidth="1"/>
    <col min="5" max="5" width="23.42578125" customWidth="1"/>
    <col min="6" max="6" width="21.85546875" customWidth="1"/>
    <col min="7" max="7" width="4.42578125" customWidth="1"/>
    <col min="8" max="8" width="15.7109375" customWidth="1"/>
    <col min="9" max="9" width="20.7109375" customWidth="1"/>
    <col min="10" max="10" width="28.7109375" customWidth="1"/>
    <col min="11" max="11" width="4.7109375" customWidth="1"/>
    <col min="12" max="12" width="23" customWidth="1"/>
    <col min="13" max="13" width="17.42578125" customWidth="1"/>
    <col min="14" max="14" width="35.7109375" customWidth="1"/>
    <col min="15" max="15" width="2.85546875" customWidth="1"/>
    <col min="16" max="16" width="17.85546875" customWidth="1"/>
    <col min="17" max="17" width="18" customWidth="1"/>
    <col min="18" max="18" width="35.5703125" customWidth="1"/>
  </cols>
  <sheetData>
    <row r="2" spans="1:19" ht="23.25" x14ac:dyDescent="0.25">
      <c r="C2" s="157" t="s">
        <v>294</v>
      </c>
    </row>
    <row r="3" spans="1:19" x14ac:dyDescent="0.25">
      <c r="C3" s="145" t="s">
        <v>293</v>
      </c>
    </row>
    <row r="4" spans="1:19" x14ac:dyDescent="0.25">
      <c r="A4"/>
      <c r="C4" s="145" t="s">
        <v>281</v>
      </c>
    </row>
    <row r="6" spans="1:19" x14ac:dyDescent="0.25">
      <c r="A6"/>
      <c r="B6" s="56"/>
      <c r="K6" s="56"/>
    </row>
    <row r="7" spans="1:19" x14ac:dyDescent="0.25">
      <c r="A7"/>
      <c r="B7" s="130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2"/>
    </row>
    <row r="8" spans="1:19" x14ac:dyDescent="0.25">
      <c r="A8"/>
      <c r="B8" s="133"/>
      <c r="C8" s="129" t="s">
        <v>289</v>
      </c>
      <c r="D8" s="7"/>
      <c r="E8" s="7"/>
      <c r="F8" s="7"/>
      <c r="G8" s="7"/>
      <c r="H8" s="129" t="s">
        <v>282</v>
      </c>
      <c r="I8" s="7"/>
      <c r="J8" s="7"/>
      <c r="K8" s="7"/>
      <c r="L8" s="129" t="s">
        <v>291</v>
      </c>
      <c r="M8" s="7"/>
      <c r="N8" s="7"/>
      <c r="O8" s="7"/>
      <c r="P8" s="129" t="s">
        <v>290</v>
      </c>
      <c r="Q8" s="7"/>
      <c r="R8" s="7"/>
      <c r="S8" s="134"/>
    </row>
    <row r="9" spans="1:19" x14ac:dyDescent="0.25">
      <c r="A9"/>
      <c r="B9" s="133"/>
      <c r="C9" s="141" t="s">
        <v>86</v>
      </c>
      <c r="D9" s="142" t="s">
        <v>232</v>
      </c>
      <c r="E9" s="7"/>
      <c r="F9" s="7"/>
      <c r="G9" s="7"/>
      <c r="H9" s="141" t="s">
        <v>86</v>
      </c>
      <c r="I9" s="142" t="s">
        <v>232</v>
      </c>
      <c r="J9" s="7"/>
      <c r="K9" s="7"/>
      <c r="L9" s="141" t="s">
        <v>86</v>
      </c>
      <c r="M9" s="142" t="s">
        <v>78</v>
      </c>
      <c r="N9" s="7"/>
      <c r="O9" s="7"/>
      <c r="P9" s="141" t="s">
        <v>86</v>
      </c>
      <c r="Q9" s="142" t="s">
        <v>78</v>
      </c>
      <c r="R9" s="7"/>
      <c r="S9" s="134"/>
    </row>
    <row r="10" spans="1:19" x14ac:dyDescent="0.25">
      <c r="A10"/>
      <c r="B10" s="133"/>
      <c r="C10" s="143" t="s">
        <v>259</v>
      </c>
      <c r="D10" s="108" t="s">
        <v>289</v>
      </c>
      <c r="E10" s="7"/>
      <c r="F10" s="7"/>
      <c r="G10" s="7"/>
      <c r="H10" s="143" t="s">
        <v>259</v>
      </c>
      <c r="I10" s="108" t="s">
        <v>282</v>
      </c>
      <c r="J10" s="7"/>
      <c r="K10" s="7"/>
      <c r="L10" s="143" t="s">
        <v>259</v>
      </c>
      <c r="M10" s="108" t="s">
        <v>291</v>
      </c>
      <c r="N10" s="7"/>
      <c r="O10" s="7"/>
      <c r="P10" s="143" t="s">
        <v>259</v>
      </c>
      <c r="Q10" s="108" t="s">
        <v>290</v>
      </c>
      <c r="R10" s="7"/>
      <c r="S10" s="134"/>
    </row>
    <row r="11" spans="1:19" x14ac:dyDescent="0.25">
      <c r="A11"/>
      <c r="B11" s="133"/>
      <c r="C11" s="143" t="s">
        <v>296</v>
      </c>
      <c r="D11" s="108" t="s">
        <v>297</v>
      </c>
      <c r="E11" s="7"/>
      <c r="F11" s="7"/>
      <c r="G11" s="7"/>
      <c r="H11" s="143" t="s">
        <v>296</v>
      </c>
      <c r="I11" s="108" t="s">
        <v>297</v>
      </c>
      <c r="J11" s="7"/>
      <c r="K11" s="7"/>
      <c r="L11" s="143" t="s">
        <v>18</v>
      </c>
      <c r="M11" s="108" t="s">
        <v>6</v>
      </c>
      <c r="N11" s="7"/>
      <c r="O11" s="7"/>
      <c r="P11" s="143" t="s">
        <v>18</v>
      </c>
      <c r="Q11" s="108" t="s">
        <v>6</v>
      </c>
      <c r="R11" s="7"/>
      <c r="S11" s="134"/>
    </row>
    <row r="12" spans="1:19" x14ac:dyDescent="0.25">
      <c r="A12"/>
      <c r="B12" s="133"/>
      <c r="C12" s="144"/>
      <c r="D12" s="110"/>
      <c r="E12" s="7"/>
      <c r="F12" s="7"/>
      <c r="G12" s="7"/>
      <c r="H12" s="144"/>
      <c r="I12" s="110"/>
      <c r="J12" s="7"/>
      <c r="K12" s="7"/>
      <c r="L12" s="144" t="s">
        <v>1</v>
      </c>
      <c r="M12" s="110" t="s">
        <v>2</v>
      </c>
      <c r="N12" s="7"/>
      <c r="O12" s="7"/>
      <c r="P12" s="144" t="s">
        <v>1</v>
      </c>
      <c r="Q12" s="110" t="s">
        <v>2</v>
      </c>
      <c r="R12" s="7"/>
      <c r="S12" s="134"/>
    </row>
    <row r="13" spans="1:19" x14ac:dyDescent="0.25">
      <c r="B13" s="133"/>
      <c r="C13" s="7"/>
      <c r="D13" s="7"/>
      <c r="E13" s="135"/>
      <c r="F13" s="135"/>
      <c r="G13" s="7"/>
      <c r="H13" s="7"/>
      <c r="I13" s="7"/>
      <c r="J13" s="7"/>
      <c r="K13" s="7"/>
      <c r="L13" s="135"/>
      <c r="M13" s="135"/>
      <c r="N13" s="135"/>
      <c r="O13" s="7"/>
      <c r="P13" s="7"/>
      <c r="Q13" s="7"/>
      <c r="R13" s="7"/>
      <c r="S13" s="134"/>
    </row>
    <row r="14" spans="1:19" x14ac:dyDescent="0.25">
      <c r="B14" s="133"/>
      <c r="C14" s="7"/>
      <c r="D14" s="7"/>
      <c r="E14" s="135"/>
      <c r="F14" s="135"/>
      <c r="G14" s="7"/>
      <c r="H14" s="7"/>
      <c r="I14" s="7"/>
      <c r="J14" s="7"/>
      <c r="K14" s="7"/>
      <c r="L14" s="135"/>
      <c r="M14" s="7"/>
      <c r="N14" s="135"/>
      <c r="O14" s="7"/>
      <c r="P14" s="7"/>
      <c r="Q14" s="7"/>
      <c r="R14" s="7"/>
      <c r="S14" s="134"/>
    </row>
    <row r="15" spans="1:19" x14ac:dyDescent="0.25">
      <c r="B15" s="133"/>
      <c r="C15" s="129" t="str">
        <f ca="1">C8&amp;" Forwards"</f>
        <v>USDOIS Forwards</v>
      </c>
      <c r="D15" s="7"/>
      <c r="E15" s="162" t="s">
        <v>298</v>
      </c>
      <c r="F15" s="162" t="s">
        <v>295</v>
      </c>
      <c r="G15" s="7"/>
      <c r="H15" s="129" t="str">
        <f ca="1">H8&amp;" Forwards"</f>
        <v>USD3ML Forwards</v>
      </c>
      <c r="I15" s="7"/>
      <c r="J15" s="7"/>
      <c r="K15" s="7"/>
      <c r="L15" s="129" t="str">
        <f ca="1">L8&amp;" Forwards"</f>
        <v>EURDF Forwards</v>
      </c>
      <c r="M15" s="140"/>
      <c r="N15" s="135"/>
      <c r="O15" s="7"/>
      <c r="P15" s="129" t="str">
        <f ca="1">P8&amp;" Forwards"</f>
        <v>EURDF_USDCSA Forwards</v>
      </c>
      <c r="Q15" s="7"/>
      <c r="R15" s="7"/>
      <c r="S15" s="134"/>
    </row>
    <row r="16" spans="1:19" x14ac:dyDescent="0.25">
      <c r="B16" s="133"/>
      <c r="C16" s="136" t="s">
        <v>260</v>
      </c>
      <c r="D16" s="136" t="s">
        <v>261</v>
      </c>
      <c r="E16" s="137" t="s">
        <v>262</v>
      </c>
      <c r="F16" s="137" t="s">
        <v>262</v>
      </c>
      <c r="G16" s="7"/>
      <c r="H16" s="136" t="s">
        <v>260</v>
      </c>
      <c r="I16" s="136" t="s">
        <v>261</v>
      </c>
      <c r="J16" s="137" t="s">
        <v>262</v>
      </c>
      <c r="K16" s="7"/>
      <c r="L16" s="136" t="s">
        <v>260</v>
      </c>
      <c r="M16" s="136" t="s">
        <v>263</v>
      </c>
      <c r="N16" s="137" t="s">
        <v>264</v>
      </c>
      <c r="O16" s="7"/>
      <c r="P16" s="136" t="s">
        <v>260</v>
      </c>
      <c r="Q16" s="136" t="s">
        <v>263</v>
      </c>
      <c r="R16" s="137" t="s">
        <v>264</v>
      </c>
      <c r="S16" s="134"/>
    </row>
    <row r="17" spans="1:19" x14ac:dyDescent="0.25">
      <c r="A17" s="128">
        <v>1</v>
      </c>
      <c r="B17" s="133"/>
      <c r="C17" s="146">
        <v>42419</v>
      </c>
      <c r="D17" s="147">
        <f ca="1">_xll.meDateFromTenor(C17,"1D","Following",$D$11,"Normal")</f>
        <v>42422</v>
      </c>
      <c r="E17" s="158">
        <f t="array" aca="1" ref="E17:E1516" ca="1">IF(NOW(),_xll.meCurveForwardRatesFromForwardDates(C17:C1516,D17:D1516,$D$9,$D$10))</f>
        <v>3.7000000000109168E-3</v>
      </c>
      <c r="F17" s="160">
        <f ca="1">_xll.meCurveForwardRates(C17,$D$9,$D$10)</f>
        <v>3.7067559101113812E-3</v>
      </c>
      <c r="G17" s="7" t="s">
        <v>4</v>
      </c>
      <c r="H17" s="146">
        <f t="shared" ref="H17:H80" ca="1" si="0">$C17</f>
        <v>42419</v>
      </c>
      <c r="I17" s="147">
        <f ca="1">_xll.meDateFromTenor(H17,"3M","Following",$I$11,"Normal")</f>
        <v>42509</v>
      </c>
      <c r="J17" s="148">
        <f t="array" aca="1" ref="J17:J1516" ca="1">IF(NOW(),_xll.meCurveForwardRatesFromForwardDates(H17:H1516,I17:I1516,I9,I10))</f>
        <v>6.2460000000001794E-3</v>
      </c>
      <c r="K17" s="7" t="s">
        <v>4</v>
      </c>
      <c r="L17" s="146">
        <v>42419</v>
      </c>
      <c r="M17" s="154">
        <f t="array" aca="1" ref="M17" ca="1">_xll.meDateYearFraction(C17,D17,$M$11)</f>
        <v>8.3333333333333332E-3</v>
      </c>
      <c r="N17" s="148">
        <f t="array" aca="1" ref="N17:N1516" ca="1">IF(NOW(),_xll.meCurveForwardRatesFromYearFraction(L17,M17,$M$11,$M$9,$M$10))</f>
        <v>-2.4300000000065936E-3</v>
      </c>
      <c r="O17" s="7" t="s">
        <v>4</v>
      </c>
      <c r="P17" s="146">
        <f t="shared" ref="P17:P80" ca="1" si="1">$C17</f>
        <v>42419</v>
      </c>
      <c r="Q17" s="154">
        <f ca="1">_xll.meDateYearFraction(H17,I17,$Q$11,TRUE)</f>
        <v>0.25</v>
      </c>
      <c r="R17" s="148">
        <f ca="1">IF(NOW(),_xll.meCurveForwardRatesFromYearFraction(P17,Q17,$Q$11,$Q$9,$Q$10))</f>
        <v>-3.7175485397107962E-3</v>
      </c>
      <c r="S17" s="134" t="s">
        <v>4</v>
      </c>
    </row>
    <row r="18" spans="1:19" x14ac:dyDescent="0.25">
      <c r="A18" s="128">
        <v>2</v>
      </c>
      <c r="B18" s="133"/>
      <c r="C18" s="149">
        <f ca="1">_xll.meDateFromTenor(C17,"1D","FOLLOWING",$D$11,"NORMAL")</f>
        <v>42422</v>
      </c>
      <c r="D18" s="20">
        <f ca="1">_xll.meDateFromTenor(C18,"1D","Following",$D$11,"Normal")</f>
        <v>42423</v>
      </c>
      <c r="E18" s="99">
        <f ca="1"/>
        <v>3.6999999999842706E-3</v>
      </c>
      <c r="F18" s="161">
        <f ca="1">_xll.meCurveForwardRates(C18,$D$9,$D$10)</f>
        <v>3.7068343657260527E-3</v>
      </c>
      <c r="G18" s="7" t="s">
        <v>4</v>
      </c>
      <c r="H18" s="149">
        <f ca="1">$C18</f>
        <v>42422</v>
      </c>
      <c r="I18" s="20">
        <f ca="1">_xll.meDateFromTenor(H18,"3M","Following",$I$11,"Normal")</f>
        <v>42513</v>
      </c>
      <c r="J18" s="150">
        <f ca="1"/>
        <v>6.241781442044618E-3</v>
      </c>
      <c r="K18" s="7" t="s">
        <v>4</v>
      </c>
      <c r="L18" s="149" t="e">
        <f ca="1">_xll.meDateFromTenor(L17,"1D","FOLLOWING",#REF!,"NORMAL")</f>
        <v>#VALUE!</v>
      </c>
      <c r="M18" s="155">
        <f ca="1">_xll.meDateYearFraction(C18,D18,$M$11)</f>
        <v>2.7777777777777779E-3</v>
      </c>
      <c r="N18" s="150">
        <f ca="1"/>
        <v>-2.4300000000065936E-3</v>
      </c>
      <c r="O18" s="7" t="s">
        <v>4</v>
      </c>
      <c r="P18" s="149">
        <f t="shared" ca="1" si="1"/>
        <v>42422</v>
      </c>
      <c r="Q18" s="155">
        <f ca="1">_xll.meDateYearFraction(H18,I18,$Q$11,TRUE)</f>
        <v>0.25277777777777777</v>
      </c>
      <c r="R18" s="150">
        <f ca="1">IF(NOW(),_xll.meCurveForwardRatesFromYearFraction(P18,Q18,$Q$11,$Q$9,$Q$10))</f>
        <v>-3.7174210642347098E-3</v>
      </c>
      <c r="S18" s="134" t="s">
        <v>4</v>
      </c>
    </row>
    <row r="19" spans="1:19" x14ac:dyDescent="0.25">
      <c r="A19" s="128">
        <v>3</v>
      </c>
      <c r="B19" s="133"/>
      <c r="C19" s="149">
        <f ca="1">_xll.meDateFromTenor(C18,"1D","FOLLOWING",$D$11,"NORMAL")</f>
        <v>42423</v>
      </c>
      <c r="D19" s="20">
        <f ca="1">_xll.meDateFromTenor(C19,"1D","Following",$D$11,"Normal")</f>
        <v>42424</v>
      </c>
      <c r="E19" s="99">
        <f ca="1"/>
        <v>3.6999999999842732E-3</v>
      </c>
      <c r="F19" s="161">
        <f ca="1">_xll.meCurveForwardRates(C19,$D$9,$D$10)</f>
        <v>3.7068343657260527E-3</v>
      </c>
      <c r="G19" s="7" t="s">
        <v>4</v>
      </c>
      <c r="H19" s="149">
        <f ca="1">$C19</f>
        <v>42423</v>
      </c>
      <c r="I19" s="20">
        <f ca="1">_xll.meDateFromTenor(H19,"3M","Following",$I$11,"Normal")</f>
        <v>42513</v>
      </c>
      <c r="J19" s="150">
        <f ca="1"/>
        <v>6.2460000000001794E-3</v>
      </c>
      <c r="K19" s="7" t="s">
        <v>4</v>
      </c>
      <c r="L19" s="149" t="e">
        <f ca="1">_xll.meDateFromTenor(L18,"1D","FOLLOWING",#REF!,"NORMAL")</f>
        <v>#VALUE!</v>
      </c>
      <c r="M19" s="155">
        <f ca="1">_xll.meDateYearFraction(C19,D19,$M$11)</f>
        <v>2.7777777777777779E-3</v>
      </c>
      <c r="N19" s="150">
        <f ca="1"/>
        <v>-2.4300000000065936E-3</v>
      </c>
      <c r="O19" s="7" t="s">
        <v>4</v>
      </c>
      <c r="P19" s="149">
        <f t="shared" ca="1" si="1"/>
        <v>42423</v>
      </c>
      <c r="Q19" s="155">
        <f ca="1">_xll.meDateYearFraction(H19,I19,$Q$11,TRUE)</f>
        <v>0.25</v>
      </c>
      <c r="R19" s="150">
        <f ca="1">IF(NOW(),_xll.meCurveForwardRatesFromYearFraction(P19,Q19,$Q$11,$Q$9,$Q$10))</f>
        <v>-3.7175485397107962E-3</v>
      </c>
      <c r="S19" s="134" t="s">
        <v>4</v>
      </c>
    </row>
    <row r="20" spans="1:19" x14ac:dyDescent="0.25">
      <c r="A20" s="128">
        <v>4</v>
      </c>
      <c r="B20" s="133"/>
      <c r="C20" s="149">
        <f ca="1">_xll.meDateFromTenor(C19,"1D","FOLLOWING",$D$11,"NORMAL")</f>
        <v>42424</v>
      </c>
      <c r="D20" s="20">
        <f ca="1">_xll.meDateFromTenor(C20,"1D","Following",$D$11,"Normal")</f>
        <v>42425</v>
      </c>
      <c r="E20" s="99">
        <f ca="1"/>
        <v>3.6999999999842706E-3</v>
      </c>
      <c r="F20" s="161">
        <f ca="1">_xll.meCurveForwardRates(C20,$D$9,$D$10)</f>
        <v>3.7068343657260527E-3</v>
      </c>
      <c r="G20" s="7" t="s">
        <v>4</v>
      </c>
      <c r="H20" s="149">
        <f t="shared" ca="1" si="0"/>
        <v>42424</v>
      </c>
      <c r="I20" s="20">
        <f ca="1">_xll.meDateFromTenor(H20,"3M","Following",$I$11,"Normal")</f>
        <v>42514</v>
      </c>
      <c r="J20" s="150">
        <f ca="1"/>
        <v>6.2556424181842742E-3</v>
      </c>
      <c r="K20" s="7" t="s">
        <v>4</v>
      </c>
      <c r="L20" s="149" t="e">
        <f ca="1">_xll.meDateFromTenor(L19,"1D","FOLLOWING",#REF!,"NORMAL")</f>
        <v>#VALUE!</v>
      </c>
      <c r="M20" s="155">
        <f ca="1">_xll.meDateYearFraction(C20,D20,$M$11)</f>
        <v>2.7777777777777779E-3</v>
      </c>
      <c r="N20" s="150">
        <f ca="1"/>
        <v>-2.4300000000065936E-3</v>
      </c>
      <c r="O20" s="7" t="s">
        <v>4</v>
      </c>
      <c r="P20" s="149">
        <f t="shared" ca="1" si="1"/>
        <v>42424</v>
      </c>
      <c r="Q20" s="155">
        <f ca="1">_xll.meDateYearFraction(H20,I20,$Q$11,TRUE)</f>
        <v>0.25</v>
      </c>
      <c r="R20" s="150">
        <f ca="1">IF(NOW(),_xll.meCurveForwardRatesFromYearFraction(P20,Q20,$Q$11,$Q$9,$Q$10))</f>
        <v>-3.7179056138218463E-3</v>
      </c>
      <c r="S20" s="134" t="s">
        <v>4</v>
      </c>
    </row>
    <row r="21" spans="1:19" x14ac:dyDescent="0.25">
      <c r="A21" s="128">
        <v>5</v>
      </c>
      <c r="B21" s="133"/>
      <c r="C21" s="149">
        <f ca="1">_xll.meDateFromTenor(C20,"1D","FOLLOWING",$D$11,"NORMAL")</f>
        <v>42425</v>
      </c>
      <c r="D21" s="20">
        <f ca="1">_xll.meDateFromTenor(C21,"1D","Following",$D$11,"Normal")</f>
        <v>42426</v>
      </c>
      <c r="E21" s="99">
        <f ca="1"/>
        <v>3.6999999999842706E-3</v>
      </c>
      <c r="F21" s="161">
        <f ca="1">_xll.meCurveForwardRates(C21,$D$9,$D$10)</f>
        <v>3.7068343657260527E-3</v>
      </c>
      <c r="G21" s="7" t="s">
        <v>4</v>
      </c>
      <c r="H21" s="149">
        <f t="shared" ca="1" si="0"/>
        <v>42425</v>
      </c>
      <c r="I21" s="20">
        <f ca="1">_xll.meDateFromTenor(H21,"3M","Following",$I$11,"Normal")</f>
        <v>42515</v>
      </c>
      <c r="J21" s="150">
        <f ca="1"/>
        <v>6.2652848363684592E-3</v>
      </c>
      <c r="K21" s="7" t="s">
        <v>4</v>
      </c>
      <c r="L21" s="149" t="e">
        <f ca="1">_xll.meDateFromTenor(L20,"1D","FOLLOWING",#REF!,"NORMAL")</f>
        <v>#VALUE!</v>
      </c>
      <c r="M21" s="155">
        <f ca="1">_xll.meDateYearFraction(C21,D21,$M$11)</f>
        <v>2.7777777777777779E-3</v>
      </c>
      <c r="N21" s="150">
        <f ca="1"/>
        <v>-2.4300000000065936E-3</v>
      </c>
      <c r="O21" s="7" t="s">
        <v>4</v>
      </c>
      <c r="P21" s="149">
        <f t="shared" ca="1" si="1"/>
        <v>42425</v>
      </c>
      <c r="Q21" s="155">
        <f ca="1">_xll.meDateYearFraction(H21,I21,$Q$11,TRUE)</f>
        <v>0.25</v>
      </c>
      <c r="R21" s="150">
        <f ca="1">IF(NOW(),_xll.meCurveForwardRatesFromYearFraction(P21,Q21,$Q$11,$Q$9,$Q$10))</f>
        <v>-3.7175485397107962E-3</v>
      </c>
      <c r="S21" s="134" t="s">
        <v>4</v>
      </c>
    </row>
    <row r="22" spans="1:19" x14ac:dyDescent="0.25">
      <c r="A22" s="128">
        <v>6</v>
      </c>
      <c r="B22" s="133"/>
      <c r="C22" s="149">
        <f ca="1">_xll.meDateFromTenor(C21,"1D","FOLLOWING",$D$11,"NORMAL")</f>
        <v>42426</v>
      </c>
      <c r="D22" s="20">
        <f ca="1">_xll.meDateFromTenor(C22,"1D","Following",$D$11,"Normal")</f>
        <v>42429</v>
      </c>
      <c r="E22" s="99">
        <f ca="1"/>
        <v>3.7000000000109176E-3</v>
      </c>
      <c r="F22" s="161">
        <f ca="1">_xll.meCurveForwardRates(C22,$D$9,$D$10)</f>
        <v>3.7068005571172513E-3</v>
      </c>
      <c r="G22" s="7" t="s">
        <v>4</v>
      </c>
      <c r="H22" s="149">
        <f t="shared" ca="1" si="0"/>
        <v>42426</v>
      </c>
      <c r="I22" s="20">
        <f ca="1">_xll.meDateFromTenor(H22,"3M","Following",$I$11,"Normal")</f>
        <v>42516</v>
      </c>
      <c r="J22" s="150">
        <f ca="1"/>
        <v>6.2749272545526893E-3</v>
      </c>
      <c r="K22" s="7" t="s">
        <v>4</v>
      </c>
      <c r="L22" s="149" t="e">
        <f ca="1">_xll.meDateFromTenor(L21,"1D","FOLLOWING",#REF!,"NORMAL")</f>
        <v>#VALUE!</v>
      </c>
      <c r="M22" s="155">
        <f ca="1">_xll.meDateYearFraction(C22,D22,$M$11)</f>
        <v>8.3333333333333332E-3</v>
      </c>
      <c r="N22" s="150">
        <f ca="1"/>
        <v>-2.4300000000065936E-3</v>
      </c>
      <c r="O22" s="7" t="s">
        <v>4</v>
      </c>
      <c r="P22" s="149">
        <f t="shared" ca="1" si="1"/>
        <v>42426</v>
      </c>
      <c r="Q22" s="155">
        <f ca="1">_xll.meDateYearFraction(H22,I22,$Q$11,TRUE)</f>
        <v>0.25</v>
      </c>
      <c r="R22" s="150">
        <f ca="1">IF(NOW(),_xll.meCurveForwardRatesFromYearFraction(P22,Q22,$Q$11,$Q$9,$Q$10))</f>
        <v>-3.7175485397107962E-3</v>
      </c>
      <c r="S22" s="134" t="s">
        <v>4</v>
      </c>
    </row>
    <row r="23" spans="1:19" x14ac:dyDescent="0.25">
      <c r="A23" s="128">
        <v>7</v>
      </c>
      <c r="B23" s="133"/>
      <c r="C23" s="149">
        <f ca="1">_xll.meDateFromTenor(C22,"1D","FOLLOWING",$D$11,"NORMAL")</f>
        <v>42429</v>
      </c>
      <c r="D23" s="20">
        <f ca="1">_xll.meDateFromTenor(C23,"1D","Following",$D$11,"Normal")</f>
        <v>42430</v>
      </c>
      <c r="E23" s="99">
        <f ca="1"/>
        <v>3.7000000000642066E-3</v>
      </c>
      <c r="F23" s="161">
        <f ca="1">_xll.meCurveForwardRates(C23,$D$9,$D$10)</f>
        <v>3.7068343658062108E-3</v>
      </c>
      <c r="G23" s="7" t="s">
        <v>4</v>
      </c>
      <c r="H23" s="149">
        <f t="shared" ca="1" si="0"/>
        <v>42429</v>
      </c>
      <c r="I23" s="20">
        <f ca="1">_xll.meDateFromTenor(H23,"3M","Following",$I$11,"Normal")</f>
        <v>42521</v>
      </c>
      <c r="J23" s="150">
        <f ca="1"/>
        <v>6.3038545091053805E-3</v>
      </c>
      <c r="K23" s="7" t="s">
        <v>4</v>
      </c>
      <c r="L23" s="149" t="e">
        <f ca="1">_xll.meDateFromTenor(L22,"1D","FOLLOWING",#REF!,"NORMAL")</f>
        <v>#VALUE!</v>
      </c>
      <c r="M23" s="155">
        <f ca="1">_xll.meDateYearFraction(C23,D23,$M$11)</f>
        <v>2.7777777777777779E-3</v>
      </c>
      <c r="N23" s="150">
        <f ca="1"/>
        <v>-2.4300000000065936E-3</v>
      </c>
      <c r="O23" s="7" t="s">
        <v>4</v>
      </c>
      <c r="P23" s="149">
        <f t="shared" ca="1" si="1"/>
        <v>42429</v>
      </c>
      <c r="Q23" s="155">
        <f ca="1">_xll.meDateYearFraction(H23,I23,$Q$11,TRUE)</f>
        <v>0.25555555555555554</v>
      </c>
      <c r="R23" s="150">
        <f ca="1">IF(NOW(),_xll.meCurveForwardRatesFromYearFraction(P23,Q23,$Q$11,$Q$9,$Q$10))</f>
        <v>-3.7175485397107962E-3</v>
      </c>
      <c r="S23" s="134" t="s">
        <v>4</v>
      </c>
    </row>
    <row r="24" spans="1:19" x14ac:dyDescent="0.25">
      <c r="A24" s="128">
        <v>8</v>
      </c>
      <c r="B24" s="133"/>
      <c r="C24" s="149">
        <f ca="1">_xll.meDateFromTenor(C23,"1D","FOLLOWING",$D$11,"NORMAL")</f>
        <v>42430</v>
      </c>
      <c r="D24" s="20">
        <f ca="1">_xll.meDateFromTenor(C24,"1D","Following",$D$11,"Normal")</f>
        <v>42431</v>
      </c>
      <c r="E24" s="99">
        <f ca="1"/>
        <v>3.6999999999842706E-3</v>
      </c>
      <c r="F24" s="161">
        <f ca="1">_xll.meCurveForwardRates(C24,$D$9,$D$10)</f>
        <v>3.7068343657260527E-3</v>
      </c>
      <c r="G24" s="7" t="s">
        <v>4</v>
      </c>
      <c r="H24" s="149">
        <f t="shared" ca="1" si="0"/>
        <v>42430</v>
      </c>
      <c r="I24" s="20">
        <f ca="1">_xll.meDateFromTenor(H24,"3M","Following",$I$11,"Normal")</f>
        <v>42522</v>
      </c>
      <c r="J24" s="150">
        <f ca="1"/>
        <v>6.3134969272896106E-3</v>
      </c>
      <c r="K24" s="7" t="s">
        <v>4</v>
      </c>
      <c r="L24" s="149" t="e">
        <f ca="1">_xll.meDateFromTenor(L23,"1D","FOLLOWING",#REF!,"NORMAL")</f>
        <v>#VALUE!</v>
      </c>
      <c r="M24" s="155">
        <f ca="1">_xll.meDateYearFraction(C24,D24,$M$11)</f>
        <v>2.7777777777777779E-3</v>
      </c>
      <c r="N24" s="150">
        <f ca="1"/>
        <v>-2.4300000000065936E-3</v>
      </c>
      <c r="O24" s="7" t="s">
        <v>4</v>
      </c>
      <c r="P24" s="149">
        <f t="shared" ca="1" si="1"/>
        <v>42430</v>
      </c>
      <c r="Q24" s="155">
        <f ca="1">_xll.meDateYearFraction(H24,I24,$Q$11,TRUE)</f>
        <v>0.25555555555555554</v>
      </c>
      <c r="R24" s="150">
        <f ca="1">IF(NOW(),_xll.meCurveForwardRatesFromYearFraction(P24,Q24,$Q$11,$Q$9,$Q$10))</f>
        <v>-3.7175485397107962E-3</v>
      </c>
      <c r="S24" s="134" t="s">
        <v>4</v>
      </c>
    </row>
    <row r="25" spans="1:19" x14ac:dyDescent="0.25">
      <c r="A25" s="128">
        <v>9</v>
      </c>
      <c r="B25" s="133"/>
      <c r="C25" s="149">
        <f ca="1">_xll.meDateFromTenor(C24,"1D","FOLLOWING",$D$11,"NORMAL")</f>
        <v>42431</v>
      </c>
      <c r="D25" s="20">
        <f ca="1">_xll.meDateFromTenor(C25,"1D","Following",$D$11,"Normal")</f>
        <v>42432</v>
      </c>
      <c r="E25" s="99">
        <f ca="1"/>
        <v>3.6999999999842753E-3</v>
      </c>
      <c r="F25" s="161">
        <f ca="1">_xll.meCurveForwardRates(C25,$D$9,$D$10)</f>
        <v>3.7068343657260527E-3</v>
      </c>
      <c r="G25" s="7" t="s">
        <v>4</v>
      </c>
      <c r="H25" s="149">
        <f t="shared" ca="1" si="0"/>
        <v>42431</v>
      </c>
      <c r="I25" s="20">
        <f ca="1">_xll.meDateFromTenor(H25,"3M","Following",$I$11,"Normal")</f>
        <v>42523</v>
      </c>
      <c r="J25" s="150">
        <f ca="1"/>
        <v>6.3231393454738407E-3</v>
      </c>
      <c r="K25" s="7" t="s">
        <v>4</v>
      </c>
      <c r="L25" s="149" t="e">
        <f ca="1">_xll.meDateFromTenor(L24,"1D","FOLLOWING",#REF!,"NORMAL")</f>
        <v>#VALUE!</v>
      </c>
      <c r="M25" s="155">
        <f ca="1">_xll.meDateYearFraction(C25,D25,$M$11)</f>
        <v>2.7777777777777779E-3</v>
      </c>
      <c r="N25" s="150">
        <f ca="1"/>
        <v>-2.4300000000065936E-3</v>
      </c>
      <c r="O25" s="7" t="s">
        <v>4</v>
      </c>
      <c r="P25" s="149">
        <f t="shared" ca="1" si="1"/>
        <v>42431</v>
      </c>
      <c r="Q25" s="155">
        <f ca="1">_xll.meDateYearFraction(H25,I25,$Q$11,TRUE)</f>
        <v>0.25555555555555554</v>
      </c>
      <c r="R25" s="150">
        <f ca="1">IF(NOW(),_xll.meCurveForwardRatesFromYearFraction(P25,Q25,$Q$11,$Q$9,$Q$10))</f>
        <v>-3.7288738838673185E-3</v>
      </c>
      <c r="S25" s="134" t="s">
        <v>4</v>
      </c>
    </row>
    <row r="26" spans="1:19" x14ac:dyDescent="0.25">
      <c r="A26" s="128">
        <v>10</v>
      </c>
      <c r="B26" s="133"/>
      <c r="C26" s="149">
        <f ca="1">_xll.meDateFromTenor(C25,"1D","FOLLOWING",$D$11,"NORMAL")</f>
        <v>42432</v>
      </c>
      <c r="D26" s="20">
        <f ca="1">_xll.meDateFromTenor(C26,"1D","Following",$D$11,"Normal")</f>
        <v>42433</v>
      </c>
      <c r="E26" s="99">
        <f ca="1"/>
        <v>3.6999999999842662E-3</v>
      </c>
      <c r="F26" s="161">
        <f ca="1">_xll.meCurveForwardRates(C26,$D$9,$D$10)</f>
        <v>3.7068343657260527E-3</v>
      </c>
      <c r="G26" s="7" t="s">
        <v>4</v>
      </c>
      <c r="H26" s="149">
        <f t="shared" ca="1" si="0"/>
        <v>42432</v>
      </c>
      <c r="I26" s="20">
        <f ca="1">_xll.meDateFromTenor(H26,"3M","Following",$I$11,"Normal")</f>
        <v>42524</v>
      </c>
      <c r="J26" s="150">
        <f ca="1"/>
        <v>6.3327817636580708E-3</v>
      </c>
      <c r="K26" s="7" t="s">
        <v>4</v>
      </c>
      <c r="L26" s="149" t="e">
        <f ca="1">_xll.meDateFromTenor(L25,"1D","FOLLOWING",#REF!,"NORMAL")</f>
        <v>#VALUE!</v>
      </c>
      <c r="M26" s="155">
        <f ca="1">_xll.meDateYearFraction(C26,D26,$M$11)</f>
        <v>2.7777777777777779E-3</v>
      </c>
      <c r="N26" s="150">
        <f ca="1"/>
        <v>-2.4300000000065936E-3</v>
      </c>
      <c r="O26" s="7" t="s">
        <v>4</v>
      </c>
      <c r="P26" s="149">
        <f t="shared" ca="1" si="1"/>
        <v>42432</v>
      </c>
      <c r="Q26" s="155">
        <f ca="1">_xll.meDateYearFraction(H26,I26,$Q$11,TRUE)</f>
        <v>0.25555555555555554</v>
      </c>
      <c r="R26" s="150">
        <f ca="1">IF(NOW(),_xll.meCurveForwardRatesFromYearFraction(P26,Q26,$Q$11,$Q$9,$Q$10))</f>
        <v>-3.7175485397107962E-3</v>
      </c>
      <c r="S26" s="134" t="s">
        <v>4</v>
      </c>
    </row>
    <row r="27" spans="1:19" x14ac:dyDescent="0.25">
      <c r="A27" s="128">
        <v>11</v>
      </c>
      <c r="B27" s="133"/>
      <c r="C27" s="149">
        <f ca="1">_xll.meDateFromTenor(C26,"1D","FOLLOWING",$D$11,"NORMAL")</f>
        <v>42433</v>
      </c>
      <c r="D27" s="20">
        <f ca="1">_xll.meDateFromTenor(C27,"1D","Following",$D$11,"Normal")</f>
        <v>42436</v>
      </c>
      <c r="E27" s="99">
        <f ca="1"/>
        <v>3.7000000000109176E-3</v>
      </c>
      <c r="F27" s="161">
        <f ca="1">_xll.meCurveForwardRates(C27,$D$9,$D$10)</f>
        <v>3.7068005571172513E-3</v>
      </c>
      <c r="G27" s="7" t="s">
        <v>4</v>
      </c>
      <c r="H27" s="149">
        <f t="shared" ca="1" si="0"/>
        <v>42433</v>
      </c>
      <c r="I27" s="20">
        <f ca="1">_xll.meDateFromTenor(H27,"3M","Following",$I$11,"Normal")</f>
        <v>42527</v>
      </c>
      <c r="J27" s="150">
        <f ca="1"/>
        <v>6.3424241818423009E-3</v>
      </c>
      <c r="K27" s="7" t="s">
        <v>4</v>
      </c>
      <c r="L27" s="149" t="e">
        <f ca="1">_xll.meDateFromTenor(L26,"1D","FOLLOWING",#REF!,"NORMAL")</f>
        <v>#VALUE!</v>
      </c>
      <c r="M27" s="155">
        <f ca="1">_xll.meDateYearFraction(C27,D27,$M$11)</f>
        <v>8.3333333333333332E-3</v>
      </c>
      <c r="N27" s="150">
        <f ca="1"/>
        <v>-2.4300000000065936E-3</v>
      </c>
      <c r="O27" s="7" t="s">
        <v>4</v>
      </c>
      <c r="P27" s="149">
        <f t="shared" ca="1" si="1"/>
        <v>42433</v>
      </c>
      <c r="Q27" s="155">
        <f ca="1">_xll.meDateYearFraction(H27,I27,$Q$11,TRUE)</f>
        <v>0.26111111111111113</v>
      </c>
      <c r="R27" s="150">
        <f ca="1">IF(NOW(),_xll.meCurveForwardRatesFromYearFraction(P27,Q27,$Q$11,$Q$9,$Q$10))</f>
        <v>-3.7344688174610666E-3</v>
      </c>
      <c r="S27" s="134" t="s">
        <v>4</v>
      </c>
    </row>
    <row r="28" spans="1:19" x14ac:dyDescent="0.25">
      <c r="A28" s="128">
        <v>12</v>
      </c>
      <c r="B28" s="133"/>
      <c r="C28" s="149">
        <f ca="1">_xll.meDateFromTenor(C27,"1D","FOLLOWING",$D$11,"NORMAL")</f>
        <v>42436</v>
      </c>
      <c r="D28" s="20">
        <f ca="1">_xll.meDateFromTenor(C28,"1D","Following",$D$11,"Normal")</f>
        <v>42437</v>
      </c>
      <c r="E28" s="99">
        <f ca="1"/>
        <v>3.6999999999842662E-3</v>
      </c>
      <c r="F28" s="161">
        <f ca="1">_xll.meCurveForwardRates(C28,$D$9,$D$10)</f>
        <v>3.7068343657260527E-3</v>
      </c>
      <c r="G28" s="7" t="s">
        <v>4</v>
      </c>
      <c r="H28" s="149">
        <f t="shared" ca="1" si="0"/>
        <v>42436</v>
      </c>
      <c r="I28" s="20">
        <f ca="1">_xll.meDateFromTenor(H28,"3M","Following",$I$11,"Normal")</f>
        <v>42528</v>
      </c>
      <c r="J28" s="150">
        <f ca="1"/>
        <v>6.3713514363949921E-3</v>
      </c>
      <c r="K28" s="7" t="s">
        <v>4</v>
      </c>
      <c r="L28" s="149" t="e">
        <f ca="1">_xll.meDateFromTenor(L27,"1D","FOLLOWING",#REF!,"NORMAL")</f>
        <v>#VALUE!</v>
      </c>
      <c r="M28" s="155">
        <f ca="1">_xll.meDateYearFraction(C28,D28,$M$11)</f>
        <v>2.7777777777777779E-3</v>
      </c>
      <c r="N28" s="150">
        <f ca="1"/>
        <v>-2.4300000000065936E-3</v>
      </c>
      <c r="O28" s="7" t="s">
        <v>4</v>
      </c>
      <c r="P28" s="149">
        <f t="shared" ca="1" si="1"/>
        <v>42436</v>
      </c>
      <c r="Q28" s="155">
        <f ca="1">_xll.meDateYearFraction(H28,I28,$Q$11,TRUE)</f>
        <v>0.25555555555555554</v>
      </c>
      <c r="R28" s="150">
        <f ca="1">IF(NOW(),_xll.meCurveForwardRatesFromYearFraction(P28,Q28,$Q$11,$Q$9,$Q$10))</f>
        <v>-3.7446512131754637E-3</v>
      </c>
      <c r="S28" s="134" t="s">
        <v>4</v>
      </c>
    </row>
    <row r="29" spans="1:19" x14ac:dyDescent="0.25">
      <c r="A29" s="128">
        <v>13</v>
      </c>
      <c r="B29" s="133"/>
      <c r="C29" s="149">
        <f ca="1">_xll.meDateFromTenor(C28,"1D","FOLLOWING",$D$11,"NORMAL")</f>
        <v>42437</v>
      </c>
      <c r="D29" s="20">
        <f ca="1">_xll.meDateFromTenor(C29,"1D","Following",$D$11,"Normal")</f>
        <v>42438</v>
      </c>
      <c r="E29" s="99">
        <f ca="1"/>
        <v>3.6999999999842753E-3</v>
      </c>
      <c r="F29" s="161">
        <f ca="1">_xll.meCurveForwardRates(C29,$D$9,$D$10)</f>
        <v>3.7068343657260527E-3</v>
      </c>
      <c r="G29" s="7" t="s">
        <v>4</v>
      </c>
      <c r="H29" s="149">
        <f t="shared" ca="1" si="0"/>
        <v>42437</v>
      </c>
      <c r="I29" s="20">
        <f ca="1">_xll.meDateFromTenor(H29,"3M","Following",$I$11,"Normal")</f>
        <v>42529</v>
      </c>
      <c r="J29" s="150">
        <f ca="1"/>
        <v>6.3809938545792222E-3</v>
      </c>
      <c r="K29" s="7" t="s">
        <v>4</v>
      </c>
      <c r="L29" s="149" t="e">
        <f ca="1">_xll.meDateFromTenor(L28,"1D","FOLLOWING",#REF!,"NORMAL")</f>
        <v>#VALUE!</v>
      </c>
      <c r="M29" s="155">
        <f ca="1">_xll.meDateYearFraction(C29,D29,$M$11)</f>
        <v>2.7777777777777779E-3</v>
      </c>
      <c r="N29" s="150">
        <f ca="1"/>
        <v>-2.4300000000065936E-3</v>
      </c>
      <c r="O29" s="7" t="s">
        <v>4</v>
      </c>
      <c r="P29" s="149">
        <f t="shared" ca="1" si="1"/>
        <v>42437</v>
      </c>
      <c r="Q29" s="155">
        <f ca="1">_xll.meDateYearFraction(H29,I29,$Q$11,TRUE)</f>
        <v>0.25555555555555554</v>
      </c>
      <c r="R29" s="150">
        <f ca="1">IF(NOW(),_xll.meCurveForwardRatesFromYearFraction(P29,Q29,$Q$11,$Q$9,$Q$10))</f>
        <v>-3.7484878829706415E-3</v>
      </c>
      <c r="S29" s="134" t="s">
        <v>4</v>
      </c>
    </row>
    <row r="30" spans="1:19" x14ac:dyDescent="0.25">
      <c r="A30" s="128">
        <v>14</v>
      </c>
      <c r="B30" s="133"/>
      <c r="C30" s="149">
        <f ca="1">_xll.meDateFromTenor(C29,"1D","FOLLOWING",$D$11,"NORMAL")</f>
        <v>42438</v>
      </c>
      <c r="D30" s="20">
        <f ca="1">_xll.meDateFromTenor(C30,"1D","Following",$D$11,"Normal")</f>
        <v>42439</v>
      </c>
      <c r="E30" s="99">
        <f ca="1"/>
        <v>3.6999999999842753E-3</v>
      </c>
      <c r="F30" s="161">
        <f ca="1">_xll.meCurveForwardRates(C30,$D$9,$D$10)</f>
        <v>3.7068343657260527E-3</v>
      </c>
      <c r="G30" s="7" t="s">
        <v>4</v>
      </c>
      <c r="H30" s="149">
        <f t="shared" ca="1" si="0"/>
        <v>42438</v>
      </c>
      <c r="I30" s="20">
        <f ca="1">_xll.meDateFromTenor(H30,"3M","Following",$I$11,"Normal")</f>
        <v>42530</v>
      </c>
      <c r="J30" s="150">
        <f ca="1"/>
        <v>6.3906362727634523E-3</v>
      </c>
      <c r="K30" s="7" t="s">
        <v>4</v>
      </c>
      <c r="L30" s="149" t="e">
        <f ca="1">_xll.meDateFromTenor(L29,"1D","FOLLOWING",#REF!,"NORMAL")</f>
        <v>#VALUE!</v>
      </c>
      <c r="M30" s="155">
        <f ca="1">_xll.meDateYearFraction(C30,D30,$M$11)</f>
        <v>2.7777777777777779E-3</v>
      </c>
      <c r="N30" s="150">
        <f ca="1"/>
        <v>-2.4300000000065936E-3</v>
      </c>
      <c r="O30" s="7" t="s">
        <v>4</v>
      </c>
      <c r="P30" s="149">
        <f t="shared" ca="1" si="1"/>
        <v>42438</v>
      </c>
      <c r="Q30" s="155">
        <f ca="1">_xll.meDateYearFraction(H30,I30,$Q$11,TRUE)</f>
        <v>0.25555555555555554</v>
      </c>
      <c r="R30" s="150">
        <f ca="1">IF(NOW(),_xll.meCurveForwardRatesFromYearFraction(P30,Q30,$Q$11,$Q$9,$Q$10))</f>
        <v>-3.7175485397107962E-3</v>
      </c>
      <c r="S30" s="134" t="s">
        <v>4</v>
      </c>
    </row>
    <row r="31" spans="1:19" x14ac:dyDescent="0.25">
      <c r="A31" s="128">
        <v>15</v>
      </c>
      <c r="B31" s="133"/>
      <c r="C31" s="149">
        <f ca="1">_xll.meDateFromTenor(C30,"1D","FOLLOWING",$D$11,"NORMAL")</f>
        <v>42439</v>
      </c>
      <c r="D31" s="20">
        <f ca="1">_xll.meDateFromTenor(C31,"1D","Following",$D$11,"Normal")</f>
        <v>42440</v>
      </c>
      <c r="E31" s="99">
        <f ca="1"/>
        <v>3.6999999999842662E-3</v>
      </c>
      <c r="F31" s="161">
        <f ca="1">_xll.meCurveForwardRates(C31,$D$9,$D$10)</f>
        <v>3.7068343657260527E-3</v>
      </c>
      <c r="G31" s="7" t="s">
        <v>4</v>
      </c>
      <c r="H31" s="149">
        <f t="shared" ca="1" si="0"/>
        <v>42439</v>
      </c>
      <c r="I31" s="20">
        <f ca="1">_xll.meDateFromTenor(H31,"3M","Following",$I$11,"Normal")</f>
        <v>42531</v>
      </c>
      <c r="J31" s="150">
        <f ca="1"/>
        <v>6.4002786909476824E-3</v>
      </c>
      <c r="K31" s="7" t="s">
        <v>4</v>
      </c>
      <c r="L31" s="149" t="e">
        <f ca="1">_xll.meDateFromTenor(L30,"1D","FOLLOWING",#REF!,"NORMAL")</f>
        <v>#VALUE!</v>
      </c>
      <c r="M31" s="155">
        <f ca="1">_xll.meDateYearFraction(C31,D31,$M$11)</f>
        <v>2.7777777777777779E-3</v>
      </c>
      <c r="N31" s="150">
        <f ca="1"/>
        <v>-2.4300000000065936E-3</v>
      </c>
      <c r="O31" s="7" t="s">
        <v>4</v>
      </c>
      <c r="P31" s="149">
        <f t="shared" ca="1" si="1"/>
        <v>42439</v>
      </c>
      <c r="Q31" s="155">
        <f ca="1">_xll.meDateYearFraction(H31,I31,$Q$11,TRUE)</f>
        <v>0.25555555555555554</v>
      </c>
      <c r="R31" s="150">
        <f ca="1">IF(NOW(),_xll.meCurveForwardRatesFromYearFraction(P31,Q31,$Q$11,$Q$9,$Q$10))</f>
        <v>-3.7567728381026214E-3</v>
      </c>
      <c r="S31" s="134" t="s">
        <v>4</v>
      </c>
    </row>
    <row r="32" spans="1:19" x14ac:dyDescent="0.25">
      <c r="A32" s="128">
        <v>16</v>
      </c>
      <c r="B32" s="133"/>
      <c r="C32" s="149">
        <f ca="1">_xll.meDateFromTenor(C31,"1D","FOLLOWING",$D$11,"NORMAL")</f>
        <v>42440</v>
      </c>
      <c r="D32" s="20">
        <f ca="1">_xll.meDateFromTenor(C32,"1D","Following",$D$11,"Normal")</f>
        <v>42443</v>
      </c>
      <c r="E32" s="99">
        <f ca="1"/>
        <v>3.7000000000109176E-3</v>
      </c>
      <c r="F32" s="161">
        <f ca="1">_xll.meCurveForwardRates(C32,$D$9,$D$10)</f>
        <v>3.7068005571172513E-3</v>
      </c>
      <c r="G32" s="7" t="s">
        <v>4</v>
      </c>
      <c r="H32" s="149">
        <f t="shared" ca="1" si="0"/>
        <v>42440</v>
      </c>
      <c r="I32" s="20">
        <f ca="1">_xll.meDateFromTenor(H32,"3M","Following",$I$11,"Normal")</f>
        <v>42534</v>
      </c>
      <c r="J32" s="150">
        <f ca="1"/>
        <v>6.4099211091319126E-3</v>
      </c>
      <c r="K32" s="7" t="s">
        <v>4</v>
      </c>
      <c r="L32" s="149" t="e">
        <f ca="1">_xll.meDateFromTenor(L31,"1D","FOLLOWING",#REF!,"NORMAL")</f>
        <v>#VALUE!</v>
      </c>
      <c r="M32" s="155">
        <f ca="1">_xll.meDateYearFraction(C32,D32,$M$11)</f>
        <v>8.3333333333333332E-3</v>
      </c>
      <c r="N32" s="150">
        <f ca="1"/>
        <v>-2.4300000000065936E-3</v>
      </c>
      <c r="O32" s="7" t="s">
        <v>4</v>
      </c>
      <c r="P32" s="149">
        <f t="shared" ca="1" si="1"/>
        <v>42440</v>
      </c>
      <c r="Q32" s="155">
        <f ca="1">_xll.meDateYearFraction(H32,I32,$Q$11,TRUE)</f>
        <v>0.26111111111111113</v>
      </c>
      <c r="R32" s="150">
        <f ca="1">IF(NOW(),_xll.meCurveForwardRatesFromYearFraction(P32,Q32,$Q$11,$Q$9,$Q$10))</f>
        <v>-3.7175485397107962E-3</v>
      </c>
      <c r="S32" s="134" t="s">
        <v>4</v>
      </c>
    </row>
    <row r="33" spans="1:19" x14ac:dyDescent="0.25">
      <c r="A33" s="128">
        <v>17</v>
      </c>
      <c r="B33" s="133"/>
      <c r="C33" s="149">
        <f ca="1">_xll.meDateFromTenor(C32,"1D","FOLLOWING",$D$11,"NORMAL")</f>
        <v>42443</v>
      </c>
      <c r="D33" s="20">
        <f ca="1">_xll.meDateFromTenor(C33,"1D","Following",$D$11,"Normal")</f>
        <v>42444</v>
      </c>
      <c r="E33" s="99">
        <f ca="1"/>
        <v>3.6999999999842662E-3</v>
      </c>
      <c r="F33" s="161">
        <f ca="1">_xll.meCurveForwardRates(C33,$D$9,$D$10)</f>
        <v>3.7068343657260527E-3</v>
      </c>
      <c r="G33" s="7" t="s">
        <v>4</v>
      </c>
      <c r="H33" s="149">
        <f t="shared" ca="1" si="0"/>
        <v>42443</v>
      </c>
      <c r="I33" s="20">
        <f ca="1">_xll.meDateFromTenor(H33,"3M","Following",$I$11,"Normal")</f>
        <v>42535</v>
      </c>
      <c r="J33" s="150">
        <f ca="1"/>
        <v>6.4388483636846038E-3</v>
      </c>
      <c r="K33" s="7" t="s">
        <v>4</v>
      </c>
      <c r="L33" s="149" t="e">
        <f ca="1">_xll.meDateFromTenor(L32,"1D","FOLLOWING",#REF!,"NORMAL")</f>
        <v>#VALUE!</v>
      </c>
      <c r="M33" s="155">
        <f ca="1">_xll.meDateYearFraction(C33,D33,$M$11)</f>
        <v>2.7777777777777779E-3</v>
      </c>
      <c r="N33" s="150">
        <f ca="1"/>
        <v>-2.4300000000065936E-3</v>
      </c>
      <c r="O33" s="7" t="s">
        <v>4</v>
      </c>
      <c r="P33" s="149">
        <f t="shared" ca="1" si="1"/>
        <v>42443</v>
      </c>
      <c r="Q33" s="155">
        <f ca="1">_xll.meDateYearFraction(H33,I33,$Q$11,TRUE)</f>
        <v>0.25555555555555554</v>
      </c>
      <c r="R33" s="150">
        <f ca="1">IF(NOW(),_xll.meCurveForwardRatesFromYearFraction(P33,Q33,$Q$11,$Q$9,$Q$10))</f>
        <v>-3.7755456511613509E-3</v>
      </c>
      <c r="S33" s="134" t="s">
        <v>4</v>
      </c>
    </row>
    <row r="34" spans="1:19" x14ac:dyDescent="0.25">
      <c r="A34" s="128">
        <v>18</v>
      </c>
      <c r="B34" s="133"/>
      <c r="C34" s="149">
        <f ca="1">_xll.meDateFromTenor(C33,"1D","FOLLOWING",$D$11,"NORMAL")</f>
        <v>42444</v>
      </c>
      <c r="D34" s="20">
        <f ca="1">_xll.meDateFromTenor(C34,"1D","Following",$D$11,"Normal")</f>
        <v>42445</v>
      </c>
      <c r="E34" s="99">
        <f ca="1"/>
        <v>3.6999999999842844E-3</v>
      </c>
      <c r="F34" s="161">
        <f ca="1">_xll.meCurveForwardRates(C34,$D$9,$D$10)</f>
        <v>3.7068343657260527E-3</v>
      </c>
      <c r="G34" s="7" t="s">
        <v>4</v>
      </c>
      <c r="H34" s="149">
        <f t="shared" ca="1" si="0"/>
        <v>42444</v>
      </c>
      <c r="I34" s="20">
        <f ca="1">_xll.meDateFromTenor(H34,"3M","Following",$I$11,"Normal")</f>
        <v>42536</v>
      </c>
      <c r="J34" s="150">
        <f ca="1"/>
        <v>6.4484907818688339E-3</v>
      </c>
      <c r="K34" s="7" t="s">
        <v>4</v>
      </c>
      <c r="L34" s="149" t="e">
        <f ca="1">_xll.meDateFromTenor(L33,"1D","FOLLOWING",#REF!,"NORMAL")</f>
        <v>#VALUE!</v>
      </c>
      <c r="M34" s="155">
        <f ca="1">_xll.meDateYearFraction(C34,D34,$M$11)</f>
        <v>2.7777777777777779E-3</v>
      </c>
      <c r="N34" s="150">
        <f ca="1"/>
        <v>-2.4300000000065936E-3</v>
      </c>
      <c r="O34" s="7" t="s">
        <v>4</v>
      </c>
      <c r="P34" s="149">
        <f t="shared" ca="1" si="1"/>
        <v>42444</v>
      </c>
      <c r="Q34" s="155">
        <f ca="1">_xll.meDateYearFraction(H34,I34,$Q$11,TRUE)</f>
        <v>0.25555555555555554</v>
      </c>
      <c r="R34" s="150">
        <f ca="1">IF(NOW(),_xll.meCurveForwardRatesFromYearFraction(P34,Q34,$Q$11,$Q$9,$Q$10))</f>
        <v>-3.7175485397107962E-3</v>
      </c>
      <c r="S34" s="134" t="s">
        <v>4</v>
      </c>
    </row>
    <row r="35" spans="1:19" x14ac:dyDescent="0.25">
      <c r="A35" s="128">
        <v>19</v>
      </c>
      <c r="B35" s="133"/>
      <c r="C35" s="149">
        <f ca="1">_xll.meDateFromTenor(C34,"1D","FOLLOWING",$D$11,"NORMAL")</f>
        <v>42445</v>
      </c>
      <c r="D35" s="20">
        <f ca="1">_xll.meDateFromTenor(C35,"1D","Following",$D$11,"Normal")</f>
        <v>42446</v>
      </c>
      <c r="E35" s="99">
        <f ca="1"/>
        <v>3.6999999999842662E-3</v>
      </c>
      <c r="F35" s="161">
        <f ca="1">_xll.meCurveForwardRates(C35,$D$9,$D$10)</f>
        <v>3.7068343657260527E-3</v>
      </c>
      <c r="G35" s="7" t="s">
        <v>4</v>
      </c>
      <c r="H35" s="149">
        <f t="shared" ca="1" si="0"/>
        <v>42445</v>
      </c>
      <c r="I35" s="20">
        <f ca="1">_xll.meDateFromTenor(H35,"3M","Following",$I$11,"Normal")</f>
        <v>42537</v>
      </c>
      <c r="J35" s="150">
        <f ca="1"/>
        <v>6.458133200053064E-3</v>
      </c>
      <c r="K35" s="7" t="s">
        <v>4</v>
      </c>
      <c r="L35" s="149" t="e">
        <f ca="1">_xll.meDateFromTenor(L34,"1D","FOLLOWING",#REF!,"NORMAL")</f>
        <v>#VALUE!</v>
      </c>
      <c r="M35" s="155">
        <f ca="1">_xll.meDateYearFraction(C35,D35,$M$11)</f>
        <v>2.7777777777777779E-3</v>
      </c>
      <c r="N35" s="150">
        <f ca="1"/>
        <v>-2.4300000000065936E-3</v>
      </c>
      <c r="O35" s="7" t="s">
        <v>4</v>
      </c>
      <c r="P35" s="149">
        <f t="shared" ca="1" si="1"/>
        <v>42445</v>
      </c>
      <c r="Q35" s="155">
        <f ca="1">_xll.meDateYearFraction(H35,I35,$Q$11,TRUE)</f>
        <v>0.25555555555555554</v>
      </c>
      <c r="R35" s="150">
        <f ca="1">IF(NOW(),_xll.meCurveForwardRatesFromYearFraction(P35,Q35,$Q$11,$Q$9,$Q$10))</f>
        <v>-3.7858943323042533E-3</v>
      </c>
      <c r="S35" s="134" t="s">
        <v>4</v>
      </c>
    </row>
    <row r="36" spans="1:19" x14ac:dyDescent="0.25">
      <c r="A36" s="128">
        <v>20</v>
      </c>
      <c r="B36" s="133"/>
      <c r="C36" s="149">
        <f ca="1">_xll.meDateFromTenor(C35,"1D","FOLLOWING",$D$11,"NORMAL")</f>
        <v>42446</v>
      </c>
      <c r="D36" s="20">
        <f ca="1">_xll.meDateFromTenor(C36,"1D","Following",$D$11,"Normal")</f>
        <v>42447</v>
      </c>
      <c r="E36" s="99">
        <f ca="1"/>
        <v>3.6999999999842662E-3</v>
      </c>
      <c r="F36" s="161">
        <f ca="1">_xll.meCurveForwardRates(C36,$D$9,$D$10)</f>
        <v>3.7068343657260527E-3</v>
      </c>
      <c r="G36" s="7" t="s">
        <v>4</v>
      </c>
      <c r="H36" s="149">
        <f t="shared" ca="1" si="0"/>
        <v>42446</v>
      </c>
      <c r="I36" s="20">
        <f ca="1">_xll.meDateFromTenor(H36,"3M","Following",$I$11,"Normal")</f>
        <v>42538</v>
      </c>
      <c r="J36" s="150">
        <f ca="1"/>
        <v>6.4677756182372941E-3</v>
      </c>
      <c r="K36" s="7" t="s">
        <v>4</v>
      </c>
      <c r="L36" s="149" t="e">
        <f ca="1">_xll.meDateFromTenor(L35,"1D","FOLLOWING",#REF!,"NORMAL")</f>
        <v>#VALUE!</v>
      </c>
      <c r="M36" s="155">
        <f ca="1">_xll.meDateYearFraction(C36,D36,$M$11)</f>
        <v>2.7777777777777779E-3</v>
      </c>
      <c r="N36" s="150">
        <f ca="1"/>
        <v>-2.4300000000065936E-3</v>
      </c>
      <c r="O36" s="7" t="s">
        <v>4</v>
      </c>
      <c r="P36" s="149">
        <f t="shared" ca="1" si="1"/>
        <v>42446</v>
      </c>
      <c r="Q36" s="155">
        <f ca="1">_xll.meDateYearFraction(H36,I36,$Q$11,TRUE)</f>
        <v>0.25555555555555554</v>
      </c>
      <c r="R36" s="150">
        <f ca="1">IF(NOW(),_xll.meCurveForwardRatesFromYearFraction(P36,Q36,$Q$11,$Q$9,$Q$10))</f>
        <v>-3.7912787966076222E-3</v>
      </c>
      <c r="S36" s="134" t="s">
        <v>4</v>
      </c>
    </row>
    <row r="37" spans="1:19" x14ac:dyDescent="0.25">
      <c r="A37" s="128">
        <v>21</v>
      </c>
      <c r="B37" s="133"/>
      <c r="C37" s="149">
        <f ca="1">_xll.meDateFromTenor(C36,"1D","FOLLOWING",$D$11,"NORMAL")</f>
        <v>42447</v>
      </c>
      <c r="D37" s="20">
        <f ca="1">_xll.meDateFromTenor(C37,"1D","Following",$D$11,"Normal")</f>
        <v>42450</v>
      </c>
      <c r="E37" s="99">
        <f ca="1"/>
        <v>3.7000000000109176E-3</v>
      </c>
      <c r="F37" s="161">
        <f ca="1">_xll.meCurveForwardRates(C37,$D$9,$D$10)</f>
        <v>3.7068005571172513E-3</v>
      </c>
      <c r="G37" s="7" t="s">
        <v>4</v>
      </c>
      <c r="H37" s="149">
        <f t="shared" ca="1" si="0"/>
        <v>42447</v>
      </c>
      <c r="I37" s="20">
        <f ca="1">_xll.meDateFromTenor(H37,"3M","Following",$I$11,"Normal")</f>
        <v>42541</v>
      </c>
      <c r="J37" s="150">
        <f ca="1"/>
        <v>6.4774180364215242E-3</v>
      </c>
      <c r="K37" s="7" t="s">
        <v>4</v>
      </c>
      <c r="L37" s="149" t="e">
        <f ca="1">_xll.meDateFromTenor(L36,"1D","FOLLOWING",#REF!,"NORMAL")</f>
        <v>#VALUE!</v>
      </c>
      <c r="M37" s="155">
        <f ca="1">_xll.meDateYearFraction(C37,D37,$M$11)</f>
        <v>8.3333333333333332E-3</v>
      </c>
      <c r="N37" s="150">
        <f ca="1"/>
        <v>-2.4300000000065936E-3</v>
      </c>
      <c r="O37" s="7" t="s">
        <v>4</v>
      </c>
      <c r="P37" s="149">
        <f t="shared" ca="1" si="1"/>
        <v>42447</v>
      </c>
      <c r="Q37" s="155">
        <f ca="1">_xll.meDateYearFraction(H37,I37,$Q$11,TRUE)</f>
        <v>0.26111111111111113</v>
      </c>
      <c r="R37" s="150">
        <f ca="1">IF(NOW(),_xll.meCurveForwardRatesFromYearFraction(P37,Q37,$Q$11,$Q$9,$Q$10))</f>
        <v>-3.7967917453336172E-3</v>
      </c>
      <c r="S37" s="134" t="s">
        <v>4</v>
      </c>
    </row>
    <row r="38" spans="1:19" x14ac:dyDescent="0.25">
      <c r="A38" s="128">
        <v>22</v>
      </c>
      <c r="B38" s="133"/>
      <c r="C38" s="149">
        <f ca="1">_xll.meDateFromTenor(C37,"1D","FOLLOWING",$D$11,"NORMAL")</f>
        <v>42450</v>
      </c>
      <c r="D38" s="20">
        <f ca="1">_xll.meDateFromTenor(C38,"1D","Following",$D$11,"Normal")</f>
        <v>42451</v>
      </c>
      <c r="E38" s="99">
        <f ca="1"/>
        <v>3.6999999999842662E-3</v>
      </c>
      <c r="F38" s="161">
        <f ca="1">_xll.meCurveForwardRates(C38,$D$9,$D$10)</f>
        <v>3.7068343657260527E-3</v>
      </c>
      <c r="G38" s="7" t="s">
        <v>4</v>
      </c>
      <c r="H38" s="149">
        <f t="shared" ca="1" si="0"/>
        <v>42450</v>
      </c>
      <c r="I38" s="20">
        <f ca="1">_xll.meDateFromTenor(H38,"3M","Following",$I$11,"Normal")</f>
        <v>42542</v>
      </c>
      <c r="J38" s="150">
        <f ca="1"/>
        <v>6.5063452909742154E-3</v>
      </c>
      <c r="K38" s="7" t="s">
        <v>4</v>
      </c>
      <c r="L38" s="149" t="e">
        <f ca="1">_xll.meDateFromTenor(L37,"1D","FOLLOWING",#REF!,"NORMAL")</f>
        <v>#VALUE!</v>
      </c>
      <c r="M38" s="155">
        <f ca="1">_xll.meDateYearFraction(C38,D38,$M$11)</f>
        <v>2.7777777777777779E-3</v>
      </c>
      <c r="N38" s="150">
        <f ca="1"/>
        <v>-2.4300000000065936E-3</v>
      </c>
      <c r="O38" s="7" t="s">
        <v>4</v>
      </c>
      <c r="P38" s="149">
        <f t="shared" ca="1" si="1"/>
        <v>42450</v>
      </c>
      <c r="Q38" s="155">
        <f ca="1">_xll.meDateYearFraction(H38,I38,$Q$11,TRUE)</f>
        <v>0.25555555555555554</v>
      </c>
      <c r="R38" s="150">
        <f ca="1">IF(NOW(),_xll.meCurveForwardRatesFromYearFraction(P38,Q38,$Q$11,$Q$9,$Q$10))</f>
        <v>-3.7175485397107962E-3</v>
      </c>
      <c r="S38" s="134" t="s">
        <v>4</v>
      </c>
    </row>
    <row r="39" spans="1:19" x14ac:dyDescent="0.25">
      <c r="A39" s="128">
        <v>23</v>
      </c>
      <c r="B39" s="133"/>
      <c r="C39" s="149">
        <f ca="1">_xll.meDateFromTenor(C38,"1D","FOLLOWING",$D$11,"NORMAL")</f>
        <v>42451</v>
      </c>
      <c r="D39" s="20">
        <f ca="1">_xll.meDateFromTenor(C39,"1D","Following",$D$11,"Normal")</f>
        <v>42452</v>
      </c>
      <c r="E39" s="99">
        <f ca="1"/>
        <v>3.6999999999842844E-3</v>
      </c>
      <c r="F39" s="161">
        <f ca="1">_xll.meCurveForwardRates(C39,$D$9,$D$10)</f>
        <v>3.7068343657260527E-3</v>
      </c>
      <c r="G39" s="7" t="s">
        <v>4</v>
      </c>
      <c r="H39" s="149">
        <f t="shared" ca="1" si="0"/>
        <v>42451</v>
      </c>
      <c r="I39" s="20">
        <f ca="1">_xll.meDateFromTenor(H39,"3M","Following",$I$11,"Normal")</f>
        <v>42543</v>
      </c>
      <c r="J39" s="150">
        <f ca="1"/>
        <v>6.5159877091584455E-3</v>
      </c>
      <c r="K39" s="7" t="s">
        <v>4</v>
      </c>
      <c r="L39" s="149" t="e">
        <f ca="1">_xll.meDateFromTenor(L38,"1D","FOLLOWING",#REF!,"NORMAL")</f>
        <v>#VALUE!</v>
      </c>
      <c r="M39" s="155">
        <f ca="1">_xll.meDateYearFraction(C39,D39,$M$11)</f>
        <v>2.7777777777777779E-3</v>
      </c>
      <c r="N39" s="150">
        <f ca="1"/>
        <v>-2.4300000000065936E-3</v>
      </c>
      <c r="O39" s="7" t="s">
        <v>4</v>
      </c>
      <c r="P39" s="149">
        <f t="shared" ca="1" si="1"/>
        <v>42451</v>
      </c>
      <c r="Q39" s="155">
        <f ca="1">_xll.meDateYearFraction(H39,I39,$Q$11,TRUE)</f>
        <v>0.25555555555555554</v>
      </c>
      <c r="R39" s="150">
        <f ca="1">IF(NOW(),_xll.meCurveForwardRatesFromYearFraction(P39,Q39,$Q$11,$Q$9,$Q$10))</f>
        <v>-3.7175485397107962E-3</v>
      </c>
      <c r="S39" s="134" t="s">
        <v>4</v>
      </c>
    </row>
    <row r="40" spans="1:19" x14ac:dyDescent="0.25">
      <c r="A40" s="128">
        <v>24</v>
      </c>
      <c r="B40" s="133"/>
      <c r="C40" s="149">
        <f ca="1">_xll.meDateFromTenor(C39,"1D","FOLLOWING",$D$11,"NORMAL")</f>
        <v>42452</v>
      </c>
      <c r="D40" s="20">
        <f ca="1">_xll.meDateFromTenor(C40,"1D","Following",$D$11,"Normal")</f>
        <v>42453</v>
      </c>
      <c r="E40" s="99">
        <f ca="1"/>
        <v>3.6999999999842662E-3</v>
      </c>
      <c r="F40" s="161">
        <f ca="1">_xll.meCurveForwardRates(C40,$D$9,$D$10)</f>
        <v>3.7068343657260527E-3</v>
      </c>
      <c r="G40" s="7" t="s">
        <v>4</v>
      </c>
      <c r="H40" s="149">
        <f t="shared" ca="1" si="0"/>
        <v>42452</v>
      </c>
      <c r="I40" s="20">
        <f ca="1">_xll.meDateFromTenor(H40,"3M","Following",$I$11,"Normal")</f>
        <v>42544</v>
      </c>
      <c r="J40" s="150">
        <f ca="1"/>
        <v>6.5256301273426756E-3</v>
      </c>
      <c r="K40" s="7" t="s">
        <v>4</v>
      </c>
      <c r="L40" s="149" t="e">
        <f ca="1">_xll.meDateFromTenor(L39,"1D","FOLLOWING",#REF!,"NORMAL")</f>
        <v>#VALUE!</v>
      </c>
      <c r="M40" s="155">
        <f ca="1">_xll.meDateYearFraction(C40,D40,$M$11)</f>
        <v>2.7777777777777779E-3</v>
      </c>
      <c r="N40" s="150">
        <f ca="1"/>
        <v>-2.4300000000065936E-3</v>
      </c>
      <c r="O40" s="7" t="s">
        <v>4</v>
      </c>
      <c r="P40" s="149">
        <f t="shared" ca="1" si="1"/>
        <v>42452</v>
      </c>
      <c r="Q40" s="155">
        <f ca="1">_xll.meDateYearFraction(H40,I40,$Q$11,TRUE)</f>
        <v>0.25555555555555554</v>
      </c>
      <c r="R40" s="150">
        <f ca="1">IF(NOW(),_xll.meCurveForwardRatesFromYearFraction(P40,Q40,$Q$11,$Q$9,$Q$10))</f>
        <v>-3.8259793060882968E-3</v>
      </c>
      <c r="S40" s="134" t="s">
        <v>4</v>
      </c>
    </row>
    <row r="41" spans="1:19" x14ac:dyDescent="0.25">
      <c r="A41" s="128">
        <v>25</v>
      </c>
      <c r="B41" s="133"/>
      <c r="C41" s="149">
        <f ca="1">_xll.meDateFromTenor(C40,"1D","FOLLOWING",$D$11,"NORMAL")</f>
        <v>42453</v>
      </c>
      <c r="D41" s="20">
        <f ca="1">_xll.meDateFromTenor(C41,"1D","Following",$D$11,"Normal")</f>
        <v>42458</v>
      </c>
      <c r="E41" s="99">
        <f ca="1"/>
        <v>3.7000532391253654E-3</v>
      </c>
      <c r="F41" s="161">
        <f ca="1">_xll.meCurveForwardRates(C41,$D$9,$D$10)</f>
        <v>3.7068343657260527E-3</v>
      </c>
      <c r="G41" s="7" t="s">
        <v>4</v>
      </c>
      <c r="H41" s="149">
        <f t="shared" ca="1" si="0"/>
        <v>42453</v>
      </c>
      <c r="I41" s="20">
        <f ca="1">_xll.meDateFromTenor(H41,"3M","Following",$I$11,"Normal")</f>
        <v>42545</v>
      </c>
      <c r="J41" s="150">
        <f ca="1"/>
        <v>6.5352725455269057E-3</v>
      </c>
      <c r="K41" s="7" t="s">
        <v>4</v>
      </c>
      <c r="L41" s="149" t="e">
        <f ca="1">_xll.meDateFromTenor(L40,"1D","FOLLOWING",#REF!,"NORMAL")</f>
        <v>#VALUE!</v>
      </c>
      <c r="M41" s="155">
        <f ca="1">_xll.meDateYearFraction(C41,D41,$M$11)</f>
        <v>1.3888888888888888E-2</v>
      </c>
      <c r="N41" s="150">
        <f ca="1"/>
        <v>-2.4300000000065936E-3</v>
      </c>
      <c r="O41" s="7" t="s">
        <v>4</v>
      </c>
      <c r="P41" s="149">
        <f t="shared" ca="1" si="1"/>
        <v>42453</v>
      </c>
      <c r="Q41" s="155">
        <f ca="1">_xll.meDateYearFraction(H41,I41,$Q$11,TRUE)</f>
        <v>0.25555555555555554</v>
      </c>
      <c r="R41" s="150">
        <f ca="1">IF(NOW(),_xll.meCurveForwardRatesFromYearFraction(P41,Q41,$Q$11,$Q$9,$Q$10))</f>
        <v>-3.832080491821242E-3</v>
      </c>
      <c r="S41" s="134" t="s">
        <v>4</v>
      </c>
    </row>
    <row r="42" spans="1:19" x14ac:dyDescent="0.25">
      <c r="A42" s="128">
        <v>26</v>
      </c>
      <c r="B42" s="133"/>
      <c r="C42" s="149">
        <f ca="1">_xll.meDateFromTenor(C41,"1D","FOLLOWING",$D$11,"NORMAL")</f>
        <v>42458</v>
      </c>
      <c r="D42" s="20">
        <f ca="1">_xll.meDateFromTenor(C42,"1D","Following",$D$11,"Normal")</f>
        <v>42459</v>
      </c>
      <c r="E42" s="99">
        <f ca="1"/>
        <v>3.6999999999842844E-3</v>
      </c>
      <c r="F42" s="161">
        <f ca="1">_xll.meCurveForwardRates(C42,$D$9,$D$10)</f>
        <v>3.7068343657260527E-3</v>
      </c>
      <c r="G42" s="7" t="s">
        <v>4</v>
      </c>
      <c r="H42" s="149">
        <f t="shared" ca="1" si="0"/>
        <v>42458</v>
      </c>
      <c r="I42" s="20">
        <f ca="1">_xll.meDateFromTenor(H42,"3M","Following",$I$11,"Normal")</f>
        <v>42550</v>
      </c>
      <c r="J42" s="150">
        <f ca="1"/>
        <v>6.5834846364480571E-3</v>
      </c>
      <c r="K42" s="7" t="s">
        <v>4</v>
      </c>
      <c r="L42" s="149" t="e">
        <f ca="1">_xll.meDateFromTenor(L41,"1D","FOLLOWING",#REF!,"NORMAL")</f>
        <v>#VALUE!</v>
      </c>
      <c r="M42" s="155">
        <f ca="1">_xll.meDateYearFraction(C42,D42,$M$11)</f>
        <v>2.7777777777777779E-3</v>
      </c>
      <c r="N42" s="150">
        <f ca="1"/>
        <v>-2.4300000000065936E-3</v>
      </c>
      <c r="O42" s="7" t="s">
        <v>4</v>
      </c>
      <c r="P42" s="149">
        <f t="shared" ca="1" si="1"/>
        <v>42458</v>
      </c>
      <c r="Q42" s="155">
        <f ca="1">_xll.meDateYearFraction(H42,I42,$Q$11,TRUE)</f>
        <v>0.25555555555555554</v>
      </c>
      <c r="R42" s="150">
        <f ca="1">IF(NOW(),_xll.meCurveForwardRatesFromYearFraction(P42,Q42,$Q$11,$Q$9,$Q$10))</f>
        <v>-3.7175485397107962E-3</v>
      </c>
      <c r="S42" s="134" t="s">
        <v>4</v>
      </c>
    </row>
    <row r="43" spans="1:19" x14ac:dyDescent="0.25">
      <c r="A43" s="128">
        <v>27</v>
      </c>
      <c r="B43" s="133"/>
      <c r="C43" s="149">
        <f ca="1">_xll.meDateFromTenor(C42,"1D","FOLLOWING",$D$11,"NORMAL")</f>
        <v>42459</v>
      </c>
      <c r="D43" s="20">
        <f ca="1">_xll.meDateFromTenor(C43,"1D","Following",$D$11,"Normal")</f>
        <v>42460</v>
      </c>
      <c r="E43" s="99">
        <f ca="1"/>
        <v>3.6999999999842662E-3</v>
      </c>
      <c r="F43" s="161">
        <f ca="1">_xll.meCurveForwardRates(C43,$D$9,$D$10)</f>
        <v>3.7068343657260527E-3</v>
      </c>
      <c r="G43" s="7" t="s">
        <v>4</v>
      </c>
      <c r="H43" s="149">
        <f t="shared" ca="1" si="0"/>
        <v>42459</v>
      </c>
      <c r="I43" s="20">
        <f ca="1">_xll.meDateFromTenor(H43,"3M","Following",$I$11,"Normal")</f>
        <v>42551</v>
      </c>
      <c r="J43" s="150">
        <f ca="1"/>
        <v>6.5931270546322864E-3</v>
      </c>
      <c r="K43" s="7" t="s">
        <v>4</v>
      </c>
      <c r="L43" s="149" t="e">
        <f ca="1">_xll.meDateFromTenor(L42,"1D","FOLLOWING",#REF!,"NORMAL")</f>
        <v>#VALUE!</v>
      </c>
      <c r="M43" s="155">
        <f ca="1">_xll.meDateYearFraction(C43,D43,$M$11)</f>
        <v>2.7777777777777779E-3</v>
      </c>
      <c r="N43" s="150">
        <f ca="1"/>
        <v>-2.4300000000065936E-3</v>
      </c>
      <c r="O43" s="7" t="s">
        <v>4</v>
      </c>
      <c r="P43" s="149">
        <f t="shared" ca="1" si="1"/>
        <v>42459</v>
      </c>
      <c r="Q43" s="155">
        <f ca="1">_xll.meDateYearFraction(H43,I43,$Q$11,TRUE)</f>
        <v>0.25555555555555554</v>
      </c>
      <c r="R43" s="150">
        <f ca="1">IF(NOW(),_xll.meCurveForwardRatesFromYearFraction(P43,Q43,$Q$11,$Q$9,$Q$10))</f>
        <v>-3.7175485397107962E-3</v>
      </c>
      <c r="S43" s="134" t="s">
        <v>4</v>
      </c>
    </row>
    <row r="44" spans="1:19" x14ac:dyDescent="0.25">
      <c r="A44" s="128">
        <v>28</v>
      </c>
      <c r="B44" s="133"/>
      <c r="C44" s="149">
        <f ca="1">_xll.meDateFromTenor(C43,"1D","FOLLOWING",$D$11,"NORMAL")</f>
        <v>42460</v>
      </c>
      <c r="D44" s="20">
        <f ca="1">_xll.meDateFromTenor(C44,"1D","Following",$D$11,"Normal")</f>
        <v>42461</v>
      </c>
      <c r="E44" s="99">
        <f ca="1"/>
        <v>3.6999999999842662E-3</v>
      </c>
      <c r="F44" s="161">
        <f ca="1">_xll.meCurveForwardRates(C44,$D$9,$D$10)</f>
        <v>3.7068343657260527E-3</v>
      </c>
      <c r="G44" s="7" t="s">
        <v>4</v>
      </c>
      <c r="H44" s="149">
        <f t="shared" ca="1" si="0"/>
        <v>42460</v>
      </c>
      <c r="I44" s="20">
        <f ca="1">_xll.meDateFromTenor(H44,"3M","Following",$I$11,"Normal")</f>
        <v>42551</v>
      </c>
      <c r="J44" s="150">
        <f ca="1"/>
        <v>6.6027694728165174E-3</v>
      </c>
      <c r="K44" s="7" t="s">
        <v>4</v>
      </c>
      <c r="L44" s="149" t="e">
        <f ca="1">_xll.meDateFromTenor(L43,"1D","FOLLOWING",#REF!,"NORMAL")</f>
        <v>#VALUE!</v>
      </c>
      <c r="M44" s="155">
        <f ca="1">_xll.meDateYearFraction(C44,D44,$M$11)</f>
        <v>2.7777777777777779E-3</v>
      </c>
      <c r="N44" s="150">
        <f ca="1"/>
        <v>-2.4300000000065936E-3</v>
      </c>
      <c r="O44" s="7" t="s">
        <v>4</v>
      </c>
      <c r="P44" s="149">
        <f t="shared" ca="1" si="1"/>
        <v>42460</v>
      </c>
      <c r="Q44" s="155">
        <f ca="1">_xll.meDateYearFraction(H44,I44,$Q$11,TRUE)</f>
        <v>0.25277777777777777</v>
      </c>
      <c r="R44" s="150">
        <f ca="1">IF(NOW(),_xll.meCurveForwardRatesFromYearFraction(P44,Q44,$Q$11,$Q$9,$Q$10))</f>
        <v>-3.7175485397107962E-3</v>
      </c>
      <c r="S44" s="134" t="s">
        <v>4</v>
      </c>
    </row>
    <row r="45" spans="1:19" x14ac:dyDescent="0.25">
      <c r="A45" s="128">
        <v>29</v>
      </c>
      <c r="B45" s="133"/>
      <c r="C45" s="149">
        <f ca="1">_xll.meDateFromTenor(C44,"1D","FOLLOWING",$D$11,"NORMAL")</f>
        <v>42461</v>
      </c>
      <c r="D45" s="20">
        <f ca="1">_xll.meDateFromTenor(C45,"1D","Following",$D$11,"Normal")</f>
        <v>42464</v>
      </c>
      <c r="E45" s="99">
        <f ca="1"/>
        <v>3.7000000000109176E-3</v>
      </c>
      <c r="F45" s="161">
        <f ca="1">_xll.meCurveForwardRates(C45,$D$9,$D$10)</f>
        <v>3.7068005571172513E-3</v>
      </c>
      <c r="G45" s="7" t="s">
        <v>4</v>
      </c>
      <c r="H45" s="149">
        <f t="shared" ca="1" si="0"/>
        <v>42461</v>
      </c>
      <c r="I45" s="20">
        <f ca="1">_xll.meDateFromTenor(H45,"3M","Following",$I$11,"Normal")</f>
        <v>42552</v>
      </c>
      <c r="J45" s="150">
        <f ca="1"/>
        <v>6.6124118910007475E-3</v>
      </c>
      <c r="K45" s="7" t="s">
        <v>4</v>
      </c>
      <c r="L45" s="149" t="e">
        <f ca="1">_xll.meDateFromTenor(L44,"1D","FOLLOWING",#REF!,"NORMAL")</f>
        <v>#VALUE!</v>
      </c>
      <c r="M45" s="155">
        <f ca="1">_xll.meDateYearFraction(C45,D45,$M$11)</f>
        <v>8.3333333333333332E-3</v>
      </c>
      <c r="N45" s="150">
        <f ca="1"/>
        <v>-2.4300000000065936E-3</v>
      </c>
      <c r="O45" s="7" t="s">
        <v>4</v>
      </c>
      <c r="P45" s="149">
        <f t="shared" ca="1" si="1"/>
        <v>42461</v>
      </c>
      <c r="Q45" s="155">
        <f ca="1">_xll.meDateYearFraction(H45,I45,$Q$11,TRUE)</f>
        <v>0.25277777777777777</v>
      </c>
      <c r="R45" s="150">
        <f ca="1">IF(NOW(),_xll.meCurveForwardRatesFromYearFraction(P45,Q45,$Q$11,$Q$9,$Q$10))</f>
        <v>-3.8825927145469644E-3</v>
      </c>
      <c r="S45" s="134" t="s">
        <v>4</v>
      </c>
    </row>
    <row r="46" spans="1:19" x14ac:dyDescent="0.25">
      <c r="A46" s="128">
        <v>30</v>
      </c>
      <c r="B46" s="133"/>
      <c r="C46" s="149">
        <f ca="1">_xll.meDateFromTenor(C45,"1D","FOLLOWING",$D$11,"NORMAL")</f>
        <v>42464</v>
      </c>
      <c r="D46" s="20">
        <f ca="1">_xll.meDateFromTenor(C46,"1D","Following",$D$11,"Normal")</f>
        <v>42465</v>
      </c>
      <c r="E46" s="99">
        <f ca="1"/>
        <v>3.6999999999842844E-3</v>
      </c>
      <c r="F46" s="161">
        <f ca="1">_xll.meCurveForwardRates(C46,$D$9,$D$10)</f>
        <v>3.7068343657260527E-3</v>
      </c>
      <c r="G46" s="7" t="s">
        <v>4</v>
      </c>
      <c r="H46" s="149">
        <f t="shared" ca="1" si="0"/>
        <v>42464</v>
      </c>
      <c r="I46" s="20">
        <f ca="1">_xll.meDateFromTenor(H46,"3M","Following",$I$11,"Normal")</f>
        <v>42556</v>
      </c>
      <c r="J46" s="150">
        <f ca="1"/>
        <v>6.6413391455534378E-3</v>
      </c>
      <c r="K46" s="7" t="s">
        <v>4</v>
      </c>
      <c r="L46" s="149" t="e">
        <f ca="1">_xll.meDateFromTenor(L45,"1D","FOLLOWING",#REF!,"NORMAL")</f>
        <v>#VALUE!</v>
      </c>
      <c r="M46" s="155">
        <f ca="1">_xll.meDateYearFraction(C46,D46,$M$11)</f>
        <v>2.7777777777777779E-3</v>
      </c>
      <c r="N46" s="150">
        <f ca="1"/>
        <v>-2.4300000000065936E-3</v>
      </c>
      <c r="O46" s="7" t="s">
        <v>4</v>
      </c>
      <c r="P46" s="149">
        <f t="shared" ca="1" si="1"/>
        <v>42464</v>
      </c>
      <c r="Q46" s="155">
        <f ca="1">_xll.meDateYearFraction(H46,I46,$Q$11,TRUE)</f>
        <v>0.25555555555555554</v>
      </c>
      <c r="R46" s="150">
        <f ca="1">IF(NOW(),_xll.meCurveForwardRatesFromYearFraction(P46,Q46,$Q$11,$Q$9,$Q$10))</f>
        <v>-3.7175485397107962E-3</v>
      </c>
      <c r="S46" s="134" t="s">
        <v>4</v>
      </c>
    </row>
    <row r="47" spans="1:19" x14ac:dyDescent="0.25">
      <c r="A47" s="128">
        <v>31</v>
      </c>
      <c r="B47" s="133"/>
      <c r="C47" s="149">
        <f ca="1">_xll.meDateFromTenor(C46,"1D","FOLLOWING",$D$11,"NORMAL")</f>
        <v>42465</v>
      </c>
      <c r="D47" s="20">
        <f ca="1">_xll.meDateFromTenor(C47,"1D","Following",$D$11,"Normal")</f>
        <v>42466</v>
      </c>
      <c r="E47" s="99">
        <f ca="1"/>
        <v>3.6999999999842476E-3</v>
      </c>
      <c r="F47" s="161">
        <f ca="1">_xll.meCurveForwardRates(C47,$D$9,$D$10)</f>
        <v>3.7068343657260527E-3</v>
      </c>
      <c r="G47" s="7" t="s">
        <v>4</v>
      </c>
      <c r="H47" s="149">
        <f t="shared" ca="1" si="0"/>
        <v>42465</v>
      </c>
      <c r="I47" s="20">
        <f ca="1">_xll.meDateFromTenor(H47,"3M","Following",$I$11,"Normal")</f>
        <v>42556</v>
      </c>
      <c r="J47" s="150">
        <f ca="1"/>
        <v>6.6509815637376679E-3</v>
      </c>
      <c r="K47" s="7" t="s">
        <v>4</v>
      </c>
      <c r="L47" s="149" t="e">
        <f ca="1">_xll.meDateFromTenor(L46,"1D","FOLLOWING",#REF!,"NORMAL")</f>
        <v>#VALUE!</v>
      </c>
      <c r="M47" s="155">
        <f ca="1">_xll.meDateYearFraction(C47,D47,$M$11)</f>
        <v>2.7777777777777779E-3</v>
      </c>
      <c r="N47" s="150">
        <f ca="1"/>
        <v>-2.4300000000065936E-3</v>
      </c>
      <c r="O47" s="7" t="s">
        <v>4</v>
      </c>
      <c r="P47" s="149">
        <f t="shared" ca="1" si="1"/>
        <v>42465</v>
      </c>
      <c r="Q47" s="155">
        <f ca="1">_xll.meDateYearFraction(H47,I47,$Q$11,TRUE)</f>
        <v>0.25277777777777777</v>
      </c>
      <c r="R47" s="150">
        <f ca="1">IF(NOW(),_xll.meCurveForwardRatesFromYearFraction(P47,Q47,$Q$11,$Q$9,$Q$10))</f>
        <v>-3.9081428094165345E-3</v>
      </c>
      <c r="S47" s="134" t="s">
        <v>4</v>
      </c>
    </row>
    <row r="48" spans="1:19" x14ac:dyDescent="0.25">
      <c r="A48" s="128">
        <v>32</v>
      </c>
      <c r="B48" s="133"/>
      <c r="C48" s="149">
        <f ca="1">_xll.meDateFromTenor(C47,"1D","FOLLOWING",$D$11,"NORMAL")</f>
        <v>42466</v>
      </c>
      <c r="D48" s="20">
        <f ca="1">_xll.meDateFromTenor(C48,"1D","Following",$D$11,"Normal")</f>
        <v>42467</v>
      </c>
      <c r="E48" s="99">
        <f ca="1"/>
        <v>3.6999999999842844E-3</v>
      </c>
      <c r="F48" s="161">
        <f ca="1">_xll.meCurveForwardRates(C48,$D$9,$D$10)</f>
        <v>3.7068343657260527E-3</v>
      </c>
      <c r="G48" s="7" t="s">
        <v>4</v>
      </c>
      <c r="H48" s="149">
        <f t="shared" ca="1" si="0"/>
        <v>42466</v>
      </c>
      <c r="I48" s="20">
        <f ca="1">_xll.meDateFromTenor(H48,"3M","Following",$I$11,"Normal")</f>
        <v>42557</v>
      </c>
      <c r="J48" s="150">
        <f ca="1"/>
        <v>6.660623981921898E-3</v>
      </c>
      <c r="K48" s="7" t="s">
        <v>4</v>
      </c>
      <c r="L48" s="149" t="e">
        <f ca="1">_xll.meDateFromTenor(L47,"1D","FOLLOWING",#REF!,"NORMAL")</f>
        <v>#VALUE!</v>
      </c>
      <c r="M48" s="155">
        <f ca="1">_xll.meDateYearFraction(C48,D48,$M$11)</f>
        <v>2.7777777777777779E-3</v>
      </c>
      <c r="N48" s="150">
        <f ca="1"/>
        <v>-2.4300000000065936E-3</v>
      </c>
      <c r="O48" s="7" t="s">
        <v>4</v>
      </c>
      <c r="P48" s="149">
        <f t="shared" ca="1" si="1"/>
        <v>42466</v>
      </c>
      <c r="Q48" s="155">
        <f ca="1">_xll.meDateYearFraction(H48,I48,$Q$11,TRUE)</f>
        <v>0.25277777777777777</v>
      </c>
      <c r="R48" s="150">
        <f ca="1">IF(NOW(),_xll.meCurveForwardRatesFromYearFraction(P48,Q48,$Q$11,$Q$9,$Q$10))</f>
        <v>-3.7175485397107962E-3</v>
      </c>
      <c r="S48" s="134" t="s">
        <v>4</v>
      </c>
    </row>
    <row r="49" spans="1:19" x14ac:dyDescent="0.25">
      <c r="A49" s="128">
        <v>33</v>
      </c>
      <c r="B49" s="133"/>
      <c r="C49" s="149">
        <f ca="1">_xll.meDateFromTenor(C48,"1D","FOLLOWING",$D$11,"NORMAL")</f>
        <v>42467</v>
      </c>
      <c r="D49" s="20">
        <f ca="1">_xll.meDateFromTenor(C49,"1D","Following",$D$11,"Normal")</f>
        <v>42468</v>
      </c>
      <c r="E49" s="99">
        <f ca="1"/>
        <v>3.6999999999842844E-3</v>
      </c>
      <c r="F49" s="161">
        <f ca="1">_xll.meCurveForwardRates(C49,$D$9,$D$10)</f>
        <v>3.7068343657260527E-3</v>
      </c>
      <c r="G49" s="7" t="s">
        <v>4</v>
      </c>
      <c r="H49" s="149">
        <f t="shared" ca="1" si="0"/>
        <v>42467</v>
      </c>
      <c r="I49" s="20">
        <f ca="1">_xll.meDateFromTenor(H49,"3M","Following",$I$11,"Normal")</f>
        <v>42558</v>
      </c>
      <c r="J49" s="150">
        <f ca="1"/>
        <v>6.6702664001061281E-3</v>
      </c>
      <c r="K49" s="7" t="s">
        <v>4</v>
      </c>
      <c r="L49" s="149" t="e">
        <f ca="1">_xll.meDateFromTenor(L48,"1D","FOLLOWING",#REF!,"NORMAL")</f>
        <v>#VALUE!</v>
      </c>
      <c r="M49" s="155">
        <f ca="1">_xll.meDateYearFraction(C49,D49,$M$11)</f>
        <v>2.7777777777777779E-3</v>
      </c>
      <c r="N49" s="150">
        <f ca="1"/>
        <v>-2.4300000000065936E-3</v>
      </c>
      <c r="O49" s="7" t="s">
        <v>4</v>
      </c>
      <c r="P49" s="149">
        <f t="shared" ca="1" si="1"/>
        <v>42467</v>
      </c>
      <c r="Q49" s="155">
        <f ca="1">_xll.meDateYearFraction(H49,I49,$Q$11,TRUE)</f>
        <v>0.25277777777777777</v>
      </c>
      <c r="R49" s="150">
        <f ca="1">IF(NOW(),_xll.meCurveForwardRatesFromYearFraction(P49,Q49,$Q$11,$Q$9,$Q$10))</f>
        <v>-3.9208395781857776E-3</v>
      </c>
      <c r="S49" s="134" t="s">
        <v>4</v>
      </c>
    </row>
    <row r="50" spans="1:19" x14ac:dyDescent="0.25">
      <c r="A50" s="128">
        <v>34</v>
      </c>
      <c r="B50" s="133"/>
      <c r="C50" s="149">
        <f ca="1">_xll.meDateFromTenor(C49,"1D","FOLLOWING",$D$11,"NORMAL")</f>
        <v>42468</v>
      </c>
      <c r="D50" s="20">
        <f ca="1">_xll.meDateFromTenor(C50,"1D","Following",$D$11,"Normal")</f>
        <v>42471</v>
      </c>
      <c r="E50" s="99">
        <f ca="1"/>
        <v>3.7000000000109176E-3</v>
      </c>
      <c r="F50" s="161">
        <f ca="1">_xll.meCurveForwardRates(C50,$D$9,$D$10)</f>
        <v>3.7068005571172513E-3</v>
      </c>
      <c r="G50" s="7" t="s">
        <v>4</v>
      </c>
      <c r="H50" s="149">
        <f t="shared" ca="1" si="0"/>
        <v>42468</v>
      </c>
      <c r="I50" s="20">
        <f ca="1">_xll.meDateFromTenor(H50,"3M","Following",$I$11,"Normal")</f>
        <v>42559</v>
      </c>
      <c r="J50" s="150">
        <f ca="1"/>
        <v>6.6799088182903591E-3</v>
      </c>
      <c r="K50" s="7" t="s">
        <v>4</v>
      </c>
      <c r="L50" s="149" t="e">
        <f ca="1">_xll.meDateFromTenor(L49,"1D","FOLLOWING",#REF!,"NORMAL")</f>
        <v>#VALUE!</v>
      </c>
      <c r="M50" s="155">
        <f ca="1">_xll.meDateYearFraction(C50,D50,$M$11)</f>
        <v>8.3333333333333332E-3</v>
      </c>
      <c r="N50" s="150">
        <f ca="1"/>
        <v>-2.4300000000065936E-3</v>
      </c>
      <c r="O50" s="7" t="s">
        <v>4</v>
      </c>
      <c r="P50" s="149">
        <f t="shared" ca="1" si="1"/>
        <v>42468</v>
      </c>
      <c r="Q50" s="155">
        <f ca="1">_xll.meDateYearFraction(H50,I50,$Q$11,TRUE)</f>
        <v>0.25277777777777777</v>
      </c>
      <c r="R50" s="150">
        <f ca="1">IF(NOW(),_xll.meCurveForwardRatesFromYearFraction(P50,Q50,$Q$11,$Q$9,$Q$10))</f>
        <v>-3.7175485397107962E-3</v>
      </c>
      <c r="S50" s="134" t="s">
        <v>4</v>
      </c>
    </row>
    <row r="51" spans="1:19" x14ac:dyDescent="0.25">
      <c r="A51" s="128">
        <v>35</v>
      </c>
      <c r="B51" s="133"/>
      <c r="C51" s="149">
        <f ca="1">_xll.meDateFromTenor(C50,"1D","FOLLOWING",$D$11,"NORMAL")</f>
        <v>42471</v>
      </c>
      <c r="D51" s="20">
        <f ca="1">_xll.meDateFromTenor(C51,"1D","Following",$D$11,"Normal")</f>
        <v>42472</v>
      </c>
      <c r="E51" s="99">
        <f ca="1"/>
        <v>3.6999999999842476E-3</v>
      </c>
      <c r="F51" s="161">
        <f ca="1">_xll.meCurveForwardRates(C51,$D$9,$D$10)</f>
        <v>3.7068343657260527E-3</v>
      </c>
      <c r="G51" s="7" t="s">
        <v>4</v>
      </c>
      <c r="H51" s="149">
        <f t="shared" ca="1" si="0"/>
        <v>42471</v>
      </c>
      <c r="I51" s="20">
        <f ca="1">_xll.meDateFromTenor(H51,"3M","Following",$I$11,"Normal")</f>
        <v>42562</v>
      </c>
      <c r="J51" s="150">
        <f ca="1"/>
        <v>6.7088360728430494E-3</v>
      </c>
      <c r="K51" s="7" t="s">
        <v>4</v>
      </c>
      <c r="L51" s="149" t="e">
        <f ca="1">_xll.meDateFromTenor(L50,"1D","FOLLOWING",#REF!,"NORMAL")</f>
        <v>#VALUE!</v>
      </c>
      <c r="M51" s="155">
        <f ca="1">_xll.meDateYearFraction(C51,D51,$M$11)</f>
        <v>2.7777777777777779E-3</v>
      </c>
      <c r="N51" s="150">
        <f ca="1"/>
        <v>-2.4300000000065936E-3</v>
      </c>
      <c r="O51" s="7" t="s">
        <v>4</v>
      </c>
      <c r="P51" s="149">
        <f t="shared" ca="1" si="1"/>
        <v>42471</v>
      </c>
      <c r="Q51" s="155">
        <f ca="1">_xll.meDateYearFraction(H51,I51,$Q$11,TRUE)</f>
        <v>0.25277777777777777</v>
      </c>
      <c r="R51" s="150">
        <f ca="1">IF(NOW(),_xll.meCurveForwardRatesFromYearFraction(P51,Q51,$Q$11,$Q$9,$Q$10))</f>
        <v>-3.9459300738675478E-3</v>
      </c>
      <c r="S51" s="134" t="s">
        <v>4</v>
      </c>
    </row>
    <row r="52" spans="1:19" x14ac:dyDescent="0.25">
      <c r="A52" s="128">
        <v>36</v>
      </c>
      <c r="B52" s="133"/>
      <c r="C52" s="149">
        <f ca="1">_xll.meDateFromTenor(C51,"1D","FOLLOWING",$D$11,"NORMAL")</f>
        <v>42472</v>
      </c>
      <c r="D52" s="20">
        <f ca="1">_xll.meDateFromTenor(C52,"1D","Following",$D$11,"Normal")</f>
        <v>42473</v>
      </c>
      <c r="E52" s="99">
        <f ca="1"/>
        <v>3.6999999999842844E-3</v>
      </c>
      <c r="F52" s="161">
        <f ca="1">_xll.meCurveForwardRates(C52,$D$9,$D$10)</f>
        <v>3.7068343657260527E-3</v>
      </c>
      <c r="G52" s="7" t="s">
        <v>4</v>
      </c>
      <c r="H52" s="149">
        <f t="shared" ca="1" si="0"/>
        <v>42472</v>
      </c>
      <c r="I52" s="20">
        <f ca="1">_xll.meDateFromTenor(H52,"3M","Following",$I$11,"Normal")</f>
        <v>42563</v>
      </c>
      <c r="J52" s="150">
        <f ca="1"/>
        <v>6.7184784910272796E-3</v>
      </c>
      <c r="K52" s="7" t="s">
        <v>4</v>
      </c>
      <c r="L52" s="149" t="e">
        <f ca="1">_xll.meDateFromTenor(L51,"1D","FOLLOWING",#REF!,"NORMAL")</f>
        <v>#VALUE!</v>
      </c>
      <c r="M52" s="155">
        <f ca="1">_xll.meDateYearFraction(C52,D52,$M$11)</f>
        <v>2.7777777777777779E-3</v>
      </c>
      <c r="N52" s="150">
        <f ca="1"/>
        <v>-2.4300000000065936E-3</v>
      </c>
      <c r="O52" s="7" t="s">
        <v>4</v>
      </c>
      <c r="P52" s="149">
        <f t="shared" ca="1" si="1"/>
        <v>42472</v>
      </c>
      <c r="Q52" s="155">
        <f ca="1">_xll.meDateYearFraction(H52,I52,$Q$11,TRUE)</f>
        <v>0.25277777777777777</v>
      </c>
      <c r="R52" s="150">
        <f ca="1">IF(NOW(),_xll.meCurveForwardRatesFromYearFraction(P52,Q52,$Q$11,$Q$9,$Q$10))</f>
        <v>-3.7175485397107962E-3</v>
      </c>
      <c r="S52" s="134" t="s">
        <v>4</v>
      </c>
    </row>
    <row r="53" spans="1:19" x14ac:dyDescent="0.25">
      <c r="A53" s="128">
        <v>37</v>
      </c>
      <c r="B53" s="133"/>
      <c r="C53" s="149">
        <f ca="1">_xll.meDateFromTenor(C52,"1D","FOLLOWING",$D$11,"NORMAL")</f>
        <v>42473</v>
      </c>
      <c r="D53" s="20">
        <f ca="1">_xll.meDateFromTenor(C53,"1D","Following",$D$11,"Normal")</f>
        <v>42474</v>
      </c>
      <c r="E53" s="99">
        <f ca="1"/>
        <v>3.6999999999842476E-3</v>
      </c>
      <c r="F53" s="161">
        <f ca="1">_xll.meCurveForwardRates(C53,$D$9,$D$10)</f>
        <v>3.7068343657260527E-3</v>
      </c>
      <c r="G53" s="7" t="s">
        <v>4</v>
      </c>
      <c r="H53" s="149">
        <f t="shared" ca="1" si="0"/>
        <v>42473</v>
      </c>
      <c r="I53" s="20">
        <f ca="1">_xll.meDateFromTenor(H53,"3M","Following",$I$11,"Normal")</f>
        <v>42564</v>
      </c>
      <c r="J53" s="150">
        <f ca="1"/>
        <v>6.7281209092115097E-3</v>
      </c>
      <c r="K53" s="7" t="s">
        <v>4</v>
      </c>
      <c r="L53" s="149" t="e">
        <f ca="1">_xll.meDateFromTenor(L52,"1D","FOLLOWING",#REF!,"NORMAL")</f>
        <v>#VALUE!</v>
      </c>
      <c r="M53" s="155">
        <f ca="1">_xll.meDateYearFraction(C53,D53,$M$11)</f>
        <v>2.7777777777777779E-3</v>
      </c>
      <c r="N53" s="150">
        <f ca="1"/>
        <v>-2.4300000000065936E-3</v>
      </c>
      <c r="O53" s="7" t="s">
        <v>4</v>
      </c>
      <c r="P53" s="149">
        <f t="shared" ca="1" si="1"/>
        <v>42473</v>
      </c>
      <c r="Q53" s="155">
        <f ca="1">_xll.meDateYearFraction(H53,I53,$Q$11,TRUE)</f>
        <v>0.25277777777777777</v>
      </c>
      <c r="R53" s="150">
        <f ca="1">IF(NOW(),_xll.meCurveForwardRatesFromYearFraction(P53,Q53,$Q$11,$Q$9,$Q$10))</f>
        <v>-3.9582652069698205E-3</v>
      </c>
      <c r="S53" s="134" t="s">
        <v>4</v>
      </c>
    </row>
    <row r="54" spans="1:19" x14ac:dyDescent="0.25">
      <c r="A54" s="128">
        <v>38</v>
      </c>
      <c r="B54" s="133"/>
      <c r="C54" s="149">
        <f ca="1">_xll.meDateFromTenor(C53,"1D","FOLLOWING",$D$11,"NORMAL")</f>
        <v>42474</v>
      </c>
      <c r="D54" s="20">
        <f ca="1">_xll.meDateFromTenor(C54,"1D","Following",$D$11,"Normal")</f>
        <v>42475</v>
      </c>
      <c r="E54" s="99">
        <f ca="1"/>
        <v>3.6999999999842844E-3</v>
      </c>
      <c r="F54" s="161">
        <f ca="1">_xll.meCurveForwardRates(C54,$D$9,$D$10)</f>
        <v>3.7068343657260527E-3</v>
      </c>
      <c r="G54" s="7" t="s">
        <v>4</v>
      </c>
      <c r="H54" s="149">
        <f t="shared" ca="1" si="0"/>
        <v>42474</v>
      </c>
      <c r="I54" s="20">
        <f ca="1">_xll.meDateFromTenor(H54,"3M","Following",$I$11,"Normal")</f>
        <v>42565</v>
      </c>
      <c r="J54" s="150">
        <f ca="1"/>
        <v>6.7377633273957406E-3</v>
      </c>
      <c r="K54" s="7" t="s">
        <v>4</v>
      </c>
      <c r="L54" s="149" t="e">
        <f ca="1">_xll.meDateFromTenor(L53,"1D","FOLLOWING",#REF!,"NORMAL")</f>
        <v>#VALUE!</v>
      </c>
      <c r="M54" s="155">
        <f ca="1">_xll.meDateYearFraction(C54,D54,$M$11)</f>
        <v>2.7777777777777779E-3</v>
      </c>
      <c r="N54" s="150">
        <f ca="1"/>
        <v>-2.4300000000065936E-3</v>
      </c>
      <c r="O54" s="7" t="s">
        <v>4</v>
      </c>
      <c r="P54" s="149">
        <f t="shared" ca="1" si="1"/>
        <v>42474</v>
      </c>
      <c r="Q54" s="155">
        <f ca="1">_xll.meDateYearFraction(H54,I54,$Q$11,TRUE)</f>
        <v>0.25277777777777777</v>
      </c>
      <c r="R54" s="150">
        <f ca="1">IF(NOW(),_xll.meCurveForwardRatesFromYearFraction(P54,Q54,$Q$11,$Q$9,$Q$10))</f>
        <v>-3.7175485397107962E-3</v>
      </c>
      <c r="S54" s="134" t="s">
        <v>4</v>
      </c>
    </row>
    <row r="55" spans="1:19" x14ac:dyDescent="0.25">
      <c r="A55" s="128">
        <v>39</v>
      </c>
      <c r="B55" s="133"/>
      <c r="C55" s="149">
        <f ca="1">_xll.meDateFromTenor(C54,"1D","FOLLOWING",$D$11,"NORMAL")</f>
        <v>42475</v>
      </c>
      <c r="D55" s="20">
        <f ca="1">_xll.meDateFromTenor(C55,"1D","Following",$D$11,"Normal")</f>
        <v>42478</v>
      </c>
      <c r="E55" s="99">
        <f ca="1"/>
        <v>3.7000000000109176E-3</v>
      </c>
      <c r="F55" s="161">
        <f ca="1">_xll.meCurveForwardRates(C55,$D$9,$D$10)</f>
        <v>3.7068005571172513E-3</v>
      </c>
      <c r="G55" s="7" t="s">
        <v>4</v>
      </c>
      <c r="H55" s="149">
        <f t="shared" ca="1" si="0"/>
        <v>42475</v>
      </c>
      <c r="I55" s="20">
        <f ca="1">_xll.meDateFromTenor(H55,"3M","Following",$I$11,"Normal")</f>
        <v>42566</v>
      </c>
      <c r="J55" s="150">
        <f ca="1"/>
        <v>6.7474057455799707E-3</v>
      </c>
      <c r="K55" s="7" t="s">
        <v>4</v>
      </c>
      <c r="L55" s="149" t="e">
        <f ca="1">_xll.meDateFromTenor(L54,"1D","FOLLOWING",#REF!,"NORMAL")</f>
        <v>#VALUE!</v>
      </c>
      <c r="M55" s="155">
        <f ca="1">_xll.meDateYearFraction(C55,D55,$M$11)</f>
        <v>8.3333333333333332E-3</v>
      </c>
      <c r="N55" s="150">
        <f ca="1"/>
        <v>-2.4300000000065936E-3</v>
      </c>
      <c r="O55" s="7" t="s">
        <v>4</v>
      </c>
      <c r="P55" s="149">
        <f t="shared" ca="1" si="1"/>
        <v>42475</v>
      </c>
      <c r="Q55" s="155">
        <f ca="1">_xll.meDateYearFraction(H55,I55,$Q$11,TRUE)</f>
        <v>0.25277777777777777</v>
      </c>
      <c r="R55" s="150">
        <f ca="1">IF(NOW(),_xll.meCurveForwardRatesFromYearFraction(P55,Q55,$Q$11,$Q$9,$Q$10))</f>
        <v>-3.7175485397107962E-3</v>
      </c>
      <c r="S55" s="134" t="s">
        <v>4</v>
      </c>
    </row>
    <row r="56" spans="1:19" x14ac:dyDescent="0.25">
      <c r="A56" s="128">
        <v>40</v>
      </c>
      <c r="B56" s="133"/>
      <c r="C56" s="149">
        <f ca="1">_xll.meDateFromTenor(C55,"1D","FOLLOWING",$D$11,"NORMAL")</f>
        <v>42478</v>
      </c>
      <c r="D56" s="20">
        <f ca="1">_xll.meDateFromTenor(C56,"1D","Following",$D$11,"Normal")</f>
        <v>42479</v>
      </c>
      <c r="E56" s="99">
        <f ca="1"/>
        <v>3.6999999999842844E-3</v>
      </c>
      <c r="F56" s="161">
        <f ca="1">_xll.meCurveForwardRates(C56,$D$9,$D$10)</f>
        <v>3.7068343657260527E-3</v>
      </c>
      <c r="G56" s="7" t="s">
        <v>4</v>
      </c>
      <c r="H56" s="149">
        <f t="shared" ca="1" si="0"/>
        <v>42478</v>
      </c>
      <c r="I56" s="20">
        <f ca="1">_xll.meDateFromTenor(H56,"3M","Following",$I$11,"Normal")</f>
        <v>42569</v>
      </c>
      <c r="J56" s="150">
        <f ca="1"/>
        <v>6.7763330001326611E-3</v>
      </c>
      <c r="K56" s="7" t="s">
        <v>4</v>
      </c>
      <c r="L56" s="149" t="e">
        <f ca="1">_xll.meDateFromTenor(L55,"1D","FOLLOWING",#REF!,"NORMAL")</f>
        <v>#VALUE!</v>
      </c>
      <c r="M56" s="155">
        <f ca="1">_xll.meDateYearFraction(C56,D56,$M$11)</f>
        <v>2.7777777777777779E-3</v>
      </c>
      <c r="N56" s="150">
        <f ca="1"/>
        <v>-2.4300000000065936E-3</v>
      </c>
      <c r="O56" s="7" t="s">
        <v>4</v>
      </c>
      <c r="P56" s="149">
        <f t="shared" ca="1" si="1"/>
        <v>42478</v>
      </c>
      <c r="Q56" s="155">
        <f ca="1">_xll.meDateYearFraction(H56,I56,$Q$11,TRUE)</f>
        <v>0.25277777777777777</v>
      </c>
      <c r="R56" s="150">
        <f ca="1">IF(NOW(),_xll.meCurveForwardRatesFromYearFraction(P56,Q56,$Q$11,$Q$9,$Q$10))</f>
        <v>-3.9882552194780117E-3</v>
      </c>
      <c r="S56" s="134" t="s">
        <v>4</v>
      </c>
    </row>
    <row r="57" spans="1:19" x14ac:dyDescent="0.25">
      <c r="A57" s="128">
        <v>41</v>
      </c>
      <c r="B57" s="133"/>
      <c r="C57" s="149">
        <f ca="1">_xll.meDateFromTenor(C56,"1D","FOLLOWING",$D$11,"NORMAL")</f>
        <v>42479</v>
      </c>
      <c r="D57" s="20">
        <f ca="1">_xll.meDateFromTenor(C57,"1D","Following",$D$11,"Normal")</f>
        <v>42480</v>
      </c>
      <c r="E57" s="99">
        <f ca="1"/>
        <v>3.6999999999842476E-3</v>
      </c>
      <c r="F57" s="161">
        <f ca="1">_xll.meCurveForwardRates(C57,$D$9,$D$10)</f>
        <v>3.7068343657260527E-3</v>
      </c>
      <c r="G57" s="7" t="s">
        <v>4</v>
      </c>
      <c r="H57" s="149">
        <f t="shared" ca="1" si="0"/>
        <v>42479</v>
      </c>
      <c r="I57" s="20">
        <f ca="1">_xll.meDateFromTenor(H57,"3M","Following",$I$11,"Normal")</f>
        <v>42570</v>
      </c>
      <c r="J57" s="150">
        <f ca="1"/>
        <v>6.7859754183168912E-3</v>
      </c>
      <c r="K57" s="7" t="s">
        <v>4</v>
      </c>
      <c r="L57" s="149" t="e">
        <f ca="1">_xll.meDateFromTenor(L56,"1D","FOLLOWING",#REF!,"NORMAL")</f>
        <v>#VALUE!</v>
      </c>
      <c r="M57" s="155">
        <f ca="1">_xll.meDateYearFraction(C57,D57,$M$11)</f>
        <v>2.7777777777777779E-3</v>
      </c>
      <c r="N57" s="150">
        <f ca="1"/>
        <v>-2.4300000000065936E-3</v>
      </c>
      <c r="O57" s="7" t="s">
        <v>4</v>
      </c>
      <c r="P57" s="149">
        <f t="shared" ca="1" si="1"/>
        <v>42479</v>
      </c>
      <c r="Q57" s="155">
        <f ca="1">_xll.meDateYearFraction(H57,I57,$Q$11,TRUE)</f>
        <v>0.25277777777777777</v>
      </c>
      <c r="R57" s="150">
        <f ca="1">IF(NOW(),_xll.meCurveForwardRatesFromYearFraction(P57,Q57,$Q$11,$Q$9,$Q$10))</f>
        <v>-3.9940785844606681E-3</v>
      </c>
      <c r="S57" s="134" t="s">
        <v>4</v>
      </c>
    </row>
    <row r="58" spans="1:19" x14ac:dyDescent="0.25">
      <c r="A58" s="128">
        <v>42</v>
      </c>
      <c r="B58" s="133"/>
      <c r="C58" s="149">
        <f ca="1">_xll.meDateFromTenor(C57,"1D","FOLLOWING",$D$11,"NORMAL")</f>
        <v>42480</v>
      </c>
      <c r="D58" s="20">
        <f ca="1">_xll.meDateFromTenor(C58,"1D","Following",$D$11,"Normal")</f>
        <v>42481</v>
      </c>
      <c r="E58" s="99">
        <f ca="1"/>
        <v>3.6999999999842844E-3</v>
      </c>
      <c r="F58" s="161">
        <f ca="1">_xll.meCurveForwardRates(C58,$D$9,$D$10)</f>
        <v>3.7068343657260527E-3</v>
      </c>
      <c r="G58" s="7" t="s">
        <v>4</v>
      </c>
      <c r="H58" s="149">
        <f t="shared" ca="1" si="0"/>
        <v>42480</v>
      </c>
      <c r="I58" s="20">
        <f ca="1">_xll.meDateFromTenor(H58,"3M","Following",$I$11,"Normal")</f>
        <v>42571</v>
      </c>
      <c r="J58" s="150">
        <f ca="1"/>
        <v>6.7956178365011213E-3</v>
      </c>
      <c r="K58" s="7" t="s">
        <v>4</v>
      </c>
      <c r="L58" s="149" t="e">
        <f ca="1">_xll.meDateFromTenor(L57,"1D","FOLLOWING",#REF!,"NORMAL")</f>
        <v>#VALUE!</v>
      </c>
      <c r="M58" s="155">
        <f ca="1">_xll.meDateYearFraction(C58,D58,$M$11)</f>
        <v>2.7777777777777779E-3</v>
      </c>
      <c r="N58" s="150">
        <f ca="1"/>
        <v>-2.4300000000065936E-3</v>
      </c>
      <c r="O58" s="7" t="s">
        <v>4</v>
      </c>
      <c r="P58" s="149">
        <f t="shared" ca="1" si="1"/>
        <v>42480</v>
      </c>
      <c r="Q58" s="155">
        <f ca="1">_xll.meDateYearFraction(H58,I58,$Q$11,TRUE)</f>
        <v>0.25277777777777777</v>
      </c>
      <c r="R58" s="150">
        <f ca="1">IF(NOW(),_xll.meCurveForwardRatesFromYearFraction(P58,Q58,$Q$11,$Q$9,$Q$10))</f>
        <v>-3.7175485397107962E-3</v>
      </c>
      <c r="S58" s="134" t="s">
        <v>4</v>
      </c>
    </row>
    <row r="59" spans="1:19" x14ac:dyDescent="0.25">
      <c r="A59" s="128">
        <v>43</v>
      </c>
      <c r="B59" s="133"/>
      <c r="C59" s="149">
        <f ca="1">_xll.meDateFromTenor(C58,"1D","FOLLOWING",$D$11,"NORMAL")</f>
        <v>42481</v>
      </c>
      <c r="D59" s="20">
        <f ca="1">_xll.meDateFromTenor(C59,"1D","Following",$D$11,"Normal")</f>
        <v>42482</v>
      </c>
      <c r="E59" s="99">
        <f ca="1"/>
        <v>3.6999999999842844E-3</v>
      </c>
      <c r="F59" s="161">
        <f ca="1">_xll.meCurveForwardRates(C59,$D$9,$D$10)</f>
        <v>3.7068343657260527E-3</v>
      </c>
      <c r="G59" s="7" t="s">
        <v>4</v>
      </c>
      <c r="H59" s="149">
        <f t="shared" ca="1" si="0"/>
        <v>42481</v>
      </c>
      <c r="I59" s="20">
        <f ca="1">_xll.meDateFromTenor(H59,"3M","Following",$I$11,"Normal")</f>
        <v>42572</v>
      </c>
      <c r="J59" s="150">
        <f ca="1"/>
        <v>6.8052602546853514E-3</v>
      </c>
      <c r="K59" s="7" t="s">
        <v>4</v>
      </c>
      <c r="L59" s="149" t="e">
        <f ca="1">_xll.meDateFromTenor(L58,"1D","FOLLOWING",#REF!,"NORMAL")</f>
        <v>#VALUE!</v>
      </c>
      <c r="M59" s="155">
        <f ca="1">_xll.meDateYearFraction(C59,D59,$M$11)</f>
        <v>2.7777777777777779E-3</v>
      </c>
      <c r="N59" s="150">
        <f ca="1"/>
        <v>-2.4300000000065936E-3</v>
      </c>
      <c r="O59" s="7" t="s">
        <v>4</v>
      </c>
      <c r="P59" s="149">
        <f t="shared" ca="1" si="1"/>
        <v>42481</v>
      </c>
      <c r="Q59" s="155">
        <f ca="1">_xll.meDateYearFraction(H59,I59,$Q$11,TRUE)</f>
        <v>0.25277777777777777</v>
      </c>
      <c r="R59" s="150">
        <f ca="1">IF(NOW(),_xll.meCurveForwardRatesFromYearFraction(P59,Q59,$Q$11,$Q$9,$Q$10))</f>
        <v>-3.7175485397107962E-3</v>
      </c>
      <c r="S59" s="134" t="s">
        <v>4</v>
      </c>
    </row>
    <row r="60" spans="1:19" x14ac:dyDescent="0.25">
      <c r="A60" s="128">
        <v>44</v>
      </c>
      <c r="B60" s="133"/>
      <c r="C60" s="149">
        <f ca="1">_xll.meDateFromTenor(C59,"1D","FOLLOWING",$D$11,"NORMAL")</f>
        <v>42482</v>
      </c>
      <c r="D60" s="20">
        <f ca="1">_xll.meDateFromTenor(C60,"1D","Following",$D$11,"Normal")</f>
        <v>42485</v>
      </c>
      <c r="E60" s="99">
        <f ca="1"/>
        <v>3.7000000000109176E-3</v>
      </c>
      <c r="F60" s="161">
        <f ca="1">_xll.meCurveForwardRates(C60,$D$9,$D$10)</f>
        <v>3.7068005570368712E-3</v>
      </c>
      <c r="G60" s="7" t="s">
        <v>4</v>
      </c>
      <c r="H60" s="149">
        <f t="shared" ca="1" si="0"/>
        <v>42482</v>
      </c>
      <c r="I60" s="20">
        <f ca="1">_xll.meDateFromTenor(H60,"3M","Following",$I$11,"Normal")</f>
        <v>42573</v>
      </c>
      <c r="J60" s="150">
        <f ca="1"/>
        <v>6.8149026728695824E-3</v>
      </c>
      <c r="K60" s="7" t="s">
        <v>4</v>
      </c>
      <c r="L60" s="149" t="e">
        <f ca="1">_xll.meDateFromTenor(L59,"1D","FOLLOWING",#REF!,"NORMAL")</f>
        <v>#VALUE!</v>
      </c>
      <c r="M60" s="155">
        <f ca="1">_xll.meDateYearFraction(C60,D60,$M$11)</f>
        <v>8.3333333333333332E-3</v>
      </c>
      <c r="N60" s="150">
        <f ca="1"/>
        <v>-2.4300000000065936E-3</v>
      </c>
      <c r="O60" s="7" t="s">
        <v>4</v>
      </c>
      <c r="P60" s="149">
        <f t="shared" ca="1" si="1"/>
        <v>42482</v>
      </c>
      <c r="Q60" s="155">
        <f ca="1">_xll.meDateYearFraction(H60,I60,$Q$11,TRUE)</f>
        <v>0.25277777777777777</v>
      </c>
      <c r="R60" s="150">
        <f ca="1">IF(NOW(),_xll.meCurveForwardRatesFromYearFraction(P60,Q60,$Q$11,$Q$9,$Q$10))</f>
        <v>-3.7175485397107962E-3</v>
      </c>
      <c r="S60" s="134" t="s">
        <v>4</v>
      </c>
    </row>
    <row r="61" spans="1:19" x14ac:dyDescent="0.25">
      <c r="A61" s="128">
        <v>45</v>
      </c>
      <c r="B61" s="133"/>
      <c r="C61" s="149">
        <f ca="1">_xll.meDateFromTenor(C60,"1D","FOLLOWING",$D$11,"NORMAL")</f>
        <v>42485</v>
      </c>
      <c r="D61" s="20">
        <f ca="1">_xll.meDateFromTenor(C61,"1D","Following",$D$11,"Normal")</f>
        <v>42486</v>
      </c>
      <c r="E61" s="99">
        <f ca="1"/>
        <v>3.6999999999842476E-3</v>
      </c>
      <c r="F61" s="161">
        <f ca="1">_xll.meCurveForwardRates(C61,$D$9,$D$10)</f>
        <v>3.7068343657260527E-3</v>
      </c>
      <c r="G61" s="7" t="s">
        <v>4</v>
      </c>
      <c r="H61" s="149">
        <f t="shared" ca="1" si="0"/>
        <v>42485</v>
      </c>
      <c r="I61" s="20">
        <f ca="1">_xll.meDateFromTenor(H61,"3M","Following",$I$11,"Normal")</f>
        <v>42576</v>
      </c>
      <c r="J61" s="150">
        <f ca="1"/>
        <v>6.8438299274222727E-3</v>
      </c>
      <c r="K61" s="7" t="s">
        <v>4</v>
      </c>
      <c r="L61" s="149" t="e">
        <f ca="1">_xll.meDateFromTenor(L60,"1D","FOLLOWING",#REF!,"NORMAL")</f>
        <v>#VALUE!</v>
      </c>
      <c r="M61" s="155">
        <f ca="1">_xll.meDateYearFraction(C61,D61,$M$11)</f>
        <v>2.7777777777777779E-3</v>
      </c>
      <c r="N61" s="150">
        <f ca="1"/>
        <v>-2.4300000000065936E-3</v>
      </c>
      <c r="O61" s="7" t="s">
        <v>4</v>
      </c>
      <c r="P61" s="149">
        <f t="shared" ca="1" si="1"/>
        <v>42485</v>
      </c>
      <c r="Q61" s="155">
        <f ca="1">_xll.meDateYearFraction(H61,I61,$Q$11,TRUE)</f>
        <v>0.25277777777777777</v>
      </c>
      <c r="R61" s="150">
        <f ca="1">IF(NOW(),_xll.meCurveForwardRatesFromYearFraction(P61,Q61,$Q$11,$Q$9,$Q$10))</f>
        <v>-4.0274886942198952E-3</v>
      </c>
      <c r="S61" s="134" t="s">
        <v>4</v>
      </c>
    </row>
    <row r="62" spans="1:19" x14ac:dyDescent="0.25">
      <c r="A62" s="128">
        <v>46</v>
      </c>
      <c r="B62" s="133"/>
      <c r="C62" s="149">
        <f ca="1">_xll.meDateFromTenor(C61,"1D","FOLLOWING",$D$11,"NORMAL")</f>
        <v>42486</v>
      </c>
      <c r="D62" s="20">
        <f ca="1">_xll.meDateFromTenor(C62,"1D","Following",$D$11,"Normal")</f>
        <v>42487</v>
      </c>
      <c r="E62" s="99">
        <f ca="1"/>
        <v>3.6999999999842844E-3</v>
      </c>
      <c r="F62" s="161">
        <f ca="1">_xll.meCurveForwardRates(C62,$D$9,$D$10)</f>
        <v>3.7068343657260527E-3</v>
      </c>
      <c r="G62" s="7" t="s">
        <v>4</v>
      </c>
      <c r="H62" s="149">
        <f t="shared" ca="1" si="0"/>
        <v>42486</v>
      </c>
      <c r="I62" s="20">
        <f ca="1">_xll.meDateFromTenor(H62,"3M","Following",$I$11,"Normal")</f>
        <v>42577</v>
      </c>
      <c r="J62" s="150">
        <f ca="1"/>
        <v>6.8534723456065028E-3</v>
      </c>
      <c r="K62" s="7" t="s">
        <v>4</v>
      </c>
      <c r="L62" s="149" t="e">
        <f ca="1">_xll.meDateFromTenor(L61,"1D","FOLLOWING",#REF!,"NORMAL")</f>
        <v>#VALUE!</v>
      </c>
      <c r="M62" s="155">
        <f ca="1">_xll.meDateYearFraction(C62,D62,$M$11)</f>
        <v>2.7777777777777779E-3</v>
      </c>
      <c r="N62" s="150">
        <f ca="1"/>
        <v>-2.4300000000065936E-3</v>
      </c>
      <c r="O62" s="7" t="s">
        <v>4</v>
      </c>
      <c r="P62" s="149">
        <f t="shared" ca="1" si="1"/>
        <v>42486</v>
      </c>
      <c r="Q62" s="155">
        <f ca="1">_xll.meDateYearFraction(H62,I62,$Q$11,TRUE)</f>
        <v>0.25277777777777777</v>
      </c>
      <c r="R62" s="150">
        <f ca="1">IF(NOW(),_xll.meCurveForwardRatesFromYearFraction(P62,Q62,$Q$11,$Q$9,$Q$10))</f>
        <v>-3.7175485397107962E-3</v>
      </c>
      <c r="S62" s="134" t="s">
        <v>4</v>
      </c>
    </row>
    <row r="63" spans="1:19" x14ac:dyDescent="0.25">
      <c r="A63" s="128">
        <v>47</v>
      </c>
      <c r="B63" s="133"/>
      <c r="C63" s="149">
        <f ca="1">_xll.meDateFromTenor(C62,"1D","FOLLOWING",$D$11,"NORMAL")</f>
        <v>42487</v>
      </c>
      <c r="D63" s="20">
        <f ca="1">_xll.meDateFromTenor(C63,"1D","Following",$D$11,"Normal")</f>
        <v>42488</v>
      </c>
      <c r="E63" s="99">
        <f ca="1"/>
        <v>3.6999999999842476E-3</v>
      </c>
      <c r="F63" s="161">
        <f ca="1">_xll.meCurveForwardRates(C63,$D$9,$D$10)</f>
        <v>3.7068343657260527E-3</v>
      </c>
      <c r="G63" s="7" t="s">
        <v>4</v>
      </c>
      <c r="H63" s="149">
        <f t="shared" ca="1" si="0"/>
        <v>42487</v>
      </c>
      <c r="I63" s="20">
        <f ca="1">_xll.meDateFromTenor(H63,"3M","Following",$I$11,"Normal")</f>
        <v>42578</v>
      </c>
      <c r="J63" s="150">
        <f ca="1"/>
        <v>6.8631147637907329E-3</v>
      </c>
      <c r="K63" s="7" t="s">
        <v>4</v>
      </c>
      <c r="L63" s="149" t="e">
        <f ca="1">_xll.meDateFromTenor(L62,"1D","FOLLOWING",#REF!,"NORMAL")</f>
        <v>#VALUE!</v>
      </c>
      <c r="M63" s="155">
        <f ca="1">_xll.meDateYearFraction(C63,D63,$M$11)</f>
        <v>2.7777777777777779E-3</v>
      </c>
      <c r="N63" s="150">
        <f ca="1"/>
        <v>-2.4300000000065936E-3</v>
      </c>
      <c r="O63" s="7" t="s">
        <v>4</v>
      </c>
      <c r="P63" s="149">
        <f t="shared" ca="1" si="1"/>
        <v>42487</v>
      </c>
      <c r="Q63" s="155">
        <f ca="1">_xll.meDateYearFraction(H63,I63,$Q$11,TRUE)</f>
        <v>0.25277777777777777</v>
      </c>
      <c r="R63" s="150">
        <f ca="1">IF(NOW(),_xll.meCurveForwardRatesFromYearFraction(P63,Q63,$Q$11,$Q$9,$Q$10))</f>
        <v>-4.0379546190864634E-3</v>
      </c>
      <c r="S63" s="134" t="s">
        <v>4</v>
      </c>
    </row>
    <row r="64" spans="1:19" x14ac:dyDescent="0.25">
      <c r="A64" s="128">
        <v>48</v>
      </c>
      <c r="B64" s="133"/>
      <c r="C64" s="149">
        <f ca="1">_xll.meDateFromTenor(C63,"1D","FOLLOWING",$D$11,"NORMAL")</f>
        <v>42488</v>
      </c>
      <c r="D64" s="20">
        <f ca="1">_xll.meDateFromTenor(C64,"1D","Following",$D$11,"Normal")</f>
        <v>42489</v>
      </c>
      <c r="E64" s="99">
        <f ca="1"/>
        <v>3.6999999999842844E-3</v>
      </c>
      <c r="F64" s="161">
        <f ca="1">_xll.meCurveForwardRates(C64,$D$9,$D$10)</f>
        <v>3.7068343657260527E-3</v>
      </c>
      <c r="G64" s="7" t="s">
        <v>4</v>
      </c>
      <c r="H64" s="149">
        <f t="shared" ca="1" si="0"/>
        <v>42488</v>
      </c>
      <c r="I64" s="20">
        <f ca="1">_xll.meDateFromTenor(H64,"3M","Following",$I$11,"Normal")</f>
        <v>42579</v>
      </c>
      <c r="J64" s="150">
        <f ca="1"/>
        <v>6.8727571819749639E-3</v>
      </c>
      <c r="K64" s="7" t="s">
        <v>4</v>
      </c>
      <c r="L64" s="149" t="e">
        <f ca="1">_xll.meDateFromTenor(L63,"1D","FOLLOWING",#REF!,"NORMAL")</f>
        <v>#VALUE!</v>
      </c>
      <c r="M64" s="155">
        <f ca="1">_xll.meDateYearFraction(C64,D64,$M$11)</f>
        <v>2.7777777777777779E-3</v>
      </c>
      <c r="N64" s="150">
        <f ca="1"/>
        <v>-2.4300000000065936E-3</v>
      </c>
      <c r="O64" s="7" t="s">
        <v>4</v>
      </c>
      <c r="P64" s="149">
        <f t="shared" ca="1" si="1"/>
        <v>42488</v>
      </c>
      <c r="Q64" s="155">
        <f ca="1">_xll.meDateYearFraction(H64,I64,$Q$11,TRUE)</f>
        <v>0.25277777777777777</v>
      </c>
      <c r="R64" s="150">
        <f ca="1">IF(NOW(),_xll.meCurveForwardRatesFromYearFraction(P64,Q64,$Q$11,$Q$9,$Q$10))</f>
        <v>-3.7175485397107962E-3</v>
      </c>
      <c r="S64" s="134" t="s">
        <v>4</v>
      </c>
    </row>
    <row r="65" spans="1:19" x14ac:dyDescent="0.25">
      <c r="A65" s="128">
        <v>49</v>
      </c>
      <c r="B65" s="133"/>
      <c r="C65" s="149">
        <f ca="1">_xll.meDateFromTenor(C64,"1D","FOLLOWING",$D$11,"NORMAL")</f>
        <v>42489</v>
      </c>
      <c r="D65" s="20">
        <f ca="1">_xll.meDateFromTenor(C65,"1D","Following",$D$11,"Normal")</f>
        <v>42493</v>
      </c>
      <c r="E65" s="99">
        <f ca="1"/>
        <v>3.7000285208499445E-3</v>
      </c>
      <c r="F65" s="161">
        <f ca="1">_xll.meCurveForwardRates(C65,$D$9,$D$10)</f>
        <v>3.7068005571172513E-3</v>
      </c>
      <c r="G65" s="7" t="s">
        <v>4</v>
      </c>
      <c r="H65" s="149">
        <f t="shared" ca="1" si="0"/>
        <v>42489</v>
      </c>
      <c r="I65" s="20">
        <f ca="1">_xll.meDateFromTenor(H65,"3M","Following",$I$11,"Normal")</f>
        <v>42580</v>
      </c>
      <c r="J65" s="150">
        <f ca="1"/>
        <v>6.882399600159194E-3</v>
      </c>
      <c r="K65" s="7" t="s">
        <v>4</v>
      </c>
      <c r="L65" s="149" t="e">
        <f ca="1">_xll.meDateFromTenor(L64,"1D","FOLLOWING",#REF!,"NORMAL")</f>
        <v>#VALUE!</v>
      </c>
      <c r="M65" s="155">
        <f ca="1">_xll.meDateYearFraction(C65,D65,$M$11)</f>
        <v>1.1111111111111112E-2</v>
      </c>
      <c r="N65" s="150">
        <f ca="1"/>
        <v>-2.4300000000065936E-3</v>
      </c>
      <c r="O65" s="7" t="s">
        <v>4</v>
      </c>
      <c r="P65" s="149">
        <f t="shared" ca="1" si="1"/>
        <v>42489</v>
      </c>
      <c r="Q65" s="155">
        <f ca="1">_xll.meDateYearFraction(H65,I65,$Q$11,TRUE)</f>
        <v>0.25277777777777777</v>
      </c>
      <c r="R65" s="150">
        <f ca="1">IF(NOW(),_xll.meCurveForwardRatesFromYearFraction(P65,Q65,$Q$11,$Q$9,$Q$10))</f>
        <v>-4.0480363265845663E-3</v>
      </c>
      <c r="S65" s="134" t="s">
        <v>4</v>
      </c>
    </row>
    <row r="66" spans="1:19" x14ac:dyDescent="0.25">
      <c r="A66" s="128">
        <v>50</v>
      </c>
      <c r="B66" s="133"/>
      <c r="C66" s="149">
        <f ca="1">_xll.meDateFromTenor(C65,"1D","FOLLOWING",$D$11,"NORMAL")</f>
        <v>42493</v>
      </c>
      <c r="D66" s="20">
        <f ca="1">_xll.meDateFromTenor(C66,"1D","Following",$D$11,"Normal")</f>
        <v>42494</v>
      </c>
      <c r="E66" s="99">
        <f ca="1"/>
        <v>3.6999999999842476E-3</v>
      </c>
      <c r="F66" s="161">
        <f ca="1">_xll.meCurveForwardRates(C66,$D$9,$D$10)</f>
        <v>3.7068343657260527E-3</v>
      </c>
      <c r="G66" s="7" t="s">
        <v>4</v>
      </c>
      <c r="H66" s="149">
        <f t="shared" ca="1" si="0"/>
        <v>42493</v>
      </c>
      <c r="I66" s="20">
        <f ca="1">_xll.meDateFromTenor(H66,"3M","Following",$I$11,"Normal")</f>
        <v>42585</v>
      </c>
      <c r="J66" s="150">
        <f ca="1"/>
        <v>6.9209692728961145E-3</v>
      </c>
      <c r="K66" s="7" t="s">
        <v>4</v>
      </c>
      <c r="L66" s="149" t="e">
        <f ca="1">_xll.meDateFromTenor(L65,"1D","FOLLOWING",#REF!,"NORMAL")</f>
        <v>#VALUE!</v>
      </c>
      <c r="M66" s="155">
        <f ca="1">_xll.meDateYearFraction(C66,D66,$M$11)</f>
        <v>2.7777777777777779E-3</v>
      </c>
      <c r="N66" s="150">
        <f ca="1"/>
        <v>-2.4300000000065936E-3</v>
      </c>
      <c r="O66" s="7" t="s">
        <v>4</v>
      </c>
      <c r="P66" s="149">
        <f t="shared" ca="1" si="1"/>
        <v>42493</v>
      </c>
      <c r="Q66" s="155">
        <f ca="1">_xll.meDateYearFraction(H66,I66,$Q$11,TRUE)</f>
        <v>0.25555555555555554</v>
      </c>
      <c r="R66" s="150">
        <f ca="1">IF(NOW(),_xll.meCurveForwardRatesFromYearFraction(P66,Q66,$Q$11,$Q$9,$Q$10))</f>
        <v>-3.7175485397107962E-3</v>
      </c>
      <c r="S66" s="134" t="s">
        <v>4</v>
      </c>
    </row>
    <row r="67" spans="1:19" x14ac:dyDescent="0.25">
      <c r="A67" s="128">
        <v>51</v>
      </c>
      <c r="B67" s="133"/>
      <c r="C67" s="149">
        <f ca="1">_xll.meDateFromTenor(C66,"1D","FOLLOWING",$D$11,"NORMAL")</f>
        <v>42494</v>
      </c>
      <c r="D67" s="20">
        <f ca="1">_xll.meDateFromTenor(C67,"1D","Following",$D$11,"Normal")</f>
        <v>42495</v>
      </c>
      <c r="E67" s="99">
        <f ca="1"/>
        <v>3.6999999999842844E-3</v>
      </c>
      <c r="F67" s="161">
        <f ca="1">_xll.meCurveForwardRates(C67,$D$9,$D$10)</f>
        <v>3.7068343657260527E-3</v>
      </c>
      <c r="G67" s="7" t="s">
        <v>4</v>
      </c>
      <c r="H67" s="149">
        <f t="shared" ca="1" si="0"/>
        <v>42494</v>
      </c>
      <c r="I67" s="20">
        <f ca="1">_xll.meDateFromTenor(H67,"3M","Following",$I$11,"Normal")</f>
        <v>42586</v>
      </c>
      <c r="J67" s="150">
        <f ca="1"/>
        <v>6.9306116910803446E-3</v>
      </c>
      <c r="K67" s="7" t="s">
        <v>4</v>
      </c>
      <c r="L67" s="149" t="e">
        <f ca="1">_xll.meDateFromTenor(L66,"1D","FOLLOWING",#REF!,"NORMAL")</f>
        <v>#VALUE!</v>
      </c>
      <c r="M67" s="155">
        <f ca="1">_xll.meDateYearFraction(C67,D67,$M$11)</f>
        <v>2.7777777777777779E-3</v>
      </c>
      <c r="N67" s="150">
        <f ca="1"/>
        <v>-2.4300000000065936E-3</v>
      </c>
      <c r="O67" s="7" t="s">
        <v>4</v>
      </c>
      <c r="P67" s="149">
        <f t="shared" ca="1" si="1"/>
        <v>42494</v>
      </c>
      <c r="Q67" s="155">
        <f ca="1">_xll.meDateYearFraction(H67,I67,$Q$11,TRUE)</f>
        <v>0.25555555555555554</v>
      </c>
      <c r="R67" s="150">
        <f ca="1">IF(NOW(),_xll.meCurveForwardRatesFromYearFraction(P67,Q67,$Q$11,$Q$9,$Q$10))</f>
        <v>-3.7175485397107962E-3</v>
      </c>
      <c r="S67" s="134" t="s">
        <v>4</v>
      </c>
    </row>
    <row r="68" spans="1:19" x14ac:dyDescent="0.25">
      <c r="A68" s="128">
        <v>52</v>
      </c>
      <c r="B68" s="133"/>
      <c r="C68" s="149">
        <f ca="1">_xll.meDateFromTenor(C67,"1D","FOLLOWING",$D$11,"NORMAL")</f>
        <v>42495</v>
      </c>
      <c r="D68" s="20">
        <f ca="1">_xll.meDateFromTenor(C68,"1D","Following",$D$11,"Normal")</f>
        <v>42496</v>
      </c>
      <c r="E68" s="99">
        <f ca="1"/>
        <v>3.6999999999842844E-3</v>
      </c>
      <c r="F68" s="161">
        <f ca="1">_xll.meCurveForwardRates(C68,$D$9,$D$10)</f>
        <v>3.7068343657260527E-3</v>
      </c>
      <c r="G68" s="7" t="s">
        <v>4</v>
      </c>
      <c r="H68" s="149">
        <f t="shared" ca="1" si="0"/>
        <v>42495</v>
      </c>
      <c r="I68" s="20">
        <f ca="1">_xll.meDateFromTenor(H68,"3M","Following",$I$11,"Normal")</f>
        <v>42587</v>
      </c>
      <c r="J68" s="150">
        <f ca="1"/>
        <v>6.9402541092645747E-3</v>
      </c>
      <c r="K68" s="7" t="s">
        <v>4</v>
      </c>
      <c r="L68" s="149" t="e">
        <f ca="1">_xll.meDateFromTenor(L67,"1D","FOLLOWING",#REF!,"NORMAL")</f>
        <v>#VALUE!</v>
      </c>
      <c r="M68" s="155">
        <f ca="1">_xll.meDateYearFraction(C68,D68,$M$11)</f>
        <v>2.7777777777777779E-3</v>
      </c>
      <c r="N68" s="150">
        <f ca="1"/>
        <v>-2.4300000000065936E-3</v>
      </c>
      <c r="O68" s="7" t="s">
        <v>4</v>
      </c>
      <c r="P68" s="149">
        <f t="shared" ca="1" si="1"/>
        <v>42495</v>
      </c>
      <c r="Q68" s="155">
        <f ca="1">_xll.meDateYearFraction(H68,I68,$Q$11,TRUE)</f>
        <v>0.25555555555555554</v>
      </c>
      <c r="R68" s="150">
        <f ca="1">IF(NOW(),_xll.meCurveForwardRatesFromYearFraction(P68,Q68,$Q$11,$Q$9,$Q$10))</f>
        <v>-4.0756831758168178E-3</v>
      </c>
      <c r="S68" s="134" t="s">
        <v>4</v>
      </c>
    </row>
    <row r="69" spans="1:19" x14ac:dyDescent="0.25">
      <c r="A69" s="128">
        <v>53</v>
      </c>
      <c r="B69" s="133"/>
      <c r="C69" s="149">
        <f ca="1">_xll.meDateFromTenor(C68,"1D","FOLLOWING",$D$11,"NORMAL")</f>
        <v>42496</v>
      </c>
      <c r="D69" s="20">
        <f ca="1">_xll.meDateFromTenor(C69,"1D","Following",$D$11,"Normal")</f>
        <v>42499</v>
      </c>
      <c r="E69" s="99">
        <f ca="1"/>
        <v>3.7000000000109176E-3</v>
      </c>
      <c r="F69" s="161">
        <f ca="1">_xll.meCurveForwardRates(C69,$D$9,$D$10)</f>
        <v>3.7068005571172513E-3</v>
      </c>
      <c r="G69" s="7" t="s">
        <v>4</v>
      </c>
      <c r="H69" s="149">
        <f t="shared" ca="1" si="0"/>
        <v>42496</v>
      </c>
      <c r="I69" s="20">
        <f ca="1">_xll.meDateFromTenor(H69,"3M","Following",$I$11,"Normal")</f>
        <v>42590</v>
      </c>
      <c r="J69" s="150">
        <f ca="1"/>
        <v>6.9498965274488048E-3</v>
      </c>
      <c r="K69" s="7" t="s">
        <v>4</v>
      </c>
      <c r="L69" s="149" t="e">
        <f ca="1">_xll.meDateFromTenor(L68,"1D","FOLLOWING",#REF!,"NORMAL")</f>
        <v>#VALUE!</v>
      </c>
      <c r="M69" s="155">
        <f ca="1">_xll.meDateYearFraction(C69,D69,$M$11)</f>
        <v>8.3333333333333332E-3</v>
      </c>
      <c r="N69" s="150">
        <f ca="1"/>
        <v>-2.4300000000065936E-3</v>
      </c>
      <c r="O69" s="7" t="s">
        <v>4</v>
      </c>
      <c r="P69" s="149">
        <f t="shared" ca="1" si="1"/>
        <v>42496</v>
      </c>
      <c r="Q69" s="155">
        <f ca="1">_xll.meDateYearFraction(H69,I69,$Q$11,TRUE)</f>
        <v>0.26111111111111113</v>
      </c>
      <c r="R69" s="150">
        <f ca="1">IF(NOW(),_xll.meCurveForwardRatesFromYearFraction(P69,Q69,$Q$11,$Q$9,$Q$10))</f>
        <v>-4.0798736169834976E-3</v>
      </c>
      <c r="S69" s="134" t="s">
        <v>4</v>
      </c>
    </row>
    <row r="70" spans="1:19" x14ac:dyDescent="0.25">
      <c r="A70" s="128">
        <v>54</v>
      </c>
      <c r="B70" s="133"/>
      <c r="C70" s="149">
        <f ca="1">_xll.meDateFromTenor(C69,"1D","FOLLOWING",$D$11,"NORMAL")</f>
        <v>42499</v>
      </c>
      <c r="D70" s="20">
        <f ca="1">_xll.meDateFromTenor(C70,"1D","Following",$D$11,"Normal")</f>
        <v>42500</v>
      </c>
      <c r="E70" s="99">
        <f ca="1"/>
        <v>3.6999999999842476E-3</v>
      </c>
      <c r="F70" s="161">
        <f ca="1">_xll.meCurveForwardRates(C70,$D$9,$D$10)</f>
        <v>3.7068343657260527E-3</v>
      </c>
      <c r="G70" s="7" t="s">
        <v>4</v>
      </c>
      <c r="H70" s="149">
        <f t="shared" ca="1" si="0"/>
        <v>42499</v>
      </c>
      <c r="I70" s="20">
        <f ca="1">_xll.meDateFromTenor(H70,"3M","Following",$I$11,"Normal")</f>
        <v>42591</v>
      </c>
      <c r="J70" s="150">
        <f ca="1"/>
        <v>6.978823782001496E-3</v>
      </c>
      <c r="K70" s="7" t="s">
        <v>4</v>
      </c>
      <c r="L70" s="149" t="e">
        <f ca="1">_xll.meDateFromTenor(L69,"1D","FOLLOWING",#REF!,"NORMAL")</f>
        <v>#VALUE!</v>
      </c>
      <c r="M70" s="155">
        <f ca="1">_xll.meDateYearFraction(C70,D70,$M$11)</f>
        <v>2.7777777777777779E-3</v>
      </c>
      <c r="N70" s="150">
        <f ca="1"/>
        <v>-2.4300000000065936E-3</v>
      </c>
      <c r="O70" s="7" t="s">
        <v>4</v>
      </c>
      <c r="P70" s="149">
        <f t="shared" ca="1" si="1"/>
        <v>42499</v>
      </c>
      <c r="Q70" s="155">
        <f ca="1">_xll.meDateYearFraction(H70,I70,$Q$11,TRUE)</f>
        <v>0.25555555555555554</v>
      </c>
      <c r="R70" s="150">
        <f ca="1">IF(NOW(),_xll.meCurveForwardRatesFromYearFraction(P70,Q70,$Q$11,$Q$9,$Q$10))</f>
        <v>-3.7175485397107962E-3</v>
      </c>
      <c r="S70" s="134" t="s">
        <v>4</v>
      </c>
    </row>
    <row r="71" spans="1:19" x14ac:dyDescent="0.25">
      <c r="A71" s="128">
        <v>55</v>
      </c>
      <c r="B71" s="133"/>
      <c r="C71" s="149">
        <f ca="1">_xll.meDateFromTenor(C70,"1D","FOLLOWING",$D$11,"NORMAL")</f>
        <v>42500</v>
      </c>
      <c r="D71" s="20">
        <f ca="1">_xll.meDateFromTenor(C71,"1D","Following",$D$11,"Normal")</f>
        <v>42501</v>
      </c>
      <c r="E71" s="99">
        <f ca="1"/>
        <v>3.6999999999842844E-3</v>
      </c>
      <c r="F71" s="161">
        <f ca="1">_xll.meCurveForwardRates(C71,$D$9,$D$10)</f>
        <v>3.7068343657260527E-3</v>
      </c>
      <c r="G71" s="7" t="s">
        <v>4</v>
      </c>
      <c r="H71" s="149">
        <f t="shared" ca="1" si="0"/>
        <v>42500</v>
      </c>
      <c r="I71" s="20">
        <f ca="1">_xll.meDateFromTenor(H71,"3M","Following",$I$11,"Normal")</f>
        <v>42592</v>
      </c>
      <c r="J71" s="150">
        <f ca="1"/>
        <v>6.9884662001857261E-3</v>
      </c>
      <c r="K71" s="7" t="s">
        <v>4</v>
      </c>
      <c r="L71" s="149" t="e">
        <f ca="1">_xll.meDateFromTenor(L70,"1D","FOLLOWING",#REF!,"NORMAL")</f>
        <v>#VALUE!</v>
      </c>
      <c r="M71" s="155">
        <f ca="1">_xll.meDateYearFraction(C71,D71,$M$11)</f>
        <v>2.7777777777777779E-3</v>
      </c>
      <c r="N71" s="150">
        <f ca="1"/>
        <v>-2.4300000000065936E-3</v>
      </c>
      <c r="O71" s="7" t="s">
        <v>4</v>
      </c>
      <c r="P71" s="149">
        <f t="shared" ca="1" si="1"/>
        <v>42500</v>
      </c>
      <c r="Q71" s="155">
        <f ca="1">_xll.meDateYearFraction(H71,I71,$Q$11,TRUE)</f>
        <v>0.25555555555555554</v>
      </c>
      <c r="R71" s="150">
        <f ca="1">IF(NOW(),_xll.meCurveForwardRatesFromYearFraction(P71,Q71,$Q$11,$Q$9,$Q$10))</f>
        <v>-4.0953086269149667E-3</v>
      </c>
      <c r="S71" s="134" t="s">
        <v>4</v>
      </c>
    </row>
    <row r="72" spans="1:19" x14ac:dyDescent="0.25">
      <c r="A72" s="128">
        <v>56</v>
      </c>
      <c r="B72" s="133"/>
      <c r="C72" s="149">
        <f ca="1">_xll.meDateFromTenor(C71,"1D","FOLLOWING",$D$11,"NORMAL")</f>
        <v>42501</v>
      </c>
      <c r="D72" s="20">
        <f ca="1">_xll.meDateFromTenor(C72,"1D","Following",$D$11,"Normal")</f>
        <v>42502</v>
      </c>
      <c r="E72" s="99">
        <f ca="1"/>
        <v>3.6999999999842476E-3</v>
      </c>
      <c r="F72" s="161">
        <f ca="1">_xll.meCurveForwardRates(C72,$D$9,$D$10)</f>
        <v>3.7068343657260527E-3</v>
      </c>
      <c r="G72" s="7" t="s">
        <v>4</v>
      </c>
      <c r="H72" s="149">
        <f t="shared" ca="1" si="0"/>
        <v>42501</v>
      </c>
      <c r="I72" s="20">
        <f ca="1">_xll.meDateFromTenor(H72,"3M","Following",$I$11,"Normal")</f>
        <v>42593</v>
      </c>
      <c r="J72" s="150">
        <f ca="1"/>
        <v>6.9981086183699562E-3</v>
      </c>
      <c r="K72" s="7" t="s">
        <v>4</v>
      </c>
      <c r="L72" s="149" t="e">
        <f ca="1">_xll.meDateFromTenor(L71,"1D","FOLLOWING",#REF!,"NORMAL")</f>
        <v>#VALUE!</v>
      </c>
      <c r="M72" s="155">
        <f ca="1">_xll.meDateYearFraction(C72,D72,$M$11)</f>
        <v>2.7777777777777779E-3</v>
      </c>
      <c r="N72" s="150">
        <f ca="1"/>
        <v>-2.4300000000065936E-3</v>
      </c>
      <c r="O72" s="7" t="s">
        <v>4</v>
      </c>
      <c r="P72" s="149">
        <f t="shared" ca="1" si="1"/>
        <v>42501</v>
      </c>
      <c r="Q72" s="155">
        <f ca="1">_xll.meDateYearFraction(H72,I72,$Q$11,TRUE)</f>
        <v>0.25555555555555554</v>
      </c>
      <c r="R72" s="150">
        <f ca="1">IF(NOW(),_xll.meCurveForwardRatesFromYearFraction(P72,Q72,$Q$11,$Q$9,$Q$10))</f>
        <v>-4.0988173801483185E-3</v>
      </c>
      <c r="S72" s="134" t="s">
        <v>4</v>
      </c>
    </row>
    <row r="73" spans="1:19" x14ac:dyDescent="0.25">
      <c r="A73" s="128">
        <v>57</v>
      </c>
      <c r="B73" s="133"/>
      <c r="C73" s="149">
        <f ca="1">_xll.meDateFromTenor(C72,"1D","FOLLOWING",$D$11,"NORMAL")</f>
        <v>42502</v>
      </c>
      <c r="D73" s="20">
        <f ca="1">_xll.meDateFromTenor(C73,"1D","Following",$D$11,"Normal")</f>
        <v>42503</v>
      </c>
      <c r="E73" s="99">
        <f ca="1"/>
        <v>3.6999999999842844E-3</v>
      </c>
      <c r="F73" s="161">
        <f ca="1">_xll.meCurveForwardRates(C73,$D$9,$D$10)</f>
        <v>3.7068343657260527E-3</v>
      </c>
      <c r="G73" s="7" t="s">
        <v>4</v>
      </c>
      <c r="H73" s="149">
        <f t="shared" ca="1" si="0"/>
        <v>42502</v>
      </c>
      <c r="I73" s="20">
        <f ca="1">_xll.meDateFromTenor(H73,"3M","Following",$I$11,"Normal")</f>
        <v>42594</v>
      </c>
      <c r="J73" s="150">
        <f ca="1"/>
        <v>7.0077510365541863E-3</v>
      </c>
      <c r="K73" s="7" t="s">
        <v>4</v>
      </c>
      <c r="L73" s="149" t="e">
        <f ca="1">_xll.meDateFromTenor(L72,"1D","FOLLOWING",#REF!,"NORMAL")</f>
        <v>#VALUE!</v>
      </c>
      <c r="M73" s="155">
        <f ca="1">_xll.meDateYearFraction(C73,D73,$M$11)</f>
        <v>2.7777777777777779E-3</v>
      </c>
      <c r="N73" s="150">
        <f ca="1"/>
        <v>-2.4300000000065936E-3</v>
      </c>
      <c r="O73" s="7" t="s">
        <v>4</v>
      </c>
      <c r="P73" s="149">
        <f t="shared" ca="1" si="1"/>
        <v>42502</v>
      </c>
      <c r="Q73" s="155">
        <f ca="1">_xll.meDateYearFraction(H73,I73,$Q$11,TRUE)</f>
        <v>0.25555555555555554</v>
      </c>
      <c r="R73" s="150">
        <f ca="1">IF(NOW(),_xll.meCurveForwardRatesFromYearFraction(P73,Q73,$Q$11,$Q$9,$Q$10))</f>
        <v>-4.1021788094555813E-3</v>
      </c>
      <c r="S73" s="134" t="s">
        <v>4</v>
      </c>
    </row>
    <row r="74" spans="1:19" x14ac:dyDescent="0.25">
      <c r="A74" s="128">
        <v>58</v>
      </c>
      <c r="B74" s="133"/>
      <c r="C74" s="149">
        <f ca="1">_xll.meDateFromTenor(C73,"1D","FOLLOWING",$D$11,"NORMAL")</f>
        <v>42503</v>
      </c>
      <c r="D74" s="20">
        <f ca="1">_xll.meDateFromTenor(C74,"1D","Following",$D$11,"Normal")</f>
        <v>42506</v>
      </c>
      <c r="E74" s="99">
        <f ca="1"/>
        <v>3.7000000000109176E-3</v>
      </c>
      <c r="F74" s="161">
        <f ca="1">_xll.meCurveForwardRates(C74,$D$9,$D$10)</f>
        <v>3.7068005570368712E-3</v>
      </c>
      <c r="G74" s="7" t="s">
        <v>4</v>
      </c>
      <c r="H74" s="149">
        <f t="shared" ca="1" si="0"/>
        <v>42503</v>
      </c>
      <c r="I74" s="20">
        <f ca="1">_xll.meDateFromTenor(H74,"3M","Following",$I$11,"Normal")</f>
        <v>42597</v>
      </c>
      <c r="J74" s="150">
        <f ca="1"/>
        <v>7.0173934547384173E-3</v>
      </c>
      <c r="K74" s="7" t="s">
        <v>4</v>
      </c>
      <c r="L74" s="149" t="e">
        <f ca="1">_xll.meDateFromTenor(L73,"1D","FOLLOWING",#REF!,"NORMAL")</f>
        <v>#VALUE!</v>
      </c>
      <c r="M74" s="155">
        <f ca="1">_xll.meDateYearFraction(C74,D74,$M$11)</f>
        <v>8.3333333333333332E-3</v>
      </c>
      <c r="N74" s="150">
        <f ca="1"/>
        <v>-2.4300000000065936E-3</v>
      </c>
      <c r="O74" s="7" t="s">
        <v>4</v>
      </c>
      <c r="P74" s="149">
        <f t="shared" ca="1" si="1"/>
        <v>42503</v>
      </c>
      <c r="Q74" s="155">
        <f ca="1">_xll.meDateYearFraction(H74,I74,$Q$11,TRUE)</f>
        <v>0.26111111111111113</v>
      </c>
      <c r="R74" s="150">
        <f ca="1">IF(NOW(),_xll.meCurveForwardRatesFromYearFraction(P74,Q74,$Q$11,$Q$9,$Q$10))</f>
        <v>-3.7175485397107962E-3</v>
      </c>
      <c r="S74" s="134" t="s">
        <v>4</v>
      </c>
    </row>
    <row r="75" spans="1:19" x14ac:dyDescent="0.25">
      <c r="A75" s="128">
        <v>59</v>
      </c>
      <c r="B75" s="133"/>
      <c r="C75" s="149">
        <f ca="1">_xll.meDateFromTenor(C74,"1D","FOLLOWING",$D$11,"NORMAL")</f>
        <v>42506</v>
      </c>
      <c r="D75" s="20">
        <f ca="1">_xll.meDateFromTenor(C75,"1D","Following",$D$11,"Normal")</f>
        <v>42507</v>
      </c>
      <c r="E75" s="99">
        <f ca="1"/>
        <v>3.6999999999842844E-3</v>
      </c>
      <c r="F75" s="161">
        <f ca="1">_xll.meCurveForwardRates(C75,$D$9,$D$10)</f>
        <v>3.7068343657260527E-3</v>
      </c>
      <c r="G75" s="7" t="s">
        <v>4</v>
      </c>
      <c r="H75" s="149">
        <f t="shared" ca="1" si="0"/>
        <v>42506</v>
      </c>
      <c r="I75" s="20">
        <f ca="1">_xll.meDateFromTenor(H75,"3M","Following",$I$11,"Normal")</f>
        <v>42598</v>
      </c>
      <c r="J75" s="150">
        <f ca="1"/>
        <v>7.0463207092911076E-3</v>
      </c>
      <c r="K75" s="7" t="s">
        <v>4</v>
      </c>
      <c r="L75" s="149" t="e">
        <f ca="1">_xll.meDateFromTenor(L74,"1D","FOLLOWING",#REF!,"NORMAL")</f>
        <v>#VALUE!</v>
      </c>
      <c r="M75" s="155">
        <f ca="1">_xll.meDateYearFraction(C75,D75,$M$11)</f>
        <v>2.7777777777777779E-3</v>
      </c>
      <c r="N75" s="150">
        <f ca="1"/>
        <v>-2.4300000000065936E-3</v>
      </c>
      <c r="O75" s="7" t="s">
        <v>4</v>
      </c>
      <c r="P75" s="149">
        <f t="shared" ca="1" si="1"/>
        <v>42506</v>
      </c>
      <c r="Q75" s="155">
        <f ca="1">_xll.meDateYearFraction(H75,I75,$Q$11,TRUE)</f>
        <v>0.25555555555555554</v>
      </c>
      <c r="R75" s="150">
        <f ca="1">IF(NOW(),_xll.meCurveForwardRatesFromYearFraction(P75,Q75,$Q$11,$Q$9,$Q$10))</f>
        <v>-4.1140780451609333E-3</v>
      </c>
      <c r="S75" s="134" t="s">
        <v>4</v>
      </c>
    </row>
    <row r="76" spans="1:19" x14ac:dyDescent="0.25">
      <c r="A76" s="128">
        <v>60</v>
      </c>
      <c r="B76" s="133"/>
      <c r="C76" s="149">
        <f ca="1">_xll.meDateFromTenor(C75,"1D","FOLLOWING",$D$11,"NORMAL")</f>
        <v>42507</v>
      </c>
      <c r="D76" s="20">
        <f ca="1">_xll.meDateFromTenor(C76,"1D","Following",$D$11,"Normal")</f>
        <v>42508</v>
      </c>
      <c r="E76" s="99">
        <f ca="1"/>
        <v>3.6999999999842476E-3</v>
      </c>
      <c r="F76" s="161">
        <f ca="1">_xll.meCurveForwardRates(C76,$D$9,$D$10)</f>
        <v>3.7068343657260527E-3</v>
      </c>
      <c r="G76" s="7" t="s">
        <v>4</v>
      </c>
      <c r="H76" s="149">
        <f t="shared" ca="1" si="0"/>
        <v>42507</v>
      </c>
      <c r="I76" s="20">
        <f ca="1">_xll.meDateFromTenor(H76,"3M","Following",$I$11,"Normal")</f>
        <v>42599</v>
      </c>
      <c r="J76" s="150">
        <f ca="1"/>
        <v>7.0559631274753377E-3</v>
      </c>
      <c r="K76" s="7" t="s">
        <v>4</v>
      </c>
      <c r="L76" s="149" t="e">
        <f ca="1">_xll.meDateFromTenor(L75,"1D","FOLLOWING",#REF!,"NORMAL")</f>
        <v>#VALUE!</v>
      </c>
      <c r="M76" s="155">
        <f ca="1">_xll.meDateYearFraction(C76,D76,$M$11)</f>
        <v>2.7777777777777779E-3</v>
      </c>
      <c r="N76" s="150">
        <f ca="1"/>
        <v>-2.4300000000065936E-3</v>
      </c>
      <c r="O76" s="7" t="s">
        <v>4</v>
      </c>
      <c r="P76" s="149">
        <f t="shared" ca="1" si="1"/>
        <v>42507</v>
      </c>
      <c r="Q76" s="155">
        <f ca="1">_xll.meDateYearFraction(H76,I76,$Q$11,TRUE)</f>
        <v>0.25555555555555554</v>
      </c>
      <c r="R76" s="150">
        <f ca="1">IF(NOW(),_xll.meCurveForwardRatesFromYearFraction(P76,Q76,$Q$11,$Q$9,$Q$10))</f>
        <v>-3.7175485397107962E-3</v>
      </c>
      <c r="S76" s="134" t="s">
        <v>4</v>
      </c>
    </row>
    <row r="77" spans="1:19" x14ac:dyDescent="0.25">
      <c r="A77" s="128">
        <v>61</v>
      </c>
      <c r="B77" s="133"/>
      <c r="C77" s="149">
        <f ca="1">_xll.meDateFromTenor(C76,"1D","FOLLOWING",$D$11,"NORMAL")</f>
        <v>42508</v>
      </c>
      <c r="D77" s="20">
        <f ca="1">_xll.meDateFromTenor(C77,"1D","Following",$D$11,"Normal")</f>
        <v>42509</v>
      </c>
      <c r="E77" s="99">
        <f ca="1"/>
        <v>3.6999999999842844E-3</v>
      </c>
      <c r="F77" s="161">
        <f ca="1">_xll.meCurveForwardRates(C77,$D$9,$D$10)</f>
        <v>3.7068343657260527E-3</v>
      </c>
      <c r="G77" s="7" t="s">
        <v>4</v>
      </c>
      <c r="H77" s="149">
        <f t="shared" ca="1" si="0"/>
        <v>42508</v>
      </c>
      <c r="I77" s="20">
        <f ca="1">_xll.meDateFromTenor(H77,"3M","Following",$I$11,"Normal")</f>
        <v>42600</v>
      </c>
      <c r="J77" s="150">
        <f ca="1"/>
        <v>7.0656055456595679E-3</v>
      </c>
      <c r="K77" s="7" t="s">
        <v>4</v>
      </c>
      <c r="L77" s="149" t="e">
        <f ca="1">_xll.meDateFromTenor(L76,"1D","FOLLOWING",#REF!,"NORMAL")</f>
        <v>#VALUE!</v>
      </c>
      <c r="M77" s="155">
        <f ca="1">_xll.meDateYearFraction(C77,D77,$M$11)</f>
        <v>2.7777777777777779E-3</v>
      </c>
      <c r="N77" s="150">
        <f ca="1"/>
        <v>-2.4300000000065936E-3</v>
      </c>
      <c r="O77" s="7" t="s">
        <v>4</v>
      </c>
      <c r="P77" s="149">
        <f t="shared" ca="1" si="1"/>
        <v>42508</v>
      </c>
      <c r="Q77" s="155">
        <f ca="1">_xll.meDateYearFraction(H77,I77,$Q$11,TRUE)</f>
        <v>0.25555555555555554</v>
      </c>
      <c r="R77" s="150">
        <f ca="1">IF(NOW(),_xll.meCurveForwardRatesFromYearFraction(P77,Q77,$Q$11,$Q$9,$Q$10))</f>
        <v>-4.1190485045154183E-3</v>
      </c>
      <c r="S77" s="134" t="s">
        <v>4</v>
      </c>
    </row>
    <row r="78" spans="1:19" x14ac:dyDescent="0.25">
      <c r="A78" s="128">
        <v>62</v>
      </c>
      <c r="B78" s="133"/>
      <c r="C78" s="149">
        <f ca="1">_xll.meDateFromTenor(C77,"1D","FOLLOWING",$D$11,"NORMAL")</f>
        <v>42509</v>
      </c>
      <c r="D78" s="20">
        <f ca="1">_xll.meDateFromTenor(C78,"1D","Following",$D$11,"Normal")</f>
        <v>42510</v>
      </c>
      <c r="E78" s="99">
        <f ca="1"/>
        <v>3.6999999999842844E-3</v>
      </c>
      <c r="F78" s="161">
        <f ca="1">_xll.meCurveForwardRates(C78,$D$9,$D$10)</f>
        <v>3.7068343657260527E-3</v>
      </c>
      <c r="G78" s="7" t="s">
        <v>4</v>
      </c>
      <c r="H78" s="149">
        <f t="shared" ca="1" si="0"/>
        <v>42509</v>
      </c>
      <c r="I78" s="20">
        <f ca="1">_xll.meDateFromTenor(H78,"3M","Following",$I$11,"Normal")</f>
        <v>42601</v>
      </c>
      <c r="J78" s="150">
        <f ca="1"/>
        <v>7.075247963843798E-3</v>
      </c>
      <c r="K78" s="7" t="s">
        <v>4</v>
      </c>
      <c r="L78" s="149" t="e">
        <f ca="1">_xll.meDateFromTenor(L77,"1D","FOLLOWING",#REF!,"NORMAL")</f>
        <v>#VALUE!</v>
      </c>
      <c r="M78" s="155">
        <f ca="1">_xll.meDateYearFraction(C78,D78,$M$11)</f>
        <v>2.7777777777777779E-3</v>
      </c>
      <c r="N78" s="150">
        <f ca="1"/>
        <v>-2.4300000000065936E-3</v>
      </c>
      <c r="O78" s="7" t="s">
        <v>4</v>
      </c>
      <c r="P78" s="149">
        <f t="shared" ca="1" si="1"/>
        <v>42509</v>
      </c>
      <c r="Q78" s="155">
        <f ca="1">_xll.meDateYearFraction(H78,I78,$Q$11,TRUE)</f>
        <v>0.25555555555555554</v>
      </c>
      <c r="R78" s="150">
        <f ca="1">IF(NOW(),_xll.meCurveForwardRatesFromYearFraction(P78,Q78,$Q$11,$Q$9,$Q$10))</f>
        <v>-3.7175485397107962E-3</v>
      </c>
      <c r="S78" s="134" t="s">
        <v>4</v>
      </c>
    </row>
    <row r="79" spans="1:19" x14ac:dyDescent="0.25">
      <c r="A79" s="128">
        <v>63</v>
      </c>
      <c r="B79" s="133"/>
      <c r="C79" s="149">
        <f ca="1">_xll.meDateFromTenor(C78,"1D","FOLLOWING",$D$11,"NORMAL")</f>
        <v>42510</v>
      </c>
      <c r="D79" s="20">
        <f ca="1">_xll.meDateFromTenor(C79,"1D","Following",$D$11,"Normal")</f>
        <v>42513</v>
      </c>
      <c r="E79" s="99">
        <f ca="1"/>
        <v>3.7000000000109051E-3</v>
      </c>
      <c r="F79" s="161">
        <f ca="1">_xll.meCurveForwardRates(C79,$D$9,$D$10)</f>
        <v>3.7068005571172513E-3</v>
      </c>
      <c r="G79" s="7" t="s">
        <v>4</v>
      </c>
      <c r="H79" s="149">
        <f t="shared" ca="1" si="0"/>
        <v>42510</v>
      </c>
      <c r="I79" s="20">
        <f ca="1">_xll.meDateFromTenor(H79,"3M","Following",$I$11,"Normal")</f>
        <v>42604</v>
      </c>
      <c r="J79" s="150">
        <f ca="1"/>
        <v>7.0848903820280281E-3</v>
      </c>
      <c r="K79" s="7" t="s">
        <v>4</v>
      </c>
      <c r="L79" s="149" t="e">
        <f ca="1">_xll.meDateFromTenor(L78,"1D","FOLLOWING",#REF!,"NORMAL")</f>
        <v>#VALUE!</v>
      </c>
      <c r="M79" s="155">
        <f ca="1">_xll.meDateYearFraction(C79,D79,$M$11)</f>
        <v>8.3333333333333332E-3</v>
      </c>
      <c r="N79" s="150">
        <f ca="1"/>
        <v>-2.4300000000065936E-3</v>
      </c>
      <c r="O79" s="7" t="s">
        <v>4</v>
      </c>
      <c r="P79" s="149">
        <f t="shared" ca="1" si="1"/>
        <v>42510</v>
      </c>
      <c r="Q79" s="155">
        <f ca="1">_xll.meDateYearFraction(H79,I79,$Q$11,TRUE)</f>
        <v>0.26111111111111113</v>
      </c>
      <c r="R79" s="150">
        <f ca="1">IF(NOW(),_xll.meCurveForwardRatesFromYearFraction(P79,Q79,$Q$11,$Q$9,$Q$10))</f>
        <v>-4.1233271289976064E-3</v>
      </c>
      <c r="S79" s="134" t="s">
        <v>4</v>
      </c>
    </row>
    <row r="80" spans="1:19" x14ac:dyDescent="0.25">
      <c r="A80" s="128">
        <v>64</v>
      </c>
      <c r="B80" s="133"/>
      <c r="C80" s="149">
        <f ca="1">_xll.meDateFromTenor(C79,"1D","FOLLOWING",$D$11,"NORMAL")</f>
        <v>42513</v>
      </c>
      <c r="D80" s="20">
        <f ca="1">_xll.meDateFromTenor(C80,"1D","Following",$D$11,"Normal")</f>
        <v>42514</v>
      </c>
      <c r="E80" s="99">
        <f ca="1"/>
        <v>3.6999999999842844E-3</v>
      </c>
      <c r="F80" s="161">
        <f ca="1">_xll.meCurveForwardRates(C80,$D$9,$D$10)</f>
        <v>3.7068343657260527E-3</v>
      </c>
      <c r="G80" s="7" t="s">
        <v>4</v>
      </c>
      <c r="H80" s="149">
        <f t="shared" ca="1" si="0"/>
        <v>42513</v>
      </c>
      <c r="I80" s="20">
        <f ca="1">_xll.meDateFromTenor(H80,"3M","Following",$I$11,"Normal")</f>
        <v>42605</v>
      </c>
      <c r="J80" s="150">
        <f ca="1"/>
        <v>6.9892051730203733E-3</v>
      </c>
      <c r="K80" s="7" t="s">
        <v>4</v>
      </c>
      <c r="L80" s="149" t="e">
        <f ca="1">_xll.meDateFromTenor(L79,"1D","FOLLOWING",#REF!,"NORMAL")</f>
        <v>#VALUE!</v>
      </c>
      <c r="M80" s="155">
        <f ca="1">_xll.meDateYearFraction(C80,D80,$M$11)</f>
        <v>2.7777777777777779E-3</v>
      </c>
      <c r="N80" s="150">
        <f ca="1"/>
        <v>-2.4300000000065936E-3</v>
      </c>
      <c r="O80" s="7" t="s">
        <v>4</v>
      </c>
      <c r="P80" s="149">
        <f t="shared" ca="1" si="1"/>
        <v>42513</v>
      </c>
      <c r="Q80" s="155">
        <f ca="1">_xll.meDateYearFraction(H80,I80,$Q$11,TRUE)</f>
        <v>0.25555555555555554</v>
      </c>
      <c r="R80" s="150">
        <f ca="1">IF(NOW(),_xll.meCurveForwardRatesFromYearFraction(P80,Q80,$Q$11,$Q$9,$Q$10))</f>
        <v>-3.7175485397107962E-3</v>
      </c>
      <c r="S80" s="134" t="s">
        <v>4</v>
      </c>
    </row>
    <row r="81" spans="1:19" x14ac:dyDescent="0.25">
      <c r="A81" s="128">
        <v>65</v>
      </c>
      <c r="B81" s="133"/>
      <c r="C81" s="149">
        <f ca="1">_xll.meDateFromTenor(C80,"1D","FOLLOWING",$D$11,"NORMAL")</f>
        <v>42514</v>
      </c>
      <c r="D81" s="20">
        <f ca="1">_xll.meDateFromTenor(C81,"1D","Following",$D$11,"Normal")</f>
        <v>42515</v>
      </c>
      <c r="E81" s="99">
        <f ca="1"/>
        <v>3.6999999999842844E-3</v>
      </c>
      <c r="F81" s="161">
        <f ca="1">_xll.meCurveForwardRates(C81,$D$9,$D$10)</f>
        <v>3.7068343657260527E-3</v>
      </c>
      <c r="G81" s="7" t="s">
        <v>4</v>
      </c>
      <c r="H81" s="149">
        <f t="shared" ref="H81:H144" ca="1" si="2">$C81</f>
        <v>42514</v>
      </c>
      <c r="I81" s="20">
        <f ca="1">_xll.meDateFromTenor(H81,"3M","Following",$I$11,"Normal")</f>
        <v>42606</v>
      </c>
      <c r="J81" s="150">
        <f ca="1"/>
        <v>6.9379194985030018E-3</v>
      </c>
      <c r="K81" s="7" t="s">
        <v>4</v>
      </c>
      <c r="L81" s="149" t="e">
        <f ca="1">_xll.meDateFromTenor(L80,"1D","FOLLOWING",#REF!,"NORMAL")</f>
        <v>#VALUE!</v>
      </c>
      <c r="M81" s="155">
        <f ca="1">_xll.meDateYearFraction(C81,D81,$M$11)</f>
        <v>2.7777777777777779E-3</v>
      </c>
      <c r="N81" s="150">
        <f ca="1"/>
        <v>-2.4300000000065936E-3</v>
      </c>
      <c r="O81" s="7" t="s">
        <v>4</v>
      </c>
      <c r="P81" s="149">
        <f t="shared" ref="P81:P144" ca="1" si="3">$C81</f>
        <v>42514</v>
      </c>
      <c r="Q81" s="155">
        <f ca="1">_xll.meDateYearFraction(H81,I81,$Q$11,TRUE)</f>
        <v>0.25555555555555554</v>
      </c>
      <c r="R81" s="150">
        <f ca="1">IF(NOW(),_xll.meCurveForwardRatesFromYearFraction(P81,Q81,$Q$11,$Q$9,$Q$10))</f>
        <v>-4.1296913834581251E-3</v>
      </c>
      <c r="S81" s="134" t="s">
        <v>4</v>
      </c>
    </row>
    <row r="82" spans="1:19" x14ac:dyDescent="0.25">
      <c r="A82" s="128">
        <v>66</v>
      </c>
      <c r="B82" s="133"/>
      <c r="C82" s="149">
        <f ca="1">_xll.meDateFromTenor(C81,"1D","FOLLOWING",$D$11,"NORMAL")</f>
        <v>42515</v>
      </c>
      <c r="D82" s="20">
        <f ca="1">_xll.meDateFromTenor(C82,"1D","Following",$D$11,"Normal")</f>
        <v>42516</v>
      </c>
      <c r="E82" s="99">
        <f ca="1"/>
        <v>3.6999999999842844E-3</v>
      </c>
      <c r="F82" s="161">
        <f ca="1">_xll.meCurveForwardRates(C82,$D$9,$D$10)</f>
        <v>3.7068343657260527E-3</v>
      </c>
      <c r="G82" s="7" t="s">
        <v>4</v>
      </c>
      <c r="H82" s="149">
        <f t="shared" ca="1" si="2"/>
        <v>42515</v>
      </c>
      <c r="I82" s="20">
        <f ca="1">_xll.meDateFromTenor(H82,"3M","Following",$I$11,"Normal")</f>
        <v>42607</v>
      </c>
      <c r="J82" s="150">
        <f ca="1"/>
        <v>6.8874273034114685E-3</v>
      </c>
      <c r="K82" s="7" t="s">
        <v>4</v>
      </c>
      <c r="L82" s="149" t="e">
        <f ca="1">_xll.meDateFromTenor(L81,"1D","FOLLOWING",#REF!,"NORMAL")</f>
        <v>#VALUE!</v>
      </c>
      <c r="M82" s="155">
        <f ca="1">_xll.meDateYearFraction(C82,D82,$M$11)</f>
        <v>2.7777777777777779E-3</v>
      </c>
      <c r="N82" s="150">
        <f ca="1"/>
        <v>-2.4300000000065936E-3</v>
      </c>
      <c r="O82" s="7" t="s">
        <v>4</v>
      </c>
      <c r="P82" s="149">
        <f t="shared" ca="1" si="3"/>
        <v>42515</v>
      </c>
      <c r="Q82" s="155">
        <f ca="1">_xll.meDateYearFraction(H82,I82,$Q$11,TRUE)</f>
        <v>0.25555555555555554</v>
      </c>
      <c r="R82" s="150">
        <f ca="1">IF(NOW(),_xll.meCurveForwardRatesFromYearFraction(P82,Q82,$Q$11,$Q$9,$Q$10))</f>
        <v>-3.7175485397107962E-3</v>
      </c>
      <c r="S82" s="134" t="s">
        <v>4</v>
      </c>
    </row>
    <row r="83" spans="1:19" x14ac:dyDescent="0.25">
      <c r="A83" s="128">
        <v>67</v>
      </c>
      <c r="B83" s="133"/>
      <c r="C83" s="149">
        <f ca="1">_xll.meDateFromTenor(C82,"1D","FOLLOWING",$D$11,"NORMAL")</f>
        <v>42516</v>
      </c>
      <c r="D83" s="20">
        <f ca="1">_xll.meDateFromTenor(C83,"1D","Following",$D$11,"Normal")</f>
        <v>42517</v>
      </c>
      <c r="E83" s="99">
        <f ca="1"/>
        <v>3.7000000000642205E-3</v>
      </c>
      <c r="F83" s="161">
        <f ca="1">_xll.meCurveForwardRates(C83,$D$9,$D$10)</f>
        <v>3.7068343658062108E-3</v>
      </c>
      <c r="G83" s="7" t="s">
        <v>4</v>
      </c>
      <c r="H83" s="149">
        <f t="shared" ca="1" si="2"/>
        <v>42516</v>
      </c>
      <c r="I83" s="20">
        <f ca="1">_xll.meDateFromTenor(H83,"3M","Following",$I$11,"Normal")</f>
        <v>42608</v>
      </c>
      <c r="J83" s="150">
        <f ca="1"/>
        <v>6.8377349941073657E-3</v>
      </c>
      <c r="K83" s="7" t="s">
        <v>4</v>
      </c>
      <c r="L83" s="149" t="e">
        <f ca="1">_xll.meDateFromTenor(L82,"1D","FOLLOWING",#REF!,"NORMAL")</f>
        <v>#VALUE!</v>
      </c>
      <c r="M83" s="155">
        <f ca="1">_xll.meDateYearFraction(C83,D83,$M$11)</f>
        <v>2.7777777777777779E-3</v>
      </c>
      <c r="N83" s="150">
        <f ca="1"/>
        <v>-2.4300000000065936E-3</v>
      </c>
      <c r="O83" s="7" t="s">
        <v>4</v>
      </c>
      <c r="P83" s="149">
        <f t="shared" ca="1" si="3"/>
        <v>42516</v>
      </c>
      <c r="Q83" s="155">
        <f ca="1">_xll.meDateYearFraction(H83,I83,$Q$11,TRUE)</f>
        <v>0.25555555555555554</v>
      </c>
      <c r="R83" s="150">
        <f ca="1">IF(NOW(),_xll.meCurveForwardRatesFromYearFraction(P83,Q83,$Q$11,$Q$9,$Q$10))</f>
        <v>-3.7175485397107962E-3</v>
      </c>
      <c r="S83" s="134" t="s">
        <v>4</v>
      </c>
    </row>
    <row r="84" spans="1:19" x14ac:dyDescent="0.25">
      <c r="A84" s="128">
        <v>68</v>
      </c>
      <c r="B84" s="133"/>
      <c r="C84" s="149">
        <f ca="1">_xll.meDateFromTenor(C83,"1D","FOLLOWING",$D$11,"NORMAL")</f>
        <v>42517</v>
      </c>
      <c r="D84" s="20">
        <f ca="1">_xll.meDateFromTenor(C84,"1D","Following",$D$11,"Normal")</f>
        <v>42521</v>
      </c>
      <c r="E84" s="99">
        <f ca="1"/>
        <v>3.7000000000042502E-3</v>
      </c>
      <c r="F84" s="161">
        <f ca="1">_xll.meCurveForwardRates(C84,$D$9,$D$10)</f>
        <v>3.7067872226352883E-3</v>
      </c>
      <c r="G84" s="7" t="s">
        <v>4</v>
      </c>
      <c r="H84" s="149">
        <f t="shared" ca="1" si="2"/>
        <v>42517</v>
      </c>
      <c r="I84" s="20">
        <f ca="1">_xll.meDateFromTenor(H84,"3M","Following",$I$11,"Normal")</f>
        <v>42612</v>
      </c>
      <c r="J84" s="150">
        <f ca="1"/>
        <v>6.7888489769522709E-3</v>
      </c>
      <c r="K84" s="7" t="s">
        <v>4</v>
      </c>
      <c r="L84" s="149" t="e">
        <f ca="1">_xll.meDateFromTenor(L83,"1D","FOLLOWING",#REF!,"NORMAL")</f>
        <v>#VALUE!</v>
      </c>
      <c r="M84" s="155">
        <f ca="1">_xll.meDateYearFraction(C84,D84,$M$11)</f>
        <v>1.1111111111111112E-2</v>
      </c>
      <c r="N84" s="150">
        <f ca="1"/>
        <v>-2.4300000000065936E-3</v>
      </c>
      <c r="O84" s="7" t="s">
        <v>4</v>
      </c>
      <c r="P84" s="149">
        <f t="shared" ca="1" si="3"/>
        <v>42517</v>
      </c>
      <c r="Q84" s="155">
        <f ca="1">_xll.meDateYearFraction(H84,I84,$Q$11,TRUE)</f>
        <v>0.2638888888888889</v>
      </c>
      <c r="R84" s="150">
        <f ca="1">IF(NOW(),_xll.meCurveForwardRatesFromYearFraction(P84,Q84,$Q$11,$Q$9,$Q$10))</f>
        <v>-3.7175485397107962E-3</v>
      </c>
      <c r="S84" s="134" t="s">
        <v>4</v>
      </c>
    </row>
    <row r="85" spans="1:19" x14ac:dyDescent="0.25">
      <c r="A85" s="128">
        <v>69</v>
      </c>
      <c r="B85" s="133"/>
      <c r="C85" s="149">
        <f ca="1">_xll.meDateFromTenor(C84,"1D","FOLLOWING",$D$11,"NORMAL")</f>
        <v>42521</v>
      </c>
      <c r="D85" s="20">
        <f ca="1">_xll.meDateFromTenor(C85,"1D","Following",$D$11,"Normal")</f>
        <v>42522</v>
      </c>
      <c r="E85" s="99">
        <f ca="1"/>
        <v>3.6999999999842844E-3</v>
      </c>
      <c r="F85" s="161">
        <f ca="1">_xll.meCurveForwardRates(C85,$D$9,$D$10)</f>
        <v>3.7068343657260527E-3</v>
      </c>
      <c r="G85" s="7" t="s">
        <v>4</v>
      </c>
      <c r="H85" s="149">
        <f t="shared" ca="1" si="2"/>
        <v>42521</v>
      </c>
      <c r="I85" s="20">
        <f ca="1">_xll.meDateFromTenor(H85,"3M","Following",$I$11,"Normal")</f>
        <v>42613</v>
      </c>
      <c r="J85" s="150">
        <f ca="1"/>
        <v>6.6014959570536991E-3</v>
      </c>
      <c r="K85" s="7" t="s">
        <v>4</v>
      </c>
      <c r="L85" s="149" t="e">
        <f ca="1">_xll.meDateFromTenor(L84,"1D","FOLLOWING",#REF!,"NORMAL")</f>
        <v>#VALUE!</v>
      </c>
      <c r="M85" s="155">
        <f ca="1">_xll.meDateYearFraction(C85,D85,$M$11)</f>
        <v>2.7777777777777779E-3</v>
      </c>
      <c r="N85" s="150">
        <f ca="1"/>
        <v>-2.4300000000065936E-3</v>
      </c>
      <c r="O85" s="7" t="s">
        <v>4</v>
      </c>
      <c r="P85" s="149">
        <f t="shared" ca="1" si="3"/>
        <v>42521</v>
      </c>
      <c r="Q85" s="155">
        <f ca="1">_xll.meDateYearFraction(H85,I85,$Q$11,TRUE)</f>
        <v>0.25555555555555554</v>
      </c>
      <c r="R85" s="150">
        <f ca="1">IF(NOW(),_xll.meCurveForwardRatesFromYearFraction(P85,Q85,$Q$11,$Q$9,$Q$10))</f>
        <v>-4.1338150292678268E-3</v>
      </c>
      <c r="S85" s="134" t="s">
        <v>4</v>
      </c>
    </row>
    <row r="86" spans="1:19" x14ac:dyDescent="0.25">
      <c r="A86" s="128">
        <v>70</v>
      </c>
      <c r="B86" s="133"/>
      <c r="C86" s="149">
        <f ca="1">_xll.meDateFromTenor(C85,"1D","FOLLOWING",$D$11,"NORMAL")</f>
        <v>42522</v>
      </c>
      <c r="D86" s="20">
        <f ca="1">_xll.meDateFromTenor(C86,"1D","Following",$D$11,"Normal")</f>
        <v>42523</v>
      </c>
      <c r="E86" s="99">
        <f ca="1"/>
        <v>3.6999999999842844E-3</v>
      </c>
      <c r="F86" s="161">
        <f ca="1">_xll.meCurveForwardRates(C86,$D$9,$D$10)</f>
        <v>3.7068343657260527E-3</v>
      </c>
      <c r="G86" s="7" t="s">
        <v>4</v>
      </c>
      <c r="H86" s="149">
        <f t="shared" ca="1" si="2"/>
        <v>42522</v>
      </c>
      <c r="I86" s="20">
        <f ca="1">_xll.meDateFromTenor(H86,"3M","Following",$I$11,"Normal")</f>
        <v>42614</v>
      </c>
      <c r="J86" s="150">
        <f ca="1"/>
        <v>6.5567374960674284E-3</v>
      </c>
      <c r="K86" s="7" t="s">
        <v>4</v>
      </c>
      <c r="L86" s="149" t="e">
        <f ca="1">_xll.meDateFromTenor(L85,"1D","FOLLOWING",#REF!,"NORMAL")</f>
        <v>#VALUE!</v>
      </c>
      <c r="M86" s="155">
        <f ca="1">_xll.meDateYearFraction(C86,D86,$M$11)</f>
        <v>2.7777777777777779E-3</v>
      </c>
      <c r="N86" s="150">
        <f ca="1"/>
        <v>-2.4300000000065936E-3</v>
      </c>
      <c r="O86" s="7" t="s">
        <v>4</v>
      </c>
      <c r="P86" s="149">
        <f t="shared" ca="1" si="3"/>
        <v>42522</v>
      </c>
      <c r="Q86" s="155">
        <f ca="1">_xll.meDateYearFraction(H86,I86,$Q$11,TRUE)</f>
        <v>0.25555555555555554</v>
      </c>
      <c r="R86" s="150">
        <f ca="1">IF(NOW(),_xll.meCurveForwardRatesFromYearFraction(P86,Q86,$Q$11,$Q$9,$Q$10))</f>
        <v>-3.7175485397107962E-3</v>
      </c>
      <c r="S86" s="134" t="s">
        <v>4</v>
      </c>
    </row>
    <row r="87" spans="1:19" x14ac:dyDescent="0.25">
      <c r="A87" s="128">
        <v>71</v>
      </c>
      <c r="B87" s="133"/>
      <c r="C87" s="149">
        <f ca="1">_xll.meDateFromTenor(C86,"1D","FOLLOWING",$D$11,"NORMAL")</f>
        <v>42523</v>
      </c>
      <c r="D87" s="20">
        <f ca="1">_xll.meDateFromTenor(C87,"1D","Following",$D$11,"Normal")</f>
        <v>42524</v>
      </c>
      <c r="E87" s="99">
        <f ca="1"/>
        <v>3.6999999999842107E-3</v>
      </c>
      <c r="F87" s="161">
        <f ca="1">_xll.meCurveForwardRates(C87,$D$9,$D$10)</f>
        <v>3.7068343657260527E-3</v>
      </c>
      <c r="G87" s="7" t="s">
        <v>4</v>
      </c>
      <c r="H87" s="149">
        <f t="shared" ca="1" si="2"/>
        <v>42523</v>
      </c>
      <c r="I87" s="20">
        <f ca="1">_xll.meDateFromTenor(H87,"3M","Following",$I$11,"Normal")</f>
        <v>42615</v>
      </c>
      <c r="J87" s="150">
        <f ca="1"/>
        <v>6.5128237653996716E-3</v>
      </c>
      <c r="K87" s="7" t="s">
        <v>4</v>
      </c>
      <c r="L87" s="149" t="e">
        <f ca="1">_xll.meDateFromTenor(L86,"1D","FOLLOWING",#REF!,"NORMAL")</f>
        <v>#VALUE!</v>
      </c>
      <c r="M87" s="155">
        <f ca="1">_xll.meDateYearFraction(C87,D87,$M$11)</f>
        <v>2.7777777777777779E-3</v>
      </c>
      <c r="N87" s="150">
        <f ca="1"/>
        <v>-2.4300000000065936E-3</v>
      </c>
      <c r="O87" s="7" t="s">
        <v>4</v>
      </c>
      <c r="P87" s="149">
        <f t="shared" ca="1" si="3"/>
        <v>42523</v>
      </c>
      <c r="Q87" s="155">
        <f ca="1">_xll.meDateYearFraction(H87,I87,$Q$11,TRUE)</f>
        <v>0.25555555555555554</v>
      </c>
      <c r="R87" s="150">
        <f ca="1">IF(NOW(),_xll.meCurveForwardRatesFromYearFraction(P87,Q87,$Q$11,$Q$9,$Q$10))</f>
        <v>-4.1335281064981463E-3</v>
      </c>
      <c r="S87" s="134" t="s">
        <v>4</v>
      </c>
    </row>
    <row r="88" spans="1:19" x14ac:dyDescent="0.25">
      <c r="A88" s="128">
        <v>72</v>
      </c>
      <c r="B88" s="133"/>
      <c r="C88" s="149">
        <f ca="1">_xll.meDateFromTenor(C87,"1D","FOLLOWING",$D$11,"NORMAL")</f>
        <v>42524</v>
      </c>
      <c r="D88" s="20">
        <f ca="1">_xll.meDateFromTenor(C88,"1D","Following",$D$11,"Normal")</f>
        <v>42527</v>
      </c>
      <c r="E88" s="99">
        <f ca="1"/>
        <v>3.7000000000109298E-3</v>
      </c>
      <c r="F88" s="161">
        <f ca="1">_xll.meCurveForwardRates(C88,$D$9,$D$10)</f>
        <v>3.7068005571172513E-3</v>
      </c>
      <c r="G88" s="7" t="s">
        <v>4</v>
      </c>
      <c r="H88" s="149">
        <f t="shared" ca="1" si="2"/>
        <v>42524</v>
      </c>
      <c r="I88" s="20">
        <f ca="1">_xll.meDateFromTenor(H88,"3M","Following",$I$11,"Normal")</f>
        <v>42619</v>
      </c>
      <c r="J88" s="150">
        <f ca="1"/>
        <v>6.4697611714120192E-3</v>
      </c>
      <c r="K88" s="7" t="s">
        <v>4</v>
      </c>
      <c r="L88" s="149" t="e">
        <f ca="1">_xll.meDateFromTenor(L87,"1D","FOLLOWING",#REF!,"NORMAL")</f>
        <v>#VALUE!</v>
      </c>
      <c r="M88" s="155">
        <f ca="1">_xll.meDateYearFraction(C88,D88,$M$11)</f>
        <v>8.3333333333333332E-3</v>
      </c>
      <c r="N88" s="150">
        <f ca="1"/>
        <v>-2.4300000000065936E-3</v>
      </c>
      <c r="O88" s="7" t="s">
        <v>4</v>
      </c>
      <c r="P88" s="149">
        <f t="shared" ca="1" si="3"/>
        <v>42524</v>
      </c>
      <c r="Q88" s="155">
        <f ca="1">_xll.meDateYearFraction(H88,I88,$Q$11,TRUE)</f>
        <v>0.2638888888888889</v>
      </c>
      <c r="R88" s="150">
        <f ca="1">IF(NOW(),_xll.meCurveForwardRatesFromYearFraction(P88,Q88,$Q$11,$Q$9,$Q$10))</f>
        <v>-3.7175485397107962E-3</v>
      </c>
      <c r="S88" s="134" t="s">
        <v>4</v>
      </c>
    </row>
    <row r="89" spans="1:19" x14ac:dyDescent="0.25">
      <c r="A89" s="128">
        <v>73</v>
      </c>
      <c r="B89" s="133"/>
      <c r="C89" s="149">
        <f ca="1">_xll.meDateFromTenor(C88,"1D","FOLLOWING",$D$11,"NORMAL")</f>
        <v>42527</v>
      </c>
      <c r="D89" s="20">
        <f ca="1">_xll.meDateFromTenor(C89,"1D","Following",$D$11,"Normal")</f>
        <v>42528</v>
      </c>
      <c r="E89" s="99">
        <f ca="1"/>
        <v>3.6999999999842844E-3</v>
      </c>
      <c r="F89" s="161">
        <f ca="1">_xll.meCurveForwardRates(C89,$D$9,$D$10)</f>
        <v>3.7068343657260527E-3</v>
      </c>
      <c r="G89" s="7" t="s">
        <v>4</v>
      </c>
      <c r="H89" s="149">
        <f t="shared" ca="1" si="2"/>
        <v>42527</v>
      </c>
      <c r="I89" s="20">
        <f ca="1">_xll.meDateFromTenor(H89,"3M","Following",$I$11,"Normal")</f>
        <v>42619</v>
      </c>
      <c r="J89" s="150">
        <f ca="1"/>
        <v>6.345744273145504E-3</v>
      </c>
      <c r="K89" s="7" t="s">
        <v>4</v>
      </c>
      <c r="L89" s="149" t="e">
        <f ca="1">_xll.meDateFromTenor(L88,"1D","FOLLOWING",#REF!,"NORMAL")</f>
        <v>#VALUE!</v>
      </c>
      <c r="M89" s="155">
        <f ca="1">_xll.meDateYearFraction(C89,D89,$M$11)</f>
        <v>2.7777777777777779E-3</v>
      </c>
      <c r="N89" s="150">
        <f ca="1"/>
        <v>-2.4300000000065936E-3</v>
      </c>
      <c r="O89" s="7" t="s">
        <v>4</v>
      </c>
      <c r="P89" s="149">
        <f t="shared" ca="1" si="3"/>
        <v>42527</v>
      </c>
      <c r="Q89" s="155">
        <f ca="1">_xll.meDateYearFraction(H89,I89,$Q$11,TRUE)</f>
        <v>0.25555555555555554</v>
      </c>
      <c r="R89" s="150">
        <f ca="1">IF(NOW(),_xll.meCurveForwardRatesFromYearFraction(P89,Q89,$Q$11,$Q$9,$Q$10))</f>
        <v>-4.1312634263719452E-3</v>
      </c>
      <c r="S89" s="134" t="s">
        <v>4</v>
      </c>
    </row>
    <row r="90" spans="1:19" x14ac:dyDescent="0.25">
      <c r="A90" s="128">
        <v>74</v>
      </c>
      <c r="B90" s="133"/>
      <c r="C90" s="149">
        <f ca="1">_xll.meDateFromTenor(C89,"1D","FOLLOWING",$D$11,"NORMAL")</f>
        <v>42528</v>
      </c>
      <c r="D90" s="20">
        <f ca="1">_xll.meDateFromTenor(C90,"1D","Following",$D$11,"Normal")</f>
        <v>42529</v>
      </c>
      <c r="E90" s="99">
        <f ca="1"/>
        <v>3.6999999999842107E-3</v>
      </c>
      <c r="F90" s="161">
        <f ca="1">_xll.meCurveForwardRates(C90,$D$9,$D$10)</f>
        <v>3.7068343657260527E-3</v>
      </c>
      <c r="G90" s="7" t="s">
        <v>4</v>
      </c>
      <c r="H90" s="149">
        <f t="shared" ca="1" si="2"/>
        <v>42528</v>
      </c>
      <c r="I90" s="20">
        <f ca="1">_xll.meDateFromTenor(H90,"3M","Following",$I$11,"Normal")</f>
        <v>42620</v>
      </c>
      <c r="J90" s="150">
        <f ca="1"/>
        <v>6.306150289494097E-3</v>
      </c>
      <c r="K90" s="7" t="s">
        <v>4</v>
      </c>
      <c r="L90" s="149" t="e">
        <f ca="1">_xll.meDateFromTenor(L89,"1D","FOLLOWING",#REF!,"NORMAL")</f>
        <v>#VALUE!</v>
      </c>
      <c r="M90" s="155">
        <f ca="1">_xll.meDateYearFraction(C90,D90,$M$11)</f>
        <v>2.7777777777777779E-3</v>
      </c>
      <c r="N90" s="150">
        <f ca="1"/>
        <v>-2.4300000000065936E-3</v>
      </c>
      <c r="O90" s="7" t="s">
        <v>4</v>
      </c>
      <c r="P90" s="149">
        <f t="shared" ca="1" si="3"/>
        <v>42528</v>
      </c>
      <c r="Q90" s="155">
        <f ca="1">_xll.meDateYearFraction(H90,I90,$Q$11,TRUE)</f>
        <v>0.25555555555555554</v>
      </c>
      <c r="R90" s="150">
        <f ca="1">IF(NOW(),_xll.meCurveForwardRatesFromYearFraction(P90,Q90,$Q$11,$Q$9,$Q$10))</f>
        <v>-4.1303744621567304E-3</v>
      </c>
      <c r="S90" s="134" t="s">
        <v>4</v>
      </c>
    </row>
    <row r="91" spans="1:19" x14ac:dyDescent="0.25">
      <c r="A91" s="128">
        <v>75</v>
      </c>
      <c r="B91" s="133"/>
      <c r="C91" s="149">
        <f ca="1">_xll.meDateFromTenor(C90,"1D","FOLLOWING",$D$11,"NORMAL")</f>
        <v>42529</v>
      </c>
      <c r="D91" s="20">
        <f ca="1">_xll.meDateFromTenor(C91,"1D","Following",$D$11,"Normal")</f>
        <v>42530</v>
      </c>
      <c r="E91" s="99">
        <f ca="1"/>
        <v>3.6999999999842844E-3</v>
      </c>
      <c r="F91" s="161">
        <f ca="1">_xll.meCurveForwardRates(C91,$D$9,$D$10)</f>
        <v>3.7068343657260527E-3</v>
      </c>
      <c r="G91" s="7" t="s">
        <v>4</v>
      </c>
      <c r="H91" s="149">
        <f t="shared" ca="1" si="2"/>
        <v>42529</v>
      </c>
      <c r="I91" s="20">
        <f ca="1">_xll.meDateFromTenor(H91,"3M","Following",$I$11,"Normal")</f>
        <v>42621</v>
      </c>
      <c r="J91" s="150">
        <f ca="1"/>
        <v>6.2674394743307141E-3</v>
      </c>
      <c r="K91" s="7" t="s">
        <v>4</v>
      </c>
      <c r="L91" s="149" t="e">
        <f ca="1">_xll.meDateFromTenor(L90,"1D","FOLLOWING",#REF!,"NORMAL")</f>
        <v>#VALUE!</v>
      </c>
      <c r="M91" s="155">
        <f ca="1">_xll.meDateYearFraction(C91,D91,$M$11)</f>
        <v>2.7777777777777779E-3</v>
      </c>
      <c r="N91" s="150">
        <f ca="1"/>
        <v>-2.4300000000065936E-3</v>
      </c>
      <c r="O91" s="7" t="s">
        <v>4</v>
      </c>
      <c r="P91" s="149">
        <f t="shared" ca="1" si="3"/>
        <v>42529</v>
      </c>
      <c r="Q91" s="155">
        <f ca="1">_xll.meDateYearFraction(H91,I91,$Q$11,TRUE)</f>
        <v>0.25555555555555554</v>
      </c>
      <c r="R91" s="150">
        <f ca="1">IF(NOW(),_xll.meCurveForwardRatesFromYearFraction(P91,Q91,$Q$11,$Q$9,$Q$10))</f>
        <v>-4.1293664818755696E-3</v>
      </c>
      <c r="S91" s="134" t="s">
        <v>4</v>
      </c>
    </row>
    <row r="92" spans="1:19" x14ac:dyDescent="0.25">
      <c r="A92" s="128">
        <v>76</v>
      </c>
      <c r="B92" s="133"/>
      <c r="C92" s="149">
        <f ca="1">_xll.meDateFromTenor(C91,"1D","FOLLOWING",$D$11,"NORMAL")</f>
        <v>42530</v>
      </c>
      <c r="D92" s="20">
        <f ca="1">_xll.meDateFromTenor(C92,"1D","Following",$D$11,"Normal")</f>
        <v>42531</v>
      </c>
      <c r="E92" s="99">
        <f ca="1"/>
        <v>3.6999999999842844E-3</v>
      </c>
      <c r="F92" s="161">
        <f ca="1">_xll.meCurveForwardRates(C92,$D$9,$D$10)</f>
        <v>3.7068343657260527E-3</v>
      </c>
      <c r="G92" s="7" t="s">
        <v>4</v>
      </c>
      <c r="H92" s="149">
        <f t="shared" ca="1" si="2"/>
        <v>42530</v>
      </c>
      <c r="I92" s="20">
        <f ca="1">_xll.meDateFromTenor(H92,"3M","Following",$I$11,"Normal")</f>
        <v>42622</v>
      </c>
      <c r="J92" s="150">
        <f ca="1"/>
        <v>6.2296182340169336E-3</v>
      </c>
      <c r="K92" s="7" t="s">
        <v>4</v>
      </c>
      <c r="L92" s="149" t="e">
        <f ca="1">_xll.meDateFromTenor(L91,"1D","FOLLOWING",#REF!,"NORMAL")</f>
        <v>#VALUE!</v>
      </c>
      <c r="M92" s="155">
        <f ca="1">_xll.meDateYearFraction(C92,D92,$M$11)</f>
        <v>2.7777777777777779E-3</v>
      </c>
      <c r="N92" s="150">
        <f ca="1"/>
        <v>-2.4300000000065936E-3</v>
      </c>
      <c r="O92" s="7" t="s">
        <v>4</v>
      </c>
      <c r="P92" s="149">
        <f t="shared" ca="1" si="3"/>
        <v>42530</v>
      </c>
      <c r="Q92" s="155">
        <f ca="1">_xll.meDateYearFraction(H92,I92,$Q$11,TRUE)</f>
        <v>0.25555555555555554</v>
      </c>
      <c r="R92" s="150">
        <f ca="1">IF(NOW(),_xll.meCurveForwardRatesFromYearFraction(P92,Q92,$Q$11,$Q$9,$Q$10))</f>
        <v>-4.1282445363322205E-3</v>
      </c>
      <c r="S92" s="134" t="s">
        <v>4</v>
      </c>
    </row>
    <row r="93" spans="1:19" x14ac:dyDescent="0.25">
      <c r="A93" s="128">
        <v>77</v>
      </c>
      <c r="B93" s="133"/>
      <c r="C93" s="149">
        <f ca="1">_xll.meDateFromTenor(C92,"1D","FOLLOWING",$D$11,"NORMAL")</f>
        <v>42531</v>
      </c>
      <c r="D93" s="20">
        <f ca="1">_xll.meDateFromTenor(C93,"1D","Following",$D$11,"Normal")</f>
        <v>42534</v>
      </c>
      <c r="E93" s="99">
        <f ca="1"/>
        <v>3.7000000000109298E-3</v>
      </c>
      <c r="F93" s="161">
        <f ca="1">_xll.meCurveForwardRates(C93,$D$9,$D$10)</f>
        <v>3.7068005571172513E-3</v>
      </c>
      <c r="G93" s="7" t="s">
        <v>4</v>
      </c>
      <c r="H93" s="149">
        <f t="shared" ca="1" si="2"/>
        <v>42531</v>
      </c>
      <c r="I93" s="20">
        <f ca="1">_xll.meDateFromTenor(H93,"3M","Following",$I$11,"Normal")</f>
        <v>42625</v>
      </c>
      <c r="J93" s="150">
        <f ca="1"/>
        <v>6.1926929749143477E-3</v>
      </c>
      <c r="K93" s="7" t="s">
        <v>4</v>
      </c>
      <c r="L93" s="149" t="e">
        <f ca="1">_xll.meDateFromTenor(L92,"1D","FOLLOWING",#REF!,"NORMAL")</f>
        <v>#VALUE!</v>
      </c>
      <c r="M93" s="155">
        <f ca="1">_xll.meDateYearFraction(C93,D93,$M$11)</f>
        <v>8.3333333333333332E-3</v>
      </c>
      <c r="N93" s="150">
        <f ca="1"/>
        <v>-2.4300000000065936E-3</v>
      </c>
      <c r="O93" s="7" t="s">
        <v>4</v>
      </c>
      <c r="P93" s="149">
        <f t="shared" ca="1" si="3"/>
        <v>42531</v>
      </c>
      <c r="Q93" s="155">
        <f ca="1">_xll.meDateYearFraction(H93,I93,$Q$11,TRUE)</f>
        <v>0.26111111111111113</v>
      </c>
      <c r="R93" s="150">
        <f ca="1">IF(NOW(),_xll.meCurveForwardRatesFromYearFraction(P93,Q93,$Q$11,$Q$9,$Q$10))</f>
        <v>-4.1270136763304427E-3</v>
      </c>
      <c r="S93" s="134" t="s">
        <v>4</v>
      </c>
    </row>
    <row r="94" spans="1:19" x14ac:dyDescent="0.25">
      <c r="A94" s="128">
        <v>78</v>
      </c>
      <c r="B94" s="133"/>
      <c r="C94" s="149">
        <f ca="1">_xll.meDateFromTenor(C93,"1D","FOLLOWING",$D$11,"NORMAL")</f>
        <v>42534</v>
      </c>
      <c r="D94" s="20">
        <f ca="1">_xll.meDateFromTenor(C94,"1D","Following",$D$11,"Normal")</f>
        <v>42535</v>
      </c>
      <c r="E94" s="99">
        <f ca="1"/>
        <v>3.6999999999842107E-3</v>
      </c>
      <c r="F94" s="161">
        <f ca="1">_xll.meCurveForwardRates(C94,$D$9,$D$10)</f>
        <v>3.7068343657260527E-3</v>
      </c>
      <c r="G94" s="7" t="s">
        <v>4</v>
      </c>
      <c r="H94" s="149">
        <f t="shared" ca="1" si="2"/>
        <v>42534</v>
      </c>
      <c r="I94" s="20">
        <f ca="1">_xll.meDateFromTenor(H94,"3M","Following",$I$11,"Normal")</f>
        <v>42626</v>
      </c>
      <c r="J94" s="150">
        <f ca="1"/>
        <v>6.0873571484895694E-3</v>
      </c>
      <c r="K94" s="7" t="s">
        <v>4</v>
      </c>
      <c r="L94" s="149" t="e">
        <f ca="1">_xll.meDateFromTenor(L93,"1D","FOLLOWING",#REF!,"NORMAL")</f>
        <v>#VALUE!</v>
      </c>
      <c r="M94" s="155">
        <f ca="1">_xll.meDateYearFraction(C94,D94,$M$11)</f>
        <v>2.7777777777777779E-3</v>
      </c>
      <c r="N94" s="150">
        <f ca="1"/>
        <v>-2.4300000000065936E-3</v>
      </c>
      <c r="O94" s="7" t="s">
        <v>4</v>
      </c>
      <c r="P94" s="149">
        <f t="shared" ca="1" si="3"/>
        <v>42534</v>
      </c>
      <c r="Q94" s="155">
        <f ca="1">_xll.meDateYearFraction(H94,I94,$Q$11,TRUE)</f>
        <v>0.25555555555555554</v>
      </c>
      <c r="R94" s="150">
        <f ca="1">IF(NOW(),_xll.meCurveForwardRatesFromYearFraction(P94,Q94,$Q$11,$Q$9,$Q$10))</f>
        <v>-3.7175485397107962E-3</v>
      </c>
      <c r="S94" s="134" t="s">
        <v>4</v>
      </c>
    </row>
    <row r="95" spans="1:19" x14ac:dyDescent="0.25">
      <c r="A95" s="128">
        <v>79</v>
      </c>
      <c r="B95" s="133"/>
      <c r="C95" s="149">
        <f ca="1">_xll.meDateFromTenor(C94,"1D","FOLLOWING",$D$11,"NORMAL")</f>
        <v>42535</v>
      </c>
      <c r="D95" s="20">
        <f ca="1">_xll.meDateFromTenor(C95,"1D","Following",$D$11,"Normal")</f>
        <v>42536</v>
      </c>
      <c r="E95" s="99">
        <f ca="1"/>
        <v>3.6999999999842844E-3</v>
      </c>
      <c r="F95" s="161">
        <f ca="1">_xll.meCurveForwardRates(C95,$D$9,$D$10)</f>
        <v>3.7068343657260527E-3</v>
      </c>
      <c r="G95" s="7" t="s">
        <v>4</v>
      </c>
      <c r="H95" s="149">
        <f t="shared" ca="1" si="2"/>
        <v>42535</v>
      </c>
      <c r="I95" s="20">
        <f ca="1">_xll.meDateFromTenor(H95,"3M","Following",$I$11,"Normal")</f>
        <v>42627</v>
      </c>
      <c r="J95" s="150">
        <f ca="1"/>
        <v>6.0540798778475884E-3</v>
      </c>
      <c r="K95" s="7" t="s">
        <v>4</v>
      </c>
      <c r="L95" s="149" t="e">
        <f ca="1">_xll.meDateFromTenor(L94,"1D","FOLLOWING",#REF!,"NORMAL")</f>
        <v>#VALUE!</v>
      </c>
      <c r="M95" s="155">
        <f ca="1">_xll.meDateYearFraction(C95,D95,$M$11)</f>
        <v>2.7777777777777779E-3</v>
      </c>
      <c r="N95" s="150">
        <f ca="1"/>
        <v>-2.4300000000065936E-3</v>
      </c>
      <c r="O95" s="7" t="s">
        <v>4</v>
      </c>
      <c r="P95" s="149">
        <f t="shared" ca="1" si="3"/>
        <v>42535</v>
      </c>
      <c r="Q95" s="155">
        <f ca="1">_xll.meDateYearFraction(H95,I95,$Q$11,TRUE)</f>
        <v>0.25555555555555554</v>
      </c>
      <c r="R95" s="150">
        <f ca="1">IF(NOW(),_xll.meCurveForwardRatesFromYearFraction(P95,Q95,$Q$11,$Q$9,$Q$10))</f>
        <v>-3.7175485397107962E-3</v>
      </c>
      <c r="S95" s="134" t="s">
        <v>4</v>
      </c>
    </row>
    <row r="96" spans="1:19" x14ac:dyDescent="0.25">
      <c r="A96" s="128">
        <v>80</v>
      </c>
      <c r="B96" s="133"/>
      <c r="C96" s="149">
        <f ca="1">_xll.meDateFromTenor(C95,"1D","FOLLOWING",$D$11,"NORMAL")</f>
        <v>42536</v>
      </c>
      <c r="D96" s="20">
        <f ca="1">_xll.meDateFromTenor(C96,"1D","Following",$D$11,"Normal")</f>
        <v>42537</v>
      </c>
      <c r="E96" s="99">
        <f ca="1"/>
        <v>3.6999999999842844E-3</v>
      </c>
      <c r="F96" s="161">
        <f ca="1">_xll.meCurveForwardRates(C96,$D$9,$D$10)</f>
        <v>3.7068343657260527E-3</v>
      </c>
      <c r="G96" s="7" t="s">
        <v>4</v>
      </c>
      <c r="H96" s="149">
        <f t="shared" ca="1" si="2"/>
        <v>42536</v>
      </c>
      <c r="I96" s="20">
        <f ca="1">_xll.meDateFromTenor(H96,"3M","Following",$I$11,"Normal")</f>
        <v>42628</v>
      </c>
      <c r="J96" s="150">
        <f ca="1"/>
        <v>6.0217306202247174E-3</v>
      </c>
      <c r="K96" s="7" t="s">
        <v>4</v>
      </c>
      <c r="L96" s="149" t="e">
        <f ca="1">_xll.meDateFromTenor(L95,"1D","FOLLOWING",#REF!,"NORMAL")</f>
        <v>#VALUE!</v>
      </c>
      <c r="M96" s="155">
        <f ca="1">_xll.meDateYearFraction(C96,D96,$M$11)</f>
        <v>2.7777777777777779E-3</v>
      </c>
      <c r="N96" s="150">
        <f ca="1"/>
        <v>-2.4300000000065936E-3</v>
      </c>
      <c r="O96" s="7" t="s">
        <v>4</v>
      </c>
      <c r="P96" s="149">
        <f t="shared" ca="1" si="3"/>
        <v>42536</v>
      </c>
      <c r="Q96" s="155">
        <f ca="1">_xll.meDateYearFraction(H96,I96,$Q$11,TRUE)</f>
        <v>0.25555555555555554</v>
      </c>
      <c r="R96" s="150">
        <f ca="1">IF(NOW(),_xll.meCurveForwardRatesFromYearFraction(P96,Q96,$Q$11,$Q$9,$Q$10))</f>
        <v>-3.7175485397107962E-3</v>
      </c>
      <c r="S96" s="134" t="s">
        <v>4</v>
      </c>
    </row>
    <row r="97" spans="1:19" x14ac:dyDescent="0.25">
      <c r="A97" s="128">
        <v>81</v>
      </c>
      <c r="B97" s="133"/>
      <c r="C97" s="149">
        <f ca="1">_xll.meDateFromTenor(C96,"1D","FOLLOWING",$D$11,"NORMAL")</f>
        <v>42537</v>
      </c>
      <c r="D97" s="20">
        <f ca="1">_xll.meDateFromTenor(C97,"1D","Following",$D$11,"Normal")</f>
        <v>42538</v>
      </c>
      <c r="E97" s="99">
        <f ca="1"/>
        <v>3.6999999999842844E-3</v>
      </c>
      <c r="F97" s="161">
        <f ca="1">_xll.meCurveForwardRates(C97,$D$9,$D$10)</f>
        <v>3.7068343657260527E-3</v>
      </c>
      <c r="G97" s="7" t="s">
        <v>4</v>
      </c>
      <c r="H97" s="149">
        <f t="shared" ca="1" si="2"/>
        <v>42537</v>
      </c>
      <c r="I97" s="20">
        <f ca="1">_xll.meDateFromTenor(H97,"3M","Following",$I$11,"Normal")</f>
        <v>42629</v>
      </c>
      <c r="J97" s="150">
        <f ca="1"/>
        <v>5.9903157819825451E-3</v>
      </c>
      <c r="K97" s="7" t="s">
        <v>4</v>
      </c>
      <c r="L97" s="149" t="e">
        <f ca="1">_xll.meDateFromTenor(L96,"1D","FOLLOWING",#REF!,"NORMAL")</f>
        <v>#VALUE!</v>
      </c>
      <c r="M97" s="155">
        <f ca="1">_xll.meDateYearFraction(C97,D97,$M$11)</f>
        <v>2.7777777777777779E-3</v>
      </c>
      <c r="N97" s="150">
        <f ca="1"/>
        <v>-2.4300000000065936E-3</v>
      </c>
      <c r="O97" s="7" t="s">
        <v>4</v>
      </c>
      <c r="P97" s="149">
        <f t="shared" ca="1" si="3"/>
        <v>42537</v>
      </c>
      <c r="Q97" s="155">
        <f ca="1">_xll.meDateYearFraction(H97,I97,$Q$11,TRUE)</f>
        <v>0.25555555555555554</v>
      </c>
      <c r="R97" s="150">
        <f ca="1">IF(NOW(),_xll.meCurveForwardRatesFromYearFraction(P97,Q97,$Q$11,$Q$9,$Q$10))</f>
        <v>-4.1176241577032839E-3</v>
      </c>
      <c r="S97" s="134" t="s">
        <v>4</v>
      </c>
    </row>
    <row r="98" spans="1:19" x14ac:dyDescent="0.25">
      <c r="A98" s="128">
        <v>82</v>
      </c>
      <c r="B98" s="133"/>
      <c r="C98" s="149">
        <f ca="1">_xll.meDateFromTenor(C97,"1D","FOLLOWING",$D$11,"NORMAL")</f>
        <v>42538</v>
      </c>
      <c r="D98" s="20">
        <f ca="1">_xll.meDateFromTenor(C98,"1D","Following",$D$11,"Normal")</f>
        <v>42541</v>
      </c>
      <c r="E98" s="99">
        <f ca="1"/>
        <v>3.7000000000109051E-3</v>
      </c>
      <c r="F98" s="161">
        <f ca="1">_xll.meCurveForwardRates(C98,$D$9,$D$10)</f>
        <v>3.7068005571172513E-3</v>
      </c>
      <c r="G98" s="7" t="s">
        <v>4</v>
      </c>
      <c r="H98" s="149">
        <f t="shared" ca="1" si="2"/>
        <v>42538</v>
      </c>
      <c r="I98" s="20">
        <f ca="1">_xll.meDateFromTenor(H98,"3M","Following",$I$11,"Normal")</f>
        <v>42632</v>
      </c>
      <c r="J98" s="150">
        <f ca="1"/>
        <v>5.9598417694826499E-3</v>
      </c>
      <c r="K98" s="7" t="s">
        <v>4</v>
      </c>
      <c r="L98" s="149" t="e">
        <f ca="1">_xll.meDateFromTenor(L97,"1D","FOLLOWING",#REF!,"NORMAL")</f>
        <v>#VALUE!</v>
      </c>
      <c r="M98" s="155">
        <f ca="1">_xll.meDateYearFraction(C98,D98,$M$11)</f>
        <v>8.3333333333333332E-3</v>
      </c>
      <c r="N98" s="150">
        <f ca="1"/>
        <v>-2.4300000000065936E-3</v>
      </c>
      <c r="O98" s="7" t="s">
        <v>4</v>
      </c>
      <c r="P98" s="149">
        <f t="shared" ca="1" si="3"/>
        <v>42538</v>
      </c>
      <c r="Q98" s="155">
        <f ca="1">_xll.meDateYearFraction(H98,I98,$Q$11,TRUE)</f>
        <v>0.26111111111111113</v>
      </c>
      <c r="R98" s="150">
        <f ca="1">IF(NOW(),_xll.meCurveForwardRatesFromYearFraction(P98,Q98,$Q$11,$Q$9,$Q$10))</f>
        <v>-3.7175485397107962E-3</v>
      </c>
      <c r="S98" s="134" t="s">
        <v>4</v>
      </c>
    </row>
    <row r="99" spans="1:19" x14ac:dyDescent="0.25">
      <c r="A99" s="128">
        <v>83</v>
      </c>
      <c r="B99" s="133"/>
      <c r="C99" s="149">
        <f ca="1">_xll.meDateFromTenor(C98,"1D","FOLLOWING",$D$11,"NORMAL")</f>
        <v>42541</v>
      </c>
      <c r="D99" s="20">
        <f ca="1">_xll.meDateFromTenor(C99,"1D","Following",$D$11,"Normal")</f>
        <v>42542</v>
      </c>
      <c r="E99" s="99">
        <f ca="1"/>
        <v>3.6999999999842844E-3</v>
      </c>
      <c r="F99" s="161">
        <f ca="1">_xll.meCurveForwardRates(C99,$D$9,$D$10)</f>
        <v>3.7068343657260527E-3</v>
      </c>
      <c r="G99" s="7" t="s">
        <v>4</v>
      </c>
      <c r="H99" s="149">
        <f t="shared" ca="1" si="2"/>
        <v>42541</v>
      </c>
      <c r="I99" s="20">
        <f ca="1">_xll.meDateFromTenor(H99,"3M","Following",$I$11,"Normal")</f>
        <v>42633</v>
      </c>
      <c r="J99" s="150">
        <f ca="1"/>
        <v>5.874128750052496E-3</v>
      </c>
      <c r="K99" s="7" t="s">
        <v>4</v>
      </c>
      <c r="L99" s="149" t="e">
        <f ca="1">_xll.meDateFromTenor(L98,"1D","FOLLOWING",#REF!,"NORMAL")</f>
        <v>#VALUE!</v>
      </c>
      <c r="M99" s="155">
        <f ca="1">_xll.meDateYearFraction(C99,D99,$M$11)</f>
        <v>2.7777777777777779E-3</v>
      </c>
      <c r="N99" s="150">
        <f ca="1"/>
        <v>-2.4300000000065936E-3</v>
      </c>
      <c r="O99" s="7" t="s">
        <v>4</v>
      </c>
      <c r="P99" s="149">
        <f t="shared" ca="1" si="3"/>
        <v>42541</v>
      </c>
      <c r="Q99" s="155">
        <f ca="1">_xll.meDateYearFraction(H99,I99,$Q$11,TRUE)</f>
        <v>0.25555555555555554</v>
      </c>
      <c r="R99" s="150">
        <f ca="1">IF(NOW(),_xll.meCurveForwardRatesFromYearFraction(P99,Q99,$Q$11,$Q$9,$Q$10))</f>
        <v>-3.7175485397107962E-3</v>
      </c>
      <c r="S99" s="134" t="s">
        <v>4</v>
      </c>
    </row>
    <row r="100" spans="1:19" x14ac:dyDescent="0.25">
      <c r="A100" s="128">
        <v>84</v>
      </c>
      <c r="B100" s="133"/>
      <c r="C100" s="149">
        <f ca="1">_xll.meDateFromTenor(C99,"1D","FOLLOWING",$D$11,"NORMAL")</f>
        <v>42542</v>
      </c>
      <c r="D100" s="20">
        <f ca="1">_xll.meDateFromTenor(C100,"1D","Following",$D$11,"Normal")</f>
        <v>42543</v>
      </c>
      <c r="E100" s="99">
        <f ca="1"/>
        <v>3.6999999999842844E-3</v>
      </c>
      <c r="F100" s="161">
        <f ca="1">_xll.meCurveForwardRates(C100,$D$9,$D$10)</f>
        <v>3.7068343657260527E-3</v>
      </c>
      <c r="G100" s="7" t="s">
        <v>4</v>
      </c>
      <c r="H100" s="149">
        <f t="shared" ca="1" si="2"/>
        <v>42542</v>
      </c>
      <c r="I100" s="20">
        <f ca="1">_xll.meDateFromTenor(H100,"3M","Following",$I$11,"Normal")</f>
        <v>42634</v>
      </c>
      <c r="J100" s="150">
        <f ca="1"/>
        <v>5.847482104137566E-3</v>
      </c>
      <c r="K100" s="7" t="s">
        <v>4</v>
      </c>
      <c r="L100" s="149" t="e">
        <f ca="1">_xll.meDateFromTenor(L99,"1D","FOLLOWING",#REF!,"NORMAL")</f>
        <v>#VALUE!</v>
      </c>
      <c r="M100" s="155">
        <f ca="1">_xll.meDateYearFraction(C100,D100,$M$11)</f>
        <v>2.7777777777777779E-3</v>
      </c>
      <c r="N100" s="150">
        <f ca="1"/>
        <v>-2.4300000000065936E-3</v>
      </c>
      <c r="O100" s="7" t="s">
        <v>4</v>
      </c>
      <c r="P100" s="149">
        <f t="shared" ca="1" si="3"/>
        <v>42542</v>
      </c>
      <c r="Q100" s="155">
        <f ca="1">_xll.meDateYearFraction(H100,I100,$Q$11,TRUE)</f>
        <v>0.25555555555555554</v>
      </c>
      <c r="R100" s="150">
        <f ca="1">IF(NOW(),_xll.meCurveForwardRatesFromYearFraction(P100,Q100,$Q$11,$Q$9,$Q$10))</f>
        <v>-3.7175485397107962E-3</v>
      </c>
      <c r="S100" s="134" t="s">
        <v>4</v>
      </c>
    </row>
    <row r="101" spans="1:19" x14ac:dyDescent="0.25">
      <c r="A101" s="128">
        <v>85</v>
      </c>
      <c r="B101" s="133"/>
      <c r="C101" s="149">
        <f ca="1">_xll.meDateFromTenor(C100,"1D","FOLLOWING",$D$11,"NORMAL")</f>
        <v>42543</v>
      </c>
      <c r="D101" s="20">
        <f ca="1">_xll.meDateFromTenor(C101,"1D","Following",$D$11,"Normal")</f>
        <v>42544</v>
      </c>
      <c r="E101" s="99">
        <f ca="1"/>
        <v>3.6999999999842844E-3</v>
      </c>
      <c r="F101" s="161">
        <f ca="1">_xll.meCurveForwardRates(C101,$D$9,$D$10)</f>
        <v>3.7068343657260527E-3</v>
      </c>
      <c r="G101" s="7" t="s">
        <v>4</v>
      </c>
      <c r="H101" s="149">
        <f t="shared" ca="1" si="2"/>
        <v>42543</v>
      </c>
      <c r="I101" s="20">
        <f ca="1">_xll.meDateFromTenor(H101,"3M","Following",$I$11,"Normal")</f>
        <v>42635</v>
      </c>
      <c r="J101" s="150">
        <f ca="1"/>
        <v>5.8218083157728405E-3</v>
      </c>
      <c r="K101" s="7" t="s">
        <v>4</v>
      </c>
      <c r="L101" s="149" t="e">
        <f ca="1">_xll.meDateFromTenor(L100,"1D","FOLLOWING",#REF!,"NORMAL")</f>
        <v>#VALUE!</v>
      </c>
      <c r="M101" s="155">
        <f ca="1">_xll.meDateYearFraction(C101,D101,$M$11)</f>
        <v>2.7777777777777779E-3</v>
      </c>
      <c r="N101" s="150">
        <f ca="1"/>
        <v>-2.4300000000065936E-3</v>
      </c>
      <c r="O101" s="7" t="s">
        <v>4</v>
      </c>
      <c r="P101" s="149">
        <f t="shared" ca="1" si="3"/>
        <v>42543</v>
      </c>
      <c r="Q101" s="155">
        <f ca="1">_xll.meDateYearFraction(H101,I101,$Q$11,TRUE)</f>
        <v>0.25555555555555554</v>
      </c>
      <c r="R101" s="150">
        <f ca="1">IF(NOW(),_xll.meCurveForwardRatesFromYearFraction(P101,Q101,$Q$11,$Q$9,$Q$10))</f>
        <v>-4.105586521119994E-3</v>
      </c>
      <c r="S101" s="134" t="s">
        <v>4</v>
      </c>
    </row>
    <row r="102" spans="1:19" x14ac:dyDescent="0.25">
      <c r="A102" s="128">
        <v>86</v>
      </c>
      <c r="B102" s="133"/>
      <c r="C102" s="149">
        <f ca="1">_xll.meDateFromTenor(C101,"1D","FOLLOWING",$D$11,"NORMAL")</f>
        <v>42544</v>
      </c>
      <c r="D102" s="20">
        <f ca="1">_xll.meDateFromTenor(C102,"1D","Following",$D$11,"Normal")</f>
        <v>42545</v>
      </c>
      <c r="E102" s="99">
        <f ca="1"/>
        <v>3.7000000000642205E-3</v>
      </c>
      <c r="F102" s="161">
        <f ca="1">_xll.meCurveForwardRates(C102,$D$9,$D$10)</f>
        <v>3.7068343658062108E-3</v>
      </c>
      <c r="G102" s="7" t="s">
        <v>4</v>
      </c>
      <c r="H102" s="149">
        <f t="shared" ca="1" si="2"/>
        <v>42544</v>
      </c>
      <c r="I102" s="20">
        <f ca="1">_xll.meDateFromTenor(H102,"3M","Following",$I$11,"Normal")</f>
        <v>42636</v>
      </c>
      <c r="J102" s="150">
        <f ca="1"/>
        <v>5.7971137913198981E-3</v>
      </c>
      <c r="K102" s="7" t="s">
        <v>4</v>
      </c>
      <c r="L102" s="149" t="e">
        <f ca="1">_xll.meDateFromTenor(L101,"1D","FOLLOWING",#REF!,"NORMAL")</f>
        <v>#VALUE!</v>
      </c>
      <c r="M102" s="155">
        <f ca="1">_xll.meDateYearFraction(C102,D102,$M$11)</f>
        <v>2.7777777777777779E-3</v>
      </c>
      <c r="N102" s="150">
        <f ca="1"/>
        <v>-2.4300000000065936E-3</v>
      </c>
      <c r="O102" s="7" t="s">
        <v>4</v>
      </c>
      <c r="P102" s="149">
        <f t="shared" ca="1" si="3"/>
        <v>42544</v>
      </c>
      <c r="Q102" s="155">
        <f ca="1">_xll.meDateYearFraction(H102,I102,$Q$11,TRUE)</f>
        <v>0.25555555555555554</v>
      </c>
      <c r="R102" s="150">
        <f ca="1">IF(NOW(),_xll.meCurveForwardRatesFromYearFraction(P102,Q102,$Q$11,$Q$9,$Q$10))</f>
        <v>-3.7175485397107962E-3</v>
      </c>
      <c r="S102" s="134" t="s">
        <v>4</v>
      </c>
    </row>
    <row r="103" spans="1:19" x14ac:dyDescent="0.25">
      <c r="A103" s="128">
        <v>87</v>
      </c>
      <c r="B103" s="133"/>
      <c r="C103" s="149">
        <f ca="1">_xll.meDateFromTenor(C102,"1D","FOLLOWING",$D$11,"NORMAL")</f>
        <v>42545</v>
      </c>
      <c r="D103" s="20">
        <f ca="1">_xll.meDateFromTenor(C103,"1D","Following",$D$11,"Normal")</f>
        <v>42548</v>
      </c>
      <c r="E103" s="99">
        <f ca="1"/>
        <v>3.7000000000109051E-3</v>
      </c>
      <c r="F103" s="161">
        <f ca="1">_xll.meCurveForwardRates(C103,$D$9,$D$10)</f>
        <v>3.7068005571170293E-3</v>
      </c>
      <c r="G103" s="7" t="s">
        <v>4</v>
      </c>
      <c r="H103" s="149">
        <f t="shared" ca="1" si="2"/>
        <v>42545</v>
      </c>
      <c r="I103" s="20">
        <f ca="1">_xll.meDateFromTenor(H103,"3M","Following",$I$11,"Normal")</f>
        <v>42639</v>
      </c>
      <c r="J103" s="150">
        <f ca="1"/>
        <v>5.7734049371403274E-3</v>
      </c>
      <c r="K103" s="7" t="s">
        <v>4</v>
      </c>
      <c r="L103" s="149" t="e">
        <f ca="1">_xll.meDateFromTenor(L102,"1D","FOLLOWING",#REF!,"NORMAL")</f>
        <v>#VALUE!</v>
      </c>
      <c r="M103" s="155">
        <f ca="1">_xll.meDateYearFraction(C103,D103,$M$11)</f>
        <v>8.3333333333333332E-3</v>
      </c>
      <c r="N103" s="150">
        <f ca="1"/>
        <v>-2.4300000000065936E-3</v>
      </c>
      <c r="O103" s="7" t="s">
        <v>4</v>
      </c>
      <c r="P103" s="149">
        <f t="shared" ca="1" si="3"/>
        <v>42545</v>
      </c>
      <c r="Q103" s="155">
        <f ca="1">_xll.meDateYearFraction(H103,I103,$Q$11,TRUE)</f>
        <v>0.26111111111111113</v>
      </c>
      <c r="R103" s="150">
        <f ca="1">IF(NOW(),_xll.meCurveForwardRatesFromYearFraction(P103,Q103,$Q$11,$Q$9,$Q$10))</f>
        <v>-4.1011740682756551E-3</v>
      </c>
      <c r="S103" s="134" t="s">
        <v>4</v>
      </c>
    </row>
    <row r="104" spans="1:19" x14ac:dyDescent="0.25">
      <c r="A104" s="128">
        <v>88</v>
      </c>
      <c r="B104" s="133"/>
      <c r="C104" s="149">
        <f ca="1">_xll.meDateFromTenor(C103,"1D","FOLLOWING",$D$11,"NORMAL")</f>
        <v>42548</v>
      </c>
      <c r="D104" s="20">
        <f ca="1">_xll.meDateFromTenor(C104,"1D","Following",$D$11,"Normal")</f>
        <v>42549</v>
      </c>
      <c r="E104" s="99">
        <f ca="1"/>
        <v>3.6999999999842844E-3</v>
      </c>
      <c r="F104" s="161">
        <f ca="1">_xll.meCurveForwardRates(C104,$D$9,$D$10)</f>
        <v>3.7068343657260527E-3</v>
      </c>
      <c r="G104" s="7" t="s">
        <v>4</v>
      </c>
      <c r="H104" s="149">
        <f t="shared" ca="1" si="2"/>
        <v>42548</v>
      </c>
      <c r="I104" s="20">
        <f ca="1">_xll.meDateFromTenor(H104,"3M","Following",$I$11,"Normal")</f>
        <v>42640</v>
      </c>
      <c r="J104" s="150">
        <f ca="1"/>
        <v>5.7082564598576781E-3</v>
      </c>
      <c r="K104" s="7" t="s">
        <v>4</v>
      </c>
      <c r="L104" s="149" t="e">
        <f ca="1">_xll.meDateFromTenor(L103,"1D","FOLLOWING",#REF!,"NORMAL")</f>
        <v>#VALUE!</v>
      </c>
      <c r="M104" s="155">
        <f ca="1">_xll.meDateYearFraction(C104,D104,$M$11)</f>
        <v>2.7777777777777779E-3</v>
      </c>
      <c r="N104" s="150">
        <f ca="1"/>
        <v>-2.4300000000065936E-3</v>
      </c>
      <c r="O104" s="7" t="s">
        <v>4</v>
      </c>
      <c r="P104" s="149">
        <f t="shared" ca="1" si="3"/>
        <v>42548</v>
      </c>
      <c r="Q104" s="155">
        <f ca="1">_xll.meDateYearFraction(H104,I104,$Q$11,TRUE)</f>
        <v>0.25555555555555554</v>
      </c>
      <c r="R104" s="150">
        <f ca="1">IF(NOW(),_xll.meCurveForwardRatesFromYearFraction(P104,Q104,$Q$11,$Q$9,$Q$10))</f>
        <v>-3.7175485397107962E-3</v>
      </c>
      <c r="S104" s="134" t="s">
        <v>4</v>
      </c>
    </row>
    <row r="105" spans="1:19" x14ac:dyDescent="0.25">
      <c r="A105" s="128">
        <v>89</v>
      </c>
      <c r="B105" s="133"/>
      <c r="C105" s="149">
        <f ca="1">_xll.meDateFromTenor(C104,"1D","FOLLOWING",$D$11,"NORMAL")</f>
        <v>42549</v>
      </c>
      <c r="D105" s="20">
        <f ca="1">_xll.meDateFromTenor(C105,"1D","Following",$D$11,"Normal")</f>
        <v>42550</v>
      </c>
      <c r="E105" s="99">
        <f ca="1"/>
        <v>3.6999999999842844E-3</v>
      </c>
      <c r="F105" s="161">
        <f ca="1">_xll.meCurveForwardRates(C105,$D$9,$D$10)</f>
        <v>3.7068343657260527E-3</v>
      </c>
      <c r="G105" s="7" t="s">
        <v>4</v>
      </c>
      <c r="H105" s="149">
        <f t="shared" ca="1" si="2"/>
        <v>42549</v>
      </c>
      <c r="I105" s="20">
        <f ca="1">_xll.meDateFromTenor(H105,"3M","Following",$I$11,"Normal")</f>
        <v>42641</v>
      </c>
      <c r="J105" s="150">
        <f ca="1"/>
        <v>5.6885543503874311E-3</v>
      </c>
      <c r="K105" s="7" t="s">
        <v>4</v>
      </c>
      <c r="L105" s="149" t="e">
        <f ca="1">_xll.meDateFromTenor(L104,"1D","FOLLOWING",#REF!,"NORMAL")</f>
        <v>#VALUE!</v>
      </c>
      <c r="M105" s="155">
        <f ca="1">_xll.meDateYearFraction(C105,D105,$M$11)</f>
        <v>2.7777777777777779E-3</v>
      </c>
      <c r="N105" s="150">
        <f ca="1"/>
        <v>-2.4300000000065936E-3</v>
      </c>
      <c r="O105" s="7" t="s">
        <v>4</v>
      </c>
      <c r="P105" s="149">
        <f t="shared" ca="1" si="3"/>
        <v>42549</v>
      </c>
      <c r="Q105" s="155">
        <f ca="1">_xll.meDateYearFraction(H105,I105,$Q$11,TRUE)</f>
        <v>0.25555555555555554</v>
      </c>
      <c r="R105" s="150">
        <f ca="1">IF(NOW(),_xll.meCurveForwardRatesFromYearFraction(P105,Q105,$Q$11,$Q$9,$Q$10))</f>
        <v>-4.0919917401925519E-3</v>
      </c>
      <c r="S105" s="134" t="s">
        <v>4</v>
      </c>
    </row>
    <row r="106" spans="1:19" x14ac:dyDescent="0.25">
      <c r="A106" s="128">
        <v>90</v>
      </c>
      <c r="B106" s="133"/>
      <c r="C106" s="149">
        <f ca="1">_xll.meDateFromTenor(C105,"1D","FOLLOWING",$D$11,"NORMAL")</f>
        <v>42550</v>
      </c>
      <c r="D106" s="20">
        <f ca="1">_xll.meDateFromTenor(C106,"1D","Following",$D$11,"Normal")</f>
        <v>42551</v>
      </c>
      <c r="E106" s="99">
        <f ca="1"/>
        <v>3.6999999999842844E-3</v>
      </c>
      <c r="F106" s="161">
        <f ca="1">_xll.meCurveForwardRates(C106,$D$9,$D$10)</f>
        <v>3.7068343657260527E-3</v>
      </c>
      <c r="G106" s="7" t="s">
        <v>4</v>
      </c>
      <c r="H106" s="149">
        <f t="shared" ca="1" si="2"/>
        <v>42550</v>
      </c>
      <c r="I106" s="20">
        <f ca="1">_xll.meDateFromTenor(H106,"3M","Following",$I$11,"Normal")</f>
        <v>42642</v>
      </c>
      <c r="J106" s="150">
        <f ca="1"/>
        <v>5.6698699429984737E-3</v>
      </c>
      <c r="K106" s="7" t="s">
        <v>4</v>
      </c>
      <c r="L106" s="149" t="e">
        <f ca="1">_xll.meDateFromTenor(L105,"1D","FOLLOWING",#REF!,"NORMAL")</f>
        <v>#VALUE!</v>
      </c>
      <c r="M106" s="155">
        <f ca="1">_xll.meDateYearFraction(C106,D106,$M$11)</f>
        <v>2.7777777777777779E-3</v>
      </c>
      <c r="N106" s="150">
        <f ca="1"/>
        <v>-2.4300000000065936E-3</v>
      </c>
      <c r="O106" s="7" t="s">
        <v>4</v>
      </c>
      <c r="P106" s="149">
        <f t="shared" ca="1" si="3"/>
        <v>42550</v>
      </c>
      <c r="Q106" s="155">
        <f ca="1">_xll.meDateYearFraction(H106,I106,$Q$11,TRUE)</f>
        <v>0.25555555555555554</v>
      </c>
      <c r="R106" s="150">
        <f ca="1">IF(NOW(),_xll.meCurveForwardRatesFromYearFraction(P106,Q106,$Q$11,$Q$9,$Q$10))</f>
        <v>-3.7175485397107962E-3</v>
      </c>
      <c r="S106" s="134" t="s">
        <v>4</v>
      </c>
    </row>
    <row r="107" spans="1:19" x14ac:dyDescent="0.25">
      <c r="A107" s="128">
        <v>91</v>
      </c>
      <c r="B107" s="133"/>
      <c r="C107" s="149">
        <f ca="1">_xll.meDateFromTenor(C106,"1D","FOLLOWING",$D$11,"NORMAL")</f>
        <v>42551</v>
      </c>
      <c r="D107" s="20">
        <f ca="1">_xll.meDateFromTenor(C107,"1D","Following",$D$11,"Normal")</f>
        <v>42552</v>
      </c>
      <c r="E107" s="99">
        <f ca="1"/>
        <v>3.6999999999842107E-3</v>
      </c>
      <c r="F107" s="161">
        <f ca="1">_xll.meCurveForwardRates(C107,$D$9,$D$10)</f>
        <v>3.7068343657260527E-3</v>
      </c>
      <c r="G107" s="7" t="s">
        <v>4</v>
      </c>
      <c r="H107" s="149">
        <f t="shared" ca="1" si="2"/>
        <v>42551</v>
      </c>
      <c r="I107" s="20">
        <f ca="1">_xll.meDateFromTenor(H107,"3M","Following",$I$11,"Normal")</f>
        <v>42643</v>
      </c>
      <c r="J107" s="150">
        <f ca="1"/>
        <v>5.6522096440523939E-3</v>
      </c>
      <c r="K107" s="7" t="s">
        <v>4</v>
      </c>
      <c r="L107" s="149" t="e">
        <f ca="1">_xll.meDateFromTenor(L106,"1D","FOLLOWING",#REF!,"NORMAL")</f>
        <v>#VALUE!</v>
      </c>
      <c r="M107" s="155">
        <f ca="1">_xll.meDateYearFraction(C107,D107,$M$11)</f>
        <v>2.7777777777777779E-3</v>
      </c>
      <c r="N107" s="150">
        <f ca="1"/>
        <v>-2.4300000000065936E-3</v>
      </c>
      <c r="O107" s="7" t="s">
        <v>4</v>
      </c>
      <c r="P107" s="149">
        <f t="shared" ca="1" si="3"/>
        <v>42551</v>
      </c>
      <c r="Q107" s="155">
        <f ca="1">_xll.meDateYearFraction(H107,I107,$Q$11,TRUE)</f>
        <v>0.25555555555555554</v>
      </c>
      <c r="R107" s="150">
        <f ca="1">IF(NOW(),_xll.meCurveForwardRatesFromYearFraction(P107,Q107,$Q$11,$Q$9,$Q$10))</f>
        <v>-4.0873026778139344E-3</v>
      </c>
      <c r="S107" s="134" t="s">
        <v>4</v>
      </c>
    </row>
    <row r="108" spans="1:19" x14ac:dyDescent="0.25">
      <c r="A108" s="128">
        <v>92</v>
      </c>
      <c r="B108" s="133"/>
      <c r="C108" s="149">
        <f ca="1">_xll.meDateFromTenor(C107,"1D","FOLLOWING",$D$11,"NORMAL")</f>
        <v>42552</v>
      </c>
      <c r="D108" s="20">
        <f ca="1">_xll.meDateFromTenor(C108,"1D","Following",$D$11,"Normal")</f>
        <v>42556</v>
      </c>
      <c r="E108" s="99">
        <f ca="1"/>
        <v>3.9000000000055796E-3</v>
      </c>
      <c r="F108" s="161">
        <f ca="1">_xll.meCurveForwardRates(C108,$D$9,$D$10)</f>
        <v>3.9074537209773386E-3</v>
      </c>
      <c r="G108" s="7" t="s">
        <v>4</v>
      </c>
      <c r="H108" s="149">
        <f t="shared" ca="1" si="2"/>
        <v>42552</v>
      </c>
      <c r="I108" s="20">
        <f ca="1">_xll.meDateFromTenor(H108,"3M","Following",$I$11,"Normal")</f>
        <v>42646</v>
      </c>
      <c r="J108" s="150">
        <f ca="1"/>
        <v>5.6355798599107727E-3</v>
      </c>
      <c r="K108" s="7" t="s">
        <v>4</v>
      </c>
      <c r="L108" s="149" t="e">
        <f ca="1">_xll.meDateFromTenor(L107,"1D","FOLLOWING",#REF!,"NORMAL")</f>
        <v>#VALUE!</v>
      </c>
      <c r="M108" s="155">
        <f ca="1">_xll.meDateYearFraction(C108,D108,$M$11)</f>
        <v>1.1111111111111112E-2</v>
      </c>
      <c r="N108" s="150">
        <f ca="1"/>
        <v>-2.4300000000065936E-3</v>
      </c>
      <c r="O108" s="7" t="s">
        <v>4</v>
      </c>
      <c r="P108" s="149">
        <f t="shared" ca="1" si="3"/>
        <v>42552</v>
      </c>
      <c r="Q108" s="155">
        <f ca="1">_xll.meDateYearFraction(H108,I108,$Q$11,TRUE)</f>
        <v>0.26111111111111113</v>
      </c>
      <c r="R108" s="150">
        <f ca="1">IF(NOW(),_xll.meCurveForwardRatesFromYearFraction(P108,Q108,$Q$11,$Q$9,$Q$10))</f>
        <v>-4.0849512799814016E-3</v>
      </c>
      <c r="S108" s="134" t="s">
        <v>4</v>
      </c>
    </row>
    <row r="109" spans="1:19" x14ac:dyDescent="0.25">
      <c r="A109" s="128">
        <v>93</v>
      </c>
      <c r="B109" s="133"/>
      <c r="C109" s="149">
        <f ca="1">_xll.meDateFromTenor(C108,"1D","FOLLOWING",$D$11,"NORMAL")</f>
        <v>42556</v>
      </c>
      <c r="D109" s="20">
        <f ca="1">_xll.meDateFromTenor(C109,"1D","Following",$D$11,"Normal")</f>
        <v>42557</v>
      </c>
      <c r="E109" s="99">
        <f ca="1"/>
        <v>3.8999999999855175E-3</v>
      </c>
      <c r="F109" s="161">
        <f ca="1">_xll.meCurveForwardRates(C109,$D$9,$D$10)</f>
        <v>3.9075936887373874E-3</v>
      </c>
      <c r="G109" s="7" t="s">
        <v>4</v>
      </c>
      <c r="H109" s="149">
        <f t="shared" ca="1" si="2"/>
        <v>42556</v>
      </c>
      <c r="I109" s="20">
        <f ca="1">_xll.meDateFromTenor(H109,"3M","Following",$I$11,"Normal")</f>
        <v>42648</v>
      </c>
      <c r="J109" s="150">
        <f ca="1"/>
        <v>5.5794939986205747E-3</v>
      </c>
      <c r="K109" s="7" t="s">
        <v>4</v>
      </c>
      <c r="L109" s="149" t="e">
        <f ca="1">_xll.meDateFromTenor(L108,"1D","FOLLOWING",#REF!,"NORMAL")</f>
        <v>#VALUE!</v>
      </c>
      <c r="M109" s="155">
        <f ca="1">_xll.meDateYearFraction(C109,D109,$M$11)</f>
        <v>2.7777777777777779E-3</v>
      </c>
      <c r="N109" s="150">
        <f ca="1"/>
        <v>-2.4300000000065936E-3</v>
      </c>
      <c r="O109" s="7" t="s">
        <v>4</v>
      </c>
      <c r="P109" s="149">
        <f t="shared" ca="1" si="3"/>
        <v>42556</v>
      </c>
      <c r="Q109" s="155">
        <f ca="1">_xll.meDateYearFraction(H109,I109,$Q$11,TRUE)</f>
        <v>0.25555555555555554</v>
      </c>
      <c r="R109" s="150">
        <f ca="1">IF(NOW(),_xll.meCurveForwardRatesFromYearFraction(P109,Q109,$Q$11,$Q$9,$Q$10))</f>
        <v>-4.075545085237363E-3</v>
      </c>
      <c r="S109" s="134" t="s">
        <v>4</v>
      </c>
    </row>
    <row r="110" spans="1:19" x14ac:dyDescent="0.25">
      <c r="A110" s="128">
        <v>94</v>
      </c>
      <c r="B110" s="133"/>
      <c r="C110" s="149">
        <f ca="1">_xll.meDateFromTenor(C109,"1D","FOLLOWING",$D$11,"NORMAL")</f>
        <v>42557</v>
      </c>
      <c r="D110" s="20">
        <f ca="1">_xll.meDateFromTenor(C110,"1D","Following",$D$11,"Normal")</f>
        <v>42558</v>
      </c>
      <c r="E110" s="99">
        <f ca="1"/>
        <v>3.9000000000655316E-3</v>
      </c>
      <c r="F110" s="161">
        <f ca="1">_xll.meCurveForwardRates(C110,$D$9,$D$10)</f>
        <v>3.9075936888177676E-3</v>
      </c>
      <c r="G110" s="7" t="s">
        <v>4</v>
      </c>
      <c r="H110" s="149">
        <f t="shared" ca="1" si="2"/>
        <v>42557</v>
      </c>
      <c r="I110" s="20">
        <f ca="1">_xll.meDateFromTenor(H110,"3M","Following",$I$11,"Normal")</f>
        <v>42649</v>
      </c>
      <c r="J110" s="150">
        <f ca="1"/>
        <v>5.5681128839250183E-3</v>
      </c>
      <c r="K110" s="7" t="s">
        <v>4</v>
      </c>
      <c r="L110" s="149" t="e">
        <f ca="1">_xll.meDateFromTenor(L109,"1D","FOLLOWING",#REF!,"NORMAL")</f>
        <v>#VALUE!</v>
      </c>
      <c r="M110" s="155">
        <f ca="1">_xll.meDateYearFraction(C110,D110,$M$11)</f>
        <v>2.7777777777777779E-3</v>
      </c>
      <c r="N110" s="150">
        <f ca="1"/>
        <v>-2.4300000000065936E-3</v>
      </c>
      <c r="O110" s="7" t="s">
        <v>4</v>
      </c>
      <c r="P110" s="149">
        <f t="shared" ca="1" si="3"/>
        <v>42557</v>
      </c>
      <c r="Q110" s="155">
        <f ca="1">_xll.meDateYearFraction(H110,I110,$Q$11,TRUE)</f>
        <v>0.25555555555555554</v>
      </c>
      <c r="R110" s="150">
        <f ca="1">IF(NOW(),_xll.meCurveForwardRatesFromYearFraction(P110,Q110,$Q$11,$Q$9,$Q$10))</f>
        <v>-3.7175485397107962E-3</v>
      </c>
      <c r="S110" s="134" t="s">
        <v>4</v>
      </c>
    </row>
    <row r="111" spans="1:19" x14ac:dyDescent="0.25">
      <c r="A111" s="128">
        <v>95</v>
      </c>
      <c r="B111" s="133"/>
      <c r="C111" s="149">
        <f ca="1">_xll.meDateFromTenor(C110,"1D","FOLLOWING",$D$11,"NORMAL")</f>
        <v>42558</v>
      </c>
      <c r="D111" s="20">
        <f ca="1">_xll.meDateFromTenor(C111,"1D","Following",$D$11,"Normal")</f>
        <v>42559</v>
      </c>
      <c r="E111" s="99">
        <f ca="1"/>
        <v>3.8999999999855955E-3</v>
      </c>
      <c r="F111" s="161">
        <f ca="1">_xll.meCurveForwardRates(C111,$D$9,$D$10)</f>
        <v>3.9075936887373874E-3</v>
      </c>
      <c r="G111" s="7" t="s">
        <v>4</v>
      </c>
      <c r="H111" s="149">
        <f t="shared" ca="1" si="2"/>
        <v>42558</v>
      </c>
      <c r="I111" s="20">
        <f ca="1">_xll.meDateFromTenor(H111,"3M","Following",$I$11,"Normal")</f>
        <v>42650</v>
      </c>
      <c r="J111" s="150">
        <f ca="1"/>
        <v>5.5578007222034263E-3</v>
      </c>
      <c r="K111" s="7" t="s">
        <v>4</v>
      </c>
      <c r="L111" s="149" t="e">
        <f ca="1">_xll.meDateFromTenor(L110,"1D","FOLLOWING",#REF!,"NORMAL")</f>
        <v>#VALUE!</v>
      </c>
      <c r="M111" s="155">
        <f ca="1">_xll.meDateYearFraction(C111,D111,$M$11)</f>
        <v>2.7777777777777779E-3</v>
      </c>
      <c r="N111" s="150">
        <f ca="1"/>
        <v>-2.4300000000065936E-3</v>
      </c>
      <c r="O111" s="7" t="s">
        <v>4</v>
      </c>
      <c r="P111" s="149">
        <f t="shared" ca="1" si="3"/>
        <v>42558</v>
      </c>
      <c r="Q111" s="155">
        <f ca="1">_xll.meDateYearFraction(H111,I111,$Q$11,TRUE)</f>
        <v>0.25555555555555554</v>
      </c>
      <c r="R111" s="150">
        <f ca="1">IF(NOW(),_xll.meCurveForwardRatesFromYearFraction(P111,Q111,$Q$11,$Q$9,$Q$10))</f>
        <v>-3.7175485397107962E-3</v>
      </c>
      <c r="S111" s="134" t="s">
        <v>4</v>
      </c>
    </row>
    <row r="112" spans="1:19" x14ac:dyDescent="0.25">
      <c r="A112" s="128">
        <v>96</v>
      </c>
      <c r="B112" s="133"/>
      <c r="C112" s="149">
        <f ca="1">_xll.meDateFromTenor(C111,"1D","FOLLOWING",$D$11,"NORMAL")</f>
        <v>42559</v>
      </c>
      <c r="D112" s="20">
        <f ca="1">_xll.meDateFromTenor(C112,"1D","Following",$D$11,"Normal")</f>
        <v>42562</v>
      </c>
      <c r="E112" s="99">
        <f ca="1"/>
        <v>3.9000000000122409E-3</v>
      </c>
      <c r="F112" s="161">
        <f ca="1">_xll.meCurveForwardRates(C112,$D$9,$D$10)</f>
        <v>3.9075561189234609E-3</v>
      </c>
      <c r="G112" s="7" t="s">
        <v>4</v>
      </c>
      <c r="H112" s="149">
        <f t="shared" ca="1" si="2"/>
        <v>42559</v>
      </c>
      <c r="I112" s="20">
        <f ca="1">_xll.meDateFromTenor(H112,"3M","Following",$I$11,"Normal")</f>
        <v>42654</v>
      </c>
      <c r="J112" s="150">
        <f ca="1"/>
        <v>5.5485639198173849E-3</v>
      </c>
      <c r="K112" s="7" t="s">
        <v>4</v>
      </c>
      <c r="L112" s="149" t="e">
        <f ca="1">_xll.meDateFromTenor(L111,"1D","FOLLOWING",#REF!,"NORMAL")</f>
        <v>#VALUE!</v>
      </c>
      <c r="M112" s="155">
        <f ca="1">_xll.meDateYearFraction(C112,D112,$M$11)</f>
        <v>8.3333333333333332E-3</v>
      </c>
      <c r="N112" s="150">
        <f ca="1"/>
        <v>-2.4300000000065936E-3</v>
      </c>
      <c r="O112" s="7" t="s">
        <v>4</v>
      </c>
      <c r="P112" s="149">
        <f t="shared" ca="1" si="3"/>
        <v>42559</v>
      </c>
      <c r="Q112" s="155">
        <f ca="1">_xll.meDateYearFraction(H112,I112,$Q$11,TRUE)</f>
        <v>0.2638888888888889</v>
      </c>
      <c r="R112" s="150">
        <f ca="1">IF(NOW(),_xll.meCurveForwardRatesFromYearFraction(P112,Q112,$Q$11,$Q$9,$Q$10))</f>
        <v>-3.7175485397107962E-3</v>
      </c>
      <c r="S112" s="134" t="s">
        <v>4</v>
      </c>
    </row>
    <row r="113" spans="1:19" x14ac:dyDescent="0.25">
      <c r="A113" s="128">
        <v>97</v>
      </c>
      <c r="B113" s="133"/>
      <c r="C113" s="149">
        <f ca="1">_xll.meDateFromTenor(C112,"1D","FOLLOWING",$D$11,"NORMAL")</f>
        <v>42562</v>
      </c>
      <c r="D113" s="20">
        <f ca="1">_xll.meDateFromTenor(C113,"1D","Following",$D$11,"Normal")</f>
        <v>42563</v>
      </c>
      <c r="E113" s="99">
        <f ca="1"/>
        <v>3.8999999999855175E-3</v>
      </c>
      <c r="F113" s="161">
        <f ca="1">_xll.meCurveForwardRates(C113,$D$9,$D$10)</f>
        <v>3.9075936887373874E-3</v>
      </c>
      <c r="G113" s="7" t="s">
        <v>4</v>
      </c>
      <c r="H113" s="149">
        <f t="shared" ca="1" si="2"/>
        <v>42562</v>
      </c>
      <c r="I113" s="20">
        <f ca="1">_xll.meDateFromTenor(H113,"3M","Following",$I$11,"Normal")</f>
        <v>42654</v>
      </c>
      <c r="J113" s="150">
        <f ca="1"/>
        <v>5.527369732288399E-3</v>
      </c>
      <c r="K113" s="7" t="s">
        <v>4</v>
      </c>
      <c r="L113" s="149" t="e">
        <f ca="1">_xll.meDateFromTenor(L112,"1D","FOLLOWING",#REF!,"NORMAL")</f>
        <v>#VALUE!</v>
      </c>
      <c r="M113" s="155">
        <f ca="1">_xll.meDateYearFraction(C113,D113,$M$11)</f>
        <v>2.7777777777777779E-3</v>
      </c>
      <c r="N113" s="150">
        <f ca="1"/>
        <v>-2.4300000000065936E-3</v>
      </c>
      <c r="O113" s="7" t="s">
        <v>4</v>
      </c>
      <c r="P113" s="149">
        <f t="shared" ca="1" si="3"/>
        <v>42562</v>
      </c>
      <c r="Q113" s="155">
        <f ca="1">_xll.meDateYearFraction(H113,I113,$Q$11,TRUE)</f>
        <v>0.25555555555555554</v>
      </c>
      <c r="R113" s="150">
        <f ca="1">IF(NOW(),_xll.meCurveForwardRatesFromYearFraction(P113,Q113,$Q$11,$Q$9,$Q$10))</f>
        <v>-4.0614357931213051E-3</v>
      </c>
      <c r="S113" s="134" t="s">
        <v>4</v>
      </c>
    </row>
    <row r="114" spans="1:19" x14ac:dyDescent="0.25">
      <c r="A114" s="128">
        <v>98</v>
      </c>
      <c r="B114" s="133"/>
      <c r="C114" s="149">
        <f ca="1">_xll.meDateFromTenor(C113,"1D","FOLLOWING",$D$11,"NORMAL")</f>
        <v>42563</v>
      </c>
      <c r="D114" s="20">
        <f ca="1">_xll.meDateFromTenor(C114,"1D","Following",$D$11,"Normal")</f>
        <v>42564</v>
      </c>
      <c r="E114" s="99">
        <f ca="1"/>
        <v>3.8999999999855955E-3</v>
      </c>
      <c r="F114" s="161">
        <f ca="1">_xll.meCurveForwardRates(C114,$D$9,$D$10)</f>
        <v>3.9075936887373874E-3</v>
      </c>
      <c r="G114" s="7" t="s">
        <v>4</v>
      </c>
      <c r="H114" s="149">
        <f t="shared" ca="1" si="2"/>
        <v>42563</v>
      </c>
      <c r="I114" s="20">
        <f ca="1">_xll.meDateFromTenor(H114,"3M","Following",$I$11,"Normal")</f>
        <v>42655</v>
      </c>
      <c r="J114" s="150">
        <f ca="1"/>
        <v>5.5224984308603984E-3</v>
      </c>
      <c r="K114" s="7" t="s">
        <v>4</v>
      </c>
      <c r="L114" s="149" t="e">
        <f ca="1">_xll.meDateFromTenor(L113,"1D","FOLLOWING",#REF!,"NORMAL")</f>
        <v>#VALUE!</v>
      </c>
      <c r="M114" s="155">
        <f ca="1">_xll.meDateYearFraction(C114,D114,$M$11)</f>
        <v>2.7777777777777779E-3</v>
      </c>
      <c r="N114" s="150">
        <f ca="1"/>
        <v>-2.4300000000065936E-3</v>
      </c>
      <c r="O114" s="7" t="s">
        <v>4</v>
      </c>
      <c r="P114" s="149">
        <f t="shared" ca="1" si="3"/>
        <v>42563</v>
      </c>
      <c r="Q114" s="155">
        <f ca="1">_xll.meDateYearFraction(H114,I114,$Q$11,TRUE)</f>
        <v>0.25555555555555554</v>
      </c>
      <c r="R114" s="150">
        <f ca="1">IF(NOW(),_xll.meCurveForwardRatesFromYearFraction(P114,Q114,$Q$11,$Q$9,$Q$10))</f>
        <v>-3.7175485397107962E-3</v>
      </c>
      <c r="S114" s="134" t="s">
        <v>4</v>
      </c>
    </row>
    <row r="115" spans="1:19" x14ac:dyDescent="0.25">
      <c r="A115" s="128">
        <v>99</v>
      </c>
      <c r="B115" s="133"/>
      <c r="C115" s="149">
        <f ca="1">_xll.meDateFromTenor(C114,"1D","FOLLOWING",$D$11,"NORMAL")</f>
        <v>42564</v>
      </c>
      <c r="D115" s="20">
        <f ca="1">_xll.meDateFromTenor(C115,"1D","Following",$D$11,"Normal")</f>
        <v>42565</v>
      </c>
      <c r="E115" s="99">
        <f ca="1"/>
        <v>3.8999999999855955E-3</v>
      </c>
      <c r="F115" s="161">
        <f ca="1">_xll.meCurveForwardRates(C115,$D$9,$D$10)</f>
        <v>3.9075936887373874E-3</v>
      </c>
      <c r="G115" s="7" t="s">
        <v>4</v>
      </c>
      <c r="H115" s="149">
        <f t="shared" ca="1" si="2"/>
        <v>42564</v>
      </c>
      <c r="I115" s="20">
        <f ca="1">_xll.meDateFromTenor(H115,"3M","Following",$I$11,"Normal")</f>
        <v>42656</v>
      </c>
      <c r="J115" s="150">
        <f ca="1"/>
        <v>5.518734520575868E-3</v>
      </c>
      <c r="K115" s="7" t="s">
        <v>4</v>
      </c>
      <c r="L115" s="149" t="e">
        <f ca="1">_xll.meDateFromTenor(L114,"1D","FOLLOWING",#REF!,"NORMAL")</f>
        <v>#VALUE!</v>
      </c>
      <c r="M115" s="155">
        <f ca="1">_xll.meDateYearFraction(C115,D115,$M$11)</f>
        <v>2.7777777777777779E-3</v>
      </c>
      <c r="N115" s="150">
        <f ca="1"/>
        <v>-2.4300000000065936E-3</v>
      </c>
      <c r="O115" s="7" t="s">
        <v>4</v>
      </c>
      <c r="P115" s="149">
        <f t="shared" ca="1" si="3"/>
        <v>42564</v>
      </c>
      <c r="Q115" s="155">
        <f ca="1">_xll.meDateYearFraction(H115,I115,$Q$11,TRUE)</f>
        <v>0.25555555555555554</v>
      </c>
      <c r="R115" s="150">
        <f ca="1">IF(NOW(),_xll.meCurveForwardRatesFromYearFraction(P115,Q115,$Q$11,$Q$9,$Q$10))</f>
        <v>-3.7175485397107962E-3</v>
      </c>
      <c r="S115" s="134" t="s">
        <v>4</v>
      </c>
    </row>
    <row r="116" spans="1:19" x14ac:dyDescent="0.25">
      <c r="A116" s="128">
        <v>100</v>
      </c>
      <c r="B116" s="133"/>
      <c r="C116" s="149">
        <f ca="1">_xll.meDateFromTenor(C115,"1D","FOLLOWING",$D$11,"NORMAL")</f>
        <v>42565</v>
      </c>
      <c r="D116" s="20">
        <f ca="1">_xll.meDateFromTenor(C116,"1D","Following",$D$11,"Normal")</f>
        <v>42566</v>
      </c>
      <c r="E116" s="99">
        <f ca="1"/>
        <v>3.8999999999855955E-3</v>
      </c>
      <c r="F116" s="161">
        <f ca="1">_xll.meCurveForwardRates(C116,$D$9,$D$10)</f>
        <v>3.9075936887373874E-3</v>
      </c>
      <c r="G116" s="7" t="s">
        <v>4</v>
      </c>
      <c r="H116" s="149">
        <f t="shared" ca="1" si="2"/>
        <v>42565</v>
      </c>
      <c r="I116" s="20">
        <f ca="1">_xll.meDateFromTenor(H116,"3M","Following",$I$11,"Normal")</f>
        <v>42657</v>
      </c>
      <c r="J116" s="150">
        <f ca="1"/>
        <v>5.5160844077963931E-3</v>
      </c>
      <c r="K116" s="7" t="s">
        <v>4</v>
      </c>
      <c r="L116" s="149" t="e">
        <f ca="1">_xll.meDateFromTenor(L115,"1D","FOLLOWING",#REF!,"NORMAL")</f>
        <v>#VALUE!</v>
      </c>
      <c r="M116" s="155">
        <f ca="1">_xll.meDateYearFraction(C116,D116,$M$11)</f>
        <v>2.7777777777777779E-3</v>
      </c>
      <c r="N116" s="150">
        <f ca="1"/>
        <v>-2.4300000000065936E-3</v>
      </c>
      <c r="O116" s="7" t="s">
        <v>4</v>
      </c>
      <c r="P116" s="149">
        <f t="shared" ca="1" si="3"/>
        <v>42565</v>
      </c>
      <c r="Q116" s="155">
        <f ca="1">_xll.meDateYearFraction(H116,I116,$Q$11,TRUE)</f>
        <v>0.25555555555555554</v>
      </c>
      <c r="R116" s="150">
        <f ca="1">IF(NOW(),_xll.meCurveForwardRatesFromYearFraction(P116,Q116,$Q$11,$Q$9,$Q$10))</f>
        <v>-3.7175485397107962E-3</v>
      </c>
      <c r="S116" s="134" t="s">
        <v>4</v>
      </c>
    </row>
    <row r="117" spans="1:19" x14ac:dyDescent="0.25">
      <c r="A117" s="128">
        <v>101</v>
      </c>
      <c r="B117" s="133"/>
      <c r="C117" s="149">
        <f ca="1">_xll.meDateFromTenor(C116,"1D","FOLLOWING",$D$11,"NORMAL")</f>
        <v>42566</v>
      </c>
      <c r="D117" s="20">
        <f ca="1">_xll.meDateFromTenor(C117,"1D","Following",$D$11,"Normal")</f>
        <v>42569</v>
      </c>
      <c r="E117" s="99">
        <f ca="1"/>
        <v>3.9000000000122149E-3</v>
      </c>
      <c r="F117" s="161">
        <f ca="1">_xll.meCurveForwardRates(C117,$D$9,$D$10)</f>
        <v>3.9075561189234609E-3</v>
      </c>
      <c r="G117" s="7" t="s">
        <v>4</v>
      </c>
      <c r="H117" s="149">
        <f t="shared" ca="1" si="2"/>
        <v>42566</v>
      </c>
      <c r="I117" s="20">
        <f ca="1">_xll.meDateFromTenor(H117,"3M","Following",$I$11,"Normal")</f>
        <v>42660</v>
      </c>
      <c r="J117" s="150">
        <f ca="1"/>
        <v>5.5145544988835574E-3</v>
      </c>
      <c r="K117" s="7" t="s">
        <v>4</v>
      </c>
      <c r="L117" s="149" t="e">
        <f ca="1">_xll.meDateFromTenor(L116,"1D","FOLLOWING",#REF!,"NORMAL")</f>
        <v>#VALUE!</v>
      </c>
      <c r="M117" s="155">
        <f ca="1">_xll.meDateYearFraction(C117,D117,$M$11)</f>
        <v>8.3333333333333332E-3</v>
      </c>
      <c r="N117" s="150">
        <f ca="1"/>
        <v>-2.4300000000065936E-3</v>
      </c>
      <c r="O117" s="7" t="s">
        <v>4</v>
      </c>
      <c r="P117" s="149">
        <f t="shared" ca="1" si="3"/>
        <v>42566</v>
      </c>
      <c r="Q117" s="155">
        <f ca="1">_xll.meDateYearFraction(H117,I117,$Q$11,TRUE)</f>
        <v>0.26111111111111113</v>
      </c>
      <c r="R117" s="150">
        <f ca="1">IF(NOW(),_xll.meCurveForwardRatesFromYearFraction(P117,Q117,$Q$11,$Q$9,$Q$10))</f>
        <v>-4.0520295983772657E-3</v>
      </c>
      <c r="S117" s="134" t="s">
        <v>4</v>
      </c>
    </row>
    <row r="118" spans="1:19" x14ac:dyDescent="0.25">
      <c r="A118" s="128">
        <v>102</v>
      </c>
      <c r="B118" s="133"/>
      <c r="C118" s="149">
        <f ca="1">_xll.meDateFromTenor(C117,"1D","FOLLOWING",$D$11,"NORMAL")</f>
        <v>42569</v>
      </c>
      <c r="D118" s="20">
        <f ca="1">_xll.meDateFromTenor(C118,"1D","Following",$D$11,"Normal")</f>
        <v>42570</v>
      </c>
      <c r="E118" s="99">
        <f ca="1"/>
        <v>3.8999999999855955E-3</v>
      </c>
      <c r="F118" s="161">
        <f ca="1">_xll.meCurveForwardRates(C118,$D$9,$D$10)</f>
        <v>3.9075936887373874E-3</v>
      </c>
      <c r="G118" s="7" t="s">
        <v>4</v>
      </c>
      <c r="H118" s="149">
        <f t="shared" ca="1" si="2"/>
        <v>42569</v>
      </c>
      <c r="I118" s="20">
        <f ca="1">_xll.meDateFromTenor(H118,"3M","Following",$I$11,"Normal")</f>
        <v>42661</v>
      </c>
      <c r="J118" s="150">
        <f ca="1"/>
        <v>5.5167500589607295E-3</v>
      </c>
      <c r="K118" s="7" t="s">
        <v>4</v>
      </c>
      <c r="L118" s="149" t="e">
        <f ca="1">_xll.meDateFromTenor(L117,"1D","FOLLOWING",#REF!,"NORMAL")</f>
        <v>#VALUE!</v>
      </c>
      <c r="M118" s="155">
        <f ca="1">_xll.meDateYearFraction(C118,D118,$M$11)</f>
        <v>2.7777777777777779E-3</v>
      </c>
      <c r="N118" s="150">
        <f ca="1"/>
        <v>-2.4300000000065936E-3</v>
      </c>
      <c r="O118" s="7" t="s">
        <v>4</v>
      </c>
      <c r="P118" s="149">
        <f t="shared" ca="1" si="3"/>
        <v>42569</v>
      </c>
      <c r="Q118" s="155">
        <f ca="1">_xll.meDateYearFraction(H118,I118,$Q$11,TRUE)</f>
        <v>0.25555555555555554</v>
      </c>
      <c r="R118" s="150">
        <f ca="1">IF(NOW(),_xll.meCurveForwardRatesFromYearFraction(P118,Q118,$Q$11,$Q$9,$Q$10))</f>
        <v>-3.7175485397107962E-3</v>
      </c>
      <c r="S118" s="134" t="s">
        <v>4</v>
      </c>
    </row>
    <row r="119" spans="1:19" x14ac:dyDescent="0.25">
      <c r="A119" s="128">
        <v>103</v>
      </c>
      <c r="B119" s="133"/>
      <c r="C119" s="149">
        <f ca="1">_xll.meDateFromTenor(C118,"1D","FOLLOWING",$D$11,"NORMAL")</f>
        <v>42570</v>
      </c>
      <c r="D119" s="20">
        <f ca="1">_xll.meDateFromTenor(C119,"1D","Following",$D$11,"Normal")</f>
        <v>42571</v>
      </c>
      <c r="E119" s="99">
        <f ca="1"/>
        <v>3.8999999999855955E-3</v>
      </c>
      <c r="F119" s="161">
        <f ca="1">_xll.meCurveForwardRates(C119,$D$9,$D$10)</f>
        <v>3.9075936887373874E-3</v>
      </c>
      <c r="G119" s="7" t="s">
        <v>4</v>
      </c>
      <c r="H119" s="149">
        <f t="shared" ca="1" si="2"/>
        <v>42570</v>
      </c>
      <c r="I119" s="20">
        <f ca="1">_xll.meDateFromTenor(H119,"3M","Following",$I$11,"Normal")</f>
        <v>42662</v>
      </c>
      <c r="J119" s="150">
        <f ca="1"/>
        <v>5.5197650291302948E-3</v>
      </c>
      <c r="K119" s="7" t="s">
        <v>4</v>
      </c>
      <c r="L119" s="149" t="e">
        <f ca="1">_xll.meDateFromTenor(L118,"1D","FOLLOWING",#REF!,"NORMAL")</f>
        <v>#VALUE!</v>
      </c>
      <c r="M119" s="155">
        <f ca="1">_xll.meDateYearFraction(C119,D119,$M$11)</f>
        <v>2.7777777777777779E-3</v>
      </c>
      <c r="N119" s="150">
        <f ca="1"/>
        <v>-2.4300000000065936E-3</v>
      </c>
      <c r="O119" s="7" t="s">
        <v>4</v>
      </c>
      <c r="P119" s="149">
        <f t="shared" ca="1" si="3"/>
        <v>42570</v>
      </c>
      <c r="Q119" s="155">
        <f ca="1">_xll.meDateYearFraction(H119,I119,$Q$11,TRUE)</f>
        <v>0.25555555555555554</v>
      </c>
      <c r="R119" s="150">
        <f ca="1">IF(NOW(),_xll.meCurveForwardRatesFromYearFraction(P119,Q119,$Q$11,$Q$9,$Q$10))</f>
        <v>-3.7175485397107962E-3</v>
      </c>
      <c r="S119" s="134" t="s">
        <v>4</v>
      </c>
    </row>
    <row r="120" spans="1:19" x14ac:dyDescent="0.25">
      <c r="A120" s="128">
        <v>104</v>
      </c>
      <c r="B120" s="133"/>
      <c r="C120" s="149">
        <f ca="1">_xll.meDateFromTenor(C119,"1D","FOLLOWING",$D$11,"NORMAL")</f>
        <v>42571</v>
      </c>
      <c r="D120" s="20">
        <f ca="1">_xll.meDateFromTenor(C120,"1D","Following",$D$11,"Normal")</f>
        <v>42572</v>
      </c>
      <c r="E120" s="99">
        <f ca="1"/>
        <v>3.8999999999855955E-3</v>
      </c>
      <c r="F120" s="161">
        <f ca="1">_xll.meCurveForwardRates(C120,$D$9,$D$10)</f>
        <v>3.9075936887373874E-3</v>
      </c>
      <c r="G120" s="7" t="s">
        <v>4</v>
      </c>
      <c r="H120" s="149">
        <f t="shared" ca="1" si="2"/>
        <v>42571</v>
      </c>
      <c r="I120" s="20">
        <f ca="1">_xll.meDateFromTenor(H120,"3M","Following",$I$11,"Normal")</f>
        <v>42663</v>
      </c>
      <c r="J120" s="150">
        <f ca="1"/>
        <v>5.5239322349744198E-3</v>
      </c>
      <c r="K120" s="7" t="s">
        <v>4</v>
      </c>
      <c r="L120" s="149" t="e">
        <f ca="1">_xll.meDateFromTenor(L119,"1D","FOLLOWING",#REF!,"NORMAL")</f>
        <v>#VALUE!</v>
      </c>
      <c r="M120" s="155">
        <f ca="1">_xll.meDateYearFraction(C120,D120,$M$11)</f>
        <v>2.7777777777777779E-3</v>
      </c>
      <c r="N120" s="150">
        <f ca="1"/>
        <v>-2.4300000000065936E-3</v>
      </c>
      <c r="O120" s="7" t="s">
        <v>4</v>
      </c>
      <c r="P120" s="149">
        <f t="shared" ca="1" si="3"/>
        <v>42571</v>
      </c>
      <c r="Q120" s="155">
        <f ca="1">_xll.meDateYearFraction(H120,I120,$Q$11,TRUE)</f>
        <v>0.25555555555555554</v>
      </c>
      <c r="R120" s="150">
        <f ca="1">IF(NOW(),_xll.meCurveForwardRatesFromYearFraction(P120,Q120,$Q$11,$Q$9,$Q$10))</f>
        <v>-4.040271854947217E-3</v>
      </c>
      <c r="S120" s="134" t="s">
        <v>4</v>
      </c>
    </row>
    <row r="121" spans="1:19" x14ac:dyDescent="0.25">
      <c r="A121" s="128">
        <v>105</v>
      </c>
      <c r="B121" s="133"/>
      <c r="C121" s="149">
        <f ca="1">_xll.meDateFromTenor(C120,"1D","FOLLOWING",$D$11,"NORMAL")</f>
        <v>42572</v>
      </c>
      <c r="D121" s="20">
        <f ca="1">_xll.meDateFromTenor(C121,"1D","Following",$D$11,"Normal")</f>
        <v>42573</v>
      </c>
      <c r="E121" s="99">
        <f ca="1"/>
        <v>3.8999999999855955E-3</v>
      </c>
      <c r="F121" s="161">
        <f ca="1">_xll.meCurveForwardRates(C121,$D$9,$D$10)</f>
        <v>3.9075936887373874E-3</v>
      </c>
      <c r="G121" s="7" t="s">
        <v>4</v>
      </c>
      <c r="H121" s="149">
        <f t="shared" ca="1" si="2"/>
        <v>42572</v>
      </c>
      <c r="I121" s="20">
        <f ca="1">_xll.meDateFromTenor(H121,"3M","Following",$I$11,"Normal")</f>
        <v>42664</v>
      </c>
      <c r="J121" s="150">
        <f ca="1"/>
        <v>5.5292580828546888E-3</v>
      </c>
      <c r="K121" s="7" t="s">
        <v>4</v>
      </c>
      <c r="L121" s="149" t="e">
        <f ca="1">_xll.meDateFromTenor(L120,"1D","FOLLOWING",#REF!,"NORMAL")</f>
        <v>#VALUE!</v>
      </c>
      <c r="M121" s="155">
        <f ca="1">_xll.meDateYearFraction(C121,D121,$M$11)</f>
        <v>2.7777777777777779E-3</v>
      </c>
      <c r="N121" s="150">
        <f ca="1"/>
        <v>-2.4300000000065936E-3</v>
      </c>
      <c r="O121" s="7" t="s">
        <v>4</v>
      </c>
      <c r="P121" s="149">
        <f t="shared" ca="1" si="3"/>
        <v>42572</v>
      </c>
      <c r="Q121" s="155">
        <f ca="1">_xll.meDateYearFraction(H121,I121,$Q$11,TRUE)</f>
        <v>0.25555555555555554</v>
      </c>
      <c r="R121" s="150">
        <f ca="1">IF(NOW(),_xll.meCurveForwardRatesFromYearFraction(P121,Q121,$Q$11,$Q$9,$Q$10))</f>
        <v>-4.0379203062612078E-3</v>
      </c>
      <c r="S121" s="134" t="s">
        <v>4</v>
      </c>
    </row>
    <row r="122" spans="1:19" x14ac:dyDescent="0.25">
      <c r="A122" s="128">
        <v>106</v>
      </c>
      <c r="B122" s="133"/>
      <c r="C122" s="149">
        <f ca="1">_xll.meDateFromTenor(C121,"1D","FOLLOWING",$D$11,"NORMAL")</f>
        <v>42573</v>
      </c>
      <c r="D122" s="20">
        <f ca="1">_xll.meDateFromTenor(C122,"1D","Following",$D$11,"Normal")</f>
        <v>42576</v>
      </c>
      <c r="E122" s="99">
        <f ca="1"/>
        <v>3.9000000000122149E-3</v>
      </c>
      <c r="F122" s="161">
        <f ca="1">_xll.meCurveForwardRates(C122,$D$9,$D$10)</f>
        <v>3.9075561189234609E-3</v>
      </c>
      <c r="G122" s="7" t="s">
        <v>4</v>
      </c>
      <c r="H122" s="149">
        <f t="shared" ca="1" si="2"/>
        <v>42573</v>
      </c>
      <c r="I122" s="20">
        <f ca="1">_xll.meDateFromTenor(H122,"3M","Following",$I$11,"Normal")</f>
        <v>42667</v>
      </c>
      <c r="J122" s="150">
        <f ca="1"/>
        <v>5.5357489791326882E-3</v>
      </c>
      <c r="K122" s="7" t="s">
        <v>4</v>
      </c>
      <c r="L122" s="149" t="e">
        <f ca="1">_xll.meDateFromTenor(L121,"1D","FOLLOWING",#REF!,"NORMAL")</f>
        <v>#VALUE!</v>
      </c>
      <c r="M122" s="155">
        <f ca="1">_xll.meDateYearFraction(C122,D122,$M$11)</f>
        <v>8.3333333333333332E-3</v>
      </c>
      <c r="N122" s="150">
        <f ca="1"/>
        <v>-2.4300000000065936E-3</v>
      </c>
      <c r="O122" s="7" t="s">
        <v>4</v>
      </c>
      <c r="P122" s="149">
        <f t="shared" ca="1" si="3"/>
        <v>42573</v>
      </c>
      <c r="Q122" s="155">
        <f ca="1">_xll.meDateYearFraction(H122,I122,$Q$11,TRUE)</f>
        <v>0.26111111111111113</v>
      </c>
      <c r="R122" s="150">
        <f ca="1">IF(NOW(),_xll.meCurveForwardRatesFromYearFraction(P122,Q122,$Q$11,$Q$9,$Q$10))</f>
        <v>-3.7175485397107962E-3</v>
      </c>
      <c r="S122" s="134" t="s">
        <v>4</v>
      </c>
    </row>
    <row r="123" spans="1:19" x14ac:dyDescent="0.25">
      <c r="A123" s="128">
        <v>107</v>
      </c>
      <c r="B123" s="133"/>
      <c r="C123" s="149">
        <f ca="1">_xll.meDateFromTenor(C122,"1D","FOLLOWING",$D$11,"NORMAL")</f>
        <v>42576</v>
      </c>
      <c r="D123" s="20">
        <f ca="1">_xll.meDateFromTenor(C123,"1D","Following",$D$11,"Normal")</f>
        <v>42577</v>
      </c>
      <c r="E123" s="99">
        <f ca="1"/>
        <v>3.8999999999855955E-3</v>
      </c>
      <c r="F123" s="161">
        <f ca="1">_xll.meCurveForwardRates(C123,$D$9,$D$10)</f>
        <v>3.9075936887373874E-3</v>
      </c>
      <c r="G123" s="7" t="s">
        <v>4</v>
      </c>
      <c r="H123" s="149">
        <f t="shared" ca="1" si="2"/>
        <v>42576</v>
      </c>
      <c r="I123" s="20">
        <f ca="1">_xll.meDateFromTenor(H123,"3M","Following",$I$11,"Normal")</f>
        <v>42668</v>
      </c>
      <c r="J123" s="150">
        <f ca="1"/>
        <v>5.5622760219689021E-3</v>
      </c>
      <c r="K123" s="7" t="s">
        <v>4</v>
      </c>
      <c r="L123" s="149" t="e">
        <f ca="1">_xll.meDateFromTenor(L122,"1D","FOLLOWING",#REF!,"NORMAL")</f>
        <v>#VALUE!</v>
      </c>
      <c r="M123" s="155">
        <f ca="1">_xll.meDateYearFraction(C123,D123,$M$11)</f>
        <v>2.7777777777777779E-3</v>
      </c>
      <c r="N123" s="150">
        <f ca="1"/>
        <v>-2.4300000000065936E-3</v>
      </c>
      <c r="O123" s="7" t="s">
        <v>4</v>
      </c>
      <c r="P123" s="149">
        <f t="shared" ca="1" si="3"/>
        <v>42576</v>
      </c>
      <c r="Q123" s="155">
        <f ca="1">_xll.meDateYearFraction(H123,I123,$Q$11,TRUE)</f>
        <v>0.25555555555555554</v>
      </c>
      <c r="R123" s="150">
        <f ca="1">IF(NOW(),_xll.meCurveForwardRatesFromYearFraction(P123,Q123,$Q$11,$Q$9,$Q$10))</f>
        <v>-4.0285141115171692E-3</v>
      </c>
      <c r="S123" s="134" t="s">
        <v>4</v>
      </c>
    </row>
    <row r="124" spans="1:19" x14ac:dyDescent="0.25">
      <c r="A124" s="128">
        <v>108</v>
      </c>
      <c r="B124" s="133"/>
      <c r="C124" s="149">
        <f ca="1">_xll.meDateFromTenor(C123,"1D","FOLLOWING",$D$11,"NORMAL")</f>
        <v>42577</v>
      </c>
      <c r="D124" s="20">
        <f ca="1">_xll.meDateFromTenor(C124,"1D","Following",$D$11,"Normal")</f>
        <v>42578</v>
      </c>
      <c r="E124" s="99">
        <f ca="1"/>
        <v>3.9000000000655316E-3</v>
      </c>
      <c r="F124" s="161">
        <f ca="1">_xll.meCurveForwardRates(C124,$D$9,$D$10)</f>
        <v>3.9075936888177676E-3</v>
      </c>
      <c r="G124" s="7" t="s">
        <v>4</v>
      </c>
      <c r="H124" s="149">
        <f t="shared" ca="1" si="2"/>
        <v>42577</v>
      </c>
      <c r="I124" s="20">
        <f ca="1">_xll.meDateFromTenor(H124,"3M","Following",$I$11,"Normal")</f>
        <v>42669</v>
      </c>
      <c r="J124" s="150">
        <f ca="1"/>
        <v>5.5734911754536601E-3</v>
      </c>
      <c r="K124" s="7" t="s">
        <v>4</v>
      </c>
      <c r="L124" s="149" t="e">
        <f ca="1">_xll.meDateFromTenor(L123,"1D","FOLLOWING",#REF!,"NORMAL")</f>
        <v>#VALUE!</v>
      </c>
      <c r="M124" s="155">
        <f ca="1">_xll.meDateYearFraction(C124,D124,$M$11)</f>
        <v>2.7777777777777779E-3</v>
      </c>
      <c r="N124" s="150">
        <f ca="1"/>
        <v>-2.4300000000065936E-3</v>
      </c>
      <c r="O124" s="7" t="s">
        <v>4</v>
      </c>
      <c r="P124" s="149">
        <f t="shared" ca="1" si="3"/>
        <v>42577</v>
      </c>
      <c r="Q124" s="155">
        <f ca="1">_xll.meDateYearFraction(H124,I124,$Q$11,TRUE)</f>
        <v>0.25555555555555554</v>
      </c>
      <c r="R124" s="150">
        <f ca="1">IF(NOW(),_xll.meCurveForwardRatesFromYearFraction(P124,Q124,$Q$11,$Q$9,$Q$10))</f>
        <v>-3.7175485397107962E-3</v>
      </c>
      <c r="S124" s="134" t="s">
        <v>4</v>
      </c>
    </row>
    <row r="125" spans="1:19" x14ac:dyDescent="0.25">
      <c r="A125" s="128">
        <v>109</v>
      </c>
      <c r="B125" s="133"/>
      <c r="C125" s="149">
        <f ca="1">_xll.meDateFromTenor(C124,"1D","FOLLOWING",$D$11,"NORMAL")</f>
        <v>42578</v>
      </c>
      <c r="D125" s="20">
        <f ca="1">_xll.meDateFromTenor(C125,"1D","Following",$D$11,"Normal")</f>
        <v>42579</v>
      </c>
      <c r="E125" s="99">
        <f ca="1"/>
        <v>3.8999999999855955E-3</v>
      </c>
      <c r="F125" s="161">
        <f ca="1">_xll.meCurveForwardRates(C125,$D$9,$D$10)</f>
        <v>3.9075936887373874E-3</v>
      </c>
      <c r="G125" s="7" t="s">
        <v>4</v>
      </c>
      <c r="H125" s="149">
        <f t="shared" ca="1" si="2"/>
        <v>42578</v>
      </c>
      <c r="I125" s="20">
        <f ca="1">_xll.meDateFromTenor(H125,"3M","Following",$I$11,"Normal")</f>
        <v>42670</v>
      </c>
      <c r="J125" s="150">
        <f ca="1"/>
        <v>5.5859034091440673E-3</v>
      </c>
      <c r="K125" s="7" t="s">
        <v>4</v>
      </c>
      <c r="L125" s="149" t="e">
        <f ca="1">_xll.meDateFromTenor(L124,"1D","FOLLOWING",#REF!,"NORMAL")</f>
        <v>#VALUE!</v>
      </c>
      <c r="M125" s="155">
        <f ca="1">_xll.meDateYearFraction(C125,D125,$M$11)</f>
        <v>2.7777777777777779E-3</v>
      </c>
      <c r="N125" s="150">
        <f ca="1"/>
        <v>-2.4300000000065936E-3</v>
      </c>
      <c r="O125" s="7" t="s">
        <v>4</v>
      </c>
      <c r="P125" s="149">
        <f t="shared" ca="1" si="3"/>
        <v>42578</v>
      </c>
      <c r="Q125" s="155">
        <f ca="1">_xll.meDateYearFraction(H125,I125,$Q$11,TRUE)</f>
        <v>0.25555555555555554</v>
      </c>
      <c r="R125" s="150">
        <f ca="1">IF(NOW(),_xll.meCurveForwardRatesFromYearFraction(P125,Q125,$Q$11,$Q$9,$Q$10))</f>
        <v>-4.0238110141451499E-3</v>
      </c>
      <c r="S125" s="134" t="s">
        <v>4</v>
      </c>
    </row>
    <row r="126" spans="1:19" x14ac:dyDescent="0.25">
      <c r="A126" s="128">
        <v>110</v>
      </c>
      <c r="B126" s="133"/>
      <c r="C126" s="149">
        <f ca="1">_xll.meDateFromTenor(C125,"1D","FOLLOWING",$D$11,"NORMAL")</f>
        <v>42579</v>
      </c>
      <c r="D126" s="20">
        <f ca="1">_xll.meDateFromTenor(C126,"1D","Following",$D$11,"Normal")</f>
        <v>42580</v>
      </c>
      <c r="E126" s="99">
        <f ca="1"/>
        <v>3.9000000000654535E-3</v>
      </c>
      <c r="F126" s="161">
        <f ca="1">_xll.meCurveForwardRates(C126,$D$9,$D$10)</f>
        <v>3.9075936888175455E-3</v>
      </c>
      <c r="G126" s="7" t="s">
        <v>4</v>
      </c>
      <c r="H126" s="149">
        <f t="shared" ca="1" si="2"/>
        <v>42579</v>
      </c>
      <c r="I126" s="20">
        <f ca="1">_xll.meDateFromTenor(H126,"3M","Following",$I$11,"Normal")</f>
        <v>42671</v>
      </c>
      <c r="J126" s="150">
        <f ca="1"/>
        <v>5.5995191294017106E-3</v>
      </c>
      <c r="K126" s="7" t="s">
        <v>4</v>
      </c>
      <c r="L126" s="149" t="e">
        <f ca="1">_xll.meDateFromTenor(L125,"1D","FOLLOWING",#REF!,"NORMAL")</f>
        <v>#VALUE!</v>
      </c>
      <c r="M126" s="155">
        <f ca="1">_xll.meDateYearFraction(C126,D126,$M$11)</f>
        <v>2.7777777777777779E-3</v>
      </c>
      <c r="N126" s="150">
        <f ca="1"/>
        <v>-2.4300000000065936E-3</v>
      </c>
      <c r="O126" s="7" t="s">
        <v>4</v>
      </c>
      <c r="P126" s="149">
        <f t="shared" ca="1" si="3"/>
        <v>42579</v>
      </c>
      <c r="Q126" s="155">
        <f ca="1">_xll.meDateYearFraction(H126,I126,$Q$11,TRUE)</f>
        <v>0.25555555555555554</v>
      </c>
      <c r="R126" s="150">
        <f ca="1">IF(NOW(),_xll.meCurveForwardRatesFromYearFraction(P126,Q126,$Q$11,$Q$9,$Q$10))</f>
        <v>-3.7175485397107962E-3</v>
      </c>
      <c r="S126" s="134" t="s">
        <v>4</v>
      </c>
    </row>
    <row r="127" spans="1:19" x14ac:dyDescent="0.25">
      <c r="A127" s="128">
        <v>111</v>
      </c>
      <c r="B127" s="133"/>
      <c r="C127" s="149">
        <f ca="1">_xll.meDateFromTenor(C126,"1D","FOLLOWING",$D$11,"NORMAL")</f>
        <v>42580</v>
      </c>
      <c r="D127" s="20">
        <f ca="1">_xll.meDateFromTenor(C127,"1D","Following",$D$11,"Normal")</f>
        <v>42583</v>
      </c>
      <c r="E127" s="99">
        <f ca="1"/>
        <v>3.9000000000122409E-3</v>
      </c>
      <c r="F127" s="161">
        <f ca="1">_xll.meCurveForwardRates(C127,$D$9,$D$10)</f>
        <v>3.9075477356231847E-3</v>
      </c>
      <c r="G127" s="7" t="s">
        <v>4</v>
      </c>
      <c r="H127" s="149">
        <f t="shared" ca="1" si="2"/>
        <v>42580</v>
      </c>
      <c r="I127" s="20">
        <f ca="1">_xll.meDateFromTenor(H127,"3M","Following",$I$11,"Normal")</f>
        <v>42674</v>
      </c>
      <c r="J127" s="150">
        <f ca="1"/>
        <v>5.6143447425881718E-3</v>
      </c>
      <c r="K127" s="7" t="s">
        <v>4</v>
      </c>
      <c r="L127" s="149" t="e">
        <f ca="1">_xll.meDateFromTenor(L126,"1D","FOLLOWING",#REF!,"NORMAL")</f>
        <v>#VALUE!</v>
      </c>
      <c r="M127" s="155">
        <f ca="1">_xll.meDateYearFraction(C127,D127,$M$11)</f>
        <v>8.3333333333333332E-3</v>
      </c>
      <c r="N127" s="150">
        <f ca="1"/>
        <v>-2.4300000000065936E-3</v>
      </c>
      <c r="O127" s="7" t="s">
        <v>4</v>
      </c>
      <c r="P127" s="149">
        <f t="shared" ca="1" si="3"/>
        <v>42580</v>
      </c>
      <c r="Q127" s="155">
        <f ca="1">_xll.meDateYearFraction(H127,I127,$Q$11,TRUE)</f>
        <v>0.26111111111111113</v>
      </c>
      <c r="R127" s="150">
        <f ca="1">IF(NOW(),_xll.meCurveForwardRatesFromYearFraction(P127,Q127,$Q$11,$Q$9,$Q$10))</f>
        <v>-4.0191079167731306E-3</v>
      </c>
      <c r="S127" s="134" t="s">
        <v>4</v>
      </c>
    </row>
    <row r="128" spans="1:19" x14ac:dyDescent="0.25">
      <c r="A128" s="128">
        <v>112</v>
      </c>
      <c r="B128" s="133"/>
      <c r="C128" s="149">
        <f ca="1">_xll.meDateFromTenor(C127,"1D","FOLLOWING",$D$11,"NORMAL")</f>
        <v>42583</v>
      </c>
      <c r="D128" s="20">
        <f ca="1">_xll.meDateFromTenor(C128,"1D","Following",$D$11,"Normal")</f>
        <v>42584</v>
      </c>
      <c r="E128" s="99">
        <f ca="1"/>
        <v>4.4000000000288409E-3</v>
      </c>
      <c r="F128" s="161">
        <f ca="1">_xll.meCurveForwardRates(C128,$D$9,$D$10)</f>
        <v>4.4096672057529762E-3</v>
      </c>
      <c r="G128" s="7" t="s">
        <v>4</v>
      </c>
      <c r="H128" s="149">
        <f t="shared" ca="1" si="2"/>
        <v>42583</v>
      </c>
      <c r="I128" s="20">
        <f ca="1">_xll.meDateFromTenor(H128,"3M","Following",$I$11,"Normal")</f>
        <v>42675</v>
      </c>
      <c r="J128" s="150">
        <f ca="1"/>
        <v>5.666145003336313E-3</v>
      </c>
      <c r="K128" s="7" t="s">
        <v>4</v>
      </c>
      <c r="L128" s="149" t="e">
        <f ca="1">_xll.meDateFromTenor(L127,"1D","FOLLOWING",#REF!,"NORMAL")</f>
        <v>#VALUE!</v>
      </c>
      <c r="M128" s="155">
        <f ca="1">_xll.meDateYearFraction(C128,D128,$M$11)</f>
        <v>2.7777777777777779E-3</v>
      </c>
      <c r="N128" s="150">
        <f ca="1"/>
        <v>-2.4300000000065936E-3</v>
      </c>
      <c r="O128" s="7" t="s">
        <v>4</v>
      </c>
      <c r="P128" s="149">
        <f t="shared" ca="1" si="3"/>
        <v>42583</v>
      </c>
      <c r="Q128" s="155">
        <f ca="1">_xll.meDateYearFraction(H128,I128,$Q$11,TRUE)</f>
        <v>0.25555555555555554</v>
      </c>
      <c r="R128" s="150">
        <f ca="1">IF(NOW(),_xll.meCurveForwardRatesFromYearFraction(P128,Q128,$Q$11,$Q$9,$Q$10))</f>
        <v>-3.7175485397107962E-3</v>
      </c>
      <c r="S128" s="134" t="s">
        <v>4</v>
      </c>
    </row>
    <row r="129" spans="1:19" x14ac:dyDescent="0.25">
      <c r="A129" s="128">
        <v>113</v>
      </c>
      <c r="B129" s="133"/>
      <c r="C129" s="149">
        <f ca="1">_xll.meDateFromTenor(C128,"1D","FOLLOWING",$D$11,"NORMAL")</f>
        <v>42584</v>
      </c>
      <c r="D129" s="20">
        <f ca="1">_xll.meDateFromTenor(C129,"1D","Following",$D$11,"Normal")</f>
        <v>42585</v>
      </c>
      <c r="E129" s="99">
        <f ca="1"/>
        <v>4.4000000000287533E-3</v>
      </c>
      <c r="F129" s="161">
        <f ca="1">_xll.meCurveForwardRates(C129,$D$9,$D$10)</f>
        <v>4.4096672057527542E-3</v>
      </c>
      <c r="G129" s="7" t="s">
        <v>4</v>
      </c>
      <c r="H129" s="149">
        <f t="shared" ca="1" si="2"/>
        <v>42584</v>
      </c>
      <c r="I129" s="20">
        <f ca="1">_xll.meDateFromTenor(H129,"3M","Following",$I$11,"Normal")</f>
        <v>42676</v>
      </c>
      <c r="J129" s="150">
        <f ca="1"/>
        <v>5.6858742518538907E-3</v>
      </c>
      <c r="K129" s="7" t="s">
        <v>4</v>
      </c>
      <c r="L129" s="149" t="e">
        <f ca="1">_xll.meDateFromTenor(L128,"1D","FOLLOWING",#REF!,"NORMAL")</f>
        <v>#VALUE!</v>
      </c>
      <c r="M129" s="155">
        <f ca="1">_xll.meDateYearFraction(C129,D129,$M$11)</f>
        <v>2.7777777777777779E-3</v>
      </c>
      <c r="N129" s="150">
        <f ca="1"/>
        <v>-2.4300000000065936E-3</v>
      </c>
      <c r="O129" s="7" t="s">
        <v>4</v>
      </c>
      <c r="P129" s="149">
        <f t="shared" ca="1" si="3"/>
        <v>42584</v>
      </c>
      <c r="Q129" s="155">
        <f ca="1">_xll.meDateYearFraction(H129,I129,$Q$11,TRUE)</f>
        <v>0.25555555555555554</v>
      </c>
      <c r="R129" s="150">
        <f ca="1">IF(NOW(),_xll.meCurveForwardRatesFromYearFraction(P129,Q129,$Q$11,$Q$9,$Q$10))</f>
        <v>-4.0097017220290911E-3</v>
      </c>
      <c r="S129" s="134" t="s">
        <v>4</v>
      </c>
    </row>
    <row r="130" spans="1:19" x14ac:dyDescent="0.25">
      <c r="A130" s="128">
        <v>114</v>
      </c>
      <c r="B130" s="133"/>
      <c r="C130" s="149">
        <f ca="1">_xll.meDateFromTenor(C129,"1D","FOLLOWING",$D$11,"NORMAL")</f>
        <v>42585</v>
      </c>
      <c r="D130" s="20">
        <f ca="1">_xll.meDateFromTenor(C130,"1D","Following",$D$11,"Normal")</f>
        <v>42586</v>
      </c>
      <c r="E130" s="99">
        <f ca="1"/>
        <v>4.4000000000288409E-3</v>
      </c>
      <c r="F130" s="161">
        <f ca="1">_xll.meCurveForwardRates(C130,$D$9,$D$10)</f>
        <v>4.4096672057529762E-3</v>
      </c>
      <c r="G130" s="7" t="s">
        <v>4</v>
      </c>
      <c r="H130" s="149">
        <f t="shared" ca="1" si="2"/>
        <v>42585</v>
      </c>
      <c r="I130" s="20">
        <f ca="1">_xll.meDateFromTenor(H130,"3M","Following",$I$11,"Normal")</f>
        <v>42677</v>
      </c>
      <c r="J130" s="150">
        <f ca="1"/>
        <v>5.7068454251082111E-3</v>
      </c>
      <c r="K130" s="7" t="s">
        <v>4</v>
      </c>
      <c r="L130" s="149" t="e">
        <f ca="1">_xll.meDateFromTenor(L129,"1D","FOLLOWING",#REF!,"NORMAL")</f>
        <v>#VALUE!</v>
      </c>
      <c r="M130" s="155">
        <f ca="1">_xll.meDateYearFraction(C130,D130,$M$11)</f>
        <v>2.7777777777777779E-3</v>
      </c>
      <c r="N130" s="150">
        <f ca="1"/>
        <v>-2.4300000000065936E-3</v>
      </c>
      <c r="O130" s="7" t="s">
        <v>4</v>
      </c>
      <c r="P130" s="149">
        <f t="shared" ca="1" si="3"/>
        <v>42585</v>
      </c>
      <c r="Q130" s="155">
        <f ca="1">_xll.meDateYearFraction(H130,I130,$Q$11,TRUE)</f>
        <v>0.25555555555555554</v>
      </c>
      <c r="R130" s="150">
        <f ca="1">IF(NOW(),_xll.meCurveForwardRatesFromYearFraction(P130,Q130,$Q$11,$Q$9,$Q$10))</f>
        <v>-3.7175485397107962E-3</v>
      </c>
      <c r="S130" s="134" t="s">
        <v>4</v>
      </c>
    </row>
    <row r="131" spans="1:19" x14ac:dyDescent="0.25">
      <c r="A131" s="128">
        <v>115</v>
      </c>
      <c r="B131" s="133"/>
      <c r="C131" s="149">
        <f ca="1">_xll.meDateFromTenor(C130,"1D","FOLLOWING",$D$11,"NORMAL")</f>
        <v>42586</v>
      </c>
      <c r="D131" s="20">
        <f ca="1">_xll.meDateFromTenor(C131,"1D","Following",$D$11,"Normal")</f>
        <v>42587</v>
      </c>
      <c r="E131" s="99">
        <f ca="1"/>
        <v>4.4000000000288409E-3</v>
      </c>
      <c r="F131" s="161">
        <f ca="1">_xll.meCurveForwardRates(C131,$D$9,$D$10)</f>
        <v>4.4096672057529762E-3</v>
      </c>
      <c r="G131" s="7" t="s">
        <v>4</v>
      </c>
      <c r="H131" s="149">
        <f t="shared" ca="1" si="2"/>
        <v>42586</v>
      </c>
      <c r="I131" s="20">
        <f ca="1">_xll.meDateFromTenor(H131,"3M","Following",$I$11,"Normal")</f>
        <v>42678</v>
      </c>
      <c r="J131" s="150">
        <f ca="1"/>
        <v>5.7290649294608536E-3</v>
      </c>
      <c r="K131" s="7" t="s">
        <v>4</v>
      </c>
      <c r="L131" s="149" t="e">
        <f ca="1">_xll.meDateFromTenor(L130,"1D","FOLLOWING",#REF!,"NORMAL")</f>
        <v>#VALUE!</v>
      </c>
      <c r="M131" s="155">
        <f ca="1">_xll.meDateYearFraction(C131,D131,$M$11)</f>
        <v>2.7777777777777779E-3</v>
      </c>
      <c r="N131" s="150">
        <f ca="1"/>
        <v>-2.4300000000065936E-3</v>
      </c>
      <c r="O131" s="7" t="s">
        <v>4</v>
      </c>
      <c r="P131" s="149">
        <f t="shared" ca="1" si="3"/>
        <v>42586</v>
      </c>
      <c r="Q131" s="155">
        <f ca="1">_xll.meDateYearFraction(H131,I131,$Q$11,TRUE)</f>
        <v>0.25555555555555554</v>
      </c>
      <c r="R131" s="150">
        <f ca="1">IF(NOW(),_xll.meCurveForwardRatesFromYearFraction(P131,Q131,$Q$11,$Q$9,$Q$10))</f>
        <v>-3.7175485397107962E-3</v>
      </c>
      <c r="S131" s="134" t="s">
        <v>4</v>
      </c>
    </row>
    <row r="132" spans="1:19" x14ac:dyDescent="0.25">
      <c r="A132" s="128">
        <v>116</v>
      </c>
      <c r="B132" s="133"/>
      <c r="C132" s="149">
        <f ca="1">_xll.meDateFromTenor(C131,"1D","FOLLOWING",$D$11,"NORMAL")</f>
        <v>42587</v>
      </c>
      <c r="D132" s="20">
        <f ca="1">_xll.meDateFromTenor(C132,"1D","Following",$D$11,"Normal")</f>
        <v>42590</v>
      </c>
      <c r="E132" s="99">
        <f ca="1"/>
        <v>4.3999999999755502E-3</v>
      </c>
      <c r="F132" s="161">
        <f ca="1">_xll.meCurveForwardRates(C132,$D$9,$D$10)</f>
        <v>4.4096193613485379E-3</v>
      </c>
      <c r="G132" s="7" t="s">
        <v>4</v>
      </c>
      <c r="H132" s="149">
        <f t="shared" ca="1" si="2"/>
        <v>42587</v>
      </c>
      <c r="I132" s="20">
        <f ca="1">_xll.meDateFromTenor(H132,"3M","Following",$I$11,"Normal")</f>
        <v>42681</v>
      </c>
      <c r="J132" s="150">
        <f ca="1"/>
        <v>5.7525391712734061E-3</v>
      </c>
      <c r="K132" s="7" t="s">
        <v>4</v>
      </c>
      <c r="L132" s="149" t="e">
        <f ca="1">_xll.meDateFromTenor(L131,"1D","FOLLOWING",#REF!,"NORMAL")</f>
        <v>#VALUE!</v>
      </c>
      <c r="M132" s="155">
        <f ca="1">_xll.meDateYearFraction(C132,D132,$M$11)</f>
        <v>8.3333333333333332E-3</v>
      </c>
      <c r="N132" s="150">
        <f ca="1"/>
        <v>-2.4300000000065936E-3</v>
      </c>
      <c r="O132" s="7" t="s">
        <v>4</v>
      </c>
      <c r="P132" s="149">
        <f t="shared" ca="1" si="3"/>
        <v>42587</v>
      </c>
      <c r="Q132" s="155">
        <f ca="1">_xll.meDateYearFraction(H132,I132,$Q$11,TRUE)</f>
        <v>0.26111111111111113</v>
      </c>
      <c r="R132" s="150">
        <f ca="1">IF(NOW(),_xll.meCurveForwardRatesFromYearFraction(P132,Q132,$Q$11,$Q$9,$Q$10))</f>
        <v>-4.0026470759710617E-3</v>
      </c>
      <c r="S132" s="134" t="s">
        <v>4</v>
      </c>
    </row>
    <row r="133" spans="1:19" x14ac:dyDescent="0.25">
      <c r="A133" s="128">
        <v>117</v>
      </c>
      <c r="B133" s="133"/>
      <c r="C133" s="149">
        <f ca="1">_xll.meDateFromTenor(C132,"1D","FOLLOWING",$D$11,"NORMAL")</f>
        <v>42590</v>
      </c>
      <c r="D133" s="20">
        <f ca="1">_xll.meDateFromTenor(C133,"1D","Following",$D$11,"Normal")</f>
        <v>42591</v>
      </c>
      <c r="E133" s="99">
        <f ca="1"/>
        <v>4.4000000001086894E-3</v>
      </c>
      <c r="F133" s="161">
        <f ca="1">_xll.meCurveForwardRates(C133,$D$9,$D$10)</f>
        <v>4.4096672058331343E-3</v>
      </c>
      <c r="G133" s="7" t="s">
        <v>4</v>
      </c>
      <c r="H133" s="149">
        <f t="shared" ca="1" si="2"/>
        <v>42590</v>
      </c>
      <c r="I133" s="20">
        <f ca="1">_xll.meDateFromTenor(H133,"3M","Following",$I$11,"Normal")</f>
        <v>42682</v>
      </c>
      <c r="J133" s="150">
        <f ca="1"/>
        <v>5.8305543850863551E-3</v>
      </c>
      <c r="K133" s="7" t="s">
        <v>4</v>
      </c>
      <c r="L133" s="149" t="e">
        <f ca="1">_xll.meDateFromTenor(L132,"1D","FOLLOWING",#REF!,"NORMAL")</f>
        <v>#VALUE!</v>
      </c>
      <c r="M133" s="155">
        <f ca="1">_xll.meDateYearFraction(C133,D133,$M$11)</f>
        <v>2.7777777777777779E-3</v>
      </c>
      <c r="N133" s="150">
        <f ca="1"/>
        <v>-2.4300000000065936E-3</v>
      </c>
      <c r="O133" s="7" t="s">
        <v>4</v>
      </c>
      <c r="P133" s="149">
        <f t="shared" ca="1" si="3"/>
        <v>42590</v>
      </c>
      <c r="Q133" s="155">
        <f ca="1">_xll.meDateYearFraction(H133,I133,$Q$11,TRUE)</f>
        <v>0.25555555555555554</v>
      </c>
      <c r="R133" s="150">
        <f ca="1">IF(NOW(),_xll.meCurveForwardRatesFromYearFraction(P133,Q133,$Q$11,$Q$9,$Q$10))</f>
        <v>-3.9955924299130332E-3</v>
      </c>
      <c r="S133" s="134" t="s">
        <v>4</v>
      </c>
    </row>
    <row r="134" spans="1:19" x14ac:dyDescent="0.25">
      <c r="A134" s="128">
        <v>118</v>
      </c>
      <c r="B134" s="133"/>
      <c r="C134" s="149">
        <f ca="1">_xll.meDateFromTenor(C133,"1D","FOLLOWING",$D$11,"NORMAL")</f>
        <v>42591</v>
      </c>
      <c r="D134" s="20">
        <f ca="1">_xll.meDateFromTenor(C134,"1D","Following",$D$11,"Normal")</f>
        <v>42592</v>
      </c>
      <c r="E134" s="99">
        <f ca="1"/>
        <v>4.4000000000288409E-3</v>
      </c>
      <c r="F134" s="161">
        <f ca="1">_xll.meCurveForwardRates(C134,$D$9,$D$10)</f>
        <v>4.4096672057529762E-3</v>
      </c>
      <c r="G134" s="7" t="s">
        <v>4</v>
      </c>
      <c r="H134" s="149">
        <f t="shared" ca="1" si="2"/>
        <v>42591</v>
      </c>
      <c r="I134" s="20">
        <f ca="1">_xll.meDateFromTenor(H134,"3M","Following",$I$11,"Normal")</f>
        <v>42683</v>
      </c>
      <c r="J134" s="150">
        <f ca="1"/>
        <v>5.8591116403543851E-3</v>
      </c>
      <c r="K134" s="7" t="s">
        <v>4</v>
      </c>
      <c r="L134" s="149" t="e">
        <f ca="1">_xll.meDateFromTenor(L133,"1D","FOLLOWING",#REF!,"NORMAL")</f>
        <v>#VALUE!</v>
      </c>
      <c r="M134" s="155">
        <f ca="1">_xll.meDateYearFraction(C134,D134,$M$11)</f>
        <v>2.7777777777777779E-3</v>
      </c>
      <c r="N134" s="150">
        <f ca="1"/>
        <v>-2.4300000000065936E-3</v>
      </c>
      <c r="O134" s="7" t="s">
        <v>4</v>
      </c>
      <c r="P134" s="149">
        <f t="shared" ca="1" si="3"/>
        <v>42591</v>
      </c>
      <c r="Q134" s="155">
        <f ca="1">_xll.meDateYearFraction(H134,I134,$Q$11,TRUE)</f>
        <v>0.25555555555555554</v>
      </c>
      <c r="R134" s="150">
        <f ca="1">IF(NOW(),_xll.meCurveForwardRatesFromYearFraction(P134,Q134,$Q$11,$Q$9,$Q$10))</f>
        <v>-3.7175485397107962E-3</v>
      </c>
      <c r="S134" s="134" t="s">
        <v>4</v>
      </c>
    </row>
    <row r="135" spans="1:19" x14ac:dyDescent="0.25">
      <c r="A135" s="128">
        <v>119</v>
      </c>
      <c r="B135" s="133"/>
      <c r="C135" s="149">
        <f ca="1">_xll.meDateFromTenor(C134,"1D","FOLLOWING",$D$11,"NORMAL")</f>
        <v>42592</v>
      </c>
      <c r="D135" s="20">
        <f ca="1">_xll.meDateFromTenor(C135,"1D","Following",$D$11,"Normal")</f>
        <v>42593</v>
      </c>
      <c r="E135" s="99">
        <f ca="1"/>
        <v>4.400000000108777E-3</v>
      </c>
      <c r="F135" s="161">
        <f ca="1">_xll.meCurveForwardRates(C135,$D$9,$D$10)</f>
        <v>4.4096672058331343E-3</v>
      </c>
      <c r="G135" s="7" t="s">
        <v>4</v>
      </c>
      <c r="H135" s="149">
        <f t="shared" ca="1" si="2"/>
        <v>42592</v>
      </c>
      <c r="I135" s="20">
        <f ca="1">_xll.meDateFromTenor(H135,"3M","Following",$I$11,"Normal")</f>
        <v>42684</v>
      </c>
      <c r="J135" s="150">
        <f ca="1"/>
        <v>5.8889556648902422E-3</v>
      </c>
      <c r="K135" s="7" t="s">
        <v>4</v>
      </c>
      <c r="L135" s="149" t="e">
        <f ca="1">_xll.meDateFromTenor(L134,"1D","FOLLOWING",#REF!,"NORMAL")</f>
        <v>#VALUE!</v>
      </c>
      <c r="M135" s="155">
        <f ca="1">_xll.meDateYearFraction(C135,D135,$M$11)</f>
        <v>2.7777777777777779E-3</v>
      </c>
      <c r="N135" s="150">
        <f ca="1"/>
        <v>-2.4300000000065936E-3</v>
      </c>
      <c r="O135" s="7" t="s">
        <v>4</v>
      </c>
      <c r="P135" s="149">
        <f t="shared" ca="1" si="3"/>
        <v>42592</v>
      </c>
      <c r="Q135" s="155">
        <f ca="1">_xll.meDateYearFraction(H135,I135,$Q$11,TRUE)</f>
        <v>0.25555555555555554</v>
      </c>
      <c r="R135" s="150">
        <f ca="1">IF(NOW(),_xll.meCurveForwardRatesFromYearFraction(P135,Q135,$Q$11,$Q$9,$Q$10))</f>
        <v>-3.7175485397107962E-3</v>
      </c>
      <c r="S135" s="134" t="s">
        <v>4</v>
      </c>
    </row>
    <row r="136" spans="1:19" x14ac:dyDescent="0.25">
      <c r="A136" s="128">
        <v>120</v>
      </c>
      <c r="B136" s="133"/>
      <c r="C136" s="149">
        <f ca="1">_xll.meDateFromTenor(C135,"1D","FOLLOWING",$D$11,"NORMAL")</f>
        <v>42593</v>
      </c>
      <c r="D136" s="20">
        <f ca="1">_xll.meDateFromTenor(C136,"1D","Following",$D$11,"Normal")</f>
        <v>42594</v>
      </c>
      <c r="E136" s="99">
        <f ca="1"/>
        <v>4.4000000000288409E-3</v>
      </c>
      <c r="F136" s="161">
        <f ca="1">_xll.meCurveForwardRates(C136,$D$9,$D$10)</f>
        <v>4.4096672057529762E-3</v>
      </c>
      <c r="G136" s="7" t="s">
        <v>4</v>
      </c>
      <c r="H136" s="149">
        <f t="shared" ca="1" si="2"/>
        <v>42593</v>
      </c>
      <c r="I136" s="20">
        <f ca="1">_xll.meDateFromTenor(H136,"3M","Following",$I$11,"Normal")</f>
        <v>42688</v>
      </c>
      <c r="J136" s="150">
        <f ca="1"/>
        <v>5.920092865055516E-3</v>
      </c>
      <c r="K136" s="7" t="s">
        <v>4</v>
      </c>
      <c r="L136" s="149" t="e">
        <f ca="1">_xll.meDateFromTenor(L135,"1D","FOLLOWING",#REF!,"NORMAL")</f>
        <v>#VALUE!</v>
      </c>
      <c r="M136" s="155">
        <f ca="1">_xll.meDateYearFraction(C136,D136,$M$11)</f>
        <v>2.7777777777777779E-3</v>
      </c>
      <c r="N136" s="150">
        <f ca="1"/>
        <v>-2.4300000000065936E-3</v>
      </c>
      <c r="O136" s="7" t="s">
        <v>4</v>
      </c>
      <c r="P136" s="149">
        <f t="shared" ca="1" si="3"/>
        <v>42593</v>
      </c>
      <c r="Q136" s="155">
        <f ca="1">_xll.meDateYearFraction(H136,I136,$Q$11,TRUE)</f>
        <v>0.2638888888888889</v>
      </c>
      <c r="R136" s="150">
        <f ca="1">IF(NOW(),_xll.meCurveForwardRatesFromYearFraction(P136,Q136,$Q$11,$Q$9,$Q$10))</f>
        <v>-3.9885377838550038E-3</v>
      </c>
      <c r="S136" s="134" t="s">
        <v>4</v>
      </c>
    </row>
    <row r="137" spans="1:19" x14ac:dyDescent="0.25">
      <c r="A137" s="128">
        <v>121</v>
      </c>
      <c r="B137" s="133"/>
      <c r="C137" s="149">
        <f ca="1">_xll.meDateFromTenor(C136,"1D","FOLLOWING",$D$11,"NORMAL")</f>
        <v>42594</v>
      </c>
      <c r="D137" s="20">
        <f ca="1">_xll.meDateFromTenor(C137,"1D","Following",$D$11,"Normal")</f>
        <v>42597</v>
      </c>
      <c r="E137" s="99">
        <f ca="1"/>
        <v>4.4000000000021661E-3</v>
      </c>
      <c r="F137" s="161">
        <f ca="1">_xll.meCurveForwardRates(C137,$D$9,$D$10)</f>
        <v>4.4096193613485379E-3</v>
      </c>
      <c r="G137" s="7" t="s">
        <v>4</v>
      </c>
      <c r="H137" s="149">
        <f t="shared" ca="1" si="2"/>
        <v>42594</v>
      </c>
      <c r="I137" s="20">
        <f ca="1">_xll.meDateFromTenor(H137,"3M","Following",$I$11,"Normal")</f>
        <v>42688</v>
      </c>
      <c r="J137" s="150">
        <f ca="1"/>
        <v>5.9525296472117857E-3</v>
      </c>
      <c r="K137" s="7" t="s">
        <v>4</v>
      </c>
      <c r="L137" s="149" t="e">
        <f ca="1">_xll.meDateFromTenor(L136,"1D","FOLLOWING",#REF!,"NORMAL")</f>
        <v>#VALUE!</v>
      </c>
      <c r="M137" s="155">
        <f ca="1">_xll.meDateYearFraction(C137,D137,$M$11)</f>
        <v>8.3333333333333332E-3</v>
      </c>
      <c r="N137" s="150">
        <f ca="1"/>
        <v>-2.4300000000065936E-3</v>
      </c>
      <c r="O137" s="7" t="s">
        <v>4</v>
      </c>
      <c r="P137" s="149">
        <f t="shared" ca="1" si="3"/>
        <v>42594</v>
      </c>
      <c r="Q137" s="155">
        <f ca="1">_xll.meDateYearFraction(H137,I137,$Q$11,TRUE)</f>
        <v>0.26111111111111113</v>
      </c>
      <c r="R137" s="150">
        <f ca="1">IF(NOW(),_xll.meCurveForwardRatesFromYearFraction(P137,Q137,$Q$11,$Q$9,$Q$10))</f>
        <v>-3.9861862351689946E-3</v>
      </c>
      <c r="S137" s="134" t="s">
        <v>4</v>
      </c>
    </row>
    <row r="138" spans="1:19" x14ac:dyDescent="0.25">
      <c r="A138" s="128">
        <v>122</v>
      </c>
      <c r="B138" s="133"/>
      <c r="C138" s="149">
        <f ca="1">_xll.meDateFromTenor(C137,"1D","FOLLOWING",$D$11,"NORMAL")</f>
        <v>42597</v>
      </c>
      <c r="D138" s="20">
        <f ca="1">_xll.meDateFromTenor(C138,"1D","Following",$D$11,"Normal")</f>
        <v>42598</v>
      </c>
      <c r="E138" s="99">
        <f ca="1"/>
        <v>4.4000000000288409E-3</v>
      </c>
      <c r="F138" s="161">
        <f ca="1">_xll.meCurveForwardRates(C138,$D$9,$D$10)</f>
        <v>4.4096672057529762E-3</v>
      </c>
      <c r="G138" s="7" t="s">
        <v>4</v>
      </c>
      <c r="H138" s="149">
        <f t="shared" ca="1" si="2"/>
        <v>42597</v>
      </c>
      <c r="I138" s="20">
        <f ca="1">_xll.meDateFromTenor(H138,"3M","Following",$I$11,"Normal")</f>
        <v>42689</v>
      </c>
      <c r="J138" s="150">
        <f ca="1"/>
        <v>6.0577015492424297E-3</v>
      </c>
      <c r="K138" s="7" t="s">
        <v>4</v>
      </c>
      <c r="L138" s="149" t="e">
        <f ca="1">_xll.meDateFromTenor(L137,"1D","FOLLOWING",#REF!,"NORMAL")</f>
        <v>#VALUE!</v>
      </c>
      <c r="M138" s="155">
        <f ca="1">_xll.meDateYearFraction(C138,D138,$M$11)</f>
        <v>2.7777777777777779E-3</v>
      </c>
      <c r="N138" s="150">
        <f ca="1"/>
        <v>-2.4300000000065936E-3</v>
      </c>
      <c r="O138" s="7" t="s">
        <v>4</v>
      </c>
      <c r="P138" s="149">
        <f t="shared" ca="1" si="3"/>
        <v>42597</v>
      </c>
      <c r="Q138" s="155">
        <f ca="1">_xll.meDateYearFraction(H138,I138,$Q$11,TRUE)</f>
        <v>0.25555555555555554</v>
      </c>
      <c r="R138" s="150">
        <f ca="1">IF(NOW(),_xll.meCurveForwardRatesFromYearFraction(P138,Q138,$Q$11,$Q$9,$Q$10))</f>
        <v>-3.7175485397107962E-3</v>
      </c>
      <c r="S138" s="134" t="s">
        <v>4</v>
      </c>
    </row>
    <row r="139" spans="1:19" x14ac:dyDescent="0.25">
      <c r="A139" s="128">
        <v>123</v>
      </c>
      <c r="B139" s="133"/>
      <c r="C139" s="149">
        <f ca="1">_xll.meDateFromTenor(C138,"1D","FOLLOWING",$D$11,"NORMAL")</f>
        <v>42598</v>
      </c>
      <c r="D139" s="20">
        <f ca="1">_xll.meDateFromTenor(C139,"1D","Following",$D$11,"Normal")</f>
        <v>42599</v>
      </c>
      <c r="E139" s="99">
        <f ca="1"/>
        <v>4.4000000000288409E-3</v>
      </c>
      <c r="F139" s="161">
        <f ca="1">_xll.meCurveForwardRates(C139,$D$9,$D$10)</f>
        <v>4.4096672057529762E-3</v>
      </c>
      <c r="G139" s="7" t="s">
        <v>4</v>
      </c>
      <c r="H139" s="149">
        <f t="shared" ca="1" si="2"/>
        <v>42598</v>
      </c>
      <c r="I139" s="20">
        <f ca="1">_xll.meDateFromTenor(H139,"3M","Following",$I$11,"Normal")</f>
        <v>42690</v>
      </c>
      <c r="J139" s="150">
        <f ca="1"/>
        <v>6.0954007229785355E-3</v>
      </c>
      <c r="K139" s="7" t="s">
        <v>4</v>
      </c>
      <c r="L139" s="149" t="e">
        <f ca="1">_xll.meDateFromTenor(L138,"1D","FOLLOWING",#REF!,"NORMAL")</f>
        <v>#VALUE!</v>
      </c>
      <c r="M139" s="155">
        <f ca="1">_xll.meDateYearFraction(C139,D139,$M$11)</f>
        <v>2.7777777777777779E-3</v>
      </c>
      <c r="N139" s="150">
        <f ca="1"/>
        <v>-2.4300000000065936E-3</v>
      </c>
      <c r="O139" s="7" t="s">
        <v>4</v>
      </c>
      <c r="P139" s="149">
        <f t="shared" ca="1" si="3"/>
        <v>42598</v>
      </c>
      <c r="Q139" s="155">
        <f ca="1">_xll.meDateYearFraction(H139,I139,$Q$11,TRUE)</f>
        <v>0.25555555555555554</v>
      </c>
      <c r="R139" s="150">
        <f ca="1">IF(NOW(),_xll.meCurveForwardRatesFromYearFraction(P139,Q139,$Q$11,$Q$9,$Q$10))</f>
        <v>-3.9767800404249551E-3</v>
      </c>
      <c r="S139" s="134" t="s">
        <v>4</v>
      </c>
    </row>
    <row r="140" spans="1:19" x14ac:dyDescent="0.25">
      <c r="A140" s="128">
        <v>124</v>
      </c>
      <c r="B140" s="133"/>
      <c r="C140" s="149">
        <f ca="1">_xll.meDateFromTenor(C139,"1D","FOLLOWING",$D$11,"NORMAL")</f>
        <v>42599</v>
      </c>
      <c r="D140" s="20">
        <f ca="1">_xll.meDateFromTenor(C140,"1D","Following",$D$11,"Normal")</f>
        <v>42600</v>
      </c>
      <c r="E140" s="99">
        <f ca="1"/>
        <v>4.4000000000288409E-3</v>
      </c>
      <c r="F140" s="161">
        <f ca="1">_xll.meCurveForwardRates(C140,$D$9,$D$10)</f>
        <v>4.4096672057529762E-3</v>
      </c>
      <c r="G140" s="7" t="s">
        <v>4</v>
      </c>
      <c r="H140" s="149">
        <f t="shared" ca="1" si="2"/>
        <v>42599</v>
      </c>
      <c r="I140" s="20">
        <f ca="1">_xll.meDateFromTenor(H140,"3M","Following",$I$11,"Normal")</f>
        <v>42691</v>
      </c>
      <c r="J140" s="150">
        <f ca="1"/>
        <v>6.1344315105135621E-3</v>
      </c>
      <c r="K140" s="7" t="s">
        <v>4</v>
      </c>
      <c r="L140" s="149" t="e">
        <f ca="1">_xll.meDateFromTenor(L139,"1D","FOLLOWING",#REF!,"NORMAL")</f>
        <v>#VALUE!</v>
      </c>
      <c r="M140" s="155">
        <f ca="1">_xll.meDateYearFraction(C140,D140,$M$11)</f>
        <v>2.7777777777777779E-3</v>
      </c>
      <c r="N140" s="150">
        <f ca="1"/>
        <v>-2.4300000000065936E-3</v>
      </c>
      <c r="O140" s="7" t="s">
        <v>4</v>
      </c>
      <c r="P140" s="149">
        <f t="shared" ca="1" si="3"/>
        <v>42599</v>
      </c>
      <c r="Q140" s="155">
        <f ca="1">_xll.meDateYearFraction(H140,I140,$Q$11,TRUE)</f>
        <v>0.25555555555555554</v>
      </c>
      <c r="R140" s="150">
        <f ca="1">IF(NOW(),_xll.meCurveForwardRatesFromYearFraction(P140,Q140,$Q$11,$Q$9,$Q$10))</f>
        <v>-3.7175485397107962E-3</v>
      </c>
      <c r="S140" s="134" t="s">
        <v>4</v>
      </c>
    </row>
    <row r="141" spans="1:19" x14ac:dyDescent="0.25">
      <c r="A141" s="128">
        <v>125</v>
      </c>
      <c r="B141" s="133"/>
      <c r="C141" s="149">
        <f ca="1">_xll.meDateFromTenor(C140,"1D","FOLLOWING",$D$11,"NORMAL")</f>
        <v>42600</v>
      </c>
      <c r="D141" s="20">
        <f ca="1">_xll.meDateFromTenor(C141,"1D","Following",$D$11,"Normal")</f>
        <v>42601</v>
      </c>
      <c r="E141" s="99">
        <f ca="1"/>
        <v>4.4000000000288409E-3</v>
      </c>
      <c r="F141" s="161">
        <f ca="1">_xll.meCurveForwardRates(C141,$D$9,$D$10)</f>
        <v>4.4096672057529762E-3</v>
      </c>
      <c r="G141" s="7" t="s">
        <v>4</v>
      </c>
      <c r="H141" s="149">
        <f t="shared" ca="1" si="2"/>
        <v>42600</v>
      </c>
      <c r="I141" s="20">
        <f ca="1">_xll.meDateFromTenor(H141,"3M","Following",$I$11,"Normal")</f>
        <v>42692</v>
      </c>
      <c r="J141" s="150">
        <f ca="1"/>
        <v>6.1748003182090904E-3</v>
      </c>
      <c r="K141" s="7" t="s">
        <v>4</v>
      </c>
      <c r="L141" s="149" t="e">
        <f ca="1">_xll.meDateFromTenor(L140,"1D","FOLLOWING",#REF!,"NORMAL")</f>
        <v>#VALUE!</v>
      </c>
      <c r="M141" s="155">
        <f ca="1">_xll.meDateYearFraction(C141,D141,$M$11)</f>
        <v>2.7777777777777779E-3</v>
      </c>
      <c r="N141" s="150">
        <f ca="1"/>
        <v>-2.4300000000065936E-3</v>
      </c>
      <c r="O141" s="7" t="s">
        <v>4</v>
      </c>
      <c r="P141" s="149">
        <f t="shared" ca="1" si="3"/>
        <v>42600</v>
      </c>
      <c r="Q141" s="155">
        <f ca="1">_xll.meDateYearFraction(H141,I141,$Q$11,TRUE)</f>
        <v>0.25555555555555554</v>
      </c>
      <c r="R141" s="150">
        <f ca="1">IF(NOW(),_xll.meCurveForwardRatesFromYearFraction(P141,Q141,$Q$11,$Q$9,$Q$10))</f>
        <v>-3.9720769430529358E-3</v>
      </c>
      <c r="S141" s="134" t="s">
        <v>4</v>
      </c>
    </row>
    <row r="142" spans="1:19" x14ac:dyDescent="0.25">
      <c r="A142" s="128">
        <v>126</v>
      </c>
      <c r="B142" s="133"/>
      <c r="C142" s="149">
        <f ca="1">_xll.meDateFromTenor(C141,"1D","FOLLOWING",$D$11,"NORMAL")</f>
        <v>42601</v>
      </c>
      <c r="D142" s="20">
        <f ca="1">_xll.meDateFromTenor(C142,"1D","Following",$D$11,"Normal")</f>
        <v>42604</v>
      </c>
      <c r="E142" s="99">
        <f ca="1"/>
        <v>4.4000000000021956E-3</v>
      </c>
      <c r="F142" s="161">
        <f ca="1">_xll.meCurveForwardRates(C142,$D$9,$D$10)</f>
        <v>4.4096193613485379E-3</v>
      </c>
      <c r="G142" s="7" t="s">
        <v>4</v>
      </c>
      <c r="H142" s="149">
        <f t="shared" ca="1" si="2"/>
        <v>42601</v>
      </c>
      <c r="I142" s="20">
        <f ca="1">_xll.meDateFromTenor(H142,"3M","Following",$I$11,"Normal")</f>
        <v>42695</v>
      </c>
      <c r="J142" s="150">
        <f ca="1"/>
        <v>6.2165135524267093E-3</v>
      </c>
      <c r="K142" s="7" t="s">
        <v>4</v>
      </c>
      <c r="L142" s="149" t="e">
        <f ca="1">_xll.meDateFromTenor(L141,"1D","FOLLOWING",#REF!,"NORMAL")</f>
        <v>#VALUE!</v>
      </c>
      <c r="M142" s="155">
        <f ca="1">_xll.meDateYearFraction(C142,D142,$M$11)</f>
        <v>8.3333333333333332E-3</v>
      </c>
      <c r="N142" s="150">
        <f ca="1"/>
        <v>-2.4300000000065936E-3</v>
      </c>
      <c r="O142" s="7" t="s">
        <v>4</v>
      </c>
      <c r="P142" s="149">
        <f t="shared" ca="1" si="3"/>
        <v>42601</v>
      </c>
      <c r="Q142" s="155">
        <f ca="1">_xll.meDateYearFraction(H142,I142,$Q$11,TRUE)</f>
        <v>0.26111111111111113</v>
      </c>
      <c r="R142" s="150">
        <f ca="1">IF(NOW(),_xll.meCurveForwardRatesFromYearFraction(P142,Q142,$Q$11,$Q$9,$Q$10))</f>
        <v>-3.7175485397107962E-3</v>
      </c>
      <c r="S142" s="134" t="s">
        <v>4</v>
      </c>
    </row>
    <row r="143" spans="1:19" x14ac:dyDescent="0.25">
      <c r="A143" s="128">
        <v>127</v>
      </c>
      <c r="B143" s="133"/>
      <c r="C143" s="149">
        <f ca="1">_xll.meDateFromTenor(C142,"1D","FOLLOWING",$D$11,"NORMAL")</f>
        <v>42604</v>
      </c>
      <c r="D143" s="20">
        <f ca="1">_xll.meDateFromTenor(C143,"1D","Following",$D$11,"Normal")</f>
        <v>42605</v>
      </c>
      <c r="E143" s="99">
        <f ca="1"/>
        <v>4.4000000000286648E-3</v>
      </c>
      <c r="F143" s="161">
        <f ca="1">_xll.meCurveForwardRates(C143,$D$9,$D$10)</f>
        <v>4.4096672057527542E-3</v>
      </c>
      <c r="G143" s="7" t="s">
        <v>4</v>
      </c>
      <c r="H143" s="149">
        <f t="shared" ca="1" si="2"/>
        <v>42604</v>
      </c>
      <c r="I143" s="20">
        <f ca="1">_xll.meDateFromTenor(H143,"3M","Following",$I$11,"Normal")</f>
        <v>42696</v>
      </c>
      <c r="J143" s="150">
        <f ca="1"/>
        <v>6.3497838778279287E-3</v>
      </c>
      <c r="K143" s="7" t="s">
        <v>4</v>
      </c>
      <c r="L143" s="149" t="e">
        <f ca="1">_xll.meDateFromTenor(L142,"1D","FOLLOWING",#REF!,"NORMAL")</f>
        <v>#VALUE!</v>
      </c>
      <c r="M143" s="155">
        <f ca="1">_xll.meDateYearFraction(C143,D143,$M$11)</f>
        <v>2.7777777777777779E-3</v>
      </c>
      <c r="N143" s="150">
        <f ca="1"/>
        <v>-2.4300000000065936E-3</v>
      </c>
      <c r="O143" s="7" t="s">
        <v>4</v>
      </c>
      <c r="P143" s="149">
        <f t="shared" ca="1" si="3"/>
        <v>42604</v>
      </c>
      <c r="Q143" s="155">
        <f ca="1">_xll.meDateYearFraction(H143,I143,$Q$11,TRUE)</f>
        <v>0.25555555555555554</v>
      </c>
      <c r="R143" s="150">
        <f ca="1">IF(NOW(),_xll.meCurveForwardRatesFromYearFraction(P143,Q143,$Q$11,$Q$9,$Q$10))</f>
        <v>-3.7175485397107962E-3</v>
      </c>
      <c r="S143" s="134" t="s">
        <v>4</v>
      </c>
    </row>
    <row r="144" spans="1:19" x14ac:dyDescent="0.25">
      <c r="A144" s="128">
        <v>128</v>
      </c>
      <c r="B144" s="133"/>
      <c r="C144" s="149">
        <f ca="1">_xll.meDateFromTenor(C143,"1D","FOLLOWING",$D$11,"NORMAL")</f>
        <v>42605</v>
      </c>
      <c r="D144" s="20">
        <f ca="1">_xll.meDateFromTenor(C144,"1D","Following",$D$11,"Normal")</f>
        <v>42606</v>
      </c>
      <c r="E144" s="99">
        <f ca="1"/>
        <v>4.400000000108777E-3</v>
      </c>
      <c r="F144" s="161">
        <f ca="1">_xll.meCurveForwardRates(C144,$D$9,$D$10)</f>
        <v>4.4096672058331343E-3</v>
      </c>
      <c r="G144" s="7" t="s">
        <v>4</v>
      </c>
      <c r="H144" s="149">
        <f t="shared" ca="1" si="2"/>
        <v>42605</v>
      </c>
      <c r="I144" s="20">
        <f ca="1">_xll.meDateFromTenor(H144,"3M","Following",$I$11,"Normal")</f>
        <v>42697</v>
      </c>
      <c r="J144" s="150">
        <f ca="1"/>
        <v>6.3969388817497388E-3</v>
      </c>
      <c r="K144" s="7" t="s">
        <v>4</v>
      </c>
      <c r="L144" s="149" t="e">
        <f ca="1">_xll.meDateFromTenor(L143,"1D","FOLLOWING",#REF!,"NORMAL")</f>
        <v>#VALUE!</v>
      </c>
      <c r="M144" s="155">
        <f ca="1">_xll.meDateYearFraction(C144,D144,$M$11)</f>
        <v>2.7777777777777779E-3</v>
      </c>
      <c r="N144" s="150">
        <f ca="1"/>
        <v>-2.4300000000065936E-3</v>
      </c>
      <c r="O144" s="7" t="s">
        <v>4</v>
      </c>
      <c r="P144" s="149">
        <f t="shared" ca="1" si="3"/>
        <v>42605</v>
      </c>
      <c r="Q144" s="155">
        <f ca="1">_xll.meDateYearFraction(H144,I144,$Q$11,TRUE)</f>
        <v>0.25555555555555554</v>
      </c>
      <c r="R144" s="150">
        <f ca="1">IF(NOW(),_xll.meCurveForwardRatesFromYearFraction(P144,Q144,$Q$11,$Q$9,$Q$10))</f>
        <v>-3.7175485397107962E-3</v>
      </c>
      <c r="S144" s="134" t="s">
        <v>4</v>
      </c>
    </row>
    <row r="145" spans="1:19" x14ac:dyDescent="0.25">
      <c r="A145" s="128">
        <v>129</v>
      </c>
      <c r="B145" s="133"/>
      <c r="C145" s="149">
        <f ca="1">_xll.meDateFromTenor(C144,"1D","FOLLOWING",$D$11,"NORMAL")</f>
        <v>42606</v>
      </c>
      <c r="D145" s="20">
        <f ca="1">_xll.meDateFromTenor(C145,"1D","Following",$D$11,"Normal")</f>
        <v>42607</v>
      </c>
      <c r="E145" s="99">
        <f ca="1"/>
        <v>4.4000000000288409E-3</v>
      </c>
      <c r="F145" s="161">
        <f ca="1">_xll.meCurveForwardRates(C145,$D$9,$D$10)</f>
        <v>4.4096672057529762E-3</v>
      </c>
      <c r="G145" s="7" t="s">
        <v>4</v>
      </c>
      <c r="H145" s="149">
        <f t="shared" ref="H145:H208" ca="1" si="4">$C145</f>
        <v>42606</v>
      </c>
      <c r="I145" s="20">
        <f ca="1">_xll.meDateFromTenor(H145,"3M","Following",$I$11,"Normal")</f>
        <v>42699</v>
      </c>
      <c r="J145" s="150">
        <f ca="1"/>
        <v>6.4461335275775309E-3</v>
      </c>
      <c r="K145" s="7" t="s">
        <v>4</v>
      </c>
      <c r="L145" s="149" t="e">
        <f ca="1">_xll.meDateFromTenor(L144,"1D","FOLLOWING",#REF!,"NORMAL")</f>
        <v>#VALUE!</v>
      </c>
      <c r="M145" s="155">
        <f ca="1">_xll.meDateYearFraction(C145,D145,$M$11)</f>
        <v>2.7777777777777779E-3</v>
      </c>
      <c r="N145" s="150">
        <f ca="1"/>
        <v>-2.4300000000065936E-3</v>
      </c>
      <c r="O145" s="7" t="s">
        <v>4</v>
      </c>
      <c r="P145" s="149">
        <f t="shared" ref="P145:P208" ca="1" si="5">$C145</f>
        <v>42606</v>
      </c>
      <c r="Q145" s="155">
        <f ca="1">_xll.meDateYearFraction(H145,I145,$Q$11,TRUE)</f>
        <v>0.25833333333333336</v>
      </c>
      <c r="R145" s="150">
        <f ca="1">IF(NOW(),_xll.meCurveForwardRatesFromYearFraction(P145,Q145,$Q$11,$Q$9,$Q$10))</f>
        <v>-3.9579570251679465E-3</v>
      </c>
      <c r="S145" s="134" t="s">
        <v>4</v>
      </c>
    </row>
    <row r="146" spans="1:19" x14ac:dyDescent="0.25">
      <c r="A146" s="128">
        <v>130</v>
      </c>
      <c r="B146" s="133"/>
      <c r="C146" s="149">
        <f ca="1">_xll.meDateFromTenor(C145,"1D","FOLLOWING",$D$11,"NORMAL")</f>
        <v>42607</v>
      </c>
      <c r="D146" s="20">
        <f ca="1">_xll.meDateFromTenor(C146,"1D","Following",$D$11,"Normal")</f>
        <v>42608</v>
      </c>
      <c r="E146" s="99">
        <f ca="1"/>
        <v>4.4000000000288409E-3</v>
      </c>
      <c r="F146" s="161">
        <f ca="1">_xll.meCurveForwardRates(C146,$D$9,$D$10)</f>
        <v>4.4096672057529762E-3</v>
      </c>
      <c r="G146" s="7" t="s">
        <v>4</v>
      </c>
      <c r="H146" s="149">
        <f t="shared" ca="1" si="4"/>
        <v>42607</v>
      </c>
      <c r="I146" s="20">
        <f ca="1">_xll.meDateFromTenor(H146,"3M","Following",$I$11,"Normal")</f>
        <v>42699</v>
      </c>
      <c r="J146" s="150">
        <f ca="1"/>
        <v>6.4979492831546562E-3</v>
      </c>
      <c r="K146" s="7" t="s">
        <v>4</v>
      </c>
      <c r="L146" s="149" t="e">
        <f ca="1">_xll.meDateFromTenor(L145,"1D","FOLLOWING",#REF!,"NORMAL")</f>
        <v>#VALUE!</v>
      </c>
      <c r="M146" s="155">
        <f ca="1">_xll.meDateYearFraction(C146,D146,$M$11)</f>
        <v>2.7777777777777779E-3</v>
      </c>
      <c r="N146" s="150">
        <f ca="1"/>
        <v>-2.4300000000065936E-3</v>
      </c>
      <c r="O146" s="7" t="s">
        <v>4</v>
      </c>
      <c r="P146" s="149">
        <f t="shared" ca="1" si="5"/>
        <v>42607</v>
      </c>
      <c r="Q146" s="155">
        <f ca="1">_xll.meDateYearFraction(H146,I146,$Q$11,TRUE)</f>
        <v>0.25555555555555554</v>
      </c>
      <c r="R146" s="150">
        <f ca="1">IF(NOW(),_xll.meCurveForwardRatesFromYearFraction(P146,Q146,$Q$11,$Q$9,$Q$10))</f>
        <v>-3.7175485397107962E-3</v>
      </c>
      <c r="S146" s="134" t="s">
        <v>4</v>
      </c>
    </row>
    <row r="147" spans="1:19" x14ac:dyDescent="0.25">
      <c r="A147" s="128">
        <v>131</v>
      </c>
      <c r="B147" s="133"/>
      <c r="C147" s="149">
        <f ca="1">_xll.meDateFromTenor(C146,"1D","FOLLOWING",$D$11,"NORMAL")</f>
        <v>42608</v>
      </c>
      <c r="D147" s="20">
        <f ca="1">_xll.meDateFromTenor(C147,"1D","Following",$D$11,"Normal")</f>
        <v>42612</v>
      </c>
      <c r="E147" s="99">
        <f ca="1"/>
        <v>4.4000403333455274E-3</v>
      </c>
      <c r="F147" s="161">
        <f ca="1">_xll.meCurveForwardRates(C147,$D$9,$D$10)</f>
        <v>4.4096193613485379E-3</v>
      </c>
      <c r="G147" s="7" t="s">
        <v>4</v>
      </c>
      <c r="H147" s="149">
        <f t="shared" ca="1" si="4"/>
        <v>42608</v>
      </c>
      <c r="I147" s="20">
        <f ca="1">_xll.meDateFromTenor(H147,"3M","Following",$I$11,"Normal")</f>
        <v>42702</v>
      </c>
      <c r="J147" s="150">
        <f ca="1"/>
        <v>6.5522603717014186E-3</v>
      </c>
      <c r="K147" s="7" t="s">
        <v>4</v>
      </c>
      <c r="L147" s="149" t="e">
        <f ca="1">_xll.meDateFromTenor(L146,"1D","FOLLOWING",#REF!,"NORMAL")</f>
        <v>#VALUE!</v>
      </c>
      <c r="M147" s="155">
        <f ca="1">_xll.meDateYearFraction(C147,D147,$M$11)</f>
        <v>1.1111111111111112E-2</v>
      </c>
      <c r="N147" s="150">
        <f ca="1"/>
        <v>-2.4300000000065936E-3</v>
      </c>
      <c r="O147" s="7" t="s">
        <v>4</v>
      </c>
      <c r="P147" s="149">
        <f t="shared" ca="1" si="5"/>
        <v>42608</v>
      </c>
      <c r="Q147" s="155">
        <f ca="1">_xll.meDateYearFraction(H147,I147,$Q$11,TRUE)</f>
        <v>0.26111111111111113</v>
      </c>
      <c r="R147" s="150">
        <f ca="1">IF(NOW(),_xll.meCurveForwardRatesFromYearFraction(P147,Q147,$Q$11,$Q$9,$Q$10))</f>
        <v>-3.9531699239443874E-3</v>
      </c>
      <c r="S147" s="134" t="s">
        <v>4</v>
      </c>
    </row>
    <row r="148" spans="1:19" x14ac:dyDescent="0.25">
      <c r="A148" s="128">
        <v>132</v>
      </c>
      <c r="B148" s="133"/>
      <c r="C148" s="149">
        <f ca="1">_xll.meDateFromTenor(C147,"1D","FOLLOWING",$D$11,"NORMAL")</f>
        <v>42612</v>
      </c>
      <c r="D148" s="20">
        <f ca="1">_xll.meDateFromTenor(C148,"1D","Following",$D$11,"Normal")</f>
        <v>42613</v>
      </c>
      <c r="E148" s="99">
        <f ca="1"/>
        <v>4.4000000000288409E-3</v>
      </c>
      <c r="F148" s="161">
        <f ca="1">_xll.meCurveForwardRates(C148,$D$9,$D$10)</f>
        <v>4.4096672057529762E-3</v>
      </c>
      <c r="G148" s="7" t="s">
        <v>4</v>
      </c>
      <c r="H148" s="149">
        <f t="shared" ca="1" si="4"/>
        <v>42612</v>
      </c>
      <c r="I148" s="20">
        <f ca="1">_xll.meDateFromTenor(H148,"3M","Following",$I$11,"Normal")</f>
        <v>42704</v>
      </c>
      <c r="J148" s="150">
        <f ca="1"/>
        <v>6.7919425199906196E-3</v>
      </c>
      <c r="K148" s="7" t="s">
        <v>4</v>
      </c>
      <c r="L148" s="149" t="e">
        <f ca="1">_xll.meDateFromTenor(L147,"1D","FOLLOWING",#REF!,"NORMAL")</f>
        <v>#VALUE!</v>
      </c>
      <c r="M148" s="155">
        <f ca="1">_xll.meDateYearFraction(C148,D148,$M$11)</f>
        <v>2.7777777777777779E-3</v>
      </c>
      <c r="N148" s="150">
        <f ca="1"/>
        <v>-2.4300000000065936E-3</v>
      </c>
      <c r="O148" s="7" t="s">
        <v>4</v>
      </c>
      <c r="P148" s="149">
        <f t="shared" ca="1" si="5"/>
        <v>42612</v>
      </c>
      <c r="Q148" s="155">
        <f ca="1">_xll.meDateYearFraction(H148,I148,$Q$11,TRUE)</f>
        <v>0.25555555555555554</v>
      </c>
      <c r="R148" s="150">
        <f ca="1">IF(NOW(),_xll.meCurveForwardRatesFromYearFraction(P148,Q148,$Q$11,$Q$9,$Q$10))</f>
        <v>-3.9433540670416566E-3</v>
      </c>
      <c r="S148" s="134" t="s">
        <v>4</v>
      </c>
    </row>
    <row r="149" spans="1:19" x14ac:dyDescent="0.25">
      <c r="A149" s="128">
        <v>133</v>
      </c>
      <c r="B149" s="133"/>
      <c r="C149" s="149">
        <f ca="1">_xll.meDateFromTenor(C148,"1D","FOLLOWING",$D$11,"NORMAL")</f>
        <v>42613</v>
      </c>
      <c r="D149" s="20">
        <f ca="1">_xll.meDateFromTenor(C149,"1D","Following",$D$11,"Normal")</f>
        <v>42614</v>
      </c>
      <c r="E149" s="99">
        <f ca="1"/>
        <v>4.4000000000288409E-3</v>
      </c>
      <c r="F149" s="161">
        <f ca="1">_xll.meCurveForwardRates(C149,$D$9,$D$10)</f>
        <v>4.4096672057529762E-3</v>
      </c>
      <c r="G149" s="7" t="s">
        <v>4</v>
      </c>
      <c r="H149" s="149">
        <f t="shared" ca="1" si="4"/>
        <v>42613</v>
      </c>
      <c r="I149" s="20">
        <f ca="1">_xll.meDateFromTenor(H149,"3M","Following",$I$11,"Normal")</f>
        <v>42704</v>
      </c>
      <c r="J149" s="150">
        <f ca="1"/>
        <v>6.8568436216899214E-3</v>
      </c>
      <c r="K149" s="7" t="s">
        <v>4</v>
      </c>
      <c r="L149" s="149" t="e">
        <f ca="1">_xll.meDateFromTenor(L148,"1D","FOLLOWING",#REF!,"NORMAL")</f>
        <v>#VALUE!</v>
      </c>
      <c r="M149" s="155">
        <f ca="1">_xll.meDateYearFraction(C149,D149,$M$11)</f>
        <v>2.7777777777777779E-3</v>
      </c>
      <c r="N149" s="150">
        <f ca="1"/>
        <v>-2.4300000000065936E-3</v>
      </c>
      <c r="O149" s="7" t="s">
        <v>4</v>
      </c>
      <c r="P149" s="149">
        <f t="shared" ca="1" si="5"/>
        <v>42613</v>
      </c>
      <c r="Q149" s="155">
        <f ca="1">_xll.meDateYearFraction(H149,I149,$Q$11,TRUE)</f>
        <v>0.25277777777777777</v>
      </c>
      <c r="R149" s="150">
        <f ca="1">IF(NOW(),_xll.meCurveForwardRatesFromYearFraction(P149,Q149,$Q$11,$Q$9,$Q$10))</f>
        <v>-3.9408517070542012E-3</v>
      </c>
      <c r="S149" s="134" t="s">
        <v>4</v>
      </c>
    </row>
    <row r="150" spans="1:19" x14ac:dyDescent="0.25">
      <c r="A150" s="128">
        <v>134</v>
      </c>
      <c r="B150" s="133"/>
      <c r="C150" s="149">
        <f ca="1">_xll.meDateFromTenor(C149,"1D","FOLLOWING",$D$11,"NORMAL")</f>
        <v>42614</v>
      </c>
      <c r="D150" s="20">
        <f ca="1">_xll.meDateFromTenor(C150,"1D","Following",$D$11,"Normal")</f>
        <v>42615</v>
      </c>
      <c r="E150" s="99">
        <f ca="1"/>
        <v>4.8500000000118067E-3</v>
      </c>
      <c r="F150" s="161">
        <f ca="1">_xll.meCurveForwardRates(C150,$D$9,$D$10)</f>
        <v>4.8617474584309317E-3</v>
      </c>
      <c r="G150" s="7" t="s">
        <v>4</v>
      </c>
      <c r="H150" s="149">
        <f t="shared" ca="1" si="4"/>
        <v>42614</v>
      </c>
      <c r="I150" s="20">
        <f ca="1">_xll.meDateFromTenor(H150,"3M","Following",$I$11,"Normal")</f>
        <v>42705</v>
      </c>
      <c r="J150" s="150">
        <f ca="1"/>
        <v>6.9234853956806159E-3</v>
      </c>
      <c r="K150" s="7" t="s">
        <v>4</v>
      </c>
      <c r="L150" s="149" t="e">
        <f ca="1">_xll.meDateFromTenor(L149,"1D","FOLLOWING",#REF!,"NORMAL")</f>
        <v>#VALUE!</v>
      </c>
      <c r="M150" s="155">
        <f ca="1">_xll.meDateYearFraction(C150,D150,$M$11)</f>
        <v>2.7777777777777779E-3</v>
      </c>
      <c r="N150" s="150">
        <f ca="1"/>
        <v>-2.4300000000065936E-3</v>
      </c>
      <c r="O150" s="7" t="s">
        <v>4</v>
      </c>
      <c r="P150" s="149">
        <f t="shared" ca="1" si="5"/>
        <v>42614</v>
      </c>
      <c r="Q150" s="155">
        <f ca="1">_xll.meDateYearFraction(H150,I150,$Q$11,TRUE)</f>
        <v>0.25277777777777777</v>
      </c>
      <c r="R150" s="150">
        <f ca="1">IF(NOW(),_xll.meCurveForwardRatesFromYearFraction(P150,Q150,$Q$11,$Q$9,$Q$10))</f>
        <v>-3.7175485397107962E-3</v>
      </c>
      <c r="S150" s="134" t="s">
        <v>4</v>
      </c>
    </row>
    <row r="151" spans="1:19" x14ac:dyDescent="0.25">
      <c r="A151" s="128">
        <v>135</v>
      </c>
      <c r="B151" s="133"/>
      <c r="C151" s="149">
        <f ca="1">_xll.meDateFromTenor(C150,"1D","FOLLOWING",$D$11,"NORMAL")</f>
        <v>42615</v>
      </c>
      <c r="D151" s="20">
        <f ca="1">_xll.meDateFromTenor(C151,"1D","Following",$D$11,"Normal")</f>
        <v>42619</v>
      </c>
      <c r="E151" s="99">
        <f ca="1"/>
        <v>4.8500000000117581E-3</v>
      </c>
      <c r="F151" s="161">
        <f ca="1">_xll.meCurveForwardRates(C151,$D$9,$D$10)</f>
        <v>4.8616663640441704E-3</v>
      </c>
      <c r="G151" s="7" t="s">
        <v>4</v>
      </c>
      <c r="H151" s="149">
        <f t="shared" ca="1" si="4"/>
        <v>42615</v>
      </c>
      <c r="I151" s="20">
        <f ca="1">_xll.meDateFromTenor(H151,"3M","Following",$I$11,"Normal")</f>
        <v>42706</v>
      </c>
      <c r="J151" s="150">
        <f ca="1"/>
        <v>6.9917420651829836E-3</v>
      </c>
      <c r="K151" s="7" t="s">
        <v>4</v>
      </c>
      <c r="L151" s="149" t="e">
        <f ca="1">_xll.meDateFromTenor(L150,"1D","FOLLOWING",#REF!,"NORMAL")</f>
        <v>#VALUE!</v>
      </c>
      <c r="M151" s="155">
        <f ca="1">_xll.meDateYearFraction(C151,D151,$M$11)</f>
        <v>1.1111111111111112E-2</v>
      </c>
      <c r="N151" s="150">
        <f ca="1"/>
        <v>-2.4300000000065936E-3</v>
      </c>
      <c r="O151" s="7" t="s">
        <v>4</v>
      </c>
      <c r="P151" s="149">
        <f t="shared" ca="1" si="5"/>
        <v>42615</v>
      </c>
      <c r="Q151" s="155">
        <f ca="1">_xll.meDateYearFraction(H151,I151,$Q$11,TRUE)</f>
        <v>0.25277777777777777</v>
      </c>
      <c r="R151" s="150">
        <f ca="1">IF(NOW(),_xll.meCurveForwardRatesFromYearFraction(P151,Q151,$Q$11,$Q$9,$Q$10))</f>
        <v>-3.7175485397107962E-3</v>
      </c>
      <c r="S151" s="134" t="s">
        <v>4</v>
      </c>
    </row>
    <row r="152" spans="1:19" x14ac:dyDescent="0.25">
      <c r="A152" s="128">
        <v>136</v>
      </c>
      <c r="B152" s="133"/>
      <c r="C152" s="149">
        <f ca="1">_xll.meDateFromTenor(C151,"1D","FOLLOWING",$D$11,"NORMAL")</f>
        <v>42619</v>
      </c>
      <c r="D152" s="20">
        <f ca="1">_xll.meDateFromTenor(C152,"1D","Following",$D$11,"Normal")</f>
        <v>42620</v>
      </c>
      <c r="E152" s="99">
        <f ca="1"/>
        <v>4.8500000000118067E-3</v>
      </c>
      <c r="F152" s="161">
        <f ca="1">_xll.meCurveForwardRates(C152,$D$9,$D$10)</f>
        <v>4.8617474584309317E-3</v>
      </c>
      <c r="G152" s="7" t="s">
        <v>4</v>
      </c>
      <c r="H152" s="149">
        <f t="shared" ca="1" si="4"/>
        <v>42619</v>
      </c>
      <c r="I152" s="20">
        <f ca="1">_xll.meDateFromTenor(H152,"3M","Following",$I$11,"Normal")</f>
        <v>42710</v>
      </c>
      <c r="J152" s="150">
        <f ca="1"/>
        <v>7.2784021627151198E-3</v>
      </c>
      <c r="K152" s="7" t="s">
        <v>4</v>
      </c>
      <c r="L152" s="149" t="e">
        <f ca="1">_xll.meDateFromTenor(L151,"1D","FOLLOWING",#REF!,"NORMAL")</f>
        <v>#VALUE!</v>
      </c>
      <c r="M152" s="155">
        <f ca="1">_xll.meDateYearFraction(C152,D152,$M$11)</f>
        <v>2.7777777777777779E-3</v>
      </c>
      <c r="N152" s="150">
        <f ca="1"/>
        <v>-2.4300000000065936E-3</v>
      </c>
      <c r="O152" s="7" t="s">
        <v>4</v>
      </c>
      <c r="P152" s="149">
        <f t="shared" ca="1" si="5"/>
        <v>42619</v>
      </c>
      <c r="Q152" s="155">
        <f ca="1">_xll.meDateYearFraction(H152,I152,$Q$11,TRUE)</f>
        <v>0.25277777777777777</v>
      </c>
      <c r="R152" s="150">
        <f ca="1">IF(NOW(),_xll.meCurveForwardRatesFromYearFraction(P152,Q152,$Q$11,$Q$9,$Q$10))</f>
        <v>-3.7175485397107962E-3</v>
      </c>
      <c r="S152" s="134" t="s">
        <v>4</v>
      </c>
    </row>
    <row r="153" spans="1:19" x14ac:dyDescent="0.25">
      <c r="A153" s="128">
        <v>137</v>
      </c>
      <c r="B153" s="133"/>
      <c r="C153" s="149">
        <f ca="1">_xll.meDateFromTenor(C152,"1D","FOLLOWING",$D$11,"NORMAL")</f>
        <v>42620</v>
      </c>
      <c r="D153" s="20">
        <f ca="1">_xll.meDateFromTenor(C153,"1D","Following",$D$11,"Normal")</f>
        <v>42621</v>
      </c>
      <c r="E153" s="99">
        <f ca="1"/>
        <v>4.8500000000118067E-3</v>
      </c>
      <c r="F153" s="161">
        <f ca="1">_xll.meCurveForwardRates(C153,$D$9,$D$10)</f>
        <v>4.8617474584309317E-3</v>
      </c>
      <c r="G153" s="7" t="s">
        <v>4</v>
      </c>
      <c r="H153" s="149">
        <f t="shared" ca="1" si="4"/>
        <v>42620</v>
      </c>
      <c r="I153" s="20">
        <f ca="1">_xll.meDateFromTenor(H153,"3M","Following",$I$11,"Normal")</f>
        <v>42711</v>
      </c>
      <c r="J153" s="150">
        <f ca="1"/>
        <v>7.3528466580802835E-3</v>
      </c>
      <c r="K153" s="7" t="s">
        <v>4</v>
      </c>
      <c r="L153" s="149" t="e">
        <f ca="1">_xll.meDateFromTenor(L152,"1D","FOLLOWING",#REF!,"NORMAL")</f>
        <v>#VALUE!</v>
      </c>
      <c r="M153" s="155">
        <f ca="1">_xll.meDateYearFraction(C153,D153,$M$11)</f>
        <v>2.7777777777777779E-3</v>
      </c>
      <c r="N153" s="150">
        <f ca="1"/>
        <v>-2.4300000000065936E-3</v>
      </c>
      <c r="O153" s="7" t="s">
        <v>4</v>
      </c>
      <c r="P153" s="149">
        <f t="shared" ca="1" si="5"/>
        <v>42620</v>
      </c>
      <c r="Q153" s="155">
        <f ca="1">_xll.meDateYearFraction(H153,I153,$Q$11,TRUE)</f>
        <v>0.25277777777777777</v>
      </c>
      <c r="R153" s="150">
        <f ca="1">IF(NOW(),_xll.meCurveForwardRatesFromYearFraction(P153,Q153,$Q$11,$Q$9,$Q$10))</f>
        <v>-3.9228305738065739E-3</v>
      </c>
      <c r="S153" s="134" t="s">
        <v>4</v>
      </c>
    </row>
    <row r="154" spans="1:19" x14ac:dyDescent="0.25">
      <c r="A154" s="128">
        <v>138</v>
      </c>
      <c r="B154" s="133"/>
      <c r="C154" s="149">
        <f ca="1">_xll.meDateFromTenor(C153,"1D","FOLLOWING",$D$11,"NORMAL")</f>
        <v>42621</v>
      </c>
      <c r="D154" s="20">
        <f ca="1">_xll.meDateFromTenor(C154,"1D","Following",$D$11,"Normal")</f>
        <v>42622</v>
      </c>
      <c r="E154" s="99">
        <f ca="1"/>
        <v>4.8500000000118067E-3</v>
      </c>
      <c r="F154" s="161">
        <f ca="1">_xll.meCurveForwardRates(C154,$D$9,$D$10)</f>
        <v>4.8617474584309317E-3</v>
      </c>
      <c r="G154" s="7" t="s">
        <v>4</v>
      </c>
      <c r="H154" s="149">
        <f t="shared" ca="1" si="4"/>
        <v>42621</v>
      </c>
      <c r="I154" s="20">
        <f ca="1">_xll.meDateFromTenor(H154,"3M","Following",$I$11,"Normal")</f>
        <v>42712</v>
      </c>
      <c r="J154" s="150">
        <f ca="1"/>
        <v>7.428151388278877E-3</v>
      </c>
      <c r="K154" s="7" t="s">
        <v>4</v>
      </c>
      <c r="L154" s="149" t="e">
        <f ca="1">_xll.meDateFromTenor(L153,"1D","FOLLOWING",#REF!,"NORMAL")</f>
        <v>#VALUE!</v>
      </c>
      <c r="M154" s="155">
        <f ca="1">_xll.meDateYearFraction(C154,D154,$M$11)</f>
        <v>2.7777777777777779E-3</v>
      </c>
      <c r="N154" s="150">
        <f ca="1"/>
        <v>-2.4300000000065936E-3</v>
      </c>
      <c r="O154" s="7" t="s">
        <v>4</v>
      </c>
      <c r="P154" s="149">
        <f t="shared" ca="1" si="5"/>
        <v>42621</v>
      </c>
      <c r="Q154" s="155">
        <f ca="1">_xll.meDateYearFraction(H154,I154,$Q$11,TRUE)</f>
        <v>0.25277777777777777</v>
      </c>
      <c r="R154" s="150">
        <f ca="1">IF(NOW(),_xll.meCurveForwardRatesFromYearFraction(P154,Q154,$Q$11,$Q$9,$Q$10))</f>
        <v>-3.7175485397107962E-3</v>
      </c>
      <c r="S154" s="134" t="s">
        <v>4</v>
      </c>
    </row>
    <row r="155" spans="1:19" x14ac:dyDescent="0.25">
      <c r="A155" s="128">
        <v>139</v>
      </c>
      <c r="B155" s="133"/>
      <c r="C155" s="149">
        <f ca="1">_xll.meDateFromTenor(C154,"1D","FOLLOWING",$D$11,"NORMAL")</f>
        <v>42622</v>
      </c>
      <c r="D155" s="20">
        <f ca="1">_xll.meDateFromTenor(C155,"1D","Following",$D$11,"Normal")</f>
        <v>42625</v>
      </c>
      <c r="E155" s="99">
        <f ca="1"/>
        <v>4.8500000000118067E-3</v>
      </c>
      <c r="F155" s="161">
        <f ca="1">_xll.meCurveForwardRates(C155,$D$9,$D$10)</f>
        <v>4.8616893014923335E-3</v>
      </c>
      <c r="G155" s="7" t="s">
        <v>4</v>
      </c>
      <c r="H155" s="149">
        <f t="shared" ca="1" si="4"/>
        <v>42622</v>
      </c>
      <c r="I155" s="20">
        <f ca="1">_xll.meDateFromTenor(H155,"3M","Following",$I$11,"Normal")</f>
        <v>42713</v>
      </c>
      <c r="J155" s="150">
        <f ca="1"/>
        <v>7.5041905765312038E-3</v>
      </c>
      <c r="K155" s="7" t="s">
        <v>4</v>
      </c>
      <c r="L155" s="149" t="e">
        <f ca="1">_xll.meDateFromTenor(L154,"1D","FOLLOWING",#REF!,"NORMAL")</f>
        <v>#VALUE!</v>
      </c>
      <c r="M155" s="155">
        <f ca="1">_xll.meDateYearFraction(C155,D155,$M$11)</f>
        <v>8.3333333333333332E-3</v>
      </c>
      <c r="N155" s="150">
        <f ca="1"/>
        <v>-2.4300000000065936E-3</v>
      </c>
      <c r="O155" s="7" t="s">
        <v>4</v>
      </c>
      <c r="P155" s="149">
        <f t="shared" ca="1" si="5"/>
        <v>42622</v>
      </c>
      <c r="Q155" s="155">
        <f ca="1">_xll.meDateYearFraction(H155,I155,$Q$11,TRUE)</f>
        <v>0.25277777777777777</v>
      </c>
      <c r="R155" s="150">
        <f ca="1">IF(NOW(),_xll.meCurveForwardRatesFromYearFraction(P155,Q155,$Q$11,$Q$9,$Q$10))</f>
        <v>-3.9175295044484712E-3</v>
      </c>
      <c r="S155" s="134" t="s">
        <v>4</v>
      </c>
    </row>
    <row r="156" spans="1:19" x14ac:dyDescent="0.25">
      <c r="A156" s="128">
        <v>140</v>
      </c>
      <c r="B156" s="133"/>
      <c r="C156" s="149">
        <f ca="1">_xll.meDateFromTenor(C155,"1D","FOLLOWING",$D$11,"NORMAL")</f>
        <v>42625</v>
      </c>
      <c r="D156" s="20">
        <f ca="1">_xll.meDateFromTenor(C156,"1D","Following",$D$11,"Normal")</f>
        <v>42626</v>
      </c>
      <c r="E156" s="99">
        <f ca="1"/>
        <v>4.8499999999318706E-3</v>
      </c>
      <c r="F156" s="161">
        <f ca="1">_xll.meCurveForwardRates(C156,$D$9,$D$10)</f>
        <v>4.8617474583507736E-3</v>
      </c>
      <c r="G156" s="7" t="s">
        <v>4</v>
      </c>
      <c r="H156" s="149">
        <f t="shared" ca="1" si="4"/>
        <v>42625</v>
      </c>
      <c r="I156" s="20">
        <f ca="1">_xll.meDateFromTenor(H156,"3M","Following",$I$11,"Normal")</f>
        <v>42716</v>
      </c>
      <c r="J156" s="150">
        <f ca="1"/>
        <v>7.7354571218134728E-3</v>
      </c>
      <c r="K156" s="7" t="s">
        <v>4</v>
      </c>
      <c r="L156" s="149" t="e">
        <f ca="1">_xll.meDateFromTenor(L155,"1D","FOLLOWING",#REF!,"NORMAL")</f>
        <v>#VALUE!</v>
      </c>
      <c r="M156" s="155">
        <f ca="1">_xll.meDateYearFraction(C156,D156,$M$11)</f>
        <v>2.7777777777777779E-3</v>
      </c>
      <c r="N156" s="150">
        <f ca="1"/>
        <v>-2.4300000000065936E-3</v>
      </c>
      <c r="O156" s="7" t="s">
        <v>4</v>
      </c>
      <c r="P156" s="149">
        <f t="shared" ca="1" si="5"/>
        <v>42625</v>
      </c>
      <c r="Q156" s="155">
        <f ca="1">_xll.meDateYearFraction(H156,I156,$Q$11,TRUE)</f>
        <v>0.25277777777777777</v>
      </c>
      <c r="R156" s="150">
        <f ca="1">IF(NOW(),_xll.meCurveForwardRatesFromYearFraction(P156,Q156,$Q$11,$Q$9,$Q$10))</f>
        <v>-3.9094611116232796E-3</v>
      </c>
      <c r="S156" s="134" t="s">
        <v>4</v>
      </c>
    </row>
    <row r="157" spans="1:19" x14ac:dyDescent="0.25">
      <c r="A157" s="128">
        <v>141</v>
      </c>
      <c r="B157" s="133"/>
      <c r="C157" s="149">
        <f ca="1">_xll.meDateFromTenor(C156,"1D","FOLLOWING",$D$11,"NORMAL")</f>
        <v>42626</v>
      </c>
      <c r="D157" s="20">
        <f ca="1">_xll.meDateFromTenor(C157,"1D","Following",$D$11,"Normal")</f>
        <v>42627</v>
      </c>
      <c r="E157" s="99">
        <f ca="1"/>
        <v>4.8500000000118067E-3</v>
      </c>
      <c r="F157" s="161">
        <f ca="1">_xll.meCurveForwardRates(C157,$D$9,$D$10)</f>
        <v>4.8617474584309317E-3</v>
      </c>
      <c r="G157" s="7" t="s">
        <v>4</v>
      </c>
      <c r="H157" s="149">
        <f t="shared" ca="1" si="4"/>
        <v>42626</v>
      </c>
      <c r="I157" s="20">
        <f ca="1">_xll.meDateFromTenor(H157,"3M","Following",$I$11,"Normal")</f>
        <v>42717</v>
      </c>
      <c r="J157" s="150">
        <f ca="1"/>
        <v>7.8131763744836418E-3</v>
      </c>
      <c r="K157" s="7" t="s">
        <v>4</v>
      </c>
      <c r="L157" s="149" t="e">
        <f ca="1">_xll.meDateFromTenor(L156,"1D","FOLLOWING",#REF!,"NORMAL")</f>
        <v>#VALUE!</v>
      </c>
      <c r="M157" s="155">
        <f ca="1">_xll.meDateYearFraction(C157,D157,$M$11)</f>
        <v>2.7777777777777779E-3</v>
      </c>
      <c r="N157" s="150">
        <f ca="1"/>
        <v>-2.4300000000065936E-3</v>
      </c>
      <c r="O157" s="7" t="s">
        <v>4</v>
      </c>
      <c r="P157" s="149">
        <f t="shared" ca="1" si="5"/>
        <v>42626</v>
      </c>
      <c r="Q157" s="155">
        <f ca="1">_xll.meDateYearFraction(H157,I157,$Q$11,TRUE)</f>
        <v>0.25277777777777777</v>
      </c>
      <c r="R157" s="150">
        <f ca="1">IF(NOW(),_xll.meCurveForwardRatesFromYearFraction(P157,Q157,$Q$11,$Q$9,$Q$10))</f>
        <v>-3.9067418400712773E-3</v>
      </c>
      <c r="S157" s="134" t="s">
        <v>4</v>
      </c>
    </row>
    <row r="158" spans="1:19" x14ac:dyDescent="0.25">
      <c r="A158" s="128">
        <v>142</v>
      </c>
      <c r="B158" s="133"/>
      <c r="C158" s="149">
        <f ca="1">_xll.meDateFromTenor(C157,"1D","FOLLOWING",$D$11,"NORMAL")</f>
        <v>42627</v>
      </c>
      <c r="D158" s="20">
        <f ca="1">_xll.meDateFromTenor(C158,"1D","Following",$D$11,"Normal")</f>
        <v>42628</v>
      </c>
      <c r="E158" s="99">
        <f ca="1"/>
        <v>4.8500000000116124E-3</v>
      </c>
      <c r="F158" s="161">
        <f ca="1">_xll.meCurveForwardRates(C158,$D$9,$D$10)</f>
        <v>4.8617474584309317E-3</v>
      </c>
      <c r="G158" s="7" t="s">
        <v>4</v>
      </c>
      <c r="H158" s="149">
        <f t="shared" ca="1" si="4"/>
        <v>42627</v>
      </c>
      <c r="I158" s="20">
        <f ca="1">_xll.meDateFromTenor(H158,"3M","Following",$I$11,"Normal")</f>
        <v>42718</v>
      </c>
      <c r="J158" s="150">
        <f ca="1"/>
        <v>7.8909995352063368E-3</v>
      </c>
      <c r="K158" s="7" t="s">
        <v>4</v>
      </c>
      <c r="L158" s="149" t="e">
        <f ca="1">_xll.meDateFromTenor(L157,"1D","FOLLOWING",#REF!,"NORMAL")</f>
        <v>#VALUE!</v>
      </c>
      <c r="M158" s="155">
        <f ca="1">_xll.meDateYearFraction(C158,D158,$M$11)</f>
        <v>2.7777777777777779E-3</v>
      </c>
      <c r="N158" s="150">
        <f ca="1"/>
        <v>-2.4300000000065936E-3</v>
      </c>
      <c r="O158" s="7" t="s">
        <v>4</v>
      </c>
      <c r="P158" s="149">
        <f t="shared" ca="1" si="5"/>
        <v>42627</v>
      </c>
      <c r="Q158" s="155">
        <f ca="1">_xll.meDateYearFraction(H158,I158,$Q$11,TRUE)</f>
        <v>0.25277777777777777</v>
      </c>
      <c r="R158" s="150">
        <f ca="1">IF(NOW(),_xll.meCurveForwardRatesFromYearFraction(P158,Q158,$Q$11,$Q$9,$Q$10))</f>
        <v>-3.7175485397107962E-3</v>
      </c>
      <c r="S158" s="134" t="s">
        <v>4</v>
      </c>
    </row>
    <row r="159" spans="1:19" x14ac:dyDescent="0.25">
      <c r="A159" s="128">
        <v>143</v>
      </c>
      <c r="B159" s="133"/>
      <c r="C159" s="149">
        <f ca="1">_xll.meDateFromTenor(C158,"1D","FOLLOWING",$D$11,"NORMAL")</f>
        <v>42628</v>
      </c>
      <c r="D159" s="20">
        <f ca="1">_xll.meDateFromTenor(C159,"1D","Following",$D$11,"Normal")</f>
        <v>42629</v>
      </c>
      <c r="E159" s="99">
        <f ca="1"/>
        <v>4.8500000000118067E-3</v>
      </c>
      <c r="F159" s="161">
        <f ca="1">_xll.meCurveForwardRates(C159,$D$9,$D$10)</f>
        <v>4.8617474584309317E-3</v>
      </c>
      <c r="G159" s="7" t="s">
        <v>4</v>
      </c>
      <c r="H159" s="149">
        <f t="shared" ca="1" si="4"/>
        <v>42628</v>
      </c>
      <c r="I159" s="20">
        <f ca="1">_xll.meDateFromTenor(H159,"3M","Following",$I$11,"Normal")</f>
        <v>42719</v>
      </c>
      <c r="J159" s="150">
        <f ca="1"/>
        <v>7.9681772562445151E-3</v>
      </c>
      <c r="K159" s="7" t="s">
        <v>4</v>
      </c>
      <c r="L159" s="149" t="e">
        <f ca="1">_xll.meDateFromTenor(L158,"1D","FOLLOWING",#REF!,"NORMAL")</f>
        <v>#VALUE!</v>
      </c>
      <c r="M159" s="155">
        <f ca="1">_xll.meDateYearFraction(C159,D159,$M$11)</f>
        <v>2.7777777777777779E-3</v>
      </c>
      <c r="N159" s="150">
        <f ca="1"/>
        <v>-2.4300000000065936E-3</v>
      </c>
      <c r="O159" s="7" t="s">
        <v>4</v>
      </c>
      <c r="P159" s="149">
        <f t="shared" ca="1" si="5"/>
        <v>42628</v>
      </c>
      <c r="Q159" s="155">
        <f ca="1">_xll.meDateYearFraction(H159,I159,$Q$11,TRUE)</f>
        <v>0.25277777777777777</v>
      </c>
      <c r="R159" s="150">
        <f ca="1">IF(NOW(),_xll.meCurveForwardRatesFromYearFraction(P159,Q159,$Q$11,$Q$9,$Q$10))</f>
        <v>-3.7175485397107962E-3</v>
      </c>
      <c r="S159" s="134" t="s">
        <v>4</v>
      </c>
    </row>
    <row r="160" spans="1:19" x14ac:dyDescent="0.25">
      <c r="A160" s="128">
        <v>144</v>
      </c>
      <c r="B160" s="133"/>
      <c r="C160" s="149">
        <f ca="1">_xll.meDateFromTenor(C159,"1D","FOLLOWING",$D$11,"NORMAL")</f>
        <v>42629</v>
      </c>
      <c r="D160" s="20">
        <f ca="1">_xll.meDateFromTenor(C160,"1D","Following",$D$11,"Normal")</f>
        <v>42632</v>
      </c>
      <c r="E160" s="99">
        <f ca="1"/>
        <v>4.8500000000118067E-3</v>
      </c>
      <c r="F160" s="161">
        <f ca="1">_xll.meCurveForwardRates(C160,$D$9,$D$10)</f>
        <v>4.8616893014923335E-3</v>
      </c>
      <c r="G160" s="7" t="s">
        <v>4</v>
      </c>
      <c r="H160" s="149">
        <f t="shared" ca="1" si="4"/>
        <v>42629</v>
      </c>
      <c r="I160" s="20">
        <f ca="1">_xll.meDateFromTenor(H160,"3M","Following",$I$11,"Normal")</f>
        <v>42720</v>
      </c>
      <c r="J160" s="150">
        <f ca="1"/>
        <v>8.0424092291343022E-3</v>
      </c>
      <c r="K160" s="7" t="s">
        <v>4</v>
      </c>
      <c r="L160" s="149" t="e">
        <f ca="1">_xll.meDateFromTenor(L159,"1D","FOLLOWING",#REF!,"NORMAL")</f>
        <v>#VALUE!</v>
      </c>
      <c r="M160" s="155">
        <f ca="1">_xll.meDateYearFraction(C160,D160,$M$11)</f>
        <v>8.3333333333333332E-3</v>
      </c>
      <c r="N160" s="150">
        <f ca="1"/>
        <v>-2.4300000000065936E-3</v>
      </c>
      <c r="O160" s="7" t="s">
        <v>4</v>
      </c>
      <c r="P160" s="149">
        <f t="shared" ca="1" si="5"/>
        <v>42629</v>
      </c>
      <c r="Q160" s="155">
        <f ca="1">_xll.meDateYearFraction(H160,I160,$Q$11,TRUE)</f>
        <v>0.25277777777777777</v>
      </c>
      <c r="R160" s="150">
        <f ca="1">IF(NOW(),_xll.meCurveForwardRatesFromYearFraction(P160,Q160,$Q$11,$Q$9,$Q$10))</f>
        <v>-3.7175485397107962E-3</v>
      </c>
      <c r="S160" s="134" t="s">
        <v>4</v>
      </c>
    </row>
    <row r="161" spans="1:19" x14ac:dyDescent="0.25">
      <c r="A161" s="128">
        <v>145</v>
      </c>
      <c r="B161" s="133"/>
      <c r="C161" s="149">
        <f ca="1">_xll.meDateFromTenor(C160,"1D","FOLLOWING",$D$11,"NORMAL")</f>
        <v>42632</v>
      </c>
      <c r="D161" s="20">
        <f ca="1">_xll.meDateFromTenor(C161,"1D","Following",$D$11,"Normal")</f>
        <v>42633</v>
      </c>
      <c r="E161" s="99">
        <f ca="1"/>
        <v>4.8500000000118067E-3</v>
      </c>
      <c r="F161" s="161">
        <f ca="1">_xll.meCurveForwardRates(C161,$D$9,$D$10)</f>
        <v>4.8617474584309317E-3</v>
      </c>
      <c r="G161" s="7" t="s">
        <v>4</v>
      </c>
      <c r="H161" s="149">
        <f t="shared" ca="1" si="4"/>
        <v>42632</v>
      </c>
      <c r="I161" s="20">
        <f ca="1">_xll.meDateFromTenor(H161,"3M","Following",$I$11,"Normal")</f>
        <v>42723</v>
      </c>
      <c r="J161" s="150">
        <f ca="1"/>
        <v>8.2220499062033939E-3</v>
      </c>
      <c r="K161" s="7" t="s">
        <v>4</v>
      </c>
      <c r="L161" s="149" t="e">
        <f ca="1">_xll.meDateFromTenor(L160,"1D","FOLLOWING",#REF!,"NORMAL")</f>
        <v>#VALUE!</v>
      </c>
      <c r="M161" s="155">
        <f ca="1">_xll.meDateYearFraction(C161,D161,$M$11)</f>
        <v>2.7777777777777779E-3</v>
      </c>
      <c r="N161" s="150">
        <f ca="1"/>
        <v>-2.4300000000065936E-3</v>
      </c>
      <c r="O161" s="7" t="s">
        <v>4</v>
      </c>
      <c r="P161" s="149">
        <f t="shared" ca="1" si="5"/>
        <v>42632</v>
      </c>
      <c r="Q161" s="155">
        <f ca="1">_xll.meDateYearFraction(H161,I161,$Q$11,TRUE)</f>
        <v>0.25277777777777777</v>
      </c>
      <c r="R161" s="150">
        <f ca="1">IF(NOW(),_xll.meCurveForwardRatesFromYearFraction(P161,Q161,$Q$11,$Q$9,$Q$10))</f>
        <v>-3.8901366213491681E-3</v>
      </c>
      <c r="S161" s="134" t="s">
        <v>4</v>
      </c>
    </row>
    <row r="162" spans="1:19" x14ac:dyDescent="0.25">
      <c r="A162" s="128">
        <v>146</v>
      </c>
      <c r="B162" s="133"/>
      <c r="C162" s="149">
        <f ca="1">_xll.meDateFromTenor(C161,"1D","FOLLOWING",$D$11,"NORMAL")</f>
        <v>42633</v>
      </c>
      <c r="D162" s="20">
        <f ca="1">_xll.meDateFromTenor(C162,"1D","Following",$D$11,"Normal")</f>
        <v>42634</v>
      </c>
      <c r="E162" s="99">
        <f ca="1"/>
        <v>4.8500000000118067E-3</v>
      </c>
      <c r="F162" s="161">
        <f ca="1">_xll.meCurveForwardRates(C162,$D$9,$D$10)</f>
        <v>4.8617474584309317E-3</v>
      </c>
      <c r="G162" s="7" t="s">
        <v>4</v>
      </c>
      <c r="H162" s="149">
        <f t="shared" ca="1" si="4"/>
        <v>42633</v>
      </c>
      <c r="I162" s="20">
        <f ca="1">_xll.meDateFromTenor(H162,"3M","Following",$I$11,"Normal")</f>
        <v>42724</v>
      </c>
      <c r="J162" s="150">
        <f ca="1"/>
        <v>8.2591181337896696E-3</v>
      </c>
      <c r="K162" s="7" t="s">
        <v>4</v>
      </c>
      <c r="L162" s="149" t="e">
        <f ca="1">_xll.meDateFromTenor(L161,"1D","FOLLOWING",#REF!,"NORMAL")</f>
        <v>#VALUE!</v>
      </c>
      <c r="M162" s="155">
        <f ca="1">_xll.meDateYearFraction(C162,D162,$M$11)</f>
        <v>2.7777777777777779E-3</v>
      </c>
      <c r="N162" s="150">
        <f ca="1"/>
        <v>-2.4300000000065936E-3</v>
      </c>
      <c r="O162" s="7" t="s">
        <v>4</v>
      </c>
      <c r="P162" s="149">
        <f t="shared" ca="1" si="5"/>
        <v>42633</v>
      </c>
      <c r="Q162" s="155">
        <f ca="1">_xll.meDateYearFraction(H162,I162,$Q$11,TRUE)</f>
        <v>0.25277777777777777</v>
      </c>
      <c r="R162" s="150">
        <f ca="1">IF(NOW(),_xll.meCurveForwardRatesFromYearFraction(P162,Q162,$Q$11,$Q$9,$Q$10))</f>
        <v>-3.7175485397107962E-3</v>
      </c>
      <c r="S162" s="134" t="s">
        <v>4</v>
      </c>
    </row>
    <row r="163" spans="1:19" x14ac:dyDescent="0.25">
      <c r="A163" s="128">
        <v>147</v>
      </c>
      <c r="B163" s="133"/>
      <c r="C163" s="149">
        <f ca="1">_xll.meDateFromTenor(C162,"1D","FOLLOWING",$D$11,"NORMAL")</f>
        <v>42634</v>
      </c>
      <c r="D163" s="20">
        <f ca="1">_xll.meDateFromTenor(C163,"1D","Following",$D$11,"Normal")</f>
        <v>42635</v>
      </c>
      <c r="E163" s="99">
        <f ca="1"/>
        <v>4.8500000000118067E-3</v>
      </c>
      <c r="F163" s="161">
        <f ca="1">_xll.meCurveForwardRates(C163,$D$9,$D$10)</f>
        <v>4.8617474584309317E-3</v>
      </c>
      <c r="G163" s="7" t="s">
        <v>4</v>
      </c>
      <c r="H163" s="149">
        <f t="shared" ca="1" si="4"/>
        <v>42634</v>
      </c>
      <c r="I163" s="20">
        <f ca="1">_xll.meDateFromTenor(H163,"3M","Following",$I$11,"Normal")</f>
        <v>42725</v>
      </c>
      <c r="J163" s="150">
        <f ca="1"/>
        <v>8.2805502368725765E-3</v>
      </c>
      <c r="K163" s="7" t="s">
        <v>4</v>
      </c>
      <c r="L163" s="149" t="e">
        <f ca="1">_xll.meDateFromTenor(L162,"1D","FOLLOWING",#REF!,"NORMAL")</f>
        <v>#VALUE!</v>
      </c>
      <c r="M163" s="155">
        <f ca="1">_xll.meDateYearFraction(C163,D163,$M$11)</f>
        <v>2.7777777777777779E-3</v>
      </c>
      <c r="N163" s="150">
        <f ca="1"/>
        <v>-2.4300000000065936E-3</v>
      </c>
      <c r="O163" s="7" t="s">
        <v>4</v>
      </c>
      <c r="P163" s="149">
        <f t="shared" ca="1" si="5"/>
        <v>42634</v>
      </c>
      <c r="Q163" s="155">
        <f ca="1">_xll.meDateYearFraction(H163,I163,$Q$11,TRUE)</f>
        <v>0.25277777777777777</v>
      </c>
      <c r="R163" s="150">
        <f ca="1">IF(NOW(),_xll.meCurveForwardRatesFromYearFraction(P163,Q163,$Q$11,$Q$9,$Q$10))</f>
        <v>-3.7175485397107962E-3</v>
      </c>
      <c r="S163" s="134" t="s">
        <v>4</v>
      </c>
    </row>
    <row r="164" spans="1:19" x14ac:dyDescent="0.25">
      <c r="A164" s="128">
        <v>148</v>
      </c>
      <c r="B164" s="133"/>
      <c r="C164" s="149">
        <f ca="1">_xll.meDateFromTenor(C163,"1D","FOLLOWING",$D$11,"NORMAL")</f>
        <v>42635</v>
      </c>
      <c r="D164" s="20">
        <f ca="1">_xll.meDateFromTenor(C164,"1D","Following",$D$11,"Normal")</f>
        <v>42636</v>
      </c>
      <c r="E164" s="99">
        <f ca="1"/>
        <v>4.8500000000118067E-3</v>
      </c>
      <c r="F164" s="161">
        <f ca="1">_xll.meCurveForwardRates(C164,$D$9,$D$10)</f>
        <v>4.8617474584309317E-3</v>
      </c>
      <c r="G164" s="7" t="s">
        <v>4</v>
      </c>
      <c r="H164" s="149">
        <f t="shared" ca="1" si="4"/>
        <v>42635</v>
      </c>
      <c r="I164" s="20">
        <f ca="1">_xll.meDateFromTenor(H164,"3M","Following",$I$11,"Normal")</f>
        <v>42726</v>
      </c>
      <c r="J164" s="150">
        <f ca="1"/>
        <v>8.2897193491684278E-3</v>
      </c>
      <c r="K164" s="7" t="s">
        <v>4</v>
      </c>
      <c r="L164" s="149" t="e">
        <f ca="1">_xll.meDateFromTenor(L163,"1D","FOLLOWING",#REF!,"NORMAL")</f>
        <v>#VALUE!</v>
      </c>
      <c r="M164" s="155">
        <f ca="1">_xll.meDateYearFraction(C164,D164,$M$11)</f>
        <v>2.7777777777777779E-3</v>
      </c>
      <c r="N164" s="150">
        <f ca="1"/>
        <v>-2.4300000000065936E-3</v>
      </c>
      <c r="O164" s="7" t="s">
        <v>4</v>
      </c>
      <c r="P164" s="149">
        <f t="shared" ca="1" si="5"/>
        <v>42635</v>
      </c>
      <c r="Q164" s="155">
        <f ca="1">_xll.meDateYearFraction(H164,I164,$Q$11,TRUE)</f>
        <v>0.25277777777777777</v>
      </c>
      <c r="R164" s="150">
        <f ca="1">IF(NOW(),_xll.meCurveForwardRatesFromYearFraction(P164,Q164,$Q$11,$Q$9,$Q$10))</f>
        <v>-3.8816628818658977E-3</v>
      </c>
      <c r="S164" s="134" t="s">
        <v>4</v>
      </c>
    </row>
    <row r="165" spans="1:19" x14ac:dyDescent="0.25">
      <c r="A165" s="128">
        <v>149</v>
      </c>
      <c r="B165" s="133"/>
      <c r="C165" s="149">
        <f ca="1">_xll.meDateFromTenor(C164,"1D","FOLLOWING",$D$11,"NORMAL")</f>
        <v>42636</v>
      </c>
      <c r="D165" s="20">
        <f ca="1">_xll.meDateFromTenor(C165,"1D","Following",$D$11,"Normal")</f>
        <v>42639</v>
      </c>
      <c r="E165" s="99">
        <f ca="1"/>
        <v>4.8500000000117416E-3</v>
      </c>
      <c r="F165" s="161">
        <f ca="1">_xll.meCurveForwardRates(C165,$D$9,$D$10)</f>
        <v>4.8616893014119533E-3</v>
      </c>
      <c r="G165" s="7" t="s">
        <v>4</v>
      </c>
      <c r="H165" s="149">
        <f t="shared" ca="1" si="4"/>
        <v>42636</v>
      </c>
      <c r="I165" s="20">
        <f ca="1">_xll.meDateFromTenor(H165,"3M","Following",$I$11,"Normal")</f>
        <v>42727</v>
      </c>
      <c r="J165" s="150">
        <f ca="1"/>
        <v>8.298888461464279E-3</v>
      </c>
      <c r="K165" s="7" t="s">
        <v>4</v>
      </c>
      <c r="L165" s="149" t="e">
        <f ca="1">_xll.meDateFromTenor(L164,"1D","FOLLOWING",#REF!,"NORMAL")</f>
        <v>#VALUE!</v>
      </c>
      <c r="M165" s="155">
        <f ca="1">_xll.meDateYearFraction(C165,D165,$M$11)</f>
        <v>8.3333333333333332E-3</v>
      </c>
      <c r="N165" s="150">
        <f ca="1"/>
        <v>-2.4300000000065936E-3</v>
      </c>
      <c r="O165" s="7" t="s">
        <v>4</v>
      </c>
      <c r="P165" s="149">
        <f t="shared" ca="1" si="5"/>
        <v>42636</v>
      </c>
      <c r="Q165" s="155">
        <f ca="1">_xll.meDateYearFraction(H165,I165,$Q$11,TRUE)</f>
        <v>0.25277777777777777</v>
      </c>
      <c r="R165" s="150">
        <f ca="1">IF(NOW(),_xll.meCurveForwardRatesFromYearFraction(P165,Q165,$Q$11,$Q$9,$Q$10))</f>
        <v>-3.8788151767605627E-3</v>
      </c>
      <c r="S165" s="134" t="s">
        <v>4</v>
      </c>
    </row>
    <row r="166" spans="1:19" x14ac:dyDescent="0.25">
      <c r="A166" s="128">
        <v>150</v>
      </c>
      <c r="B166" s="133"/>
      <c r="C166" s="149">
        <f ca="1">_xll.meDateFromTenor(C165,"1D","FOLLOWING",$D$11,"NORMAL")</f>
        <v>42639</v>
      </c>
      <c r="D166" s="20">
        <f ca="1">_xll.meDateFromTenor(C166,"1D","Following",$D$11,"Normal")</f>
        <v>42640</v>
      </c>
      <c r="E166" s="99">
        <f ca="1"/>
        <v>4.8500000000118067E-3</v>
      </c>
      <c r="F166" s="161">
        <f ca="1">_xll.meCurveForwardRates(C166,$D$9,$D$10)</f>
        <v>4.8617474584309317E-3</v>
      </c>
      <c r="G166" s="7" t="s">
        <v>4</v>
      </c>
      <c r="H166" s="149">
        <f t="shared" ca="1" si="4"/>
        <v>42639</v>
      </c>
      <c r="I166" s="20">
        <f ca="1">_xll.meDateFromTenor(H166,"3M","Following",$I$11,"Normal")</f>
        <v>42732</v>
      </c>
      <c r="J166" s="150">
        <f ca="1"/>
        <v>8.3263957983518311E-3</v>
      </c>
      <c r="K166" s="7" t="s">
        <v>4</v>
      </c>
      <c r="L166" s="149" t="e">
        <f ca="1">_xll.meDateFromTenor(L165,"1D","FOLLOWING",#REF!,"NORMAL")</f>
        <v>#VALUE!</v>
      </c>
      <c r="M166" s="155">
        <f ca="1">_xll.meDateYearFraction(C166,D166,$M$11)</f>
        <v>2.7777777777777779E-3</v>
      </c>
      <c r="N166" s="150">
        <f ca="1"/>
        <v>-2.4300000000065936E-3</v>
      </c>
      <c r="O166" s="7" t="s">
        <v>4</v>
      </c>
      <c r="P166" s="149">
        <f t="shared" ca="1" si="5"/>
        <v>42639</v>
      </c>
      <c r="Q166" s="155">
        <f ca="1">_xll.meDateYearFraction(H166,I166,$Q$11,TRUE)</f>
        <v>0.25833333333333336</v>
      </c>
      <c r="R166" s="150">
        <f ca="1">IF(NOW(),_xll.meCurveForwardRatesFromYearFraction(P166,Q166,$Q$11,$Q$9,$Q$10))</f>
        <v>-3.7175485397107962E-3</v>
      </c>
      <c r="S166" s="134" t="s">
        <v>4</v>
      </c>
    </row>
    <row r="167" spans="1:19" x14ac:dyDescent="0.25">
      <c r="A167" s="128">
        <v>151</v>
      </c>
      <c r="B167" s="133"/>
      <c r="C167" s="149">
        <f ca="1">_xll.meDateFromTenor(C166,"1D","FOLLOWING",$D$11,"NORMAL")</f>
        <v>42640</v>
      </c>
      <c r="D167" s="20">
        <f ca="1">_xll.meDateFromTenor(C167,"1D","Following",$D$11,"Normal")</f>
        <v>42641</v>
      </c>
      <c r="E167" s="99">
        <f ca="1"/>
        <v>4.8500000000118067E-3</v>
      </c>
      <c r="F167" s="161">
        <f ca="1">_xll.meCurveForwardRates(C167,$D$9,$D$10)</f>
        <v>4.8617474584309317E-3</v>
      </c>
      <c r="G167" s="7" t="s">
        <v>4</v>
      </c>
      <c r="H167" s="149">
        <f t="shared" ca="1" si="4"/>
        <v>42640</v>
      </c>
      <c r="I167" s="20">
        <f ca="1">_xll.meDateFromTenor(H167,"3M","Following",$I$11,"Normal")</f>
        <v>42732</v>
      </c>
      <c r="J167" s="150">
        <f ca="1"/>
        <v>8.3355649106476824E-3</v>
      </c>
      <c r="K167" s="7" t="s">
        <v>4</v>
      </c>
      <c r="L167" s="149" t="e">
        <f ca="1">_xll.meDateFromTenor(L166,"1D","FOLLOWING",#REF!,"NORMAL")</f>
        <v>#VALUE!</v>
      </c>
      <c r="M167" s="155">
        <f ca="1">_xll.meDateYearFraction(C167,D167,$M$11)</f>
        <v>2.7777777777777779E-3</v>
      </c>
      <c r="N167" s="150">
        <f ca="1"/>
        <v>-2.4300000000065936E-3</v>
      </c>
      <c r="O167" s="7" t="s">
        <v>4</v>
      </c>
      <c r="P167" s="149">
        <f t="shared" ca="1" si="5"/>
        <v>42640</v>
      </c>
      <c r="Q167" s="155">
        <f ca="1">_xll.meDateYearFraction(H167,I167,$Q$11,TRUE)</f>
        <v>0.25555555555555554</v>
      </c>
      <c r="R167" s="150">
        <f ca="1">IF(NOW(),_xll.meCurveForwardRatesFromYearFraction(P167,Q167,$Q$11,$Q$9,$Q$10))</f>
        <v>-3.7175485397107962E-3</v>
      </c>
      <c r="S167" s="134" t="s">
        <v>4</v>
      </c>
    </row>
    <row r="168" spans="1:19" x14ac:dyDescent="0.25">
      <c r="A168" s="128">
        <v>152</v>
      </c>
      <c r="B168" s="133"/>
      <c r="C168" s="149">
        <f ca="1">_xll.meDateFromTenor(C167,"1D","FOLLOWING",$D$11,"NORMAL")</f>
        <v>42641</v>
      </c>
      <c r="D168" s="20">
        <f ca="1">_xll.meDateFromTenor(C168,"1D","Following",$D$11,"Normal")</f>
        <v>42642</v>
      </c>
      <c r="E168" s="99">
        <f ca="1"/>
        <v>4.8499999999318706E-3</v>
      </c>
      <c r="F168" s="161">
        <f ca="1">_xll.meCurveForwardRates(C168,$D$9,$D$10)</f>
        <v>4.8617474583507736E-3</v>
      </c>
      <c r="G168" s="7" t="s">
        <v>4</v>
      </c>
      <c r="H168" s="149">
        <f t="shared" ca="1" si="4"/>
        <v>42641</v>
      </c>
      <c r="I168" s="20">
        <f ca="1">_xll.meDateFromTenor(H168,"3M","Following",$I$11,"Normal")</f>
        <v>42732</v>
      </c>
      <c r="J168" s="150">
        <f ca="1"/>
        <v>8.3447340229435337E-3</v>
      </c>
      <c r="K168" s="7" t="s">
        <v>4</v>
      </c>
      <c r="L168" s="149" t="e">
        <f ca="1">_xll.meDateFromTenor(L167,"1D","FOLLOWING",#REF!,"NORMAL")</f>
        <v>#VALUE!</v>
      </c>
      <c r="M168" s="155">
        <f ca="1">_xll.meDateYearFraction(C168,D168,$M$11)</f>
        <v>2.7777777777777779E-3</v>
      </c>
      <c r="N168" s="150">
        <f ca="1"/>
        <v>-2.4300000000065936E-3</v>
      </c>
      <c r="O168" s="7" t="s">
        <v>4</v>
      </c>
      <c r="P168" s="149">
        <f t="shared" ca="1" si="5"/>
        <v>42641</v>
      </c>
      <c r="Q168" s="155">
        <f ca="1">_xll.meDateYearFraction(H168,I168,$Q$11,TRUE)</f>
        <v>0.25277777777777777</v>
      </c>
      <c r="R168" s="150">
        <f ca="1">IF(NOW(),_xll.meCurveForwardRatesFromYearFraction(P168,Q168,$Q$11,$Q$9,$Q$10))</f>
        <v>-3.7175485397107962E-3</v>
      </c>
      <c r="S168" s="134" t="s">
        <v>4</v>
      </c>
    </row>
    <row r="169" spans="1:19" x14ac:dyDescent="0.25">
      <c r="A169" s="128">
        <v>153</v>
      </c>
      <c r="B169" s="133"/>
      <c r="C169" s="149">
        <f ca="1">_xll.meDateFromTenor(C168,"1D","FOLLOWING",$D$11,"NORMAL")</f>
        <v>42642</v>
      </c>
      <c r="D169" s="20">
        <f ca="1">_xll.meDateFromTenor(C169,"1D","Following",$D$11,"Normal")</f>
        <v>42643</v>
      </c>
      <c r="E169" s="99">
        <f ca="1"/>
        <v>4.8500000000118067E-3</v>
      </c>
      <c r="F169" s="161">
        <f ca="1">_xll.meCurveForwardRates(C169,$D$9,$D$10)</f>
        <v>4.8617474584309317E-3</v>
      </c>
      <c r="G169" s="7" t="s">
        <v>4</v>
      </c>
      <c r="H169" s="149">
        <f t="shared" ca="1" si="4"/>
        <v>42642</v>
      </c>
      <c r="I169" s="20">
        <f ca="1">_xll.meDateFromTenor(H169,"3M","Following",$I$11,"Normal")</f>
        <v>42733</v>
      </c>
      <c r="J169" s="150">
        <f ca="1"/>
        <v>8.353903135239385E-3</v>
      </c>
      <c r="K169" s="7" t="s">
        <v>4</v>
      </c>
      <c r="L169" s="149" t="e">
        <f ca="1">_xll.meDateFromTenor(L168,"1D","FOLLOWING",#REF!,"NORMAL")</f>
        <v>#VALUE!</v>
      </c>
      <c r="M169" s="155">
        <f ca="1">_xll.meDateYearFraction(C169,D169,$M$11)</f>
        <v>2.7777777777777779E-3</v>
      </c>
      <c r="N169" s="150">
        <f ca="1"/>
        <v>-2.4300000000065936E-3</v>
      </c>
      <c r="O169" s="7" t="s">
        <v>4</v>
      </c>
      <c r="P169" s="149">
        <f t="shared" ca="1" si="5"/>
        <v>42642</v>
      </c>
      <c r="Q169" s="155">
        <f ca="1">_xll.meDateYearFraction(H169,I169,$Q$11,TRUE)</f>
        <v>0.25277777777777777</v>
      </c>
      <c r="R169" s="150">
        <f ca="1">IF(NOW(),_xll.meCurveForwardRatesFromYearFraction(P169,Q169,$Q$11,$Q$9,$Q$10))</f>
        <v>-3.8615095177117332E-3</v>
      </c>
      <c r="S169" s="134" t="s">
        <v>4</v>
      </c>
    </row>
    <row r="170" spans="1:19" x14ac:dyDescent="0.25">
      <c r="A170" s="128">
        <v>154</v>
      </c>
      <c r="B170" s="133"/>
      <c r="C170" s="149">
        <f ca="1">_xll.meDateFromTenor(C169,"1D","FOLLOWING",$D$11,"NORMAL")</f>
        <v>42643</v>
      </c>
      <c r="D170" s="20">
        <f ca="1">_xll.meDateFromTenor(C170,"1D","Following",$D$11,"Normal")</f>
        <v>42646</v>
      </c>
      <c r="E170" s="99">
        <f ca="1"/>
        <v>4.8500000000118067E-3</v>
      </c>
      <c r="F170" s="161">
        <f ca="1">_xll.meCurveForwardRates(C170,$D$9,$D$10)</f>
        <v>4.8616763112385719E-3</v>
      </c>
      <c r="G170" s="7" t="s">
        <v>4</v>
      </c>
      <c r="H170" s="149">
        <f t="shared" ca="1" si="4"/>
        <v>42643</v>
      </c>
      <c r="I170" s="20">
        <f ca="1">_xll.meDateFromTenor(H170,"3M","Following",$I$11,"Normal")</f>
        <v>42734</v>
      </c>
      <c r="J170" s="150">
        <f ca="1"/>
        <v>8.3630722475352345E-3</v>
      </c>
      <c r="K170" s="7" t="s">
        <v>4</v>
      </c>
      <c r="L170" s="149" t="e">
        <f ca="1">_xll.meDateFromTenor(L169,"1D","FOLLOWING",#REF!,"NORMAL")</f>
        <v>#VALUE!</v>
      </c>
      <c r="M170" s="155">
        <f ca="1">_xll.meDateYearFraction(C170,D170,$M$11)</f>
        <v>8.3333333333333332E-3</v>
      </c>
      <c r="N170" s="150">
        <f ca="1"/>
        <v>-2.4300000000065936E-3</v>
      </c>
      <c r="O170" s="7" t="s">
        <v>4</v>
      </c>
      <c r="P170" s="149">
        <f t="shared" ca="1" si="5"/>
        <v>42643</v>
      </c>
      <c r="Q170" s="155">
        <f ca="1">_xll.meDateYearFraction(H170,I170,$Q$11,TRUE)</f>
        <v>0.25277777777777777</v>
      </c>
      <c r="R170" s="150">
        <f ca="1">IF(NOW(),_xll.meCurveForwardRatesFromYearFraction(P170,Q170,$Q$11,$Q$9,$Q$10))</f>
        <v>-3.7175485397107962E-3</v>
      </c>
      <c r="S170" s="134" t="s">
        <v>4</v>
      </c>
    </row>
    <row r="171" spans="1:19" x14ac:dyDescent="0.25">
      <c r="A171" s="128">
        <v>155</v>
      </c>
      <c r="B171" s="133"/>
      <c r="C171" s="149">
        <f ca="1">_xll.meDateFromTenor(C170,"1D","FOLLOWING",$D$11,"NORMAL")</f>
        <v>42646</v>
      </c>
      <c r="D171" s="20">
        <f ca="1">_xll.meDateFromTenor(C171,"1D","Following",$D$11,"Normal")</f>
        <v>42647</v>
      </c>
      <c r="E171" s="99">
        <f ca="1"/>
        <v>5.1499999999738049E-3</v>
      </c>
      <c r="F171" s="161">
        <f ca="1">_xll.meCurveForwardRates(C171,$D$9,$D$10)</f>
        <v>5.163247017809125E-3</v>
      </c>
      <c r="G171" s="7" t="s">
        <v>4</v>
      </c>
      <c r="H171" s="149">
        <f t="shared" ca="1" si="4"/>
        <v>42646</v>
      </c>
      <c r="I171" s="20">
        <f ca="1">_xll.meDateFromTenor(H171,"3M","Following",$I$11,"Normal")</f>
        <v>42738</v>
      </c>
      <c r="J171" s="150">
        <f ca="1"/>
        <v>8.3905795844227884E-3</v>
      </c>
      <c r="K171" s="7" t="s">
        <v>4</v>
      </c>
      <c r="L171" s="149" t="e">
        <f ca="1">_xll.meDateFromTenor(L170,"1D","FOLLOWING",#REF!,"NORMAL")</f>
        <v>#VALUE!</v>
      </c>
      <c r="M171" s="155">
        <f ca="1">_xll.meDateYearFraction(C171,D171,$M$11)</f>
        <v>2.7777777777777779E-3</v>
      </c>
      <c r="N171" s="150">
        <f ca="1"/>
        <v>-2.4300000000065936E-3</v>
      </c>
      <c r="O171" s="7" t="s">
        <v>4</v>
      </c>
      <c r="P171" s="149">
        <f t="shared" ca="1" si="5"/>
        <v>42646</v>
      </c>
      <c r="Q171" s="155">
        <f ca="1">_xll.meDateYearFraction(H171,I171,$Q$11,TRUE)</f>
        <v>0.25555555555555554</v>
      </c>
      <c r="R171" s="150">
        <f ca="1">IF(NOW(),_xll.meCurveForwardRatesFromYearFraction(P171,Q171,$Q$11,$Q$9,$Q$10))</f>
        <v>-3.8497879328989121E-3</v>
      </c>
      <c r="S171" s="134" t="s">
        <v>4</v>
      </c>
    </row>
    <row r="172" spans="1:19" x14ac:dyDescent="0.25">
      <c r="A172" s="128">
        <v>156</v>
      </c>
      <c r="B172" s="133"/>
      <c r="C172" s="149">
        <f ca="1">_xll.meDateFromTenor(C171,"1D","FOLLOWING",$D$11,"NORMAL")</f>
        <v>42647</v>
      </c>
      <c r="D172" s="20">
        <f ca="1">_xll.meDateFromTenor(C172,"1D","Following",$D$11,"Normal")</f>
        <v>42648</v>
      </c>
      <c r="E172" s="99">
        <f ca="1"/>
        <v>5.1499999998938688E-3</v>
      </c>
      <c r="F172" s="161">
        <f ca="1">_xll.meCurveForwardRates(C172,$D$9,$D$10)</f>
        <v>5.1632470177289669E-3</v>
      </c>
      <c r="G172" s="7" t="s">
        <v>4</v>
      </c>
      <c r="H172" s="149">
        <f t="shared" ca="1" si="4"/>
        <v>42647</v>
      </c>
      <c r="I172" s="20">
        <f ca="1">_xll.meDateFromTenor(H172,"3M","Following",$I$11,"Normal")</f>
        <v>42739</v>
      </c>
      <c r="J172" s="150">
        <f ca="1"/>
        <v>8.3997486967186397E-3</v>
      </c>
      <c r="K172" s="7" t="s">
        <v>4</v>
      </c>
      <c r="L172" s="149" t="e">
        <f ca="1">_xll.meDateFromTenor(L171,"1D","FOLLOWING",#REF!,"NORMAL")</f>
        <v>#VALUE!</v>
      </c>
      <c r="M172" s="155">
        <f ca="1">_xll.meDateYearFraction(C172,D172,$M$11)</f>
        <v>2.7777777777777779E-3</v>
      </c>
      <c r="N172" s="150">
        <f ca="1"/>
        <v>-2.4300000000065936E-3</v>
      </c>
      <c r="O172" s="7" t="s">
        <v>4</v>
      </c>
      <c r="P172" s="149">
        <f t="shared" ca="1" si="5"/>
        <v>42647</v>
      </c>
      <c r="Q172" s="155">
        <f ca="1">_xll.meDateYearFraction(H172,I172,$Q$11,TRUE)</f>
        <v>0.25555555555555554</v>
      </c>
      <c r="R172" s="150">
        <f ca="1">IF(NOW(),_xll.meCurveForwardRatesFromYearFraction(P172,Q172,$Q$11,$Q$9,$Q$10))</f>
        <v>-3.7175485397107962E-3</v>
      </c>
      <c r="S172" s="134" t="s">
        <v>4</v>
      </c>
    </row>
    <row r="173" spans="1:19" x14ac:dyDescent="0.25">
      <c r="A173" s="128">
        <v>157</v>
      </c>
      <c r="B173" s="133"/>
      <c r="C173" s="149">
        <f ca="1">_xll.meDateFromTenor(C172,"1D","FOLLOWING",$D$11,"NORMAL")</f>
        <v>42648</v>
      </c>
      <c r="D173" s="20">
        <f ca="1">_xll.meDateFromTenor(C173,"1D","Following",$D$11,"Normal")</f>
        <v>42649</v>
      </c>
      <c r="E173" s="99">
        <f ca="1"/>
        <v>5.1499999999738049E-3</v>
      </c>
      <c r="F173" s="161">
        <f ca="1">_xll.meCurveForwardRates(C173,$D$9,$D$10)</f>
        <v>5.163247017809125E-3</v>
      </c>
      <c r="G173" s="7" t="s">
        <v>4</v>
      </c>
      <c r="H173" s="149">
        <f t="shared" ca="1" si="4"/>
        <v>42648</v>
      </c>
      <c r="I173" s="20">
        <f ca="1">_xll.meDateFromTenor(H173,"3M","Following",$I$11,"Normal")</f>
        <v>42740</v>
      </c>
      <c r="J173" s="150">
        <f ca="1"/>
        <v>8.4089178090144909E-3</v>
      </c>
      <c r="K173" s="7" t="s">
        <v>4</v>
      </c>
      <c r="L173" s="149" t="e">
        <f ca="1">_xll.meDateFromTenor(L172,"1D","FOLLOWING",#REF!,"NORMAL")</f>
        <v>#VALUE!</v>
      </c>
      <c r="M173" s="155">
        <f ca="1">_xll.meDateYearFraction(C173,D173,$M$11)</f>
        <v>2.7777777777777779E-3</v>
      </c>
      <c r="N173" s="150">
        <f ca="1"/>
        <v>-2.4300000000065936E-3</v>
      </c>
      <c r="O173" s="7" t="s">
        <v>4</v>
      </c>
      <c r="P173" s="149">
        <f t="shared" ca="1" si="5"/>
        <v>42648</v>
      </c>
      <c r="Q173" s="155">
        <f ca="1">_xll.meDateYearFraction(H173,I173,$Q$11,TRUE)</f>
        <v>0.25555555555555554</v>
      </c>
      <c r="R173" s="150">
        <f ca="1">IF(NOW(),_xll.meCurveForwardRatesFromYearFraction(P173,Q173,$Q$11,$Q$9,$Q$10))</f>
        <v>-3.8438798152576523E-3</v>
      </c>
      <c r="S173" s="134" t="s">
        <v>4</v>
      </c>
    </row>
    <row r="174" spans="1:19" x14ac:dyDescent="0.25">
      <c r="A174" s="128">
        <v>158</v>
      </c>
      <c r="B174" s="133"/>
      <c r="C174" s="149">
        <f ca="1">_xll.meDateFromTenor(C173,"1D","FOLLOWING",$D$11,"NORMAL")</f>
        <v>42649</v>
      </c>
      <c r="D174" s="20">
        <f ca="1">_xll.meDateFromTenor(C174,"1D","Following",$D$11,"Normal")</f>
        <v>42650</v>
      </c>
      <c r="E174" s="99">
        <f ca="1"/>
        <v>5.1499999999735993E-3</v>
      </c>
      <c r="F174" s="161">
        <f ca="1">_xll.meCurveForwardRates(C174,$D$9,$D$10)</f>
        <v>5.1632470178089029E-3</v>
      </c>
      <c r="G174" s="7" t="s">
        <v>4</v>
      </c>
      <c r="H174" s="149">
        <f t="shared" ca="1" si="4"/>
        <v>42649</v>
      </c>
      <c r="I174" s="20">
        <f ca="1">_xll.meDateFromTenor(H174,"3M","Following",$I$11,"Normal")</f>
        <v>42741</v>
      </c>
      <c r="J174" s="150">
        <f ca="1"/>
        <v>8.4180869213103422E-3</v>
      </c>
      <c r="K174" s="7" t="s">
        <v>4</v>
      </c>
      <c r="L174" s="149" t="e">
        <f ca="1">_xll.meDateFromTenor(L173,"1D","FOLLOWING",#REF!,"NORMAL")</f>
        <v>#VALUE!</v>
      </c>
      <c r="M174" s="155">
        <f ca="1">_xll.meDateYearFraction(C174,D174,$M$11)</f>
        <v>2.7777777777777779E-3</v>
      </c>
      <c r="N174" s="150">
        <f ca="1"/>
        <v>-2.4300000000065936E-3</v>
      </c>
      <c r="O174" s="7" t="s">
        <v>4</v>
      </c>
      <c r="P174" s="149">
        <f t="shared" ca="1" si="5"/>
        <v>42649</v>
      </c>
      <c r="Q174" s="155">
        <f ca="1">_xll.meDateYearFraction(H174,I174,$Q$11,TRUE)</f>
        <v>0.25555555555555554</v>
      </c>
      <c r="R174" s="150">
        <f ca="1">IF(NOW(),_xll.meCurveForwardRatesFromYearFraction(P174,Q174,$Q$11,$Q$9,$Q$10))</f>
        <v>-3.7175485397107962E-3</v>
      </c>
      <c r="S174" s="134" t="s">
        <v>4</v>
      </c>
    </row>
    <row r="175" spans="1:19" x14ac:dyDescent="0.25">
      <c r="A175" s="128">
        <v>159</v>
      </c>
      <c r="B175" s="133"/>
      <c r="C175" s="149">
        <f ca="1">_xll.meDateFromTenor(C174,"1D","FOLLOWING",$D$11,"NORMAL")</f>
        <v>42650</v>
      </c>
      <c r="D175" s="20">
        <f ca="1">_xll.meDateFromTenor(C175,"1D","Following",$D$11,"Normal")</f>
        <v>42654</v>
      </c>
      <c r="E175" s="99">
        <f ca="1"/>
        <v>5.1499999999937889E-3</v>
      </c>
      <c r="F175" s="161">
        <f ca="1">_xll.meCurveForwardRates(C175,$D$9,$D$10)</f>
        <v>5.1631555538387275E-3</v>
      </c>
      <c r="G175" s="7" t="s">
        <v>4</v>
      </c>
      <c r="H175" s="149">
        <f t="shared" ca="1" si="4"/>
        <v>42650</v>
      </c>
      <c r="I175" s="20">
        <f ca="1">_xll.meDateFromTenor(H175,"3M","Following",$I$11,"Normal")</f>
        <v>42744</v>
      </c>
      <c r="J175" s="150">
        <f ca="1"/>
        <v>8.4272560336061935E-3</v>
      </c>
      <c r="K175" s="7" t="s">
        <v>4</v>
      </c>
      <c r="L175" s="149" t="e">
        <f ca="1">_xll.meDateFromTenor(L174,"1D","FOLLOWING",#REF!,"NORMAL")</f>
        <v>#VALUE!</v>
      </c>
      <c r="M175" s="155">
        <f ca="1">_xll.meDateYearFraction(C175,D175,$M$11)</f>
        <v>1.1111111111111112E-2</v>
      </c>
      <c r="N175" s="150">
        <f ca="1"/>
        <v>-2.4300000000065936E-3</v>
      </c>
      <c r="O175" s="7" t="s">
        <v>4</v>
      </c>
      <c r="P175" s="149">
        <f t="shared" ca="1" si="5"/>
        <v>42650</v>
      </c>
      <c r="Q175" s="155">
        <f ca="1">_xll.meDateYearFraction(H175,I175,$Q$11,TRUE)</f>
        <v>0.26111111111111113</v>
      </c>
      <c r="R175" s="150">
        <f ca="1">IF(NOW(),_xll.meCurveForwardRatesFromYearFraction(P175,Q175,$Q$11,$Q$9,$Q$10))</f>
        <v>-3.7175485397107962E-3</v>
      </c>
      <c r="S175" s="134" t="s">
        <v>4</v>
      </c>
    </row>
    <row r="176" spans="1:19" x14ac:dyDescent="0.25">
      <c r="A176" s="128">
        <v>160</v>
      </c>
      <c r="B176" s="133"/>
      <c r="C176" s="149">
        <f ca="1">_xll.meDateFromTenor(C175,"1D","FOLLOWING",$D$11,"NORMAL")</f>
        <v>42654</v>
      </c>
      <c r="D176" s="20">
        <f ca="1">_xll.meDateFromTenor(C176,"1D","Following",$D$11,"Normal")</f>
        <v>42655</v>
      </c>
      <c r="E176" s="99">
        <f ca="1"/>
        <v>5.1499999999738049E-3</v>
      </c>
      <c r="F176" s="161">
        <f ca="1">_xll.meCurveForwardRates(C176,$D$9,$D$10)</f>
        <v>5.163247017809125E-3</v>
      </c>
      <c r="G176" s="7" t="s">
        <v>4</v>
      </c>
      <c r="H176" s="149">
        <f t="shared" ca="1" si="4"/>
        <v>42654</v>
      </c>
      <c r="I176" s="20">
        <f ca="1">_xll.meDateFromTenor(H176,"3M","Following",$I$11,"Normal")</f>
        <v>42746</v>
      </c>
      <c r="J176" s="150">
        <f ca="1"/>
        <v>8.4639324827895969E-3</v>
      </c>
      <c r="K176" s="7" t="s">
        <v>4</v>
      </c>
      <c r="L176" s="149" t="e">
        <f ca="1">_xll.meDateFromTenor(L175,"1D","FOLLOWING",#REF!,"NORMAL")</f>
        <v>#VALUE!</v>
      </c>
      <c r="M176" s="155">
        <f ca="1">_xll.meDateYearFraction(C176,D176,$M$11)</f>
        <v>2.7777777777777779E-3</v>
      </c>
      <c r="N176" s="150">
        <f ca="1"/>
        <v>-2.4300000000065936E-3</v>
      </c>
      <c r="O176" s="7" t="s">
        <v>4</v>
      </c>
      <c r="P176" s="149">
        <f t="shared" ca="1" si="5"/>
        <v>42654</v>
      </c>
      <c r="Q176" s="155">
        <f ca="1">_xll.meDateYearFraction(H176,I176,$Q$11,TRUE)</f>
        <v>0.25555555555555554</v>
      </c>
      <c r="R176" s="150">
        <f ca="1">IF(NOW(),_xll.meCurveForwardRatesFromYearFraction(P176,Q176,$Q$11,$Q$9,$Q$10))</f>
        <v>-3.7175485397107962E-3</v>
      </c>
      <c r="S176" s="134" t="s">
        <v>4</v>
      </c>
    </row>
    <row r="177" spans="1:19" x14ac:dyDescent="0.25">
      <c r="A177" s="128">
        <v>161</v>
      </c>
      <c r="B177" s="133"/>
      <c r="C177" s="149">
        <f ca="1">_xll.meDateFromTenor(C176,"1D","FOLLOWING",$D$11,"NORMAL")</f>
        <v>42655</v>
      </c>
      <c r="D177" s="20">
        <f ca="1">_xll.meDateFromTenor(C177,"1D","Following",$D$11,"Normal")</f>
        <v>42656</v>
      </c>
      <c r="E177" s="99">
        <f ca="1"/>
        <v>5.1499999999738049E-3</v>
      </c>
      <c r="F177" s="161">
        <f ca="1">_xll.meCurveForwardRates(C177,$D$9,$D$10)</f>
        <v>5.163247017809125E-3</v>
      </c>
      <c r="G177" s="7" t="s">
        <v>4</v>
      </c>
      <c r="H177" s="149">
        <f t="shared" ca="1" si="4"/>
        <v>42655</v>
      </c>
      <c r="I177" s="20">
        <f ca="1">_xll.meDateFromTenor(H177,"3M","Following",$I$11,"Normal")</f>
        <v>42747</v>
      </c>
      <c r="J177" s="150">
        <f ca="1"/>
        <v>8.4731015950854482E-3</v>
      </c>
      <c r="K177" s="7" t="s">
        <v>4</v>
      </c>
      <c r="L177" s="149" t="e">
        <f ca="1">_xll.meDateFromTenor(L176,"1D","FOLLOWING",#REF!,"NORMAL")</f>
        <v>#VALUE!</v>
      </c>
      <c r="M177" s="155">
        <f ca="1">_xll.meDateYearFraction(C177,D177,$M$11)</f>
        <v>2.7777777777777779E-3</v>
      </c>
      <c r="N177" s="150">
        <f ca="1"/>
        <v>-2.4300000000065936E-3</v>
      </c>
      <c r="O177" s="7" t="s">
        <v>4</v>
      </c>
      <c r="P177" s="149">
        <f t="shared" ca="1" si="5"/>
        <v>42655</v>
      </c>
      <c r="Q177" s="155">
        <f ca="1">_xll.meDateYearFraction(H177,I177,$Q$11,TRUE)</f>
        <v>0.25555555555555554</v>
      </c>
      <c r="R177" s="150">
        <f ca="1">IF(NOW(),_xll.meCurveForwardRatesFromYearFraction(P177,Q177,$Q$11,$Q$9,$Q$10))</f>
        <v>-3.8229985506759174E-3</v>
      </c>
      <c r="S177" s="134" t="s">
        <v>4</v>
      </c>
    </row>
    <row r="178" spans="1:19" x14ac:dyDescent="0.25">
      <c r="A178" s="128">
        <v>162</v>
      </c>
      <c r="B178" s="133"/>
      <c r="C178" s="149">
        <f ca="1">_xll.meDateFromTenor(C177,"1D","FOLLOWING",$D$11,"NORMAL")</f>
        <v>42656</v>
      </c>
      <c r="D178" s="20">
        <f ca="1">_xll.meDateFromTenor(C178,"1D","Following",$D$11,"Normal")</f>
        <v>42657</v>
      </c>
      <c r="E178" s="99">
        <f ca="1"/>
        <v>5.1499999999738049E-3</v>
      </c>
      <c r="F178" s="161">
        <f ca="1">_xll.meCurveForwardRates(C178,$D$9,$D$10)</f>
        <v>5.163247017809125E-3</v>
      </c>
      <c r="G178" s="7" t="s">
        <v>4</v>
      </c>
      <c r="H178" s="149">
        <f t="shared" ca="1" si="4"/>
        <v>42656</v>
      </c>
      <c r="I178" s="20">
        <f ca="1">_xll.meDateFromTenor(H178,"3M","Following",$I$11,"Normal")</f>
        <v>42748</v>
      </c>
      <c r="J178" s="150">
        <f ca="1"/>
        <v>8.4822707073812995E-3</v>
      </c>
      <c r="K178" s="7" t="s">
        <v>4</v>
      </c>
      <c r="L178" s="149" t="e">
        <f ca="1">_xll.meDateFromTenor(L177,"1D","FOLLOWING",#REF!,"NORMAL")</f>
        <v>#VALUE!</v>
      </c>
      <c r="M178" s="155">
        <f ca="1">_xll.meDateYearFraction(C178,D178,$M$11)</f>
        <v>2.7777777777777779E-3</v>
      </c>
      <c r="N178" s="150">
        <f ca="1"/>
        <v>-2.4300000000065936E-3</v>
      </c>
      <c r="O178" s="7" t="s">
        <v>4</v>
      </c>
      <c r="P178" s="149">
        <f t="shared" ca="1" si="5"/>
        <v>42656</v>
      </c>
      <c r="Q178" s="155">
        <f ca="1">_xll.meDateYearFraction(H178,I178,$Q$11,TRUE)</f>
        <v>0.25555555555555554</v>
      </c>
      <c r="R178" s="150">
        <f ca="1">IF(NOW(),_xll.meCurveForwardRatesFromYearFraction(P178,Q178,$Q$11,$Q$9,$Q$10))</f>
        <v>-3.7175485397107962E-3</v>
      </c>
      <c r="S178" s="134" t="s">
        <v>4</v>
      </c>
    </row>
    <row r="179" spans="1:19" x14ac:dyDescent="0.25">
      <c r="A179" s="128">
        <v>163</v>
      </c>
      <c r="B179" s="133"/>
      <c r="C179" s="149">
        <f ca="1">_xll.meDateFromTenor(C178,"1D","FOLLOWING",$D$11,"NORMAL")</f>
        <v>42657</v>
      </c>
      <c r="D179" s="20">
        <f ca="1">_xll.meDateFromTenor(C179,"1D","Following",$D$11,"Normal")</f>
        <v>42660</v>
      </c>
      <c r="E179" s="99">
        <f ca="1"/>
        <v>5.1500000000004502E-3</v>
      </c>
      <c r="F179" s="161">
        <f ca="1">_xll.meCurveForwardRates(C179,$D$9,$D$10)</f>
        <v>5.1631814241690499E-3</v>
      </c>
      <c r="G179" s="7" t="s">
        <v>4</v>
      </c>
      <c r="H179" s="149">
        <f t="shared" ca="1" si="4"/>
        <v>42657</v>
      </c>
      <c r="I179" s="20">
        <f ca="1">_xll.meDateFromTenor(H179,"3M","Following",$I$11,"Normal")</f>
        <v>42752</v>
      </c>
      <c r="J179" s="150">
        <f ca="1"/>
        <v>8.4914398196771507E-3</v>
      </c>
      <c r="K179" s="7" t="s">
        <v>4</v>
      </c>
      <c r="L179" s="149" t="e">
        <f ca="1">_xll.meDateFromTenor(L178,"1D","FOLLOWING",#REF!,"NORMAL")</f>
        <v>#VALUE!</v>
      </c>
      <c r="M179" s="155">
        <f ca="1">_xll.meDateYearFraction(C179,D179,$M$11)</f>
        <v>8.3333333333333332E-3</v>
      </c>
      <c r="N179" s="150">
        <f ca="1"/>
        <v>-2.4300000000065936E-3</v>
      </c>
      <c r="O179" s="7" t="s">
        <v>4</v>
      </c>
      <c r="P179" s="149">
        <f t="shared" ca="1" si="5"/>
        <v>42657</v>
      </c>
      <c r="Q179" s="155">
        <f ca="1">_xll.meDateYearFraction(H179,I179,$Q$11,TRUE)</f>
        <v>0.2638888888888889</v>
      </c>
      <c r="R179" s="150">
        <f ca="1">IF(NOW(),_xll.meCurveForwardRatesFromYearFraction(P179,Q179,$Q$11,$Q$9,$Q$10))</f>
        <v>-3.7175485397107962E-3</v>
      </c>
      <c r="S179" s="134" t="s">
        <v>4</v>
      </c>
    </row>
    <row r="180" spans="1:19" x14ac:dyDescent="0.25">
      <c r="A180" s="128">
        <v>164</v>
      </c>
      <c r="B180" s="133"/>
      <c r="C180" s="149">
        <f ca="1">_xll.meDateFromTenor(C179,"1D","FOLLOWING",$D$11,"NORMAL")</f>
        <v>42660</v>
      </c>
      <c r="D180" s="20">
        <f ca="1">_xll.meDateFromTenor(C180,"1D","Following",$D$11,"Normal")</f>
        <v>42661</v>
      </c>
      <c r="E180" s="99">
        <f ca="1"/>
        <v>5.1500000000535354E-3</v>
      </c>
      <c r="F180" s="161">
        <f ca="1">_xll.meCurveForwardRates(C180,$D$9,$D$10)</f>
        <v>5.1632470178892831E-3</v>
      </c>
      <c r="G180" s="7" t="s">
        <v>4</v>
      </c>
      <c r="H180" s="149">
        <f t="shared" ca="1" si="4"/>
        <v>42660</v>
      </c>
      <c r="I180" s="20">
        <f ca="1">_xll.meDateFromTenor(H180,"3M","Following",$I$11,"Normal")</f>
        <v>42752</v>
      </c>
      <c r="J180" s="150">
        <f ca="1"/>
        <v>8.5189471565647028E-3</v>
      </c>
      <c r="K180" s="7" t="s">
        <v>4</v>
      </c>
      <c r="L180" s="149" t="e">
        <f ca="1">_xll.meDateFromTenor(L179,"1D","FOLLOWING",#REF!,"NORMAL")</f>
        <v>#VALUE!</v>
      </c>
      <c r="M180" s="155">
        <f ca="1">_xll.meDateYearFraction(C180,D180,$M$11)</f>
        <v>2.7777777777777779E-3</v>
      </c>
      <c r="N180" s="150">
        <f ca="1"/>
        <v>-2.4300000000065936E-3</v>
      </c>
      <c r="O180" s="7" t="s">
        <v>4</v>
      </c>
      <c r="P180" s="149">
        <f t="shared" ca="1" si="5"/>
        <v>42660</v>
      </c>
      <c r="Q180" s="155">
        <f ca="1">_xll.meDateYearFraction(H180,I180,$Q$11,TRUE)</f>
        <v>0.25555555555555554</v>
      </c>
      <c r="R180" s="150">
        <f ca="1">IF(NOW(),_xll.meCurveForwardRatesFromYearFraction(P180,Q180,$Q$11,$Q$9,$Q$10))</f>
        <v>-3.8079369425060763E-3</v>
      </c>
      <c r="S180" s="134" t="s">
        <v>4</v>
      </c>
    </row>
    <row r="181" spans="1:19" x14ac:dyDescent="0.25">
      <c r="A181" s="128">
        <v>165</v>
      </c>
      <c r="B181" s="133"/>
      <c r="C181" s="149">
        <f ca="1">_xll.meDateFromTenor(C180,"1D","FOLLOWING",$D$11,"NORMAL")</f>
        <v>42661</v>
      </c>
      <c r="D181" s="20">
        <f ca="1">_xll.meDateFromTenor(C181,"1D","Following",$D$11,"Normal")</f>
        <v>42662</v>
      </c>
      <c r="E181" s="99">
        <f ca="1"/>
        <v>5.1499999999738049E-3</v>
      </c>
      <c r="F181" s="161">
        <f ca="1">_xll.meCurveForwardRates(C181,$D$9,$D$10)</f>
        <v>5.163247017809125E-3</v>
      </c>
      <c r="G181" s="7" t="s">
        <v>4</v>
      </c>
      <c r="H181" s="149">
        <f t="shared" ca="1" si="4"/>
        <v>42661</v>
      </c>
      <c r="I181" s="20">
        <f ca="1">_xll.meDateFromTenor(H181,"3M","Following",$I$11,"Normal")</f>
        <v>42753</v>
      </c>
      <c r="J181" s="150">
        <f ca="1"/>
        <v>8.5281162688605541E-3</v>
      </c>
      <c r="K181" s="7" t="s">
        <v>4</v>
      </c>
      <c r="L181" s="149" t="e">
        <f ca="1">_xll.meDateFromTenor(L180,"1D","FOLLOWING",#REF!,"NORMAL")</f>
        <v>#VALUE!</v>
      </c>
      <c r="M181" s="155">
        <f ca="1">_xll.meDateYearFraction(C181,D181,$M$11)</f>
        <v>2.7777777777777779E-3</v>
      </c>
      <c r="N181" s="150">
        <f ca="1"/>
        <v>-2.4300000000065936E-3</v>
      </c>
      <c r="O181" s="7" t="s">
        <v>4</v>
      </c>
      <c r="P181" s="149">
        <f t="shared" ca="1" si="5"/>
        <v>42661</v>
      </c>
      <c r="Q181" s="155">
        <f ca="1">_xll.meDateYearFraction(H181,I181,$Q$11,TRUE)</f>
        <v>0.25555555555555554</v>
      </c>
      <c r="R181" s="150">
        <f ca="1">IF(NOW(),_xll.meCurveForwardRatesFromYearFraction(P181,Q181,$Q$11,$Q$9,$Q$10))</f>
        <v>-3.8049143222534032E-3</v>
      </c>
      <c r="S181" s="134" t="s">
        <v>4</v>
      </c>
    </row>
    <row r="182" spans="1:19" x14ac:dyDescent="0.25">
      <c r="A182" s="128">
        <v>166</v>
      </c>
      <c r="B182" s="133"/>
      <c r="C182" s="149">
        <f ca="1">_xll.meDateFromTenor(C181,"1D","FOLLOWING",$D$11,"NORMAL")</f>
        <v>42662</v>
      </c>
      <c r="D182" s="20">
        <f ca="1">_xll.meDateFromTenor(C182,"1D","Following",$D$11,"Normal")</f>
        <v>42663</v>
      </c>
      <c r="E182" s="99">
        <f ca="1"/>
        <v>5.1499999999738049E-3</v>
      </c>
      <c r="F182" s="161">
        <f ca="1">_xll.meCurveForwardRates(C182,$D$9,$D$10)</f>
        <v>5.163247017809125E-3</v>
      </c>
      <c r="G182" s="7" t="s">
        <v>4</v>
      </c>
      <c r="H182" s="149">
        <f t="shared" ca="1" si="4"/>
        <v>42662</v>
      </c>
      <c r="I182" s="20">
        <f ca="1">_xll.meDateFromTenor(H182,"3M","Following",$I$11,"Normal")</f>
        <v>42754</v>
      </c>
      <c r="J182" s="150">
        <f ca="1"/>
        <v>8.5372853811564054E-3</v>
      </c>
      <c r="K182" s="7" t="s">
        <v>4</v>
      </c>
      <c r="L182" s="149" t="e">
        <f ca="1">_xll.meDateFromTenor(L181,"1D","FOLLOWING",#REF!,"NORMAL")</f>
        <v>#VALUE!</v>
      </c>
      <c r="M182" s="155">
        <f ca="1">_xll.meDateYearFraction(C182,D182,$M$11)</f>
        <v>2.7777777777777779E-3</v>
      </c>
      <c r="N182" s="150">
        <f ca="1"/>
        <v>-2.4300000000065936E-3</v>
      </c>
      <c r="O182" s="7" t="s">
        <v>4</v>
      </c>
      <c r="P182" s="149">
        <f t="shared" ca="1" si="5"/>
        <v>42662</v>
      </c>
      <c r="Q182" s="155">
        <f ca="1">_xll.meDateYearFraction(H182,I182,$Q$11,TRUE)</f>
        <v>0.25555555555555554</v>
      </c>
      <c r="R182" s="150">
        <f ca="1">IF(NOW(),_xll.meCurveForwardRatesFromYearFraction(P182,Q182,$Q$11,$Q$9,$Q$10))</f>
        <v>-3.8018890486944206E-3</v>
      </c>
      <c r="S182" s="134" t="s">
        <v>4</v>
      </c>
    </row>
    <row r="183" spans="1:19" x14ac:dyDescent="0.25">
      <c r="A183" s="128">
        <v>167</v>
      </c>
      <c r="B183" s="133"/>
      <c r="C183" s="149">
        <f ca="1">_xll.meDateFromTenor(C182,"1D","FOLLOWING",$D$11,"NORMAL")</f>
        <v>42663</v>
      </c>
      <c r="D183" s="20">
        <f ca="1">_xll.meDateFromTenor(C183,"1D","Following",$D$11,"Normal")</f>
        <v>42664</v>
      </c>
      <c r="E183" s="99">
        <f ca="1"/>
        <v>5.1499999999738049E-3</v>
      </c>
      <c r="F183" s="161">
        <f ca="1">_xll.meCurveForwardRates(C183,$D$9,$D$10)</f>
        <v>5.163247017809125E-3</v>
      </c>
      <c r="G183" s="7" t="s">
        <v>4</v>
      </c>
      <c r="H183" s="149">
        <f t="shared" ca="1" si="4"/>
        <v>42663</v>
      </c>
      <c r="I183" s="20">
        <f ca="1">_xll.meDateFromTenor(H183,"3M","Following",$I$11,"Normal")</f>
        <v>42755</v>
      </c>
      <c r="J183" s="150">
        <f ca="1"/>
        <v>8.5464544934522567E-3</v>
      </c>
      <c r="K183" s="7" t="s">
        <v>4</v>
      </c>
      <c r="L183" s="149" t="e">
        <f ca="1">_xll.meDateFromTenor(L182,"1D","FOLLOWING",#REF!,"NORMAL")</f>
        <v>#VALUE!</v>
      </c>
      <c r="M183" s="155">
        <f ca="1">_xll.meDateYearFraction(C183,D183,$M$11)</f>
        <v>2.7777777777777779E-3</v>
      </c>
      <c r="N183" s="150">
        <f ca="1"/>
        <v>-2.4300000000065936E-3</v>
      </c>
      <c r="O183" s="7" t="s">
        <v>4</v>
      </c>
      <c r="P183" s="149">
        <f t="shared" ca="1" si="5"/>
        <v>42663</v>
      </c>
      <c r="Q183" s="155">
        <f ca="1">_xll.meDateYearFraction(H183,I183,$Q$11,TRUE)</f>
        <v>0.25555555555555554</v>
      </c>
      <c r="R183" s="150">
        <f ca="1">IF(NOW(),_xll.meCurveForwardRatesFromYearFraction(P183,Q183,$Q$11,$Q$9,$Q$10))</f>
        <v>-3.7175485397107962E-3</v>
      </c>
      <c r="S183" s="134" t="s">
        <v>4</v>
      </c>
    </row>
    <row r="184" spans="1:19" x14ac:dyDescent="0.25">
      <c r="A184" s="128">
        <v>168</v>
      </c>
      <c r="B184" s="133"/>
      <c r="C184" s="149">
        <f ca="1">_xll.meDateFromTenor(C183,"1D","FOLLOWING",$D$11,"NORMAL")</f>
        <v>42664</v>
      </c>
      <c r="D184" s="20">
        <f ca="1">_xll.meDateFromTenor(C184,"1D","Following",$D$11,"Normal")</f>
        <v>42667</v>
      </c>
      <c r="E184" s="99">
        <f ca="1"/>
        <v>5.1500000000004502E-3</v>
      </c>
      <c r="F184" s="161">
        <f ca="1">_xll.meCurveForwardRates(C184,$D$9,$D$10)</f>
        <v>5.1631814241690499E-3</v>
      </c>
      <c r="G184" s="7" t="s">
        <v>4</v>
      </c>
      <c r="H184" s="149">
        <f t="shared" ca="1" si="4"/>
        <v>42664</v>
      </c>
      <c r="I184" s="20">
        <f ca="1">_xll.meDateFromTenor(H184,"3M","Following",$I$11,"Normal")</f>
        <v>42758</v>
      </c>
      <c r="J184" s="150">
        <f ca="1"/>
        <v>8.555623605748108E-3</v>
      </c>
      <c r="K184" s="7" t="s">
        <v>4</v>
      </c>
      <c r="L184" s="149" t="e">
        <f ca="1">_xll.meDateFromTenor(L183,"1D","FOLLOWING",#REF!,"NORMAL")</f>
        <v>#VALUE!</v>
      </c>
      <c r="M184" s="155">
        <f ca="1">_xll.meDateYearFraction(C184,D184,$M$11)</f>
        <v>8.3333333333333332E-3</v>
      </c>
      <c r="N184" s="150">
        <f ca="1"/>
        <v>-2.4300000000065936E-3</v>
      </c>
      <c r="O184" s="7" t="s">
        <v>4</v>
      </c>
      <c r="P184" s="149">
        <f t="shared" ca="1" si="5"/>
        <v>42664</v>
      </c>
      <c r="Q184" s="155">
        <f ca="1">_xll.meDateYearFraction(H184,I184,$Q$11,TRUE)</f>
        <v>0.26111111111111113</v>
      </c>
      <c r="R184" s="150">
        <f ca="1">IF(NOW(),_xll.meCurveForwardRatesFromYearFraction(P184,Q184,$Q$11,$Q$9,$Q$10))</f>
        <v>-3.7175485397107962E-3</v>
      </c>
      <c r="S184" s="134" t="s">
        <v>4</v>
      </c>
    </row>
    <row r="185" spans="1:19" x14ac:dyDescent="0.25">
      <c r="A185" s="128">
        <v>169</v>
      </c>
      <c r="B185" s="133"/>
      <c r="C185" s="149">
        <f ca="1">_xll.meDateFromTenor(C184,"1D","FOLLOWING",$D$11,"NORMAL")</f>
        <v>42667</v>
      </c>
      <c r="D185" s="20">
        <f ca="1">_xll.meDateFromTenor(C185,"1D","Following",$D$11,"Normal")</f>
        <v>42668</v>
      </c>
      <c r="E185" s="99">
        <f ca="1"/>
        <v>5.1499999999738049E-3</v>
      </c>
      <c r="F185" s="161">
        <f ca="1">_xll.meCurveForwardRates(C185,$D$9,$D$10)</f>
        <v>5.163247017809125E-3</v>
      </c>
      <c r="G185" s="7" t="s">
        <v>4</v>
      </c>
      <c r="H185" s="149">
        <f t="shared" ca="1" si="4"/>
        <v>42667</v>
      </c>
      <c r="I185" s="20">
        <f ca="1">_xll.meDateFromTenor(H185,"3M","Following",$I$11,"Normal")</f>
        <v>42759</v>
      </c>
      <c r="J185" s="150">
        <f ca="1"/>
        <v>8.5831309426356618E-3</v>
      </c>
      <c r="K185" s="7" t="s">
        <v>4</v>
      </c>
      <c r="L185" s="149" t="e">
        <f ca="1">_xll.meDateFromTenor(L184,"1D","FOLLOWING",#REF!,"NORMAL")</f>
        <v>#VALUE!</v>
      </c>
      <c r="M185" s="155">
        <f ca="1">_xll.meDateYearFraction(C185,D185,$M$11)</f>
        <v>2.7777777777777779E-3</v>
      </c>
      <c r="N185" s="150">
        <f ca="1"/>
        <v>-2.4300000000065936E-3</v>
      </c>
      <c r="O185" s="7" t="s">
        <v>4</v>
      </c>
      <c r="P185" s="149">
        <f t="shared" ca="1" si="5"/>
        <v>42667</v>
      </c>
      <c r="Q185" s="155">
        <f ca="1">_xll.meDateYearFraction(H185,I185,$Q$11,TRUE)</f>
        <v>0.25555555555555554</v>
      </c>
      <c r="R185" s="150">
        <f ca="1">IF(NOW(),_xll.meCurveForwardRatesFromYearFraction(P185,Q185,$Q$11,$Q$9,$Q$10))</f>
        <v>-3.786734574803741E-3</v>
      </c>
      <c r="S185" s="134" t="s">
        <v>4</v>
      </c>
    </row>
    <row r="186" spans="1:19" x14ac:dyDescent="0.25">
      <c r="A186" s="128">
        <v>170</v>
      </c>
      <c r="B186" s="133"/>
      <c r="C186" s="149">
        <f ca="1">_xll.meDateFromTenor(C185,"1D","FOLLOWING",$D$11,"NORMAL")</f>
        <v>42668</v>
      </c>
      <c r="D186" s="20">
        <f ca="1">_xll.meDateFromTenor(C186,"1D","Following",$D$11,"Normal")</f>
        <v>42669</v>
      </c>
      <c r="E186" s="99">
        <f ca="1"/>
        <v>5.1499999999738049E-3</v>
      </c>
      <c r="F186" s="161">
        <f ca="1">_xll.meCurveForwardRates(C186,$D$9,$D$10)</f>
        <v>5.163247017809125E-3</v>
      </c>
      <c r="G186" s="7" t="s">
        <v>4</v>
      </c>
      <c r="H186" s="149">
        <f t="shared" ca="1" si="4"/>
        <v>42668</v>
      </c>
      <c r="I186" s="20">
        <f ca="1">_xll.meDateFromTenor(H186,"3M","Following",$I$11,"Normal")</f>
        <v>42760</v>
      </c>
      <c r="J186" s="150">
        <f ca="1"/>
        <v>8.5923000549315114E-3</v>
      </c>
      <c r="K186" s="7" t="s">
        <v>4</v>
      </c>
      <c r="L186" s="149" t="e">
        <f ca="1">_xll.meDateFromTenor(L185,"1D","FOLLOWING",#REF!,"NORMAL")</f>
        <v>#VALUE!</v>
      </c>
      <c r="M186" s="155">
        <f ca="1">_xll.meDateYearFraction(C186,D186,$M$11)</f>
        <v>2.7777777777777779E-3</v>
      </c>
      <c r="N186" s="150">
        <f ca="1"/>
        <v>-2.4300000000065936E-3</v>
      </c>
      <c r="O186" s="7" t="s">
        <v>4</v>
      </c>
      <c r="P186" s="149">
        <f t="shared" ca="1" si="5"/>
        <v>42668</v>
      </c>
      <c r="Q186" s="155">
        <f ca="1">_xll.meDateYearFraction(H186,I186,$Q$11,TRUE)</f>
        <v>0.25555555555555554</v>
      </c>
      <c r="R186" s="150">
        <f ca="1">IF(NOW(),_xll.meCurveForwardRatesFromYearFraction(P186,Q186,$Q$11,$Q$9,$Q$10))</f>
        <v>-3.7175485397107962E-3</v>
      </c>
      <c r="S186" s="134" t="s">
        <v>4</v>
      </c>
    </row>
    <row r="187" spans="1:19" x14ac:dyDescent="0.25">
      <c r="A187" s="128">
        <v>171</v>
      </c>
      <c r="B187" s="133"/>
      <c r="C187" s="149">
        <f ca="1">_xll.meDateFromTenor(C186,"1D","FOLLOWING",$D$11,"NORMAL")</f>
        <v>42669</v>
      </c>
      <c r="D187" s="20">
        <f ca="1">_xll.meDateFromTenor(C187,"1D","Following",$D$11,"Normal")</f>
        <v>42670</v>
      </c>
      <c r="E187" s="99">
        <f ca="1"/>
        <v>5.1500000000537409E-3</v>
      </c>
      <c r="F187" s="161">
        <f ca="1">_xll.meCurveForwardRates(C187,$D$9,$D$10)</f>
        <v>5.1632470178895051E-3</v>
      </c>
      <c r="G187" s="7" t="s">
        <v>4</v>
      </c>
      <c r="H187" s="149">
        <f t="shared" ca="1" si="4"/>
        <v>42669</v>
      </c>
      <c r="I187" s="20">
        <f ca="1">_xll.meDateFromTenor(H187,"3M","Following",$I$11,"Normal")</f>
        <v>42761</v>
      </c>
      <c r="J187" s="150">
        <f ca="1"/>
        <v>8.6014691672273626E-3</v>
      </c>
      <c r="K187" s="7" t="s">
        <v>4</v>
      </c>
      <c r="L187" s="149" t="e">
        <f ca="1">_xll.meDateFromTenor(L186,"1D","FOLLOWING",#REF!,"NORMAL")</f>
        <v>#VALUE!</v>
      </c>
      <c r="M187" s="155">
        <f ca="1">_xll.meDateYearFraction(C187,D187,$M$11)</f>
        <v>2.7777777777777779E-3</v>
      </c>
      <c r="N187" s="150">
        <f ca="1"/>
        <v>-2.4300000000065936E-3</v>
      </c>
      <c r="O187" s="7" t="s">
        <v>4</v>
      </c>
      <c r="P187" s="149">
        <f t="shared" ca="1" si="5"/>
        <v>42669</v>
      </c>
      <c r="Q187" s="155">
        <f ca="1">_xll.meDateYearFraction(H187,I187,$Q$11,TRUE)</f>
        <v>0.25555555555555554</v>
      </c>
      <c r="R187" s="150">
        <f ca="1">IF(NOW(),_xll.meCurveForwardRatesFromYearFraction(P187,Q187,$Q$11,$Q$9,$Q$10))</f>
        <v>-3.7806659055911211E-3</v>
      </c>
      <c r="S187" s="134" t="s">
        <v>4</v>
      </c>
    </row>
    <row r="188" spans="1:19" x14ac:dyDescent="0.25">
      <c r="A188" s="128">
        <v>172</v>
      </c>
      <c r="B188" s="133"/>
      <c r="C188" s="149">
        <f ca="1">_xll.meDateFromTenor(C187,"1D","FOLLOWING",$D$11,"NORMAL")</f>
        <v>42670</v>
      </c>
      <c r="D188" s="20">
        <f ca="1">_xll.meDateFromTenor(C188,"1D","Following",$D$11,"Normal")</f>
        <v>42671</v>
      </c>
      <c r="E188" s="99">
        <f ca="1"/>
        <v>5.1499999999738049E-3</v>
      </c>
      <c r="F188" s="161">
        <f ca="1">_xll.meCurveForwardRates(C188,$D$9,$D$10)</f>
        <v>5.163247017809125E-3</v>
      </c>
      <c r="G188" s="7" t="s">
        <v>4</v>
      </c>
      <c r="H188" s="149">
        <f t="shared" ca="1" si="4"/>
        <v>42670</v>
      </c>
      <c r="I188" s="20">
        <f ca="1">_xll.meDateFromTenor(H188,"3M","Following",$I$11,"Normal")</f>
        <v>42762</v>
      </c>
      <c r="J188" s="150">
        <f ca="1"/>
        <v>8.6106382795232139E-3</v>
      </c>
      <c r="K188" s="7" t="s">
        <v>4</v>
      </c>
      <c r="L188" s="149" t="e">
        <f ca="1">_xll.meDateFromTenor(L187,"1D","FOLLOWING",#REF!,"NORMAL")</f>
        <v>#VALUE!</v>
      </c>
      <c r="M188" s="155">
        <f ca="1">_xll.meDateYearFraction(C188,D188,$M$11)</f>
        <v>2.7777777777777779E-3</v>
      </c>
      <c r="N188" s="150">
        <f ca="1"/>
        <v>-2.4300000000065936E-3</v>
      </c>
      <c r="O188" s="7" t="s">
        <v>4</v>
      </c>
      <c r="P188" s="149">
        <f t="shared" ca="1" si="5"/>
        <v>42670</v>
      </c>
      <c r="Q188" s="155">
        <f ca="1">_xll.meDateYearFraction(H188,I188,$Q$11,TRUE)</f>
        <v>0.25555555555555554</v>
      </c>
      <c r="R188" s="150">
        <f ca="1">IF(NOW(),_xll.meCurveForwardRatesFromYearFraction(P188,Q188,$Q$11,$Q$9,$Q$10))</f>
        <v>-3.7776313671817803E-3</v>
      </c>
      <c r="S188" s="134" t="s">
        <v>4</v>
      </c>
    </row>
    <row r="189" spans="1:19" x14ac:dyDescent="0.25">
      <c r="A189" s="128">
        <v>173</v>
      </c>
      <c r="B189" s="133"/>
      <c r="C189" s="149">
        <f ca="1">_xll.meDateFromTenor(C188,"1D","FOLLOWING",$D$11,"NORMAL")</f>
        <v>42671</v>
      </c>
      <c r="D189" s="20">
        <f ca="1">_xll.meDateFromTenor(C189,"1D","Following",$D$11,"Normal")</f>
        <v>42674</v>
      </c>
      <c r="E189" s="99">
        <f ca="1"/>
        <v>5.1500000000270271E-3</v>
      </c>
      <c r="F189" s="161">
        <f ca="1">_xll.meCurveForwardRates(C189,$D$9,$D$10)</f>
        <v>5.1631814241690499E-3</v>
      </c>
      <c r="G189" s="7" t="s">
        <v>4</v>
      </c>
      <c r="H189" s="149">
        <f t="shared" ca="1" si="4"/>
        <v>42671</v>
      </c>
      <c r="I189" s="20">
        <f ca="1">_xll.meDateFromTenor(H189,"3M","Following",$I$11,"Normal")</f>
        <v>42765</v>
      </c>
      <c r="J189" s="150">
        <f ca="1"/>
        <v>8.6198073918190652E-3</v>
      </c>
      <c r="K189" s="7" t="s">
        <v>4</v>
      </c>
      <c r="L189" s="149" t="e">
        <f ca="1">_xll.meDateFromTenor(L188,"1D","FOLLOWING",#REF!,"NORMAL")</f>
        <v>#VALUE!</v>
      </c>
      <c r="M189" s="155">
        <f ca="1">_xll.meDateYearFraction(C189,D189,$M$11)</f>
        <v>8.3333333333333332E-3</v>
      </c>
      <c r="N189" s="150">
        <f ca="1"/>
        <v>-2.4300000000065936E-3</v>
      </c>
      <c r="O189" s="7" t="s">
        <v>4</v>
      </c>
      <c r="P189" s="149">
        <f t="shared" ca="1" si="5"/>
        <v>42671</v>
      </c>
      <c r="Q189" s="155">
        <f ca="1">_xll.meDateYearFraction(H189,I189,$Q$11,TRUE)</f>
        <v>0.26111111111111113</v>
      </c>
      <c r="R189" s="150">
        <f ca="1">IF(NOW(),_xll.meCurveForwardRatesFromYearFraction(P189,Q189,$Q$11,$Q$9,$Q$10))</f>
        <v>-3.7745968287724399E-3</v>
      </c>
      <c r="S189" s="134" t="s">
        <v>4</v>
      </c>
    </row>
    <row r="190" spans="1:19" x14ac:dyDescent="0.25">
      <c r="A190" s="128">
        <v>174</v>
      </c>
      <c r="B190" s="133"/>
      <c r="C190" s="149">
        <f ca="1">_xll.meDateFromTenor(C189,"1D","FOLLOWING",$D$11,"NORMAL")</f>
        <v>42674</v>
      </c>
      <c r="D190" s="20">
        <f ca="1">_xll.meDateFromTenor(C190,"1D","Following",$D$11,"Normal")</f>
        <v>42675</v>
      </c>
      <c r="E190" s="99">
        <f ca="1"/>
        <v>5.1499999999738049E-3</v>
      </c>
      <c r="F190" s="161">
        <f ca="1">_xll.meCurveForwardRates(C190,$D$9,$D$10)</f>
        <v>5.163247017809125E-3</v>
      </c>
      <c r="G190" s="7" t="s">
        <v>4</v>
      </c>
      <c r="H190" s="149">
        <f t="shared" ca="1" si="4"/>
        <v>42674</v>
      </c>
      <c r="I190" s="20">
        <f ca="1">_xll.meDateFromTenor(H190,"3M","Following",$I$11,"Normal")</f>
        <v>42766</v>
      </c>
      <c r="J190" s="150">
        <f ca="1"/>
        <v>8.647314728706619E-3</v>
      </c>
      <c r="K190" s="7" t="s">
        <v>4</v>
      </c>
      <c r="L190" s="149" t="e">
        <f ca="1">_xll.meDateFromTenor(L189,"1D","FOLLOWING",#REF!,"NORMAL")</f>
        <v>#VALUE!</v>
      </c>
      <c r="M190" s="155">
        <f ca="1">_xll.meDateYearFraction(C190,D190,$M$11)</f>
        <v>2.7777777777777779E-3</v>
      </c>
      <c r="N190" s="150">
        <f ca="1"/>
        <v>-2.4300000000065936E-3</v>
      </c>
      <c r="O190" s="7" t="s">
        <v>4</v>
      </c>
      <c r="P190" s="149">
        <f t="shared" ca="1" si="5"/>
        <v>42674</v>
      </c>
      <c r="Q190" s="155">
        <f ca="1">_xll.meDateYearFraction(H190,I190,$Q$11,TRUE)</f>
        <v>0.25555555555555554</v>
      </c>
      <c r="R190" s="150">
        <f ca="1">IF(NOW(),_xll.meCurveForwardRatesFromYearFraction(P190,Q190,$Q$11,$Q$9,$Q$10))</f>
        <v>-3.7175485397107962E-3</v>
      </c>
      <c r="S190" s="134" t="s">
        <v>4</v>
      </c>
    </row>
    <row r="191" spans="1:19" x14ac:dyDescent="0.25">
      <c r="A191" s="128">
        <v>175</v>
      </c>
      <c r="B191" s="133"/>
      <c r="C191" s="149">
        <f ca="1">_xll.meDateFromTenor(C190,"1D","FOLLOWING",$D$11,"NORMAL")</f>
        <v>42675</v>
      </c>
      <c r="D191" s="20">
        <f ca="1">_xll.meDateFromTenor(C191,"1D","Following",$D$11,"Normal")</f>
        <v>42676</v>
      </c>
      <c r="E191" s="99">
        <f ca="1"/>
        <v>5.349999999975116E-3</v>
      </c>
      <c r="F191" s="161">
        <f ca="1">_xll.meCurveForwardRates(C191,$D$9,$D$10)</f>
        <v>5.3642968395495316E-3</v>
      </c>
      <c r="G191" s="7" t="s">
        <v>4</v>
      </c>
      <c r="H191" s="149">
        <f t="shared" ca="1" si="4"/>
        <v>42675</v>
      </c>
      <c r="I191" s="20">
        <f ca="1">_xll.meDateFromTenor(H191,"3M","Following",$I$11,"Normal")</f>
        <v>42767</v>
      </c>
      <c r="J191" s="150">
        <f ca="1"/>
        <v>8.6564838410024703E-3</v>
      </c>
      <c r="K191" s="7" t="s">
        <v>4</v>
      </c>
      <c r="L191" s="149" t="e">
        <f ca="1">_xll.meDateFromTenor(L190,"1D","FOLLOWING",#REF!,"NORMAL")</f>
        <v>#VALUE!</v>
      </c>
      <c r="M191" s="155">
        <f ca="1">_xll.meDateYearFraction(C191,D191,$M$11)</f>
        <v>2.7777777777777779E-3</v>
      </c>
      <c r="N191" s="150">
        <f ca="1"/>
        <v>-2.4300000000065936E-3</v>
      </c>
      <c r="O191" s="7" t="s">
        <v>4</v>
      </c>
      <c r="P191" s="149">
        <f t="shared" ca="1" si="5"/>
        <v>42675</v>
      </c>
      <c r="Q191" s="155">
        <f ca="1">_xll.meDateYearFraction(H191,I191,$Q$11,TRUE)</f>
        <v>0.25555555555555554</v>
      </c>
      <c r="R191" s="150">
        <f ca="1">IF(NOW(),_xll.meCurveForwardRatesFromYearFraction(P191,Q191,$Q$11,$Q$9,$Q$10))</f>
        <v>-3.762458675135077E-3</v>
      </c>
      <c r="S191" s="134" t="s">
        <v>4</v>
      </c>
    </row>
    <row r="192" spans="1:19" x14ac:dyDescent="0.25">
      <c r="A192" s="128">
        <v>176</v>
      </c>
      <c r="B192" s="133"/>
      <c r="C192" s="149">
        <f ca="1">_xll.meDateFromTenor(C191,"1D","FOLLOWING",$D$11,"NORMAL")</f>
        <v>42676</v>
      </c>
      <c r="D192" s="20">
        <f ca="1">_xll.meDateFromTenor(C192,"1D","Following",$D$11,"Normal")</f>
        <v>42677</v>
      </c>
      <c r="E192" s="99">
        <f ca="1"/>
        <v>5.349999999975116E-3</v>
      </c>
      <c r="F192" s="161">
        <f ca="1">_xll.meCurveForwardRates(C192,$D$9,$D$10)</f>
        <v>5.3642968395495316E-3</v>
      </c>
      <c r="G192" s="7" t="s">
        <v>4</v>
      </c>
      <c r="H192" s="149">
        <f t="shared" ca="1" si="4"/>
        <v>42676</v>
      </c>
      <c r="I192" s="20">
        <f ca="1">_xll.meDateFromTenor(H192,"3M","Following",$I$11,"Normal")</f>
        <v>42768</v>
      </c>
      <c r="J192" s="150">
        <f ca="1"/>
        <v>8.6656529532983199E-3</v>
      </c>
      <c r="K192" s="7" t="s">
        <v>4</v>
      </c>
      <c r="L192" s="149" t="e">
        <f ca="1">_xll.meDateFromTenor(L191,"1D","FOLLOWING",#REF!,"NORMAL")</f>
        <v>#VALUE!</v>
      </c>
      <c r="M192" s="155">
        <f ca="1">_xll.meDateYearFraction(C192,D192,$M$11)</f>
        <v>2.7777777777777779E-3</v>
      </c>
      <c r="N192" s="150">
        <f ca="1"/>
        <v>-2.4300000000065936E-3</v>
      </c>
      <c r="O192" s="7" t="s">
        <v>4</v>
      </c>
      <c r="P192" s="149">
        <f t="shared" ca="1" si="5"/>
        <v>42676</v>
      </c>
      <c r="Q192" s="155">
        <f ca="1">_xll.meDateYearFraction(H192,I192,$Q$11,TRUE)</f>
        <v>0.25555555555555554</v>
      </c>
      <c r="R192" s="150">
        <f ca="1">IF(NOW(),_xll.meCurveForwardRatesFromYearFraction(P192,Q192,$Q$11,$Q$9,$Q$10))</f>
        <v>-3.7175485397107962E-3</v>
      </c>
      <c r="S192" s="134" t="s">
        <v>4</v>
      </c>
    </row>
    <row r="193" spans="1:19" x14ac:dyDescent="0.25">
      <c r="A193" s="128">
        <v>177</v>
      </c>
      <c r="B193" s="133"/>
      <c r="C193" s="149">
        <f ca="1">_xll.meDateFromTenor(C192,"1D","FOLLOWING",$D$11,"NORMAL")</f>
        <v>42677</v>
      </c>
      <c r="D193" s="20">
        <f ca="1">_xll.meDateFromTenor(C193,"1D","Following",$D$11,"Normal")</f>
        <v>42678</v>
      </c>
      <c r="E193" s="99">
        <f ca="1"/>
        <v>5.349999999975116E-3</v>
      </c>
      <c r="F193" s="161">
        <f ca="1">_xll.meCurveForwardRates(C193,$D$9,$D$10)</f>
        <v>5.3642968395495316E-3</v>
      </c>
      <c r="G193" s="7" t="s">
        <v>4</v>
      </c>
      <c r="H193" s="149">
        <f t="shared" ca="1" si="4"/>
        <v>42677</v>
      </c>
      <c r="I193" s="20">
        <f ca="1">_xll.meDateFromTenor(H193,"3M","Following",$I$11,"Normal")</f>
        <v>42769</v>
      </c>
      <c r="J193" s="150">
        <f ca="1"/>
        <v>8.6748220655941712E-3</v>
      </c>
      <c r="K193" s="7" t="s">
        <v>4</v>
      </c>
      <c r="L193" s="149" t="e">
        <f ca="1">_xll.meDateFromTenor(L192,"1D","FOLLOWING",#REF!,"NORMAL")</f>
        <v>#VALUE!</v>
      </c>
      <c r="M193" s="155">
        <f ca="1">_xll.meDateYearFraction(C193,D193,$M$11)</f>
        <v>2.7777777777777779E-3</v>
      </c>
      <c r="N193" s="150">
        <f ca="1"/>
        <v>-2.4300000000065936E-3</v>
      </c>
      <c r="O193" s="7" t="s">
        <v>4</v>
      </c>
      <c r="P193" s="149">
        <f t="shared" ca="1" si="5"/>
        <v>42677</v>
      </c>
      <c r="Q193" s="155">
        <f ca="1">_xll.meDateYearFraction(H193,I193,$Q$11,TRUE)</f>
        <v>0.25555555555555554</v>
      </c>
      <c r="R193" s="150">
        <f ca="1">IF(NOW(),_xll.meCurveForwardRatesFromYearFraction(P193,Q193,$Q$11,$Q$9,$Q$10))</f>
        <v>-3.7563895983163953E-3</v>
      </c>
      <c r="S193" s="134" t="s">
        <v>4</v>
      </c>
    </row>
    <row r="194" spans="1:19" x14ac:dyDescent="0.25">
      <c r="A194" s="128">
        <v>178</v>
      </c>
      <c r="B194" s="133"/>
      <c r="C194" s="149">
        <f ca="1">_xll.meDateFromTenor(C193,"1D","FOLLOWING",$D$11,"NORMAL")</f>
        <v>42678</v>
      </c>
      <c r="D194" s="20">
        <f ca="1">_xll.meDateFromTenor(C194,"1D","Following",$D$11,"Normal")</f>
        <v>42681</v>
      </c>
      <c r="E194" s="99">
        <f ca="1"/>
        <v>5.3500000000017613E-3</v>
      </c>
      <c r="F194" s="161">
        <f ca="1">_xll.meCurveForwardRates(C194,$D$9,$D$10)</f>
        <v>5.3642260383601759E-3</v>
      </c>
      <c r="G194" s="7" t="s">
        <v>4</v>
      </c>
      <c r="H194" s="149">
        <f t="shared" ca="1" si="4"/>
        <v>42678</v>
      </c>
      <c r="I194" s="20">
        <f ca="1">_xll.meDateFromTenor(H194,"3M","Following",$I$11,"Normal")</f>
        <v>42772</v>
      </c>
      <c r="J194" s="150">
        <f ca="1"/>
        <v>8.6839911778900224E-3</v>
      </c>
      <c r="K194" s="7" t="s">
        <v>4</v>
      </c>
      <c r="L194" s="149" t="e">
        <f ca="1">_xll.meDateFromTenor(L193,"1D","FOLLOWING",#REF!,"NORMAL")</f>
        <v>#VALUE!</v>
      </c>
      <c r="M194" s="155">
        <f ca="1">_xll.meDateYearFraction(C194,D194,$M$11)</f>
        <v>8.3333333333333332E-3</v>
      </c>
      <c r="N194" s="150">
        <f ca="1"/>
        <v>-2.4300000000065936E-3</v>
      </c>
      <c r="O194" s="7" t="s">
        <v>4</v>
      </c>
      <c r="P194" s="149">
        <f t="shared" ca="1" si="5"/>
        <v>42678</v>
      </c>
      <c r="Q194" s="155">
        <f ca="1">_xll.meDateYearFraction(H194,I194,$Q$11,TRUE)</f>
        <v>0.26111111111111113</v>
      </c>
      <c r="R194" s="150">
        <f ca="1">IF(NOW(),_xll.meCurveForwardRatesFromYearFraction(P194,Q194,$Q$11,$Q$9,$Q$10))</f>
        <v>-3.7175485397107962E-3</v>
      </c>
      <c r="S194" s="134" t="s">
        <v>4</v>
      </c>
    </row>
    <row r="195" spans="1:19" x14ac:dyDescent="0.25">
      <c r="A195" s="128">
        <v>179</v>
      </c>
      <c r="B195" s="133"/>
      <c r="C195" s="149">
        <f ca="1">_xll.meDateFromTenor(C194,"1D","FOLLOWING",$D$11,"NORMAL")</f>
        <v>42681</v>
      </c>
      <c r="D195" s="20">
        <f ca="1">_xll.meDateFromTenor(C195,"1D","Following",$D$11,"Normal")</f>
        <v>42682</v>
      </c>
      <c r="E195" s="99">
        <f ca="1"/>
        <v>5.349999999975116E-3</v>
      </c>
      <c r="F195" s="161">
        <f ca="1">_xll.meCurveForwardRates(C195,$D$9,$D$10)</f>
        <v>5.3642968395495316E-3</v>
      </c>
      <c r="G195" s="7" t="s">
        <v>4</v>
      </c>
      <c r="H195" s="149">
        <f t="shared" ca="1" si="4"/>
        <v>42681</v>
      </c>
      <c r="I195" s="20">
        <f ca="1">_xll.meDateFromTenor(H195,"3M","Following",$I$11,"Normal")</f>
        <v>42773</v>
      </c>
      <c r="J195" s="150">
        <f ca="1"/>
        <v>8.7114985147775763E-3</v>
      </c>
      <c r="K195" s="7" t="s">
        <v>4</v>
      </c>
      <c r="L195" s="149" t="e">
        <f ca="1">_xll.meDateFromTenor(L194,"1D","FOLLOWING",#REF!,"NORMAL")</f>
        <v>#VALUE!</v>
      </c>
      <c r="M195" s="155">
        <f ca="1">_xll.meDateYearFraction(C195,D195,$M$11)</f>
        <v>2.7777777777777779E-3</v>
      </c>
      <c r="N195" s="150">
        <f ca="1"/>
        <v>-2.4300000000065936E-3</v>
      </c>
      <c r="O195" s="7" t="s">
        <v>4</v>
      </c>
      <c r="P195" s="149">
        <f t="shared" ca="1" si="5"/>
        <v>42681</v>
      </c>
      <c r="Q195" s="155">
        <f ca="1">_xll.meDateYearFraction(H195,I195,$Q$11,TRUE)</f>
        <v>0.25555555555555554</v>
      </c>
      <c r="R195" s="150">
        <f ca="1">IF(NOW(),_xll.meCurveForwardRatesFromYearFraction(P195,Q195,$Q$11,$Q$9,$Q$10))</f>
        <v>-3.7175485397107962E-3</v>
      </c>
      <c r="S195" s="134" t="s">
        <v>4</v>
      </c>
    </row>
    <row r="196" spans="1:19" x14ac:dyDescent="0.25">
      <c r="A196" s="128">
        <v>180</v>
      </c>
      <c r="B196" s="133"/>
      <c r="C196" s="149">
        <f ca="1">_xll.meDateFromTenor(C195,"1D","FOLLOWING",$D$11,"NORMAL")</f>
        <v>42682</v>
      </c>
      <c r="D196" s="20">
        <f ca="1">_xll.meDateFromTenor(C196,"1D","Following",$D$11,"Normal")</f>
        <v>42683</v>
      </c>
      <c r="E196" s="99">
        <f ca="1"/>
        <v>5.349999999975116E-3</v>
      </c>
      <c r="F196" s="161">
        <f ca="1">_xll.meCurveForwardRates(C196,$D$9,$D$10)</f>
        <v>5.3642968395495316E-3</v>
      </c>
      <c r="G196" s="7" t="s">
        <v>4</v>
      </c>
      <c r="H196" s="149">
        <f t="shared" ca="1" si="4"/>
        <v>42682</v>
      </c>
      <c r="I196" s="20">
        <f ca="1">_xll.meDateFromTenor(H196,"3M","Following",$I$11,"Normal")</f>
        <v>42774</v>
      </c>
      <c r="J196" s="150">
        <f ca="1"/>
        <v>8.7206676270734276E-3</v>
      </c>
      <c r="K196" s="7" t="s">
        <v>4</v>
      </c>
      <c r="L196" s="149" t="e">
        <f ca="1">_xll.meDateFromTenor(L195,"1D","FOLLOWING",#REF!,"NORMAL")</f>
        <v>#VALUE!</v>
      </c>
      <c r="M196" s="155">
        <f ca="1">_xll.meDateYearFraction(C196,D196,$M$11)</f>
        <v>2.7777777777777779E-3</v>
      </c>
      <c r="N196" s="150">
        <f ca="1"/>
        <v>-2.4300000000065936E-3</v>
      </c>
      <c r="O196" s="7" t="s">
        <v>4</v>
      </c>
      <c r="P196" s="149">
        <f t="shared" ca="1" si="5"/>
        <v>42682</v>
      </c>
      <c r="Q196" s="155">
        <f ca="1">_xll.meDateYearFraction(H196,I196,$Q$11,TRUE)</f>
        <v>0.25555555555555554</v>
      </c>
      <c r="R196" s="150">
        <f ca="1">IF(NOW(),_xll.meCurveForwardRatesFromYearFraction(P196,Q196,$Q$11,$Q$9,$Q$10))</f>
        <v>-3.741216906269692E-3</v>
      </c>
      <c r="S196" s="134" t="s">
        <v>4</v>
      </c>
    </row>
    <row r="197" spans="1:19" x14ac:dyDescent="0.25">
      <c r="A197" s="128">
        <v>181</v>
      </c>
      <c r="B197" s="133"/>
      <c r="C197" s="149">
        <f ca="1">_xll.meDateFromTenor(C196,"1D","FOLLOWING",$D$11,"NORMAL")</f>
        <v>42683</v>
      </c>
      <c r="D197" s="20">
        <f ca="1">_xll.meDateFromTenor(C197,"1D","Following",$D$11,"Normal")</f>
        <v>42684</v>
      </c>
      <c r="E197" s="99">
        <f ca="1"/>
        <v>5.3499999999749017E-3</v>
      </c>
      <c r="F197" s="161">
        <f ca="1">_xll.meCurveForwardRates(C197,$D$9,$D$10)</f>
        <v>5.3642968395493096E-3</v>
      </c>
      <c r="G197" s="7" t="s">
        <v>4</v>
      </c>
      <c r="H197" s="149">
        <f t="shared" ca="1" si="4"/>
        <v>42683</v>
      </c>
      <c r="I197" s="20">
        <f ca="1">_xll.meDateFromTenor(H197,"3M","Following",$I$11,"Normal")</f>
        <v>42775</v>
      </c>
      <c r="J197" s="150">
        <f ca="1"/>
        <v>8.7298367393692771E-3</v>
      </c>
      <c r="K197" s="7" t="s">
        <v>4</v>
      </c>
      <c r="L197" s="149" t="e">
        <f ca="1">_xll.meDateFromTenor(L196,"1D","FOLLOWING",#REF!,"NORMAL")</f>
        <v>#VALUE!</v>
      </c>
      <c r="M197" s="155">
        <f ca="1">_xll.meDateYearFraction(C197,D197,$M$11)</f>
        <v>2.7777777777777779E-3</v>
      </c>
      <c r="N197" s="150">
        <f ca="1"/>
        <v>-2.4300000000065936E-3</v>
      </c>
      <c r="O197" s="7" t="s">
        <v>4</v>
      </c>
      <c r="P197" s="149">
        <f t="shared" ca="1" si="5"/>
        <v>42683</v>
      </c>
      <c r="Q197" s="155">
        <f ca="1">_xll.meDateYearFraction(H197,I197,$Q$11,TRUE)</f>
        <v>0.25555555555555554</v>
      </c>
      <c r="R197" s="150">
        <f ca="1">IF(NOW(),_xll.meCurveForwardRatesFromYearFraction(P197,Q197,$Q$11,$Q$9,$Q$10))</f>
        <v>-3.7381823678603512E-3</v>
      </c>
      <c r="S197" s="134" t="s">
        <v>4</v>
      </c>
    </row>
    <row r="198" spans="1:19" x14ac:dyDescent="0.25">
      <c r="A198" s="128">
        <v>182</v>
      </c>
      <c r="B198" s="133"/>
      <c r="C198" s="149">
        <f ca="1">_xll.meDateFromTenor(C197,"1D","FOLLOWING",$D$11,"NORMAL")</f>
        <v>42684</v>
      </c>
      <c r="D198" s="20">
        <f ca="1">_xll.meDateFromTenor(C198,"1D","Following",$D$11,"Normal")</f>
        <v>42688</v>
      </c>
      <c r="E198" s="99">
        <f ca="1"/>
        <v>5.350000000015084E-3</v>
      </c>
      <c r="F198" s="161">
        <f ca="1">_xll.meCurveForwardRates(C198,$D$9,$D$10)</f>
        <v>5.3641981141590023E-3</v>
      </c>
      <c r="G198" s="7" t="s">
        <v>4</v>
      </c>
      <c r="H198" s="149">
        <f t="shared" ca="1" si="4"/>
        <v>42684</v>
      </c>
      <c r="I198" s="20">
        <f ca="1">_xll.meDateFromTenor(H198,"3M","Following",$I$11,"Normal")</f>
        <v>42776</v>
      </c>
      <c r="J198" s="150">
        <f ca="1"/>
        <v>8.7390058516651284E-3</v>
      </c>
      <c r="K198" s="7" t="s">
        <v>4</v>
      </c>
      <c r="L198" s="149" t="e">
        <f ca="1">_xll.meDateFromTenor(L197,"1D","FOLLOWING",#REF!,"NORMAL")</f>
        <v>#VALUE!</v>
      </c>
      <c r="M198" s="155">
        <f ca="1">_xll.meDateYearFraction(C198,D198,$M$11)</f>
        <v>1.1111111111111112E-2</v>
      </c>
      <c r="N198" s="150">
        <f ca="1"/>
        <v>-2.4300000000065936E-3</v>
      </c>
      <c r="O198" s="7" t="s">
        <v>4</v>
      </c>
      <c r="P198" s="149">
        <f t="shared" ca="1" si="5"/>
        <v>42684</v>
      </c>
      <c r="Q198" s="155">
        <f ca="1">_xll.meDateYearFraction(H198,I198,$Q$11,TRUE)</f>
        <v>0.25555555555555554</v>
      </c>
      <c r="R198" s="150">
        <f ca="1">IF(NOW(),_xll.meCurveForwardRatesFromYearFraction(P198,Q198,$Q$11,$Q$9,$Q$10))</f>
        <v>-3.7175485397107962E-3</v>
      </c>
      <c r="S198" s="134" t="s">
        <v>4</v>
      </c>
    </row>
    <row r="199" spans="1:19" x14ac:dyDescent="0.25">
      <c r="A199" s="128">
        <v>183</v>
      </c>
      <c r="B199" s="133"/>
      <c r="C199" s="149">
        <f ca="1">_xll.meDateFromTenor(C198,"1D","FOLLOWING",$D$11,"NORMAL")</f>
        <v>42688</v>
      </c>
      <c r="D199" s="20">
        <f ca="1">_xll.meDateFromTenor(C199,"1D","Following",$D$11,"Normal")</f>
        <v>42689</v>
      </c>
      <c r="E199" s="99">
        <f ca="1"/>
        <v>5.349999999975116E-3</v>
      </c>
      <c r="F199" s="161">
        <f ca="1">_xll.meCurveForwardRates(C199,$D$9,$D$10)</f>
        <v>5.3642968395495316E-3</v>
      </c>
      <c r="G199" s="7" t="s">
        <v>4</v>
      </c>
      <c r="H199" s="149">
        <f t="shared" ca="1" si="4"/>
        <v>42688</v>
      </c>
      <c r="I199" s="20">
        <f ca="1">_xll.meDateFromTenor(H199,"3M","Following",$I$11,"Normal")</f>
        <v>42780</v>
      </c>
      <c r="J199" s="150">
        <f ca="1"/>
        <v>8.7756823008485335E-3</v>
      </c>
      <c r="K199" s="7" t="s">
        <v>4</v>
      </c>
      <c r="L199" s="149" t="e">
        <f ca="1">_xll.meDateFromTenor(L198,"1D","FOLLOWING",#REF!,"NORMAL")</f>
        <v>#VALUE!</v>
      </c>
      <c r="M199" s="155">
        <f ca="1">_xll.meDateYearFraction(C199,D199,$M$11)</f>
        <v>2.7777777777777779E-3</v>
      </c>
      <c r="N199" s="150">
        <f ca="1"/>
        <v>-2.4300000000065936E-3</v>
      </c>
      <c r="O199" s="7" t="s">
        <v>4</v>
      </c>
      <c r="P199" s="149">
        <f t="shared" ca="1" si="5"/>
        <v>42688</v>
      </c>
      <c r="Q199" s="155">
        <f ca="1">_xll.meDateYearFraction(H199,I199,$Q$11,TRUE)</f>
        <v>0.25555555555555554</v>
      </c>
      <c r="R199" s="150">
        <f ca="1">IF(NOW(),_xll.meCurveForwardRatesFromYearFraction(P199,Q199,$Q$11,$Q$9,$Q$10))</f>
        <v>-3.7230096758136474E-3</v>
      </c>
      <c r="S199" s="134" t="s">
        <v>4</v>
      </c>
    </row>
    <row r="200" spans="1:19" x14ac:dyDescent="0.25">
      <c r="A200" s="128">
        <v>184</v>
      </c>
      <c r="B200" s="133"/>
      <c r="C200" s="149">
        <f ca="1">_xll.meDateFromTenor(C199,"1D","FOLLOWING",$D$11,"NORMAL")</f>
        <v>42689</v>
      </c>
      <c r="D200" s="20">
        <f ca="1">_xll.meDateFromTenor(C200,"1D","Following",$D$11,"Normal")</f>
        <v>42690</v>
      </c>
      <c r="E200" s="99">
        <f ca="1"/>
        <v>5.349999999975116E-3</v>
      </c>
      <c r="F200" s="161">
        <f ca="1">_xll.meCurveForwardRates(C200,$D$9,$D$10)</f>
        <v>5.3642968395495316E-3</v>
      </c>
      <c r="G200" s="7" t="s">
        <v>4</v>
      </c>
      <c r="H200" s="149">
        <f t="shared" ca="1" si="4"/>
        <v>42689</v>
      </c>
      <c r="I200" s="20">
        <f ca="1">_xll.meDateFromTenor(H200,"3M","Following",$I$11,"Normal")</f>
        <v>42781</v>
      </c>
      <c r="J200" s="150">
        <f ca="1"/>
        <v>8.7848514131443848E-3</v>
      </c>
      <c r="K200" s="7" t="s">
        <v>4</v>
      </c>
      <c r="L200" s="149" t="e">
        <f ca="1">_xll.meDateFromTenor(L199,"1D","FOLLOWING",#REF!,"NORMAL")</f>
        <v>#VALUE!</v>
      </c>
      <c r="M200" s="155">
        <f ca="1">_xll.meDateYearFraction(C200,D200,$M$11)</f>
        <v>2.7777777777777779E-3</v>
      </c>
      <c r="N200" s="150">
        <f ca="1"/>
        <v>-2.4300000000065936E-3</v>
      </c>
      <c r="O200" s="7" t="s">
        <v>4</v>
      </c>
      <c r="P200" s="149">
        <f t="shared" ca="1" si="5"/>
        <v>42689</v>
      </c>
      <c r="Q200" s="155">
        <f ca="1">_xll.meDateYearFraction(H200,I200,$Q$11,TRUE)</f>
        <v>0.25555555555555554</v>
      </c>
      <c r="R200" s="150">
        <f ca="1">IF(NOW(),_xll.meCurveForwardRatesFromYearFraction(P200,Q200,$Q$11,$Q$9,$Q$10))</f>
        <v>-3.7175485397107962E-3</v>
      </c>
      <c r="S200" s="134" t="s">
        <v>4</v>
      </c>
    </row>
    <row r="201" spans="1:19" x14ac:dyDescent="0.25">
      <c r="A201" s="128">
        <v>185</v>
      </c>
      <c r="B201" s="133"/>
      <c r="C201" s="149">
        <f ca="1">_xll.meDateFromTenor(C200,"1D","FOLLOWING",$D$11,"NORMAL")</f>
        <v>42690</v>
      </c>
      <c r="D201" s="20">
        <f ca="1">_xll.meDateFromTenor(C201,"1D","Following",$D$11,"Normal")</f>
        <v>42691</v>
      </c>
      <c r="E201" s="99">
        <f ca="1"/>
        <v>5.349999999975116E-3</v>
      </c>
      <c r="F201" s="161">
        <f ca="1">_xll.meCurveForwardRates(C201,$D$9,$D$10)</f>
        <v>5.3642968395495316E-3</v>
      </c>
      <c r="G201" s="7" t="s">
        <v>4</v>
      </c>
      <c r="H201" s="149">
        <f t="shared" ca="1" si="4"/>
        <v>42690</v>
      </c>
      <c r="I201" s="20">
        <f ca="1">_xll.meDateFromTenor(H201,"3M","Following",$I$11,"Normal")</f>
        <v>42782</v>
      </c>
      <c r="J201" s="150">
        <f ca="1"/>
        <v>8.7940205254402361E-3</v>
      </c>
      <c r="K201" s="7" t="s">
        <v>4</v>
      </c>
      <c r="L201" s="149" t="e">
        <f ca="1">_xll.meDateFromTenor(L200,"1D","FOLLOWING",#REF!,"NORMAL")</f>
        <v>#VALUE!</v>
      </c>
      <c r="M201" s="155">
        <f ca="1">_xll.meDateYearFraction(C201,D201,$M$11)</f>
        <v>2.7777777777777779E-3</v>
      </c>
      <c r="N201" s="150">
        <f ca="1"/>
        <v>-2.4300000000065936E-3</v>
      </c>
      <c r="O201" s="7" t="s">
        <v>4</v>
      </c>
      <c r="P201" s="149">
        <f t="shared" ca="1" si="5"/>
        <v>42690</v>
      </c>
      <c r="Q201" s="155">
        <f ca="1">_xll.meDateYearFraction(H201,I201,$Q$11,TRUE)</f>
        <v>0.25555555555555554</v>
      </c>
      <c r="R201" s="150">
        <f ca="1">IF(NOW(),_xll.meCurveForwardRatesFromYearFraction(P201,Q201,$Q$11,$Q$9,$Q$10))</f>
        <v>-3.7169405989949662E-3</v>
      </c>
      <c r="S201" s="134" t="s">
        <v>4</v>
      </c>
    </row>
    <row r="202" spans="1:19" x14ac:dyDescent="0.25">
      <c r="A202" s="128">
        <v>186</v>
      </c>
      <c r="B202" s="133"/>
      <c r="C202" s="149">
        <f ca="1">_xll.meDateFromTenor(C201,"1D","FOLLOWING",$D$11,"NORMAL")</f>
        <v>42691</v>
      </c>
      <c r="D202" s="20">
        <f ca="1">_xll.meDateFromTenor(C202,"1D","Following",$D$11,"Normal")</f>
        <v>42692</v>
      </c>
      <c r="E202" s="99">
        <f ca="1"/>
        <v>5.349999999975116E-3</v>
      </c>
      <c r="F202" s="161">
        <f ca="1">_xll.meCurveForwardRates(C202,$D$9,$D$10)</f>
        <v>5.3642968395495316E-3</v>
      </c>
      <c r="G202" s="7" t="s">
        <v>4</v>
      </c>
      <c r="H202" s="149">
        <f t="shared" ca="1" si="4"/>
        <v>42691</v>
      </c>
      <c r="I202" s="20">
        <f ca="1">_xll.meDateFromTenor(H202,"3M","Following",$I$11,"Normal")</f>
        <v>42783</v>
      </c>
      <c r="J202" s="150">
        <f ca="1"/>
        <v>8.8031896377360856E-3</v>
      </c>
      <c r="K202" s="7" t="s">
        <v>4</v>
      </c>
      <c r="L202" s="149" t="e">
        <f ca="1">_xll.meDateFromTenor(L201,"1D","FOLLOWING",#REF!,"NORMAL")</f>
        <v>#VALUE!</v>
      </c>
      <c r="M202" s="155">
        <f ca="1">_xll.meDateYearFraction(C202,D202,$M$11)</f>
        <v>2.7777777777777779E-3</v>
      </c>
      <c r="N202" s="150">
        <f ca="1"/>
        <v>-2.4300000000065936E-3</v>
      </c>
      <c r="O202" s="7" t="s">
        <v>4</v>
      </c>
      <c r="P202" s="149">
        <f t="shared" ca="1" si="5"/>
        <v>42691</v>
      </c>
      <c r="Q202" s="155">
        <f ca="1">_xll.meDateYearFraction(H202,I202,$Q$11,TRUE)</f>
        <v>0.25555555555555554</v>
      </c>
      <c r="R202" s="150">
        <f ca="1">IF(NOW(),_xll.meCurveForwardRatesFromYearFraction(P202,Q202,$Q$11,$Q$9,$Q$10))</f>
        <v>-3.7175485397107962E-3</v>
      </c>
      <c r="S202" s="134" t="s">
        <v>4</v>
      </c>
    </row>
    <row r="203" spans="1:19" x14ac:dyDescent="0.25">
      <c r="A203" s="128">
        <v>187</v>
      </c>
      <c r="B203" s="133"/>
      <c r="C203" s="149">
        <f ca="1">_xll.meDateFromTenor(C202,"1D","FOLLOWING",$D$11,"NORMAL")</f>
        <v>42692</v>
      </c>
      <c r="D203" s="20">
        <f ca="1">_xll.meDateFromTenor(C203,"1D","Following",$D$11,"Normal")</f>
        <v>42695</v>
      </c>
      <c r="E203" s="99">
        <f ca="1"/>
        <v>5.3500000000016902E-3</v>
      </c>
      <c r="F203" s="161">
        <f ca="1">_xll.meCurveForwardRates(C203,$D$9,$D$10)</f>
        <v>5.3642260382797957E-3</v>
      </c>
      <c r="G203" s="7" t="s">
        <v>4</v>
      </c>
      <c r="H203" s="149">
        <f t="shared" ca="1" si="4"/>
        <v>42692</v>
      </c>
      <c r="I203" s="20">
        <f ca="1">_xll.meDateFromTenor(H203,"3M","Following",$I$11,"Normal")</f>
        <v>42787</v>
      </c>
      <c r="J203" s="150">
        <f ca="1"/>
        <v>8.8123587500319369E-3</v>
      </c>
      <c r="K203" s="7" t="s">
        <v>4</v>
      </c>
      <c r="L203" s="149" t="e">
        <f ca="1">_xll.meDateFromTenor(L202,"1D","FOLLOWING",#REF!,"NORMAL")</f>
        <v>#VALUE!</v>
      </c>
      <c r="M203" s="155">
        <f ca="1">_xll.meDateYearFraction(C203,D203,$M$11)</f>
        <v>8.3333333333333332E-3</v>
      </c>
      <c r="N203" s="150">
        <f ca="1"/>
        <v>-2.4300000000065936E-3</v>
      </c>
      <c r="O203" s="7" t="s">
        <v>4</v>
      </c>
      <c r="P203" s="149">
        <f t="shared" ca="1" si="5"/>
        <v>42692</v>
      </c>
      <c r="Q203" s="155">
        <f ca="1">_xll.meDateYearFraction(H203,I203,$Q$11,TRUE)</f>
        <v>0.2638888888888889</v>
      </c>
      <c r="R203" s="150">
        <f ca="1">IF(NOW(),_xll.meCurveForwardRatesFromYearFraction(P203,Q203,$Q$11,$Q$9,$Q$10))</f>
        <v>-3.7175485397107962E-3</v>
      </c>
      <c r="S203" s="134" t="s">
        <v>4</v>
      </c>
    </row>
    <row r="204" spans="1:19" x14ac:dyDescent="0.25">
      <c r="A204" s="128">
        <v>188</v>
      </c>
      <c r="B204" s="133"/>
      <c r="C204" s="149">
        <f ca="1">_xll.meDateFromTenor(C203,"1D","FOLLOWING",$D$11,"NORMAL")</f>
        <v>42695</v>
      </c>
      <c r="D204" s="20">
        <f ca="1">_xll.meDateFromTenor(C204,"1D","Following",$D$11,"Normal")</f>
        <v>42696</v>
      </c>
      <c r="E204" s="99">
        <f ca="1"/>
        <v>5.349999999975116E-3</v>
      </c>
      <c r="F204" s="161">
        <f ca="1">_xll.meCurveForwardRates(C204,$D$9,$D$10)</f>
        <v>5.3642968395495316E-3</v>
      </c>
      <c r="G204" s="7" t="s">
        <v>4</v>
      </c>
      <c r="H204" s="149">
        <f t="shared" ca="1" si="4"/>
        <v>42695</v>
      </c>
      <c r="I204" s="20">
        <f ca="1">_xll.meDateFromTenor(H204,"3M","Following",$I$11,"Normal")</f>
        <v>42787</v>
      </c>
      <c r="J204" s="150">
        <f ca="1"/>
        <v>8.8398660869194907E-3</v>
      </c>
      <c r="K204" s="7" t="s">
        <v>4</v>
      </c>
      <c r="L204" s="149" t="e">
        <f ca="1">_xll.meDateFromTenor(L203,"1D","FOLLOWING",#REF!,"NORMAL")</f>
        <v>#VALUE!</v>
      </c>
      <c r="M204" s="155">
        <f ca="1">_xll.meDateYearFraction(C204,D204,$M$11)</f>
        <v>2.7777777777777779E-3</v>
      </c>
      <c r="N204" s="150">
        <f ca="1"/>
        <v>-2.4300000000065936E-3</v>
      </c>
      <c r="O204" s="7" t="s">
        <v>4</v>
      </c>
      <c r="P204" s="149">
        <f t="shared" ca="1" si="5"/>
        <v>42695</v>
      </c>
      <c r="Q204" s="155">
        <f ca="1">_xll.meDateYearFraction(H204,I204,$Q$11,TRUE)</f>
        <v>0.25555555555555554</v>
      </c>
      <c r="R204" s="150">
        <f ca="1">IF(NOW(),_xll.meCurveForwardRatesFromYearFraction(P204,Q204,$Q$11,$Q$9,$Q$10))</f>
        <v>-3.7017679069482629E-3</v>
      </c>
      <c r="S204" s="134" t="s">
        <v>4</v>
      </c>
    </row>
    <row r="205" spans="1:19" x14ac:dyDescent="0.25">
      <c r="A205" s="128">
        <v>189</v>
      </c>
      <c r="B205" s="133"/>
      <c r="C205" s="149">
        <f ca="1">_xll.meDateFromTenor(C204,"1D","FOLLOWING",$D$11,"NORMAL")</f>
        <v>42696</v>
      </c>
      <c r="D205" s="20">
        <f ca="1">_xll.meDateFromTenor(C205,"1D","Following",$D$11,"Normal")</f>
        <v>42697</v>
      </c>
      <c r="E205" s="99">
        <f ca="1"/>
        <v>5.349999999975116E-3</v>
      </c>
      <c r="F205" s="161">
        <f ca="1">_xll.meCurveForwardRates(C205,$D$9,$D$10)</f>
        <v>5.3642968395495316E-3</v>
      </c>
      <c r="G205" s="7" t="s">
        <v>4</v>
      </c>
      <c r="H205" s="149">
        <f t="shared" ca="1" si="4"/>
        <v>42696</v>
      </c>
      <c r="I205" s="20">
        <f ca="1">_xll.meDateFromTenor(H205,"3M","Following",$I$11,"Normal")</f>
        <v>42788</v>
      </c>
      <c r="J205" s="150">
        <f ca="1"/>
        <v>8.849035199215342E-3</v>
      </c>
      <c r="K205" s="7" t="s">
        <v>4</v>
      </c>
      <c r="L205" s="149" t="e">
        <f ca="1">_xll.meDateFromTenor(L204,"1D","FOLLOWING",#REF!,"NORMAL")</f>
        <v>#VALUE!</v>
      </c>
      <c r="M205" s="155">
        <f ca="1">_xll.meDateYearFraction(C205,D205,$M$11)</f>
        <v>2.7777777777777779E-3</v>
      </c>
      <c r="N205" s="150">
        <f ca="1"/>
        <v>-2.4300000000065936E-3</v>
      </c>
      <c r="O205" s="7" t="s">
        <v>4</v>
      </c>
      <c r="P205" s="149">
        <f t="shared" ca="1" si="5"/>
        <v>42696</v>
      </c>
      <c r="Q205" s="155">
        <f ca="1">_xll.meDateYearFraction(H205,I205,$Q$11,TRUE)</f>
        <v>0.25555555555555554</v>
      </c>
      <c r="R205" s="150">
        <f ca="1">IF(NOW(),_xll.meCurveForwardRatesFromYearFraction(P205,Q205,$Q$11,$Q$9,$Q$10))</f>
        <v>-3.6987333685389217E-3</v>
      </c>
      <c r="S205" s="134" t="s">
        <v>4</v>
      </c>
    </row>
    <row r="206" spans="1:19" x14ac:dyDescent="0.25">
      <c r="A206" s="128">
        <v>190</v>
      </c>
      <c r="B206" s="133"/>
      <c r="C206" s="149">
        <f ca="1">_xll.meDateFromTenor(C205,"1D","FOLLOWING",$D$11,"NORMAL")</f>
        <v>42697</v>
      </c>
      <c r="D206" s="20">
        <f ca="1">_xll.meDateFromTenor(C206,"1D","Following",$D$11,"Normal")</f>
        <v>42699</v>
      </c>
      <c r="E206" s="99">
        <f ca="1"/>
        <v>5.350000000015084E-3</v>
      </c>
      <c r="F206" s="161">
        <f ca="1">_xll.meCurveForwardRates(C206,$D$9,$D$10)</f>
        <v>5.3642675312430832E-3</v>
      </c>
      <c r="G206" s="7" t="s">
        <v>4</v>
      </c>
      <c r="H206" s="149">
        <f t="shared" ca="1" si="4"/>
        <v>42697</v>
      </c>
      <c r="I206" s="20">
        <f ca="1">_xll.meDateFromTenor(H206,"3M","Following",$I$11,"Normal")</f>
        <v>42789</v>
      </c>
      <c r="J206" s="150">
        <f ca="1"/>
        <v>8.8779782194355773E-3</v>
      </c>
      <c r="K206" s="7" t="s">
        <v>4</v>
      </c>
      <c r="L206" s="149" t="e">
        <f ca="1">_xll.meDateFromTenor(L205,"1D","FOLLOWING",#REF!,"NORMAL")</f>
        <v>#VALUE!</v>
      </c>
      <c r="M206" s="155">
        <f ca="1">_xll.meDateYearFraction(C206,D206,$M$11)</f>
        <v>5.5555555555555558E-3</v>
      </c>
      <c r="N206" s="150">
        <f ca="1"/>
        <v>-2.4300000000065936E-3</v>
      </c>
      <c r="O206" s="7" t="s">
        <v>4</v>
      </c>
      <c r="P206" s="149">
        <f t="shared" ca="1" si="5"/>
        <v>42697</v>
      </c>
      <c r="Q206" s="155">
        <f ca="1">_xll.meDateYearFraction(H206,I206,$Q$11,TRUE)</f>
        <v>0.25555555555555554</v>
      </c>
      <c r="R206" s="150">
        <f ca="1">IF(NOW(),_xll.meCurveForwardRatesFromYearFraction(P206,Q206,$Q$11,$Q$9,$Q$10))</f>
        <v>-3.7175485397107962E-3</v>
      </c>
      <c r="S206" s="134" t="s">
        <v>4</v>
      </c>
    </row>
    <row r="207" spans="1:19" x14ac:dyDescent="0.25">
      <c r="A207" s="128">
        <v>191</v>
      </c>
      <c r="B207" s="133"/>
      <c r="C207" s="149">
        <f ca="1">_xll.meDateFromTenor(C206,"1D","FOLLOWING",$D$11,"NORMAL")</f>
        <v>42699</v>
      </c>
      <c r="D207" s="20">
        <f ca="1">_xll.meDateFromTenor(C207,"1D","Following",$D$11,"Normal")</f>
        <v>42702</v>
      </c>
      <c r="E207" s="99">
        <f ca="1"/>
        <v>5.3500000000017613E-3</v>
      </c>
      <c r="F207" s="161">
        <f ca="1">_xll.meCurveForwardRates(C207,$D$9,$D$10)</f>
        <v>5.3642135515354905E-3</v>
      </c>
      <c r="G207" s="7" t="s">
        <v>4</v>
      </c>
      <c r="H207" s="149">
        <f t="shared" ca="1" si="4"/>
        <v>42699</v>
      </c>
      <c r="I207" s="20">
        <f ca="1">_xll.meDateFromTenor(H207,"3M","Following",$I$11,"Normal")</f>
        <v>42793</v>
      </c>
      <c r="J207" s="150">
        <f ca="1"/>
        <v>8.8765425361028941E-3</v>
      </c>
      <c r="K207" s="7" t="s">
        <v>4</v>
      </c>
      <c r="L207" s="149" t="e">
        <f ca="1">_xll.meDateFromTenor(L206,"1D","FOLLOWING",#REF!,"NORMAL")</f>
        <v>#VALUE!</v>
      </c>
      <c r="M207" s="155">
        <f ca="1">_xll.meDateYearFraction(C207,D207,$M$11)</f>
        <v>8.3333333333333332E-3</v>
      </c>
      <c r="N207" s="150">
        <f ca="1"/>
        <v>-2.4300000000065936E-3</v>
      </c>
      <c r="O207" s="7" t="s">
        <v>4</v>
      </c>
      <c r="P207" s="149">
        <f t="shared" ca="1" si="5"/>
        <v>42699</v>
      </c>
      <c r="Q207" s="155">
        <f ca="1">_xll.meDateYearFraction(H207,I207,$Q$11,TRUE)</f>
        <v>0.26111111111111113</v>
      </c>
      <c r="R207" s="150">
        <f ca="1">IF(NOW(),_xll.meCurveForwardRatesFromYearFraction(P207,Q207,$Q$11,$Q$9,$Q$10))</f>
        <v>-3.6896137471117019E-3</v>
      </c>
      <c r="S207" s="134" t="s">
        <v>4</v>
      </c>
    </row>
    <row r="208" spans="1:19" x14ac:dyDescent="0.25">
      <c r="A208" s="128">
        <v>192</v>
      </c>
      <c r="B208" s="133"/>
      <c r="C208" s="149">
        <f ca="1">_xll.meDateFromTenor(C207,"1D","FOLLOWING",$D$11,"NORMAL")</f>
        <v>42702</v>
      </c>
      <c r="D208" s="20">
        <f ca="1">_xll.meDateFromTenor(C208,"1D","Following",$D$11,"Normal")</f>
        <v>42703</v>
      </c>
      <c r="E208" s="99">
        <f ca="1"/>
        <v>5.349999999975116E-3</v>
      </c>
      <c r="F208" s="161">
        <f ca="1">_xll.meCurveForwardRates(C208,$D$9,$D$10)</f>
        <v>5.3642968395495316E-3</v>
      </c>
      <c r="G208" s="7" t="s">
        <v>4</v>
      </c>
      <c r="H208" s="149">
        <f t="shared" ca="1" si="4"/>
        <v>42702</v>
      </c>
      <c r="I208" s="20">
        <f ca="1">_xll.meDateFromTenor(H208,"3M","Following",$I$11,"Normal")</f>
        <v>42794</v>
      </c>
      <c r="J208" s="150">
        <f ca="1"/>
        <v>8.904049872990448E-3</v>
      </c>
      <c r="K208" s="7" t="s">
        <v>4</v>
      </c>
      <c r="L208" s="149" t="e">
        <f ca="1">_xll.meDateFromTenor(L207,"1D","FOLLOWING",#REF!,"NORMAL")</f>
        <v>#VALUE!</v>
      </c>
      <c r="M208" s="155">
        <f ca="1">_xll.meDateYearFraction(C208,D208,$M$11)</f>
        <v>2.7777777777777779E-3</v>
      </c>
      <c r="N208" s="150">
        <f ca="1"/>
        <v>-2.4300000000065936E-3</v>
      </c>
      <c r="O208" s="7" t="s">
        <v>4</v>
      </c>
      <c r="P208" s="149">
        <f t="shared" ca="1" si="5"/>
        <v>42702</v>
      </c>
      <c r="Q208" s="155">
        <f ca="1">_xll.meDateYearFraction(H208,I208,$Q$11,TRUE)</f>
        <v>0.25555555555555554</v>
      </c>
      <c r="R208" s="150">
        <f ca="1">IF(NOW(),_xll.meCurveForwardRatesFromYearFraction(P208,Q208,$Q$11,$Q$9,$Q$10))</f>
        <v>-3.7175485397107962E-3</v>
      </c>
      <c r="S208" s="134" t="s">
        <v>4</v>
      </c>
    </row>
    <row r="209" spans="1:19" x14ac:dyDescent="0.25">
      <c r="A209" s="128">
        <v>193</v>
      </c>
      <c r="B209" s="133"/>
      <c r="C209" s="149">
        <f ca="1">_xll.meDateFromTenor(C208,"1D","FOLLOWING",$D$11,"NORMAL")</f>
        <v>42703</v>
      </c>
      <c r="D209" s="20">
        <f ca="1">_xll.meDateFromTenor(C209,"1D","Following",$D$11,"Normal")</f>
        <v>42704</v>
      </c>
      <c r="E209" s="99">
        <f ca="1"/>
        <v>5.349999999975116E-3</v>
      </c>
      <c r="F209" s="161">
        <f ca="1">_xll.meCurveForwardRates(C209,$D$9,$D$10)</f>
        <v>5.3642968395495316E-3</v>
      </c>
      <c r="G209" s="7" t="s">
        <v>4</v>
      </c>
      <c r="H209" s="149">
        <f t="shared" ref="H209:H272" ca="1" si="6">$C209</f>
        <v>42703</v>
      </c>
      <c r="I209" s="20">
        <f ca="1">_xll.meDateFromTenor(H209,"3M","Following",$I$11,"Normal")</f>
        <v>42794</v>
      </c>
      <c r="J209" s="150">
        <f ca="1"/>
        <v>8.9132189852862993E-3</v>
      </c>
      <c r="K209" s="7" t="s">
        <v>4</v>
      </c>
      <c r="L209" s="149" t="e">
        <f ca="1">_xll.meDateFromTenor(L208,"1D","FOLLOWING",#REF!,"NORMAL")</f>
        <v>#VALUE!</v>
      </c>
      <c r="M209" s="155">
        <f ca="1">_xll.meDateYearFraction(C209,D209,$M$11)</f>
        <v>2.7777777777777779E-3</v>
      </c>
      <c r="N209" s="150">
        <f ca="1"/>
        <v>-2.4300000000065936E-3</v>
      </c>
      <c r="O209" s="7" t="s">
        <v>4</v>
      </c>
      <c r="P209" s="149">
        <f t="shared" ref="P209:P272" ca="1" si="7">$C209</f>
        <v>42703</v>
      </c>
      <c r="Q209" s="155">
        <f ca="1">_xll.meDateYearFraction(H209,I209,$Q$11,TRUE)</f>
        <v>0.25277777777777777</v>
      </c>
      <c r="R209" s="150">
        <f ca="1">IF(NOW(),_xll.meCurveForwardRatesFromYearFraction(P209,Q209,$Q$11,$Q$9,$Q$10))</f>
        <v>-3.6773503846781494E-3</v>
      </c>
      <c r="S209" s="134" t="s">
        <v>4</v>
      </c>
    </row>
    <row r="210" spans="1:19" x14ac:dyDescent="0.25">
      <c r="A210" s="128">
        <v>194</v>
      </c>
      <c r="B210" s="133"/>
      <c r="C210" s="149">
        <f ca="1">_xll.meDateFromTenor(C209,"1D","FOLLOWING",$D$11,"NORMAL")</f>
        <v>42704</v>
      </c>
      <c r="D210" s="20">
        <f ca="1">_xll.meDateFromTenor(C210,"1D","Following",$D$11,"Normal")</f>
        <v>42705</v>
      </c>
      <c r="E210" s="99">
        <f ca="1"/>
        <v>5.349999999975116E-3</v>
      </c>
      <c r="F210" s="161">
        <f ca="1">_xll.meCurveForwardRates(C210,$D$9,$D$10)</f>
        <v>5.3642968395495316E-3</v>
      </c>
      <c r="G210" s="7" t="s">
        <v>4</v>
      </c>
      <c r="H210" s="149">
        <f t="shared" ca="1" si="6"/>
        <v>42704</v>
      </c>
      <c r="I210" s="20">
        <f ca="1">_xll.meDateFromTenor(H210,"3M","Following",$I$11,"Normal")</f>
        <v>42794</v>
      </c>
      <c r="J210" s="150">
        <f ca="1"/>
        <v>8.9223880975821505E-3</v>
      </c>
      <c r="K210" s="7" t="s">
        <v>4</v>
      </c>
      <c r="L210" s="149" t="e">
        <f ca="1">_xll.meDateFromTenor(L209,"1D","FOLLOWING",#REF!,"NORMAL")</f>
        <v>#VALUE!</v>
      </c>
      <c r="M210" s="155">
        <f ca="1">_xll.meDateYearFraction(C210,D210,$M$11)</f>
        <v>2.7777777777777779E-3</v>
      </c>
      <c r="N210" s="150">
        <f ca="1"/>
        <v>-2.4300000000065936E-3</v>
      </c>
      <c r="O210" s="7" t="s">
        <v>4</v>
      </c>
      <c r="P210" s="149">
        <f t="shared" ca="1" si="7"/>
        <v>42704</v>
      </c>
      <c r="Q210" s="155">
        <f ca="1">_xll.meDateYearFraction(H210,I210,$Q$11,TRUE)</f>
        <v>0.25</v>
      </c>
      <c r="R210" s="150">
        <f ca="1">IF(NOW(),_xll.meCurveForwardRatesFromYearFraction(P210,Q210,$Q$11,$Q$9,$Q$10))</f>
        <v>-3.6742658186251428E-3</v>
      </c>
      <c r="S210" s="134" t="s">
        <v>4</v>
      </c>
    </row>
    <row r="211" spans="1:19" x14ac:dyDescent="0.25">
      <c r="A211" s="128">
        <v>195</v>
      </c>
      <c r="B211" s="133"/>
      <c r="C211" s="149">
        <f ca="1">_xll.meDateFromTenor(C210,"1D","FOLLOWING",$D$11,"NORMAL")</f>
        <v>42705</v>
      </c>
      <c r="D211" s="20">
        <f ca="1">_xll.meDateFromTenor(C211,"1D","Following",$D$11,"Normal")</f>
        <v>42706</v>
      </c>
      <c r="E211" s="99">
        <f ca="1"/>
        <v>5.6500000000168247E-3</v>
      </c>
      <c r="F211" s="161">
        <f ca="1">_xll.meCurveForwardRates(C211,$D$9,$D$10)</f>
        <v>5.6659467653292772E-3</v>
      </c>
      <c r="G211" s="7" t="s">
        <v>4</v>
      </c>
      <c r="H211" s="149">
        <f t="shared" ca="1" si="6"/>
        <v>42705</v>
      </c>
      <c r="I211" s="20">
        <f ca="1">_xll.meDateFromTenor(H211,"3M","Following",$I$11,"Normal")</f>
        <v>42795</v>
      </c>
      <c r="J211" s="150">
        <f ca="1"/>
        <v>8.9315572098780018E-3</v>
      </c>
      <c r="K211" s="7" t="s">
        <v>4</v>
      </c>
      <c r="L211" s="149" t="e">
        <f ca="1">_xll.meDateFromTenor(L210,"1D","FOLLOWING",#REF!,"NORMAL")</f>
        <v>#VALUE!</v>
      </c>
      <c r="M211" s="155">
        <f ca="1">_xll.meDateYearFraction(C211,D211,$M$11)</f>
        <v>2.7777777777777779E-3</v>
      </c>
      <c r="N211" s="150">
        <f ca="1"/>
        <v>-2.4300000000065936E-3</v>
      </c>
      <c r="O211" s="7" t="s">
        <v>4</v>
      </c>
      <c r="P211" s="149">
        <f t="shared" ca="1" si="7"/>
        <v>42705</v>
      </c>
      <c r="Q211" s="155">
        <f ca="1">_xll.meDateYearFraction(H211,I211,$Q$11,TRUE)</f>
        <v>0.25</v>
      </c>
      <c r="R211" s="150">
        <f ca="1">IF(NOW(),_xll.meCurveForwardRatesFromYearFraction(P211,Q211,$Q$11,$Q$9,$Q$10))</f>
        <v>-3.6711739991274047E-3</v>
      </c>
      <c r="S211" s="134" t="s">
        <v>4</v>
      </c>
    </row>
    <row r="212" spans="1:19" x14ac:dyDescent="0.25">
      <c r="A212" s="128">
        <v>196</v>
      </c>
      <c r="B212" s="133"/>
      <c r="C212" s="149">
        <f ca="1">_xll.meDateFromTenor(C211,"1D","FOLLOWING",$D$11,"NORMAL")</f>
        <v>42706</v>
      </c>
      <c r="D212" s="20">
        <f ca="1">_xll.meDateFromTenor(C212,"1D","Following",$D$11,"Normal")</f>
        <v>42709</v>
      </c>
      <c r="E212" s="99">
        <f ca="1"/>
        <v>5.6499999999904049E-3</v>
      </c>
      <c r="F212" s="161">
        <f ca="1">_xll.meCurveForwardRates(C212,$D$9,$D$10)</f>
        <v>5.665867777575162E-3</v>
      </c>
      <c r="G212" s="7" t="s">
        <v>4</v>
      </c>
      <c r="H212" s="149">
        <f t="shared" ca="1" si="6"/>
        <v>42706</v>
      </c>
      <c r="I212" s="20">
        <f ca="1">_xll.meDateFromTenor(H212,"3M","Following",$I$11,"Normal")</f>
        <v>42796</v>
      </c>
      <c r="J212" s="150">
        <f ca="1"/>
        <v>8.9407263221738531E-3</v>
      </c>
      <c r="K212" s="7" t="s">
        <v>4</v>
      </c>
      <c r="L212" s="149" t="e">
        <f ca="1">_xll.meDateFromTenor(L211,"1D","FOLLOWING",#REF!,"NORMAL")</f>
        <v>#VALUE!</v>
      </c>
      <c r="M212" s="155">
        <f ca="1">_xll.meDateYearFraction(C212,D212,$M$11)</f>
        <v>8.3333333333333332E-3</v>
      </c>
      <c r="N212" s="150">
        <f ca="1"/>
        <v>-2.4300000000065936E-3</v>
      </c>
      <c r="O212" s="7" t="s">
        <v>4</v>
      </c>
      <c r="P212" s="149">
        <f t="shared" ca="1" si="7"/>
        <v>42706</v>
      </c>
      <c r="Q212" s="155">
        <f ca="1">_xll.meDateYearFraction(H212,I212,$Q$11,TRUE)</f>
        <v>0.25</v>
      </c>
      <c r="R212" s="150">
        <f ca="1">IF(NOW(),_xll.meCurveForwardRatesFromYearFraction(P212,Q212,$Q$11,$Q$9,$Q$10))</f>
        <v>-3.7175485397107962E-3</v>
      </c>
      <c r="S212" s="134" t="s">
        <v>4</v>
      </c>
    </row>
    <row r="213" spans="1:19" x14ac:dyDescent="0.25">
      <c r="A213" s="128">
        <v>197</v>
      </c>
      <c r="B213" s="133"/>
      <c r="C213" s="149">
        <f ca="1">_xll.meDateFromTenor(C212,"1D","FOLLOWING",$D$11,"NORMAL")</f>
        <v>42709</v>
      </c>
      <c r="D213" s="20">
        <f ca="1">_xll.meDateFromTenor(C213,"1D","Following",$D$11,"Normal")</f>
        <v>42710</v>
      </c>
      <c r="E213" s="99">
        <f ca="1"/>
        <v>5.6500000000170502E-3</v>
      </c>
      <c r="F213" s="161">
        <f ca="1">_xll.meCurveForwardRates(C213,$D$9,$D$10)</f>
        <v>5.6659467653294993E-3</v>
      </c>
      <c r="G213" s="7" t="s">
        <v>4</v>
      </c>
      <c r="H213" s="149">
        <f t="shared" ca="1" si="6"/>
        <v>42709</v>
      </c>
      <c r="I213" s="20">
        <f ca="1">_xll.meDateFromTenor(H213,"3M","Following",$I$11,"Normal")</f>
        <v>42800</v>
      </c>
      <c r="J213" s="150">
        <f ca="1"/>
        <v>8.9682336590614052E-3</v>
      </c>
      <c r="K213" s="7" t="s">
        <v>4</v>
      </c>
      <c r="L213" s="149" t="e">
        <f ca="1">_xll.meDateFromTenor(L212,"1D","FOLLOWING",#REF!,"NORMAL")</f>
        <v>#VALUE!</v>
      </c>
      <c r="M213" s="155">
        <f ca="1">_xll.meDateYearFraction(C213,D213,$M$11)</f>
        <v>2.7777777777777779E-3</v>
      </c>
      <c r="N213" s="150">
        <f ca="1"/>
        <v>-2.4300000000065936E-3</v>
      </c>
      <c r="O213" s="7" t="s">
        <v>4</v>
      </c>
      <c r="P213" s="149">
        <f t="shared" ca="1" si="7"/>
        <v>42709</v>
      </c>
      <c r="Q213" s="155">
        <f ca="1">_xll.meDateYearFraction(H213,I213,$Q$11,TRUE)</f>
        <v>0.25277777777777777</v>
      </c>
      <c r="R213" s="150">
        <f ca="1">IF(NOW(),_xll.meCurveForwardRatesFromYearFraction(P213,Q213,$Q$11,$Q$9,$Q$10))</f>
        <v>-3.6587365540202998E-3</v>
      </c>
      <c r="S213" s="134" t="s">
        <v>4</v>
      </c>
    </row>
    <row r="214" spans="1:19" x14ac:dyDescent="0.25">
      <c r="A214" s="128">
        <v>198</v>
      </c>
      <c r="B214" s="133"/>
      <c r="C214" s="149">
        <f ca="1">_xll.meDateFromTenor(C213,"1D","FOLLOWING",$D$11,"NORMAL")</f>
        <v>42710</v>
      </c>
      <c r="D214" s="20">
        <f ca="1">_xll.meDateFromTenor(C214,"1D","Following",$D$11,"Normal")</f>
        <v>42711</v>
      </c>
      <c r="E214" s="99">
        <f ca="1"/>
        <v>5.6500000000170502E-3</v>
      </c>
      <c r="F214" s="161">
        <f ca="1">_xll.meCurveForwardRates(C214,$D$9,$D$10)</f>
        <v>5.6659467653294993E-3</v>
      </c>
      <c r="G214" s="7" t="s">
        <v>4</v>
      </c>
      <c r="H214" s="149">
        <f t="shared" ca="1" si="6"/>
        <v>42710</v>
      </c>
      <c r="I214" s="20">
        <f ca="1">_xll.meDateFromTenor(H214,"3M","Following",$I$11,"Normal")</f>
        <v>42800</v>
      </c>
      <c r="J214" s="150">
        <f ca="1"/>
        <v>8.9774027713572565E-3</v>
      </c>
      <c r="K214" s="7" t="s">
        <v>4</v>
      </c>
      <c r="L214" s="149" t="e">
        <f ca="1">_xll.meDateFromTenor(L213,"1D","FOLLOWING",#REF!,"NORMAL")</f>
        <v>#VALUE!</v>
      </c>
      <c r="M214" s="155">
        <f ca="1">_xll.meDateYearFraction(C214,D214,$M$11)</f>
        <v>2.7777777777777779E-3</v>
      </c>
      <c r="N214" s="150">
        <f ca="1"/>
        <v>-2.4300000000065936E-3</v>
      </c>
      <c r="O214" s="7" t="s">
        <v>4</v>
      </c>
      <c r="P214" s="149">
        <f t="shared" ca="1" si="7"/>
        <v>42710</v>
      </c>
      <c r="Q214" s="155">
        <f ca="1">_xll.meDateYearFraction(H214,I214,$Q$11,TRUE)</f>
        <v>0.25</v>
      </c>
      <c r="R214" s="150">
        <f ca="1">IF(NOW(),_xll.meCurveForwardRatesFromYearFraction(P214,Q214,$Q$11,$Q$9,$Q$10))</f>
        <v>-3.7175485397107962E-3</v>
      </c>
      <c r="S214" s="134" t="s">
        <v>4</v>
      </c>
    </row>
    <row r="215" spans="1:19" x14ac:dyDescent="0.25">
      <c r="A215" s="128">
        <v>199</v>
      </c>
      <c r="B215" s="133"/>
      <c r="C215" s="149">
        <f ca="1">_xll.meDateFromTenor(C214,"1D","FOLLOWING",$D$11,"NORMAL")</f>
        <v>42711</v>
      </c>
      <c r="D215" s="20">
        <f ca="1">_xll.meDateFromTenor(C215,"1D","Following",$D$11,"Normal")</f>
        <v>42712</v>
      </c>
      <c r="E215" s="99">
        <f ca="1"/>
        <v>5.6500000000170502E-3</v>
      </c>
      <c r="F215" s="161">
        <f ca="1">_xll.meCurveForwardRates(C215,$D$9,$D$10)</f>
        <v>5.6659467653294993E-3</v>
      </c>
      <c r="G215" s="7" t="s">
        <v>4</v>
      </c>
      <c r="H215" s="149">
        <f t="shared" ca="1" si="6"/>
        <v>42711</v>
      </c>
      <c r="I215" s="20">
        <f ca="1">_xll.meDateFromTenor(H215,"3M","Following",$I$11,"Normal")</f>
        <v>42801</v>
      </c>
      <c r="J215" s="150">
        <f ca="1"/>
        <v>8.9865718836531078E-3</v>
      </c>
      <c r="K215" s="7" t="s">
        <v>4</v>
      </c>
      <c r="L215" s="149" t="e">
        <f ca="1">_xll.meDateFromTenor(L214,"1D","FOLLOWING",#REF!,"NORMAL")</f>
        <v>#VALUE!</v>
      </c>
      <c r="M215" s="155">
        <f ca="1">_xll.meDateYearFraction(C215,D215,$M$11)</f>
        <v>2.7777777777777779E-3</v>
      </c>
      <c r="N215" s="150">
        <f ca="1"/>
        <v>-2.4300000000065936E-3</v>
      </c>
      <c r="O215" s="7" t="s">
        <v>4</v>
      </c>
      <c r="P215" s="149">
        <f t="shared" ca="1" si="7"/>
        <v>42711</v>
      </c>
      <c r="Q215" s="155">
        <f ca="1">_xll.meDateYearFraction(H215,I215,$Q$11,TRUE)</f>
        <v>0.25</v>
      </c>
      <c r="R215" s="150">
        <f ca="1">IF(NOW(),_xll.meCurveForwardRatesFromYearFraction(P215,Q215,$Q$11,$Q$9,$Q$10))</f>
        <v>-3.7175485397107962E-3</v>
      </c>
      <c r="S215" s="134" t="s">
        <v>4</v>
      </c>
    </row>
    <row r="216" spans="1:19" x14ac:dyDescent="0.25">
      <c r="A216" s="128">
        <v>200</v>
      </c>
      <c r="B216" s="133"/>
      <c r="C216" s="149">
        <f ca="1">_xll.meDateFromTenor(C215,"1D","FOLLOWING",$D$11,"NORMAL")</f>
        <v>42712</v>
      </c>
      <c r="D216" s="20">
        <f ca="1">_xll.meDateFromTenor(C216,"1D","Following",$D$11,"Normal")</f>
        <v>42713</v>
      </c>
      <c r="E216" s="99">
        <f ca="1"/>
        <v>5.6500000000170502E-3</v>
      </c>
      <c r="F216" s="161">
        <f ca="1">_xll.meCurveForwardRates(C216,$D$9,$D$10)</f>
        <v>5.6659467653294993E-3</v>
      </c>
      <c r="G216" s="7" t="s">
        <v>4</v>
      </c>
      <c r="H216" s="149">
        <f t="shared" ca="1" si="6"/>
        <v>42712</v>
      </c>
      <c r="I216" s="20">
        <f ca="1">_xll.meDateFromTenor(H216,"3M","Following",$I$11,"Normal")</f>
        <v>42802</v>
      </c>
      <c r="J216" s="150">
        <f ca="1"/>
        <v>8.9957409959489591E-3</v>
      </c>
      <c r="K216" s="7" t="s">
        <v>4</v>
      </c>
      <c r="L216" s="149" t="e">
        <f ca="1">_xll.meDateFromTenor(L215,"1D","FOLLOWING",#REF!,"NORMAL")</f>
        <v>#VALUE!</v>
      </c>
      <c r="M216" s="155">
        <f ca="1">_xll.meDateYearFraction(C216,D216,$M$11)</f>
        <v>2.7777777777777779E-3</v>
      </c>
      <c r="N216" s="150">
        <f ca="1"/>
        <v>-2.4300000000065936E-3</v>
      </c>
      <c r="O216" s="7" t="s">
        <v>4</v>
      </c>
      <c r="P216" s="149">
        <f t="shared" ca="1" si="7"/>
        <v>42712</v>
      </c>
      <c r="Q216" s="155">
        <f ca="1">_xll.meDateYearFraction(H216,I216,$Q$11,TRUE)</f>
        <v>0.25</v>
      </c>
      <c r="R216" s="150">
        <f ca="1">IF(NOW(),_xll.meCurveForwardRatesFromYearFraction(P216,Q216,$Q$11,$Q$9,$Q$10))</f>
        <v>-3.7175485397107962E-3</v>
      </c>
      <c r="S216" s="134" t="s">
        <v>4</v>
      </c>
    </row>
    <row r="217" spans="1:19" x14ac:dyDescent="0.25">
      <c r="A217" s="128">
        <v>201</v>
      </c>
      <c r="B217" s="133"/>
      <c r="C217" s="149">
        <f ca="1">_xll.meDateFromTenor(C216,"1D","FOLLOWING",$D$11,"NORMAL")</f>
        <v>42713</v>
      </c>
      <c r="D217" s="20">
        <f ca="1">_xll.meDateFromTenor(C217,"1D","Following",$D$11,"Normal")</f>
        <v>42716</v>
      </c>
      <c r="E217" s="99">
        <f ca="1"/>
        <v>5.6499999999904049E-3</v>
      </c>
      <c r="F217" s="161">
        <f ca="1">_xll.meCurveForwardRates(C217,$D$9,$D$10)</f>
        <v>5.6658677776555422E-3</v>
      </c>
      <c r="G217" s="7" t="s">
        <v>4</v>
      </c>
      <c r="H217" s="149">
        <f t="shared" ca="1" si="6"/>
        <v>42713</v>
      </c>
      <c r="I217" s="20">
        <f ca="1">_xll.meDateFromTenor(H217,"3M","Following",$I$11,"Normal")</f>
        <v>42803</v>
      </c>
      <c r="J217" s="150">
        <f ca="1"/>
        <v>9.0049101082448103E-3</v>
      </c>
      <c r="K217" s="7" t="s">
        <v>4</v>
      </c>
      <c r="L217" s="149" t="e">
        <f ca="1">_xll.meDateFromTenor(L216,"1D","FOLLOWING",#REF!,"NORMAL")</f>
        <v>#VALUE!</v>
      </c>
      <c r="M217" s="155">
        <f ca="1">_xll.meDateYearFraction(C217,D217,$M$11)</f>
        <v>8.3333333333333332E-3</v>
      </c>
      <c r="N217" s="150">
        <f ca="1"/>
        <v>-2.4300000000065936E-3</v>
      </c>
      <c r="O217" s="7" t="s">
        <v>4</v>
      </c>
      <c r="P217" s="149">
        <f t="shared" ca="1" si="7"/>
        <v>42713</v>
      </c>
      <c r="Q217" s="155">
        <f ca="1">_xll.meDateYearFraction(H217,I217,$Q$11,TRUE)</f>
        <v>0.25</v>
      </c>
      <c r="R217" s="150">
        <f ca="1">IF(NOW(),_xll.meCurveForwardRatesFromYearFraction(P217,Q217,$Q$11,$Q$9,$Q$10))</f>
        <v>-3.6461925231221358E-3</v>
      </c>
      <c r="S217" s="134" t="s">
        <v>4</v>
      </c>
    </row>
    <row r="218" spans="1:19" x14ac:dyDescent="0.25">
      <c r="A218" s="128">
        <v>202</v>
      </c>
      <c r="B218" s="133"/>
      <c r="C218" s="149">
        <f ca="1">_xll.meDateFromTenor(C217,"1D","FOLLOWING",$D$11,"NORMAL")</f>
        <v>42716</v>
      </c>
      <c r="D218" s="20">
        <f ca="1">_xll.meDateFromTenor(C218,"1D","Following",$D$11,"Normal")</f>
        <v>42717</v>
      </c>
      <c r="E218" s="99">
        <f ca="1"/>
        <v>5.6499999999371142E-3</v>
      </c>
      <c r="F218" s="161">
        <f ca="1">_xll.meCurveForwardRates(C218,$D$9,$D$10)</f>
        <v>5.6659467652491191E-3</v>
      </c>
      <c r="G218" s="7" t="s">
        <v>4</v>
      </c>
      <c r="H218" s="149">
        <f t="shared" ca="1" si="6"/>
        <v>42716</v>
      </c>
      <c r="I218" s="20">
        <f ca="1">_xll.meDateFromTenor(H218,"3M","Following",$I$11,"Normal")</f>
        <v>42807</v>
      </c>
      <c r="J218" s="150">
        <f ca="1"/>
        <v>9.0324174451323624E-3</v>
      </c>
      <c r="K218" s="7" t="s">
        <v>4</v>
      </c>
      <c r="L218" s="149" t="e">
        <f ca="1">_xll.meDateFromTenor(L217,"1D","FOLLOWING",#REF!,"NORMAL")</f>
        <v>#VALUE!</v>
      </c>
      <c r="M218" s="155">
        <f ca="1">_xll.meDateYearFraction(C218,D218,$M$11)</f>
        <v>2.7777777777777779E-3</v>
      </c>
      <c r="N218" s="150">
        <f ca="1"/>
        <v>-2.4300000000065936E-3</v>
      </c>
      <c r="O218" s="7" t="s">
        <v>4</v>
      </c>
      <c r="P218" s="149">
        <f t="shared" ca="1" si="7"/>
        <v>42716</v>
      </c>
      <c r="Q218" s="155">
        <f ca="1">_xll.meDateYearFraction(H218,I218,$Q$11,TRUE)</f>
        <v>0.25277777777777777</v>
      </c>
      <c r="R218" s="150">
        <f ca="1">IF(NOW(),_xll.meCurveForwardRatesFromYearFraction(P218,Q218,$Q$11,$Q$9,$Q$10))</f>
        <v>-3.7175485397107962E-3</v>
      </c>
      <c r="S218" s="134" t="s">
        <v>4</v>
      </c>
    </row>
    <row r="219" spans="1:19" x14ac:dyDescent="0.25">
      <c r="A219" s="128">
        <v>203</v>
      </c>
      <c r="B219" s="133"/>
      <c r="C219" s="149">
        <f ca="1">_xll.meDateFromTenor(C218,"1D","FOLLOWING",$D$11,"NORMAL")</f>
        <v>42717</v>
      </c>
      <c r="D219" s="20">
        <f ca="1">_xll.meDateFromTenor(C219,"1D","Following",$D$11,"Normal")</f>
        <v>42718</v>
      </c>
      <c r="E219" s="99">
        <f ca="1"/>
        <v>5.6500000000168247E-3</v>
      </c>
      <c r="F219" s="161">
        <f ca="1">_xll.meCurveForwardRates(C219,$D$9,$D$10)</f>
        <v>5.6659467653292772E-3</v>
      </c>
      <c r="G219" s="7" t="s">
        <v>4</v>
      </c>
      <c r="H219" s="149">
        <f t="shared" ca="1" si="6"/>
        <v>42717</v>
      </c>
      <c r="I219" s="20">
        <f ca="1">_xll.meDateFromTenor(H219,"3M","Following",$I$11,"Normal")</f>
        <v>42807</v>
      </c>
      <c r="J219" s="150">
        <f ca="1"/>
        <v>9.0415865574282137E-3</v>
      </c>
      <c r="K219" s="7" t="s">
        <v>4</v>
      </c>
      <c r="L219" s="149" t="e">
        <f ca="1">_xll.meDateFromTenor(L218,"1D","FOLLOWING",#REF!,"NORMAL")</f>
        <v>#VALUE!</v>
      </c>
      <c r="M219" s="155">
        <f ca="1">_xll.meDateYearFraction(C219,D219,$M$11)</f>
        <v>2.7777777777777779E-3</v>
      </c>
      <c r="N219" s="150">
        <f ca="1"/>
        <v>-2.4300000000065936E-3</v>
      </c>
      <c r="O219" s="7" t="s">
        <v>4</v>
      </c>
      <c r="P219" s="149">
        <f t="shared" ca="1" si="7"/>
        <v>42717</v>
      </c>
      <c r="Q219" s="155">
        <f ca="1">_xll.meDateYearFraction(H219,I219,$Q$11,TRUE)</f>
        <v>0.25</v>
      </c>
      <c r="R219" s="150">
        <f ca="1">IF(NOW(),_xll.meCurveForwardRatesFromYearFraction(P219,Q219,$Q$11,$Q$9,$Q$10))</f>
        <v>-3.7175485397107962E-3</v>
      </c>
      <c r="S219" s="134" t="s">
        <v>4</v>
      </c>
    </row>
    <row r="220" spans="1:19" x14ac:dyDescent="0.25">
      <c r="A220" s="128">
        <v>204</v>
      </c>
      <c r="B220" s="133"/>
      <c r="C220" s="149">
        <f ca="1">_xll.meDateFromTenor(C219,"1D","FOLLOWING",$D$11,"NORMAL")</f>
        <v>42718</v>
      </c>
      <c r="D220" s="20">
        <f ca="1">_xll.meDateFromTenor(C220,"1D","Following",$D$11,"Normal")</f>
        <v>42719</v>
      </c>
      <c r="E220" s="99">
        <f ca="1"/>
        <v>5.6500000000170502E-3</v>
      </c>
      <c r="F220" s="161">
        <f ca="1">_xll.meCurveForwardRates(C220,$D$9,$D$10)</f>
        <v>5.6659467653294993E-3</v>
      </c>
      <c r="G220" s="7" t="s">
        <v>4</v>
      </c>
      <c r="H220" s="149">
        <f t="shared" ca="1" si="6"/>
        <v>42718</v>
      </c>
      <c r="I220" s="20">
        <f ca="1">_xll.meDateFromTenor(H220,"3M","Following",$I$11,"Normal")</f>
        <v>42808</v>
      </c>
      <c r="J220" s="150">
        <f ca="1"/>
        <v>9.050755669724065E-3</v>
      </c>
      <c r="K220" s="7" t="s">
        <v>4</v>
      </c>
      <c r="L220" s="149" t="e">
        <f ca="1">_xll.meDateFromTenor(L219,"1D","FOLLOWING",#REF!,"NORMAL")</f>
        <v>#VALUE!</v>
      </c>
      <c r="M220" s="155">
        <f ca="1">_xll.meDateYearFraction(C220,D220,$M$11)</f>
        <v>2.7777777777777779E-3</v>
      </c>
      <c r="N220" s="150">
        <f ca="1"/>
        <v>-2.4300000000065936E-3</v>
      </c>
      <c r="O220" s="7" t="s">
        <v>4</v>
      </c>
      <c r="P220" s="149">
        <f t="shared" ca="1" si="7"/>
        <v>42718</v>
      </c>
      <c r="Q220" s="155">
        <f ca="1">_xll.meDateYearFraction(H220,I220,$Q$11,TRUE)</f>
        <v>0.25</v>
      </c>
      <c r="R220" s="150">
        <f ca="1">IF(NOW(),_xll.meCurveForwardRatesFromYearFraction(P220,Q220,$Q$11,$Q$9,$Q$10))</f>
        <v>-3.6303741389701613E-3</v>
      </c>
      <c r="S220" s="134" t="s">
        <v>4</v>
      </c>
    </row>
    <row r="221" spans="1:19" x14ac:dyDescent="0.25">
      <c r="A221" s="128">
        <v>205</v>
      </c>
      <c r="B221" s="133"/>
      <c r="C221" s="149">
        <f ca="1">_xll.meDateFromTenor(C220,"1D","FOLLOWING",$D$11,"NORMAL")</f>
        <v>42719</v>
      </c>
      <c r="D221" s="20">
        <f ca="1">_xll.meDateFromTenor(C221,"1D","Following",$D$11,"Normal")</f>
        <v>42720</v>
      </c>
      <c r="E221" s="99">
        <f ca="1"/>
        <v>5.6500000000170502E-3</v>
      </c>
      <c r="F221" s="161">
        <f ca="1">_xll.meCurveForwardRates(C221,$D$9,$D$10)</f>
        <v>5.6659467653294993E-3</v>
      </c>
      <c r="G221" s="7" t="s">
        <v>4</v>
      </c>
      <c r="H221" s="149">
        <f t="shared" ca="1" si="6"/>
        <v>42719</v>
      </c>
      <c r="I221" s="20">
        <f ca="1">_xll.meDateFromTenor(H221,"3M","Following",$I$11,"Normal")</f>
        <v>42809</v>
      </c>
      <c r="J221" s="150">
        <f ca="1"/>
        <v>9.0599247820199163E-3</v>
      </c>
      <c r="K221" s="7" t="s">
        <v>4</v>
      </c>
      <c r="L221" s="149" t="e">
        <f ca="1">_xll.meDateFromTenor(L220,"1D","FOLLOWING",#REF!,"NORMAL")</f>
        <v>#VALUE!</v>
      </c>
      <c r="M221" s="155">
        <f ca="1">_xll.meDateYearFraction(C221,D221,$M$11)</f>
        <v>2.7777777777777779E-3</v>
      </c>
      <c r="N221" s="150">
        <f ca="1"/>
        <v>-2.4300000000065936E-3</v>
      </c>
      <c r="O221" s="7" t="s">
        <v>4</v>
      </c>
      <c r="P221" s="149">
        <f t="shared" ca="1" si="7"/>
        <v>42719</v>
      </c>
      <c r="Q221" s="155">
        <f ca="1">_xll.meDateYearFraction(H221,I221,$Q$11,TRUE)</f>
        <v>0.25</v>
      </c>
      <c r="R221" s="150">
        <f ca="1">IF(NOW(),_xll.meCurveForwardRatesFromYearFraction(P221,Q221,$Q$11,$Q$9,$Q$10))</f>
        <v>-3.6271931997347772E-3</v>
      </c>
      <c r="S221" s="134" t="s">
        <v>4</v>
      </c>
    </row>
    <row r="222" spans="1:19" x14ac:dyDescent="0.25">
      <c r="A222" s="128">
        <v>206</v>
      </c>
      <c r="B222" s="133"/>
      <c r="C222" s="149">
        <f ca="1">_xll.meDateFromTenor(C221,"1D","FOLLOWING",$D$11,"NORMAL")</f>
        <v>42720</v>
      </c>
      <c r="D222" s="20">
        <f ca="1">_xll.meDateFromTenor(C222,"1D","Following",$D$11,"Normal")</f>
        <v>42723</v>
      </c>
      <c r="E222" s="99">
        <f ca="1"/>
        <v>5.6499999999904049E-3</v>
      </c>
      <c r="F222" s="161">
        <f ca="1">_xll.meCurveForwardRates(C222,$D$9,$D$10)</f>
        <v>5.6658677776555422E-3</v>
      </c>
      <c r="G222" s="7" t="s">
        <v>4</v>
      </c>
      <c r="H222" s="149">
        <f t="shared" ca="1" si="6"/>
        <v>42720</v>
      </c>
      <c r="I222" s="20">
        <f ca="1">_xll.meDateFromTenor(H222,"3M","Following",$I$11,"Normal")</f>
        <v>42810</v>
      </c>
      <c r="J222" s="150">
        <f ca="1"/>
        <v>9.0690938943157658E-3</v>
      </c>
      <c r="K222" s="7" t="s">
        <v>4</v>
      </c>
      <c r="L222" s="149" t="e">
        <f ca="1">_xll.meDateFromTenor(L221,"1D","FOLLOWING",#REF!,"NORMAL")</f>
        <v>#VALUE!</v>
      </c>
      <c r="M222" s="155">
        <f ca="1">_xll.meDateYearFraction(C222,D222,$M$11)</f>
        <v>8.3333333333333332E-3</v>
      </c>
      <c r="N222" s="150">
        <f ca="1"/>
        <v>-2.4300000000065936E-3</v>
      </c>
      <c r="O222" s="7" t="s">
        <v>4</v>
      </c>
      <c r="P222" s="149">
        <f t="shared" ca="1" si="7"/>
        <v>42720</v>
      </c>
      <c r="Q222" s="155">
        <f ca="1">_xll.meDateYearFraction(H222,I222,$Q$11,TRUE)</f>
        <v>0.25</v>
      </c>
      <c r="R222" s="150">
        <f ca="1">IF(NOW(),_xll.meCurveForwardRatesFromYearFraction(P222,Q222,$Q$11,$Q$9,$Q$10))</f>
        <v>-3.7175485397107962E-3</v>
      </c>
      <c r="S222" s="134" t="s">
        <v>4</v>
      </c>
    </row>
    <row r="223" spans="1:19" x14ac:dyDescent="0.25">
      <c r="A223" s="128">
        <v>207</v>
      </c>
      <c r="B223" s="133"/>
      <c r="C223" s="149">
        <f ca="1">_xll.meDateFromTenor(C222,"1D","FOLLOWING",$D$11,"NORMAL")</f>
        <v>42723</v>
      </c>
      <c r="D223" s="20">
        <f ca="1">_xll.meDateFromTenor(C223,"1D","Following",$D$11,"Normal")</f>
        <v>42724</v>
      </c>
      <c r="E223" s="99">
        <f ca="1"/>
        <v>5.6500000000170502E-3</v>
      </c>
      <c r="F223" s="161">
        <f ca="1">_xll.meCurveForwardRates(C223,$D$9,$D$10)</f>
        <v>5.6659467653294993E-3</v>
      </c>
      <c r="G223" s="7" t="s">
        <v>4</v>
      </c>
      <c r="H223" s="149">
        <f t="shared" ca="1" si="6"/>
        <v>42723</v>
      </c>
      <c r="I223" s="20">
        <f ca="1">_xll.meDateFromTenor(H223,"3M","Following",$I$11,"Normal")</f>
        <v>42814</v>
      </c>
      <c r="J223" s="150">
        <f ca="1"/>
        <v>9.0966012312033197E-3</v>
      </c>
      <c r="K223" s="7" t="s">
        <v>4</v>
      </c>
      <c r="L223" s="149" t="e">
        <f ca="1">_xll.meDateFromTenor(L222,"1D","FOLLOWING",#REF!,"NORMAL")</f>
        <v>#VALUE!</v>
      </c>
      <c r="M223" s="155">
        <f ca="1">_xll.meDateYearFraction(C223,D223,$M$11)</f>
        <v>2.7777777777777779E-3</v>
      </c>
      <c r="N223" s="150">
        <f ca="1"/>
        <v>-2.4300000000065936E-3</v>
      </c>
      <c r="O223" s="7" t="s">
        <v>4</v>
      </c>
      <c r="P223" s="149">
        <f t="shared" ca="1" si="7"/>
        <v>42723</v>
      </c>
      <c r="Q223" s="155">
        <f ca="1">_xll.meDateYearFraction(H223,I223,$Q$11,TRUE)</f>
        <v>0.25277777777777777</v>
      </c>
      <c r="R223" s="150">
        <f ca="1">IF(NOW(),_xll.meCurveForwardRatesFromYearFraction(P223,Q223,$Q$11,$Q$9,$Q$10))</f>
        <v>-3.7175485397107962E-3</v>
      </c>
      <c r="S223" s="134" t="s">
        <v>4</v>
      </c>
    </row>
    <row r="224" spans="1:19" x14ac:dyDescent="0.25">
      <c r="A224" s="128">
        <v>208</v>
      </c>
      <c r="B224" s="133"/>
      <c r="C224" s="149">
        <f ca="1">_xll.meDateFromTenor(C223,"1D","FOLLOWING",$D$11,"NORMAL")</f>
        <v>42724</v>
      </c>
      <c r="D224" s="20">
        <f ca="1">_xll.meDateFromTenor(C224,"1D","Following",$D$11,"Normal")</f>
        <v>42725</v>
      </c>
      <c r="E224" s="99">
        <f ca="1"/>
        <v>5.6500000000170502E-3</v>
      </c>
      <c r="F224" s="161">
        <f ca="1">_xll.meCurveForwardRates(C224,$D$9,$D$10)</f>
        <v>5.6659467653294993E-3</v>
      </c>
      <c r="G224" s="7" t="s">
        <v>4</v>
      </c>
      <c r="H224" s="149">
        <f t="shared" ca="1" si="6"/>
        <v>42724</v>
      </c>
      <c r="I224" s="20">
        <f ca="1">_xll.meDateFromTenor(H224,"3M","Following",$I$11,"Normal")</f>
        <v>42814</v>
      </c>
      <c r="J224" s="150">
        <f ca="1"/>
        <v>9.105770343499171E-3</v>
      </c>
      <c r="K224" s="7" t="s">
        <v>4</v>
      </c>
      <c r="L224" s="149" t="e">
        <f ca="1">_xll.meDateFromTenor(L223,"1D","FOLLOWING",#REF!,"NORMAL")</f>
        <v>#VALUE!</v>
      </c>
      <c r="M224" s="155">
        <f ca="1">_xll.meDateYearFraction(C224,D224,$M$11)</f>
        <v>2.7777777777777779E-3</v>
      </c>
      <c r="N224" s="150">
        <f ca="1"/>
        <v>-2.4300000000065936E-3</v>
      </c>
      <c r="O224" s="7" t="s">
        <v>4</v>
      </c>
      <c r="P224" s="149">
        <f t="shared" ca="1" si="7"/>
        <v>42724</v>
      </c>
      <c r="Q224" s="155">
        <f ca="1">_xll.meDateYearFraction(H224,I224,$Q$11,TRUE)</f>
        <v>0.25</v>
      </c>
      <c r="R224" s="150">
        <f ca="1">IF(NOW(),_xll.meCurveForwardRatesFromYearFraction(P224,Q224,$Q$11,$Q$9,$Q$10))</f>
        <v>-3.7175485397107962E-3</v>
      </c>
      <c r="S224" s="134" t="s">
        <v>4</v>
      </c>
    </row>
    <row r="225" spans="1:19" x14ac:dyDescent="0.25">
      <c r="A225" s="128">
        <v>209</v>
      </c>
      <c r="B225" s="133"/>
      <c r="C225" s="149">
        <f ca="1">_xll.meDateFromTenor(C224,"1D","FOLLOWING",$D$11,"NORMAL")</f>
        <v>42725</v>
      </c>
      <c r="D225" s="20">
        <f ca="1">_xll.meDateFromTenor(C225,"1D","Following",$D$11,"Normal")</f>
        <v>42726</v>
      </c>
      <c r="E225" s="99">
        <f ca="1"/>
        <v>5.6500000000170502E-3</v>
      </c>
      <c r="F225" s="161">
        <f ca="1">_xll.meCurveForwardRates(C225,$D$9,$D$10)</f>
        <v>5.6659467653294993E-3</v>
      </c>
      <c r="G225" s="7" t="s">
        <v>4</v>
      </c>
      <c r="H225" s="149">
        <f t="shared" ca="1" si="6"/>
        <v>42725</v>
      </c>
      <c r="I225" s="20">
        <f ca="1">_xll.meDateFromTenor(H225,"3M","Following",$I$11,"Normal")</f>
        <v>42815</v>
      </c>
      <c r="J225" s="150">
        <f ca="1"/>
        <v>9.1149394557950222E-3</v>
      </c>
      <c r="K225" s="7" t="s">
        <v>4</v>
      </c>
      <c r="L225" s="149" t="e">
        <f ca="1">_xll.meDateFromTenor(L224,"1D","FOLLOWING",#REF!,"NORMAL")</f>
        <v>#VALUE!</v>
      </c>
      <c r="M225" s="155">
        <f ca="1">_xll.meDateYearFraction(C225,D225,$M$11)</f>
        <v>2.7777777777777779E-3</v>
      </c>
      <c r="N225" s="150">
        <f ca="1"/>
        <v>-2.4300000000065936E-3</v>
      </c>
      <c r="O225" s="7" t="s">
        <v>4</v>
      </c>
      <c r="P225" s="149">
        <f t="shared" ca="1" si="7"/>
        <v>42725</v>
      </c>
      <c r="Q225" s="155">
        <f ca="1">_xll.meDateYearFraction(H225,I225,$Q$11,TRUE)</f>
        <v>0.25</v>
      </c>
      <c r="R225" s="150">
        <f ca="1">IF(NOW(),_xll.meCurveForwardRatesFromYearFraction(P225,Q225,$Q$11,$Q$9,$Q$10))</f>
        <v>-3.6079966702784257E-3</v>
      </c>
      <c r="S225" s="134" t="s">
        <v>4</v>
      </c>
    </row>
    <row r="226" spans="1:19" x14ac:dyDescent="0.25">
      <c r="A226" s="128">
        <v>210</v>
      </c>
      <c r="B226" s="133"/>
      <c r="C226" s="149">
        <f ca="1">_xll.meDateFromTenor(C225,"1D","FOLLOWING",$D$11,"NORMAL")</f>
        <v>42726</v>
      </c>
      <c r="D226" s="20">
        <f ca="1">_xll.meDateFromTenor(C226,"1D","Following",$D$11,"Normal")</f>
        <v>42727</v>
      </c>
      <c r="E226" s="99">
        <f ca="1"/>
        <v>5.6500000000170502E-3</v>
      </c>
      <c r="F226" s="161">
        <f ca="1">_xll.meCurveForwardRates(C226,$D$9,$D$10)</f>
        <v>5.6659467653294993E-3</v>
      </c>
      <c r="G226" s="7" t="s">
        <v>4</v>
      </c>
      <c r="H226" s="149">
        <f t="shared" ca="1" si="6"/>
        <v>42726</v>
      </c>
      <c r="I226" s="20">
        <f ca="1">_xll.meDateFromTenor(H226,"3M","Following",$I$11,"Normal")</f>
        <v>42816</v>
      </c>
      <c r="J226" s="150">
        <f ca="1"/>
        <v>9.1218217902656277E-3</v>
      </c>
      <c r="K226" s="7" t="s">
        <v>4</v>
      </c>
      <c r="L226" s="149" t="e">
        <f ca="1">_xll.meDateFromTenor(L225,"1D","FOLLOWING",#REF!,"NORMAL")</f>
        <v>#VALUE!</v>
      </c>
      <c r="M226" s="155">
        <f ca="1">_xll.meDateYearFraction(C226,D226,$M$11)</f>
        <v>2.7777777777777779E-3</v>
      </c>
      <c r="N226" s="150">
        <f ca="1"/>
        <v>-2.4300000000065936E-3</v>
      </c>
      <c r="O226" s="7" t="s">
        <v>4</v>
      </c>
      <c r="P226" s="149">
        <f t="shared" ca="1" si="7"/>
        <v>42726</v>
      </c>
      <c r="Q226" s="155">
        <f ca="1">_xll.meDateYearFraction(H226,I226,$Q$11,TRUE)</f>
        <v>0.25</v>
      </c>
      <c r="R226" s="150">
        <f ca="1">IF(NOW(),_xll.meCurveForwardRatesFromYearFraction(P226,Q226,$Q$11,$Q$9,$Q$10))</f>
        <v>-3.7175485397107962E-3</v>
      </c>
      <c r="S226" s="134" t="s">
        <v>4</v>
      </c>
    </row>
    <row r="227" spans="1:19" x14ac:dyDescent="0.25">
      <c r="A227" s="128">
        <v>211</v>
      </c>
      <c r="B227" s="133"/>
      <c r="C227" s="149">
        <f ca="1">_xll.meDateFromTenor(C226,"1D","FOLLOWING",$D$11,"NORMAL")</f>
        <v>42727</v>
      </c>
      <c r="D227" s="20">
        <f ca="1">_xll.meDateFromTenor(C227,"1D","Following",$D$11,"Normal")</f>
        <v>42732</v>
      </c>
      <c r="E227" s="99">
        <f ca="1"/>
        <v>5.6500709388877827E-3</v>
      </c>
      <c r="F227" s="161">
        <f ca="1">_xll.meCurveForwardRates(C227,$D$9,$D$10)</f>
        <v>5.6658366248485414E-3</v>
      </c>
      <c r="G227" s="7" t="s">
        <v>4</v>
      </c>
      <c r="H227" s="149">
        <f t="shared" ca="1" si="6"/>
        <v>42727</v>
      </c>
      <c r="I227" s="20">
        <f ca="1">_xll.meDateFromTenor(H227,"3M","Following",$I$11,"Normal")</f>
        <v>42817</v>
      </c>
      <c r="J227" s="150">
        <f ca="1"/>
        <v>9.1287041247362331E-3</v>
      </c>
      <c r="K227" s="7" t="s">
        <v>4</v>
      </c>
      <c r="L227" s="149" t="e">
        <f ca="1">_xll.meDateFromTenor(L226,"1D","FOLLOWING",#REF!,"NORMAL")</f>
        <v>#VALUE!</v>
      </c>
      <c r="M227" s="155">
        <f ca="1">_xll.meDateYearFraction(C227,D227,$M$11)</f>
        <v>1.3888888888888888E-2</v>
      </c>
      <c r="N227" s="150">
        <f ca="1"/>
        <v>-2.4300000000065936E-3</v>
      </c>
      <c r="O227" s="7" t="s">
        <v>4</v>
      </c>
      <c r="P227" s="149">
        <f t="shared" ca="1" si="7"/>
        <v>42727</v>
      </c>
      <c r="Q227" s="155">
        <f ca="1">_xll.meDateYearFraction(H227,I227,$Q$11,TRUE)</f>
        <v>0.25</v>
      </c>
      <c r="R227" s="150">
        <f ca="1">IF(NOW(),_xll.meCurveForwardRatesFromYearFraction(P227,Q227,$Q$11,$Q$9,$Q$10))</f>
        <v>-3.601558422573588E-3</v>
      </c>
      <c r="S227" s="134" t="s">
        <v>4</v>
      </c>
    </row>
    <row r="228" spans="1:19" x14ac:dyDescent="0.25">
      <c r="A228" s="128">
        <v>212</v>
      </c>
      <c r="B228" s="133"/>
      <c r="C228" s="149">
        <f ca="1">_xll.meDateFromTenor(C227,"1D","FOLLOWING",$D$11,"NORMAL")</f>
        <v>42732</v>
      </c>
      <c r="D228" s="20">
        <f ca="1">_xll.meDateFromTenor(C228,"1D","Following",$D$11,"Normal")</f>
        <v>42733</v>
      </c>
      <c r="E228" s="99">
        <f ca="1"/>
        <v>5.6500000000170502E-3</v>
      </c>
      <c r="F228" s="161">
        <f ca="1">_xll.meCurveForwardRates(C228,$D$9,$D$10)</f>
        <v>5.6659467653294993E-3</v>
      </c>
      <c r="G228" s="7" t="s">
        <v>4</v>
      </c>
      <c r="H228" s="149">
        <f t="shared" ca="1" si="6"/>
        <v>42732</v>
      </c>
      <c r="I228" s="20">
        <f ca="1">_xll.meDateFromTenor(H228,"3M","Following",$I$11,"Normal")</f>
        <v>42822</v>
      </c>
      <c r="J228" s="150">
        <f ca="1"/>
        <v>9.1631157970892621E-3</v>
      </c>
      <c r="K228" s="7" t="s">
        <v>4</v>
      </c>
      <c r="L228" s="149" t="e">
        <f ca="1">_xll.meDateFromTenor(L227,"1D","FOLLOWING",#REF!,"NORMAL")</f>
        <v>#VALUE!</v>
      </c>
      <c r="M228" s="155">
        <f ca="1">_xll.meDateYearFraction(C228,D228,$M$11)</f>
        <v>2.7777777777777779E-3</v>
      </c>
      <c r="N228" s="150">
        <f ca="1"/>
        <v>-2.4300000000065936E-3</v>
      </c>
      <c r="O228" s="7" t="s">
        <v>4</v>
      </c>
      <c r="P228" s="149">
        <f t="shared" ca="1" si="7"/>
        <v>42732</v>
      </c>
      <c r="Q228" s="155">
        <f ca="1">_xll.meDateYearFraction(H228,I228,$Q$11,TRUE)</f>
        <v>0.25</v>
      </c>
      <c r="R228" s="150">
        <f ca="1">IF(NOW(),_xll.meCurveForwardRatesFromYearFraction(P228,Q228,$Q$11,$Q$9,$Q$10))</f>
        <v>-3.7175485397107962E-3</v>
      </c>
      <c r="S228" s="134" t="s">
        <v>4</v>
      </c>
    </row>
    <row r="229" spans="1:19" x14ac:dyDescent="0.25">
      <c r="A229" s="128">
        <v>213</v>
      </c>
      <c r="B229" s="133"/>
      <c r="C229" s="149">
        <f ca="1">_xll.meDateFromTenor(C228,"1D","FOLLOWING",$D$11,"NORMAL")</f>
        <v>42733</v>
      </c>
      <c r="D229" s="20">
        <f ca="1">_xll.meDateFromTenor(C229,"1D","Following",$D$11,"Normal")</f>
        <v>42734</v>
      </c>
      <c r="E229" s="99">
        <f ca="1"/>
        <v>5.6500000000170502E-3</v>
      </c>
      <c r="F229" s="161">
        <f ca="1">_xll.meCurveForwardRates(C229,$D$9,$D$10)</f>
        <v>5.6659467653294993E-3</v>
      </c>
      <c r="G229" s="7" t="s">
        <v>4</v>
      </c>
      <c r="H229" s="149">
        <f t="shared" ca="1" si="6"/>
        <v>42733</v>
      </c>
      <c r="I229" s="20">
        <f ca="1">_xll.meDateFromTenor(H229,"3M","Following",$I$11,"Normal")</f>
        <v>42823</v>
      </c>
      <c r="J229" s="150">
        <f ca="1"/>
        <v>9.1699981315598693E-3</v>
      </c>
      <c r="K229" s="7" t="s">
        <v>4</v>
      </c>
      <c r="L229" s="149" t="e">
        <f ca="1">_xll.meDateFromTenor(L228,"1D","FOLLOWING",#REF!,"NORMAL")</f>
        <v>#VALUE!</v>
      </c>
      <c r="M229" s="155">
        <f ca="1">_xll.meDateYearFraction(C229,D229,$M$11)</f>
        <v>2.7777777777777779E-3</v>
      </c>
      <c r="N229" s="150">
        <f ca="1"/>
        <v>-2.4300000000065936E-3</v>
      </c>
      <c r="O229" s="7" t="s">
        <v>4</v>
      </c>
      <c r="P229" s="149">
        <f t="shared" ca="1" si="7"/>
        <v>42733</v>
      </c>
      <c r="Q229" s="155">
        <f ca="1">_xll.meDateYearFraction(H229,I229,$Q$11,TRUE)</f>
        <v>0.25</v>
      </c>
      <c r="R229" s="150">
        <f ca="1">IF(NOW(),_xll.meCurveForwardRatesFromYearFraction(P229,Q229,$Q$11,$Q$9,$Q$10))</f>
        <v>-3.5821387228554117E-3</v>
      </c>
      <c r="S229" s="134" t="s">
        <v>4</v>
      </c>
    </row>
    <row r="230" spans="1:19" x14ac:dyDescent="0.25">
      <c r="A230" s="128">
        <v>214</v>
      </c>
      <c r="B230" s="133"/>
      <c r="C230" s="149">
        <f ca="1">_xll.meDateFromTenor(C229,"1D","FOLLOWING",$D$11,"NORMAL")</f>
        <v>42734</v>
      </c>
      <c r="D230" s="20">
        <f ca="1">_xll.meDateFromTenor(C230,"1D","Following",$D$11,"Normal")</f>
        <v>42738</v>
      </c>
      <c r="E230" s="99">
        <f ca="1"/>
        <v>5.6499999999970662E-3</v>
      </c>
      <c r="F230" s="161">
        <f ca="1">_xll.meCurveForwardRates(C230,$D$9,$D$10)</f>
        <v>5.6590957647018048E-3</v>
      </c>
      <c r="G230" s="7" t="s">
        <v>4</v>
      </c>
      <c r="H230" s="149">
        <f t="shared" ca="1" si="6"/>
        <v>42734</v>
      </c>
      <c r="I230" s="20">
        <f ca="1">_xll.meDateFromTenor(H230,"3M","Following",$I$11,"Normal")</f>
        <v>42824</v>
      </c>
      <c r="J230" s="150">
        <f ca="1"/>
        <v>9.1768804660304747E-3</v>
      </c>
      <c r="K230" s="7" t="s">
        <v>4</v>
      </c>
      <c r="L230" s="149" t="e">
        <f ca="1">_xll.meDateFromTenor(L229,"1D","FOLLOWING",#REF!,"NORMAL")</f>
        <v>#VALUE!</v>
      </c>
      <c r="M230" s="155">
        <f ca="1">_xll.meDateYearFraction(C230,D230,$M$11)</f>
        <v>1.1111111111111112E-2</v>
      </c>
      <c r="N230" s="150">
        <f ca="1"/>
        <v>-2.4300000000065936E-3</v>
      </c>
      <c r="O230" s="7" t="s">
        <v>4</v>
      </c>
      <c r="P230" s="149">
        <f t="shared" ca="1" si="7"/>
        <v>42734</v>
      </c>
      <c r="Q230" s="155">
        <f ca="1">_xll.meDateYearFraction(H230,I230,$Q$11,TRUE)</f>
        <v>0.25</v>
      </c>
      <c r="R230" s="150">
        <f ca="1">IF(NOW(),_xll.meCurveForwardRatesFromYearFraction(P230,Q230,$Q$11,$Q$9,$Q$10))</f>
        <v>-3.7175485397107962E-3</v>
      </c>
      <c r="S230" s="134" t="s">
        <v>4</v>
      </c>
    </row>
    <row r="231" spans="1:19" x14ac:dyDescent="0.25">
      <c r="A231" s="128">
        <v>215</v>
      </c>
      <c r="B231" s="133"/>
      <c r="C231" s="149">
        <f ca="1">_xll.meDateFromTenor(C230,"1D","FOLLOWING",$D$11,"NORMAL")</f>
        <v>42738</v>
      </c>
      <c r="D231" s="20">
        <f ca="1">_xll.meDateFromTenor(C231,"1D","Following",$D$11,"Normal")</f>
        <v>42739</v>
      </c>
      <c r="E231" s="99">
        <f ca="1"/>
        <v>5.8000000001179539E-3</v>
      </c>
      <c r="F231" s="161">
        <f ca="1">_xll.meCurveForwardRates(C231,$D$9,$D$10)</f>
        <v>5.8168055724994172E-3</v>
      </c>
      <c r="G231" s="7" t="s">
        <v>4</v>
      </c>
      <c r="H231" s="149">
        <f t="shared" ca="1" si="6"/>
        <v>42738</v>
      </c>
      <c r="I231" s="20">
        <f ca="1">_xll.meDateFromTenor(H231,"3M","Following",$I$11,"Normal")</f>
        <v>42828</v>
      </c>
      <c r="J231" s="150">
        <f ca="1"/>
        <v>9.2044663710455325E-3</v>
      </c>
      <c r="K231" s="7" t="s">
        <v>4</v>
      </c>
      <c r="L231" s="149" t="e">
        <f ca="1">_xll.meDateFromTenor(L230,"1D","FOLLOWING",#REF!,"NORMAL")</f>
        <v>#VALUE!</v>
      </c>
      <c r="M231" s="155">
        <f ca="1">_xll.meDateYearFraction(C231,D231,$M$11)</f>
        <v>2.7777777777777779E-3</v>
      </c>
      <c r="N231" s="150">
        <f ca="1"/>
        <v>-2.4300000000065936E-3</v>
      </c>
      <c r="O231" s="7" t="s">
        <v>4</v>
      </c>
      <c r="P231" s="149">
        <f t="shared" ca="1" si="7"/>
        <v>42738</v>
      </c>
      <c r="Q231" s="155">
        <f ca="1">_xll.meDateYearFraction(H231,I231,$Q$11,TRUE)</f>
        <v>0.25</v>
      </c>
      <c r="R231" s="150">
        <f ca="1">IF(NOW(),_xll.meCurveForwardRatesFromYearFraction(P231,Q231,$Q$11,$Q$9,$Q$10))</f>
        <v>-3.5658226349846809E-3</v>
      </c>
      <c r="S231" s="134" t="s">
        <v>4</v>
      </c>
    </row>
    <row r="232" spans="1:19" x14ac:dyDescent="0.25">
      <c r="A232" s="128">
        <v>216</v>
      </c>
      <c r="B232" s="133"/>
      <c r="C232" s="149">
        <f ca="1">_xll.meDateFromTenor(C231,"1D","FOLLOWING",$D$11,"NORMAL")</f>
        <v>42739</v>
      </c>
      <c r="D232" s="20">
        <f ca="1">_xll.meDateFromTenor(C232,"1D","Following",$D$11,"Normal")</f>
        <v>42740</v>
      </c>
      <c r="E232" s="99">
        <f ca="1"/>
        <v>5.8000000000377853E-3</v>
      </c>
      <c r="F232" s="161">
        <f ca="1">_xll.meCurveForwardRates(C232,$D$9,$D$10)</f>
        <v>5.816805572418815E-3</v>
      </c>
      <c r="G232" s="7" t="s">
        <v>4</v>
      </c>
      <c r="H232" s="149">
        <f t="shared" ca="1" si="6"/>
        <v>42739</v>
      </c>
      <c r="I232" s="20">
        <f ca="1">_xll.meDateFromTenor(H232,"3M","Following",$I$11,"Normal")</f>
        <v>42829</v>
      </c>
      <c r="J232" s="150">
        <f ca="1"/>
        <v>9.2113675612270178E-3</v>
      </c>
      <c r="K232" s="7" t="s">
        <v>4</v>
      </c>
      <c r="L232" s="149" t="e">
        <f ca="1">_xll.meDateFromTenor(L231,"1D","FOLLOWING",#REF!,"NORMAL")</f>
        <v>#VALUE!</v>
      </c>
      <c r="M232" s="155">
        <f ca="1">_xll.meDateYearFraction(C232,D232,$M$11)</f>
        <v>2.7777777777777779E-3</v>
      </c>
      <c r="N232" s="150">
        <f ca="1"/>
        <v>-2.4300000000065936E-3</v>
      </c>
      <c r="O232" s="7" t="s">
        <v>4</v>
      </c>
      <c r="P232" s="149">
        <f t="shared" ca="1" si="7"/>
        <v>42739</v>
      </c>
      <c r="Q232" s="155">
        <f ca="1">_xll.meDateYearFraction(H232,I232,$Q$11,TRUE)</f>
        <v>0.25</v>
      </c>
      <c r="R232" s="150">
        <f ca="1">IF(NOW(),_xll.meCurveForwardRatesFromYearFraction(P232,Q232,$Q$11,$Q$9,$Q$10))</f>
        <v>-3.7175485397107962E-3</v>
      </c>
      <c r="S232" s="134" t="s">
        <v>4</v>
      </c>
    </row>
    <row r="233" spans="1:19" x14ac:dyDescent="0.25">
      <c r="A233" s="128">
        <v>217</v>
      </c>
      <c r="B233" s="133"/>
      <c r="C233" s="149">
        <f ca="1">_xll.meDateFromTenor(C232,"1D","FOLLOWING",$D$11,"NORMAL")</f>
        <v>42740</v>
      </c>
      <c r="D233" s="20">
        <f ca="1">_xll.meDateFromTenor(C233,"1D","Following",$D$11,"Normal")</f>
        <v>42741</v>
      </c>
      <c r="E233" s="99">
        <f ca="1"/>
        <v>5.8000000000380178E-3</v>
      </c>
      <c r="F233" s="161">
        <f ca="1">_xll.meCurveForwardRates(C233,$D$9,$D$10)</f>
        <v>5.8168055724190371E-3</v>
      </c>
      <c r="G233" s="7" t="s">
        <v>4</v>
      </c>
      <c r="H233" s="149">
        <f t="shared" ca="1" si="6"/>
        <v>42740</v>
      </c>
      <c r="I233" s="20">
        <f ca="1">_xll.meDateFromTenor(H233,"3M","Following",$I$11,"Normal")</f>
        <v>42830</v>
      </c>
      <c r="J233" s="150">
        <f ca="1"/>
        <v>9.2182687514085031E-3</v>
      </c>
      <c r="K233" s="7" t="s">
        <v>4</v>
      </c>
      <c r="L233" s="149" t="e">
        <f ca="1">_xll.meDateFromTenor(L232,"1D","FOLLOWING",#REF!,"NORMAL")</f>
        <v>#VALUE!</v>
      </c>
      <c r="M233" s="155">
        <f ca="1">_xll.meDateYearFraction(C233,D233,$M$11)</f>
        <v>2.7777777777777779E-3</v>
      </c>
      <c r="N233" s="150">
        <f ca="1"/>
        <v>-2.4300000000065936E-3</v>
      </c>
      <c r="O233" s="7" t="s">
        <v>4</v>
      </c>
      <c r="P233" s="149">
        <f t="shared" ca="1" si="7"/>
        <v>42740</v>
      </c>
      <c r="Q233" s="155">
        <f ca="1">_xll.meDateYearFraction(H233,I233,$Q$11,TRUE)</f>
        <v>0.25</v>
      </c>
      <c r="R233" s="150">
        <f ca="1">IF(NOW(),_xll.meCurveForwardRatesFromYearFraction(P233,Q233,$Q$11,$Q$9,$Q$10))</f>
        <v>-3.5592655237847962E-3</v>
      </c>
      <c r="S233" s="134" t="s">
        <v>4</v>
      </c>
    </row>
    <row r="234" spans="1:19" x14ac:dyDescent="0.25">
      <c r="A234" s="128">
        <v>218</v>
      </c>
      <c r="B234" s="133"/>
      <c r="C234" s="149">
        <f ca="1">_xll.meDateFromTenor(C233,"1D","FOLLOWING",$D$11,"NORMAL")</f>
        <v>42741</v>
      </c>
      <c r="D234" s="20">
        <f ca="1">_xll.meDateFromTenor(C234,"1D","Following",$D$11,"Normal")</f>
        <v>42744</v>
      </c>
      <c r="E234" s="99">
        <f ca="1"/>
        <v>5.8000000000113724E-3</v>
      </c>
      <c r="F234" s="161">
        <f ca="1">_xll.meCurveForwardRates(C234,$D$9,$D$10)</f>
        <v>5.8167223226777143E-3</v>
      </c>
      <c r="G234" s="7" t="s">
        <v>4</v>
      </c>
      <c r="H234" s="149">
        <f t="shared" ca="1" si="6"/>
        <v>42741</v>
      </c>
      <c r="I234" s="20">
        <f ca="1">_xll.meDateFromTenor(H234,"3M","Following",$I$11,"Normal")</f>
        <v>42831</v>
      </c>
      <c r="J234" s="150">
        <f ca="1"/>
        <v>9.2251699415899866E-3</v>
      </c>
      <c r="K234" s="7" t="s">
        <v>4</v>
      </c>
      <c r="L234" s="149" t="e">
        <f ca="1">_xll.meDateFromTenor(L233,"1D","FOLLOWING",#REF!,"NORMAL")</f>
        <v>#VALUE!</v>
      </c>
      <c r="M234" s="155">
        <f ca="1">_xll.meDateYearFraction(C234,D234,$M$11)</f>
        <v>8.3333333333333332E-3</v>
      </c>
      <c r="N234" s="150">
        <f ca="1"/>
        <v>-2.4300000000065936E-3</v>
      </c>
      <c r="O234" s="7" t="s">
        <v>4</v>
      </c>
      <c r="P234" s="149">
        <f t="shared" ca="1" si="7"/>
        <v>42741</v>
      </c>
      <c r="Q234" s="155">
        <f ca="1">_xll.meDateYearFraction(H234,I234,$Q$11,TRUE)</f>
        <v>0.25</v>
      </c>
      <c r="R234" s="150">
        <f ca="1">IF(NOW(),_xll.meCurveForwardRatesFromYearFraction(P234,Q234,$Q$11,$Q$9,$Q$10))</f>
        <v>-3.7175485397107962E-3</v>
      </c>
      <c r="S234" s="134" t="s">
        <v>4</v>
      </c>
    </row>
    <row r="235" spans="1:19" x14ac:dyDescent="0.25">
      <c r="A235" s="128">
        <v>219</v>
      </c>
      <c r="B235" s="133"/>
      <c r="C235" s="149">
        <f ca="1">_xll.meDateFromTenor(C234,"1D","FOLLOWING",$D$11,"NORMAL")</f>
        <v>42744</v>
      </c>
      <c r="D235" s="20">
        <f ca="1">_xll.meDateFromTenor(C235,"1D","Following",$D$11,"Normal")</f>
        <v>42745</v>
      </c>
      <c r="E235" s="99">
        <f ca="1"/>
        <v>5.8000000000380178E-3</v>
      </c>
      <c r="F235" s="161">
        <f ca="1">_xll.meCurveForwardRates(C235,$D$9,$D$10)</f>
        <v>5.8168055724190371E-3</v>
      </c>
      <c r="G235" s="7" t="s">
        <v>4</v>
      </c>
      <c r="H235" s="149">
        <f t="shared" ca="1" si="6"/>
        <v>42744</v>
      </c>
      <c r="I235" s="20">
        <f ca="1">_xll.meDateFromTenor(H235,"3M","Following",$I$11,"Normal")</f>
        <v>42835</v>
      </c>
      <c r="J235" s="150">
        <f ca="1"/>
        <v>9.245873512134439E-3</v>
      </c>
      <c r="K235" s="7" t="s">
        <v>4</v>
      </c>
      <c r="L235" s="149" t="e">
        <f ca="1">_xll.meDateFromTenor(L234,"1D","FOLLOWING",#REF!,"NORMAL")</f>
        <v>#VALUE!</v>
      </c>
      <c r="M235" s="155">
        <f ca="1">_xll.meDateYearFraction(C235,D235,$M$11)</f>
        <v>2.7777777777777779E-3</v>
      </c>
      <c r="N235" s="150">
        <f ca="1"/>
        <v>-2.4300000000065936E-3</v>
      </c>
      <c r="O235" s="7" t="s">
        <v>4</v>
      </c>
      <c r="P235" s="149">
        <f t="shared" ca="1" si="7"/>
        <v>42744</v>
      </c>
      <c r="Q235" s="155">
        <f ca="1">_xll.meDateYearFraction(H235,I235,$Q$11,TRUE)</f>
        <v>0.25277777777777777</v>
      </c>
      <c r="R235" s="150">
        <f ca="1">IF(NOW(),_xll.meCurveForwardRatesFromYearFraction(P235,Q235,$Q$11,$Q$9,$Q$10))</f>
        <v>-3.7175485397107962E-3</v>
      </c>
      <c r="S235" s="134" t="s">
        <v>4</v>
      </c>
    </row>
    <row r="236" spans="1:19" x14ac:dyDescent="0.25">
      <c r="A236" s="128">
        <v>220</v>
      </c>
      <c r="B236" s="133"/>
      <c r="C236" s="149">
        <f ca="1">_xll.meDateFromTenor(C235,"1D","FOLLOWING",$D$11,"NORMAL")</f>
        <v>42745</v>
      </c>
      <c r="D236" s="20">
        <f ca="1">_xll.meDateFromTenor(C236,"1D","Following",$D$11,"Normal")</f>
        <v>42746</v>
      </c>
      <c r="E236" s="99">
        <f ca="1"/>
        <v>5.8000000000380178E-3</v>
      </c>
      <c r="F236" s="161">
        <f ca="1">_xll.meCurveForwardRates(C236,$D$9,$D$10)</f>
        <v>5.8168055724190371E-3</v>
      </c>
      <c r="G236" s="7" t="s">
        <v>4</v>
      </c>
      <c r="H236" s="149">
        <f t="shared" ca="1" si="6"/>
        <v>42745</v>
      </c>
      <c r="I236" s="20">
        <f ca="1">_xll.meDateFromTenor(H236,"3M","Following",$I$11,"Normal")</f>
        <v>42835</v>
      </c>
      <c r="J236" s="150">
        <f ca="1"/>
        <v>9.2527747023159225E-3</v>
      </c>
      <c r="K236" s="7" t="s">
        <v>4</v>
      </c>
      <c r="L236" s="149" t="e">
        <f ca="1">_xll.meDateFromTenor(L235,"1D","FOLLOWING",#REF!,"NORMAL")</f>
        <v>#VALUE!</v>
      </c>
      <c r="M236" s="155">
        <f ca="1">_xll.meDateYearFraction(C236,D236,$M$11)</f>
        <v>2.7777777777777779E-3</v>
      </c>
      <c r="N236" s="150">
        <f ca="1"/>
        <v>-2.4300000000065936E-3</v>
      </c>
      <c r="O236" s="7" t="s">
        <v>4</v>
      </c>
      <c r="P236" s="149">
        <f t="shared" ca="1" si="7"/>
        <v>42745</v>
      </c>
      <c r="Q236" s="155">
        <f ca="1">_xll.meDateYearFraction(H236,I236,$Q$11,TRUE)</f>
        <v>0.25</v>
      </c>
      <c r="R236" s="150">
        <f ca="1">IF(NOW(),_xll.meCurveForwardRatesFromYearFraction(P236,Q236,$Q$11,$Q$9,$Q$10))</f>
        <v>-3.5428222111308603E-3</v>
      </c>
      <c r="S236" s="134" t="s">
        <v>4</v>
      </c>
    </row>
    <row r="237" spans="1:19" x14ac:dyDescent="0.25">
      <c r="A237" s="128">
        <v>221</v>
      </c>
      <c r="B237" s="133"/>
      <c r="C237" s="149">
        <f ca="1">_xll.meDateFromTenor(C236,"1D","FOLLOWING",$D$11,"NORMAL")</f>
        <v>42746</v>
      </c>
      <c r="D237" s="20">
        <f ca="1">_xll.meDateFromTenor(C237,"1D","Following",$D$11,"Normal")</f>
        <v>42747</v>
      </c>
      <c r="E237" s="99">
        <f ca="1"/>
        <v>5.8000000000380178E-3</v>
      </c>
      <c r="F237" s="161">
        <f ca="1">_xll.meCurveForwardRates(C237,$D$9,$D$10)</f>
        <v>5.8168055724190371E-3</v>
      </c>
      <c r="G237" s="7" t="s">
        <v>4</v>
      </c>
      <c r="H237" s="149">
        <f t="shared" ca="1" si="6"/>
        <v>42746</v>
      </c>
      <c r="I237" s="20">
        <f ca="1">_xll.meDateFromTenor(H237,"3M","Following",$I$11,"Normal")</f>
        <v>42836</v>
      </c>
      <c r="J237" s="150">
        <f ca="1"/>
        <v>9.259675892497406E-3</v>
      </c>
      <c r="K237" s="7" t="s">
        <v>4</v>
      </c>
      <c r="L237" s="149" t="e">
        <f ca="1">_xll.meDateFromTenor(L236,"1D","FOLLOWING",#REF!,"NORMAL")</f>
        <v>#VALUE!</v>
      </c>
      <c r="M237" s="155">
        <f ca="1">_xll.meDateYearFraction(C237,D237,$M$11)</f>
        <v>2.7777777777777779E-3</v>
      </c>
      <c r="N237" s="150">
        <f ca="1"/>
        <v>-2.4300000000065936E-3</v>
      </c>
      <c r="O237" s="7" t="s">
        <v>4</v>
      </c>
      <c r="P237" s="149">
        <f t="shared" ca="1" si="7"/>
        <v>42746</v>
      </c>
      <c r="Q237" s="155">
        <f ca="1">_xll.meDateYearFraction(H237,I237,$Q$11,TRUE)</f>
        <v>0.25</v>
      </c>
      <c r="R237" s="150">
        <f ca="1">IF(NOW(),_xll.meCurveForwardRatesFromYearFraction(P237,Q237,$Q$11,$Q$9,$Q$10))</f>
        <v>-3.5395258402533053E-3</v>
      </c>
      <c r="S237" s="134" t="s">
        <v>4</v>
      </c>
    </row>
    <row r="238" spans="1:19" x14ac:dyDescent="0.25">
      <c r="A238" s="128">
        <v>222</v>
      </c>
      <c r="B238" s="133"/>
      <c r="C238" s="149">
        <f ca="1">_xll.meDateFromTenor(C237,"1D","FOLLOWING",$D$11,"NORMAL")</f>
        <v>42747</v>
      </c>
      <c r="D238" s="20">
        <f ca="1">_xll.meDateFromTenor(C238,"1D","Following",$D$11,"Normal")</f>
        <v>42748</v>
      </c>
      <c r="E238" s="99">
        <f ca="1"/>
        <v>5.8000000000380178E-3</v>
      </c>
      <c r="F238" s="161">
        <f ca="1">_xll.meCurveForwardRates(C238,$D$9,$D$10)</f>
        <v>5.8168055724190371E-3</v>
      </c>
      <c r="G238" s="7" t="s">
        <v>4</v>
      </c>
      <c r="H238" s="149">
        <f t="shared" ca="1" si="6"/>
        <v>42747</v>
      </c>
      <c r="I238" s="20">
        <f ca="1">_xll.meDateFromTenor(H238,"3M","Following",$I$11,"Normal")</f>
        <v>42837</v>
      </c>
      <c r="J238" s="150">
        <f ca="1"/>
        <v>9.2665770826788913E-3</v>
      </c>
      <c r="K238" s="7" t="s">
        <v>4</v>
      </c>
      <c r="L238" s="149" t="e">
        <f ca="1">_xll.meDateFromTenor(L237,"1D","FOLLOWING",#REF!,"NORMAL")</f>
        <v>#VALUE!</v>
      </c>
      <c r="M238" s="155">
        <f ca="1">_xll.meDateYearFraction(C238,D238,$M$11)</f>
        <v>2.7777777777777779E-3</v>
      </c>
      <c r="N238" s="150">
        <f ca="1"/>
        <v>-2.4300000000065936E-3</v>
      </c>
      <c r="O238" s="7" t="s">
        <v>4</v>
      </c>
      <c r="P238" s="149">
        <f t="shared" ca="1" si="7"/>
        <v>42747</v>
      </c>
      <c r="Q238" s="155">
        <f ca="1">_xll.meDateYearFraction(H238,I238,$Q$11,TRUE)</f>
        <v>0.25</v>
      </c>
      <c r="R238" s="150">
        <f ca="1">IF(NOW(),_xll.meCurveForwardRatesFromYearFraction(P238,Q238,$Q$11,$Q$9,$Q$10))</f>
        <v>-3.7175485397107962E-3</v>
      </c>
      <c r="S238" s="134" t="s">
        <v>4</v>
      </c>
    </row>
    <row r="239" spans="1:19" x14ac:dyDescent="0.25">
      <c r="A239" s="128">
        <v>223</v>
      </c>
      <c r="B239" s="133"/>
      <c r="C239" s="149">
        <f ca="1">_xll.meDateFromTenor(C238,"1D","FOLLOWING",$D$11,"NORMAL")</f>
        <v>42748</v>
      </c>
      <c r="D239" s="20">
        <f ca="1">_xll.meDateFromTenor(C239,"1D","Following",$D$11,"Normal")</f>
        <v>42752</v>
      </c>
      <c r="E239" s="99">
        <f ca="1"/>
        <v>5.8000000000179757E-3</v>
      </c>
      <c r="F239" s="161">
        <f ca="1">_xll.meCurveForwardRates(C239,$D$9,$D$10)</f>
        <v>5.816689488956861E-3</v>
      </c>
      <c r="G239" s="7" t="s">
        <v>4</v>
      </c>
      <c r="H239" s="149">
        <f t="shared" ca="1" si="6"/>
        <v>42748</v>
      </c>
      <c r="I239" s="20">
        <f ca="1">_xll.meDateFromTenor(H239,"3M","Following",$I$11,"Normal")</f>
        <v>42838</v>
      </c>
      <c r="J239" s="150">
        <f ca="1"/>
        <v>9.2734782728603748E-3</v>
      </c>
      <c r="K239" s="7" t="s">
        <v>4</v>
      </c>
      <c r="L239" s="149" t="e">
        <f ca="1">_xll.meDateFromTenor(L238,"1D","FOLLOWING",#REF!,"NORMAL")</f>
        <v>#VALUE!</v>
      </c>
      <c r="M239" s="155">
        <f ca="1">_xll.meDateYearFraction(C239,D239,$M$11)</f>
        <v>1.1111111111111112E-2</v>
      </c>
      <c r="N239" s="150">
        <f ca="1"/>
        <v>-2.4300000000065936E-3</v>
      </c>
      <c r="O239" s="7" t="s">
        <v>4</v>
      </c>
      <c r="P239" s="149">
        <f t="shared" ca="1" si="7"/>
        <v>42748</v>
      </c>
      <c r="Q239" s="155">
        <f ca="1">_xll.meDateYearFraction(H239,I239,$Q$11,TRUE)</f>
        <v>0.25</v>
      </c>
      <c r="R239" s="150">
        <f ca="1">IF(NOW(),_xll.meCurveForwardRatesFromYearFraction(P239,Q239,$Q$11,$Q$9,$Q$10))</f>
        <v>-3.7175485397107962E-3</v>
      </c>
      <c r="S239" s="134" t="s">
        <v>4</v>
      </c>
    </row>
    <row r="240" spans="1:19" x14ac:dyDescent="0.25">
      <c r="A240" s="128">
        <v>224</v>
      </c>
      <c r="B240" s="133"/>
      <c r="C240" s="149">
        <f ca="1">_xll.meDateFromTenor(C239,"1D","FOLLOWING",$D$11,"NORMAL")</f>
        <v>42752</v>
      </c>
      <c r="D240" s="20">
        <f ca="1">_xll.meDateFromTenor(C240,"1D","Following",$D$11,"Normal")</f>
        <v>42753</v>
      </c>
      <c r="E240" s="99">
        <f ca="1"/>
        <v>5.8000000000380178E-3</v>
      </c>
      <c r="F240" s="161">
        <f ca="1">_xll.meCurveForwardRates(C240,$D$9,$D$10)</f>
        <v>5.8168055724190371E-3</v>
      </c>
      <c r="G240" s="7" t="s">
        <v>4</v>
      </c>
      <c r="H240" s="149">
        <f t="shared" ca="1" si="6"/>
        <v>42752</v>
      </c>
      <c r="I240" s="20">
        <f ca="1">_xll.meDateFromTenor(H240,"3M","Following",$I$11,"Normal")</f>
        <v>42843</v>
      </c>
      <c r="J240" s="150">
        <f ca="1"/>
        <v>9.3010830335863125E-3</v>
      </c>
      <c r="K240" s="7" t="s">
        <v>4</v>
      </c>
      <c r="L240" s="149" t="e">
        <f ca="1">_xll.meDateFromTenor(L239,"1D","FOLLOWING",#REF!,"NORMAL")</f>
        <v>#VALUE!</v>
      </c>
      <c r="M240" s="155">
        <f ca="1">_xll.meDateYearFraction(C240,D240,$M$11)</f>
        <v>2.7777777777777779E-3</v>
      </c>
      <c r="N240" s="150">
        <f ca="1"/>
        <v>-2.4300000000065936E-3</v>
      </c>
      <c r="O240" s="7" t="s">
        <v>4</v>
      </c>
      <c r="P240" s="149">
        <f t="shared" ca="1" si="7"/>
        <v>42752</v>
      </c>
      <c r="Q240" s="155">
        <f ca="1">_xll.meDateYearFraction(H240,I240,$Q$11,TRUE)</f>
        <v>0.25277777777777777</v>
      </c>
      <c r="R240" s="150">
        <f ca="1">IF(NOW(),_xll.meCurveForwardRatesFromYearFraction(P240,Q240,$Q$11,$Q$9,$Q$10))</f>
        <v>-3.5197036812971458E-3</v>
      </c>
      <c r="S240" s="134" t="s">
        <v>4</v>
      </c>
    </row>
    <row r="241" spans="1:19" x14ac:dyDescent="0.25">
      <c r="A241" s="128">
        <v>225</v>
      </c>
      <c r="B241" s="133"/>
      <c r="C241" s="149">
        <f ca="1">_xll.meDateFromTenor(C240,"1D","FOLLOWING",$D$11,"NORMAL")</f>
        <v>42753</v>
      </c>
      <c r="D241" s="20">
        <f ca="1">_xll.meDateFromTenor(C241,"1D","Following",$D$11,"Normal")</f>
        <v>42754</v>
      </c>
      <c r="E241" s="99">
        <f ca="1"/>
        <v>5.8000000000380178E-3</v>
      </c>
      <c r="F241" s="161">
        <f ca="1">_xll.meCurveForwardRates(C241,$D$9,$D$10)</f>
        <v>5.8168055724190371E-3</v>
      </c>
      <c r="G241" s="7" t="s">
        <v>4</v>
      </c>
      <c r="H241" s="149">
        <f t="shared" ca="1" si="6"/>
        <v>42753</v>
      </c>
      <c r="I241" s="20">
        <f ca="1">_xll.meDateFromTenor(H241,"3M","Following",$I$11,"Normal")</f>
        <v>42843</v>
      </c>
      <c r="J241" s="150">
        <f ca="1"/>
        <v>9.3079842237677977E-3</v>
      </c>
      <c r="K241" s="7" t="s">
        <v>4</v>
      </c>
      <c r="L241" s="149" t="e">
        <f ca="1">_xll.meDateFromTenor(L240,"1D","FOLLOWING",#REF!,"NORMAL")</f>
        <v>#VALUE!</v>
      </c>
      <c r="M241" s="155">
        <f ca="1">_xll.meDateYearFraction(C241,D241,$M$11)</f>
        <v>2.7777777777777779E-3</v>
      </c>
      <c r="N241" s="150">
        <f ca="1"/>
        <v>-2.4300000000065936E-3</v>
      </c>
      <c r="O241" s="7" t="s">
        <v>4</v>
      </c>
      <c r="P241" s="149">
        <f t="shared" ca="1" si="7"/>
        <v>42753</v>
      </c>
      <c r="Q241" s="155">
        <f ca="1">_xll.meDateYearFraction(H241,I241,$Q$11,TRUE)</f>
        <v>0.25</v>
      </c>
      <c r="R241" s="150">
        <f ca="1">IF(NOW(),_xll.meCurveForwardRatesFromYearFraction(P241,Q241,$Q$11,$Q$9,$Q$10))</f>
        <v>-3.5163937797155968E-3</v>
      </c>
      <c r="S241" s="134" t="s">
        <v>4</v>
      </c>
    </row>
    <row r="242" spans="1:19" x14ac:dyDescent="0.25">
      <c r="A242" s="128">
        <v>226</v>
      </c>
      <c r="B242" s="133"/>
      <c r="C242" s="149">
        <f ca="1">_xll.meDateFromTenor(C241,"1D","FOLLOWING",$D$11,"NORMAL")</f>
        <v>42754</v>
      </c>
      <c r="D242" s="20">
        <f ca="1">_xll.meDateFromTenor(C242,"1D","Following",$D$11,"Normal")</f>
        <v>42755</v>
      </c>
      <c r="E242" s="99">
        <f ca="1"/>
        <v>5.8000000000380178E-3</v>
      </c>
      <c r="F242" s="161">
        <f ca="1">_xll.meCurveForwardRates(C242,$D$9,$D$10)</f>
        <v>5.8168055724190371E-3</v>
      </c>
      <c r="G242" s="7" t="s">
        <v>4</v>
      </c>
      <c r="H242" s="149">
        <f t="shared" ca="1" si="6"/>
        <v>42754</v>
      </c>
      <c r="I242" s="20">
        <f ca="1">_xll.meDateFromTenor(H242,"3M","Following",$I$11,"Normal")</f>
        <v>42844</v>
      </c>
      <c r="J242" s="150">
        <f ca="1"/>
        <v>9.3148854139492813E-3</v>
      </c>
      <c r="K242" s="7" t="s">
        <v>4</v>
      </c>
      <c r="L242" s="149" t="e">
        <f ca="1">_xll.meDateFromTenor(L241,"1D","FOLLOWING",#REF!,"NORMAL")</f>
        <v>#VALUE!</v>
      </c>
      <c r="M242" s="155">
        <f ca="1">_xll.meDateYearFraction(C242,D242,$M$11)</f>
        <v>2.7777777777777779E-3</v>
      </c>
      <c r="N242" s="150">
        <f ca="1"/>
        <v>-2.4300000000065936E-3</v>
      </c>
      <c r="O242" s="7" t="s">
        <v>4</v>
      </c>
      <c r="P242" s="149">
        <f t="shared" ca="1" si="7"/>
        <v>42754</v>
      </c>
      <c r="Q242" s="155">
        <f ca="1">_xll.meDateYearFraction(H242,I242,$Q$11,TRUE)</f>
        <v>0.25</v>
      </c>
      <c r="R242" s="150">
        <f ca="1">IF(NOW(),_xll.meCurveForwardRatesFromYearFraction(P242,Q242,$Q$11,$Q$9,$Q$10))</f>
        <v>-3.7175485397107962E-3</v>
      </c>
      <c r="S242" s="134" t="s">
        <v>4</v>
      </c>
    </row>
    <row r="243" spans="1:19" x14ac:dyDescent="0.25">
      <c r="A243" s="128">
        <v>227</v>
      </c>
      <c r="B243" s="133"/>
      <c r="C243" s="149">
        <f ca="1">_xll.meDateFromTenor(C242,"1D","FOLLOWING",$D$11,"NORMAL")</f>
        <v>42755</v>
      </c>
      <c r="D243" s="20">
        <f ca="1">_xll.meDateFromTenor(C243,"1D","Following",$D$11,"Normal")</f>
        <v>42758</v>
      </c>
      <c r="E243" s="99">
        <f ca="1"/>
        <v>5.8000000000113724E-3</v>
      </c>
      <c r="F243" s="161">
        <f ca="1">_xll.meCurveForwardRates(C243,$D$9,$D$10)</f>
        <v>5.8167223226777143E-3</v>
      </c>
      <c r="G243" s="7" t="s">
        <v>4</v>
      </c>
      <c r="H243" s="149">
        <f t="shared" ca="1" si="6"/>
        <v>42755</v>
      </c>
      <c r="I243" s="20">
        <f ca="1">_xll.meDateFromTenor(H243,"3M","Following",$I$11,"Normal")</f>
        <v>42845</v>
      </c>
      <c r="J243" s="150">
        <f ca="1"/>
        <v>9.3217866041307648E-3</v>
      </c>
      <c r="K243" s="7" t="s">
        <v>4</v>
      </c>
      <c r="L243" s="149" t="e">
        <f ca="1">_xll.meDateFromTenor(L242,"1D","FOLLOWING",#REF!,"NORMAL")</f>
        <v>#VALUE!</v>
      </c>
      <c r="M243" s="155">
        <f ca="1">_xll.meDateYearFraction(C243,D243,$M$11)</f>
        <v>8.3333333333333332E-3</v>
      </c>
      <c r="N243" s="150">
        <f ca="1"/>
        <v>-2.4300000000065936E-3</v>
      </c>
      <c r="O243" s="7" t="s">
        <v>4</v>
      </c>
      <c r="P243" s="149">
        <f t="shared" ca="1" si="7"/>
        <v>42755</v>
      </c>
      <c r="Q243" s="155">
        <f ca="1">_xll.meDateYearFraction(H243,I243,$Q$11,TRUE)</f>
        <v>0.25</v>
      </c>
      <c r="R243" s="150">
        <f ca="1">IF(NOW(),_xll.meCurveForwardRatesFromYearFraction(P243,Q243,$Q$11,$Q$9,$Q$10))</f>
        <v>-3.7175485397107962E-3</v>
      </c>
      <c r="S243" s="134" t="s">
        <v>4</v>
      </c>
    </row>
    <row r="244" spans="1:19" x14ac:dyDescent="0.25">
      <c r="A244" s="128">
        <v>228</v>
      </c>
      <c r="B244" s="133"/>
      <c r="C244" s="149">
        <f ca="1">_xll.meDateFromTenor(C243,"1D","FOLLOWING",$D$11,"NORMAL")</f>
        <v>42758</v>
      </c>
      <c r="D244" s="20">
        <f ca="1">_xll.meDateFromTenor(C244,"1D","Following",$D$11,"Normal")</f>
        <v>42759</v>
      </c>
      <c r="E244" s="99">
        <f ca="1"/>
        <v>5.8000000000380178E-3</v>
      </c>
      <c r="F244" s="161">
        <f ca="1">_xll.meCurveForwardRates(C244,$D$9,$D$10)</f>
        <v>5.8168055724190371E-3</v>
      </c>
      <c r="G244" s="7" t="s">
        <v>4</v>
      </c>
      <c r="H244" s="149">
        <f t="shared" ca="1" si="6"/>
        <v>42758</v>
      </c>
      <c r="I244" s="20">
        <f ca="1">_xll.meDateFromTenor(H244,"3M","Following",$I$11,"Normal")</f>
        <v>42849</v>
      </c>
      <c r="J244" s="150">
        <f ca="1"/>
        <v>9.3424901746752172E-3</v>
      </c>
      <c r="K244" s="7" t="s">
        <v>4</v>
      </c>
      <c r="L244" s="149" t="e">
        <f ca="1">_xll.meDateFromTenor(L243,"1D","FOLLOWING",#REF!,"NORMAL")</f>
        <v>#VALUE!</v>
      </c>
      <c r="M244" s="155">
        <f ca="1">_xll.meDateYearFraction(C244,D244,$M$11)</f>
        <v>2.7777777777777779E-3</v>
      </c>
      <c r="N244" s="150">
        <f ca="1"/>
        <v>-2.4300000000065936E-3</v>
      </c>
      <c r="O244" s="7" t="s">
        <v>4</v>
      </c>
      <c r="P244" s="149">
        <f t="shared" ca="1" si="7"/>
        <v>42758</v>
      </c>
      <c r="Q244" s="155">
        <f ca="1">_xll.meDateYearFraction(H244,I244,$Q$11,TRUE)</f>
        <v>0.25277777777777777</v>
      </c>
      <c r="R244" s="150">
        <f ca="1">IF(NOW(),_xll.meCurveForwardRatesFromYearFraction(P244,Q244,$Q$11,$Q$9,$Q$10))</f>
        <v>-3.7175485397107962E-3</v>
      </c>
      <c r="S244" s="134" t="s">
        <v>4</v>
      </c>
    </row>
    <row r="245" spans="1:19" x14ac:dyDescent="0.25">
      <c r="A245" s="128">
        <v>229</v>
      </c>
      <c r="B245" s="133"/>
      <c r="C245" s="149">
        <f ca="1">_xll.meDateFromTenor(C244,"1D","FOLLOWING",$D$11,"NORMAL")</f>
        <v>42759</v>
      </c>
      <c r="D245" s="20">
        <f ca="1">_xll.meDateFromTenor(C245,"1D","Following",$D$11,"Normal")</f>
        <v>42760</v>
      </c>
      <c r="E245" s="99">
        <f ca="1"/>
        <v>5.8000000000380178E-3</v>
      </c>
      <c r="F245" s="161">
        <f ca="1">_xll.meCurveForwardRates(C245,$D$9,$D$10)</f>
        <v>5.8168055724190371E-3</v>
      </c>
      <c r="G245" s="7" t="s">
        <v>4</v>
      </c>
      <c r="H245" s="149">
        <f t="shared" ca="1" si="6"/>
        <v>42759</v>
      </c>
      <c r="I245" s="20">
        <f ca="1">_xll.meDateFromTenor(H245,"3M","Following",$I$11,"Normal")</f>
        <v>42849</v>
      </c>
      <c r="J245" s="150">
        <f ca="1"/>
        <v>9.3493913648567024E-3</v>
      </c>
      <c r="K245" s="7" t="s">
        <v>4</v>
      </c>
      <c r="L245" s="149" t="e">
        <f ca="1">_xll.meDateFromTenor(L244,"1D","FOLLOWING",#REF!,"NORMAL")</f>
        <v>#VALUE!</v>
      </c>
      <c r="M245" s="155">
        <f ca="1">_xll.meDateYearFraction(C245,D245,$M$11)</f>
        <v>2.7777777777777779E-3</v>
      </c>
      <c r="N245" s="150">
        <f ca="1"/>
        <v>-2.4300000000065936E-3</v>
      </c>
      <c r="O245" s="7" t="s">
        <v>4</v>
      </c>
      <c r="P245" s="149">
        <f t="shared" ca="1" si="7"/>
        <v>42759</v>
      </c>
      <c r="Q245" s="155">
        <f ca="1">_xll.meDateYearFraction(H245,I245,$Q$11,TRUE)</f>
        <v>0.25</v>
      </c>
      <c r="R245" s="150">
        <f ca="1">IF(NOW(),_xll.meCurveForwardRatesFromYearFraction(P245,Q245,$Q$11,$Q$9,$Q$10))</f>
        <v>-3.4965079798244198E-3</v>
      </c>
      <c r="S245" s="134" t="s">
        <v>4</v>
      </c>
    </row>
    <row r="246" spans="1:19" x14ac:dyDescent="0.25">
      <c r="A246" s="128">
        <v>230</v>
      </c>
      <c r="B246" s="133"/>
      <c r="C246" s="149">
        <f ca="1">_xll.meDateFromTenor(C245,"1D","FOLLOWING",$D$11,"NORMAL")</f>
        <v>42760</v>
      </c>
      <c r="D246" s="20">
        <f ca="1">_xll.meDateFromTenor(C246,"1D","Following",$D$11,"Normal")</f>
        <v>42761</v>
      </c>
      <c r="E246" s="99">
        <f ca="1"/>
        <v>5.8000000000380178E-3</v>
      </c>
      <c r="F246" s="161">
        <f ca="1">_xll.meCurveForwardRates(C246,$D$9,$D$10)</f>
        <v>5.8168055724190371E-3</v>
      </c>
      <c r="G246" s="7" t="s">
        <v>4</v>
      </c>
      <c r="H246" s="149">
        <f t="shared" ca="1" si="6"/>
        <v>42760</v>
      </c>
      <c r="I246" s="20">
        <f ca="1">_xll.meDateFromTenor(H246,"3M","Following",$I$11,"Normal")</f>
        <v>42850</v>
      </c>
      <c r="J246" s="150">
        <f ca="1"/>
        <v>9.3562925550381877E-3</v>
      </c>
      <c r="K246" s="7" t="s">
        <v>4</v>
      </c>
      <c r="L246" s="149" t="e">
        <f ca="1">_xll.meDateFromTenor(L245,"1D","FOLLOWING",#REF!,"NORMAL")</f>
        <v>#VALUE!</v>
      </c>
      <c r="M246" s="155">
        <f ca="1">_xll.meDateYearFraction(C246,D246,$M$11)</f>
        <v>2.7777777777777779E-3</v>
      </c>
      <c r="N246" s="150">
        <f ca="1"/>
        <v>-2.4300000000065936E-3</v>
      </c>
      <c r="O246" s="7" t="s">
        <v>4</v>
      </c>
      <c r="P246" s="149">
        <f t="shared" ca="1" si="7"/>
        <v>42760</v>
      </c>
      <c r="Q246" s="155">
        <f ca="1">_xll.meDateYearFraction(H246,I246,$Q$11,TRUE)</f>
        <v>0.25</v>
      </c>
      <c r="R246" s="150">
        <f ca="1">IF(NOW(),_xll.meCurveForwardRatesFromYearFraction(P246,Q246,$Q$11,$Q$9,$Q$10))</f>
        <v>-3.7175485397107962E-3</v>
      </c>
      <c r="S246" s="134" t="s">
        <v>4</v>
      </c>
    </row>
    <row r="247" spans="1:19" x14ac:dyDescent="0.25">
      <c r="A247" s="128">
        <v>231</v>
      </c>
      <c r="B247" s="133"/>
      <c r="C247" s="149">
        <f ca="1">_xll.meDateFromTenor(C246,"1D","FOLLOWING",$D$11,"NORMAL")</f>
        <v>42761</v>
      </c>
      <c r="D247" s="20">
        <f ca="1">_xll.meDateFromTenor(C247,"1D","Following",$D$11,"Normal")</f>
        <v>42762</v>
      </c>
      <c r="E247" s="99">
        <f ca="1"/>
        <v>5.8000000000380178E-3</v>
      </c>
      <c r="F247" s="161">
        <f ca="1">_xll.meCurveForwardRates(C247,$D$9,$D$10)</f>
        <v>5.8168055724190371E-3</v>
      </c>
      <c r="G247" s="7" t="s">
        <v>4</v>
      </c>
      <c r="H247" s="149">
        <f t="shared" ca="1" si="6"/>
        <v>42761</v>
      </c>
      <c r="I247" s="20">
        <f ca="1">_xll.meDateFromTenor(H247,"3M","Following",$I$11,"Normal")</f>
        <v>42851</v>
      </c>
      <c r="J247" s="150">
        <f ca="1"/>
        <v>9.3631937452196713E-3</v>
      </c>
      <c r="K247" s="7" t="s">
        <v>4</v>
      </c>
      <c r="L247" s="149" t="e">
        <f ca="1">_xll.meDateFromTenor(L246,"1D","FOLLOWING",#REF!,"NORMAL")</f>
        <v>#VALUE!</v>
      </c>
      <c r="M247" s="155">
        <f ca="1">_xll.meDateYearFraction(C247,D247,$M$11)</f>
        <v>2.7777777777777779E-3</v>
      </c>
      <c r="N247" s="150">
        <f ca="1"/>
        <v>-2.4300000000065936E-3</v>
      </c>
      <c r="O247" s="7" t="s">
        <v>4</v>
      </c>
      <c r="P247" s="149">
        <f t="shared" ca="1" si="7"/>
        <v>42761</v>
      </c>
      <c r="Q247" s="155">
        <f ca="1">_xll.meDateYearFraction(H247,I247,$Q$11,TRUE)</f>
        <v>0.25</v>
      </c>
      <c r="R247" s="150">
        <f ca="1">IF(NOW(),_xll.meCurveForwardRatesFromYearFraction(P247,Q247,$Q$11,$Q$9,$Q$10))</f>
        <v>-3.489872190584704E-3</v>
      </c>
      <c r="S247" s="134" t="s">
        <v>4</v>
      </c>
    </row>
    <row r="248" spans="1:19" x14ac:dyDescent="0.25">
      <c r="A248" s="128">
        <v>232</v>
      </c>
      <c r="B248" s="133"/>
      <c r="C248" s="149">
        <f ca="1">_xll.meDateFromTenor(C247,"1D","FOLLOWING",$D$11,"NORMAL")</f>
        <v>42762</v>
      </c>
      <c r="D248" s="20">
        <f ca="1">_xll.meDateFromTenor(C248,"1D","Following",$D$11,"Normal")</f>
        <v>42765</v>
      </c>
      <c r="E248" s="99">
        <f ca="1"/>
        <v>5.8000000000112953E-3</v>
      </c>
      <c r="F248" s="161">
        <f ca="1">_xll.meCurveForwardRates(C248,$D$9,$D$10)</f>
        <v>5.8167223226774922E-3</v>
      </c>
      <c r="G248" s="7" t="s">
        <v>4</v>
      </c>
      <c r="H248" s="149">
        <f t="shared" ca="1" si="6"/>
        <v>42762</v>
      </c>
      <c r="I248" s="20">
        <f ca="1">_xll.meDateFromTenor(H248,"3M","Following",$I$11,"Normal")</f>
        <v>42852</v>
      </c>
      <c r="J248" s="150">
        <f ca="1"/>
        <v>9.3700949354011548E-3</v>
      </c>
      <c r="K248" s="7" t="s">
        <v>4</v>
      </c>
      <c r="L248" s="149" t="e">
        <f ca="1">_xll.meDateFromTenor(L247,"1D","FOLLOWING",#REF!,"NORMAL")</f>
        <v>#VALUE!</v>
      </c>
      <c r="M248" s="155">
        <f ca="1">_xll.meDateYearFraction(C248,D248,$M$11)</f>
        <v>8.3333333333333332E-3</v>
      </c>
      <c r="N248" s="150">
        <f ca="1"/>
        <v>-2.4300000000065936E-3</v>
      </c>
      <c r="O248" s="7" t="s">
        <v>4</v>
      </c>
      <c r="P248" s="149">
        <f t="shared" ca="1" si="7"/>
        <v>42762</v>
      </c>
      <c r="Q248" s="155">
        <f ca="1">_xll.meDateYearFraction(H248,I248,$Q$11,TRUE)</f>
        <v>0.25</v>
      </c>
      <c r="R248" s="150">
        <f ca="1">IF(NOW(),_xll.meCurveForwardRatesFromYearFraction(P248,Q248,$Q$11,$Q$9,$Q$10))</f>
        <v>-3.7175485397107962E-3</v>
      </c>
      <c r="S248" s="134" t="s">
        <v>4</v>
      </c>
    </row>
    <row r="249" spans="1:19" x14ac:dyDescent="0.25">
      <c r="A249" s="128">
        <v>233</v>
      </c>
      <c r="B249" s="133"/>
      <c r="C249" s="149">
        <f ca="1">_xll.meDateFromTenor(C248,"1D","FOLLOWING",$D$11,"NORMAL")</f>
        <v>42765</v>
      </c>
      <c r="D249" s="20">
        <f ca="1">_xll.meDateFromTenor(C249,"1D","Following",$D$11,"Normal")</f>
        <v>42766</v>
      </c>
      <c r="E249" s="99">
        <f ca="1"/>
        <v>5.8000000000380178E-3</v>
      </c>
      <c r="F249" s="161">
        <f ca="1">_xll.meCurveForwardRates(C249,$D$9,$D$10)</f>
        <v>5.8168055724190371E-3</v>
      </c>
      <c r="G249" s="7" t="s">
        <v>4</v>
      </c>
      <c r="H249" s="149">
        <f t="shared" ca="1" si="6"/>
        <v>42765</v>
      </c>
      <c r="I249" s="20">
        <f ca="1">_xll.meDateFromTenor(H249,"3M","Following",$I$11,"Normal")</f>
        <v>42857</v>
      </c>
      <c r="J249" s="150">
        <f ca="1"/>
        <v>9.3907985059456089E-3</v>
      </c>
      <c r="K249" s="7" t="s">
        <v>4</v>
      </c>
      <c r="L249" s="149" t="e">
        <f ca="1">_xll.meDateFromTenor(L248,"1D","FOLLOWING",#REF!,"NORMAL")</f>
        <v>#VALUE!</v>
      </c>
      <c r="M249" s="155">
        <f ca="1">_xll.meDateYearFraction(C249,D249,$M$11)</f>
        <v>2.7777777777777779E-3</v>
      </c>
      <c r="N249" s="150">
        <f ca="1"/>
        <v>-2.4300000000065936E-3</v>
      </c>
      <c r="O249" s="7" t="s">
        <v>4</v>
      </c>
      <c r="P249" s="149">
        <f t="shared" ca="1" si="7"/>
        <v>42765</v>
      </c>
      <c r="Q249" s="155">
        <f ca="1">_xll.meDateYearFraction(H249,I249,$Q$11,TRUE)</f>
        <v>0.25555555555555554</v>
      </c>
      <c r="R249" s="150">
        <f ca="1">IF(NOW(),_xll.meCurveForwardRatesFromYearFraction(P249,Q249,$Q$11,$Q$9,$Q$10))</f>
        <v>-3.4765955566121685E-3</v>
      </c>
      <c r="S249" s="134" t="s">
        <v>4</v>
      </c>
    </row>
    <row r="250" spans="1:19" x14ac:dyDescent="0.25">
      <c r="A250" s="128">
        <v>234</v>
      </c>
      <c r="B250" s="133"/>
      <c r="C250" s="149">
        <f ca="1">_xll.meDateFromTenor(C249,"1D","FOLLOWING",$D$11,"NORMAL")</f>
        <v>42766</v>
      </c>
      <c r="D250" s="20">
        <f ca="1">_xll.meDateFromTenor(C250,"1D","Following",$D$11,"Normal")</f>
        <v>42767</v>
      </c>
      <c r="E250" s="99">
        <f ca="1"/>
        <v>5.8000000000380178E-3</v>
      </c>
      <c r="F250" s="161">
        <f ca="1">_xll.meCurveForwardRates(C250,$D$9,$D$10)</f>
        <v>5.8168055724190371E-3</v>
      </c>
      <c r="G250" s="7" t="s">
        <v>4</v>
      </c>
      <c r="H250" s="149">
        <f t="shared" ca="1" si="6"/>
        <v>42766</v>
      </c>
      <c r="I250" s="20">
        <f ca="1">_xll.meDateFromTenor(H250,"3M","Following",$I$11,"Normal")</f>
        <v>42857</v>
      </c>
      <c r="J250" s="150">
        <f ca="1"/>
        <v>9.3976996961270924E-3</v>
      </c>
      <c r="K250" s="7" t="s">
        <v>4</v>
      </c>
      <c r="L250" s="149" t="e">
        <f ca="1">_xll.meDateFromTenor(L249,"1D","FOLLOWING",#REF!,"NORMAL")</f>
        <v>#VALUE!</v>
      </c>
      <c r="M250" s="155">
        <f ca="1">_xll.meDateYearFraction(C250,D250,$M$11)</f>
        <v>2.7777777777777779E-3</v>
      </c>
      <c r="N250" s="150">
        <f ca="1"/>
        <v>-2.4300000000065936E-3</v>
      </c>
      <c r="O250" s="7" t="s">
        <v>4</v>
      </c>
      <c r="P250" s="149">
        <f t="shared" ca="1" si="7"/>
        <v>42766</v>
      </c>
      <c r="Q250" s="155">
        <f ca="1">_xll.meDateYearFraction(H250,I250,$Q$11,TRUE)</f>
        <v>0.25277777777777777</v>
      </c>
      <c r="R250" s="150">
        <f ca="1">IF(NOW(),_xll.meCurveForwardRatesFromYearFraction(P250,Q250,$Q$11,$Q$9,$Q$10))</f>
        <v>-3.7175485397107962E-3</v>
      </c>
      <c r="S250" s="134" t="s">
        <v>4</v>
      </c>
    </row>
    <row r="251" spans="1:19" x14ac:dyDescent="0.25">
      <c r="A251" s="128">
        <v>235</v>
      </c>
      <c r="B251" s="133"/>
      <c r="C251" s="149">
        <f ca="1">_xll.meDateFromTenor(C250,"1D","FOLLOWING",$D$11,"NORMAL")</f>
        <v>42767</v>
      </c>
      <c r="D251" s="20">
        <f ca="1">_xll.meDateFromTenor(C251,"1D","Following",$D$11,"Normal")</f>
        <v>42768</v>
      </c>
      <c r="E251" s="99">
        <f ca="1"/>
        <v>6.1499999999803595E-3</v>
      </c>
      <c r="F251" s="161">
        <f ca="1">_xll.meCurveForwardRates(C251,$D$9,$D$10)</f>
        <v>6.1688972230127259E-3</v>
      </c>
      <c r="G251" s="7" t="s">
        <v>4</v>
      </c>
      <c r="H251" s="149">
        <f t="shared" ca="1" si="6"/>
        <v>42767</v>
      </c>
      <c r="I251" s="20">
        <f ca="1">_xll.meDateFromTenor(H251,"3M","Following",$I$11,"Normal")</f>
        <v>42857</v>
      </c>
      <c r="J251" s="150">
        <f ca="1"/>
        <v>9.4046008863085759E-3</v>
      </c>
      <c r="K251" s="7" t="s">
        <v>4</v>
      </c>
      <c r="L251" s="149" t="e">
        <f ca="1">_xll.meDateFromTenor(L250,"1D","FOLLOWING",#REF!,"NORMAL")</f>
        <v>#VALUE!</v>
      </c>
      <c r="M251" s="155">
        <f ca="1">_xll.meDateYearFraction(C251,D251,$M$11)</f>
        <v>2.7777777777777779E-3</v>
      </c>
      <c r="N251" s="150">
        <f ca="1"/>
        <v>-2.4300000000065936E-3</v>
      </c>
      <c r="O251" s="7" t="s">
        <v>4</v>
      </c>
      <c r="P251" s="149">
        <f t="shared" ca="1" si="7"/>
        <v>42767</v>
      </c>
      <c r="Q251" s="155">
        <f ca="1">_xll.meDateYearFraction(H251,I251,$Q$11,TRUE)</f>
        <v>0.25</v>
      </c>
      <c r="R251" s="150">
        <f ca="1">IF(NOW(),_xll.meCurveForwardRatesFromYearFraction(P251,Q251,$Q$11,$Q$9,$Q$10))</f>
        <v>-3.4699584791002824E-3</v>
      </c>
      <c r="S251" s="134" t="s">
        <v>4</v>
      </c>
    </row>
    <row r="252" spans="1:19" x14ac:dyDescent="0.25">
      <c r="A252" s="128">
        <v>236</v>
      </c>
      <c r="B252" s="133"/>
      <c r="C252" s="149">
        <f ca="1">_xll.meDateFromTenor(C251,"1D","FOLLOWING",$D$11,"NORMAL")</f>
        <v>42768</v>
      </c>
      <c r="D252" s="20">
        <f ca="1">_xll.meDateFromTenor(C252,"1D","Following",$D$11,"Normal")</f>
        <v>42769</v>
      </c>
      <c r="E252" s="99">
        <f ca="1"/>
        <v>6.1499999999803595E-3</v>
      </c>
      <c r="F252" s="161">
        <f ca="1">_xll.meCurveForwardRates(C252,$D$9,$D$10)</f>
        <v>6.1688972230127259E-3</v>
      </c>
      <c r="G252" s="7" t="s">
        <v>4</v>
      </c>
      <c r="H252" s="149">
        <f t="shared" ca="1" si="6"/>
        <v>42768</v>
      </c>
      <c r="I252" s="20">
        <f ca="1">_xll.meDateFromTenor(H252,"3M","Following",$I$11,"Normal")</f>
        <v>42857</v>
      </c>
      <c r="J252" s="150">
        <f ca="1"/>
        <v>9.4115020764900595E-3</v>
      </c>
      <c r="K252" s="7" t="s">
        <v>4</v>
      </c>
      <c r="L252" s="149" t="e">
        <f ca="1">_xll.meDateFromTenor(L251,"1D","FOLLOWING",#REF!,"NORMAL")</f>
        <v>#VALUE!</v>
      </c>
      <c r="M252" s="155">
        <f ca="1">_xll.meDateYearFraction(C252,D252,$M$11)</f>
        <v>2.7777777777777779E-3</v>
      </c>
      <c r="N252" s="150">
        <f ca="1"/>
        <v>-2.4300000000065936E-3</v>
      </c>
      <c r="O252" s="7" t="s">
        <v>4</v>
      </c>
      <c r="P252" s="149">
        <f t="shared" ca="1" si="7"/>
        <v>42768</v>
      </c>
      <c r="Q252" s="155">
        <f ca="1">_xll.meDateYearFraction(H252,I252,$Q$11,TRUE)</f>
        <v>0.24722222222222223</v>
      </c>
      <c r="R252" s="150">
        <f ca="1">IF(NOW(),_xll.meCurveForwardRatesFromYearFraction(P252,Q252,$Q$11,$Q$9,$Q$10))</f>
        <v>-3.7175485397107962E-3</v>
      </c>
      <c r="S252" s="134" t="s">
        <v>4</v>
      </c>
    </row>
    <row r="253" spans="1:19" x14ac:dyDescent="0.25">
      <c r="A253" s="128">
        <v>237</v>
      </c>
      <c r="B253" s="133"/>
      <c r="C253" s="149">
        <f ca="1">_xll.meDateFromTenor(C252,"1D","FOLLOWING",$D$11,"NORMAL")</f>
        <v>42769</v>
      </c>
      <c r="D253" s="20">
        <f ca="1">_xll.meDateFromTenor(C253,"1D","Following",$D$11,"Normal")</f>
        <v>42772</v>
      </c>
      <c r="E253" s="99">
        <f ca="1"/>
        <v>6.1500000000070049E-3</v>
      </c>
      <c r="F253" s="161">
        <f ca="1">_xll.meCurveForwardRates(C253,$D$9,$D$10)</f>
        <v>6.1688035903382232E-3</v>
      </c>
      <c r="G253" s="7" t="s">
        <v>4</v>
      </c>
      <c r="H253" s="149">
        <f t="shared" ca="1" si="6"/>
        <v>42769</v>
      </c>
      <c r="I253" s="20">
        <f ca="1">_xll.meDateFromTenor(H253,"3M","Following",$I$11,"Normal")</f>
        <v>42858</v>
      </c>
      <c r="J253" s="150">
        <f ca="1"/>
        <v>9.4184032666715448E-3</v>
      </c>
      <c r="K253" s="7" t="s">
        <v>4</v>
      </c>
      <c r="L253" s="149" t="e">
        <f ca="1">_xll.meDateFromTenor(L252,"1D","FOLLOWING",#REF!,"NORMAL")</f>
        <v>#VALUE!</v>
      </c>
      <c r="M253" s="155">
        <f ca="1">_xll.meDateYearFraction(C253,D253,$M$11)</f>
        <v>8.3333333333333332E-3</v>
      </c>
      <c r="N253" s="150">
        <f ca="1"/>
        <v>-2.4300000000065936E-3</v>
      </c>
      <c r="O253" s="7" t="s">
        <v>4</v>
      </c>
      <c r="P253" s="149">
        <f t="shared" ca="1" si="7"/>
        <v>42769</v>
      </c>
      <c r="Q253" s="155">
        <f ca="1">_xll.meDateYearFraction(H253,I253,$Q$11,TRUE)</f>
        <v>0.24722222222222223</v>
      </c>
      <c r="R253" s="150">
        <f ca="1">IF(NOW(),_xll.meCurveForwardRatesFromYearFraction(P253,Q253,$Q$11,$Q$9,$Q$10))</f>
        <v>-3.46333597678525E-3</v>
      </c>
      <c r="S253" s="134" t="s">
        <v>4</v>
      </c>
    </row>
    <row r="254" spans="1:19" x14ac:dyDescent="0.25">
      <c r="A254" s="128">
        <v>238</v>
      </c>
      <c r="B254" s="133"/>
      <c r="C254" s="149">
        <f ca="1">_xll.meDateFromTenor(C253,"1D","FOLLOWING",$D$11,"NORMAL")</f>
        <v>42772</v>
      </c>
      <c r="D254" s="20">
        <f ca="1">_xll.meDateFromTenor(C254,"1D","Following",$D$11,"Normal")</f>
        <v>42773</v>
      </c>
      <c r="E254" s="99">
        <f ca="1"/>
        <v>6.1499999999803595E-3</v>
      </c>
      <c r="F254" s="161">
        <f ca="1">_xll.meCurveForwardRates(C254,$D$9,$D$10)</f>
        <v>6.1688972230127259E-3</v>
      </c>
      <c r="G254" s="7" t="s">
        <v>4</v>
      </c>
      <c r="H254" s="149">
        <f t="shared" ca="1" si="6"/>
        <v>42772</v>
      </c>
      <c r="I254" s="20">
        <f ca="1">_xll.meDateFromTenor(H254,"3M","Following",$I$11,"Normal")</f>
        <v>42863</v>
      </c>
      <c r="J254" s="150">
        <f ca="1"/>
        <v>9.4391068372159971E-3</v>
      </c>
      <c r="K254" s="7" t="s">
        <v>4</v>
      </c>
      <c r="L254" s="149" t="e">
        <f ca="1">_xll.meDateFromTenor(L253,"1D","FOLLOWING",#REF!,"NORMAL")</f>
        <v>#VALUE!</v>
      </c>
      <c r="M254" s="155">
        <f ca="1">_xll.meDateYearFraction(C254,D254,$M$11)</f>
        <v>2.7777777777777779E-3</v>
      </c>
      <c r="N254" s="150">
        <f ca="1"/>
        <v>-2.4300000000065936E-3</v>
      </c>
      <c r="O254" s="7" t="s">
        <v>4</v>
      </c>
      <c r="P254" s="149">
        <f t="shared" ca="1" si="7"/>
        <v>42772</v>
      </c>
      <c r="Q254" s="155">
        <f ca="1">_xll.meDateYearFraction(H254,I254,$Q$11,TRUE)</f>
        <v>0.25277777777777777</v>
      </c>
      <c r="R254" s="150">
        <f ca="1">IF(NOW(),_xll.meCurveForwardRatesFromYearFraction(P254,Q254,$Q$11,$Q$9,$Q$10))</f>
        <v>-3.7175485397107962E-3</v>
      </c>
      <c r="S254" s="134" t="s">
        <v>4</v>
      </c>
    </row>
    <row r="255" spans="1:19" x14ac:dyDescent="0.25">
      <c r="A255" s="128">
        <v>239</v>
      </c>
      <c r="B255" s="133"/>
      <c r="C255" s="149">
        <f ca="1">_xll.meDateFromTenor(C254,"1D","FOLLOWING",$D$11,"NORMAL")</f>
        <v>42773</v>
      </c>
      <c r="D255" s="20">
        <f ca="1">_xll.meDateFromTenor(C255,"1D","Following",$D$11,"Normal")</f>
        <v>42774</v>
      </c>
      <c r="E255" s="99">
        <f ca="1"/>
        <v>6.1499999999801141E-3</v>
      </c>
      <c r="F255" s="161">
        <f ca="1">_xll.meCurveForwardRates(C255,$D$9,$D$10)</f>
        <v>6.1688972230125039E-3</v>
      </c>
      <c r="G255" s="7" t="s">
        <v>4</v>
      </c>
      <c r="H255" s="149">
        <f t="shared" ca="1" si="6"/>
        <v>42773</v>
      </c>
      <c r="I255" s="20">
        <f ca="1">_xll.meDateFromTenor(H255,"3M","Following",$I$11,"Normal")</f>
        <v>42863</v>
      </c>
      <c r="J255" s="150">
        <f ca="1"/>
        <v>9.4460080273974824E-3</v>
      </c>
      <c r="K255" s="7" t="s">
        <v>4</v>
      </c>
      <c r="L255" s="149" t="e">
        <f ca="1">_xll.meDateFromTenor(L254,"1D","FOLLOWING",#REF!,"NORMAL")</f>
        <v>#VALUE!</v>
      </c>
      <c r="M255" s="155">
        <f ca="1">_xll.meDateYearFraction(C255,D255,$M$11)</f>
        <v>2.7777777777777779E-3</v>
      </c>
      <c r="N255" s="150">
        <f ca="1"/>
        <v>-2.4300000000065936E-3</v>
      </c>
      <c r="O255" s="7" t="s">
        <v>4</v>
      </c>
      <c r="P255" s="149">
        <f t="shared" ca="1" si="7"/>
        <v>42773</v>
      </c>
      <c r="Q255" s="155">
        <f ca="1">_xll.meDateYearFraction(H255,I255,$Q$11,TRUE)</f>
        <v>0.25</v>
      </c>
      <c r="R255" s="150">
        <f ca="1">IF(NOW(),_xll.meCurveForwardRatesFromYearFraction(P255,Q255,$Q$11,$Q$9,$Q$10))</f>
        <v>-3.7175485397107962E-3</v>
      </c>
      <c r="S255" s="134" t="s">
        <v>4</v>
      </c>
    </row>
    <row r="256" spans="1:19" x14ac:dyDescent="0.25">
      <c r="A256" s="128">
        <v>240</v>
      </c>
      <c r="B256" s="133"/>
      <c r="C256" s="149">
        <f ca="1">_xll.meDateFromTenor(C255,"1D","FOLLOWING",$D$11,"NORMAL")</f>
        <v>42774</v>
      </c>
      <c r="D256" s="20">
        <f ca="1">_xll.meDateFromTenor(C256,"1D","Following",$D$11,"Normal")</f>
        <v>42775</v>
      </c>
      <c r="E256" s="99">
        <f ca="1"/>
        <v>6.1499999999803595E-3</v>
      </c>
      <c r="F256" s="161">
        <f ca="1">_xll.meCurveForwardRates(C256,$D$9,$D$10)</f>
        <v>6.1688972230127259E-3</v>
      </c>
      <c r="G256" s="7" t="s">
        <v>4</v>
      </c>
      <c r="H256" s="149">
        <f t="shared" ca="1" si="6"/>
        <v>42774</v>
      </c>
      <c r="I256" s="20">
        <f ca="1">_xll.meDateFromTenor(H256,"3M","Following",$I$11,"Normal")</f>
        <v>42863</v>
      </c>
      <c r="J256" s="150">
        <f ca="1"/>
        <v>9.4529092175789659E-3</v>
      </c>
      <c r="K256" s="7" t="s">
        <v>4</v>
      </c>
      <c r="L256" s="149" t="e">
        <f ca="1">_xll.meDateFromTenor(L255,"1D","FOLLOWING",#REF!,"NORMAL")</f>
        <v>#VALUE!</v>
      </c>
      <c r="M256" s="155">
        <f ca="1">_xll.meDateYearFraction(C256,D256,$M$11)</f>
        <v>2.7777777777777779E-3</v>
      </c>
      <c r="N256" s="150">
        <f ca="1"/>
        <v>-2.4300000000065936E-3</v>
      </c>
      <c r="O256" s="7" t="s">
        <v>4</v>
      </c>
      <c r="P256" s="149">
        <f t="shared" ca="1" si="7"/>
        <v>42774</v>
      </c>
      <c r="Q256" s="155">
        <f ca="1">_xll.meDateYearFraction(H256,I256,$Q$11,TRUE)</f>
        <v>0.24722222222222223</v>
      </c>
      <c r="R256" s="150">
        <f ca="1">IF(NOW(),_xll.meCurveForwardRatesFromYearFraction(P256,Q256,$Q$11,$Q$9,$Q$10))</f>
        <v>-3.7175485397107962E-3</v>
      </c>
      <c r="S256" s="134" t="s">
        <v>4</v>
      </c>
    </row>
    <row r="257" spans="1:19" x14ac:dyDescent="0.25">
      <c r="A257" s="128">
        <v>241</v>
      </c>
      <c r="B257" s="133"/>
      <c r="C257" s="149">
        <f ca="1">_xll.meDateFromTenor(C256,"1D","FOLLOWING",$D$11,"NORMAL")</f>
        <v>42775</v>
      </c>
      <c r="D257" s="20">
        <f ca="1">_xll.meDateFromTenor(C257,"1D","Following",$D$11,"Normal")</f>
        <v>42776</v>
      </c>
      <c r="E257" s="99">
        <f ca="1"/>
        <v>6.1499999999803595E-3</v>
      </c>
      <c r="F257" s="161">
        <f ca="1">_xll.meCurveForwardRates(C257,$D$9,$D$10)</f>
        <v>6.1688972230127259E-3</v>
      </c>
      <c r="G257" s="7" t="s">
        <v>4</v>
      </c>
      <c r="H257" s="149">
        <f t="shared" ca="1" si="6"/>
        <v>42775</v>
      </c>
      <c r="I257" s="20">
        <f ca="1">_xll.meDateFromTenor(H257,"3M","Following",$I$11,"Normal")</f>
        <v>42864</v>
      </c>
      <c r="J257" s="150">
        <f ca="1"/>
        <v>9.4598104077604512E-3</v>
      </c>
      <c r="K257" s="7" t="s">
        <v>4</v>
      </c>
      <c r="L257" s="149" t="e">
        <f ca="1">_xll.meDateFromTenor(L256,"1D","FOLLOWING",#REF!,"NORMAL")</f>
        <v>#VALUE!</v>
      </c>
      <c r="M257" s="155">
        <f ca="1">_xll.meDateYearFraction(C257,D257,$M$11)</f>
        <v>2.7777777777777779E-3</v>
      </c>
      <c r="N257" s="150">
        <f ca="1"/>
        <v>-2.4300000000065936E-3</v>
      </c>
      <c r="O257" s="7" t="s">
        <v>4</v>
      </c>
      <c r="P257" s="149">
        <f t="shared" ca="1" si="7"/>
        <v>42775</v>
      </c>
      <c r="Q257" s="155">
        <f ca="1">_xll.meDateYearFraction(H257,I257,$Q$11,TRUE)</f>
        <v>0.24722222222222223</v>
      </c>
      <c r="R257" s="150">
        <f ca="1">IF(NOW(),_xll.meCurveForwardRatesFromYearFraction(P257,Q257,$Q$11,$Q$9,$Q$10))</f>
        <v>-3.4437175371639889E-3</v>
      </c>
      <c r="S257" s="134" t="s">
        <v>4</v>
      </c>
    </row>
    <row r="258" spans="1:19" x14ac:dyDescent="0.25">
      <c r="A258" s="128">
        <v>242</v>
      </c>
      <c r="B258" s="133"/>
      <c r="C258" s="149">
        <f ca="1">_xll.meDateFromTenor(C257,"1D","FOLLOWING",$D$11,"NORMAL")</f>
        <v>42776</v>
      </c>
      <c r="D258" s="20">
        <f ca="1">_xll.meDateFromTenor(C258,"1D","Following",$D$11,"Normal")</f>
        <v>42779</v>
      </c>
      <c r="E258" s="99">
        <f ca="1"/>
        <v>6.1500000000336503E-3</v>
      </c>
      <c r="F258" s="161">
        <f ca="1">_xll.meCurveForwardRates(C258,$D$9,$D$10)</f>
        <v>6.1688035904186034E-3</v>
      </c>
      <c r="G258" s="7" t="s">
        <v>4</v>
      </c>
      <c r="H258" s="149">
        <f t="shared" ca="1" si="6"/>
        <v>42776</v>
      </c>
      <c r="I258" s="20">
        <f ca="1">_xll.meDateFromTenor(H258,"3M","Following",$I$11,"Normal")</f>
        <v>42865</v>
      </c>
      <c r="J258" s="150">
        <f ca="1"/>
        <v>9.4667115979419347E-3</v>
      </c>
      <c r="K258" s="7" t="s">
        <v>4</v>
      </c>
      <c r="L258" s="149" t="e">
        <f ca="1">_xll.meDateFromTenor(L257,"1D","FOLLOWING",#REF!,"NORMAL")</f>
        <v>#VALUE!</v>
      </c>
      <c r="M258" s="155">
        <f ca="1">_xll.meDateYearFraction(C258,D258,$M$11)</f>
        <v>8.3333333333333332E-3</v>
      </c>
      <c r="N258" s="150">
        <f ca="1"/>
        <v>-2.4300000000065936E-3</v>
      </c>
      <c r="O258" s="7" t="s">
        <v>4</v>
      </c>
      <c r="P258" s="149">
        <f t="shared" ca="1" si="7"/>
        <v>42776</v>
      </c>
      <c r="Q258" s="155">
        <f ca="1">_xll.meDateYearFraction(H258,I258,$Q$11,TRUE)</f>
        <v>0.24722222222222223</v>
      </c>
      <c r="R258" s="150">
        <f ca="1">IF(NOW(),_xll.meCurveForwardRatesFromYearFraction(P258,Q258,$Q$11,$Q$9,$Q$10))</f>
        <v>-3.7175485397107962E-3</v>
      </c>
      <c r="S258" s="134" t="s">
        <v>4</v>
      </c>
    </row>
    <row r="259" spans="1:19" x14ac:dyDescent="0.25">
      <c r="A259" s="128">
        <v>243</v>
      </c>
      <c r="B259" s="133"/>
      <c r="C259" s="149">
        <f ca="1">_xll.meDateFromTenor(C258,"1D","FOLLOWING",$D$11,"NORMAL")</f>
        <v>42779</v>
      </c>
      <c r="D259" s="20">
        <f ca="1">_xll.meDateFromTenor(C259,"1D","Following",$D$11,"Normal")</f>
        <v>42780</v>
      </c>
      <c r="E259" s="99">
        <f ca="1"/>
        <v>6.1499999999004235E-3</v>
      </c>
      <c r="F259" s="161">
        <f ca="1">_xll.meCurveForwardRates(C259,$D$9,$D$10)</f>
        <v>6.1688972229323458E-3</v>
      </c>
      <c r="G259" s="7" t="s">
        <v>4</v>
      </c>
      <c r="H259" s="149">
        <f t="shared" ca="1" si="6"/>
        <v>42779</v>
      </c>
      <c r="I259" s="20">
        <f ca="1">_xll.meDateFromTenor(H259,"3M","Following",$I$11,"Normal")</f>
        <v>42870</v>
      </c>
      <c r="J259" s="150">
        <f ca="1"/>
        <v>9.4874151684863871E-3</v>
      </c>
      <c r="K259" s="7" t="s">
        <v>4</v>
      </c>
      <c r="L259" s="149" t="e">
        <f ca="1">_xll.meDateFromTenor(L258,"1D","FOLLOWING",#REF!,"NORMAL")</f>
        <v>#VALUE!</v>
      </c>
      <c r="M259" s="155">
        <f ca="1">_xll.meDateYearFraction(C259,D259,$M$11)</f>
        <v>2.7777777777777779E-3</v>
      </c>
      <c r="N259" s="150">
        <f ca="1"/>
        <v>-2.4300000000065936E-3</v>
      </c>
      <c r="O259" s="7" t="s">
        <v>4</v>
      </c>
      <c r="P259" s="149">
        <f t="shared" ca="1" si="7"/>
        <v>42779</v>
      </c>
      <c r="Q259" s="155">
        <f ca="1">_xll.meDateYearFraction(H259,I259,$Q$11,TRUE)</f>
        <v>0.25277777777777777</v>
      </c>
      <c r="R259" s="150">
        <f ca="1">IF(NOW(),_xll.meCurveForwardRatesFromYearFraction(P259,Q259,$Q$11,$Q$9,$Q$10))</f>
        <v>-3.4310077641478225E-3</v>
      </c>
      <c r="S259" s="134" t="s">
        <v>4</v>
      </c>
    </row>
    <row r="260" spans="1:19" x14ac:dyDescent="0.25">
      <c r="A260" s="128">
        <v>244</v>
      </c>
      <c r="B260" s="133"/>
      <c r="C260" s="149">
        <f ca="1">_xll.meDateFromTenor(C259,"1D","FOLLOWING",$D$11,"NORMAL")</f>
        <v>42780</v>
      </c>
      <c r="D260" s="20">
        <f ca="1">_xll.meDateFromTenor(C260,"1D","Following",$D$11,"Normal")</f>
        <v>42781</v>
      </c>
      <c r="E260" s="99">
        <f ca="1"/>
        <v>6.1499999999803595E-3</v>
      </c>
      <c r="F260" s="161">
        <f ca="1">_xll.meCurveForwardRates(C260,$D$9,$D$10)</f>
        <v>6.1688972230127259E-3</v>
      </c>
      <c r="G260" s="7" t="s">
        <v>4</v>
      </c>
      <c r="H260" s="149">
        <f t="shared" ca="1" si="6"/>
        <v>42780</v>
      </c>
      <c r="I260" s="20">
        <f ca="1">_xll.meDateFromTenor(H260,"3M","Following",$I$11,"Normal")</f>
        <v>42870</v>
      </c>
      <c r="J260" s="150">
        <f ca="1"/>
        <v>9.4943163586678724E-3</v>
      </c>
      <c r="K260" s="7" t="s">
        <v>4</v>
      </c>
      <c r="L260" s="149" t="e">
        <f ca="1">_xll.meDateFromTenor(L259,"1D","FOLLOWING",#REF!,"NORMAL")</f>
        <v>#VALUE!</v>
      </c>
      <c r="M260" s="155">
        <f ca="1">_xll.meDateYearFraction(C260,D260,$M$11)</f>
        <v>2.7777777777777779E-3</v>
      </c>
      <c r="N260" s="150">
        <f ca="1"/>
        <v>-2.4300000000065936E-3</v>
      </c>
      <c r="O260" s="7" t="s">
        <v>4</v>
      </c>
      <c r="P260" s="149">
        <f t="shared" ca="1" si="7"/>
        <v>42780</v>
      </c>
      <c r="Q260" s="155">
        <f ca="1">_xll.meDateYearFraction(H260,I260,$Q$11,TRUE)</f>
        <v>0.25</v>
      </c>
      <c r="R260" s="150">
        <f ca="1">IF(NOW(),_xll.meCurveForwardRatesFromYearFraction(P260,Q260,$Q$11,$Q$9,$Q$10))</f>
        <v>-3.7175485397107962E-3</v>
      </c>
      <c r="S260" s="134" t="s">
        <v>4</v>
      </c>
    </row>
    <row r="261" spans="1:19" x14ac:dyDescent="0.25">
      <c r="A261" s="128">
        <v>245</v>
      </c>
      <c r="B261" s="133"/>
      <c r="C261" s="149">
        <f ca="1">_xll.meDateFromTenor(C260,"1D","FOLLOWING",$D$11,"NORMAL")</f>
        <v>42781</v>
      </c>
      <c r="D261" s="20">
        <f ca="1">_xll.meDateFromTenor(C261,"1D","Following",$D$11,"Normal")</f>
        <v>42782</v>
      </c>
      <c r="E261" s="99">
        <f ca="1"/>
        <v>6.1499999999803595E-3</v>
      </c>
      <c r="F261" s="161">
        <f ca="1">_xll.meCurveForwardRates(C261,$D$9,$D$10)</f>
        <v>6.1688972230127259E-3</v>
      </c>
      <c r="G261" s="7" t="s">
        <v>4</v>
      </c>
      <c r="H261" s="149">
        <f t="shared" ca="1" si="6"/>
        <v>42781</v>
      </c>
      <c r="I261" s="20">
        <f ca="1">_xll.meDateFromTenor(H261,"3M","Following",$I$11,"Normal")</f>
        <v>42870</v>
      </c>
      <c r="J261" s="150">
        <f ca="1"/>
        <v>9.5012175488493559E-3</v>
      </c>
      <c r="K261" s="7" t="s">
        <v>4</v>
      </c>
      <c r="L261" s="149" t="e">
        <f ca="1">_xll.meDateFromTenor(L260,"1D","FOLLOWING",#REF!,"NORMAL")</f>
        <v>#VALUE!</v>
      </c>
      <c r="M261" s="155">
        <f ca="1">_xll.meDateYearFraction(C261,D261,$M$11)</f>
        <v>2.7777777777777779E-3</v>
      </c>
      <c r="N261" s="150">
        <f ca="1"/>
        <v>-2.4300000000065936E-3</v>
      </c>
      <c r="O261" s="7" t="s">
        <v>4</v>
      </c>
      <c r="P261" s="149">
        <f t="shared" ca="1" si="7"/>
        <v>42781</v>
      </c>
      <c r="Q261" s="155">
        <f ca="1">_xll.meDateYearFraction(H261,I261,$Q$11,TRUE)</f>
        <v>0.24722222222222223</v>
      </c>
      <c r="R261" s="150">
        <f ca="1">IF(NOW(),_xll.meCurveForwardRatesFromYearFraction(P261,Q261,$Q$11,$Q$9,$Q$10))</f>
        <v>-3.4248121228475856E-3</v>
      </c>
      <c r="S261" s="134" t="s">
        <v>4</v>
      </c>
    </row>
    <row r="262" spans="1:19" x14ac:dyDescent="0.25">
      <c r="A262" s="128">
        <v>246</v>
      </c>
      <c r="B262" s="133"/>
      <c r="C262" s="149">
        <f ca="1">_xll.meDateFromTenor(C261,"1D","FOLLOWING",$D$11,"NORMAL")</f>
        <v>42782</v>
      </c>
      <c r="D262" s="20">
        <f ca="1">_xll.meDateFromTenor(C262,"1D","Following",$D$11,"Normal")</f>
        <v>42783</v>
      </c>
      <c r="E262" s="99">
        <f ca="1"/>
        <v>6.1499999999803595E-3</v>
      </c>
      <c r="F262" s="161">
        <f ca="1">_xll.meCurveForwardRates(C262,$D$9,$D$10)</f>
        <v>6.1688972230127259E-3</v>
      </c>
      <c r="G262" s="7" t="s">
        <v>4</v>
      </c>
      <c r="H262" s="149">
        <f t="shared" ca="1" si="6"/>
        <v>42782</v>
      </c>
      <c r="I262" s="20">
        <f ca="1">_xll.meDateFromTenor(H262,"3M","Following",$I$11,"Normal")</f>
        <v>42871</v>
      </c>
      <c r="J262" s="150">
        <f ca="1"/>
        <v>9.5081187390308394E-3</v>
      </c>
      <c r="K262" s="7" t="s">
        <v>4</v>
      </c>
      <c r="L262" s="149" t="e">
        <f ca="1">_xll.meDateFromTenor(L261,"1D","FOLLOWING",#REF!,"NORMAL")</f>
        <v>#VALUE!</v>
      </c>
      <c r="M262" s="155">
        <f ca="1">_xll.meDateYearFraction(C262,D262,$M$11)</f>
        <v>2.7777777777777779E-3</v>
      </c>
      <c r="N262" s="150">
        <f ca="1"/>
        <v>-2.4300000000065936E-3</v>
      </c>
      <c r="O262" s="7" t="s">
        <v>4</v>
      </c>
      <c r="P262" s="149">
        <f t="shared" ca="1" si="7"/>
        <v>42782</v>
      </c>
      <c r="Q262" s="155">
        <f ca="1">_xll.meDateYearFraction(H262,I262,$Q$11,TRUE)</f>
        <v>0.24722222222222223</v>
      </c>
      <c r="R262" s="150">
        <f ca="1">IF(NOW(),_xll.meCurveForwardRatesFromYearFraction(P262,Q262,$Q$11,$Q$9,$Q$10))</f>
        <v>-3.7175485397107962E-3</v>
      </c>
      <c r="S262" s="134" t="s">
        <v>4</v>
      </c>
    </row>
    <row r="263" spans="1:19" x14ac:dyDescent="0.25">
      <c r="A263" s="128">
        <v>247</v>
      </c>
      <c r="B263" s="133"/>
      <c r="C263" s="149">
        <f ca="1">_xll.meDateFromTenor(C262,"1D","FOLLOWING",$D$11,"NORMAL")</f>
        <v>42783</v>
      </c>
      <c r="D263" s="20">
        <f ca="1">_xll.meDateFromTenor(C263,"1D","Following",$D$11,"Normal")</f>
        <v>42787</v>
      </c>
      <c r="E263" s="99">
        <f ca="1"/>
        <v>6.1500000000003436E-3</v>
      </c>
      <c r="F263" s="161">
        <f ca="1">_xll.meCurveForwardRates(C263,$D$9,$D$10)</f>
        <v>6.1687666617566972E-3</v>
      </c>
      <c r="G263" s="7" t="s">
        <v>4</v>
      </c>
      <c r="H263" s="149">
        <f t="shared" ca="1" si="6"/>
        <v>42783</v>
      </c>
      <c r="I263" s="20">
        <f ca="1">_xll.meDateFromTenor(H263,"3M","Following",$I$11,"Normal")</f>
        <v>42872</v>
      </c>
      <c r="J263" s="150">
        <f ca="1"/>
        <v>9.5150199292123247E-3</v>
      </c>
      <c r="K263" s="7" t="s">
        <v>4</v>
      </c>
      <c r="L263" s="149" t="e">
        <f ca="1">_xll.meDateFromTenor(L262,"1D","FOLLOWING",#REF!,"NORMAL")</f>
        <v>#VALUE!</v>
      </c>
      <c r="M263" s="155">
        <f ca="1">_xll.meDateYearFraction(C263,D263,$M$11)</f>
        <v>1.1111111111111112E-2</v>
      </c>
      <c r="N263" s="150">
        <f ca="1"/>
        <v>-2.4300000000065936E-3</v>
      </c>
      <c r="O263" s="7" t="s">
        <v>4</v>
      </c>
      <c r="P263" s="149">
        <f t="shared" ca="1" si="7"/>
        <v>42783</v>
      </c>
      <c r="Q263" s="155">
        <f ca="1">_xll.meDateYearFraction(H263,I263,$Q$11,TRUE)</f>
        <v>0.24722222222222223</v>
      </c>
      <c r="R263" s="150">
        <f ca="1">IF(NOW(),_xll.meCurveForwardRatesFromYearFraction(P263,Q263,$Q$11,$Q$9,$Q$10))</f>
        <v>-3.4187441957696648E-3</v>
      </c>
      <c r="S263" s="134" t="s">
        <v>4</v>
      </c>
    </row>
    <row r="264" spans="1:19" x14ac:dyDescent="0.25">
      <c r="A264" s="128">
        <v>248</v>
      </c>
      <c r="B264" s="133"/>
      <c r="C264" s="149">
        <f ca="1">_xll.meDateFromTenor(C263,"1D","FOLLOWING",$D$11,"NORMAL")</f>
        <v>42787</v>
      </c>
      <c r="D264" s="20">
        <f ca="1">_xll.meDateFromTenor(C264,"1D","Following",$D$11,"Normal")</f>
        <v>42788</v>
      </c>
      <c r="E264" s="99">
        <f ca="1"/>
        <v>6.1499999999803595E-3</v>
      </c>
      <c r="F264" s="161">
        <f ca="1">_xll.meCurveForwardRates(C264,$D$9,$D$10)</f>
        <v>6.1688972230127259E-3</v>
      </c>
      <c r="G264" s="7" t="s">
        <v>4</v>
      </c>
      <c r="H264" s="149">
        <f t="shared" ca="1" si="6"/>
        <v>42787</v>
      </c>
      <c r="I264" s="20">
        <f ca="1">_xll.meDateFromTenor(H264,"3M","Following",$I$11,"Normal")</f>
        <v>42877</v>
      </c>
      <c r="J264" s="150">
        <f ca="1"/>
        <v>9.5426246899382606E-3</v>
      </c>
      <c r="K264" s="7" t="s">
        <v>4</v>
      </c>
      <c r="L264" s="149" t="e">
        <f ca="1">_xll.meDateFromTenor(L263,"1D","FOLLOWING",#REF!,"NORMAL")</f>
        <v>#VALUE!</v>
      </c>
      <c r="M264" s="155">
        <f ca="1">_xll.meDateYearFraction(C264,D264,$M$11)</f>
        <v>2.7777777777777779E-3</v>
      </c>
      <c r="N264" s="150">
        <f ca="1"/>
        <v>-2.4300000000065936E-3</v>
      </c>
      <c r="O264" s="7" t="s">
        <v>4</v>
      </c>
      <c r="P264" s="149">
        <f t="shared" ca="1" si="7"/>
        <v>42787</v>
      </c>
      <c r="Q264" s="155">
        <f ca="1">_xll.meDateYearFraction(H264,I264,$Q$11,TRUE)</f>
        <v>0.25</v>
      </c>
      <c r="R264" s="150">
        <f ca="1">IF(NOW(),_xll.meCurveForwardRatesFromYearFraction(P264,Q264,$Q$11,$Q$9,$Q$10))</f>
        <v>-3.7175485397107962E-3</v>
      </c>
      <c r="S264" s="134" t="s">
        <v>4</v>
      </c>
    </row>
    <row r="265" spans="1:19" x14ac:dyDescent="0.25">
      <c r="A265" s="128">
        <v>249</v>
      </c>
      <c r="B265" s="133"/>
      <c r="C265" s="149">
        <f ca="1">_xll.meDateFromTenor(C264,"1D","FOLLOWING",$D$11,"NORMAL")</f>
        <v>42788</v>
      </c>
      <c r="D265" s="20">
        <f ca="1">_xll.meDateFromTenor(C265,"1D","Following",$D$11,"Normal")</f>
        <v>42789</v>
      </c>
      <c r="E265" s="99">
        <f ca="1"/>
        <v>6.1499999999803595E-3</v>
      </c>
      <c r="F265" s="161">
        <f ca="1">_xll.meCurveForwardRates(C265,$D$9,$D$10)</f>
        <v>6.1688972230127259E-3</v>
      </c>
      <c r="G265" s="7" t="s">
        <v>4</v>
      </c>
      <c r="H265" s="149">
        <f t="shared" ca="1" si="6"/>
        <v>42788</v>
      </c>
      <c r="I265" s="20">
        <f ca="1">_xll.meDateFromTenor(H265,"3M","Following",$I$11,"Normal")</f>
        <v>42877</v>
      </c>
      <c r="J265" s="150">
        <f ca="1"/>
        <v>9.5978760579153704E-3</v>
      </c>
      <c r="K265" s="7" t="s">
        <v>4</v>
      </c>
      <c r="L265" s="149" t="e">
        <f ca="1">_xll.meDateFromTenor(L264,"1D","FOLLOWING",#REF!,"NORMAL")</f>
        <v>#VALUE!</v>
      </c>
      <c r="M265" s="155">
        <f ca="1">_xll.meDateYearFraction(C265,D265,$M$11)</f>
        <v>2.7777777777777779E-3</v>
      </c>
      <c r="N265" s="150">
        <f ca="1"/>
        <v>-2.4300000000065936E-3</v>
      </c>
      <c r="O265" s="7" t="s">
        <v>4</v>
      </c>
      <c r="P265" s="149">
        <f t="shared" ca="1" si="7"/>
        <v>42788</v>
      </c>
      <c r="Q265" s="155">
        <f ca="1">_xll.meDateYearFraction(H265,I265,$Q$11,TRUE)</f>
        <v>0.24722222222222223</v>
      </c>
      <c r="R265" s="150">
        <f ca="1">IF(NOW(),_xll.meCurveForwardRatesFromYearFraction(P265,Q265,$Q$11,$Q$9,$Q$10))</f>
        <v>-3.4042391978972176E-3</v>
      </c>
      <c r="S265" s="134" t="s">
        <v>4</v>
      </c>
    </row>
    <row r="266" spans="1:19" x14ac:dyDescent="0.25">
      <c r="A266" s="128">
        <v>250</v>
      </c>
      <c r="B266" s="133"/>
      <c r="C266" s="149">
        <f ca="1">_xll.meDateFromTenor(C265,"1D","FOLLOWING",$D$11,"NORMAL")</f>
        <v>42789</v>
      </c>
      <c r="D266" s="20">
        <f ca="1">_xll.meDateFromTenor(C266,"1D","Following",$D$11,"Normal")</f>
        <v>42790</v>
      </c>
      <c r="E266" s="99">
        <f ca="1"/>
        <v>6.1499999999803595E-3</v>
      </c>
      <c r="F266" s="161">
        <f ca="1">_xll.meCurveForwardRates(C266,$D$9,$D$10)</f>
        <v>6.1688972230127259E-3</v>
      </c>
      <c r="G266" s="7" t="s">
        <v>4</v>
      </c>
      <c r="H266" s="149">
        <f t="shared" ca="1" si="6"/>
        <v>42789</v>
      </c>
      <c r="I266" s="20">
        <f ca="1">_xll.meDateFromTenor(H266,"3M","Following",$I$11,"Normal")</f>
        <v>42878</v>
      </c>
      <c r="J266" s="150">
        <f ca="1"/>
        <v>9.6562467922018721E-3</v>
      </c>
      <c r="K266" s="7" t="s">
        <v>4</v>
      </c>
      <c r="L266" s="149" t="e">
        <f ca="1">_xll.meDateFromTenor(L265,"1D","FOLLOWING",#REF!,"NORMAL")</f>
        <v>#VALUE!</v>
      </c>
      <c r="M266" s="155">
        <f ca="1">_xll.meDateYearFraction(C266,D266,$M$11)</f>
        <v>2.7777777777777779E-3</v>
      </c>
      <c r="N266" s="150">
        <f ca="1"/>
        <v>-2.4300000000065936E-3</v>
      </c>
      <c r="O266" s="7" t="s">
        <v>4</v>
      </c>
      <c r="P266" s="149">
        <f t="shared" ca="1" si="7"/>
        <v>42789</v>
      </c>
      <c r="Q266" s="155">
        <f ca="1">_xll.meDateYearFraction(H266,I266,$Q$11,TRUE)</f>
        <v>0.24722222222222223</v>
      </c>
      <c r="R266" s="150">
        <f ca="1">IF(NOW(),_xll.meCurveForwardRatesFromYearFraction(P266,Q266,$Q$11,$Q$9,$Q$10))</f>
        <v>-3.7175485397107962E-3</v>
      </c>
      <c r="S266" s="134" t="s">
        <v>4</v>
      </c>
    </row>
    <row r="267" spans="1:19" x14ac:dyDescent="0.25">
      <c r="A267" s="128">
        <v>251</v>
      </c>
      <c r="B267" s="133"/>
      <c r="C267" s="149">
        <f ca="1">_xll.meDateFromTenor(C266,"1D","FOLLOWING",$D$11,"NORMAL")</f>
        <v>42790</v>
      </c>
      <c r="D267" s="20">
        <f ca="1">_xll.meDateFromTenor(C267,"1D","Following",$D$11,"Normal")</f>
        <v>42793</v>
      </c>
      <c r="E267" s="99">
        <f ca="1"/>
        <v>6.150000000006841E-3</v>
      </c>
      <c r="F267" s="161">
        <f ca="1">_xll.meCurveForwardRates(C267,$D$9,$D$10)</f>
        <v>6.1688035904181593E-3</v>
      </c>
      <c r="G267" s="7" t="s">
        <v>4</v>
      </c>
      <c r="H267" s="149">
        <f t="shared" ca="1" si="6"/>
        <v>42790</v>
      </c>
      <c r="I267" s="20">
        <f ca="1">_xll.meDateFromTenor(H267,"3M","Following",$I$11,"Normal")</f>
        <v>42879</v>
      </c>
      <c r="J267" s="150">
        <f ca="1"/>
        <v>9.6116784382783375E-3</v>
      </c>
      <c r="K267" s="7" t="s">
        <v>4</v>
      </c>
      <c r="L267" s="149" t="e">
        <f ca="1">_xll.meDateFromTenor(L266,"1D","FOLLOWING",#REF!,"NORMAL")</f>
        <v>#VALUE!</v>
      </c>
      <c r="M267" s="155">
        <f ca="1">_xll.meDateYearFraction(C267,D267,$M$11)</f>
        <v>8.3333333333333332E-3</v>
      </c>
      <c r="N267" s="150">
        <f ca="1"/>
        <v>-2.4300000000065936E-3</v>
      </c>
      <c r="O267" s="7" t="s">
        <v>4</v>
      </c>
      <c r="P267" s="149">
        <f t="shared" ca="1" si="7"/>
        <v>42790</v>
      </c>
      <c r="Q267" s="155">
        <f ca="1">_xll.meDateYearFraction(H267,I267,$Q$11,TRUE)</f>
        <v>0.24722222222222223</v>
      </c>
      <c r="R267" s="150">
        <f ca="1">IF(NOW(),_xll.meCurveForwardRatesFromYearFraction(P267,Q267,$Q$11,$Q$9,$Q$10))</f>
        <v>-3.7175485397107962E-3</v>
      </c>
      <c r="S267" s="134" t="s">
        <v>4</v>
      </c>
    </row>
    <row r="268" spans="1:19" x14ac:dyDescent="0.25">
      <c r="A268" s="128">
        <v>252</v>
      </c>
      <c r="B268" s="133"/>
      <c r="C268" s="149">
        <f ca="1">_xll.meDateFromTenor(C267,"1D","FOLLOWING",$D$11,"NORMAL")</f>
        <v>42793</v>
      </c>
      <c r="D268" s="20">
        <f ca="1">_xll.meDateFromTenor(C268,"1D","Following",$D$11,"Normal")</f>
        <v>42794</v>
      </c>
      <c r="E268" s="99">
        <f ca="1"/>
        <v>6.1499999999803595E-3</v>
      </c>
      <c r="F268" s="161">
        <f ca="1">_xll.meCurveForwardRates(C268,$D$9,$D$10)</f>
        <v>6.1688972230127259E-3</v>
      </c>
      <c r="G268" s="7" t="s">
        <v>4</v>
      </c>
      <c r="H268" s="149">
        <f t="shared" ca="1" si="6"/>
        <v>42793</v>
      </c>
      <c r="I268" s="20">
        <f ca="1">_xll.meDateFromTenor(H268,"3M","Following",$I$11,"Normal")</f>
        <v>42885</v>
      </c>
      <c r="J268" s="150">
        <f ca="1"/>
        <v>9.584031831027167E-3</v>
      </c>
      <c r="K268" s="7" t="s">
        <v>4</v>
      </c>
      <c r="L268" s="149" t="e">
        <f ca="1">_xll.meDateFromTenor(L267,"1D","FOLLOWING",#REF!,"NORMAL")</f>
        <v>#VALUE!</v>
      </c>
      <c r="M268" s="155">
        <f ca="1">_xll.meDateYearFraction(C268,D268,$M$11)</f>
        <v>2.7777777777777779E-3</v>
      </c>
      <c r="N268" s="150">
        <f ca="1"/>
        <v>-2.4300000000065936E-3</v>
      </c>
      <c r="O268" s="7" t="s">
        <v>4</v>
      </c>
      <c r="P268" s="149">
        <f t="shared" ca="1" si="7"/>
        <v>42793</v>
      </c>
      <c r="Q268" s="155">
        <f ca="1">_xll.meDateYearFraction(H268,I268,$Q$11,TRUE)</f>
        <v>0.25555555555555554</v>
      </c>
      <c r="R268" s="150">
        <f ca="1">IF(NOW(),_xll.meCurveForwardRatesFromYearFraction(P268,Q268,$Q$11,$Q$9,$Q$10))</f>
        <v>-3.3905527663978846E-3</v>
      </c>
      <c r="S268" s="134" t="s">
        <v>4</v>
      </c>
    </row>
    <row r="269" spans="1:19" x14ac:dyDescent="0.25">
      <c r="A269" s="128">
        <v>253</v>
      </c>
      <c r="B269" s="133"/>
      <c r="C269" s="149">
        <f ca="1">_xll.meDateFromTenor(C268,"1D","FOLLOWING",$D$11,"NORMAL")</f>
        <v>42794</v>
      </c>
      <c r="D269" s="20">
        <f ca="1">_xll.meDateFromTenor(C269,"1D","Following",$D$11,"Normal")</f>
        <v>42795</v>
      </c>
      <c r="E269" s="99">
        <f ca="1"/>
        <v>6.1670604515118516E-3</v>
      </c>
      <c r="F269" s="161">
        <f ca="1">_xll.meCurveForwardRates(C269,$D$9,$D$10)</f>
        <v>6.1860627714902527E-3</v>
      </c>
      <c r="G269" s="7" t="s">
        <v>4</v>
      </c>
      <c r="H269" s="149">
        <f t="shared" ca="1" si="6"/>
        <v>42794</v>
      </c>
      <c r="I269" s="20">
        <f ca="1">_xll.meDateFromTenor(H269,"3M","Following",$I$11,"Normal")</f>
        <v>42885</v>
      </c>
      <c r="J269" s="150">
        <f ca="1"/>
        <v>9.5909330212086506E-3</v>
      </c>
      <c r="K269" s="7" t="s">
        <v>4</v>
      </c>
      <c r="L269" s="149" t="e">
        <f ca="1">_xll.meDateFromTenor(L268,"1D","FOLLOWING",#REF!,"NORMAL")</f>
        <v>#VALUE!</v>
      </c>
      <c r="M269" s="155">
        <f ca="1">_xll.meDateYearFraction(C269,D269,$M$11)</f>
        <v>2.7777777777777779E-3</v>
      </c>
      <c r="N269" s="150">
        <f ca="1"/>
        <v>-2.4300000000065936E-3</v>
      </c>
      <c r="O269" s="7" t="s">
        <v>4</v>
      </c>
      <c r="P269" s="149">
        <f t="shared" ca="1" si="7"/>
        <v>42794</v>
      </c>
      <c r="Q269" s="155">
        <f ca="1">_xll.meDateYearFraction(H269,I269,$Q$11,TRUE)</f>
        <v>0.25277777777777777</v>
      </c>
      <c r="R269" s="150">
        <f ca="1">IF(NOW(),_xll.meCurveForwardRatesFromYearFraction(P269,Q269,$Q$11,$Q$9,$Q$10))</f>
        <v>-3.3878468213158802E-3</v>
      </c>
      <c r="S269" s="134" t="s">
        <v>4</v>
      </c>
    </row>
    <row r="270" spans="1:19" x14ac:dyDescent="0.25">
      <c r="A270" s="128">
        <v>254</v>
      </c>
      <c r="B270" s="133"/>
      <c r="C270" s="149">
        <f ca="1">_xll.meDateFromTenor(C269,"1D","FOLLOWING",$D$11,"NORMAL")</f>
        <v>42795</v>
      </c>
      <c r="D270" s="20">
        <f ca="1">_xll.meDateFromTenor(C270,"1D","Following",$D$11,"Normal")</f>
        <v>42796</v>
      </c>
      <c r="E270" s="99">
        <f ca="1"/>
        <v>6.1857247417052225E-3</v>
      </c>
      <c r="F270" s="161">
        <f ca="1">_xll.meCurveForwardRates(C270,$D$9,$D$10)</f>
        <v>6.2048423732128377E-3</v>
      </c>
      <c r="G270" s="7" t="s">
        <v>4</v>
      </c>
      <c r="H270" s="149">
        <f t="shared" ca="1" si="6"/>
        <v>42795</v>
      </c>
      <c r="I270" s="20">
        <f ca="1">_xll.meDateFromTenor(H270,"3M","Following",$I$11,"Normal")</f>
        <v>42887</v>
      </c>
      <c r="J270" s="150">
        <f ca="1"/>
        <v>9.5978342113901358E-3</v>
      </c>
      <c r="K270" s="7" t="s">
        <v>4</v>
      </c>
      <c r="L270" s="149" t="e">
        <f ca="1">_xll.meDateFromTenor(L269,"1D","FOLLOWING",#REF!,"NORMAL")</f>
        <v>#VALUE!</v>
      </c>
      <c r="M270" s="155">
        <f ca="1">_xll.meDateYearFraction(C270,D270,$M$11)</f>
        <v>2.7777777777777779E-3</v>
      </c>
      <c r="N270" s="150">
        <f ca="1"/>
        <v>-2.4300000000065936E-3</v>
      </c>
      <c r="O270" s="7" t="s">
        <v>4</v>
      </c>
      <c r="P270" s="149">
        <f t="shared" ca="1" si="7"/>
        <v>42795</v>
      </c>
      <c r="Q270" s="155">
        <f ca="1">_xll.meDateYearFraction(H270,I270,$Q$11,TRUE)</f>
        <v>0.25555555555555554</v>
      </c>
      <c r="R270" s="150">
        <f ca="1">IF(NOW(),_xll.meCurveForwardRatesFromYearFraction(P270,Q270,$Q$11,$Q$9,$Q$10))</f>
        <v>-3.7175485397107962E-3</v>
      </c>
      <c r="S270" s="134" t="s">
        <v>4</v>
      </c>
    </row>
    <row r="271" spans="1:19" x14ac:dyDescent="0.25">
      <c r="A271" s="128">
        <v>255</v>
      </c>
      <c r="B271" s="133"/>
      <c r="C271" s="149">
        <f ca="1">_xll.meDateFromTenor(C270,"1D","FOLLOWING",$D$11,"NORMAL")</f>
        <v>42796</v>
      </c>
      <c r="D271" s="20">
        <f ca="1">_xll.meDateFromTenor(C271,"1D","Following",$D$11,"Normal")</f>
        <v>42797</v>
      </c>
      <c r="E271" s="99">
        <f ca="1"/>
        <v>6.2043568443659542E-3</v>
      </c>
      <c r="F271" s="161">
        <f ca="1">_xll.meCurveForwardRates(C271,$D$9,$D$10)</f>
        <v>6.2235899371698711E-3</v>
      </c>
      <c r="G271" s="7" t="s">
        <v>4</v>
      </c>
      <c r="H271" s="149">
        <f t="shared" ca="1" si="6"/>
        <v>42796</v>
      </c>
      <c r="I271" s="20">
        <f ca="1">_xll.meDateFromTenor(H271,"3M","Following",$I$11,"Normal")</f>
        <v>42888</v>
      </c>
      <c r="J271" s="150">
        <f ca="1"/>
        <v>9.6047354015716194E-3</v>
      </c>
      <c r="K271" s="7" t="s">
        <v>4</v>
      </c>
      <c r="L271" s="149" t="e">
        <f ca="1">_xll.meDateFromTenor(L270,"1D","FOLLOWING",#REF!,"NORMAL")</f>
        <v>#VALUE!</v>
      </c>
      <c r="M271" s="155">
        <f ca="1">_xll.meDateYearFraction(C271,D271,$M$11)</f>
        <v>2.7777777777777779E-3</v>
      </c>
      <c r="N271" s="150">
        <f ca="1"/>
        <v>-2.4300000000065936E-3</v>
      </c>
      <c r="O271" s="7" t="s">
        <v>4</v>
      </c>
      <c r="P271" s="149">
        <f t="shared" ca="1" si="7"/>
        <v>42796</v>
      </c>
      <c r="Q271" s="155">
        <f ca="1">_xll.meDateYearFraction(H271,I271,$Q$11,TRUE)</f>
        <v>0.25555555555555554</v>
      </c>
      <c r="R271" s="150">
        <f ca="1">IF(NOW(),_xll.meCurveForwardRatesFromYearFraction(P271,Q271,$Q$11,$Q$9,$Q$10))</f>
        <v>-3.7175485397107962E-3</v>
      </c>
      <c r="S271" s="134" t="s">
        <v>4</v>
      </c>
    </row>
    <row r="272" spans="1:19" x14ac:dyDescent="0.25">
      <c r="A272" s="128">
        <v>256</v>
      </c>
      <c r="B272" s="133"/>
      <c r="C272" s="149">
        <f ca="1">_xll.meDateFromTenor(C271,"1D","FOLLOWING",$D$11,"NORMAL")</f>
        <v>42797</v>
      </c>
      <c r="D272" s="20">
        <f ca="1">_xll.meDateFromTenor(C272,"1D","Following",$D$11,"Normal")</f>
        <v>42800</v>
      </c>
      <c r="E272" s="99">
        <f ca="1"/>
        <v>6.241615719391214E-3</v>
      </c>
      <c r="F272" s="161">
        <f ca="1">_xll.meCurveForwardRates(C272,$D$9,$D$10)</f>
        <v>6.2423007072904824E-3</v>
      </c>
      <c r="G272" s="7" t="s">
        <v>4</v>
      </c>
      <c r="H272" s="149">
        <f t="shared" ca="1" si="6"/>
        <v>42797</v>
      </c>
      <c r="I272" s="20">
        <f ca="1">_xll.meDateFromTenor(H272,"3M","Following",$I$11,"Normal")</f>
        <v>42891</v>
      </c>
      <c r="J272" s="150">
        <f ca="1"/>
        <v>9.6116365917531029E-3</v>
      </c>
      <c r="K272" s="7" t="s">
        <v>4</v>
      </c>
      <c r="L272" s="149" t="e">
        <f ca="1">_xll.meDateFromTenor(L271,"1D","FOLLOWING",#REF!,"NORMAL")</f>
        <v>#VALUE!</v>
      </c>
      <c r="M272" s="155">
        <f ca="1">_xll.meDateYearFraction(C272,D272,$M$11)</f>
        <v>8.3333333333333332E-3</v>
      </c>
      <c r="N272" s="150">
        <f ca="1"/>
        <v>-2.4300000000065936E-3</v>
      </c>
      <c r="O272" s="7" t="s">
        <v>4</v>
      </c>
      <c r="P272" s="149">
        <f t="shared" ca="1" si="7"/>
        <v>42797</v>
      </c>
      <c r="Q272" s="155">
        <f ca="1">_xll.meDateYearFraction(H272,I272,$Q$11,TRUE)</f>
        <v>0.26111111111111113</v>
      </c>
      <c r="R272" s="150">
        <f ca="1">IF(NOW(),_xll.meCurveForwardRatesFromYearFraction(P272,Q272,$Q$11,$Q$9,$Q$10))</f>
        <v>-3.7175485397107962E-3</v>
      </c>
      <c r="S272" s="134" t="s">
        <v>4</v>
      </c>
    </row>
    <row r="273" spans="1:19" x14ac:dyDescent="0.25">
      <c r="A273" s="128">
        <v>257</v>
      </c>
      <c r="B273" s="133"/>
      <c r="C273" s="149">
        <f ca="1">_xll.meDateFromTenor(C272,"1D","FOLLOWING",$D$11,"NORMAL")</f>
        <v>42800</v>
      </c>
      <c r="D273" s="20">
        <f ca="1">_xll.meDateFromTenor(C273,"1D","Following",$D$11,"Normal")</f>
        <v>42801</v>
      </c>
      <c r="E273" s="99">
        <f ca="1"/>
        <v>6.2785383739250248E-3</v>
      </c>
      <c r="F273" s="161">
        <f ca="1">_xll.meCurveForwardRates(C273,$D$9,$D$10)</f>
        <v>6.298234616602727E-3</v>
      </c>
      <c r="G273" s="7" t="s">
        <v>4</v>
      </c>
      <c r="H273" s="149">
        <f t="shared" ref="H273:H336" ca="1" si="8">$C273</f>
        <v>42800</v>
      </c>
      <c r="I273" s="20">
        <f ca="1">_xll.meDateFromTenor(H273,"3M","Following",$I$11,"Normal")</f>
        <v>42892</v>
      </c>
      <c r="J273" s="150">
        <f ca="1"/>
        <v>9.6323401622975553E-3</v>
      </c>
      <c r="K273" s="7" t="s">
        <v>4</v>
      </c>
      <c r="L273" s="149" t="e">
        <f ca="1">_xll.meDateFromTenor(L272,"1D","FOLLOWING",#REF!,"NORMAL")</f>
        <v>#VALUE!</v>
      </c>
      <c r="M273" s="155">
        <f ca="1">_xll.meDateYearFraction(C273,D273,$M$11)</f>
        <v>2.7777777777777779E-3</v>
      </c>
      <c r="N273" s="150">
        <f ca="1"/>
        <v>-2.4300000000065936E-3</v>
      </c>
      <c r="O273" s="7" t="s">
        <v>4</v>
      </c>
      <c r="P273" s="149">
        <f t="shared" ref="P273:P336" ca="1" si="9">$C273</f>
        <v>42800</v>
      </c>
      <c r="Q273" s="155">
        <f ca="1">_xll.meDateYearFraction(H273,I273,$Q$11,TRUE)</f>
        <v>0.25555555555555554</v>
      </c>
      <c r="R273" s="150">
        <f ca="1">IF(NOW(),_xll.meCurveForwardRatesFromYearFraction(P273,Q273,$Q$11,$Q$9,$Q$10))</f>
        <v>-3.3718059632451523E-3</v>
      </c>
      <c r="S273" s="134" t="s">
        <v>4</v>
      </c>
    </row>
    <row r="274" spans="1:19" x14ac:dyDescent="0.25">
      <c r="A274" s="128">
        <v>258</v>
      </c>
      <c r="B274" s="133"/>
      <c r="C274" s="149">
        <f ca="1">_xll.meDateFromTenor(C273,"1D","FOLLOWING",$D$11,"NORMAL")</f>
        <v>42801</v>
      </c>
      <c r="D274" s="20">
        <f ca="1">_xll.meDateFromTenor(C274,"1D","Following",$D$11,"Normal")</f>
        <v>42802</v>
      </c>
      <c r="E274" s="99">
        <f ca="1"/>
        <v>6.2969907839250053E-3</v>
      </c>
      <c r="F274" s="161">
        <f ca="1">_xll.meCurveForwardRates(C274,$D$9,$D$10)</f>
        <v>6.3168030912088557E-3</v>
      </c>
      <c r="G274" s="7" t="s">
        <v>4</v>
      </c>
      <c r="H274" s="149">
        <f t="shared" ca="1" si="8"/>
        <v>42801</v>
      </c>
      <c r="I274" s="20">
        <f ca="1">_xll.meDateFromTenor(H274,"3M","Following",$I$11,"Normal")</f>
        <v>42893</v>
      </c>
      <c r="J274" s="150">
        <f ca="1"/>
        <v>9.6392413524790405E-3</v>
      </c>
      <c r="K274" s="7" t="s">
        <v>4</v>
      </c>
      <c r="L274" s="149" t="e">
        <f ca="1">_xll.meDateFromTenor(L273,"1D","FOLLOWING",#REF!,"NORMAL")</f>
        <v>#VALUE!</v>
      </c>
      <c r="M274" s="155">
        <f ca="1">_xll.meDateYearFraction(C274,D274,$M$11)</f>
        <v>2.7777777777777779E-3</v>
      </c>
      <c r="N274" s="150">
        <f ca="1"/>
        <v>-2.4300000000065936E-3</v>
      </c>
      <c r="O274" s="7" t="s">
        <v>4</v>
      </c>
      <c r="P274" s="149">
        <f t="shared" ca="1" si="9"/>
        <v>42801</v>
      </c>
      <c r="Q274" s="155">
        <f ca="1">_xll.meDateYearFraction(H274,I274,$Q$11,TRUE)</f>
        <v>0.25555555555555554</v>
      </c>
      <c r="R274" s="150">
        <f ca="1">IF(NOW(),_xll.meCurveForwardRatesFromYearFraction(P274,Q274,$Q$11,$Q$9,$Q$10))</f>
        <v>-3.7175485397107962E-3</v>
      </c>
      <c r="S274" s="134" t="s">
        <v>4</v>
      </c>
    </row>
    <row r="275" spans="1:19" x14ac:dyDescent="0.25">
      <c r="A275" s="128">
        <v>259</v>
      </c>
      <c r="B275" s="133"/>
      <c r="C275" s="149">
        <f ca="1">_xll.meDateFromTenor(C274,"1D","FOLLOWING",$D$11,"NORMAL")</f>
        <v>42802</v>
      </c>
      <c r="D275" s="20">
        <f ca="1">_xll.meDateFromTenor(C275,"1D","Following",$D$11,"Normal")</f>
        <v>42803</v>
      </c>
      <c r="E275" s="99">
        <f ca="1"/>
        <v>6.3154035039936444E-3</v>
      </c>
      <c r="F275" s="161">
        <f ca="1">_xll.meCurveForwardRates(C275,$D$9,$D$10)</f>
        <v>6.3353319668133512E-3</v>
      </c>
      <c r="G275" s="7" t="s">
        <v>4</v>
      </c>
      <c r="H275" s="149">
        <f t="shared" ca="1" si="8"/>
        <v>42802</v>
      </c>
      <c r="I275" s="20">
        <f ca="1">_xll.meDateFromTenor(H275,"3M","Following",$I$11,"Normal")</f>
        <v>42894</v>
      </c>
      <c r="J275" s="150">
        <f ca="1"/>
        <v>9.6461425426605258E-3</v>
      </c>
      <c r="K275" s="7" t="s">
        <v>4</v>
      </c>
      <c r="L275" s="149" t="e">
        <f ca="1">_xll.meDateFromTenor(L274,"1D","FOLLOWING",#REF!,"NORMAL")</f>
        <v>#VALUE!</v>
      </c>
      <c r="M275" s="155">
        <f ca="1">_xll.meDateYearFraction(C275,D275,$M$11)</f>
        <v>2.7777777777777779E-3</v>
      </c>
      <c r="N275" s="150">
        <f ca="1"/>
        <v>-2.4300000000065936E-3</v>
      </c>
      <c r="O275" s="7" t="s">
        <v>4</v>
      </c>
      <c r="P275" s="149">
        <f t="shared" ca="1" si="9"/>
        <v>42802</v>
      </c>
      <c r="Q275" s="155">
        <f ca="1">_xll.meDateYearFraction(H275,I275,$Q$11,TRUE)</f>
        <v>0.25555555555555554</v>
      </c>
      <c r="R275" s="150">
        <f ca="1">IF(NOW(),_xll.meCurveForwardRatesFromYearFraction(P275,Q275,$Q$11,$Q$9,$Q$10))</f>
        <v>-3.7175485397107962E-3</v>
      </c>
      <c r="S275" s="134" t="s">
        <v>4</v>
      </c>
    </row>
    <row r="276" spans="1:19" x14ac:dyDescent="0.25">
      <c r="A276" s="128">
        <v>260</v>
      </c>
      <c r="B276" s="133"/>
      <c r="C276" s="149">
        <f ca="1">_xll.meDateFromTenor(C275,"1D","FOLLOWING",$D$11,"NORMAL")</f>
        <v>42803</v>
      </c>
      <c r="D276" s="20">
        <f ca="1">_xll.meDateFromTenor(C276,"1D","Following",$D$11,"Normal")</f>
        <v>42804</v>
      </c>
      <c r="E276" s="99">
        <f ca="1"/>
        <v>6.3337752840109344E-3</v>
      </c>
      <c r="F276" s="161">
        <f ca="1">_xll.meCurveForwardRates(C276,$D$9,$D$10)</f>
        <v>6.3538199831809639E-3</v>
      </c>
      <c r="G276" s="7" t="s">
        <v>4</v>
      </c>
      <c r="H276" s="149">
        <f t="shared" ca="1" si="8"/>
        <v>42803</v>
      </c>
      <c r="I276" s="20">
        <f ca="1">_xll.meDateFromTenor(H276,"3M","Following",$I$11,"Normal")</f>
        <v>42895</v>
      </c>
      <c r="J276" s="150">
        <f ca="1"/>
        <v>9.6530437328420093E-3</v>
      </c>
      <c r="K276" s="7" t="s">
        <v>4</v>
      </c>
      <c r="L276" s="149" t="e">
        <f ca="1">_xll.meDateFromTenor(L275,"1D","FOLLOWING",#REF!,"NORMAL")</f>
        <v>#VALUE!</v>
      </c>
      <c r="M276" s="155">
        <f ca="1">_xll.meDateYearFraction(C276,D276,$M$11)</f>
        <v>2.7777777777777779E-3</v>
      </c>
      <c r="N276" s="150">
        <f ca="1"/>
        <v>-2.4300000000065936E-3</v>
      </c>
      <c r="O276" s="7" t="s">
        <v>4</v>
      </c>
      <c r="P276" s="149">
        <f t="shared" ca="1" si="9"/>
        <v>42803</v>
      </c>
      <c r="Q276" s="155">
        <f ca="1">_xll.meDateYearFraction(H276,I276,$Q$11,TRUE)</f>
        <v>0.25555555555555554</v>
      </c>
      <c r="R276" s="150">
        <f ca="1">IF(NOW(),_xll.meCurveForwardRatesFromYearFraction(P276,Q276,$Q$11,$Q$9,$Q$10))</f>
        <v>-3.7175485397107962E-3</v>
      </c>
      <c r="S276" s="134" t="s">
        <v>4</v>
      </c>
    </row>
    <row r="277" spans="1:19" x14ac:dyDescent="0.25">
      <c r="A277" s="128">
        <v>261</v>
      </c>
      <c r="B277" s="133"/>
      <c r="C277" s="149">
        <f ca="1">_xll.meDateFromTenor(C276,"1D","FOLLOWING",$D$11,"NORMAL")</f>
        <v>42804</v>
      </c>
      <c r="D277" s="20">
        <f ca="1">_xll.meDateFromTenor(C277,"1D","Following",$D$11,"Normal")</f>
        <v>42807</v>
      </c>
      <c r="E277" s="99">
        <f ca="1"/>
        <v>6.3704888517168937E-3</v>
      </c>
      <c r="F277" s="161">
        <f ca="1">_xll.meCurveForwardRates(C277,$D$9,$D$10)</f>
        <v>6.3722614028787206E-3</v>
      </c>
      <c r="G277" s="7" t="s">
        <v>4</v>
      </c>
      <c r="H277" s="149">
        <f t="shared" ca="1" si="8"/>
        <v>42804</v>
      </c>
      <c r="I277" s="20">
        <f ca="1">_xll.meDateFromTenor(H277,"3M","Following",$I$11,"Normal")</f>
        <v>42898</v>
      </c>
      <c r="J277" s="150">
        <f ca="1"/>
        <v>9.6599449230234929E-3</v>
      </c>
      <c r="K277" s="7" t="s">
        <v>4</v>
      </c>
      <c r="L277" s="149" t="e">
        <f ca="1">_xll.meDateFromTenor(L276,"1D","FOLLOWING",#REF!,"NORMAL")</f>
        <v>#VALUE!</v>
      </c>
      <c r="M277" s="155">
        <f ca="1">_xll.meDateYearFraction(C277,D277,$M$11)</f>
        <v>8.3333333333333332E-3</v>
      </c>
      <c r="N277" s="150">
        <f ca="1"/>
        <v>-2.4300000000065936E-3</v>
      </c>
      <c r="O277" s="7" t="s">
        <v>4</v>
      </c>
      <c r="P277" s="149">
        <f t="shared" ca="1" si="9"/>
        <v>42804</v>
      </c>
      <c r="Q277" s="155">
        <f ca="1">_xll.meDateYearFraction(H277,I277,$Q$11,TRUE)</f>
        <v>0.26111111111111113</v>
      </c>
      <c r="R277" s="150">
        <f ca="1">IF(NOW(),_xll.meCurveForwardRatesFromYearFraction(P277,Q277,$Q$11,$Q$9,$Q$10))</f>
        <v>-3.3612995615992353E-3</v>
      </c>
      <c r="S277" s="134" t="s">
        <v>4</v>
      </c>
    </row>
    <row r="278" spans="1:19" x14ac:dyDescent="0.25">
      <c r="A278" s="128">
        <v>262</v>
      </c>
      <c r="B278" s="133"/>
      <c r="C278" s="149">
        <f ca="1">_xll.meDateFromTenor(C277,"1D","FOLLOWING",$D$11,"NORMAL")</f>
        <v>42807</v>
      </c>
      <c r="D278" s="20">
        <f ca="1">_xll.meDateFromTenor(C278,"1D","Following",$D$11,"Normal")</f>
        <v>42808</v>
      </c>
      <c r="E278" s="99">
        <f ca="1"/>
        <v>6.4068279934126563E-3</v>
      </c>
      <c r="F278" s="161">
        <f ca="1">_xll.meCurveForwardRates(C278,$D$9,$D$10)</f>
        <v>6.4273382407424862E-3</v>
      </c>
      <c r="G278" s="7" t="s">
        <v>4</v>
      </c>
      <c r="H278" s="149">
        <f t="shared" ca="1" si="8"/>
        <v>42807</v>
      </c>
      <c r="I278" s="20">
        <f ca="1">_xll.meDateFromTenor(H278,"3M","Following",$I$11,"Normal")</f>
        <v>42899</v>
      </c>
      <c r="J278" s="150">
        <f ca="1"/>
        <v>9.6806484935679452E-3</v>
      </c>
      <c r="K278" s="7" t="s">
        <v>4</v>
      </c>
      <c r="L278" s="149" t="e">
        <f ca="1">_xll.meDateFromTenor(L277,"1D","FOLLOWING",#REF!,"NORMAL")</f>
        <v>#VALUE!</v>
      </c>
      <c r="M278" s="155">
        <f ca="1">_xll.meDateYearFraction(C278,D278,$M$11)</f>
        <v>2.7777777777777779E-3</v>
      </c>
      <c r="N278" s="150">
        <f ca="1"/>
        <v>-2.4300000000065936E-3</v>
      </c>
      <c r="O278" s="7" t="s">
        <v>4</v>
      </c>
      <c r="P278" s="149">
        <f t="shared" ca="1" si="9"/>
        <v>42807</v>
      </c>
      <c r="Q278" s="155">
        <f ca="1">_xll.meDateYearFraction(H278,I278,$Q$11,TRUE)</f>
        <v>0.25555555555555554</v>
      </c>
      <c r="R278" s="150">
        <f ca="1">IF(NOW(),_xll.meCurveForwardRatesFromYearFraction(P278,Q278,$Q$11,$Q$9,$Q$10))</f>
        <v>-3.7175485397107962E-3</v>
      </c>
      <c r="S278" s="134" t="s">
        <v>4</v>
      </c>
    </row>
    <row r="279" spans="1:19" x14ac:dyDescent="0.25">
      <c r="A279" s="128">
        <v>263</v>
      </c>
      <c r="B279" s="133"/>
      <c r="C279" s="149">
        <f ca="1">_xll.meDateFromTenor(C278,"1D","FOLLOWING",$D$11,"NORMAL")</f>
        <v>42808</v>
      </c>
      <c r="D279" s="20">
        <f ca="1">_xll.meDateFromTenor(C279,"1D","Following",$D$11,"Normal")</f>
        <v>42809</v>
      </c>
      <c r="E279" s="99">
        <f ca="1"/>
        <v>6.4249763160973087E-3</v>
      </c>
      <c r="F279" s="161">
        <f ca="1">_xll.meCurveForwardRates(C279,$D$9,$D$10)</f>
        <v>6.4456030490585015E-3</v>
      </c>
      <c r="G279" s="7" t="s">
        <v>4</v>
      </c>
      <c r="H279" s="149">
        <f t="shared" ca="1" si="8"/>
        <v>42808</v>
      </c>
      <c r="I279" s="20">
        <f ca="1">_xll.meDateFromTenor(H279,"3M","Following",$I$11,"Normal")</f>
        <v>42900</v>
      </c>
      <c r="J279" s="150">
        <f ca="1"/>
        <v>9.6875496837494305E-3</v>
      </c>
      <c r="K279" s="7" t="s">
        <v>4</v>
      </c>
      <c r="L279" s="149" t="e">
        <f ca="1">_xll.meDateFromTenor(L278,"1D","FOLLOWING",#REF!,"NORMAL")</f>
        <v>#VALUE!</v>
      </c>
      <c r="M279" s="155">
        <f ca="1">_xll.meDateYearFraction(C279,D279,$M$11)</f>
        <v>2.7777777777777779E-3</v>
      </c>
      <c r="N279" s="150">
        <f ca="1"/>
        <v>-2.4300000000065936E-3</v>
      </c>
      <c r="O279" s="7" t="s">
        <v>4</v>
      </c>
      <c r="P279" s="149">
        <f t="shared" ca="1" si="9"/>
        <v>42808</v>
      </c>
      <c r="Q279" s="155">
        <f ca="1">_xll.meDateYearFraction(H279,I279,$Q$11,TRUE)</f>
        <v>0.25555555555555554</v>
      </c>
      <c r="R279" s="150">
        <f ca="1">IF(NOW(),_xll.meCurveForwardRatesFromYearFraction(P279,Q279,$Q$11,$Q$9,$Q$10))</f>
        <v>-3.7175485397107962E-3</v>
      </c>
      <c r="S279" s="134" t="s">
        <v>4</v>
      </c>
    </row>
    <row r="280" spans="1:19" x14ac:dyDescent="0.25">
      <c r="A280" s="128">
        <v>264</v>
      </c>
      <c r="B280" s="133"/>
      <c r="C280" s="149">
        <f ca="1">_xll.meDateFromTenor(C279,"1D","FOLLOWING",$D$11,"NORMAL")</f>
        <v>42809</v>
      </c>
      <c r="D280" s="20">
        <f ca="1">_xll.meDateFromTenor(C280,"1D","Following",$D$11,"Normal")</f>
        <v>42810</v>
      </c>
      <c r="E280" s="99">
        <f ca="1"/>
        <v>6.4430761961720377E-3</v>
      </c>
      <c r="F280" s="161">
        <f ca="1">_xll.meCurveForwardRates(C280,$D$9,$D$10)</f>
        <v>6.4638194330635113E-3</v>
      </c>
      <c r="G280" s="7" t="s">
        <v>4</v>
      </c>
      <c r="H280" s="149">
        <f t="shared" ca="1" si="8"/>
        <v>42809</v>
      </c>
      <c r="I280" s="20">
        <f ca="1">_xll.meDateFromTenor(H280,"3M","Following",$I$11,"Normal")</f>
        <v>42901</v>
      </c>
      <c r="J280" s="150">
        <f ca="1"/>
        <v>9.694450873930914E-3</v>
      </c>
      <c r="K280" s="7" t="s">
        <v>4</v>
      </c>
      <c r="L280" s="149" t="e">
        <f ca="1">_xll.meDateFromTenor(L279,"1D","FOLLOWING",#REF!,"NORMAL")</f>
        <v>#VALUE!</v>
      </c>
      <c r="M280" s="155">
        <f ca="1">_xll.meDateYearFraction(C280,D280,$M$11)</f>
        <v>2.7777777777777779E-3</v>
      </c>
      <c r="N280" s="150">
        <f ca="1"/>
        <v>-2.4300000000065936E-3</v>
      </c>
      <c r="O280" s="7" t="s">
        <v>4</v>
      </c>
      <c r="P280" s="149">
        <f t="shared" ca="1" si="9"/>
        <v>42809</v>
      </c>
      <c r="Q280" s="155">
        <f ca="1">_xll.meDateYearFraction(H280,I280,$Q$11,TRUE)</f>
        <v>0.25555555555555554</v>
      </c>
      <c r="R280" s="150">
        <f ca="1">IF(NOW(),_xll.meCurveForwardRatesFromYearFraction(P280,Q280,$Q$11,$Q$9,$Q$10))</f>
        <v>-3.7175485397107962E-3</v>
      </c>
      <c r="S280" s="134" t="s">
        <v>4</v>
      </c>
    </row>
    <row r="281" spans="1:19" x14ac:dyDescent="0.25">
      <c r="A281" s="128">
        <v>265</v>
      </c>
      <c r="B281" s="133"/>
      <c r="C281" s="149">
        <f ca="1">_xll.meDateFromTenor(C280,"1D","FOLLOWING",$D$11,"NORMAL")</f>
        <v>42810</v>
      </c>
      <c r="D281" s="20">
        <f ca="1">_xll.meDateFromTenor(C281,"1D","Following",$D$11,"Normal")</f>
        <v>42811</v>
      </c>
      <c r="E281" s="99">
        <f ca="1"/>
        <v>6.4611263831171554E-3</v>
      </c>
      <c r="F281" s="161">
        <f ca="1">_xll.meCurveForwardRates(C281,$D$9,$D$10)</f>
        <v>6.4819861315206229E-3</v>
      </c>
      <c r="G281" s="7" t="s">
        <v>4</v>
      </c>
      <c r="H281" s="149">
        <f t="shared" ca="1" si="8"/>
        <v>42810</v>
      </c>
      <c r="I281" s="20">
        <f ca="1">_xll.meDateFromTenor(H281,"3M","Following",$I$11,"Normal")</f>
        <v>42902</v>
      </c>
      <c r="J281" s="150">
        <f ca="1"/>
        <v>9.7008145116035845E-3</v>
      </c>
      <c r="K281" s="7" t="s">
        <v>4</v>
      </c>
      <c r="L281" s="149" t="e">
        <f ca="1">_xll.meDateFromTenor(L280,"1D","FOLLOWING",#REF!,"NORMAL")</f>
        <v>#VALUE!</v>
      </c>
      <c r="M281" s="155">
        <f ca="1">_xll.meDateYearFraction(C281,D281,$M$11)</f>
        <v>2.7777777777777779E-3</v>
      </c>
      <c r="N281" s="150">
        <f ca="1"/>
        <v>-2.4300000000065936E-3</v>
      </c>
      <c r="O281" s="7" t="s">
        <v>4</v>
      </c>
      <c r="P281" s="149">
        <f t="shared" ca="1" si="9"/>
        <v>42810</v>
      </c>
      <c r="Q281" s="155">
        <f ca="1">_xll.meDateYearFraction(H281,I281,$Q$11,TRUE)</f>
        <v>0.25555555555555554</v>
      </c>
      <c r="R281" s="150">
        <f ca="1">IF(NOW(),_xll.meCurveForwardRatesFromYearFraction(P281,Q281,$Q$11,$Q$9,$Q$10))</f>
        <v>-3.3458255087581907E-3</v>
      </c>
      <c r="S281" s="134" t="s">
        <v>4</v>
      </c>
    </row>
    <row r="282" spans="1:19" x14ac:dyDescent="0.25">
      <c r="A282" s="128">
        <v>266</v>
      </c>
      <c r="B282" s="133"/>
      <c r="C282" s="149">
        <f ca="1">_xll.meDateFromTenor(C281,"1D","FOLLOWING",$D$11,"NORMAL")</f>
        <v>42811</v>
      </c>
      <c r="D282" s="20">
        <f ca="1">_xll.meDateFromTenor(C282,"1D","Following",$D$11,"Normal")</f>
        <v>42814</v>
      </c>
      <c r="E282" s="99">
        <f ca="1"/>
        <v>6.4971721164751193E-3</v>
      </c>
      <c r="F282" s="161">
        <f ca="1">_xll.meCurveForwardRates(C282,$D$9,$D$10)</f>
        <v>6.5000964267860617E-3</v>
      </c>
      <c r="G282" s="7" t="s">
        <v>4</v>
      </c>
      <c r="H282" s="149">
        <f t="shared" ca="1" si="8"/>
        <v>42811</v>
      </c>
      <c r="I282" s="20">
        <f ca="1">_xll.meDateFromTenor(H282,"3M","Following",$I$11,"Normal")</f>
        <v>42905</v>
      </c>
      <c r="J282" s="150">
        <f ca="1"/>
        <v>9.7071781492762566E-3</v>
      </c>
      <c r="K282" s="7" t="s">
        <v>4</v>
      </c>
      <c r="L282" s="149" t="e">
        <f ca="1">_xll.meDateFromTenor(L281,"1D","FOLLOWING",#REF!,"NORMAL")</f>
        <v>#VALUE!</v>
      </c>
      <c r="M282" s="155">
        <f ca="1">_xll.meDateYearFraction(C282,D282,$M$11)</f>
        <v>8.3333333333333332E-3</v>
      </c>
      <c r="N282" s="150">
        <f ca="1"/>
        <v>-2.4300000000065936E-3</v>
      </c>
      <c r="O282" s="7" t="s">
        <v>4</v>
      </c>
      <c r="P282" s="149">
        <f t="shared" ca="1" si="9"/>
        <v>42811</v>
      </c>
      <c r="Q282" s="155">
        <f ca="1">_xll.meDateYearFraction(H282,I282,$Q$11,TRUE)</f>
        <v>0.26111111111111113</v>
      </c>
      <c r="R282" s="150">
        <f ca="1">IF(NOW(),_xll.meCurveForwardRatesFromYearFraction(P282,Q282,$Q$11,$Q$9,$Q$10))</f>
        <v>-3.3432801584912641E-3</v>
      </c>
      <c r="S282" s="134" t="s">
        <v>4</v>
      </c>
    </row>
    <row r="283" spans="1:19" x14ac:dyDescent="0.25">
      <c r="A283" s="128">
        <v>267</v>
      </c>
      <c r="B283" s="133"/>
      <c r="C283" s="149">
        <f ca="1">_xll.meDateFromTenor(C282,"1D","FOLLOWING",$D$11,"NORMAL")</f>
        <v>42814</v>
      </c>
      <c r="D283" s="20">
        <f ca="1">_xll.meDateFromTenor(C283,"1D","Following",$D$11,"Normal")</f>
        <v>42815</v>
      </c>
      <c r="E283" s="99">
        <f ca="1"/>
        <v>6.5328051916857767E-3</v>
      </c>
      <c r="F283" s="161">
        <f ca="1">_xll.meCurveForwardRates(C283,$D$9,$D$10)</f>
        <v>6.5541308447201185E-3</v>
      </c>
      <c r="G283" s="7" t="s">
        <v>4</v>
      </c>
      <c r="H283" s="149">
        <f t="shared" ca="1" si="8"/>
        <v>42814</v>
      </c>
      <c r="I283" s="20">
        <f ca="1">_xll.meDateFromTenor(H283,"3M","Following",$I$11,"Normal")</f>
        <v>42906</v>
      </c>
      <c r="J283" s="150">
        <f ca="1"/>
        <v>9.7262690622942696E-3</v>
      </c>
      <c r="K283" s="7" t="s">
        <v>4</v>
      </c>
      <c r="L283" s="149" t="e">
        <f ca="1">_xll.meDateFromTenor(L282,"1D","FOLLOWING",#REF!,"NORMAL")</f>
        <v>#VALUE!</v>
      </c>
      <c r="M283" s="155">
        <f ca="1">_xll.meDateYearFraction(C283,D283,$M$11)</f>
        <v>2.7777777777777779E-3</v>
      </c>
      <c r="N283" s="150">
        <f ca="1"/>
        <v>-2.4300000000065936E-3</v>
      </c>
      <c r="O283" s="7" t="s">
        <v>4</v>
      </c>
      <c r="P283" s="149">
        <f t="shared" ca="1" si="9"/>
        <v>42814</v>
      </c>
      <c r="Q283" s="155">
        <f ca="1">_xll.meDateYearFraction(H283,I283,$Q$11,TRUE)</f>
        <v>0.25555555555555554</v>
      </c>
      <c r="R283" s="150">
        <f ca="1">IF(NOW(),_xll.meCurveForwardRatesFromYearFraction(P283,Q283,$Q$11,$Q$9,$Q$10))</f>
        <v>-3.3357023447978681E-3</v>
      </c>
      <c r="S283" s="134" t="s">
        <v>4</v>
      </c>
    </row>
    <row r="284" spans="1:19" x14ac:dyDescent="0.25">
      <c r="A284" s="128">
        <v>268</v>
      </c>
      <c r="B284" s="133"/>
      <c r="C284" s="149">
        <f ca="1">_xll.meDateFromTenor(C283,"1D","FOLLOWING",$D$11,"NORMAL")</f>
        <v>42815</v>
      </c>
      <c r="D284" s="20">
        <f ca="1">_xll.meDateFromTenor(C284,"1D","Following",$D$11,"Normal")</f>
        <v>42816</v>
      </c>
      <c r="E284" s="99">
        <f ca="1"/>
        <v>6.5505881569461145E-3</v>
      </c>
      <c r="F284" s="161">
        <f ca="1">_xll.meCurveForwardRates(C284,$D$9,$D$10)</f>
        <v>6.5720301957570282E-3</v>
      </c>
      <c r="G284" s="7" t="s">
        <v>4</v>
      </c>
      <c r="H284" s="149">
        <f t="shared" ca="1" si="8"/>
        <v>42815</v>
      </c>
      <c r="I284" s="20">
        <f ca="1">_xll.meDateFromTenor(H284,"3M","Following",$I$11,"Normal")</f>
        <v>42907</v>
      </c>
      <c r="J284" s="150">
        <f ca="1"/>
        <v>9.7326326999669418E-3</v>
      </c>
      <c r="K284" s="7" t="s">
        <v>4</v>
      </c>
      <c r="L284" s="149" t="e">
        <f ca="1">_xll.meDateFromTenor(L283,"1D","FOLLOWING",#REF!,"NORMAL")</f>
        <v>#VALUE!</v>
      </c>
      <c r="M284" s="155">
        <f ca="1">_xll.meDateYearFraction(C284,D284,$M$11)</f>
        <v>2.7777777777777779E-3</v>
      </c>
      <c r="N284" s="150">
        <f ca="1"/>
        <v>-2.4300000000065936E-3</v>
      </c>
      <c r="O284" s="7" t="s">
        <v>4</v>
      </c>
      <c r="P284" s="149">
        <f t="shared" ca="1" si="9"/>
        <v>42815</v>
      </c>
      <c r="Q284" s="155">
        <f ca="1">_xll.meDateYearFraction(H284,I284,$Q$11,TRUE)</f>
        <v>0.25555555555555554</v>
      </c>
      <c r="R284" s="150">
        <f ca="1">IF(NOW(),_xll.meCurveForwardRatesFromYearFraction(P284,Q284,$Q$11,$Q$9,$Q$10))</f>
        <v>-3.7175485397107962E-3</v>
      </c>
      <c r="S284" s="134" t="s">
        <v>4</v>
      </c>
    </row>
    <row r="285" spans="1:19" x14ac:dyDescent="0.25">
      <c r="A285" s="128">
        <v>269</v>
      </c>
      <c r="B285" s="133"/>
      <c r="C285" s="149">
        <f ca="1">_xll.meDateFromTenor(C284,"1D","FOLLOWING",$D$11,"NORMAL")</f>
        <v>42816</v>
      </c>
      <c r="D285" s="20">
        <f ca="1">_xll.meDateFromTenor(C285,"1D","Following",$D$11,"Normal")</f>
        <v>42817</v>
      </c>
      <c r="E285" s="99">
        <f ca="1"/>
        <v>6.5683139266781388E-3</v>
      </c>
      <c r="F285" s="161">
        <f ca="1">_xll.meCurveForwardRates(C285,$D$9,$D$10)</f>
        <v>6.5898722928194875E-3</v>
      </c>
      <c r="G285" s="7" t="s">
        <v>4</v>
      </c>
      <c r="H285" s="149">
        <f t="shared" ca="1" si="8"/>
        <v>42816</v>
      </c>
      <c r="I285" s="20">
        <f ca="1">_xll.meDateFromTenor(H285,"3M","Following",$I$11,"Normal")</f>
        <v>42908</v>
      </c>
      <c r="J285" s="150">
        <f ca="1"/>
        <v>9.7389963376396122E-3</v>
      </c>
      <c r="K285" s="7" t="s">
        <v>4</v>
      </c>
      <c r="L285" s="149" t="e">
        <f ca="1">_xll.meDateFromTenor(L284,"1D","FOLLOWING",#REF!,"NORMAL")</f>
        <v>#VALUE!</v>
      </c>
      <c r="M285" s="155">
        <f ca="1">_xll.meDateYearFraction(C285,D285,$M$11)</f>
        <v>2.7777777777777779E-3</v>
      </c>
      <c r="N285" s="150">
        <f ca="1"/>
        <v>-2.4300000000065936E-3</v>
      </c>
      <c r="O285" s="7" t="s">
        <v>4</v>
      </c>
      <c r="P285" s="149">
        <f t="shared" ca="1" si="9"/>
        <v>42816</v>
      </c>
      <c r="Q285" s="155">
        <f ca="1">_xll.meDateYearFraction(H285,I285,$Q$11,TRUE)</f>
        <v>0.25555555555555554</v>
      </c>
      <c r="R285" s="150">
        <f ca="1">IF(NOW(),_xll.meCurveForwardRatesFromYearFraction(P285,Q285,$Q$11,$Q$9,$Q$10))</f>
        <v>-3.3306992683017149E-3</v>
      </c>
      <c r="S285" s="134" t="s">
        <v>4</v>
      </c>
    </row>
    <row r="286" spans="1:19" x14ac:dyDescent="0.25">
      <c r="A286" s="128">
        <v>270</v>
      </c>
      <c r="B286" s="133"/>
      <c r="C286" s="149">
        <f ca="1">_xll.meDateFromTenor(C285,"1D","FOLLOWING",$D$11,"NORMAL")</f>
        <v>42817</v>
      </c>
      <c r="D286" s="20">
        <f ca="1">_xll.meDateFromTenor(C286,"1D","Following",$D$11,"Normal")</f>
        <v>42818</v>
      </c>
      <c r="E286" s="99">
        <f ca="1"/>
        <v>6.5859812504420979E-3</v>
      </c>
      <c r="F286" s="161">
        <f ca="1">_xll.meCurveForwardRates(C286,$D$9,$D$10)</f>
        <v>6.6076558741809954E-3</v>
      </c>
      <c r="G286" s="7" t="s">
        <v>4</v>
      </c>
      <c r="H286" s="149">
        <f t="shared" ca="1" si="8"/>
        <v>42817</v>
      </c>
      <c r="I286" s="20">
        <f ca="1">_xll.meDateFromTenor(H286,"3M","Following",$I$11,"Normal")</f>
        <v>42909</v>
      </c>
      <c r="J286" s="150">
        <f ca="1"/>
        <v>9.7453599753122844E-3</v>
      </c>
      <c r="K286" s="7" t="s">
        <v>4</v>
      </c>
      <c r="L286" s="149" t="e">
        <f ca="1">_xll.meDateFromTenor(L285,"1D","FOLLOWING",#REF!,"NORMAL")</f>
        <v>#VALUE!</v>
      </c>
      <c r="M286" s="155">
        <f ca="1">_xll.meDateYearFraction(C286,D286,$M$11)</f>
        <v>2.7777777777777779E-3</v>
      </c>
      <c r="N286" s="150">
        <f ca="1"/>
        <v>-2.4300000000065936E-3</v>
      </c>
      <c r="O286" s="7" t="s">
        <v>4</v>
      </c>
      <c r="P286" s="149">
        <f t="shared" ca="1" si="9"/>
        <v>42817</v>
      </c>
      <c r="Q286" s="155">
        <f ca="1">_xll.meDateYearFraction(H286,I286,$Q$11,TRUE)</f>
        <v>0.25555555555555554</v>
      </c>
      <c r="R286" s="150">
        <f ca="1">IF(NOW(),_xll.meCurveForwardRatesFromYearFraction(P286,Q286,$Q$11,$Q$9,$Q$10))</f>
        <v>-3.7175485397107962E-3</v>
      </c>
      <c r="S286" s="134" t="s">
        <v>4</v>
      </c>
    </row>
    <row r="287" spans="1:19" x14ac:dyDescent="0.25">
      <c r="A287" s="128">
        <v>271</v>
      </c>
      <c r="B287" s="133"/>
      <c r="C287" s="149">
        <f ca="1">_xll.meDateFromTenor(C286,"1D","FOLLOWING",$D$11,"NORMAL")</f>
        <v>42818</v>
      </c>
      <c r="D287" s="20">
        <f ca="1">_xll.meDateFromTenor(C287,"1D","Following",$D$11,"Normal")</f>
        <v>42821</v>
      </c>
      <c r="E287" s="99">
        <f ca="1"/>
        <v>6.6212366017470948E-3</v>
      </c>
      <c r="F287" s="161">
        <f ca="1">_xll.meCurveForwardRates(C287,$D$9,$D$10)</f>
        <v>6.625373241947452E-3</v>
      </c>
      <c r="G287" s="7" t="s">
        <v>4</v>
      </c>
      <c r="H287" s="149">
        <f t="shared" ca="1" si="8"/>
        <v>42818</v>
      </c>
      <c r="I287" s="20">
        <f ca="1">_xll.meDateFromTenor(H287,"3M","Following",$I$11,"Normal")</f>
        <v>42912</v>
      </c>
      <c r="J287" s="150">
        <f ca="1"/>
        <v>9.7517236129849548E-3</v>
      </c>
      <c r="K287" s="7" t="s">
        <v>4</v>
      </c>
      <c r="L287" s="149" t="e">
        <f ca="1">_xll.meDateFromTenor(L286,"1D","FOLLOWING",#REF!,"NORMAL")</f>
        <v>#VALUE!</v>
      </c>
      <c r="M287" s="155">
        <f ca="1">_xll.meDateYearFraction(C287,D287,$M$11)</f>
        <v>8.3333333333333332E-3</v>
      </c>
      <c r="N287" s="150">
        <f ca="1"/>
        <v>-2.4300000000065936E-3</v>
      </c>
      <c r="O287" s="7" t="s">
        <v>4</v>
      </c>
      <c r="P287" s="149">
        <f t="shared" ca="1" si="9"/>
        <v>42818</v>
      </c>
      <c r="Q287" s="155">
        <f ca="1">_xll.meDateYearFraction(H287,I287,$Q$11,TRUE)</f>
        <v>0.26111111111111113</v>
      </c>
      <c r="R287" s="150">
        <f ca="1">IF(NOW(),_xll.meCurveForwardRatesFromYearFraction(P287,Q287,$Q$11,$Q$9,$Q$10))</f>
        <v>-3.325735481729966E-3</v>
      </c>
      <c r="S287" s="134" t="s">
        <v>4</v>
      </c>
    </row>
    <row r="288" spans="1:19" x14ac:dyDescent="0.25">
      <c r="A288" s="128">
        <v>272</v>
      </c>
      <c r="B288" s="133"/>
      <c r="C288" s="149">
        <f ca="1">_xll.meDateFromTenor(C287,"1D","FOLLOWING",$D$11,"NORMAL")</f>
        <v>42821</v>
      </c>
      <c r="D288" s="20">
        <f ca="1">_xll.meDateFromTenor(C288,"1D","Following",$D$11,"Normal")</f>
        <v>42822</v>
      </c>
      <c r="E288" s="99">
        <f ca="1"/>
        <v>6.6560410771021828E-3</v>
      </c>
      <c r="F288" s="161">
        <f ca="1">_xll.meCurveForwardRates(C288,$D$9,$D$10)</f>
        <v>6.6781798054298402E-3</v>
      </c>
      <c r="G288" s="7" t="s">
        <v>4</v>
      </c>
      <c r="H288" s="149">
        <f t="shared" ca="1" si="8"/>
        <v>42821</v>
      </c>
      <c r="I288" s="20">
        <f ca="1">_xll.meDateFromTenor(H288,"3M","Following",$I$11,"Normal")</f>
        <v>42913</v>
      </c>
      <c r="J288" s="150">
        <f ca="1"/>
        <v>9.7708145260029695E-3</v>
      </c>
      <c r="K288" s="7" t="s">
        <v>4</v>
      </c>
      <c r="L288" s="149" t="e">
        <f ca="1">_xll.meDateFromTenor(L287,"1D","FOLLOWING",#REF!,"NORMAL")</f>
        <v>#VALUE!</v>
      </c>
      <c r="M288" s="155">
        <f ca="1">_xll.meDateYearFraction(C288,D288,$M$11)</f>
        <v>2.7777777777777779E-3</v>
      </c>
      <c r="N288" s="150">
        <f ca="1"/>
        <v>-2.4300000000065936E-3</v>
      </c>
      <c r="O288" s="7" t="s">
        <v>4</v>
      </c>
      <c r="P288" s="149">
        <f t="shared" ca="1" si="9"/>
        <v>42821</v>
      </c>
      <c r="Q288" s="155">
        <f ca="1">_xll.meDateYearFraction(H288,I288,$Q$11,TRUE)</f>
        <v>0.25555555555555554</v>
      </c>
      <c r="R288" s="150">
        <f ca="1">IF(NOW(),_xll.meCurveForwardRatesFromYearFraction(P288,Q288,$Q$11,$Q$9,$Q$10))</f>
        <v>-3.7175485397107962E-3</v>
      </c>
      <c r="S288" s="134" t="s">
        <v>4</v>
      </c>
    </row>
    <row r="289" spans="1:19" x14ac:dyDescent="0.25">
      <c r="A289" s="128">
        <v>273</v>
      </c>
      <c r="B289" s="133"/>
      <c r="C289" s="149">
        <f ca="1">_xll.meDateFromTenor(C288,"1D","FOLLOWING",$D$11,"NORMAL")</f>
        <v>42822</v>
      </c>
      <c r="D289" s="20">
        <f ca="1">_xll.meDateFromTenor(C289,"1D","Following",$D$11,"Normal")</f>
        <v>42823</v>
      </c>
      <c r="E289" s="99">
        <f ca="1"/>
        <v>6.6733974146693477E-3</v>
      </c>
      <c r="F289" s="161">
        <f ca="1">_xll.meCurveForwardRates(C289,$D$9,$D$10)</f>
        <v>6.6956518799028419E-3</v>
      </c>
      <c r="G289" s="7" t="s">
        <v>4</v>
      </c>
      <c r="H289" s="149">
        <f t="shared" ca="1" si="8"/>
        <v>42822</v>
      </c>
      <c r="I289" s="20">
        <f ca="1">_xll.meDateFromTenor(H289,"3M","Following",$I$11,"Normal")</f>
        <v>42914</v>
      </c>
      <c r="J289" s="150">
        <f ca="1"/>
        <v>9.7771781636756417E-3</v>
      </c>
      <c r="K289" s="7" t="s">
        <v>4</v>
      </c>
      <c r="L289" s="149" t="e">
        <f ca="1">_xll.meDateFromTenor(L288,"1D","FOLLOWING",#REF!,"NORMAL")</f>
        <v>#VALUE!</v>
      </c>
      <c r="M289" s="155">
        <f ca="1">_xll.meDateYearFraction(C289,D289,$M$11)</f>
        <v>2.7777777777777779E-3</v>
      </c>
      <c r="N289" s="150">
        <f ca="1"/>
        <v>-2.4300000000065936E-3</v>
      </c>
      <c r="O289" s="7" t="s">
        <v>4</v>
      </c>
      <c r="P289" s="149">
        <f t="shared" ca="1" si="9"/>
        <v>42822</v>
      </c>
      <c r="Q289" s="155">
        <f ca="1">_xll.meDateYearFraction(H289,I289,$Q$11,TRUE)</f>
        <v>0.25555555555555554</v>
      </c>
      <c r="R289" s="150">
        <f ca="1">IF(NOW(),_xll.meCurveForwardRatesFromYearFraction(P289,Q289,$Q$11,$Q$9,$Q$10))</f>
        <v>-3.3159266371648754E-3</v>
      </c>
      <c r="S289" s="134" t="s">
        <v>4</v>
      </c>
    </row>
    <row r="290" spans="1:19" x14ac:dyDescent="0.25">
      <c r="A290" s="128">
        <v>274</v>
      </c>
      <c r="B290" s="133"/>
      <c r="C290" s="149">
        <f ca="1">_xll.meDateFromTenor(C289,"1D","FOLLOWING",$D$11,"NORMAL")</f>
        <v>42823</v>
      </c>
      <c r="D290" s="20">
        <f ca="1">_xll.meDateFromTenor(C290,"1D","Following",$D$11,"Normal")</f>
        <v>42824</v>
      </c>
      <c r="E290" s="99">
        <f ca="1"/>
        <v>6.6906878037898089E-3</v>
      </c>
      <c r="F290" s="161">
        <f ca="1">_xll.meCurveForwardRates(C290,$D$9,$D$10)</f>
        <v>6.7130578668508356E-3</v>
      </c>
      <c r="G290" s="7" t="s">
        <v>4</v>
      </c>
      <c r="H290" s="149">
        <f t="shared" ca="1" si="8"/>
        <v>42823</v>
      </c>
      <c r="I290" s="20">
        <f ca="1">_xll.meDateFromTenor(H290,"3M","Following",$I$11,"Normal")</f>
        <v>42915</v>
      </c>
      <c r="J290" s="150">
        <f ca="1"/>
        <v>9.7835418013483121E-3</v>
      </c>
      <c r="K290" s="7" t="s">
        <v>4</v>
      </c>
      <c r="L290" s="149" t="e">
        <f ca="1">_xll.meDateFromTenor(L289,"1D","FOLLOWING",#REF!,"NORMAL")</f>
        <v>#VALUE!</v>
      </c>
      <c r="M290" s="155">
        <f ca="1">_xll.meDateYearFraction(C290,D290,$M$11)</f>
        <v>2.7777777777777779E-3</v>
      </c>
      <c r="N290" s="150">
        <f ca="1"/>
        <v>-2.4300000000065936E-3</v>
      </c>
      <c r="O290" s="7" t="s">
        <v>4</v>
      </c>
      <c r="P290" s="149">
        <f t="shared" ca="1" si="9"/>
        <v>42823</v>
      </c>
      <c r="Q290" s="155">
        <f ca="1">_xll.meDateYearFraction(H290,I290,$Q$11,TRUE)</f>
        <v>0.25555555555555554</v>
      </c>
      <c r="R290" s="150">
        <f ca="1">IF(NOW(),_xll.meCurveForwardRatesFromYearFraction(P290,Q290,$Q$11,$Q$9,$Q$10))</f>
        <v>-3.7175485397107962E-3</v>
      </c>
      <c r="S290" s="134" t="s">
        <v>4</v>
      </c>
    </row>
    <row r="291" spans="1:19" x14ac:dyDescent="0.25">
      <c r="A291" s="128">
        <v>275</v>
      </c>
      <c r="B291" s="133"/>
      <c r="C291" s="149">
        <f ca="1">_xll.meDateFromTenor(C290,"1D","FOLLOWING",$D$11,"NORMAL")</f>
        <v>42824</v>
      </c>
      <c r="D291" s="20">
        <f ca="1">_xll.meDateFromTenor(C291,"1D","Following",$D$11,"Normal")</f>
        <v>42825</v>
      </c>
      <c r="E291" s="99">
        <f ca="1"/>
        <v>6.7079109940238147E-3</v>
      </c>
      <c r="F291" s="161">
        <f ca="1">_xll.meCurveForwardRates(C291,$D$9,$D$10)</f>
        <v>6.7303965040128588E-3</v>
      </c>
      <c r="G291" s="7" t="s">
        <v>4</v>
      </c>
      <c r="H291" s="149">
        <f t="shared" ca="1" si="8"/>
        <v>42824</v>
      </c>
      <c r="I291" s="20">
        <f ca="1">_xll.meDateFromTenor(H291,"3M","Following",$I$11,"Normal")</f>
        <v>42916</v>
      </c>
      <c r="J291" s="150">
        <f ca="1"/>
        <v>9.7899054390209843E-3</v>
      </c>
      <c r="K291" s="7" t="s">
        <v>4</v>
      </c>
      <c r="L291" s="149" t="e">
        <f ca="1">_xll.meDateFromTenor(L290,"1D","FOLLOWING",#REF!,"NORMAL")</f>
        <v>#VALUE!</v>
      </c>
      <c r="M291" s="155">
        <f ca="1">_xll.meDateYearFraction(C291,D291,$M$11)</f>
        <v>2.7777777777777779E-3</v>
      </c>
      <c r="N291" s="150">
        <f ca="1"/>
        <v>-2.4300000000065936E-3</v>
      </c>
      <c r="O291" s="7" t="s">
        <v>4</v>
      </c>
      <c r="P291" s="149">
        <f t="shared" ca="1" si="9"/>
        <v>42824</v>
      </c>
      <c r="Q291" s="155">
        <f ca="1">_xll.meDateYearFraction(H291,I291,$Q$11,TRUE)</f>
        <v>0.25555555555555554</v>
      </c>
      <c r="R291" s="150">
        <f ca="1">IF(NOW(),_xll.meCurveForwardRatesFromYearFraction(P291,Q291,$Q$11,$Q$9,$Q$10))</f>
        <v>-3.3110820085741318E-3</v>
      </c>
      <c r="S291" s="134" t="s">
        <v>4</v>
      </c>
    </row>
    <row r="292" spans="1:19" x14ac:dyDescent="0.25">
      <c r="A292" s="128">
        <v>276</v>
      </c>
      <c r="B292" s="133"/>
      <c r="C292" s="149">
        <f ca="1">_xll.meDateFromTenor(C291,"1D","FOLLOWING",$D$11,"NORMAL")</f>
        <v>42825</v>
      </c>
      <c r="D292" s="20">
        <f ca="1">_xll.meDateFromTenor(C292,"1D","Following",$D$11,"Normal")</f>
        <v>42828</v>
      </c>
      <c r="E292" s="99">
        <f ca="1"/>
        <v>6.7422533939343297E-3</v>
      </c>
      <c r="F292" s="161">
        <f ca="1">_xll.meCurveForwardRates(C292,$D$9,$D$10)</f>
        <v>6.7476591136228503E-3</v>
      </c>
      <c r="G292" s="7" t="s">
        <v>4</v>
      </c>
      <c r="H292" s="149">
        <f t="shared" ca="1" si="8"/>
        <v>42825</v>
      </c>
      <c r="I292" s="20">
        <f ca="1">_xll.meDateFromTenor(H292,"3M","Following",$I$11,"Normal")</f>
        <v>42916</v>
      </c>
      <c r="J292" s="150">
        <f ca="1"/>
        <v>9.7962690766936547E-3</v>
      </c>
      <c r="K292" s="7" t="s">
        <v>4</v>
      </c>
      <c r="L292" s="149" t="e">
        <f ca="1">_xll.meDateFromTenor(L291,"1D","FOLLOWING",#REF!,"NORMAL")</f>
        <v>#VALUE!</v>
      </c>
      <c r="M292" s="155">
        <f ca="1">_xll.meDateYearFraction(C292,D292,$M$11)</f>
        <v>8.3333333333333332E-3</v>
      </c>
      <c r="N292" s="150">
        <f ca="1"/>
        <v>-2.4300000000065936E-3</v>
      </c>
      <c r="O292" s="7" t="s">
        <v>4</v>
      </c>
      <c r="P292" s="149">
        <f t="shared" ca="1" si="9"/>
        <v>42825</v>
      </c>
      <c r="Q292" s="155">
        <f ca="1">_xll.meDateYearFraction(H292,I292,$Q$11,TRUE)</f>
        <v>0.25277777777777777</v>
      </c>
      <c r="R292" s="150">
        <f ca="1">IF(NOW(),_xll.meCurveForwardRatesFromYearFraction(P292,Q292,$Q$11,$Q$9,$Q$10))</f>
        <v>-3.3086747366335286E-3</v>
      </c>
      <c r="S292" s="134" t="s">
        <v>4</v>
      </c>
    </row>
    <row r="293" spans="1:19" x14ac:dyDescent="0.25">
      <c r="A293" s="128">
        <v>277</v>
      </c>
      <c r="B293" s="133"/>
      <c r="C293" s="149">
        <f ca="1">_xll.meDateFromTenor(C292,"1D","FOLLOWING",$D$11,"NORMAL")</f>
        <v>42828</v>
      </c>
      <c r="D293" s="20">
        <f ca="1">_xll.meDateFromTenor(C293,"1D","Following",$D$11,"Normal")</f>
        <v>42829</v>
      </c>
      <c r="E293" s="99">
        <f ca="1"/>
        <v>6.776106757540059E-3</v>
      </c>
      <c r="F293" s="161">
        <f ca="1">_xll.meCurveForwardRates(C293,$D$9,$D$10)</f>
        <v>6.7990523072760656E-3</v>
      </c>
      <c r="G293" s="7" t="s">
        <v>4</v>
      </c>
      <c r="H293" s="149">
        <f t="shared" ca="1" si="8"/>
        <v>42828</v>
      </c>
      <c r="I293" s="20">
        <f ca="1">_xll.meDateFromTenor(H293,"3M","Following",$I$11,"Normal")</f>
        <v>42919</v>
      </c>
      <c r="J293" s="150">
        <f ca="1"/>
        <v>9.8153599897116695E-3</v>
      </c>
      <c r="K293" s="7" t="s">
        <v>4</v>
      </c>
      <c r="L293" s="149" t="e">
        <f ca="1">_xll.meDateFromTenor(L292,"1D","FOLLOWING",#REF!,"NORMAL")</f>
        <v>#VALUE!</v>
      </c>
      <c r="M293" s="155">
        <f ca="1">_xll.meDateYearFraction(C293,D293,$M$11)</f>
        <v>2.7777777777777779E-3</v>
      </c>
      <c r="N293" s="150">
        <f ca="1"/>
        <v>-2.4300000000065936E-3</v>
      </c>
      <c r="O293" s="7" t="s">
        <v>4</v>
      </c>
      <c r="P293" s="149">
        <f t="shared" ca="1" si="9"/>
        <v>42828</v>
      </c>
      <c r="Q293" s="155">
        <f ca="1">_xll.meDateYearFraction(H293,I293,$Q$11,TRUE)</f>
        <v>0.25277777777777777</v>
      </c>
      <c r="R293" s="150">
        <f ca="1">IF(NOW(),_xll.meCurveForwardRatesFromYearFraction(P293,Q293,$Q$11,$Q$9,$Q$10))</f>
        <v>-3.3015134122827416E-3</v>
      </c>
      <c r="S293" s="134" t="s">
        <v>4</v>
      </c>
    </row>
    <row r="294" spans="1:19" x14ac:dyDescent="0.25">
      <c r="A294" s="128">
        <v>278</v>
      </c>
      <c r="B294" s="133"/>
      <c r="C294" s="149">
        <f ca="1">_xll.meDateFromTenor(C293,"1D","FOLLOWING",$D$11,"NORMAL")</f>
        <v>42829</v>
      </c>
      <c r="D294" s="20">
        <f ca="1">_xll.meDateFromTenor(C294,"1D","Following",$D$11,"Normal")</f>
        <v>42830</v>
      </c>
      <c r="E294" s="99">
        <f ca="1"/>
        <v>6.7929751969853201E-3</v>
      </c>
      <c r="F294" s="161">
        <f ca="1">_xll.meCurveForwardRates(C294,$D$9,$D$10)</f>
        <v>6.8160352593011897E-3</v>
      </c>
      <c r="G294" s="7" t="s">
        <v>4</v>
      </c>
      <c r="H294" s="149">
        <f t="shared" ca="1" si="8"/>
        <v>42829</v>
      </c>
      <c r="I294" s="20">
        <f ca="1">_xll.meDateFromTenor(H294,"3M","Following",$I$11,"Normal")</f>
        <v>42921</v>
      </c>
      <c r="J294" s="150">
        <f ca="1"/>
        <v>9.8217236273843399E-3</v>
      </c>
      <c r="K294" s="7" t="s">
        <v>4</v>
      </c>
      <c r="L294" s="149" t="e">
        <f ca="1">_xll.meDateFromTenor(L293,"1D","FOLLOWING",#REF!,"NORMAL")</f>
        <v>#VALUE!</v>
      </c>
      <c r="M294" s="155">
        <f ca="1">_xll.meDateYearFraction(C294,D294,$M$11)</f>
        <v>2.7777777777777779E-3</v>
      </c>
      <c r="N294" s="150">
        <f ca="1"/>
        <v>-2.4300000000065936E-3</v>
      </c>
      <c r="O294" s="7" t="s">
        <v>4</v>
      </c>
      <c r="P294" s="149">
        <f t="shared" ca="1" si="9"/>
        <v>42829</v>
      </c>
      <c r="Q294" s="155">
        <f ca="1">_xll.meDateYearFraction(H294,I294,$Q$11,TRUE)</f>
        <v>0.25555555555555554</v>
      </c>
      <c r="R294" s="150">
        <f ca="1">IF(NOW(),_xll.meCurveForwardRatesFromYearFraction(P294,Q294,$Q$11,$Q$9,$Q$10))</f>
        <v>-3.7175485397107962E-3</v>
      </c>
      <c r="S294" s="134" t="s">
        <v>4</v>
      </c>
    </row>
    <row r="295" spans="1:19" x14ac:dyDescent="0.25">
      <c r="A295" s="128">
        <v>279</v>
      </c>
      <c r="B295" s="133"/>
      <c r="C295" s="149">
        <f ca="1">_xll.meDateFromTenor(C294,"1D","FOLLOWING",$D$11,"NORMAL")</f>
        <v>42830</v>
      </c>
      <c r="D295" s="20">
        <f ca="1">_xll.meDateFromTenor(C295,"1D","Following",$D$11,"Normal")</f>
        <v>42831</v>
      </c>
      <c r="E295" s="99">
        <f ca="1"/>
        <v>6.8097689351454237E-3</v>
      </c>
      <c r="F295" s="161">
        <f ca="1">_xll.meCurveForwardRates(C295,$D$9,$D$10)</f>
        <v>6.8329432867084705E-3</v>
      </c>
      <c r="G295" s="7" t="s">
        <v>4</v>
      </c>
      <c r="H295" s="149">
        <f t="shared" ca="1" si="8"/>
        <v>42830</v>
      </c>
      <c r="I295" s="20">
        <f ca="1">_xll.meDateFromTenor(H295,"3M","Following",$I$11,"Normal")</f>
        <v>42921</v>
      </c>
      <c r="J295" s="150">
        <f ca="1"/>
        <v>9.8280872650570103E-3</v>
      </c>
      <c r="K295" s="7" t="s">
        <v>4</v>
      </c>
      <c r="L295" s="149" t="e">
        <f ca="1">_xll.meDateFromTenor(L294,"1D","FOLLOWING",#REF!,"NORMAL")</f>
        <v>#VALUE!</v>
      </c>
      <c r="M295" s="155">
        <f ca="1">_xll.meDateYearFraction(C295,D295,$M$11)</f>
        <v>2.7777777777777779E-3</v>
      </c>
      <c r="N295" s="150">
        <f ca="1"/>
        <v>-2.4300000000065936E-3</v>
      </c>
      <c r="O295" s="7" t="s">
        <v>4</v>
      </c>
      <c r="P295" s="149">
        <f t="shared" ca="1" si="9"/>
        <v>42830</v>
      </c>
      <c r="Q295" s="155">
        <f ca="1">_xll.meDateYearFraction(H295,I295,$Q$11,TRUE)</f>
        <v>0.25277777777777777</v>
      </c>
      <c r="R295" s="150">
        <f ca="1">IF(NOW(),_xll.meCurveForwardRatesFromYearFraction(P295,Q295,$Q$11,$Q$9,$Q$10))</f>
        <v>-3.7175485397107962E-3</v>
      </c>
      <c r="S295" s="134" t="s">
        <v>4</v>
      </c>
    </row>
    <row r="296" spans="1:19" x14ac:dyDescent="0.25">
      <c r="A296" s="128">
        <v>280</v>
      </c>
      <c r="B296" s="133"/>
      <c r="C296" s="149">
        <f ca="1">_xll.meDateFromTenor(C295,"1D","FOLLOWING",$D$11,"NORMAL")</f>
        <v>42831</v>
      </c>
      <c r="D296" s="20">
        <f ca="1">_xll.meDateFromTenor(C296,"1D","Following",$D$11,"Normal")</f>
        <v>42832</v>
      </c>
      <c r="E296" s="99">
        <f ca="1"/>
        <v>6.8264867214207457E-3</v>
      </c>
      <c r="F296" s="161">
        <f ca="1">_xll.meCurveForwardRates(C296,$D$9,$D$10)</f>
        <v>6.8497751265821361E-3</v>
      </c>
      <c r="G296" s="7" t="s">
        <v>4</v>
      </c>
      <c r="H296" s="149">
        <f t="shared" ca="1" si="8"/>
        <v>42831</v>
      </c>
      <c r="I296" s="20">
        <f ca="1">_xll.meDateFromTenor(H296,"3M","Following",$I$11,"Normal")</f>
        <v>42922</v>
      </c>
      <c r="J296" s="150">
        <f ca="1"/>
        <v>9.8344509027296825E-3</v>
      </c>
      <c r="K296" s="7" t="s">
        <v>4</v>
      </c>
      <c r="L296" s="149" t="e">
        <f ca="1">_xll.meDateFromTenor(L295,"1D","FOLLOWING",#REF!,"NORMAL")</f>
        <v>#VALUE!</v>
      </c>
      <c r="M296" s="155">
        <f ca="1">_xll.meDateYearFraction(C296,D296,$M$11)</f>
        <v>2.7777777777777779E-3</v>
      </c>
      <c r="N296" s="150">
        <f ca="1"/>
        <v>-2.4300000000065936E-3</v>
      </c>
      <c r="O296" s="7" t="s">
        <v>4</v>
      </c>
      <c r="P296" s="149">
        <f t="shared" ca="1" si="9"/>
        <v>42831</v>
      </c>
      <c r="Q296" s="155">
        <f ca="1">_xll.meDateYearFraction(H296,I296,$Q$11,TRUE)</f>
        <v>0.25277777777777777</v>
      </c>
      <c r="R296" s="150">
        <f ca="1">IF(NOW(),_xll.meCurveForwardRatesFromYearFraction(P296,Q296,$Q$11,$Q$9,$Q$10))</f>
        <v>-3.7175485397107962E-3</v>
      </c>
      <c r="S296" s="134" t="s">
        <v>4</v>
      </c>
    </row>
    <row r="297" spans="1:19" x14ac:dyDescent="0.25">
      <c r="A297" s="128">
        <v>281</v>
      </c>
      <c r="B297" s="133"/>
      <c r="C297" s="149">
        <f ca="1">_xll.meDateFromTenor(C296,"1D","FOLLOWING",$D$11,"NORMAL")</f>
        <v>42832</v>
      </c>
      <c r="D297" s="20">
        <f ca="1">_xll.meDateFromTenor(C297,"1D","Following",$D$11,"Normal")</f>
        <v>42835</v>
      </c>
      <c r="E297" s="99">
        <f ca="1"/>
        <v>6.8597935780534657E-3</v>
      </c>
      <c r="F297" s="161">
        <f ca="1">_xll.meCurveForwardRates(C297,$D$9,$D$10)</f>
        <v>6.8665211218414957E-3</v>
      </c>
      <c r="G297" s="7" t="s">
        <v>4</v>
      </c>
      <c r="H297" s="149">
        <f t="shared" ca="1" si="8"/>
        <v>42832</v>
      </c>
      <c r="I297" s="20">
        <f ca="1">_xll.meDateFromTenor(H297,"3M","Following",$I$11,"Normal")</f>
        <v>42923</v>
      </c>
      <c r="J297" s="150">
        <f ca="1"/>
        <v>9.8408145404023529E-3</v>
      </c>
      <c r="K297" s="7" t="s">
        <v>4</v>
      </c>
      <c r="L297" s="149" t="e">
        <f ca="1">_xll.meDateFromTenor(L296,"1D","FOLLOWING",#REF!,"NORMAL")</f>
        <v>#VALUE!</v>
      </c>
      <c r="M297" s="155">
        <f ca="1">_xll.meDateYearFraction(C297,D297,$M$11)</f>
        <v>8.3333333333333332E-3</v>
      </c>
      <c r="N297" s="150">
        <f ca="1"/>
        <v>-2.4300000000065936E-3</v>
      </c>
      <c r="O297" s="7" t="s">
        <v>4</v>
      </c>
      <c r="P297" s="149">
        <f t="shared" ca="1" si="9"/>
        <v>42832</v>
      </c>
      <c r="Q297" s="155">
        <f ca="1">_xll.meDateYearFraction(H297,I297,$Q$11,TRUE)</f>
        <v>0.25277777777777777</v>
      </c>
      <c r="R297" s="150">
        <f ca="1">IF(NOW(),_xll.meCurveForwardRatesFromYearFraction(P297,Q297,$Q$11,$Q$9,$Q$10))</f>
        <v>-3.2921071285201401E-3</v>
      </c>
      <c r="S297" s="134" t="s">
        <v>4</v>
      </c>
    </row>
    <row r="298" spans="1:19" x14ac:dyDescent="0.25">
      <c r="A298" s="128">
        <v>282</v>
      </c>
      <c r="B298" s="133"/>
      <c r="C298" s="149">
        <f ca="1">_xll.meDateFromTenor(C297,"1D","FOLLOWING",$D$11,"NORMAL")</f>
        <v>42835</v>
      </c>
      <c r="D298" s="20">
        <f ca="1">_xll.meDateFromTenor(C298,"1D","Following",$D$11,"Normal")</f>
        <v>42836</v>
      </c>
      <c r="E298" s="99">
        <f ca="1"/>
        <v>6.8925733401576103E-3</v>
      </c>
      <c r="F298" s="161">
        <f ca="1">_xll.meCurveForwardRates(C298,$D$9,$D$10)</f>
        <v>6.9163153546072387E-3</v>
      </c>
      <c r="G298" s="7" t="s">
        <v>4</v>
      </c>
      <c r="H298" s="149">
        <f t="shared" ca="1" si="8"/>
        <v>42835</v>
      </c>
      <c r="I298" s="20">
        <f ca="1">_xll.meDateFromTenor(H298,"3M","Following",$I$11,"Normal")</f>
        <v>42926</v>
      </c>
      <c r="J298" s="150">
        <f ca="1"/>
        <v>9.8599054534203676E-3</v>
      </c>
      <c r="K298" s="7" t="s">
        <v>4</v>
      </c>
      <c r="L298" s="149" t="e">
        <f ca="1">_xll.meDateFromTenor(L297,"1D","FOLLOWING",#REF!,"NORMAL")</f>
        <v>#VALUE!</v>
      </c>
      <c r="M298" s="155">
        <f ca="1">_xll.meDateYearFraction(C298,D298,$M$11)</f>
        <v>2.7777777777777779E-3</v>
      </c>
      <c r="N298" s="150">
        <f ca="1"/>
        <v>-2.4300000000065936E-3</v>
      </c>
      <c r="O298" s="7" t="s">
        <v>4</v>
      </c>
      <c r="P298" s="149">
        <f t="shared" ca="1" si="9"/>
        <v>42835</v>
      </c>
      <c r="Q298" s="155">
        <f ca="1">_xll.meDateYearFraction(H298,I298,$Q$11,TRUE)</f>
        <v>0.25277777777777777</v>
      </c>
      <c r="R298" s="150">
        <f ca="1">IF(NOW(),_xll.meCurveForwardRatesFromYearFraction(P298,Q298,$Q$11,$Q$9,$Q$10))</f>
        <v>-3.7175485397107962E-3</v>
      </c>
      <c r="S298" s="134" t="s">
        <v>4</v>
      </c>
    </row>
    <row r="299" spans="1:19" x14ac:dyDescent="0.25">
      <c r="A299" s="128">
        <v>283</v>
      </c>
      <c r="B299" s="133"/>
      <c r="C299" s="149">
        <f ca="1">_xll.meDateFromTenor(C298,"1D","FOLLOWING",$D$11,"NORMAL")</f>
        <v>42836</v>
      </c>
      <c r="D299" s="20">
        <f ca="1">_xll.meDateFromTenor(C299,"1D","Following",$D$11,"Normal")</f>
        <v>42837</v>
      </c>
      <c r="E299" s="99">
        <f ca="1"/>
        <v>6.9088926111327241E-3</v>
      </c>
      <c r="F299" s="161">
        <f ca="1">_xll.meCurveForwardRates(C299,$D$9,$D$10)</f>
        <v>6.9327473139058071E-3</v>
      </c>
      <c r="G299" s="7" t="s">
        <v>4</v>
      </c>
      <c r="H299" s="149">
        <f t="shared" ca="1" si="8"/>
        <v>42836</v>
      </c>
      <c r="I299" s="20">
        <f ca="1">_xll.meDateFromTenor(H299,"3M","Following",$I$11,"Normal")</f>
        <v>42927</v>
      </c>
      <c r="J299" s="150">
        <f ca="1"/>
        <v>9.8662690910930381E-3</v>
      </c>
      <c r="K299" s="7" t="s">
        <v>4</v>
      </c>
      <c r="L299" s="149" t="e">
        <f ca="1">_xll.meDateFromTenor(L298,"1D","FOLLOWING",#REF!,"NORMAL")</f>
        <v>#VALUE!</v>
      </c>
      <c r="M299" s="155">
        <f ca="1">_xll.meDateYearFraction(C299,D299,$M$11)</f>
        <v>2.7777777777777779E-3</v>
      </c>
      <c r="N299" s="150">
        <f ca="1"/>
        <v>-2.4300000000065936E-3</v>
      </c>
      <c r="O299" s="7" t="s">
        <v>4</v>
      </c>
      <c r="P299" s="149">
        <f t="shared" ca="1" si="9"/>
        <v>42836</v>
      </c>
      <c r="Q299" s="155">
        <f ca="1">_xll.meDateYearFraction(H299,I299,$Q$11,TRUE)</f>
        <v>0.25277777777777777</v>
      </c>
      <c r="R299" s="150">
        <f ca="1">IF(NOW(),_xll.meCurveForwardRatesFromYearFraction(P299,Q299,$Q$11,$Q$9,$Q$10))</f>
        <v>-3.2828648748967175E-3</v>
      </c>
      <c r="S299" s="134" t="s">
        <v>4</v>
      </c>
    </row>
    <row r="300" spans="1:19" x14ac:dyDescent="0.25">
      <c r="A300" s="128">
        <v>284</v>
      </c>
      <c r="B300" s="133"/>
      <c r="C300" s="149">
        <f ca="1">_xll.meDateFromTenor(C299,"1D","FOLLOWING",$D$11,"NORMAL")</f>
        <v>42837</v>
      </c>
      <c r="D300" s="20">
        <f ca="1">_xll.meDateFromTenor(C300,"1D","Following",$D$11,"Normal")</f>
        <v>42838</v>
      </c>
      <c r="E300" s="99">
        <f ca="1"/>
        <v>6.9251284277438672E-3</v>
      </c>
      <c r="F300" s="161">
        <f ca="1">_xll.meCurveForwardRates(C300,$D$9,$D$10)</f>
        <v>6.9490955079309913E-3</v>
      </c>
      <c r="G300" s="7" t="s">
        <v>4</v>
      </c>
      <c r="H300" s="149">
        <f t="shared" ca="1" si="8"/>
        <v>42837</v>
      </c>
      <c r="I300" s="20">
        <f ca="1">_xll.meDateFromTenor(H300,"3M","Following",$I$11,"Normal")</f>
        <v>42928</v>
      </c>
      <c r="J300" s="150">
        <f ca="1"/>
        <v>9.8726327287657102E-3</v>
      </c>
      <c r="K300" s="7" t="s">
        <v>4</v>
      </c>
      <c r="L300" s="149" t="e">
        <f ca="1">_xll.meDateFromTenor(L299,"1D","FOLLOWING",#REF!,"NORMAL")</f>
        <v>#VALUE!</v>
      </c>
      <c r="M300" s="155">
        <f ca="1">_xll.meDateYearFraction(C300,D300,$M$11)</f>
        <v>2.7777777777777779E-3</v>
      </c>
      <c r="N300" s="150">
        <f ca="1"/>
        <v>-2.4300000000065936E-3</v>
      </c>
      <c r="O300" s="7" t="s">
        <v>4</v>
      </c>
      <c r="P300" s="149">
        <f t="shared" ca="1" si="9"/>
        <v>42837</v>
      </c>
      <c r="Q300" s="155">
        <f ca="1">_xll.meDateYearFraction(H300,I300,$Q$11,TRUE)</f>
        <v>0.25277777777777777</v>
      </c>
      <c r="R300" s="150">
        <f ca="1">IF(NOW(),_xll.meCurveForwardRatesFromYearFraction(P300,Q300,$Q$11,$Q$9,$Q$10))</f>
        <v>-3.7175485397107962E-3</v>
      </c>
      <c r="S300" s="134" t="s">
        <v>4</v>
      </c>
    </row>
    <row r="301" spans="1:19" x14ac:dyDescent="0.25">
      <c r="A301" s="128">
        <v>285</v>
      </c>
      <c r="B301" s="133"/>
      <c r="C301" s="149">
        <f ca="1">_xll.meDateFromTenor(C300,"1D","FOLLOWING",$D$11,"NORMAL")</f>
        <v>42838</v>
      </c>
      <c r="D301" s="20">
        <f ca="1">_xll.meDateFromTenor(C301,"1D","Following",$D$11,"Normal")</f>
        <v>42843</v>
      </c>
      <c r="E301" s="99">
        <f ca="1"/>
        <v>6.9735043406673721E-3</v>
      </c>
      <c r="F301" s="161">
        <f ca="1">_xll.meCurveForwardRates(C301,$D$9,$D$10)</f>
        <v>6.965358673641342E-3</v>
      </c>
      <c r="G301" s="7" t="s">
        <v>4</v>
      </c>
      <c r="H301" s="149">
        <f t="shared" ca="1" si="8"/>
        <v>42838</v>
      </c>
      <c r="I301" s="20">
        <f ca="1">_xll.meDateFromTenor(H301,"3M","Following",$I$11,"Normal")</f>
        <v>42929</v>
      </c>
      <c r="J301" s="150">
        <f ca="1"/>
        <v>9.8789963664383806E-3</v>
      </c>
      <c r="K301" s="7" t="s">
        <v>4</v>
      </c>
      <c r="L301" s="149" t="e">
        <f ca="1">_xll.meDateFromTenor(L300,"1D","FOLLOWING",#REF!,"NORMAL")</f>
        <v>#VALUE!</v>
      </c>
      <c r="M301" s="155">
        <f ca="1">_xll.meDateYearFraction(C301,D301,$M$11)</f>
        <v>1.3888888888888888E-2</v>
      </c>
      <c r="N301" s="150">
        <f ca="1"/>
        <v>-2.4300000000065936E-3</v>
      </c>
      <c r="O301" s="7" t="s">
        <v>4</v>
      </c>
      <c r="P301" s="149">
        <f t="shared" ca="1" si="9"/>
        <v>42838</v>
      </c>
      <c r="Q301" s="155">
        <f ca="1">_xll.meDateYearFraction(H301,I301,$Q$11,TRUE)</f>
        <v>0.25277777777777777</v>
      </c>
      <c r="R301" s="150">
        <f ca="1">IF(NOW(),_xll.meCurveForwardRatesFromYearFraction(P301,Q301,$Q$11,$Q$9,$Q$10))</f>
        <v>-3.2783057961404457E-3</v>
      </c>
      <c r="S301" s="134" t="s">
        <v>4</v>
      </c>
    </row>
    <row r="302" spans="1:19" x14ac:dyDescent="0.25">
      <c r="A302" s="128">
        <v>286</v>
      </c>
      <c r="B302" s="133"/>
      <c r="C302" s="149">
        <f ca="1">_xll.meDateFromTenor(C301,"1D","FOLLOWING",$D$11,"NORMAL")</f>
        <v>42843</v>
      </c>
      <c r="D302" s="20">
        <f ca="1">_xll.meDateFromTenor(C302,"1D","Following",$D$11,"Normal")</f>
        <v>42844</v>
      </c>
      <c r="E302" s="99">
        <f ca="1"/>
        <v>7.0207207637907028E-3</v>
      </c>
      <c r="F302" s="161">
        <f ca="1">_xll.meCurveForwardRates(C302,$D$9,$D$10)</f>
        <v>7.0453548605355909E-3</v>
      </c>
      <c r="G302" s="7" t="s">
        <v>4</v>
      </c>
      <c r="H302" s="149">
        <f t="shared" ca="1" si="8"/>
        <v>42843</v>
      </c>
      <c r="I302" s="20">
        <f ca="1">_xll.meDateFromTenor(H302,"3M","Following",$I$11,"Normal")</f>
        <v>42934</v>
      </c>
      <c r="J302" s="150">
        <f ca="1"/>
        <v>9.910814554801738E-3</v>
      </c>
      <c r="K302" s="7" t="s">
        <v>4</v>
      </c>
      <c r="L302" s="149" t="e">
        <f ca="1">_xll.meDateFromTenor(L301,"1D","FOLLOWING",#REF!,"NORMAL")</f>
        <v>#VALUE!</v>
      </c>
      <c r="M302" s="155">
        <f ca="1">_xll.meDateYearFraction(C302,D302,$M$11)</f>
        <v>2.7777777777777779E-3</v>
      </c>
      <c r="N302" s="150">
        <f ca="1"/>
        <v>-2.4300000000065936E-3</v>
      </c>
      <c r="O302" s="7" t="s">
        <v>4</v>
      </c>
      <c r="P302" s="149">
        <f t="shared" ca="1" si="9"/>
        <v>42843</v>
      </c>
      <c r="Q302" s="155">
        <f ca="1">_xll.meDateYearFraction(H302,I302,$Q$11,TRUE)</f>
        <v>0.25277777777777777</v>
      </c>
      <c r="R302" s="150">
        <f ca="1">IF(NOW(),_xll.meCurveForwardRatesFromYearFraction(P302,Q302,$Q$11,$Q$9,$Q$10))</f>
        <v>-3.2670907948281311E-3</v>
      </c>
      <c r="S302" s="134" t="s">
        <v>4</v>
      </c>
    </row>
    <row r="303" spans="1:19" x14ac:dyDescent="0.25">
      <c r="A303" s="128">
        <v>287</v>
      </c>
      <c r="B303" s="133"/>
      <c r="C303" s="149">
        <f ca="1">_xll.meDateFromTenor(C302,"1D","FOLLOWING",$D$11,"NORMAL")</f>
        <v>42844</v>
      </c>
      <c r="D303" s="20">
        <f ca="1">_xll.meDateFromTenor(C303,"1D","Following",$D$11,"Normal")</f>
        <v>42845</v>
      </c>
      <c r="E303" s="99">
        <f ca="1"/>
        <v>7.036337388504091E-3</v>
      </c>
      <c r="F303" s="161">
        <f ca="1">_xll.meCurveForwardRates(C303,$D$9,$D$10)</f>
        <v>7.0610813256699601E-3</v>
      </c>
      <c r="G303" s="7" t="s">
        <v>4</v>
      </c>
      <c r="H303" s="149">
        <f t="shared" ca="1" si="8"/>
        <v>42844</v>
      </c>
      <c r="I303" s="20">
        <f ca="1">_xll.meDateFromTenor(H303,"3M","Following",$I$11,"Normal")</f>
        <v>42935</v>
      </c>
      <c r="J303" s="150">
        <f ca="1"/>
        <v>9.9171781924744101E-3</v>
      </c>
      <c r="K303" s="7" t="s">
        <v>4</v>
      </c>
      <c r="L303" s="149" t="e">
        <f ca="1">_xll.meDateFromTenor(L302,"1D","FOLLOWING",#REF!,"NORMAL")</f>
        <v>#VALUE!</v>
      </c>
      <c r="M303" s="155">
        <f ca="1">_xll.meDateYearFraction(C303,D303,$M$11)</f>
        <v>2.7777777777777779E-3</v>
      </c>
      <c r="N303" s="150">
        <f ca="1"/>
        <v>-2.4300000000065936E-3</v>
      </c>
      <c r="O303" s="7" t="s">
        <v>4</v>
      </c>
      <c r="P303" s="149">
        <f t="shared" ca="1" si="9"/>
        <v>42844</v>
      </c>
      <c r="Q303" s="155">
        <f ca="1">_xll.meDateYearFraction(H303,I303,$Q$11,TRUE)</f>
        <v>0.25277777777777777</v>
      </c>
      <c r="R303" s="150">
        <f ca="1">IF(NOW(),_xll.meCurveForwardRatesFromYearFraction(P303,Q303,$Q$11,$Q$9,$Q$10))</f>
        <v>-3.2648793285089727E-3</v>
      </c>
      <c r="S303" s="134" t="s">
        <v>4</v>
      </c>
    </row>
    <row r="304" spans="1:19" x14ac:dyDescent="0.25">
      <c r="A304" s="128">
        <v>288</v>
      </c>
      <c r="B304" s="133"/>
      <c r="C304" s="149">
        <f ca="1">_xll.meDateFromTenor(C303,"1D","FOLLOWING",$D$11,"NORMAL")</f>
        <v>42845</v>
      </c>
      <c r="D304" s="20">
        <f ca="1">_xll.meDateFromTenor(C304,"1D","Following",$D$11,"Normal")</f>
        <v>42846</v>
      </c>
      <c r="E304" s="99">
        <f ca="1"/>
        <v>7.0518605555758536E-3</v>
      </c>
      <c r="F304" s="161">
        <f ca="1">_xll.meCurveForwardRates(C304,$D$9,$D$10)</f>
        <v>7.0767139185381467E-3</v>
      </c>
      <c r="G304" s="7" t="s">
        <v>4</v>
      </c>
      <c r="H304" s="149">
        <f t="shared" ca="1" si="8"/>
        <v>42845</v>
      </c>
      <c r="I304" s="20">
        <f ca="1">_xll.meDateFromTenor(H304,"3M","Following",$I$11,"Normal")</f>
        <v>42936</v>
      </c>
      <c r="J304" s="150">
        <f ca="1"/>
        <v>9.9235418301470806E-3</v>
      </c>
      <c r="K304" s="7" t="s">
        <v>4</v>
      </c>
      <c r="L304" s="149" t="e">
        <f ca="1">_xll.meDateFromTenor(L303,"1D","FOLLOWING",#REF!,"NORMAL")</f>
        <v>#VALUE!</v>
      </c>
      <c r="M304" s="155">
        <f ca="1">_xll.meDateYearFraction(C304,D304,$M$11)</f>
        <v>2.7777777777777779E-3</v>
      </c>
      <c r="N304" s="150">
        <f ca="1"/>
        <v>-2.4300000000065936E-3</v>
      </c>
      <c r="O304" s="7" t="s">
        <v>4</v>
      </c>
      <c r="P304" s="149">
        <f t="shared" ca="1" si="9"/>
        <v>42845</v>
      </c>
      <c r="Q304" s="155">
        <f ca="1">_xll.meDateYearFraction(H304,I304,$Q$11,TRUE)</f>
        <v>0.25277777777777777</v>
      </c>
      <c r="R304" s="150">
        <f ca="1">IF(NOW(),_xll.meCurveForwardRatesFromYearFraction(P304,Q304,$Q$11,$Q$9,$Q$10))</f>
        <v>-3.7175485397107962E-3</v>
      </c>
      <c r="S304" s="134" t="s">
        <v>4</v>
      </c>
    </row>
    <row r="305" spans="1:19" x14ac:dyDescent="0.25">
      <c r="A305" s="128">
        <v>289</v>
      </c>
      <c r="B305" s="133"/>
      <c r="C305" s="149">
        <f ca="1">_xll.meDateFromTenor(C304,"1D","FOLLOWING",$D$11,"NORMAL")</f>
        <v>42846</v>
      </c>
      <c r="D305" s="20">
        <f ca="1">_xll.meDateFromTenor(C305,"1D","Following",$D$11,"Normal")</f>
        <v>42849</v>
      </c>
      <c r="E305" s="99">
        <f ca="1"/>
        <v>7.0827284546393339E-3</v>
      </c>
      <c r="F305" s="161">
        <f ca="1">_xll.meCurveForwardRates(C305,$D$9,$D$10)</f>
        <v>7.0922410242972855E-3</v>
      </c>
      <c r="G305" s="7" t="s">
        <v>4</v>
      </c>
      <c r="H305" s="149">
        <f t="shared" ca="1" si="8"/>
        <v>42846</v>
      </c>
      <c r="I305" s="20">
        <f ca="1">_xll.meDateFromTenor(H305,"3M","Following",$I$11,"Normal")</f>
        <v>42937</v>
      </c>
      <c r="J305" s="150">
        <f ca="1"/>
        <v>9.9299054678197527E-3</v>
      </c>
      <c r="K305" s="7" t="s">
        <v>4</v>
      </c>
      <c r="L305" s="149" t="e">
        <f ca="1">_xll.meDateFromTenor(L304,"1D","FOLLOWING",#REF!,"NORMAL")</f>
        <v>#VALUE!</v>
      </c>
      <c r="M305" s="155">
        <f ca="1">_xll.meDateYearFraction(C305,D305,$M$11)</f>
        <v>8.3333333333333332E-3</v>
      </c>
      <c r="N305" s="150">
        <f ca="1"/>
        <v>-2.4300000000065936E-3</v>
      </c>
      <c r="O305" s="7" t="s">
        <v>4</v>
      </c>
      <c r="P305" s="149">
        <f t="shared" ca="1" si="9"/>
        <v>42846</v>
      </c>
      <c r="Q305" s="155">
        <f ca="1">_xll.meDateYearFraction(H305,I305,$Q$11,TRUE)</f>
        <v>0.25277777777777777</v>
      </c>
      <c r="R305" s="150">
        <f ca="1">IF(NOW(),_xll.meCurveForwardRatesFromYearFraction(P305,Q305,$Q$11,$Q$9,$Q$10))</f>
        <v>-3.2604881445152589E-3</v>
      </c>
      <c r="S305" s="134" t="s">
        <v>4</v>
      </c>
    </row>
    <row r="306" spans="1:19" x14ac:dyDescent="0.25">
      <c r="A306" s="128">
        <v>290</v>
      </c>
      <c r="B306" s="133"/>
      <c r="C306" s="149">
        <f ca="1">_xll.meDateFromTenor(C305,"1D","FOLLOWING",$D$11,"NORMAL")</f>
        <v>42849</v>
      </c>
      <c r="D306" s="20">
        <f ca="1">_xll.meDateFromTenor(C306,"1D","Following",$D$11,"Normal")</f>
        <v>42850</v>
      </c>
      <c r="E306" s="99">
        <f ca="1"/>
        <v>7.1129936388114852E-3</v>
      </c>
      <c r="F306" s="161">
        <f ca="1">_xll.meCurveForwardRates(C306,$D$9,$D$10)</f>
        <v>7.138280293746524E-3</v>
      </c>
      <c r="G306" s="7" t="s">
        <v>4</v>
      </c>
      <c r="H306" s="149">
        <f t="shared" ca="1" si="8"/>
        <v>42849</v>
      </c>
      <c r="I306" s="20">
        <f ca="1">_xll.meDateFromTenor(H306,"3M","Following",$I$11,"Normal")</f>
        <v>42940</v>
      </c>
      <c r="J306" s="150">
        <f ca="1"/>
        <v>9.9489963808377657E-3</v>
      </c>
      <c r="K306" s="7" t="s">
        <v>4</v>
      </c>
      <c r="L306" s="149" t="e">
        <f ca="1">_xll.meDateFromTenor(L305,"1D","FOLLOWING",#REF!,"NORMAL")</f>
        <v>#VALUE!</v>
      </c>
      <c r="M306" s="155">
        <f ca="1">_xll.meDateYearFraction(C306,D306,$M$11)</f>
        <v>2.7777777777777779E-3</v>
      </c>
      <c r="N306" s="150">
        <f ca="1"/>
        <v>-2.4300000000065936E-3</v>
      </c>
      <c r="O306" s="7" t="s">
        <v>4</v>
      </c>
      <c r="P306" s="149">
        <f t="shared" ca="1" si="9"/>
        <v>42849</v>
      </c>
      <c r="Q306" s="155">
        <f ca="1">_xll.meDateYearFraction(H306,I306,$Q$11,TRUE)</f>
        <v>0.25277777777777777</v>
      </c>
      <c r="R306" s="150">
        <f ca="1">IF(NOW(),_xll.meCurveForwardRatesFromYearFraction(P306,Q306,$Q$11,$Q$9,$Q$10))</f>
        <v>-3.7175485397107962E-3</v>
      </c>
      <c r="S306" s="134" t="s">
        <v>4</v>
      </c>
    </row>
    <row r="307" spans="1:19" x14ac:dyDescent="0.25">
      <c r="A307" s="128">
        <v>291</v>
      </c>
      <c r="B307" s="133"/>
      <c r="C307" s="149">
        <f ca="1">_xll.meDateFromTenor(C306,"1D","FOLLOWING",$D$11,"NORMAL")</f>
        <v>42850</v>
      </c>
      <c r="D307" s="20">
        <f ca="1">_xll.meDateFromTenor(C307,"1D","Following",$D$11,"Normal")</f>
        <v>42851</v>
      </c>
      <c r="E307" s="99">
        <f ca="1"/>
        <v>7.1280307613186518E-3</v>
      </c>
      <c r="F307" s="161">
        <f ca="1">_xll.meCurveForwardRates(C307,$D$9,$D$10)</f>
        <v>7.1534245697699728E-3</v>
      </c>
      <c r="G307" s="7" t="s">
        <v>4</v>
      </c>
      <c r="H307" s="149">
        <f t="shared" ca="1" si="8"/>
        <v>42850</v>
      </c>
      <c r="I307" s="20">
        <f ca="1">_xll.meDateFromTenor(H307,"3M","Following",$I$11,"Normal")</f>
        <v>42941</v>
      </c>
      <c r="J307" s="150">
        <f ca="1"/>
        <v>9.9553600185104361E-3</v>
      </c>
      <c r="K307" s="7" t="s">
        <v>4</v>
      </c>
      <c r="L307" s="149" t="e">
        <f ca="1">_xll.meDateFromTenor(L306,"1D","FOLLOWING",#REF!,"NORMAL")</f>
        <v>#VALUE!</v>
      </c>
      <c r="M307" s="155">
        <f ca="1">_xll.meDateYearFraction(C307,D307,$M$11)</f>
        <v>2.7777777777777779E-3</v>
      </c>
      <c r="N307" s="150">
        <f ca="1"/>
        <v>-2.4300000000065936E-3</v>
      </c>
      <c r="O307" s="7" t="s">
        <v>4</v>
      </c>
      <c r="P307" s="149">
        <f t="shared" ca="1" si="9"/>
        <v>42850</v>
      </c>
      <c r="Q307" s="155">
        <f ca="1">_xll.meDateYearFraction(H307,I307,$Q$11,TRUE)</f>
        <v>0.25277777777777777</v>
      </c>
      <c r="R307" s="150">
        <f ca="1">IF(NOW(),_xll.meCurveForwardRatesFromYearFraction(P307,Q307,$Q$11,$Q$9,$Q$10))</f>
        <v>-3.7175485397107962E-3</v>
      </c>
      <c r="S307" s="134" t="s">
        <v>4</v>
      </c>
    </row>
    <row r="308" spans="1:19" x14ac:dyDescent="0.25">
      <c r="A308" s="128">
        <v>292</v>
      </c>
      <c r="B308" s="133"/>
      <c r="C308" s="149">
        <f ca="1">_xll.meDateFromTenor(C307,"1D","FOLLOWING",$D$11,"NORMAL")</f>
        <v>42851</v>
      </c>
      <c r="D308" s="20">
        <f ca="1">_xll.meDateFromTenor(C308,"1D","Following",$D$11,"Normal")</f>
        <v>42852</v>
      </c>
      <c r="E308" s="99">
        <f ca="1"/>
        <v>7.1429669235456824E-3</v>
      </c>
      <c r="F308" s="161">
        <f ca="1">_xll.meCurveForwardRates(C308,$D$9,$D$10)</f>
        <v>7.1684673908865015E-3</v>
      </c>
      <c r="G308" s="7" t="s">
        <v>4</v>
      </c>
      <c r="H308" s="149">
        <f t="shared" ca="1" si="8"/>
        <v>42851</v>
      </c>
      <c r="I308" s="20">
        <f ca="1">_xll.meDateFromTenor(H308,"3M","Following",$I$11,"Normal")</f>
        <v>42942</v>
      </c>
      <c r="J308" s="150">
        <f ca="1"/>
        <v>9.9617236561831083E-3</v>
      </c>
      <c r="K308" s="7" t="s">
        <v>4</v>
      </c>
      <c r="L308" s="149" t="e">
        <f ca="1">_xll.meDateFromTenor(L307,"1D","FOLLOWING",#REF!,"NORMAL")</f>
        <v>#VALUE!</v>
      </c>
      <c r="M308" s="155">
        <f ca="1">_xll.meDateYearFraction(C308,D308,$M$11)</f>
        <v>2.7777777777777779E-3</v>
      </c>
      <c r="N308" s="150">
        <f ca="1"/>
        <v>-2.4300000000065936E-3</v>
      </c>
      <c r="O308" s="7" t="s">
        <v>4</v>
      </c>
      <c r="P308" s="149">
        <f t="shared" ca="1" si="9"/>
        <v>42851</v>
      </c>
      <c r="Q308" s="155">
        <f ca="1">_xll.meDateYearFraction(H308,I308,$Q$11,TRUE)</f>
        <v>0.25277777777777777</v>
      </c>
      <c r="R308" s="150">
        <f ca="1">IF(NOW(),_xll.meCurveForwardRatesFromYearFraction(P308,Q308,$Q$11,$Q$9,$Q$10))</f>
        <v>-3.7175485397107962E-3</v>
      </c>
      <c r="S308" s="134" t="s">
        <v>4</v>
      </c>
    </row>
    <row r="309" spans="1:19" x14ac:dyDescent="0.25">
      <c r="A309" s="128">
        <v>293</v>
      </c>
      <c r="B309" s="133"/>
      <c r="C309" s="149">
        <f ca="1">_xll.meDateFromTenor(C308,"1D","FOLLOWING",$D$11,"NORMAL")</f>
        <v>42852</v>
      </c>
      <c r="D309" s="20">
        <f ca="1">_xll.meDateFromTenor(C309,"1D","Following",$D$11,"Normal")</f>
        <v>42853</v>
      </c>
      <c r="E309" s="99">
        <f ca="1"/>
        <v>7.1578008752126972E-3</v>
      </c>
      <c r="F309" s="161">
        <f ca="1">_xll.meCurveForwardRates(C309,$D$9,$D$10)</f>
        <v>7.1834074933194714E-3</v>
      </c>
      <c r="G309" s="7" t="s">
        <v>4</v>
      </c>
      <c r="H309" s="149">
        <f t="shared" ca="1" si="8"/>
        <v>42852</v>
      </c>
      <c r="I309" s="20">
        <f ca="1">_xll.meDateFromTenor(H309,"3M","Following",$I$11,"Normal")</f>
        <v>42943</v>
      </c>
      <c r="J309" s="150">
        <f ca="1"/>
        <v>9.9680872938557787E-3</v>
      </c>
      <c r="K309" s="7" t="s">
        <v>4</v>
      </c>
      <c r="L309" s="149" t="e">
        <f ca="1">_xll.meDateFromTenor(L308,"1D","FOLLOWING",#REF!,"NORMAL")</f>
        <v>#VALUE!</v>
      </c>
      <c r="M309" s="155">
        <f ca="1">_xll.meDateYearFraction(C309,D309,$M$11)</f>
        <v>2.7777777777777779E-3</v>
      </c>
      <c r="N309" s="150">
        <f ca="1"/>
        <v>-2.4300000000065936E-3</v>
      </c>
      <c r="O309" s="7" t="s">
        <v>4</v>
      </c>
      <c r="P309" s="149">
        <f t="shared" ca="1" si="9"/>
        <v>42852</v>
      </c>
      <c r="Q309" s="155">
        <f ca="1">_xll.meDateYearFraction(H309,I309,$Q$11,TRUE)</f>
        <v>0.25277777777777777</v>
      </c>
      <c r="R309" s="150">
        <f ca="1">IF(NOW(),_xll.meCurveForwardRatesFromYearFraction(P309,Q309,$Q$11,$Q$9,$Q$10))</f>
        <v>-3.2475705140026325E-3</v>
      </c>
      <c r="S309" s="134" t="s">
        <v>4</v>
      </c>
    </row>
    <row r="310" spans="1:19" x14ac:dyDescent="0.25">
      <c r="A310" s="128">
        <v>294</v>
      </c>
      <c r="B310" s="133"/>
      <c r="C310" s="149">
        <f ca="1">_xll.meDateFromTenor(C309,"1D","FOLLOWING",$D$11,"NORMAL")</f>
        <v>42853</v>
      </c>
      <c r="D310" s="20">
        <f ca="1">_xll.meDateFromTenor(C310,"1D","Following",$D$11,"Normal")</f>
        <v>42857</v>
      </c>
      <c r="E310" s="99">
        <f ca="1"/>
        <v>7.1945794246586455E-3</v>
      </c>
      <c r="F310" s="161">
        <f ca="1">_xll.meCurveForwardRates(C310,$D$9,$D$10)</f>
        <v>7.198232283983419E-3</v>
      </c>
      <c r="G310" s="7" t="s">
        <v>4</v>
      </c>
      <c r="H310" s="149">
        <f t="shared" ca="1" si="8"/>
        <v>42853</v>
      </c>
      <c r="I310" s="20">
        <f ca="1">_xll.meDateFromTenor(H310,"3M","Following",$I$11,"Normal")</f>
        <v>42944</v>
      </c>
      <c r="J310" s="150">
        <f ca="1"/>
        <v>9.9744509315284509E-3</v>
      </c>
      <c r="K310" s="7" t="s">
        <v>4</v>
      </c>
      <c r="L310" s="149" t="e">
        <f ca="1">_xll.meDateFromTenor(L309,"1D","FOLLOWING",#REF!,"NORMAL")</f>
        <v>#VALUE!</v>
      </c>
      <c r="M310" s="155">
        <f ca="1">_xll.meDateYearFraction(C310,D310,$M$11)</f>
        <v>1.1111111111111112E-2</v>
      </c>
      <c r="N310" s="150">
        <f ca="1"/>
        <v>-2.4300000000065936E-3</v>
      </c>
      <c r="O310" s="7" t="s">
        <v>4</v>
      </c>
      <c r="P310" s="149">
        <f t="shared" ca="1" si="9"/>
        <v>42853</v>
      </c>
      <c r="Q310" s="155">
        <f ca="1">_xll.meDateYearFraction(H310,I310,$Q$11,TRUE)</f>
        <v>0.25277777777777777</v>
      </c>
      <c r="R310" s="150">
        <f ca="1">IF(NOW(),_xll.meCurveForwardRatesFromYearFraction(P310,Q310,$Q$11,$Q$9,$Q$10))</f>
        <v>-3.7175485397107962E-3</v>
      </c>
      <c r="S310" s="134" t="s">
        <v>4</v>
      </c>
    </row>
    <row r="311" spans="1:19" x14ac:dyDescent="0.25">
      <c r="A311" s="128">
        <v>295</v>
      </c>
      <c r="B311" s="133"/>
      <c r="C311" s="149">
        <f ca="1">_xll.meDateFromTenor(C310,"1D","FOLLOWING",$D$11,"NORMAL")</f>
        <v>42857</v>
      </c>
      <c r="D311" s="20">
        <f ca="1">_xll.meDateFromTenor(C311,"1D","Following",$D$11,"Normal")</f>
        <v>42858</v>
      </c>
      <c r="E311" s="99">
        <f ca="1"/>
        <v>7.2303937098355834E-3</v>
      </c>
      <c r="F311" s="161">
        <f ca="1">_xll.meCurveForwardRates(C311,$D$9,$D$10)</f>
        <v>7.2565229845418244E-3</v>
      </c>
      <c r="G311" s="7" t="s">
        <v>4</v>
      </c>
      <c r="H311" s="149">
        <f t="shared" ca="1" si="8"/>
        <v>42857</v>
      </c>
      <c r="I311" s="20">
        <f ca="1">_xll.meDateFromTenor(H311,"3M","Following",$I$11,"Normal")</f>
        <v>42949</v>
      </c>
      <c r="J311" s="150">
        <f ca="1"/>
        <v>9.9999054822191361E-3</v>
      </c>
      <c r="K311" s="7" t="s">
        <v>4</v>
      </c>
      <c r="L311" s="149" t="e">
        <f ca="1">_xll.meDateFromTenor(L310,"1D","FOLLOWING",#REF!,"NORMAL")</f>
        <v>#VALUE!</v>
      </c>
      <c r="M311" s="155">
        <f ca="1">_xll.meDateYearFraction(C311,D311,$M$11)</f>
        <v>2.7777777777777779E-3</v>
      </c>
      <c r="N311" s="150">
        <f ca="1"/>
        <v>-2.4300000000065936E-3</v>
      </c>
      <c r="O311" s="7" t="s">
        <v>4</v>
      </c>
      <c r="P311" s="149">
        <f t="shared" ca="1" si="9"/>
        <v>42857</v>
      </c>
      <c r="Q311" s="155">
        <f ca="1">_xll.meDateYearFraction(H311,I311,$Q$11,TRUE)</f>
        <v>0.25555555555555554</v>
      </c>
      <c r="R311" s="150">
        <f ca="1">IF(NOW(),_xll.meCurveForwardRatesFromYearFraction(P311,Q311,$Q$11,$Q$9,$Q$10))</f>
        <v>-3.2371022634128817E-3</v>
      </c>
      <c r="S311" s="134" t="s">
        <v>4</v>
      </c>
    </row>
    <row r="312" spans="1:19" x14ac:dyDescent="0.25">
      <c r="A312" s="128">
        <v>296</v>
      </c>
      <c r="B312" s="133"/>
      <c r="C312" s="149">
        <f ca="1">_xll.meDateFromTenor(C311,"1D","FOLLOWING",$D$11,"NORMAL")</f>
        <v>42858</v>
      </c>
      <c r="D312" s="20">
        <f ca="1">_xll.meDateFromTenor(C312,"1D","Following",$D$11,"Normal")</f>
        <v>42859</v>
      </c>
      <c r="E312" s="99">
        <f ca="1"/>
        <v>7.2445881389882321E-3</v>
      </c>
      <c r="F312" s="161">
        <f ca="1">_xll.meCurveForwardRates(C312,$D$9,$D$10)</f>
        <v>7.2708202299323066E-3</v>
      </c>
      <c r="G312" s="7" t="s">
        <v>4</v>
      </c>
      <c r="H312" s="149">
        <f t="shared" ca="1" si="8"/>
        <v>42858</v>
      </c>
      <c r="I312" s="20">
        <f ca="1">_xll.meDateFromTenor(H312,"3M","Following",$I$11,"Normal")</f>
        <v>42950</v>
      </c>
      <c r="J312" s="150">
        <f ca="1"/>
        <v>1.0006269119891806E-2</v>
      </c>
      <c r="K312" s="7" t="s">
        <v>4</v>
      </c>
      <c r="L312" s="149" t="e">
        <f ca="1">_xll.meDateFromTenor(L311,"1D","FOLLOWING",#REF!,"NORMAL")</f>
        <v>#VALUE!</v>
      </c>
      <c r="M312" s="155">
        <f ca="1">_xll.meDateYearFraction(C312,D312,$M$11)</f>
        <v>2.7777777777777779E-3</v>
      </c>
      <c r="N312" s="150">
        <f ca="1"/>
        <v>-2.4300000000065936E-3</v>
      </c>
      <c r="O312" s="7" t="s">
        <v>4</v>
      </c>
      <c r="P312" s="149">
        <f t="shared" ca="1" si="9"/>
        <v>42858</v>
      </c>
      <c r="Q312" s="155">
        <f ca="1">_xll.meDateYearFraction(H312,I312,$Q$11,TRUE)</f>
        <v>0.25555555555555554</v>
      </c>
      <c r="R312" s="150">
        <f ca="1">IF(NOW(),_xll.meCurveForwardRatesFromYearFraction(P312,Q312,$Q$11,$Q$9,$Q$10))</f>
        <v>-3.7175485397107962E-3</v>
      </c>
      <c r="S312" s="134" t="s">
        <v>4</v>
      </c>
    </row>
    <row r="313" spans="1:19" x14ac:dyDescent="0.25">
      <c r="A313" s="128">
        <v>297</v>
      </c>
      <c r="B313" s="133"/>
      <c r="C313" s="149">
        <f ca="1">_xll.meDateFromTenor(C312,"1D","FOLLOWING",$D$11,"NORMAL")</f>
        <v>42859</v>
      </c>
      <c r="D313" s="20">
        <f ca="1">_xll.meDateFromTenor(C313,"1D","Following",$D$11,"Normal")</f>
        <v>42860</v>
      </c>
      <c r="E313" s="99">
        <f ca="1"/>
        <v>7.2586716045819604E-3</v>
      </c>
      <c r="F313" s="161">
        <f ca="1">_xll.meCurveForwardRates(C313,$D$9,$D$10)</f>
        <v>7.2850059080160623E-3</v>
      </c>
      <c r="G313" s="7" t="s">
        <v>4</v>
      </c>
      <c r="H313" s="149">
        <f t="shared" ca="1" si="8"/>
        <v>42859</v>
      </c>
      <c r="I313" s="20">
        <f ca="1">_xll.meDateFromTenor(H313,"3M","Following",$I$11,"Normal")</f>
        <v>42951</v>
      </c>
      <c r="J313" s="150">
        <f ca="1"/>
        <v>1.0012632757564479E-2</v>
      </c>
      <c r="K313" s="7" t="s">
        <v>4</v>
      </c>
      <c r="L313" s="149" t="e">
        <f ca="1">_xll.meDateFromTenor(L312,"1D","FOLLOWING",#REF!,"NORMAL")</f>
        <v>#VALUE!</v>
      </c>
      <c r="M313" s="155">
        <f ca="1">_xll.meDateYearFraction(C313,D313,$M$11)</f>
        <v>2.7777777777777779E-3</v>
      </c>
      <c r="N313" s="150">
        <f ca="1"/>
        <v>-2.4300000000065936E-3</v>
      </c>
      <c r="O313" s="7" t="s">
        <v>4</v>
      </c>
      <c r="P313" s="149">
        <f t="shared" ca="1" si="9"/>
        <v>42859</v>
      </c>
      <c r="Q313" s="155">
        <f ca="1">_xll.meDateYearFraction(H313,I313,$Q$11,TRUE)</f>
        <v>0.25555555555555554</v>
      </c>
      <c r="R313" s="150">
        <f ca="1">IF(NOW(),_xll.meCurveForwardRatesFromYearFraction(P313,Q313,$Q$11,$Q$9,$Q$10))</f>
        <v>-3.2329912350901476E-3</v>
      </c>
      <c r="S313" s="134" t="s">
        <v>4</v>
      </c>
    </row>
    <row r="314" spans="1:19" x14ac:dyDescent="0.25">
      <c r="A314" s="128">
        <v>298</v>
      </c>
      <c r="B314" s="133"/>
      <c r="C314" s="149">
        <f ca="1">_xll.meDateFromTenor(C313,"1D","FOLLOWING",$D$11,"NORMAL")</f>
        <v>42860</v>
      </c>
      <c r="D314" s="20">
        <f ca="1">_xll.meDateFromTenor(C314,"1D","Following",$D$11,"Normal")</f>
        <v>42863</v>
      </c>
      <c r="E314" s="99">
        <f ca="1"/>
        <v>7.2866098854174315E-3</v>
      </c>
      <c r="F314" s="161">
        <f ca="1">_xll.meCurveForwardRates(C314,$D$9,$D$10)</f>
        <v>7.2990664482721623E-3</v>
      </c>
      <c r="G314" s="7" t="s">
        <v>4</v>
      </c>
      <c r="H314" s="149">
        <f t="shared" ca="1" si="8"/>
        <v>42860</v>
      </c>
      <c r="I314" s="20">
        <f ca="1">_xll.meDateFromTenor(H314,"3M","Following",$I$11,"Normal")</f>
        <v>42954</v>
      </c>
      <c r="J314" s="150">
        <f ca="1"/>
        <v>1.0018996395237151E-2</v>
      </c>
      <c r="K314" s="7" t="s">
        <v>4</v>
      </c>
      <c r="L314" s="149" t="e">
        <f ca="1">_xll.meDateFromTenor(L313,"1D","FOLLOWING",#REF!,"NORMAL")</f>
        <v>#VALUE!</v>
      </c>
      <c r="M314" s="155">
        <f ca="1">_xll.meDateYearFraction(C314,D314,$M$11)</f>
        <v>8.3333333333333332E-3</v>
      </c>
      <c r="N314" s="150">
        <f ca="1"/>
        <v>-2.4300000000065936E-3</v>
      </c>
      <c r="O314" s="7" t="s">
        <v>4</v>
      </c>
      <c r="P314" s="149">
        <f t="shared" ca="1" si="9"/>
        <v>42860</v>
      </c>
      <c r="Q314" s="155">
        <f ca="1">_xll.meDateYearFraction(H314,I314,$Q$11,TRUE)</f>
        <v>0.26111111111111113</v>
      </c>
      <c r="R314" s="150">
        <f ca="1">IF(NOW(),_xll.meCurveForwardRatesFromYearFraction(P314,Q314,$Q$11,$Q$9,$Q$10))</f>
        <v>-3.7175485397107962E-3</v>
      </c>
      <c r="S314" s="134" t="s">
        <v>4</v>
      </c>
    </row>
    <row r="315" spans="1:19" x14ac:dyDescent="0.25">
      <c r="A315" s="128">
        <v>299</v>
      </c>
      <c r="B315" s="133"/>
      <c r="C315" s="149">
        <f ca="1">_xll.meDateFromTenor(C314,"1D","FOLLOWING",$D$11,"NORMAL")</f>
        <v>42863</v>
      </c>
      <c r="D315" s="20">
        <f ca="1">_xll.meDateFromTenor(C315,"1D","Following",$D$11,"Normal")</f>
        <v>42864</v>
      </c>
      <c r="E315" s="99">
        <f ca="1"/>
        <v>7.3138708232978449E-3</v>
      </c>
      <c r="F315" s="161">
        <f ca="1">_xll.meCurveForwardRates(C315,$D$9,$D$10)</f>
        <v>7.3406076625794903E-3</v>
      </c>
      <c r="G315" s="7" t="s">
        <v>4</v>
      </c>
      <c r="H315" s="149">
        <f t="shared" ca="1" si="8"/>
        <v>42863</v>
      </c>
      <c r="I315" s="20">
        <f ca="1">_xll.meDateFromTenor(H315,"3M","Following",$I$11,"Normal")</f>
        <v>42955</v>
      </c>
      <c r="J315" s="150">
        <f ca="1"/>
        <v>1.0038087308255164E-2</v>
      </c>
      <c r="K315" s="7" t="s">
        <v>4</v>
      </c>
      <c r="L315" s="149" t="e">
        <f ca="1">_xll.meDateFromTenor(L314,"1D","FOLLOWING",#REF!,"NORMAL")</f>
        <v>#VALUE!</v>
      </c>
      <c r="M315" s="155">
        <f ca="1">_xll.meDateYearFraction(C315,D315,$M$11)</f>
        <v>2.7777777777777779E-3</v>
      </c>
      <c r="N315" s="150">
        <f ca="1"/>
        <v>-2.4300000000065936E-3</v>
      </c>
      <c r="O315" s="7" t="s">
        <v>4</v>
      </c>
      <c r="P315" s="149">
        <f t="shared" ca="1" si="9"/>
        <v>42863</v>
      </c>
      <c r="Q315" s="155">
        <f ca="1">_xll.meDateYearFraction(H315,I315,$Q$11,TRUE)</f>
        <v>0.25555555555555554</v>
      </c>
      <c r="R315" s="150">
        <f ca="1">IF(NOW(),_xll.meCurveForwardRatesFromYearFraction(P315,Q315,$Q$11,$Q$9,$Q$10))</f>
        <v>-3.2249011111529658E-3</v>
      </c>
      <c r="S315" s="134" t="s">
        <v>4</v>
      </c>
    </row>
    <row r="316" spans="1:19" x14ac:dyDescent="0.25">
      <c r="A316" s="128">
        <v>300</v>
      </c>
      <c r="B316" s="133"/>
      <c r="C316" s="149">
        <f ca="1">_xll.meDateFromTenor(C315,"1D","FOLLOWING",$D$11,"NORMAL")</f>
        <v>42864</v>
      </c>
      <c r="D316" s="20">
        <f ca="1">_xll.meDateFromTenor(C316,"1D","Following",$D$11,"Normal")</f>
        <v>42865</v>
      </c>
      <c r="E316" s="99">
        <f ca="1"/>
        <v>7.3273807149032682E-3</v>
      </c>
      <c r="F316" s="161">
        <f ca="1">_xll.meCurveForwardRates(C316,$D$9,$D$10)</f>
        <v>7.3542165401883075E-3</v>
      </c>
      <c r="G316" s="7" t="s">
        <v>4</v>
      </c>
      <c r="H316" s="149">
        <f t="shared" ca="1" si="8"/>
        <v>42864</v>
      </c>
      <c r="I316" s="20">
        <f ca="1">_xll.meDateFromTenor(H316,"3M","Following",$I$11,"Normal")</f>
        <v>42956</v>
      </c>
      <c r="J316" s="150">
        <f ca="1"/>
        <v>1.0044450945927834E-2</v>
      </c>
      <c r="K316" s="7" t="s">
        <v>4</v>
      </c>
      <c r="L316" s="149" t="e">
        <f ca="1">_xll.meDateFromTenor(L315,"1D","FOLLOWING",#REF!,"NORMAL")</f>
        <v>#VALUE!</v>
      </c>
      <c r="M316" s="155">
        <f ca="1">_xll.meDateYearFraction(C316,D316,$M$11)</f>
        <v>2.7777777777777779E-3</v>
      </c>
      <c r="N316" s="150">
        <f ca="1"/>
        <v>-2.4300000000065936E-3</v>
      </c>
      <c r="O316" s="7" t="s">
        <v>4</v>
      </c>
      <c r="P316" s="149">
        <f t="shared" ca="1" si="9"/>
        <v>42864</v>
      </c>
      <c r="Q316" s="155">
        <f ca="1">_xll.meDateYearFraction(H316,I316,$Q$11,TRUE)</f>
        <v>0.25555555555555554</v>
      </c>
      <c r="R316" s="150">
        <f ca="1">IF(NOW(),_xll.meCurveForwardRatesFromYearFraction(P316,Q316,$Q$11,$Q$9,$Q$10))</f>
        <v>-3.7175485397107962E-3</v>
      </c>
      <c r="S316" s="134" t="s">
        <v>4</v>
      </c>
    </row>
    <row r="317" spans="1:19" x14ac:dyDescent="0.25">
      <c r="A317" s="128">
        <v>301</v>
      </c>
      <c r="B317" s="133"/>
      <c r="C317" s="149">
        <f ca="1">_xll.meDateFromTenor(C316,"1D","FOLLOWING",$D$11,"NORMAL")</f>
        <v>42865</v>
      </c>
      <c r="D317" s="20">
        <f ca="1">_xll.meDateFromTenor(C317,"1D","Following",$D$11,"Normal")</f>
        <v>42866</v>
      </c>
      <c r="E317" s="99">
        <f ca="1"/>
        <v>7.3407721403917752E-3</v>
      </c>
      <c r="F317" s="161">
        <f ca="1">_xll.meCurveForwardRates(C317,$D$9,$D$10)</f>
        <v>7.3677062646242408E-3</v>
      </c>
      <c r="G317" s="7" t="s">
        <v>4</v>
      </c>
      <c r="H317" s="149">
        <f t="shared" ca="1" si="8"/>
        <v>42865</v>
      </c>
      <c r="I317" s="20">
        <f ca="1">_xll.meDateFromTenor(H317,"3M","Following",$I$11,"Normal")</f>
        <v>42957</v>
      </c>
      <c r="J317" s="150">
        <f ca="1"/>
        <v>1.0050814583600505E-2</v>
      </c>
      <c r="K317" s="7" t="s">
        <v>4</v>
      </c>
      <c r="L317" s="149" t="e">
        <f ca="1">_xll.meDateFromTenor(L316,"1D","FOLLOWING",#REF!,"NORMAL")</f>
        <v>#VALUE!</v>
      </c>
      <c r="M317" s="155">
        <f ca="1">_xll.meDateYearFraction(C317,D317,$M$11)</f>
        <v>2.7777777777777779E-3</v>
      </c>
      <c r="N317" s="150">
        <f ca="1"/>
        <v>-2.4300000000065936E-3</v>
      </c>
      <c r="O317" s="7" t="s">
        <v>4</v>
      </c>
      <c r="P317" s="149">
        <f t="shared" ca="1" si="9"/>
        <v>42865</v>
      </c>
      <c r="Q317" s="155">
        <f ca="1">_xll.meDateYearFraction(H317,I317,$Q$11,TRUE)</f>
        <v>0.25555555555555554</v>
      </c>
      <c r="R317" s="150">
        <f ca="1">IF(NOW(),_xll.meCurveForwardRatesFromYearFraction(P317,Q317,$Q$11,$Q$9,$Q$10))</f>
        <v>-3.2209224449411158E-3</v>
      </c>
      <c r="S317" s="134" t="s">
        <v>4</v>
      </c>
    </row>
    <row r="318" spans="1:19" x14ac:dyDescent="0.25">
      <c r="A318" s="128">
        <v>302</v>
      </c>
      <c r="B318" s="133"/>
      <c r="C318" s="149">
        <f ca="1">_xll.meDateFromTenor(C317,"1D","FOLLOWING",$D$11,"NORMAL")</f>
        <v>42866</v>
      </c>
      <c r="D318" s="20">
        <f ca="1">_xll.meDateFromTenor(C318,"1D","Following",$D$11,"Normal")</f>
        <v>42867</v>
      </c>
      <c r="E318" s="99">
        <f ca="1"/>
        <v>7.3540438494035503E-3</v>
      </c>
      <c r="F318" s="161">
        <f ca="1">_xll.meCurveForwardRates(C318,$D$9,$D$10)</f>
        <v>7.3810755715457699E-3</v>
      </c>
      <c r="G318" s="7" t="s">
        <v>4</v>
      </c>
      <c r="H318" s="149">
        <f t="shared" ca="1" si="8"/>
        <v>42866</v>
      </c>
      <c r="I318" s="20">
        <f ca="1">_xll.meDateFromTenor(H318,"3M","Following",$I$11,"Normal")</f>
        <v>42958</v>
      </c>
      <c r="J318" s="150">
        <f ca="1"/>
        <v>1.0057178221273177E-2</v>
      </c>
      <c r="K318" s="7" t="s">
        <v>4</v>
      </c>
      <c r="L318" s="149" t="e">
        <f ca="1">_xll.meDateFromTenor(L317,"1D","FOLLOWING",#REF!,"NORMAL")</f>
        <v>#VALUE!</v>
      </c>
      <c r="M318" s="155">
        <f ca="1">_xll.meDateYearFraction(C318,D318,$M$11)</f>
        <v>2.7777777777777779E-3</v>
      </c>
      <c r="N318" s="150">
        <f ca="1"/>
        <v>-2.4300000000065936E-3</v>
      </c>
      <c r="O318" s="7" t="s">
        <v>4</v>
      </c>
      <c r="P318" s="149">
        <f t="shared" ca="1" si="9"/>
        <v>42866</v>
      </c>
      <c r="Q318" s="155">
        <f ca="1">_xll.meDateYearFraction(H318,I318,$Q$11,TRUE)</f>
        <v>0.25555555555555554</v>
      </c>
      <c r="R318" s="150">
        <f ca="1">IF(NOW(),_xll.meCurveForwardRatesFromYearFraction(P318,Q318,$Q$11,$Q$9,$Q$10))</f>
        <v>-3.7175485397107962E-3</v>
      </c>
      <c r="S318" s="134" t="s">
        <v>4</v>
      </c>
    </row>
    <row r="319" spans="1:19" x14ac:dyDescent="0.25">
      <c r="A319" s="128">
        <v>303</v>
      </c>
      <c r="B319" s="133"/>
      <c r="C319" s="149">
        <f ca="1">_xll.meDateFromTenor(C318,"1D","FOLLOWING",$D$11,"NORMAL")</f>
        <v>42867</v>
      </c>
      <c r="D319" s="20">
        <f ca="1">_xll.meDateFromTenor(C319,"1D","Following",$D$11,"Normal")</f>
        <v>42870</v>
      </c>
      <c r="E319" s="99">
        <f ca="1"/>
        <v>7.3803332586131181E-3</v>
      </c>
      <c r="F319" s="161">
        <f ca="1">_xll.meCurveForwardRates(C319,$D$9,$D$10)</f>
        <v>7.3943099132649515E-3</v>
      </c>
      <c r="G319" s="7" t="s">
        <v>4</v>
      </c>
      <c r="H319" s="149">
        <f t="shared" ca="1" si="8"/>
        <v>42867</v>
      </c>
      <c r="I319" s="20">
        <f ca="1">_xll.meDateFromTenor(H319,"3M","Following",$I$11,"Normal")</f>
        <v>42961</v>
      </c>
      <c r="J319" s="150">
        <f ca="1"/>
        <v>1.0063541858945847E-2</v>
      </c>
      <c r="K319" s="7" t="s">
        <v>4</v>
      </c>
      <c r="L319" s="149" t="e">
        <f ca="1">_xll.meDateFromTenor(L318,"1D","FOLLOWING",#REF!,"NORMAL")</f>
        <v>#VALUE!</v>
      </c>
      <c r="M319" s="155">
        <f ca="1">_xll.meDateYearFraction(C319,D319,$M$11)</f>
        <v>8.3333333333333332E-3</v>
      </c>
      <c r="N319" s="150">
        <f ca="1"/>
        <v>-2.4300000000065936E-3</v>
      </c>
      <c r="O319" s="7" t="s">
        <v>4</v>
      </c>
      <c r="P319" s="149">
        <f t="shared" ca="1" si="9"/>
        <v>42867</v>
      </c>
      <c r="Q319" s="155">
        <f ca="1">_xll.meDateYearFraction(H319,I319,$Q$11,TRUE)</f>
        <v>0.26111111111111113</v>
      </c>
      <c r="R319" s="150">
        <f ca="1">IF(NOW(),_xll.meCurveForwardRatesFromYearFraction(P319,Q319,$Q$11,$Q$9,$Q$10))</f>
        <v>-3.216988328835491E-3</v>
      </c>
      <c r="S319" s="134" t="s">
        <v>4</v>
      </c>
    </row>
    <row r="320" spans="1:19" x14ac:dyDescent="0.25">
      <c r="A320" s="128">
        <v>304</v>
      </c>
      <c r="B320" s="133"/>
      <c r="C320" s="149">
        <f ca="1">_xll.meDateFromTenor(C319,"1D","FOLLOWING",$D$11,"NORMAL")</f>
        <v>42870</v>
      </c>
      <c r="D320" s="20">
        <f ca="1">_xll.meDateFromTenor(C320,"1D","Following",$D$11,"Normal")</f>
        <v>42871</v>
      </c>
      <c r="E320" s="99">
        <f ca="1"/>
        <v>7.4059085119682327E-3</v>
      </c>
      <c r="F320" s="161">
        <f ca="1">_xll.meCurveForwardRates(C320,$D$9,$D$10)</f>
        <v>7.433323334923303E-3</v>
      </c>
      <c r="G320" s="7" t="s">
        <v>4</v>
      </c>
      <c r="H320" s="149">
        <f t="shared" ca="1" si="8"/>
        <v>42870</v>
      </c>
      <c r="I320" s="20">
        <f ca="1">_xll.meDateFromTenor(H320,"3M","Following",$I$11,"Normal")</f>
        <v>42962</v>
      </c>
      <c r="J320" s="150">
        <f ca="1"/>
        <v>1.0082632771963862E-2</v>
      </c>
      <c r="K320" s="7" t="s">
        <v>4</v>
      </c>
      <c r="L320" s="149" t="e">
        <f ca="1">_xll.meDateFromTenor(L319,"1D","FOLLOWING",#REF!,"NORMAL")</f>
        <v>#VALUE!</v>
      </c>
      <c r="M320" s="155">
        <f ca="1">_xll.meDateYearFraction(C320,D320,$M$11)</f>
        <v>2.7777777777777779E-3</v>
      </c>
      <c r="N320" s="150">
        <f ca="1"/>
        <v>-2.4300000000065936E-3</v>
      </c>
      <c r="O320" s="7" t="s">
        <v>4</v>
      </c>
      <c r="P320" s="149">
        <f t="shared" ca="1" si="9"/>
        <v>42870</v>
      </c>
      <c r="Q320" s="155">
        <f ca="1">_xll.meDateYearFraction(H320,I320,$Q$11,TRUE)</f>
        <v>0.25555555555555554</v>
      </c>
      <c r="R320" s="150">
        <f ca="1">IF(NOW(),_xll.meCurveForwardRatesFromYearFraction(P320,Q320,$Q$11,$Q$9,$Q$10))</f>
        <v>-3.7175485397107962E-3</v>
      </c>
      <c r="S320" s="134" t="s">
        <v>4</v>
      </c>
    </row>
    <row r="321" spans="1:19" x14ac:dyDescent="0.25">
      <c r="A321" s="128">
        <v>305</v>
      </c>
      <c r="B321" s="133"/>
      <c r="C321" s="149">
        <f ca="1">_xll.meDateFromTenor(C320,"1D","FOLLOWING",$D$11,"NORMAL")</f>
        <v>42871</v>
      </c>
      <c r="D321" s="20">
        <f ca="1">_xll.meDateFromTenor(C321,"1D","Following",$D$11,"Normal")</f>
        <v>42872</v>
      </c>
      <c r="E321" s="99">
        <f ca="1"/>
        <v>7.4185628820800081E-3</v>
      </c>
      <c r="F321" s="161">
        <f ca="1">_xll.meCurveForwardRates(C321,$D$9,$D$10)</f>
        <v>7.4460715872393113E-3</v>
      </c>
      <c r="G321" s="7" t="s">
        <v>4</v>
      </c>
      <c r="H321" s="149">
        <f t="shared" ca="1" si="8"/>
        <v>42871</v>
      </c>
      <c r="I321" s="20">
        <f ca="1">_xll.meDateFromTenor(H321,"3M","Following",$I$11,"Normal")</f>
        <v>42963</v>
      </c>
      <c r="J321" s="150">
        <f ca="1"/>
        <v>1.0088996409636534E-2</v>
      </c>
      <c r="K321" s="7" t="s">
        <v>4</v>
      </c>
      <c r="L321" s="149" t="e">
        <f ca="1">_xll.meDateFromTenor(L320,"1D","FOLLOWING",#REF!,"NORMAL")</f>
        <v>#VALUE!</v>
      </c>
      <c r="M321" s="155">
        <f ca="1">_xll.meDateYearFraction(C321,D321,$M$11)</f>
        <v>2.7777777777777779E-3</v>
      </c>
      <c r="N321" s="150">
        <f ca="1"/>
        <v>-2.4300000000065936E-3</v>
      </c>
      <c r="O321" s="7" t="s">
        <v>4</v>
      </c>
      <c r="P321" s="149">
        <f t="shared" ca="1" si="9"/>
        <v>42871</v>
      </c>
      <c r="Q321" s="155">
        <f ca="1">_xll.meDateYearFraction(H321,I321,$Q$11,TRUE)</f>
        <v>0.25555555555555554</v>
      </c>
      <c r="R321" s="150">
        <f ca="1">IF(NOW(),_xll.meCurveForwardRatesFromYearFraction(P321,Q321,$Q$11,$Q$9,$Q$10))</f>
        <v>-3.2092546057481139E-3</v>
      </c>
      <c r="S321" s="134" t="s">
        <v>4</v>
      </c>
    </row>
    <row r="322" spans="1:19" x14ac:dyDescent="0.25">
      <c r="A322" s="128">
        <v>306</v>
      </c>
      <c r="B322" s="133"/>
      <c r="C322" s="149">
        <f ca="1">_xll.meDateFromTenor(C321,"1D","FOLLOWING",$D$11,"NORMAL")</f>
        <v>42872</v>
      </c>
      <c r="D322" s="20">
        <f ca="1">_xll.meDateFromTenor(C322,"1D","Following",$D$11,"Normal")</f>
        <v>42873</v>
      </c>
      <c r="E322" s="99">
        <f ca="1"/>
        <v>7.4310900332364132E-3</v>
      </c>
      <c r="F322" s="161">
        <f ca="1">_xll.meCurveForwardRates(C322,$D$9,$D$10)</f>
        <v>7.4586918352212983E-3</v>
      </c>
      <c r="G322" s="7" t="s">
        <v>4</v>
      </c>
      <c r="H322" s="149">
        <f t="shared" ca="1" si="8"/>
        <v>42872</v>
      </c>
      <c r="I322" s="20">
        <f ca="1">_xll.meDateFromTenor(H322,"3M","Following",$I$11,"Normal")</f>
        <v>42964</v>
      </c>
      <c r="J322" s="150">
        <f ca="1"/>
        <v>1.0095360047309205E-2</v>
      </c>
      <c r="K322" s="7" t="s">
        <v>4</v>
      </c>
      <c r="L322" s="149" t="e">
        <f ca="1">_xll.meDateFromTenor(L321,"1D","FOLLOWING",#REF!,"NORMAL")</f>
        <v>#VALUE!</v>
      </c>
      <c r="M322" s="155">
        <f ca="1">_xll.meDateYearFraction(C322,D322,$M$11)</f>
        <v>2.7777777777777779E-3</v>
      </c>
      <c r="N322" s="150">
        <f ca="1"/>
        <v>-2.4300000000065936E-3</v>
      </c>
      <c r="O322" s="7" t="s">
        <v>4</v>
      </c>
      <c r="P322" s="149">
        <f t="shared" ca="1" si="9"/>
        <v>42872</v>
      </c>
      <c r="Q322" s="155">
        <f ca="1">_xll.meDateYearFraction(H322,I322,$Q$11,TRUE)</f>
        <v>0.25555555555555554</v>
      </c>
      <c r="R322" s="150">
        <f ca="1">IF(NOW(),_xll.meCurveForwardRatesFromYearFraction(P322,Q322,$Q$11,$Q$9,$Q$10))</f>
        <v>-3.7175485397107962E-3</v>
      </c>
      <c r="S322" s="134" t="s">
        <v>4</v>
      </c>
    </row>
    <row r="323" spans="1:19" x14ac:dyDescent="0.25">
      <c r="A323" s="128">
        <v>307</v>
      </c>
      <c r="B323" s="133"/>
      <c r="C323" s="149">
        <f ca="1">_xll.meDateFromTenor(C322,"1D","FOLLOWING",$D$11,"NORMAL")</f>
        <v>42873</v>
      </c>
      <c r="D323" s="20">
        <f ca="1">_xll.meDateFromTenor(C323,"1D","Following",$D$11,"Normal")</f>
        <v>42874</v>
      </c>
      <c r="E323" s="99">
        <f ca="1"/>
        <v>7.4434887149177602E-3</v>
      </c>
      <c r="F323" s="161">
        <f ca="1">_xll.meCurveForwardRates(C323,$D$9,$D$10)</f>
        <v>7.4711828142310921E-3</v>
      </c>
      <c r="G323" s="7" t="s">
        <v>4</v>
      </c>
      <c r="H323" s="149">
        <f t="shared" ca="1" si="8"/>
        <v>42873</v>
      </c>
      <c r="I323" s="20">
        <f ca="1">_xll.meDateFromTenor(H323,"3M","Following",$I$11,"Normal")</f>
        <v>42965</v>
      </c>
      <c r="J323" s="150">
        <f ca="1"/>
        <v>1.0101723684981877E-2</v>
      </c>
      <c r="K323" s="7" t="s">
        <v>4</v>
      </c>
      <c r="L323" s="149" t="e">
        <f ca="1">_xll.meDateFromTenor(L322,"1D","FOLLOWING",#REF!,"NORMAL")</f>
        <v>#VALUE!</v>
      </c>
      <c r="M323" s="155">
        <f ca="1">_xll.meDateYearFraction(C323,D323,$M$11)</f>
        <v>2.7777777777777779E-3</v>
      </c>
      <c r="N323" s="150">
        <f ca="1"/>
        <v>-2.4300000000065936E-3</v>
      </c>
      <c r="O323" s="7" t="s">
        <v>4</v>
      </c>
      <c r="P323" s="149">
        <f t="shared" ca="1" si="9"/>
        <v>42873</v>
      </c>
      <c r="Q323" s="155">
        <f ca="1">_xll.meDateYearFraction(H323,I323,$Q$11,TRUE)</f>
        <v>0.25555555555555554</v>
      </c>
      <c r="R323" s="150">
        <f ca="1">IF(NOW(),_xll.meCurveForwardRatesFromYearFraction(P323,Q323,$Q$11,$Q$9,$Q$10))</f>
        <v>-3.7175485397107962E-3</v>
      </c>
      <c r="S323" s="134" t="s">
        <v>4</v>
      </c>
    </row>
    <row r="324" spans="1:19" x14ac:dyDescent="0.25">
      <c r="A324" s="128">
        <v>308</v>
      </c>
      <c r="B324" s="133"/>
      <c r="C324" s="149">
        <f ca="1">_xll.meDateFromTenor(C323,"1D","FOLLOWING",$D$11,"NORMAL")</f>
        <v>42874</v>
      </c>
      <c r="D324" s="20">
        <f ca="1">_xll.meDateFromTenor(C324,"1D","Following",$D$11,"Normal")</f>
        <v>42877</v>
      </c>
      <c r="E324" s="99">
        <f ca="1"/>
        <v>7.4680065089527672E-3</v>
      </c>
      <c r="F324" s="161">
        <f ca="1">_xll.meCurveForwardRates(C324,$D$9,$D$10)</f>
        <v>7.4835290002759347E-3</v>
      </c>
      <c r="G324" s="7" t="s">
        <v>4</v>
      </c>
      <c r="H324" s="149">
        <f t="shared" ca="1" si="8"/>
        <v>42874</v>
      </c>
      <c r="I324" s="20">
        <f ca="1">_xll.meDateFromTenor(H324,"3M","Following",$I$11,"Normal")</f>
        <v>42968</v>
      </c>
      <c r="J324" s="150">
        <f ca="1"/>
        <v>1.0108087322654547E-2</v>
      </c>
      <c r="K324" s="7" t="s">
        <v>4</v>
      </c>
      <c r="L324" s="149" t="e">
        <f ca="1">_xll.meDateFromTenor(L323,"1D","FOLLOWING",#REF!,"NORMAL")</f>
        <v>#VALUE!</v>
      </c>
      <c r="M324" s="155">
        <f ca="1">_xll.meDateYearFraction(C324,D324,$M$11)</f>
        <v>8.3333333333333332E-3</v>
      </c>
      <c r="N324" s="150">
        <f ca="1"/>
        <v>-2.4300000000065936E-3</v>
      </c>
      <c r="O324" s="7" t="s">
        <v>4</v>
      </c>
      <c r="P324" s="149">
        <f t="shared" ca="1" si="9"/>
        <v>42874</v>
      </c>
      <c r="Q324" s="155">
        <f ca="1">_xll.meDateYearFraction(H324,I324,$Q$11,TRUE)</f>
        <v>0.26111111111111113</v>
      </c>
      <c r="R324" s="150">
        <f ca="1">IF(NOW(),_xll.meCurveForwardRatesFromYearFraction(P324,Q324,$Q$11,$Q$9,$Q$10))</f>
        <v>-3.2035728543023338E-3</v>
      </c>
      <c r="S324" s="134" t="s">
        <v>4</v>
      </c>
    </row>
    <row r="325" spans="1:19" x14ac:dyDescent="0.25">
      <c r="A325" s="128">
        <v>309</v>
      </c>
      <c r="B325" s="133"/>
      <c r="C325" s="149">
        <f ca="1">_xll.meDateFromTenor(C324,"1D","FOLLOWING",$D$11,"NORMAL")</f>
        <v>42877</v>
      </c>
      <c r="D325" s="20">
        <f ca="1">_xll.meDateFromTenor(C325,"1D","Following",$D$11,"Normal")</f>
        <v>42878</v>
      </c>
      <c r="E325" s="99">
        <f ca="1"/>
        <v>7.4917737386570862E-3</v>
      </c>
      <c r="F325" s="161">
        <f ca="1">_xll.meCurveForwardRates(C325,$D$9,$D$10)</f>
        <v>7.5198287495525928E-3</v>
      </c>
      <c r="G325" s="7" t="s">
        <v>4</v>
      </c>
      <c r="H325" s="149">
        <f t="shared" ca="1" si="8"/>
        <v>42877</v>
      </c>
      <c r="I325" s="20">
        <f ca="1">_xll.meDateFromTenor(H325,"3M","Following",$I$11,"Normal")</f>
        <v>42969</v>
      </c>
      <c r="J325" s="150">
        <f ca="1"/>
        <v>1.012717823567256E-2</v>
      </c>
      <c r="K325" s="7" t="s">
        <v>4</v>
      </c>
      <c r="L325" s="149" t="e">
        <f ca="1">_xll.meDateFromTenor(L324,"1D","FOLLOWING",#REF!,"NORMAL")</f>
        <v>#VALUE!</v>
      </c>
      <c r="M325" s="155">
        <f ca="1">_xll.meDateYearFraction(C325,D325,$M$11)</f>
        <v>2.7777777777777779E-3</v>
      </c>
      <c r="N325" s="150">
        <f ca="1"/>
        <v>-2.4300000000065936E-3</v>
      </c>
      <c r="O325" s="7" t="s">
        <v>4</v>
      </c>
      <c r="P325" s="149">
        <f t="shared" ca="1" si="9"/>
        <v>42877</v>
      </c>
      <c r="Q325" s="155">
        <f ca="1">_xll.meDateYearFraction(H325,I325,$Q$11,TRUE)</f>
        <v>0.25555555555555554</v>
      </c>
      <c r="R325" s="150">
        <f ca="1">IF(NOW(),_xll.meCurveForwardRatesFromYearFraction(P325,Q325,$Q$11,$Q$9,$Q$10))</f>
        <v>-3.1979935144462114E-3</v>
      </c>
      <c r="S325" s="134" t="s">
        <v>4</v>
      </c>
    </row>
    <row r="326" spans="1:19" x14ac:dyDescent="0.25">
      <c r="A326" s="128">
        <v>310</v>
      </c>
      <c r="B326" s="133"/>
      <c r="C326" s="149">
        <f ca="1">_xll.meDateFromTenor(C325,"1D","FOLLOWING",$D$11,"NORMAL")</f>
        <v>42878</v>
      </c>
      <c r="D326" s="20">
        <f ca="1">_xll.meDateFromTenor(C326,"1D","Following",$D$11,"Normal")</f>
        <v>42879</v>
      </c>
      <c r="E326" s="99">
        <f ca="1"/>
        <v>7.5388950173760618E-3</v>
      </c>
      <c r="F326" s="161">
        <f ca="1">_xll.meCurveForwardRates(C326,$D$9,$D$10)</f>
        <v>7.5673044996678041E-3</v>
      </c>
      <c r="G326" s="7" t="s">
        <v>4</v>
      </c>
      <c r="H326" s="149">
        <f t="shared" ca="1" si="8"/>
        <v>42878</v>
      </c>
      <c r="I326" s="20">
        <f ca="1">_xll.meDateFromTenor(H326,"3M","Following",$I$11,"Normal")</f>
        <v>42970</v>
      </c>
      <c r="J326" s="150">
        <f ca="1"/>
        <v>1.0015196357044013E-2</v>
      </c>
      <c r="K326" s="7" t="s">
        <v>4</v>
      </c>
      <c r="L326" s="149" t="e">
        <f ca="1">_xll.meDateFromTenor(L325,"1D","FOLLOWING",#REF!,"NORMAL")</f>
        <v>#VALUE!</v>
      </c>
      <c r="M326" s="155">
        <f ca="1">_xll.meDateYearFraction(C326,D326,$M$11)</f>
        <v>2.7777777777777779E-3</v>
      </c>
      <c r="N326" s="150">
        <f ca="1"/>
        <v>-2.4300000000065936E-3</v>
      </c>
      <c r="O326" s="7" t="s">
        <v>4</v>
      </c>
      <c r="P326" s="149">
        <f t="shared" ca="1" si="9"/>
        <v>42878</v>
      </c>
      <c r="Q326" s="155">
        <f ca="1">_xll.meDateYearFraction(H326,I326,$Q$11,TRUE)</f>
        <v>0.25555555555555554</v>
      </c>
      <c r="R326" s="150">
        <f ca="1">IF(NOW(),_xll.meCurveForwardRatesFromYearFraction(P326,Q326,$Q$11,$Q$9,$Q$10))</f>
        <v>-3.7175485397107962E-3</v>
      </c>
      <c r="S326" s="134" t="s">
        <v>4</v>
      </c>
    </row>
    <row r="327" spans="1:19" x14ac:dyDescent="0.25">
      <c r="A327" s="128">
        <v>311</v>
      </c>
      <c r="B327" s="133"/>
      <c r="C327" s="149">
        <f ca="1">_xll.meDateFromTenor(C326,"1D","FOLLOWING",$D$11,"NORMAL")</f>
        <v>42879</v>
      </c>
      <c r="D327" s="20">
        <f ca="1">_xll.meDateFromTenor(C327,"1D","Following",$D$11,"Normal")</f>
        <v>42880</v>
      </c>
      <c r="E327" s="99">
        <f ca="1"/>
        <v>7.6138978008799809E-3</v>
      </c>
      <c r="F327" s="161">
        <f ca="1">_xll.meCurveForwardRates(C327,$D$9,$D$10)</f>
        <v>7.6428760956319675E-3</v>
      </c>
      <c r="G327" s="7" t="s">
        <v>4</v>
      </c>
      <c r="H327" s="149">
        <f t="shared" ca="1" si="8"/>
        <v>42879</v>
      </c>
      <c r="I327" s="20">
        <f ca="1">_xll.meDateFromTenor(H327,"3M","Following",$I$11,"Normal")</f>
        <v>42971</v>
      </c>
      <c r="J327" s="150">
        <f ca="1"/>
        <v>1.0139905511017903E-2</v>
      </c>
      <c r="K327" s="7" t="s">
        <v>4</v>
      </c>
      <c r="L327" s="149" t="e">
        <f ca="1">_xll.meDateFromTenor(L326,"1D","FOLLOWING",#REF!,"NORMAL")</f>
        <v>#VALUE!</v>
      </c>
      <c r="M327" s="155">
        <f ca="1">_xll.meDateYearFraction(C327,D327,$M$11)</f>
        <v>2.7777777777777779E-3</v>
      </c>
      <c r="N327" s="150">
        <f ca="1"/>
        <v>-2.4300000000065936E-3</v>
      </c>
      <c r="O327" s="7" t="s">
        <v>4</v>
      </c>
      <c r="P327" s="149">
        <f t="shared" ca="1" si="9"/>
        <v>42879</v>
      </c>
      <c r="Q327" s="155">
        <f ca="1">_xll.meDateYearFraction(H327,I327,$Q$11,TRUE)</f>
        <v>0.25555555555555554</v>
      </c>
      <c r="R327" s="150">
        <f ca="1">IF(NOW(),_xll.meCurveForwardRatesFromYearFraction(P327,Q327,$Q$11,$Q$9,$Q$10))</f>
        <v>-3.1943311542074037E-3</v>
      </c>
      <c r="S327" s="134" t="s">
        <v>4</v>
      </c>
    </row>
    <row r="328" spans="1:19" x14ac:dyDescent="0.25">
      <c r="A328" s="128">
        <v>312</v>
      </c>
      <c r="B328" s="133"/>
      <c r="C328" s="149">
        <f ca="1">_xll.meDateFromTenor(C327,"1D","FOLLOWING",$D$11,"NORMAL")</f>
        <v>42880</v>
      </c>
      <c r="D328" s="20">
        <f ca="1">_xll.meDateFromTenor(C328,"1D","Following",$D$11,"Normal")</f>
        <v>42881</v>
      </c>
      <c r="E328" s="99">
        <f ca="1"/>
        <v>7.6776382812132303E-3</v>
      </c>
      <c r="F328" s="161">
        <f ca="1">_xll.meCurveForwardRates(C328,$D$9,$D$10)</f>
        <v>7.7071044194121363E-3</v>
      </c>
      <c r="G328" s="7" t="s">
        <v>4</v>
      </c>
      <c r="H328" s="149">
        <f t="shared" ca="1" si="8"/>
        <v>42880</v>
      </c>
      <c r="I328" s="20">
        <f ca="1">_xll.meDateFromTenor(H328,"3M","Following",$I$11,"Normal")</f>
        <v>42972</v>
      </c>
      <c r="J328" s="150">
        <f ca="1"/>
        <v>1.0146269148690575E-2</v>
      </c>
      <c r="K328" s="7" t="s">
        <v>4</v>
      </c>
      <c r="L328" s="149" t="e">
        <f ca="1">_xll.meDateFromTenor(L327,"1D","FOLLOWING",#REF!,"NORMAL")</f>
        <v>#VALUE!</v>
      </c>
      <c r="M328" s="155">
        <f ca="1">_xll.meDateYearFraction(C328,D328,$M$11)</f>
        <v>2.7777777777777779E-3</v>
      </c>
      <c r="N328" s="150">
        <f ca="1"/>
        <v>-2.4300000000065936E-3</v>
      </c>
      <c r="O328" s="7" t="s">
        <v>4</v>
      </c>
      <c r="P328" s="149">
        <f t="shared" ca="1" si="9"/>
        <v>42880</v>
      </c>
      <c r="Q328" s="155">
        <f ca="1">_xll.meDateYearFraction(H328,I328,$Q$11,TRUE)</f>
        <v>0.25555555555555554</v>
      </c>
      <c r="R328" s="150">
        <f ca="1">IF(NOW(),_xll.meCurveForwardRatesFromYearFraction(P328,Q328,$Q$11,$Q$9,$Q$10))</f>
        <v>-3.7175485397107962E-3</v>
      </c>
      <c r="S328" s="134" t="s">
        <v>4</v>
      </c>
    </row>
    <row r="329" spans="1:19" x14ac:dyDescent="0.25">
      <c r="A329" s="128">
        <v>313</v>
      </c>
      <c r="B329" s="133"/>
      <c r="C329" s="149">
        <f ca="1">_xll.meDateFromTenor(C328,"1D","FOLLOWING",$D$11,"NORMAL")</f>
        <v>42881</v>
      </c>
      <c r="D329" s="20">
        <f ca="1">_xll.meDateFromTenor(C329,"1D","Following",$D$11,"Normal")</f>
        <v>42885</v>
      </c>
      <c r="E329" s="99">
        <f ca="1"/>
        <v>7.7800972696273896E-3</v>
      </c>
      <c r="F329" s="161">
        <f ca="1">_xll.meCurveForwardRates(C329,$D$9,$D$10)</f>
        <v>7.7561372871493006E-3</v>
      </c>
      <c r="G329" s="7" t="s">
        <v>4</v>
      </c>
      <c r="H329" s="149">
        <f t="shared" ca="1" si="8"/>
        <v>42881</v>
      </c>
      <c r="I329" s="20">
        <f ca="1">_xll.meDateFromTenor(H329,"3M","Following",$I$11,"Normal")</f>
        <v>42976</v>
      </c>
      <c r="J329" s="150">
        <f ca="1"/>
        <v>1.0152632786363245E-2</v>
      </c>
      <c r="K329" s="7" t="s">
        <v>4</v>
      </c>
      <c r="L329" s="149" t="e">
        <f ca="1">_xll.meDateFromTenor(L328,"1D","FOLLOWING",#REF!,"NORMAL")</f>
        <v>#VALUE!</v>
      </c>
      <c r="M329" s="155">
        <f ca="1">_xll.meDateYearFraction(C329,D329,$M$11)</f>
        <v>1.1111111111111112E-2</v>
      </c>
      <c r="N329" s="150">
        <f ca="1"/>
        <v>-2.4300000000065936E-3</v>
      </c>
      <c r="O329" s="7" t="s">
        <v>4</v>
      </c>
      <c r="P329" s="149">
        <f t="shared" ca="1" si="9"/>
        <v>42881</v>
      </c>
      <c r="Q329" s="155">
        <f ca="1">_xll.meDateYearFraction(H329,I329,$Q$11,TRUE)</f>
        <v>0.2638888888888889</v>
      </c>
      <c r="R329" s="150">
        <f ca="1">IF(NOW(),_xll.meCurveForwardRatesFromYearFraction(P329,Q329,$Q$11,$Q$9,$Q$10))</f>
        <v>-3.1907143229399958E-3</v>
      </c>
      <c r="S329" s="134" t="s">
        <v>4</v>
      </c>
    </row>
    <row r="330" spans="1:19" x14ac:dyDescent="0.25">
      <c r="A330" s="128">
        <v>314</v>
      </c>
      <c r="B330" s="133"/>
      <c r="C330" s="149">
        <f ca="1">_xll.meDateFromTenor(C329,"1D","FOLLOWING",$D$11,"NORMAL")</f>
        <v>42885</v>
      </c>
      <c r="D330" s="20">
        <f ca="1">_xll.meDateFromTenor(C330,"1D","Following",$D$11,"Normal")</f>
        <v>42886</v>
      </c>
      <c r="E330" s="99">
        <f ca="1"/>
        <v>7.830232889443095E-3</v>
      </c>
      <c r="F330" s="161">
        <f ca="1">_xll.meCurveForwardRates(C330,$D$9,$D$10)</f>
        <v>7.8608835106499519E-3</v>
      </c>
      <c r="G330" s="7" t="s">
        <v>4</v>
      </c>
      <c r="H330" s="149">
        <f t="shared" ca="1" si="8"/>
        <v>42885</v>
      </c>
      <c r="I330" s="20">
        <f ca="1">_xll.meDateFromTenor(H330,"3M","Following",$I$11,"Normal")</f>
        <v>42977</v>
      </c>
      <c r="J330" s="150">
        <f ca="1"/>
        <v>1.017808733705393E-2</v>
      </c>
      <c r="K330" s="7" t="s">
        <v>4</v>
      </c>
      <c r="L330" s="149" t="e">
        <f ca="1">_xll.meDateFromTenor(L329,"1D","FOLLOWING",#REF!,"NORMAL")</f>
        <v>#VALUE!</v>
      </c>
      <c r="M330" s="155">
        <f ca="1">_xll.meDateYearFraction(C330,D330,$M$11)</f>
        <v>2.7777777777777779E-3</v>
      </c>
      <c r="N330" s="150">
        <f ca="1"/>
        <v>-2.4300000000065936E-3</v>
      </c>
      <c r="O330" s="7" t="s">
        <v>4</v>
      </c>
      <c r="P330" s="149">
        <f t="shared" ca="1" si="9"/>
        <v>42885</v>
      </c>
      <c r="Q330" s="155">
        <f ca="1">_xll.meDateYearFraction(H330,I330,$Q$11,TRUE)</f>
        <v>0.25555555555555554</v>
      </c>
      <c r="R330" s="150">
        <f ca="1">IF(NOW(),_xll.meCurveForwardRatesFromYearFraction(P330,Q330,$Q$11,$Q$9,$Q$10))</f>
        <v>-3.7175485397107962E-3</v>
      </c>
      <c r="S330" s="134" t="s">
        <v>4</v>
      </c>
    </row>
    <row r="331" spans="1:19" x14ac:dyDescent="0.25">
      <c r="A331" s="128">
        <v>315</v>
      </c>
      <c r="B331" s="133"/>
      <c r="C331" s="149">
        <f ca="1">_xll.meDateFromTenor(C330,"1D","FOLLOWING",$D$11,"NORMAL")</f>
        <v>42886</v>
      </c>
      <c r="D331" s="20">
        <f ca="1">_xll.meDateFromTenor(C331,"1D","Following",$D$11,"Normal")</f>
        <v>42887</v>
      </c>
      <c r="E331" s="99">
        <f ca="1"/>
        <v>7.8420338052076766E-3</v>
      </c>
      <c r="F331" s="161">
        <f ca="1">_xll.meCurveForwardRates(C331,$D$9,$D$10)</f>
        <v>7.8727770033295563E-3</v>
      </c>
      <c r="G331" s="7" t="s">
        <v>4</v>
      </c>
      <c r="H331" s="149">
        <f t="shared" ca="1" si="8"/>
        <v>42886</v>
      </c>
      <c r="I331" s="20">
        <f ca="1">_xll.meDateFromTenor(H331,"3M","Following",$I$11,"Normal")</f>
        <v>42978</v>
      </c>
      <c r="J331" s="150">
        <f ca="1"/>
        <v>1.0184450974726603E-2</v>
      </c>
      <c r="K331" s="7" t="s">
        <v>4</v>
      </c>
      <c r="L331" s="149" t="e">
        <f ca="1">_xll.meDateFromTenor(L330,"1D","FOLLOWING",#REF!,"NORMAL")</f>
        <v>#VALUE!</v>
      </c>
      <c r="M331" s="155">
        <f ca="1">_xll.meDateYearFraction(C331,D331,$M$11)</f>
        <v>2.7777777777777779E-3</v>
      </c>
      <c r="N331" s="150">
        <f ca="1"/>
        <v>-2.4300000000065936E-3</v>
      </c>
      <c r="O331" s="7" t="s">
        <v>4</v>
      </c>
      <c r="P331" s="149">
        <f t="shared" ca="1" si="9"/>
        <v>42886</v>
      </c>
      <c r="Q331" s="155">
        <f ca="1">_xll.meDateYearFraction(H331,I331,$Q$11,TRUE)</f>
        <v>0.25555555555555554</v>
      </c>
      <c r="R331" s="150">
        <f ca="1">IF(NOW(),_xll.meCurveForwardRatesFromYearFraction(P331,Q331,$Q$11,$Q$9,$Q$10))</f>
        <v>-3.7175485397107962E-3</v>
      </c>
      <c r="S331" s="134" t="s">
        <v>4</v>
      </c>
    </row>
    <row r="332" spans="1:19" x14ac:dyDescent="0.25">
      <c r="A332" s="128">
        <v>316</v>
      </c>
      <c r="B332" s="133"/>
      <c r="C332" s="149">
        <f ca="1">_xll.meDateFromTenor(C331,"1D","FOLLOWING",$D$11,"NORMAL")</f>
        <v>42887</v>
      </c>
      <c r="D332" s="20">
        <f ca="1">_xll.meDateFromTenor(C332,"1D","Following",$D$11,"Normal")</f>
        <v>42888</v>
      </c>
      <c r="E332" s="99">
        <f ca="1"/>
        <v>7.8538252419946553E-3</v>
      </c>
      <c r="F332" s="161">
        <f ca="1">_xll.meCurveForwardRates(C332,$D$9,$D$10)</f>
        <v>7.88466108246344E-3</v>
      </c>
      <c r="G332" s="7" t="s">
        <v>4</v>
      </c>
      <c r="H332" s="149">
        <f t="shared" ca="1" si="8"/>
        <v>42887</v>
      </c>
      <c r="I332" s="20">
        <f ca="1">_xll.meDateFromTenor(H332,"3M","Following",$I$11,"Normal")</f>
        <v>42979</v>
      </c>
      <c r="J332" s="150">
        <f ca="1"/>
        <v>1.0190814612399273E-2</v>
      </c>
      <c r="K332" s="7" t="s">
        <v>4</v>
      </c>
      <c r="L332" s="149" t="e">
        <f ca="1">_xll.meDateFromTenor(L331,"1D","FOLLOWING",#REF!,"NORMAL")</f>
        <v>#VALUE!</v>
      </c>
      <c r="M332" s="155">
        <f ca="1">_xll.meDateYearFraction(C332,D332,$M$11)</f>
        <v>2.7777777777777779E-3</v>
      </c>
      <c r="N332" s="150">
        <f ca="1"/>
        <v>-2.4300000000065936E-3</v>
      </c>
      <c r="O332" s="7" t="s">
        <v>4</v>
      </c>
      <c r="P332" s="149">
        <f t="shared" ca="1" si="9"/>
        <v>42887</v>
      </c>
      <c r="Q332" s="155">
        <f ca="1">_xll.meDateYearFraction(H332,I332,$Q$11,TRUE)</f>
        <v>0.25555555555555554</v>
      </c>
      <c r="R332" s="150">
        <f ca="1">IF(NOW(),_xll.meCurveForwardRatesFromYearFraction(P332,Q332,$Q$11,$Q$9,$Q$10))</f>
        <v>-3.7175485397107962E-3</v>
      </c>
      <c r="S332" s="134" t="s">
        <v>4</v>
      </c>
    </row>
    <row r="333" spans="1:19" x14ac:dyDescent="0.25">
      <c r="A333" s="128">
        <v>317</v>
      </c>
      <c r="B333" s="133"/>
      <c r="C333" s="149">
        <f ca="1">_xll.meDateFromTenor(C332,"1D","FOLLOWING",$D$11,"NORMAL")</f>
        <v>42888</v>
      </c>
      <c r="D333" s="20">
        <f ca="1">_xll.meDateFromTenor(C333,"1D","Following",$D$11,"Normal")</f>
        <v>42891</v>
      </c>
      <c r="E333" s="99">
        <f ca="1"/>
        <v>7.8775484849647193E-3</v>
      </c>
      <c r="F333" s="161">
        <f ca="1">_xll.meCurveForwardRates(C333,$D$9,$D$10)</f>
        <v>7.8965345322241642E-3</v>
      </c>
      <c r="G333" s="7" t="s">
        <v>4</v>
      </c>
      <c r="H333" s="149">
        <f t="shared" ca="1" si="8"/>
        <v>42888</v>
      </c>
      <c r="I333" s="20">
        <f ca="1">_xll.meDateFromTenor(H333,"3M","Following",$I$11,"Normal")</f>
        <v>42983</v>
      </c>
      <c r="J333" s="150">
        <f ca="1"/>
        <v>1.0197178250071944E-2</v>
      </c>
      <c r="K333" s="7" t="s">
        <v>4</v>
      </c>
      <c r="L333" s="149" t="e">
        <f ca="1">_xll.meDateFromTenor(L332,"1D","FOLLOWING",#REF!,"NORMAL")</f>
        <v>#VALUE!</v>
      </c>
      <c r="M333" s="155">
        <f ca="1">_xll.meDateYearFraction(C333,D333,$M$11)</f>
        <v>8.3333333333333332E-3</v>
      </c>
      <c r="N333" s="150">
        <f ca="1"/>
        <v>-2.4300000000065936E-3</v>
      </c>
      <c r="O333" s="7" t="s">
        <v>4</v>
      </c>
      <c r="P333" s="149">
        <f t="shared" ca="1" si="9"/>
        <v>42888</v>
      </c>
      <c r="Q333" s="155">
        <f ca="1">_xll.meDateYearFraction(H333,I333,$Q$11,TRUE)</f>
        <v>0.2638888888888889</v>
      </c>
      <c r="R333" s="150">
        <f ca="1">IF(NOW(),_xll.meCurveForwardRatesFromYearFraction(P333,Q333,$Q$11,$Q$9,$Q$10))</f>
        <v>-3.1784110054425027E-3</v>
      </c>
      <c r="S333" s="134" t="s">
        <v>4</v>
      </c>
    </row>
    <row r="334" spans="1:19" x14ac:dyDescent="0.25">
      <c r="A334" s="128">
        <v>318</v>
      </c>
      <c r="B334" s="133"/>
      <c r="C334" s="149">
        <f ca="1">_xll.meDateFromTenor(C333,"1D","FOLLOWING",$D$11,"NORMAL")</f>
        <v>42891</v>
      </c>
      <c r="D334" s="20">
        <f ca="1">_xll.meDateFromTenor(C334,"1D","Following",$D$11,"Normal")</f>
        <v>42892</v>
      </c>
      <c r="E334" s="99">
        <f ca="1"/>
        <v>7.9008945806613717E-3</v>
      </c>
      <c r="F334" s="161">
        <f ca="1">_xll.meCurveForwardRates(C334,$D$9,$D$10)</f>
        <v>7.9321016253286469E-3</v>
      </c>
      <c r="G334" s="7" t="s">
        <v>4</v>
      </c>
      <c r="H334" s="149">
        <f t="shared" ca="1" si="8"/>
        <v>42891</v>
      </c>
      <c r="I334" s="20">
        <f ca="1">_xll.meDateFromTenor(H334,"3M","Following",$I$11,"Normal")</f>
        <v>42983</v>
      </c>
      <c r="J334" s="150">
        <f ca="1"/>
        <v>1.0216269163089958E-2</v>
      </c>
      <c r="K334" s="7" t="s">
        <v>4</v>
      </c>
      <c r="L334" s="149" t="e">
        <f ca="1">_xll.meDateFromTenor(L333,"1D","FOLLOWING",#REF!,"NORMAL")</f>
        <v>#VALUE!</v>
      </c>
      <c r="M334" s="155">
        <f ca="1">_xll.meDateYearFraction(C334,D334,$M$11)</f>
        <v>2.7777777777777779E-3</v>
      </c>
      <c r="N334" s="150">
        <f ca="1"/>
        <v>-2.4300000000065936E-3</v>
      </c>
      <c r="O334" s="7" t="s">
        <v>4</v>
      </c>
      <c r="P334" s="149">
        <f t="shared" ca="1" si="9"/>
        <v>42891</v>
      </c>
      <c r="Q334" s="155">
        <f ca="1">_xll.meDateYearFraction(H334,I334,$Q$11,TRUE)</f>
        <v>0.25555555555555554</v>
      </c>
      <c r="R334" s="150">
        <f ca="1">IF(NOW(),_xll.meCurveForwardRatesFromYearFraction(P334,Q334,$Q$11,$Q$9,$Q$10))</f>
        <v>-3.7175485397107962E-3</v>
      </c>
      <c r="S334" s="134" t="s">
        <v>4</v>
      </c>
    </row>
    <row r="335" spans="1:19" x14ac:dyDescent="0.25">
      <c r="A335" s="128">
        <v>319</v>
      </c>
      <c r="B335" s="133"/>
      <c r="C335" s="149">
        <f ca="1">_xll.meDateFromTenor(C334,"1D","FOLLOWING",$D$11,"NORMAL")</f>
        <v>42892</v>
      </c>
      <c r="D335" s="20">
        <f ca="1">_xll.meDateFromTenor(C335,"1D","Following",$D$11,"Normal")</f>
        <v>42893</v>
      </c>
      <c r="E335" s="99">
        <f ca="1"/>
        <v>7.9126374086513629E-3</v>
      </c>
      <c r="F335" s="161">
        <f ca="1">_xll.meCurveForwardRates(C335,$D$9,$D$10)</f>
        <v>7.9439374081642367E-3</v>
      </c>
      <c r="G335" s="7" t="s">
        <v>4</v>
      </c>
      <c r="H335" s="149">
        <f t="shared" ca="1" si="8"/>
        <v>42892</v>
      </c>
      <c r="I335" s="20">
        <f ca="1">_xll.meDateFromTenor(H335,"3M","Following",$I$11,"Normal")</f>
        <v>42984</v>
      </c>
      <c r="J335" s="150">
        <f ca="1"/>
        <v>1.0222632800762629E-2</v>
      </c>
      <c r="K335" s="7" t="s">
        <v>4</v>
      </c>
      <c r="L335" s="149" t="e">
        <f ca="1">_xll.meDateFromTenor(L334,"1D","FOLLOWING",#REF!,"NORMAL")</f>
        <v>#VALUE!</v>
      </c>
      <c r="M335" s="155">
        <f ca="1">_xll.meDateYearFraction(C335,D335,$M$11)</f>
        <v>2.7777777777777779E-3</v>
      </c>
      <c r="N335" s="150">
        <f ca="1"/>
        <v>-2.4300000000065936E-3</v>
      </c>
      <c r="O335" s="7" t="s">
        <v>4</v>
      </c>
      <c r="P335" s="149">
        <f t="shared" ca="1" si="9"/>
        <v>42892</v>
      </c>
      <c r="Q335" s="155">
        <f ca="1">_xll.meDateYearFraction(H335,I335,$Q$11,TRUE)</f>
        <v>0.25555555555555554</v>
      </c>
      <c r="R335" s="150">
        <f ca="1">IF(NOW(),_xll.meCurveForwardRatesFromYearFraction(P335,Q335,$Q$11,$Q$9,$Q$10))</f>
        <v>-3.1716266940901312E-3</v>
      </c>
      <c r="S335" s="134" t="s">
        <v>4</v>
      </c>
    </row>
    <row r="336" spans="1:19" x14ac:dyDescent="0.25">
      <c r="A336" s="128">
        <v>320</v>
      </c>
      <c r="B336" s="133"/>
      <c r="C336" s="149">
        <f ca="1">_xll.meDateFromTenor(C335,"1D","FOLLOWING",$D$11,"NORMAL")</f>
        <v>42893</v>
      </c>
      <c r="D336" s="20">
        <f ca="1">_xll.meDateFromTenor(C336,"1D","Following",$D$11,"Normal")</f>
        <v>42894</v>
      </c>
      <c r="E336" s="99">
        <f ca="1"/>
        <v>7.9243702720522002E-3</v>
      </c>
      <c r="F336" s="161">
        <f ca="1">_xll.meCurveForwardRates(C336,$D$9,$D$10)</f>
        <v>7.9557632859530436E-3</v>
      </c>
      <c r="G336" s="7" t="s">
        <v>4</v>
      </c>
      <c r="H336" s="149">
        <f t="shared" ca="1" si="8"/>
        <v>42893</v>
      </c>
      <c r="I336" s="20">
        <f ca="1">_xll.meDateFromTenor(H336,"3M","Following",$I$11,"Normal")</f>
        <v>42985</v>
      </c>
      <c r="J336" s="150">
        <f ca="1"/>
        <v>1.0228996438435301E-2</v>
      </c>
      <c r="K336" s="7" t="s">
        <v>4</v>
      </c>
      <c r="L336" s="149" t="e">
        <f ca="1">_xll.meDateFromTenor(L335,"1D","FOLLOWING",#REF!,"NORMAL")</f>
        <v>#VALUE!</v>
      </c>
      <c r="M336" s="155">
        <f ca="1">_xll.meDateYearFraction(C336,D336,$M$11)</f>
        <v>2.7777777777777779E-3</v>
      </c>
      <c r="N336" s="150">
        <f ca="1"/>
        <v>-2.4300000000065936E-3</v>
      </c>
      <c r="O336" s="7" t="s">
        <v>4</v>
      </c>
      <c r="P336" s="149">
        <f t="shared" ca="1" si="9"/>
        <v>42893</v>
      </c>
      <c r="Q336" s="155">
        <f ca="1">_xll.meDateYearFraction(H336,I336,$Q$11,TRUE)</f>
        <v>0.25555555555555554</v>
      </c>
      <c r="R336" s="150">
        <f ca="1">IF(NOW(),_xll.meCurveForwardRatesFromYearFraction(P336,Q336,$Q$11,$Q$9,$Q$10))</f>
        <v>-3.7175485397107962E-3</v>
      </c>
      <c r="S336" s="134" t="s">
        <v>4</v>
      </c>
    </row>
    <row r="337" spans="1:19" x14ac:dyDescent="0.25">
      <c r="A337" s="128">
        <v>321</v>
      </c>
      <c r="B337" s="133"/>
      <c r="C337" s="149">
        <f ca="1">_xll.meDateFromTenor(C336,"1D","FOLLOWING",$D$11,"NORMAL")</f>
        <v>42894</v>
      </c>
      <c r="D337" s="20">
        <f ca="1">_xll.meDateFromTenor(C337,"1D","Following",$D$11,"Normal")</f>
        <v>42895</v>
      </c>
      <c r="E337" s="99">
        <f ca="1"/>
        <v>7.9360930902883375E-3</v>
      </c>
      <c r="F337" s="161">
        <f ca="1">_xll.meCurveForwardRates(C337,$D$9,$D$10)</f>
        <v>7.9675791771283144E-3</v>
      </c>
      <c r="G337" s="7" t="s">
        <v>4</v>
      </c>
      <c r="H337" s="149">
        <f t="shared" ref="H337:H400" ca="1" si="10">$C337</f>
        <v>42894</v>
      </c>
      <c r="I337" s="20">
        <f ca="1">_xll.meDateFromTenor(H337,"3M","Following",$I$11,"Normal")</f>
        <v>42986</v>
      </c>
      <c r="J337" s="150">
        <f ca="1"/>
        <v>1.0235360076107971E-2</v>
      </c>
      <c r="K337" s="7" t="s">
        <v>4</v>
      </c>
      <c r="L337" s="149" t="e">
        <f ca="1">_xll.meDateFromTenor(L336,"1D","FOLLOWING",#REF!,"NORMAL")</f>
        <v>#VALUE!</v>
      </c>
      <c r="M337" s="155">
        <f ca="1">_xll.meDateYearFraction(C337,D337,$M$11)</f>
        <v>2.7777777777777779E-3</v>
      </c>
      <c r="N337" s="150">
        <f ca="1"/>
        <v>-2.4300000000065936E-3</v>
      </c>
      <c r="O337" s="7" t="s">
        <v>4</v>
      </c>
      <c r="P337" s="149">
        <f t="shared" ref="P337:P400" ca="1" si="11">$C337</f>
        <v>42894</v>
      </c>
      <c r="Q337" s="155">
        <f ca="1">_xll.meDateYearFraction(H337,I337,$Q$11,TRUE)</f>
        <v>0.25555555555555554</v>
      </c>
      <c r="R337" s="150">
        <f ca="1">IF(NOW(),_xll.meCurveForwardRatesFromYearFraction(P337,Q337,$Q$11,$Q$9,$Q$10))</f>
        <v>-3.1683010734101773E-3</v>
      </c>
      <c r="S337" s="134" t="s">
        <v>4</v>
      </c>
    </row>
    <row r="338" spans="1:19" x14ac:dyDescent="0.25">
      <c r="A338" s="128">
        <v>322</v>
      </c>
      <c r="B338" s="133"/>
      <c r="C338" s="149">
        <f ca="1">_xll.meDateFromTenor(C337,"1D","FOLLOWING",$D$11,"NORMAL")</f>
        <v>42895</v>
      </c>
      <c r="D338" s="20">
        <f ca="1">_xll.meDateFromTenor(C338,"1D","Following",$D$11,"Normal")</f>
        <v>42898</v>
      </c>
      <c r="E338" s="99">
        <f ca="1"/>
        <v>7.959680820990328E-3</v>
      </c>
      <c r="F338" s="161">
        <f ca="1">_xll.meCurveForwardRates(C338,$D$9,$D$10)</f>
        <v>7.9793838015289609E-3</v>
      </c>
      <c r="G338" s="7" t="s">
        <v>4</v>
      </c>
      <c r="H338" s="149">
        <f t="shared" ca="1" si="10"/>
        <v>42895</v>
      </c>
      <c r="I338" s="20">
        <f ca="1">_xll.meDateFromTenor(H338,"3M","Following",$I$11,"Normal")</f>
        <v>42989</v>
      </c>
      <c r="J338" s="150">
        <f ca="1"/>
        <v>1.0241723713780643E-2</v>
      </c>
      <c r="K338" s="7" t="s">
        <v>4</v>
      </c>
      <c r="L338" s="149" t="e">
        <f ca="1">_xll.meDateFromTenor(L337,"1D","FOLLOWING",#REF!,"NORMAL")</f>
        <v>#VALUE!</v>
      </c>
      <c r="M338" s="155">
        <f ca="1">_xll.meDateYearFraction(C338,D338,$M$11)</f>
        <v>8.3333333333333332E-3</v>
      </c>
      <c r="N338" s="150">
        <f ca="1"/>
        <v>-2.4300000000065936E-3</v>
      </c>
      <c r="O338" s="7" t="s">
        <v>4</v>
      </c>
      <c r="P338" s="149">
        <f t="shared" ca="1" si="11"/>
        <v>42895</v>
      </c>
      <c r="Q338" s="155">
        <f ca="1">_xll.meDateYearFraction(H338,I338,$Q$11,TRUE)</f>
        <v>0.26111111111111113</v>
      </c>
      <c r="R338" s="150">
        <f ca="1">IF(NOW(),_xll.meCurveForwardRatesFromYearFraction(P338,Q338,$Q$11,$Q$9,$Q$10))</f>
        <v>-3.7175485397107962E-3</v>
      </c>
      <c r="S338" s="134" t="s">
        <v>4</v>
      </c>
    </row>
    <row r="339" spans="1:19" x14ac:dyDescent="0.25">
      <c r="A339" s="128">
        <v>323</v>
      </c>
      <c r="B339" s="133"/>
      <c r="C339" s="149">
        <f ca="1">_xll.meDateFromTenor(C338,"1D","FOLLOWING",$D$11,"NORMAL")</f>
        <v>42898</v>
      </c>
      <c r="D339" s="20">
        <f ca="1">_xll.meDateFromTenor(C339,"1D","Following",$D$11,"Normal")</f>
        <v>42899</v>
      </c>
      <c r="E339" s="99">
        <f ca="1"/>
        <v>7.9828822906425068E-3</v>
      </c>
      <c r="F339" s="161">
        <f ca="1">_xll.meCurveForwardRates(C339,$D$9,$D$10)</f>
        <v>8.0147412347313374E-3</v>
      </c>
      <c r="G339" s="7" t="s">
        <v>4</v>
      </c>
      <c r="H339" s="149">
        <f t="shared" ca="1" si="10"/>
        <v>42898</v>
      </c>
      <c r="I339" s="20">
        <f ca="1">_xll.meDateFromTenor(H339,"3M","Following",$I$11,"Normal")</f>
        <v>42990</v>
      </c>
      <c r="J339" s="150">
        <f ca="1"/>
        <v>1.0260814626798656E-2</v>
      </c>
      <c r="K339" s="7" t="s">
        <v>4</v>
      </c>
      <c r="L339" s="149" t="e">
        <f ca="1">_xll.meDateFromTenor(L338,"1D","FOLLOWING",#REF!,"NORMAL")</f>
        <v>#VALUE!</v>
      </c>
      <c r="M339" s="155">
        <f ca="1">_xll.meDateYearFraction(C339,D339,$M$11)</f>
        <v>2.7777777777777779E-3</v>
      </c>
      <c r="N339" s="150">
        <f ca="1"/>
        <v>-2.4300000000065936E-3</v>
      </c>
      <c r="O339" s="7" t="s">
        <v>4</v>
      </c>
      <c r="P339" s="149">
        <f t="shared" ca="1" si="11"/>
        <v>42898</v>
      </c>
      <c r="Q339" s="155">
        <f ca="1">_xll.meDateYearFraction(H339,I339,$Q$11,TRUE)</f>
        <v>0.25555555555555554</v>
      </c>
      <c r="R339" s="150">
        <f ca="1">IF(NOW(),_xll.meCurveForwardRatesFromYearFraction(P339,Q339,$Q$11,$Q$9,$Q$10))</f>
        <v>-3.1617819814261463E-3</v>
      </c>
      <c r="S339" s="134" t="s">
        <v>4</v>
      </c>
    </row>
    <row r="340" spans="1:19" x14ac:dyDescent="0.25">
      <c r="A340" s="128">
        <v>324</v>
      </c>
      <c r="B340" s="133"/>
      <c r="C340" s="149">
        <f ca="1">_xll.meDateFromTenor(C339,"1D","FOLLOWING",$D$11,"NORMAL")</f>
        <v>42899</v>
      </c>
      <c r="D340" s="20">
        <f ca="1">_xll.meDateFromTenor(C340,"1D","Following",$D$11,"Normal")</f>
        <v>42900</v>
      </c>
      <c r="E340" s="99">
        <f ca="1"/>
        <v>7.9945536681070017E-3</v>
      </c>
      <c r="F340" s="161">
        <f ca="1">_xll.meCurveForwardRates(C340,$D$9,$D$10)</f>
        <v>8.0265059628514823E-3</v>
      </c>
      <c r="G340" s="7" t="s">
        <v>4</v>
      </c>
      <c r="H340" s="149">
        <f t="shared" ca="1" si="10"/>
        <v>42899</v>
      </c>
      <c r="I340" s="20">
        <f ca="1">_xll.meDateFromTenor(H340,"3M","Following",$I$11,"Normal")</f>
        <v>42991</v>
      </c>
      <c r="J340" s="150">
        <f ca="1"/>
        <v>1.0267178264471329E-2</v>
      </c>
      <c r="K340" s="7" t="s">
        <v>4</v>
      </c>
      <c r="L340" s="149" t="e">
        <f ca="1">_xll.meDateFromTenor(L339,"1D","FOLLOWING",#REF!,"NORMAL")</f>
        <v>#VALUE!</v>
      </c>
      <c r="M340" s="155">
        <f ca="1">_xll.meDateYearFraction(C340,D340,$M$11)</f>
        <v>2.7777777777777779E-3</v>
      </c>
      <c r="N340" s="150">
        <f ca="1"/>
        <v>-2.4300000000065936E-3</v>
      </c>
      <c r="O340" s="7" t="s">
        <v>4</v>
      </c>
      <c r="P340" s="149">
        <f t="shared" ca="1" si="11"/>
        <v>42899</v>
      </c>
      <c r="Q340" s="155">
        <f ca="1">_xll.meDateYearFraction(H340,I340,$Q$11,TRUE)</f>
        <v>0.25555555555555554</v>
      </c>
      <c r="R340" s="150">
        <f ca="1">IF(NOW(),_xll.meCurveForwardRatesFromYearFraction(P340,Q340,$Q$11,$Q$9,$Q$10))</f>
        <v>-3.1601796052935266E-3</v>
      </c>
      <c r="S340" s="134" t="s">
        <v>4</v>
      </c>
    </row>
    <row r="341" spans="1:19" x14ac:dyDescent="0.25">
      <c r="A341" s="128">
        <v>325</v>
      </c>
      <c r="B341" s="133"/>
      <c r="C341" s="149">
        <f ca="1">_xll.meDateFromTenor(C340,"1D","FOLLOWING",$D$11,"NORMAL")</f>
        <v>42900</v>
      </c>
      <c r="D341" s="20">
        <f ca="1">_xll.meDateFromTenor(C341,"1D","Following",$D$11,"Normal")</f>
        <v>42901</v>
      </c>
      <c r="E341" s="99">
        <f ca="1"/>
        <v>8.0062145147952457E-3</v>
      </c>
      <c r="F341" s="161">
        <f ca="1">_xll.meCurveForwardRates(C341,$D$9,$D$10)</f>
        <v>8.0382602127093694E-3</v>
      </c>
      <c r="G341" s="7" t="s">
        <v>4</v>
      </c>
      <c r="H341" s="149">
        <f t="shared" ca="1" si="10"/>
        <v>42900</v>
      </c>
      <c r="I341" s="20">
        <f ca="1">_xll.meDateFromTenor(H341,"3M","Following",$I$11,"Normal")</f>
        <v>42992</v>
      </c>
      <c r="J341" s="150">
        <f ca="1"/>
        <v>1.0273541902144001E-2</v>
      </c>
      <c r="K341" s="7" t="s">
        <v>4</v>
      </c>
      <c r="L341" s="149" t="e">
        <f ca="1">_xll.meDateFromTenor(L340,"1D","FOLLOWING",#REF!,"NORMAL")</f>
        <v>#VALUE!</v>
      </c>
      <c r="M341" s="155">
        <f ca="1">_xll.meDateYearFraction(C341,D341,$M$11)</f>
        <v>2.7777777777777779E-3</v>
      </c>
      <c r="N341" s="150">
        <f ca="1"/>
        <v>-2.4300000000065936E-3</v>
      </c>
      <c r="O341" s="7" t="s">
        <v>4</v>
      </c>
      <c r="P341" s="149">
        <f t="shared" ca="1" si="11"/>
        <v>42900</v>
      </c>
      <c r="Q341" s="155">
        <f ca="1">_xll.meDateYearFraction(H341,I341,$Q$11,TRUE)</f>
        <v>0.25555555555555554</v>
      </c>
      <c r="R341" s="150">
        <f ca="1">IF(NOW(),_xll.meCurveForwardRatesFromYearFraction(P341,Q341,$Q$11,$Q$9,$Q$10))</f>
        <v>-3.1585881418754336E-3</v>
      </c>
      <c r="S341" s="134" t="s">
        <v>4</v>
      </c>
    </row>
    <row r="342" spans="1:19" x14ac:dyDescent="0.25">
      <c r="A342" s="128">
        <v>326</v>
      </c>
      <c r="B342" s="133"/>
      <c r="C342" s="149">
        <f ca="1">_xll.meDateFromTenor(C341,"1D","FOLLOWING",$D$11,"NORMAL")</f>
        <v>42901</v>
      </c>
      <c r="D342" s="20">
        <f ca="1">_xll.meDateFromTenor(C342,"1D","Following",$D$11,"Normal")</f>
        <v>42902</v>
      </c>
      <c r="E342" s="99">
        <f ca="1"/>
        <v>8.0178647496520761E-3</v>
      </c>
      <c r="F342" s="161">
        <f ca="1">_xll.meCurveForwardRates(C342,$D$9,$D$10)</f>
        <v>8.0500039022299852E-3</v>
      </c>
      <c r="G342" s="7" t="s">
        <v>4</v>
      </c>
      <c r="H342" s="149">
        <f t="shared" ca="1" si="10"/>
        <v>42901</v>
      </c>
      <c r="I342" s="20">
        <f ca="1">_xll.meDateFromTenor(H342,"3M","Following",$I$11,"Normal")</f>
        <v>42993</v>
      </c>
      <c r="J342" s="150">
        <f ca="1"/>
        <v>1.0279905539816671E-2</v>
      </c>
      <c r="K342" s="7" t="s">
        <v>4</v>
      </c>
      <c r="L342" s="149" t="e">
        <f ca="1">_xll.meDateFromTenor(L341,"1D","FOLLOWING",#REF!,"NORMAL")</f>
        <v>#VALUE!</v>
      </c>
      <c r="M342" s="155">
        <f ca="1">_xll.meDateYearFraction(C342,D342,$M$11)</f>
        <v>2.7777777777777779E-3</v>
      </c>
      <c r="N342" s="150">
        <f ca="1"/>
        <v>-2.4300000000065936E-3</v>
      </c>
      <c r="O342" s="7" t="s">
        <v>4</v>
      </c>
      <c r="P342" s="149">
        <f t="shared" ca="1" si="11"/>
        <v>42901</v>
      </c>
      <c r="Q342" s="155">
        <f ca="1">_xll.meDateYearFraction(H342,I342,$Q$11,TRUE)</f>
        <v>0.25555555555555554</v>
      </c>
      <c r="R342" s="150">
        <f ca="1">IF(NOW(),_xll.meCurveForwardRatesFromYearFraction(P342,Q342,$Q$11,$Q$9,$Q$10))</f>
        <v>-3.1570075681564514E-3</v>
      </c>
      <c r="S342" s="134" t="s">
        <v>4</v>
      </c>
    </row>
    <row r="343" spans="1:19" x14ac:dyDescent="0.25">
      <c r="A343" s="128">
        <v>327</v>
      </c>
      <c r="B343" s="133"/>
      <c r="C343" s="149">
        <f ca="1">_xll.meDateFromTenor(C342,"1D","FOLLOWING",$D$11,"NORMAL")</f>
        <v>42902</v>
      </c>
      <c r="D343" s="20">
        <f ca="1">_xll.meDateFromTenor(C343,"1D","Following",$D$11,"Normal")</f>
        <v>42905</v>
      </c>
      <c r="E343" s="99">
        <f ca="1"/>
        <v>8.0413090540696706E-3</v>
      </c>
      <c r="F343" s="161">
        <f ca="1">_xll.meCurveForwardRates(C343,$D$9,$D$10)</f>
        <v>8.0617356878758262E-3</v>
      </c>
      <c r="G343" s="7" t="s">
        <v>4</v>
      </c>
      <c r="H343" s="149">
        <f t="shared" ca="1" si="10"/>
        <v>42902</v>
      </c>
      <c r="I343" s="20">
        <f ca="1">_xll.meDateFromTenor(H343,"3M","Following",$I$11,"Normal")</f>
        <v>42996</v>
      </c>
      <c r="J343" s="150">
        <f ca="1"/>
        <v>1.0286269177489343E-2</v>
      </c>
      <c r="K343" s="7" t="s">
        <v>4</v>
      </c>
      <c r="L343" s="149" t="e">
        <f ca="1">_xll.meDateFromTenor(L342,"1D","FOLLOWING",#REF!,"NORMAL")</f>
        <v>#VALUE!</v>
      </c>
      <c r="M343" s="155">
        <f ca="1">_xll.meDateYearFraction(C343,D343,$M$11)</f>
        <v>8.3333333333333332E-3</v>
      </c>
      <c r="N343" s="150">
        <f ca="1"/>
        <v>-2.4300000000065936E-3</v>
      </c>
      <c r="O343" s="7" t="s">
        <v>4</v>
      </c>
      <c r="P343" s="149">
        <f t="shared" ca="1" si="11"/>
        <v>42902</v>
      </c>
      <c r="Q343" s="155">
        <f ca="1">_xll.meDateYearFraction(H343,I343,$Q$11,TRUE)</f>
        <v>0.26111111111111113</v>
      </c>
      <c r="R343" s="150">
        <f ca="1">IF(NOW(),_xll.meCurveForwardRatesFromYearFraction(P343,Q343,$Q$11,$Q$9,$Q$10))</f>
        <v>-3.7175485397107962E-3</v>
      </c>
      <c r="S343" s="134" t="s">
        <v>4</v>
      </c>
    </row>
    <row r="344" spans="1:19" x14ac:dyDescent="0.25">
      <c r="A344" s="128">
        <v>328</v>
      </c>
      <c r="B344" s="133"/>
      <c r="C344" s="149">
        <f ca="1">_xll.meDateFromTenor(C343,"1D","FOLLOWING",$D$11,"NORMAL")</f>
        <v>42905</v>
      </c>
      <c r="D344" s="20">
        <f ca="1">_xll.meDateFromTenor(C344,"1D","Following",$D$11,"Normal")</f>
        <v>42906</v>
      </c>
      <c r="E344" s="99">
        <f ca="1"/>
        <v>8.0643579534989424E-3</v>
      </c>
      <c r="F344" s="161">
        <f ca="1">_xll.meCurveForwardRates(C344,$D$9,$D$10)</f>
        <v>8.0968714191986813E-3</v>
      </c>
      <c r="G344" s="7" t="s">
        <v>4</v>
      </c>
      <c r="H344" s="149">
        <f t="shared" ca="1" si="10"/>
        <v>42905</v>
      </c>
      <c r="I344" s="20">
        <f ca="1">_xll.meDateFromTenor(H344,"3M","Following",$I$11,"Normal")</f>
        <v>42997</v>
      </c>
      <c r="J344" s="150">
        <f ca="1"/>
        <v>1.0305360090507356E-2</v>
      </c>
      <c r="K344" s="7" t="s">
        <v>4</v>
      </c>
      <c r="L344" s="149" t="e">
        <f ca="1">_xll.meDateFromTenor(L343,"1D","FOLLOWING",#REF!,"NORMAL")</f>
        <v>#VALUE!</v>
      </c>
      <c r="M344" s="155">
        <f ca="1">_xll.meDateYearFraction(C344,D344,$M$11)</f>
        <v>2.7777777777777779E-3</v>
      </c>
      <c r="N344" s="150">
        <f ca="1"/>
        <v>-2.4300000000065936E-3</v>
      </c>
      <c r="O344" s="7" t="s">
        <v>4</v>
      </c>
      <c r="P344" s="149">
        <f t="shared" ca="1" si="11"/>
        <v>42905</v>
      </c>
      <c r="Q344" s="155">
        <f ca="1">_xll.meDateYearFraction(H344,I344,$Q$11,TRUE)</f>
        <v>0.25555555555555554</v>
      </c>
      <c r="R344" s="150">
        <f ca="1">IF(NOW(),_xll.meCurveForwardRatesFromYearFraction(P344,Q344,$Q$11,$Q$9,$Q$10))</f>
        <v>-3.1507937099633414E-3</v>
      </c>
      <c r="S344" s="134" t="s">
        <v>4</v>
      </c>
    </row>
    <row r="345" spans="1:19" x14ac:dyDescent="0.25">
      <c r="A345" s="128">
        <v>329</v>
      </c>
      <c r="B345" s="133"/>
      <c r="C345" s="149">
        <f ca="1">_xll.meDateFromTenor(C344,"1D","FOLLOWING",$D$11,"NORMAL")</f>
        <v>42906</v>
      </c>
      <c r="D345" s="20">
        <f ca="1">_xll.meDateFromTenor(C345,"1D","Following",$D$11,"Normal")</f>
        <v>42907</v>
      </c>
      <c r="E345" s="99">
        <f ca="1"/>
        <v>8.075953916009156E-3</v>
      </c>
      <c r="F345" s="161">
        <f ca="1">_xll.meCurveForwardRates(C345,$D$9,$D$10)</f>
        <v>8.1085610784543682E-3</v>
      </c>
      <c r="G345" s="7" t="s">
        <v>4</v>
      </c>
      <c r="H345" s="149">
        <f t="shared" ca="1" si="10"/>
        <v>42906</v>
      </c>
      <c r="I345" s="20">
        <f ca="1">_xll.meDateFromTenor(H345,"3M","Following",$I$11,"Normal")</f>
        <v>42998</v>
      </c>
      <c r="J345" s="150">
        <f ca="1"/>
        <v>1.0311723728180028E-2</v>
      </c>
      <c r="K345" s="7" t="s">
        <v>4</v>
      </c>
      <c r="L345" s="149" t="e">
        <f ca="1">_xll.meDateFromTenor(L344,"1D","FOLLOWING",#REF!,"NORMAL")</f>
        <v>#VALUE!</v>
      </c>
      <c r="M345" s="155">
        <f ca="1">_xll.meDateYearFraction(C345,D345,$M$11)</f>
        <v>2.7777777777777779E-3</v>
      </c>
      <c r="N345" s="150">
        <f ca="1"/>
        <v>-2.4300000000065936E-3</v>
      </c>
      <c r="O345" s="7" t="s">
        <v>4</v>
      </c>
      <c r="P345" s="149">
        <f t="shared" ca="1" si="11"/>
        <v>42906</v>
      </c>
      <c r="Q345" s="155">
        <f ca="1">_xll.meDateYearFraction(H345,I345,$Q$11,TRUE)</f>
        <v>0.25555555555555554</v>
      </c>
      <c r="R345" s="150">
        <f ca="1">IF(NOW(),_xll.meCurveForwardRatesFromYearFraction(P345,Q345,$Q$11,$Q$9,$Q$10))</f>
        <v>-3.1492672395086949E-3</v>
      </c>
      <c r="S345" s="134" t="s">
        <v>4</v>
      </c>
    </row>
    <row r="346" spans="1:19" x14ac:dyDescent="0.25">
      <c r="A346" s="128">
        <v>330</v>
      </c>
      <c r="B346" s="133"/>
      <c r="C346" s="149">
        <f ca="1">_xll.meDateFromTenor(C345,"1D","FOLLOWING",$D$11,"NORMAL")</f>
        <v>42907</v>
      </c>
      <c r="D346" s="20">
        <f ca="1">_xll.meDateFromTenor(C346,"1D","Following",$D$11,"Normal")</f>
        <v>42908</v>
      </c>
      <c r="E346" s="99">
        <f ca="1"/>
        <v>8.0875387812362771E-3</v>
      </c>
      <c r="F346" s="161">
        <f ca="1">_xll.meCurveForwardRates(C346,$D$9,$D$10)</f>
        <v>8.1202396857398274E-3</v>
      </c>
      <c r="G346" s="7" t="s">
        <v>4</v>
      </c>
      <c r="H346" s="149">
        <f t="shared" ca="1" si="10"/>
        <v>42907</v>
      </c>
      <c r="I346" s="20">
        <f ca="1">_xll.meDateFromTenor(H346,"3M","Following",$I$11,"Normal")</f>
        <v>42999</v>
      </c>
      <c r="J346" s="150">
        <f ca="1"/>
        <v>1.0318087365852699E-2</v>
      </c>
      <c r="K346" s="7" t="s">
        <v>4</v>
      </c>
      <c r="L346" s="149" t="e">
        <f ca="1">_xll.meDateFromTenor(L345,"1D","FOLLOWING",#REF!,"NORMAL")</f>
        <v>#VALUE!</v>
      </c>
      <c r="M346" s="155">
        <f ca="1">_xll.meDateYearFraction(C346,D346,$M$11)</f>
        <v>2.7777777777777779E-3</v>
      </c>
      <c r="N346" s="150">
        <f ca="1"/>
        <v>-2.4300000000065936E-3</v>
      </c>
      <c r="O346" s="7" t="s">
        <v>4</v>
      </c>
      <c r="P346" s="149">
        <f t="shared" ca="1" si="11"/>
        <v>42907</v>
      </c>
      <c r="Q346" s="155">
        <f ca="1">_xll.meDateYearFraction(H346,I346,$Q$11,TRUE)</f>
        <v>0.25555555555555554</v>
      </c>
      <c r="R346" s="150">
        <f ca="1">IF(NOW(),_xll.meCurveForwardRatesFromYearFraction(P346,Q346,$Q$11,$Q$9,$Q$10))</f>
        <v>-3.7175485397107962E-3</v>
      </c>
      <c r="S346" s="134" t="s">
        <v>4</v>
      </c>
    </row>
    <row r="347" spans="1:19" x14ac:dyDescent="0.25">
      <c r="A347" s="128">
        <v>331</v>
      </c>
      <c r="B347" s="133"/>
      <c r="C347" s="149">
        <f ca="1">_xll.meDateFromTenor(C346,"1D","FOLLOWING",$D$11,"NORMAL")</f>
        <v>42908</v>
      </c>
      <c r="D347" s="20">
        <f ca="1">_xll.meDateFromTenor(C347,"1D","Following",$D$11,"Normal")</f>
        <v>42909</v>
      </c>
      <c r="E347" s="99">
        <f ca="1"/>
        <v>8.0991124683649513E-3</v>
      </c>
      <c r="F347" s="161">
        <f ca="1">_xll.meCurveForwardRates(C347,$D$9,$D$10)</f>
        <v>8.1319071591978709E-3</v>
      </c>
      <c r="G347" s="7" t="s">
        <v>4</v>
      </c>
      <c r="H347" s="149">
        <f t="shared" ca="1" si="10"/>
        <v>42908</v>
      </c>
      <c r="I347" s="20">
        <f ca="1">_xll.meDateFromTenor(H347,"3M","Following",$I$11,"Normal")</f>
        <v>43000</v>
      </c>
      <c r="J347" s="150">
        <f ca="1"/>
        <v>1.0326001864370058E-2</v>
      </c>
      <c r="K347" s="7" t="s">
        <v>4</v>
      </c>
      <c r="L347" s="149" t="e">
        <f ca="1">_xll.meDateFromTenor(L346,"1D","FOLLOWING",#REF!,"NORMAL")</f>
        <v>#VALUE!</v>
      </c>
      <c r="M347" s="155">
        <f ca="1">_xll.meDateYearFraction(C347,D347,$M$11)</f>
        <v>2.7777777777777779E-3</v>
      </c>
      <c r="N347" s="150">
        <f ca="1"/>
        <v>-2.4300000000065936E-3</v>
      </c>
      <c r="O347" s="7" t="s">
        <v>4</v>
      </c>
      <c r="P347" s="149">
        <f t="shared" ca="1" si="11"/>
        <v>42908</v>
      </c>
      <c r="Q347" s="155">
        <f ca="1">_xll.meDateYearFraction(H347,I347,$Q$11,TRUE)</f>
        <v>0.25555555555555554</v>
      </c>
      <c r="R347" s="150">
        <f ca="1">IF(NOW(),_xll.meCurveForwardRatesFromYearFraction(P347,Q347,$Q$11,$Q$9,$Q$10))</f>
        <v>-3.7175485397107962E-3</v>
      </c>
      <c r="S347" s="134" t="s">
        <v>4</v>
      </c>
    </row>
    <row r="348" spans="1:19" x14ac:dyDescent="0.25">
      <c r="A348" s="128">
        <v>332</v>
      </c>
      <c r="B348" s="133"/>
      <c r="C348" s="149">
        <f ca="1">_xll.meDateFromTenor(C347,"1D","FOLLOWING",$D$11,"NORMAL")</f>
        <v>42909</v>
      </c>
      <c r="D348" s="20">
        <f ca="1">_xll.meDateFromTenor(C348,"1D","Following",$D$11,"Normal")</f>
        <v>42912</v>
      </c>
      <c r="E348" s="99">
        <f ca="1"/>
        <v>8.1224054303241939E-3</v>
      </c>
      <c r="F348" s="161">
        <f ca="1">_xll.meCurveForwardRates(C348,$D$9,$D$10)</f>
        <v>8.1435620912613249E-3</v>
      </c>
      <c r="G348" s="7" t="s">
        <v>4</v>
      </c>
      <c r="H348" s="149">
        <f t="shared" ca="1" si="10"/>
        <v>42909</v>
      </c>
      <c r="I348" s="20">
        <f ca="1">_xll.meDateFromTenor(H348,"3M","Following",$I$11,"Normal")</f>
        <v>43003</v>
      </c>
      <c r="J348" s="150">
        <f ca="1"/>
        <v>1.0333916362887417E-2</v>
      </c>
      <c r="K348" s="7" t="s">
        <v>4</v>
      </c>
      <c r="L348" s="149" t="e">
        <f ca="1">_xll.meDateFromTenor(L347,"1D","FOLLOWING",#REF!,"NORMAL")</f>
        <v>#VALUE!</v>
      </c>
      <c r="M348" s="155">
        <f ca="1">_xll.meDateYearFraction(C348,D348,$M$11)</f>
        <v>8.3333333333333332E-3</v>
      </c>
      <c r="N348" s="150">
        <f ca="1"/>
        <v>-2.4300000000065936E-3</v>
      </c>
      <c r="O348" s="7" t="s">
        <v>4</v>
      </c>
      <c r="P348" s="149">
        <f t="shared" ca="1" si="11"/>
        <v>42909</v>
      </c>
      <c r="Q348" s="155">
        <f ca="1">_xll.meDateYearFraction(H348,I348,$Q$11,TRUE)</f>
        <v>0.26111111111111113</v>
      </c>
      <c r="R348" s="150">
        <f ca="1">IF(NOW(),_xll.meCurveForwardRatesFromYearFraction(P348,Q348,$Q$11,$Q$9,$Q$10))</f>
        <v>-3.7175485397107962E-3</v>
      </c>
      <c r="S348" s="134" t="s">
        <v>4</v>
      </c>
    </row>
    <row r="349" spans="1:19" x14ac:dyDescent="0.25">
      <c r="A349" s="128">
        <v>333</v>
      </c>
      <c r="B349" s="133"/>
      <c r="C349" s="149">
        <f ca="1">_xll.meDateFromTenor(C348,"1D","FOLLOWING",$D$11,"NORMAL")</f>
        <v>42912</v>
      </c>
      <c r="D349" s="20">
        <f ca="1">_xll.meDateFromTenor(C349,"1D","Following",$D$11,"Normal")</f>
        <v>42913</v>
      </c>
      <c r="E349" s="99">
        <f ca="1"/>
        <v>8.145293817509754E-3</v>
      </c>
      <c r="F349" s="161">
        <f ca="1">_xll.meCurveForwardRates(C349,$D$9,$D$10)</f>
        <v>8.1784640754067883E-3</v>
      </c>
      <c r="G349" s="7" t="s">
        <v>4</v>
      </c>
      <c r="H349" s="149">
        <f t="shared" ca="1" si="10"/>
        <v>42912</v>
      </c>
      <c r="I349" s="20">
        <f ca="1">_xll.meDateFromTenor(H349,"3M","Following",$I$11,"Normal")</f>
        <v>43004</v>
      </c>
      <c r="J349" s="150">
        <f ca="1"/>
        <v>1.0357659858439491E-2</v>
      </c>
      <c r="K349" s="7" t="s">
        <v>4</v>
      </c>
      <c r="L349" s="149" t="e">
        <f ca="1">_xll.meDateFromTenor(L348,"1D","FOLLOWING",#REF!,"NORMAL")</f>
        <v>#VALUE!</v>
      </c>
      <c r="M349" s="155">
        <f ca="1">_xll.meDateYearFraction(C349,D349,$M$11)</f>
        <v>2.7777777777777779E-3</v>
      </c>
      <c r="N349" s="150">
        <f ca="1"/>
        <v>-2.4300000000065936E-3</v>
      </c>
      <c r="O349" s="7" t="s">
        <v>4</v>
      </c>
      <c r="P349" s="149">
        <f t="shared" ca="1" si="11"/>
        <v>42912</v>
      </c>
      <c r="Q349" s="155">
        <f ca="1">_xll.meDateYearFraction(H349,I349,$Q$11,TRUE)</f>
        <v>0.25555555555555554</v>
      </c>
      <c r="R349" s="150">
        <f ca="1">IF(NOW(),_xll.meCurveForwardRatesFromYearFraction(P349,Q349,$Q$11,$Q$9,$Q$10))</f>
        <v>-3.1403333949803856E-3</v>
      </c>
      <c r="S349" s="134" t="s">
        <v>4</v>
      </c>
    </row>
    <row r="350" spans="1:19" x14ac:dyDescent="0.25">
      <c r="A350" s="128">
        <v>334</v>
      </c>
      <c r="B350" s="133"/>
      <c r="C350" s="149">
        <f ca="1">_xll.meDateFromTenor(C349,"1D","FOLLOWING",$D$11,"NORMAL")</f>
        <v>42913</v>
      </c>
      <c r="D350" s="20">
        <f ca="1">_xll.meDateFromTenor(C350,"1D","Following",$D$11,"Normal")</f>
        <v>42914</v>
      </c>
      <c r="E350" s="99">
        <f ca="1"/>
        <v>8.1568104003970927E-3</v>
      </c>
      <c r="F350" s="161">
        <f ca="1">_xll.meCurveForwardRates(C350,$D$9,$D$10)</f>
        <v>8.1900746502259203E-3</v>
      </c>
      <c r="G350" s="7" t="s">
        <v>4</v>
      </c>
      <c r="H350" s="149">
        <f t="shared" ca="1" si="10"/>
        <v>42913</v>
      </c>
      <c r="I350" s="20">
        <f ca="1">_xll.meDateFromTenor(H350,"3M","Following",$I$11,"Normal")</f>
        <v>43005</v>
      </c>
      <c r="J350" s="150">
        <f ca="1"/>
        <v>1.036557435695685E-2</v>
      </c>
      <c r="K350" s="7" t="s">
        <v>4</v>
      </c>
      <c r="L350" s="149" t="e">
        <f ca="1">_xll.meDateFromTenor(L349,"1D","FOLLOWING",#REF!,"NORMAL")</f>
        <v>#VALUE!</v>
      </c>
      <c r="M350" s="155">
        <f ca="1">_xll.meDateYearFraction(C350,D350,$M$11)</f>
        <v>2.7777777777777779E-3</v>
      </c>
      <c r="N350" s="150">
        <f ca="1"/>
        <v>-2.4300000000065936E-3</v>
      </c>
      <c r="O350" s="7" t="s">
        <v>4</v>
      </c>
      <c r="P350" s="149">
        <f t="shared" ca="1" si="11"/>
        <v>42913</v>
      </c>
      <c r="Q350" s="155">
        <f ca="1">_xll.meDateYearFraction(H350,I350,$Q$11,TRUE)</f>
        <v>0.25555555555555554</v>
      </c>
      <c r="R350" s="150">
        <f ca="1">IF(NOW(),_xll.meCurveForwardRatesFromYearFraction(P350,Q350,$Q$11,$Q$9,$Q$10))</f>
        <v>-3.7175485397107962E-3</v>
      </c>
      <c r="S350" s="134" t="s">
        <v>4</v>
      </c>
    </row>
    <row r="351" spans="1:19" x14ac:dyDescent="0.25">
      <c r="A351" s="128">
        <v>335</v>
      </c>
      <c r="B351" s="133"/>
      <c r="C351" s="149">
        <f ca="1">_xll.meDateFromTenor(C350,"1D","FOLLOWING",$D$11,"NORMAL")</f>
        <v>42914</v>
      </c>
      <c r="D351" s="20">
        <f ca="1">_xll.meDateFromTenor(C351,"1D","Following",$D$11,"Normal")</f>
        <v>42915</v>
      </c>
      <c r="E351" s="99">
        <f ca="1"/>
        <v>8.1683153196543696E-3</v>
      </c>
      <c r="F351" s="161">
        <f ca="1">_xll.meCurveForwardRates(C351,$D$9,$D$10)</f>
        <v>8.2016735993610812E-3</v>
      </c>
      <c r="G351" s="7" t="s">
        <v>4</v>
      </c>
      <c r="H351" s="149">
        <f t="shared" ca="1" si="10"/>
        <v>42914</v>
      </c>
      <c r="I351" s="20">
        <f ca="1">_xll.meDateFromTenor(H351,"3M","Following",$I$11,"Normal")</f>
        <v>43006</v>
      </c>
      <c r="J351" s="150">
        <f ca="1"/>
        <v>1.0373488855474209E-2</v>
      </c>
      <c r="K351" s="7" t="s">
        <v>4</v>
      </c>
      <c r="L351" s="149" t="e">
        <f ca="1">_xll.meDateFromTenor(L350,"1D","FOLLOWING",#REF!,"NORMAL")</f>
        <v>#VALUE!</v>
      </c>
      <c r="M351" s="155">
        <f ca="1">_xll.meDateYearFraction(C351,D351,$M$11)</f>
        <v>2.7777777777777779E-3</v>
      </c>
      <c r="N351" s="150">
        <f ca="1"/>
        <v>-2.4300000000065936E-3</v>
      </c>
      <c r="O351" s="7" t="s">
        <v>4</v>
      </c>
      <c r="P351" s="149">
        <f t="shared" ca="1" si="11"/>
        <v>42914</v>
      </c>
      <c r="Q351" s="155">
        <f ca="1">_xll.meDateYearFraction(H351,I351,$Q$11,TRUE)</f>
        <v>0.25555555555555554</v>
      </c>
      <c r="R351" s="150">
        <f ca="1">IF(NOW(),_xll.meCurveForwardRatesFromYearFraction(P351,Q351,$Q$11,$Q$9,$Q$10))</f>
        <v>-3.1374406004151183E-3</v>
      </c>
      <c r="S351" s="134" t="s">
        <v>4</v>
      </c>
    </row>
    <row r="352" spans="1:19" x14ac:dyDescent="0.25">
      <c r="A352" s="128">
        <v>336</v>
      </c>
      <c r="B352" s="133"/>
      <c r="C352" s="149">
        <f ca="1">_xll.meDateFromTenor(C351,"1D","FOLLOWING",$D$11,"NORMAL")</f>
        <v>42915</v>
      </c>
      <c r="D352" s="20">
        <f ca="1">_xll.meDateFromTenor(C352,"1D","Following",$D$11,"Normal")</f>
        <v>42916</v>
      </c>
      <c r="E352" s="99">
        <f ca="1"/>
        <v>8.1798084944662303E-3</v>
      </c>
      <c r="F352" s="161">
        <f ca="1">_xll.meCurveForwardRates(C352,$D$9,$D$10)</f>
        <v>8.2132608409315466E-3</v>
      </c>
      <c r="G352" s="7" t="s">
        <v>4</v>
      </c>
      <c r="H352" s="149">
        <f t="shared" ca="1" si="10"/>
        <v>42915</v>
      </c>
      <c r="I352" s="20">
        <f ca="1">_xll.meDateFromTenor(H352,"3M","Following",$I$11,"Normal")</f>
        <v>43007</v>
      </c>
      <c r="J352" s="150">
        <f ca="1"/>
        <v>1.0381403353991568E-2</v>
      </c>
      <c r="K352" s="7" t="s">
        <v>4</v>
      </c>
      <c r="L352" s="149" t="e">
        <f ca="1">_xll.meDateFromTenor(L351,"1D","FOLLOWING",#REF!,"NORMAL")</f>
        <v>#VALUE!</v>
      </c>
      <c r="M352" s="155">
        <f ca="1">_xll.meDateYearFraction(C352,D352,$M$11)</f>
        <v>2.7777777777777779E-3</v>
      </c>
      <c r="N352" s="150">
        <f ca="1"/>
        <v>-2.4300000000065936E-3</v>
      </c>
      <c r="O352" s="7" t="s">
        <v>4</v>
      </c>
      <c r="P352" s="149">
        <f t="shared" ca="1" si="11"/>
        <v>42915</v>
      </c>
      <c r="Q352" s="155">
        <f ca="1">_xll.meDateYearFraction(H352,I352,$Q$11,TRUE)</f>
        <v>0.25555555555555554</v>
      </c>
      <c r="R352" s="150">
        <f ca="1">IF(NOW(),_xll.meCurveForwardRatesFromYearFraction(P352,Q352,$Q$11,$Q$9,$Q$10))</f>
        <v>-3.7175485397107962E-3</v>
      </c>
      <c r="S352" s="134" t="s">
        <v>4</v>
      </c>
    </row>
    <row r="353" spans="1:19" x14ac:dyDescent="0.25">
      <c r="A353" s="128">
        <v>337</v>
      </c>
      <c r="B353" s="133"/>
      <c r="C353" s="149">
        <f ca="1">_xll.meDateFromTenor(C352,"1D","FOLLOWING",$D$11,"NORMAL")</f>
        <v>42916</v>
      </c>
      <c r="D353" s="20">
        <f ca="1">_xll.meDateFromTenor(C353,"1D","Following",$D$11,"Normal")</f>
        <v>42919</v>
      </c>
      <c r="E353" s="99">
        <f ca="1"/>
        <v>8.2029421959007049E-3</v>
      </c>
      <c r="F353" s="161">
        <f ca="1">_xll.meCurveForwardRates(C353,$D$9,$D$10)</f>
        <v>8.2248363472918751E-3</v>
      </c>
      <c r="G353" s="7" t="s">
        <v>4</v>
      </c>
      <c r="H353" s="149">
        <f t="shared" ca="1" si="10"/>
        <v>42916</v>
      </c>
      <c r="I353" s="20">
        <f ca="1">_xll.meDateFromTenor(H353,"3M","Following",$I$11,"Normal")</f>
        <v>43010</v>
      </c>
      <c r="J353" s="150">
        <f ca="1"/>
        <v>1.0389317852508925E-2</v>
      </c>
      <c r="K353" s="7" t="s">
        <v>4</v>
      </c>
      <c r="L353" s="149" t="e">
        <f ca="1">_xll.meDateFromTenor(L352,"1D","FOLLOWING",#REF!,"NORMAL")</f>
        <v>#VALUE!</v>
      </c>
      <c r="M353" s="155">
        <f ca="1">_xll.meDateYearFraction(C353,D353,$M$11)</f>
        <v>8.3333333333333332E-3</v>
      </c>
      <c r="N353" s="150">
        <f ca="1"/>
        <v>-2.4300000000065936E-3</v>
      </c>
      <c r="O353" s="7" t="s">
        <v>4</v>
      </c>
      <c r="P353" s="149">
        <f t="shared" ca="1" si="11"/>
        <v>42916</v>
      </c>
      <c r="Q353" s="155">
        <f ca="1">_xll.meDateYearFraction(H353,I353,$Q$11,TRUE)</f>
        <v>0.26111111111111113</v>
      </c>
      <c r="R353" s="150">
        <f ca="1">IF(NOW(),_xll.meCurveForwardRatesFromYearFraction(P353,Q353,$Q$11,$Q$9,$Q$10))</f>
        <v>-3.1345900757830717E-3</v>
      </c>
      <c r="S353" s="134" t="s">
        <v>4</v>
      </c>
    </row>
    <row r="354" spans="1:19" x14ac:dyDescent="0.25">
      <c r="A354" s="128">
        <v>338</v>
      </c>
      <c r="B354" s="133"/>
      <c r="C354" s="149">
        <f ca="1">_xll.meDateFromTenor(C353,"1D","FOLLOWING",$D$11,"NORMAL")</f>
        <v>42919</v>
      </c>
      <c r="D354" s="20">
        <f ca="1">_xll.meDateFromTenor(C354,"1D","Following",$D$11,"Normal")</f>
        <v>42921</v>
      </c>
      <c r="E354" s="99">
        <f ca="1"/>
        <v>8.2314728549759703E-3</v>
      </c>
      <c r="F354" s="161">
        <f ca="1">_xll.meCurveForwardRates(C354,$D$9,$D$10)</f>
        <v>8.2594889460805287E-3</v>
      </c>
      <c r="G354" s="7" t="s">
        <v>4</v>
      </c>
      <c r="H354" s="149">
        <f t="shared" ca="1" si="10"/>
        <v>42919</v>
      </c>
      <c r="I354" s="20">
        <f ca="1">_xll.meDateFromTenor(H354,"3M","Following",$I$11,"Normal")</f>
        <v>43011</v>
      </c>
      <c r="J354" s="150">
        <f ca="1"/>
        <v>1.0413061348061001E-2</v>
      </c>
      <c r="K354" s="7" t="s">
        <v>4</v>
      </c>
      <c r="L354" s="149" t="e">
        <f ca="1">_xll.meDateFromTenor(L353,"1D","FOLLOWING",#REF!,"NORMAL")</f>
        <v>#VALUE!</v>
      </c>
      <c r="M354" s="155">
        <f ca="1">_xll.meDateYearFraction(C354,D354,$M$11)</f>
        <v>5.5555555555555558E-3</v>
      </c>
      <c r="N354" s="150">
        <f ca="1"/>
        <v>-2.4300000000065936E-3</v>
      </c>
      <c r="O354" s="7" t="s">
        <v>4</v>
      </c>
      <c r="P354" s="149">
        <f t="shared" ca="1" si="11"/>
        <v>42919</v>
      </c>
      <c r="Q354" s="155">
        <f ca="1">_xll.meDateYearFraction(H354,I354,$Q$11,TRUE)</f>
        <v>0.25555555555555554</v>
      </c>
      <c r="R354" s="150">
        <f ca="1">IF(NOW(),_xll.meCurveForwardRatesFromYearFraction(P354,Q354,$Q$11,$Q$9,$Q$10))</f>
        <v>-3.7175485397107962E-3</v>
      </c>
      <c r="S354" s="134" t="s">
        <v>4</v>
      </c>
    </row>
    <row r="355" spans="1:19" x14ac:dyDescent="0.25">
      <c r="A355" s="128">
        <v>339</v>
      </c>
      <c r="B355" s="133"/>
      <c r="C355" s="149">
        <f ca="1">_xll.meDateFromTenor(C354,"1D","FOLLOWING",$D$11,"NORMAL")</f>
        <v>42921</v>
      </c>
      <c r="D355" s="20">
        <f ca="1">_xll.meDateFromTenor(C355,"1D","Following",$D$11,"Normal")</f>
        <v>42922</v>
      </c>
      <c r="E355" s="99">
        <f ca="1"/>
        <v>8.2485163781687316E-3</v>
      </c>
      <c r="F355" s="161">
        <f ca="1">_xll.meCurveForwardRates(C355,$D$9,$D$10)</f>
        <v>8.282533839567785E-3</v>
      </c>
      <c r="G355" s="7" t="s">
        <v>4</v>
      </c>
      <c r="H355" s="149">
        <f t="shared" ca="1" si="10"/>
        <v>42921</v>
      </c>
      <c r="I355" s="20">
        <f ca="1">_xll.meDateFromTenor(H355,"3M","Following",$I$11,"Normal")</f>
        <v>43013</v>
      </c>
      <c r="J355" s="150">
        <f ca="1"/>
        <v>1.0428890345095717E-2</v>
      </c>
      <c r="K355" s="7" t="s">
        <v>4</v>
      </c>
      <c r="L355" s="149" t="e">
        <f ca="1">_xll.meDateFromTenor(L354,"1D","FOLLOWING",#REF!,"NORMAL")</f>
        <v>#VALUE!</v>
      </c>
      <c r="M355" s="155">
        <f ca="1">_xll.meDateYearFraction(C355,D355,$M$11)</f>
        <v>2.7777777777777779E-3</v>
      </c>
      <c r="N355" s="150">
        <f ca="1"/>
        <v>-2.4300000000065936E-3</v>
      </c>
      <c r="O355" s="7" t="s">
        <v>4</v>
      </c>
      <c r="P355" s="149">
        <f t="shared" ca="1" si="11"/>
        <v>42921</v>
      </c>
      <c r="Q355" s="155">
        <f ca="1">_xll.meDateYearFraction(H355,I355,$Q$11,TRUE)</f>
        <v>0.25555555555555554</v>
      </c>
      <c r="R355" s="150">
        <f ca="1">IF(NOW(),_xll.meCurveForwardRatesFromYearFraction(P355,Q355,$Q$11,$Q$9,$Q$10))</f>
        <v>-3.7175485397107962E-3</v>
      </c>
      <c r="S355" s="134" t="s">
        <v>4</v>
      </c>
    </row>
    <row r="356" spans="1:19" x14ac:dyDescent="0.25">
      <c r="A356" s="128">
        <v>340</v>
      </c>
      <c r="B356" s="133"/>
      <c r="C356" s="149">
        <f ca="1">_xll.meDateFromTenor(C355,"1D","FOLLOWING",$D$11,"NORMAL")</f>
        <v>42922</v>
      </c>
      <c r="D356" s="20">
        <f ca="1">_xll.meDateFromTenor(C356,"1D","Following",$D$11,"Normal")</f>
        <v>42923</v>
      </c>
      <c r="E356" s="99">
        <f ca="1"/>
        <v>8.2599250761550575E-3</v>
      </c>
      <c r="F356" s="161">
        <f ca="1">_xll.meCurveForwardRates(C356,$D$9,$D$10)</f>
        <v>8.294036832353191E-3</v>
      </c>
      <c r="G356" s="7" t="s">
        <v>4</v>
      </c>
      <c r="H356" s="149">
        <f t="shared" ca="1" si="10"/>
        <v>42922</v>
      </c>
      <c r="I356" s="20">
        <f ca="1">_xll.meDateFromTenor(H356,"3M","Following",$I$11,"Normal")</f>
        <v>43014</v>
      </c>
      <c r="J356" s="150">
        <f ca="1"/>
        <v>1.0436804843613076E-2</v>
      </c>
      <c r="K356" s="7" t="s">
        <v>4</v>
      </c>
      <c r="L356" s="149" t="e">
        <f ca="1">_xll.meDateFromTenor(L355,"1D","FOLLOWING",#REF!,"NORMAL")</f>
        <v>#VALUE!</v>
      </c>
      <c r="M356" s="155">
        <f ca="1">_xll.meDateYearFraction(C356,D356,$M$11)</f>
        <v>2.7777777777777779E-3</v>
      </c>
      <c r="N356" s="150">
        <f ca="1"/>
        <v>-2.4300000000065936E-3</v>
      </c>
      <c r="O356" s="7" t="s">
        <v>4</v>
      </c>
      <c r="P356" s="149">
        <f t="shared" ca="1" si="11"/>
        <v>42922</v>
      </c>
      <c r="Q356" s="155">
        <f ca="1">_xll.meDateYearFraction(H356,I356,$Q$11,TRUE)</f>
        <v>0.25555555555555554</v>
      </c>
      <c r="R356" s="150">
        <f ca="1">IF(NOW(),_xll.meCurveForwardRatesFromYearFraction(P356,Q356,$Q$11,$Q$9,$Q$10))</f>
        <v>-3.7175485397107962E-3</v>
      </c>
      <c r="S356" s="134" t="s">
        <v>4</v>
      </c>
    </row>
    <row r="357" spans="1:19" x14ac:dyDescent="0.25">
      <c r="A357" s="128">
        <v>341</v>
      </c>
      <c r="B357" s="133"/>
      <c r="C357" s="149">
        <f ca="1">_xll.meDateFromTenor(C356,"1D","FOLLOWING",$D$11,"NORMAL")</f>
        <v>42923</v>
      </c>
      <c r="D357" s="20">
        <f ca="1">_xll.meDateFromTenor(C357,"1D","Following",$D$11,"Normal")</f>
        <v>42926</v>
      </c>
      <c r="E357" s="99">
        <f ca="1"/>
        <v>8.2828915968400675E-3</v>
      </c>
      <c r="F357" s="161">
        <f ca="1">_xll.meCurveForwardRates(C357,$D$9,$D$10)</f>
        <v>8.305526008340447E-3</v>
      </c>
      <c r="G357" s="7" t="s">
        <v>4</v>
      </c>
      <c r="H357" s="149">
        <f t="shared" ca="1" si="10"/>
        <v>42923</v>
      </c>
      <c r="I357" s="20">
        <f ca="1">_xll.meDateFromTenor(H357,"3M","Following",$I$11,"Normal")</f>
        <v>43018</v>
      </c>
      <c r="J357" s="150">
        <f ca="1"/>
        <v>1.0444719342130435E-2</v>
      </c>
      <c r="K357" s="7" t="s">
        <v>4</v>
      </c>
      <c r="L357" s="149" t="e">
        <f ca="1">_xll.meDateFromTenor(L356,"1D","FOLLOWING",#REF!,"NORMAL")</f>
        <v>#VALUE!</v>
      </c>
      <c r="M357" s="155">
        <f ca="1">_xll.meDateYearFraction(C357,D357,$M$11)</f>
        <v>8.3333333333333332E-3</v>
      </c>
      <c r="N357" s="150">
        <f ca="1"/>
        <v>-2.4300000000065936E-3</v>
      </c>
      <c r="O357" s="7" t="s">
        <v>4</v>
      </c>
      <c r="P357" s="149">
        <f t="shared" ca="1" si="11"/>
        <v>42923</v>
      </c>
      <c r="Q357" s="155">
        <f ca="1">_xll.meDateYearFraction(H357,I357,$Q$11,TRUE)</f>
        <v>0.2638888888888889</v>
      </c>
      <c r="R357" s="150">
        <f ca="1">IF(NOW(),_xll.meCurveForwardRatesFromYearFraction(P357,Q357,$Q$11,$Q$9,$Q$10))</f>
        <v>-3.1249434570146321E-3</v>
      </c>
      <c r="S357" s="134" t="s">
        <v>4</v>
      </c>
    </row>
    <row r="358" spans="1:19" x14ac:dyDescent="0.25">
      <c r="A358" s="128">
        <v>342</v>
      </c>
      <c r="B358" s="133"/>
      <c r="C358" s="149">
        <f ca="1">_xll.meDateFromTenor(C357,"1D","FOLLOWING",$D$11,"NORMAL")</f>
        <v>42926</v>
      </c>
      <c r="D358" s="20">
        <f ca="1">_xll.meDateFromTenor(C358,"1D","Following",$D$11,"Normal")</f>
        <v>42927</v>
      </c>
      <c r="E358" s="99">
        <f ca="1"/>
        <v>8.305435141071656E-3</v>
      </c>
      <c r="F358" s="161">
        <f ca="1">_xll.meCurveForwardRates(C358,$D$9,$D$10)</f>
        <v>8.3399243478339269E-3</v>
      </c>
      <c r="G358" s="7" t="s">
        <v>4</v>
      </c>
      <c r="H358" s="149">
        <f t="shared" ca="1" si="10"/>
        <v>42926</v>
      </c>
      <c r="I358" s="20">
        <f ca="1">_xll.meDateFromTenor(H358,"3M","Following",$I$11,"Normal")</f>
        <v>43018</v>
      </c>
      <c r="J358" s="150">
        <f ca="1"/>
        <v>1.046846283768251E-2</v>
      </c>
      <c r="K358" s="7" t="s">
        <v>4</v>
      </c>
      <c r="L358" s="149" t="e">
        <f ca="1">_xll.meDateFromTenor(L357,"1D","FOLLOWING",#REF!,"NORMAL")</f>
        <v>#VALUE!</v>
      </c>
      <c r="M358" s="155">
        <f ca="1">_xll.meDateYearFraction(C358,D358,$M$11)</f>
        <v>2.7777777777777779E-3</v>
      </c>
      <c r="N358" s="150">
        <f ca="1"/>
        <v>-2.4300000000065936E-3</v>
      </c>
      <c r="O358" s="7" t="s">
        <v>4</v>
      </c>
      <c r="P358" s="149">
        <f t="shared" ca="1" si="11"/>
        <v>42926</v>
      </c>
      <c r="Q358" s="155">
        <f ca="1">_xll.meDateYearFraction(H358,I358,$Q$11,TRUE)</f>
        <v>0.25555555555555554</v>
      </c>
      <c r="R358" s="150">
        <f ca="1">IF(NOW(),_xll.meCurveForwardRatesFromYearFraction(P358,Q358,$Q$11,$Q$9,$Q$10))</f>
        <v>-3.1209650573050477E-3</v>
      </c>
      <c r="S358" s="134" t="s">
        <v>4</v>
      </c>
    </row>
    <row r="359" spans="1:19" x14ac:dyDescent="0.25">
      <c r="A359" s="128">
        <v>343</v>
      </c>
      <c r="B359" s="133"/>
      <c r="C359" s="149">
        <f ca="1">_xll.meDateFromTenor(C358,"1D","FOLLOWING",$D$11,"NORMAL")</f>
        <v>42927</v>
      </c>
      <c r="D359" s="20">
        <f ca="1">_xll.meDateFromTenor(C359,"1D","Following",$D$11,"Normal")</f>
        <v>42928</v>
      </c>
      <c r="E359" s="99">
        <f ca="1"/>
        <v>8.316781071107145E-3</v>
      </c>
      <c r="F359" s="161">
        <f ca="1">_xll.meCurveForwardRates(C359,$D$9,$D$10)</f>
        <v>8.3513647028514715E-3</v>
      </c>
      <c r="G359" s="7" t="s">
        <v>4</v>
      </c>
      <c r="H359" s="149">
        <f t="shared" ca="1" si="10"/>
        <v>42927</v>
      </c>
      <c r="I359" s="20">
        <f ca="1">_xll.meDateFromTenor(H359,"3M","Following",$I$11,"Normal")</f>
        <v>43019</v>
      </c>
      <c r="J359" s="150">
        <f ca="1"/>
        <v>1.0476377336199869E-2</v>
      </c>
      <c r="K359" s="7" t="s">
        <v>4</v>
      </c>
      <c r="L359" s="149" t="e">
        <f ca="1">_xll.meDateFromTenor(L358,"1D","FOLLOWING",#REF!,"NORMAL")</f>
        <v>#VALUE!</v>
      </c>
      <c r="M359" s="155">
        <f ca="1">_xll.meDateYearFraction(C359,D359,$M$11)</f>
        <v>2.7777777777777779E-3</v>
      </c>
      <c r="N359" s="150">
        <f ca="1"/>
        <v>-2.4300000000065936E-3</v>
      </c>
      <c r="O359" s="7" t="s">
        <v>4</v>
      </c>
      <c r="P359" s="149">
        <f t="shared" ca="1" si="11"/>
        <v>42927</v>
      </c>
      <c r="Q359" s="155">
        <f ca="1">_xll.meDateYearFraction(H359,I359,$Q$11,TRUE)</f>
        <v>0.25555555555555554</v>
      </c>
      <c r="R359" s="150">
        <f ca="1">IF(NOW(),_xll.meCurveForwardRatesFromYearFraction(P359,Q359,$Q$11,$Q$9,$Q$10))</f>
        <v>-3.7175485397107962E-3</v>
      </c>
      <c r="S359" s="134" t="s">
        <v>4</v>
      </c>
    </row>
    <row r="360" spans="1:19" x14ac:dyDescent="0.25">
      <c r="A360" s="128">
        <v>344</v>
      </c>
      <c r="B360" s="133"/>
      <c r="C360" s="149">
        <f ca="1">_xll.meDateFromTenor(C359,"1D","FOLLOWING",$D$11,"NORMAL")</f>
        <v>42928</v>
      </c>
      <c r="D360" s="20">
        <f ca="1">_xll.meDateFromTenor(C360,"1D","Following",$D$11,"Normal")</f>
        <v>42929</v>
      </c>
      <c r="E360" s="99">
        <f ca="1"/>
        <v>8.3281142047386975E-3</v>
      </c>
      <c r="F360" s="161">
        <f ca="1">_xll.meCurveForwardRates(C360,$D$9,$D$10)</f>
        <v>8.3627922841884583E-3</v>
      </c>
      <c r="G360" s="7" t="s">
        <v>4</v>
      </c>
      <c r="H360" s="149">
        <f t="shared" ca="1" si="10"/>
        <v>42928</v>
      </c>
      <c r="I360" s="20">
        <f ca="1">_xll.meDateFromTenor(H360,"3M","Following",$I$11,"Normal")</f>
        <v>43020</v>
      </c>
      <c r="J360" s="150">
        <f ca="1"/>
        <v>1.0484291834717227E-2</v>
      </c>
      <c r="K360" s="7" t="s">
        <v>4</v>
      </c>
      <c r="L360" s="149" t="e">
        <f ca="1">_xll.meDateFromTenor(L359,"1D","FOLLOWING",#REF!,"NORMAL")</f>
        <v>#VALUE!</v>
      </c>
      <c r="M360" s="155">
        <f ca="1">_xll.meDateYearFraction(C360,D360,$M$11)</f>
        <v>2.7777777777777779E-3</v>
      </c>
      <c r="N360" s="150">
        <f ca="1"/>
        <v>-2.4300000000065936E-3</v>
      </c>
      <c r="O360" s="7" t="s">
        <v>4</v>
      </c>
      <c r="P360" s="149">
        <f t="shared" ca="1" si="11"/>
        <v>42928</v>
      </c>
      <c r="Q360" s="155">
        <f ca="1">_xll.meDateYearFraction(H360,I360,$Q$11,TRUE)</f>
        <v>0.25555555555555554</v>
      </c>
      <c r="R360" s="150">
        <f ca="1">IF(NOW(),_xll.meCurveForwardRatesFromYearFraction(P360,Q360,$Q$11,$Q$9,$Q$10))</f>
        <v>-3.7175485397107962E-3</v>
      </c>
      <c r="S360" s="134" t="s">
        <v>4</v>
      </c>
    </row>
    <row r="361" spans="1:19" x14ac:dyDescent="0.25">
      <c r="A361" s="128">
        <v>345</v>
      </c>
      <c r="B361" s="133"/>
      <c r="C361" s="149">
        <f ca="1">_xll.meDateFromTenor(C360,"1D","FOLLOWING",$D$11,"NORMAL")</f>
        <v>42929</v>
      </c>
      <c r="D361" s="20">
        <f ca="1">_xll.meDateFromTenor(C361,"1D","Following",$D$11,"Normal")</f>
        <v>42930</v>
      </c>
      <c r="E361" s="99">
        <f ca="1"/>
        <v>8.3394344612308952E-3</v>
      </c>
      <c r="F361" s="161">
        <f ca="1">_xll.meCurveForwardRates(C361,$D$9,$D$10)</f>
        <v>8.3742070099992461E-3</v>
      </c>
      <c r="G361" s="7" t="s">
        <v>4</v>
      </c>
      <c r="H361" s="149">
        <f t="shared" ca="1" si="10"/>
        <v>42929</v>
      </c>
      <c r="I361" s="20">
        <f ca="1">_xll.meDateFromTenor(H361,"3M","Following",$I$11,"Normal")</f>
        <v>43021</v>
      </c>
      <c r="J361" s="150">
        <f ca="1"/>
        <v>1.0492206333234586E-2</v>
      </c>
      <c r="K361" s="7" t="s">
        <v>4</v>
      </c>
      <c r="L361" s="149" t="e">
        <f ca="1">_xll.meDateFromTenor(L360,"1D","FOLLOWING",#REF!,"NORMAL")</f>
        <v>#VALUE!</v>
      </c>
      <c r="M361" s="155">
        <f ca="1">_xll.meDateYearFraction(C361,D361,$M$11)</f>
        <v>2.7777777777777779E-3</v>
      </c>
      <c r="N361" s="150">
        <f ca="1"/>
        <v>-2.4300000000065936E-3</v>
      </c>
      <c r="O361" s="7" t="s">
        <v>4</v>
      </c>
      <c r="P361" s="149">
        <f t="shared" ca="1" si="11"/>
        <v>42929</v>
      </c>
      <c r="Q361" s="155">
        <f ca="1">_xll.meDateYearFraction(H361,I361,$Q$11,TRUE)</f>
        <v>0.25555555555555554</v>
      </c>
      <c r="R361" s="150">
        <f ca="1">IF(NOW(),_xll.meCurveForwardRatesFromYearFraction(P361,Q361,$Q$11,$Q$9,$Q$10))</f>
        <v>-3.1170792792804239E-3</v>
      </c>
      <c r="S361" s="134" t="s">
        <v>4</v>
      </c>
    </row>
    <row r="362" spans="1:19" x14ac:dyDescent="0.25">
      <c r="A362" s="128">
        <v>346</v>
      </c>
      <c r="B362" s="133"/>
      <c r="C362" s="149">
        <f ca="1">_xll.meDateFromTenor(C361,"1D","FOLLOWING",$D$11,"NORMAL")</f>
        <v>42930</v>
      </c>
      <c r="D362" s="20">
        <f ca="1">_xll.meDateFromTenor(C362,"1D","Following",$D$11,"Normal")</f>
        <v>42933</v>
      </c>
      <c r="E362" s="99">
        <f ca="1"/>
        <v>8.3622258791571664E-3</v>
      </c>
      <c r="F362" s="161">
        <f ca="1">_xll.meCurveForwardRates(C362,$D$9,$D$10)</f>
        <v>8.3856072812971139E-3</v>
      </c>
      <c r="G362" s="7" t="s">
        <v>4</v>
      </c>
      <c r="H362" s="149">
        <f t="shared" ca="1" si="10"/>
        <v>42930</v>
      </c>
      <c r="I362" s="20">
        <f ca="1">_xll.meDateFromTenor(H362,"3M","Following",$I$11,"Normal")</f>
        <v>43024</v>
      </c>
      <c r="J362" s="150">
        <f ca="1"/>
        <v>1.0500120831751943E-2</v>
      </c>
      <c r="K362" s="7" t="s">
        <v>4</v>
      </c>
      <c r="L362" s="149" t="e">
        <f ca="1">_xll.meDateFromTenor(L361,"1D","FOLLOWING",#REF!,"NORMAL")</f>
        <v>#VALUE!</v>
      </c>
      <c r="M362" s="155">
        <f ca="1">_xll.meDateYearFraction(C362,D362,$M$11)</f>
        <v>8.3333333333333332E-3</v>
      </c>
      <c r="N362" s="150">
        <f ca="1"/>
        <v>-2.4300000000065936E-3</v>
      </c>
      <c r="O362" s="7" t="s">
        <v>4</v>
      </c>
      <c r="P362" s="149">
        <f t="shared" ca="1" si="11"/>
        <v>42930</v>
      </c>
      <c r="Q362" s="155">
        <f ca="1">_xll.meDateYearFraction(H362,I362,$Q$11,TRUE)</f>
        <v>0.26111111111111113</v>
      </c>
      <c r="R362" s="150">
        <f ca="1">IF(NOW(),_xll.meCurveForwardRatesFromYearFraction(P362,Q362,$Q$11,$Q$9,$Q$10))</f>
        <v>-3.7175485397107962E-3</v>
      </c>
      <c r="S362" s="134" t="s">
        <v>4</v>
      </c>
    </row>
    <row r="363" spans="1:19" x14ac:dyDescent="0.25">
      <c r="A363" s="128">
        <v>347</v>
      </c>
      <c r="B363" s="133"/>
      <c r="C363" s="149">
        <f ca="1">_xll.meDateFromTenor(C362,"1D","FOLLOWING",$D$11,"NORMAL")</f>
        <v>42933</v>
      </c>
      <c r="D363" s="20">
        <f ca="1">_xll.meDateFromTenor(C363,"1D","Following",$D$11,"Normal")</f>
        <v>42934</v>
      </c>
      <c r="E363" s="99">
        <f ca="1"/>
        <v>8.3845850967812236E-3</v>
      </c>
      <c r="F363" s="161">
        <f ca="1">_xll.meCurveForwardRates(C363,$D$9,$D$10)</f>
        <v>8.4197357166035935E-3</v>
      </c>
      <c r="G363" s="7" t="s">
        <v>4</v>
      </c>
      <c r="H363" s="149">
        <f t="shared" ca="1" si="10"/>
        <v>42933</v>
      </c>
      <c r="I363" s="20">
        <f ca="1">_xll.meDateFromTenor(H363,"3M","Following",$I$11,"Normal")</f>
        <v>43025</v>
      </c>
      <c r="J363" s="150">
        <f ca="1"/>
        <v>1.052386432730402E-2</v>
      </c>
      <c r="K363" s="7" t="s">
        <v>4</v>
      </c>
      <c r="L363" s="149" t="e">
        <f ca="1">_xll.meDateFromTenor(L362,"1D","FOLLOWING",#REF!,"NORMAL")</f>
        <v>#VALUE!</v>
      </c>
      <c r="M363" s="155">
        <f ca="1">_xll.meDateYearFraction(C363,D363,$M$11)</f>
        <v>2.7777777777777779E-3</v>
      </c>
      <c r="N363" s="150">
        <f ca="1"/>
        <v>-2.4300000000065936E-3</v>
      </c>
      <c r="O363" s="7" t="s">
        <v>4</v>
      </c>
      <c r="P363" s="149">
        <f t="shared" ca="1" si="11"/>
        <v>42933</v>
      </c>
      <c r="Q363" s="155">
        <f ca="1">_xll.meDateYearFraction(H363,I363,$Q$11,TRUE)</f>
        <v>0.25555555555555554</v>
      </c>
      <c r="R363" s="150">
        <f ca="1">IF(NOW(),_xll.meCurveForwardRatesFromYearFraction(P363,Q363,$Q$11,$Q$9,$Q$10))</f>
        <v>-3.112041246038178E-3</v>
      </c>
      <c r="S363" s="134" t="s">
        <v>4</v>
      </c>
    </row>
    <row r="364" spans="1:19" x14ac:dyDescent="0.25">
      <c r="A364" s="128">
        <v>348</v>
      </c>
      <c r="B364" s="133"/>
      <c r="C364" s="149">
        <f ca="1">_xll.meDateFromTenor(C363,"1D","FOLLOWING",$D$11,"NORMAL")</f>
        <v>42934</v>
      </c>
      <c r="D364" s="20">
        <f ca="1">_xll.meDateFromTenor(C364,"1D","Following",$D$11,"Normal")</f>
        <v>42935</v>
      </c>
      <c r="E364" s="99">
        <f ca="1"/>
        <v>8.3958397535078017E-3</v>
      </c>
      <c r="F364" s="161">
        <f ca="1">_xll.meCurveForwardRates(C364,$D$9,$D$10)</f>
        <v>8.4310849339246374E-3</v>
      </c>
      <c r="G364" s="7" t="s">
        <v>4</v>
      </c>
      <c r="H364" s="149">
        <f t="shared" ca="1" si="10"/>
        <v>42934</v>
      </c>
      <c r="I364" s="20">
        <f ca="1">_xll.meDateFromTenor(H364,"3M","Following",$I$11,"Normal")</f>
        <v>43026</v>
      </c>
      <c r="J364" s="150">
        <f ca="1"/>
        <v>1.0531778825821379E-2</v>
      </c>
      <c r="K364" s="7" t="s">
        <v>4</v>
      </c>
      <c r="L364" s="149" t="e">
        <f ca="1">_xll.meDateFromTenor(L363,"1D","FOLLOWING",#REF!,"NORMAL")</f>
        <v>#VALUE!</v>
      </c>
      <c r="M364" s="155">
        <f ca="1">_xll.meDateYearFraction(C364,D364,$M$11)</f>
        <v>2.7777777777777779E-3</v>
      </c>
      <c r="N364" s="150">
        <f ca="1"/>
        <v>-2.4300000000065936E-3</v>
      </c>
      <c r="O364" s="7" t="s">
        <v>4</v>
      </c>
      <c r="P364" s="149">
        <f t="shared" ca="1" si="11"/>
        <v>42934</v>
      </c>
      <c r="Q364" s="155">
        <f ca="1">_xll.meDateYearFraction(H364,I364,$Q$11,TRUE)</f>
        <v>0.25555555555555554</v>
      </c>
      <c r="R364" s="150">
        <f ca="1">IF(NOW(),_xll.meCurveForwardRatesFromYearFraction(P364,Q364,$Q$11,$Q$9,$Q$10))</f>
        <v>-3.7175485397107962E-3</v>
      </c>
      <c r="S364" s="134" t="s">
        <v>4</v>
      </c>
    </row>
    <row r="365" spans="1:19" x14ac:dyDescent="0.25">
      <c r="A365" s="128">
        <v>349</v>
      </c>
      <c r="B365" s="133"/>
      <c r="C365" s="149">
        <f ca="1">_xll.meDateFromTenor(C364,"1D","FOLLOWING",$D$11,"NORMAL")</f>
        <v>42935</v>
      </c>
      <c r="D365" s="20">
        <f ca="1">_xll.meDateFromTenor(C365,"1D","Following",$D$11,"Normal")</f>
        <v>42936</v>
      </c>
      <c r="E365" s="99">
        <f ca="1"/>
        <v>8.4070810475634101E-3</v>
      </c>
      <c r="F365" s="161">
        <f ca="1">_xll.meCurveForwardRates(C365,$D$9,$D$10)</f>
        <v>8.4424208034503678E-3</v>
      </c>
      <c r="G365" s="7" t="s">
        <v>4</v>
      </c>
      <c r="H365" s="149">
        <f t="shared" ca="1" si="10"/>
        <v>42935</v>
      </c>
      <c r="I365" s="20">
        <f ca="1">_xll.meDateFromTenor(H365,"3M","Following",$I$11,"Normal")</f>
        <v>43027</v>
      </c>
      <c r="J365" s="150">
        <f ca="1"/>
        <v>1.0539693324338737E-2</v>
      </c>
      <c r="K365" s="7" t="s">
        <v>4</v>
      </c>
      <c r="L365" s="149" t="e">
        <f ca="1">_xll.meDateFromTenor(L364,"1D","FOLLOWING",#REF!,"NORMAL")</f>
        <v>#VALUE!</v>
      </c>
      <c r="M365" s="155">
        <f ca="1">_xll.meDateYearFraction(C365,D365,$M$11)</f>
        <v>2.7777777777777779E-3</v>
      </c>
      <c r="N365" s="150">
        <f ca="1"/>
        <v>-2.4300000000065936E-3</v>
      </c>
      <c r="O365" s="7" t="s">
        <v>4</v>
      </c>
      <c r="P365" s="149">
        <f t="shared" ca="1" si="11"/>
        <v>42935</v>
      </c>
      <c r="Q365" s="155">
        <f ca="1">_xll.meDateYearFraction(H365,I365,$Q$11,TRUE)</f>
        <v>0.25555555555555554</v>
      </c>
      <c r="R365" s="150">
        <f ca="1">IF(NOW(),_xll.meCurveForwardRatesFromYearFraction(P365,Q365,$Q$11,$Q$9,$Q$10))</f>
        <v>-3.1095831026212695E-3</v>
      </c>
      <c r="S365" s="134" t="s">
        <v>4</v>
      </c>
    </row>
    <row r="366" spans="1:19" x14ac:dyDescent="0.25">
      <c r="A366" s="128">
        <v>350</v>
      </c>
      <c r="B366" s="133"/>
      <c r="C366" s="149">
        <f ca="1">_xll.meDateFromTenor(C365,"1D","FOLLOWING",$D$11,"NORMAL")</f>
        <v>42936</v>
      </c>
      <c r="D366" s="20">
        <f ca="1">_xll.meDateFromTenor(C366,"1D","Following",$D$11,"Normal")</f>
        <v>42937</v>
      </c>
      <c r="E366" s="99">
        <f ca="1"/>
        <v>8.4183088980527582E-3</v>
      </c>
      <c r="F366" s="161">
        <f ca="1">_xll.meCurveForwardRates(C366,$D$9,$D$10)</f>
        <v>8.4537432431519566E-3</v>
      </c>
      <c r="G366" s="7" t="s">
        <v>4</v>
      </c>
      <c r="H366" s="149">
        <f t="shared" ca="1" si="10"/>
        <v>42936</v>
      </c>
      <c r="I366" s="20">
        <f ca="1">_xll.meDateFromTenor(H366,"3M","Following",$I$11,"Normal")</f>
        <v>43028</v>
      </c>
      <c r="J366" s="150">
        <f ca="1"/>
        <v>1.0547607822856095E-2</v>
      </c>
      <c r="K366" s="7" t="s">
        <v>4</v>
      </c>
      <c r="L366" s="149" t="e">
        <f ca="1">_xll.meDateFromTenor(L365,"1D","FOLLOWING",#REF!,"NORMAL")</f>
        <v>#VALUE!</v>
      </c>
      <c r="M366" s="155">
        <f ca="1">_xll.meDateYearFraction(C366,D366,$M$11)</f>
        <v>2.7777777777777779E-3</v>
      </c>
      <c r="N366" s="150">
        <f ca="1"/>
        <v>-2.4300000000065936E-3</v>
      </c>
      <c r="O366" s="7" t="s">
        <v>4</v>
      </c>
      <c r="P366" s="149">
        <f t="shared" ca="1" si="11"/>
        <v>42936</v>
      </c>
      <c r="Q366" s="155">
        <f ca="1">_xll.meDateYearFraction(H366,I366,$Q$11,TRUE)</f>
        <v>0.25555555555555554</v>
      </c>
      <c r="R366" s="150">
        <f ca="1">IF(NOW(),_xll.meCurveForwardRatesFromYearFraction(P366,Q366,$Q$11,$Q$9,$Q$10))</f>
        <v>-3.7175485397107962E-3</v>
      </c>
      <c r="S366" s="134" t="s">
        <v>4</v>
      </c>
    </row>
    <row r="367" spans="1:19" x14ac:dyDescent="0.25">
      <c r="A367" s="128">
        <v>351</v>
      </c>
      <c r="B367" s="133"/>
      <c r="C367" s="149">
        <f ca="1">_xll.meDateFromTenor(C366,"1D","FOLLOWING",$D$11,"NORMAL")</f>
        <v>42937</v>
      </c>
      <c r="D367" s="20">
        <f ca="1">_xll.meDateFromTenor(C367,"1D","Following",$D$11,"Normal")</f>
        <v>42940</v>
      </c>
      <c r="E367" s="99">
        <f ca="1"/>
        <v>8.4409172887323376E-3</v>
      </c>
      <c r="F367" s="161">
        <f ca="1">_xll.meCurveForwardRates(C367,$D$9,$D$10)</f>
        <v>8.46505059029945E-3</v>
      </c>
      <c r="G367" s="7" t="s">
        <v>4</v>
      </c>
      <c r="H367" s="149">
        <f t="shared" ca="1" si="10"/>
        <v>42937</v>
      </c>
      <c r="I367" s="20">
        <f ca="1">_xll.meDateFromTenor(H367,"3M","Following",$I$11,"Normal")</f>
        <v>43031</v>
      </c>
      <c r="J367" s="150">
        <f ca="1"/>
        <v>1.0555522321373453E-2</v>
      </c>
      <c r="K367" s="7" t="s">
        <v>4</v>
      </c>
      <c r="L367" s="149" t="e">
        <f ca="1">_xll.meDateFromTenor(L366,"1D","FOLLOWING",#REF!,"NORMAL")</f>
        <v>#VALUE!</v>
      </c>
      <c r="M367" s="155">
        <f ca="1">_xll.meDateYearFraction(C367,D367,$M$11)</f>
        <v>8.3333333333333332E-3</v>
      </c>
      <c r="N367" s="150">
        <f ca="1"/>
        <v>-2.4300000000065936E-3</v>
      </c>
      <c r="O367" s="7" t="s">
        <v>4</v>
      </c>
      <c r="P367" s="149">
        <f t="shared" ca="1" si="11"/>
        <v>42937</v>
      </c>
      <c r="Q367" s="155">
        <f ca="1">_xll.meDateYearFraction(H367,I367,$Q$11,TRUE)</f>
        <v>0.26111111111111113</v>
      </c>
      <c r="R367" s="150">
        <f ca="1">IF(NOW(),_xll.meCurveForwardRatesFromYearFraction(P367,Q367,$Q$11,$Q$9,$Q$10))</f>
        <v>-3.7175485397107962E-3</v>
      </c>
      <c r="S367" s="134" t="s">
        <v>4</v>
      </c>
    </row>
    <row r="368" spans="1:19" x14ac:dyDescent="0.25">
      <c r="A368" s="128">
        <v>352</v>
      </c>
      <c r="B368" s="133"/>
      <c r="C368" s="149">
        <f ca="1">_xll.meDateFromTenor(C367,"1D","FOLLOWING",$D$11,"NORMAL")</f>
        <v>42940</v>
      </c>
      <c r="D368" s="20">
        <f ca="1">_xll.meDateFromTenor(C368,"1D","Following",$D$11,"Normal")</f>
        <v>42941</v>
      </c>
      <c r="E368" s="99">
        <f ca="1"/>
        <v>8.463084245802251E-3</v>
      </c>
      <c r="F368" s="161">
        <f ca="1">_xll.meCurveForwardRates(C368,$D$9,$D$10)</f>
        <v>8.4988970623827154E-3</v>
      </c>
      <c r="G368" s="7" t="s">
        <v>4</v>
      </c>
      <c r="H368" s="149">
        <f t="shared" ca="1" si="10"/>
        <v>42940</v>
      </c>
      <c r="I368" s="20">
        <f ca="1">_xll.meDateFromTenor(H368,"3M","Following",$I$11,"Normal")</f>
        <v>43032</v>
      </c>
      <c r="J368" s="150">
        <f ca="1"/>
        <v>1.057926581692553E-2</v>
      </c>
      <c r="K368" s="7" t="s">
        <v>4</v>
      </c>
      <c r="L368" s="149" t="e">
        <f ca="1">_xll.meDateFromTenor(L367,"1D","FOLLOWING",#REF!,"NORMAL")</f>
        <v>#VALUE!</v>
      </c>
      <c r="M368" s="155">
        <f ca="1">_xll.meDateYearFraction(C368,D368,$M$11)</f>
        <v>2.7777777777777779E-3</v>
      </c>
      <c r="N368" s="150">
        <f ca="1"/>
        <v>-2.4300000000065936E-3</v>
      </c>
      <c r="O368" s="7" t="s">
        <v>4</v>
      </c>
      <c r="P368" s="149">
        <f t="shared" ca="1" si="11"/>
        <v>42940</v>
      </c>
      <c r="Q368" s="155">
        <f ca="1">_xll.meDateYearFraction(H368,I368,$Q$11,TRUE)</f>
        <v>0.25555555555555554</v>
      </c>
      <c r="R368" s="150">
        <f ca="1">IF(NOW(),_xll.meCurveForwardRatesFromYearFraction(P368,Q368,$Q$11,$Q$9,$Q$10))</f>
        <v>-3.7175485397107962E-3</v>
      </c>
      <c r="S368" s="134" t="s">
        <v>4</v>
      </c>
    </row>
    <row r="369" spans="1:19" x14ac:dyDescent="0.25">
      <c r="A369" s="128">
        <v>353</v>
      </c>
      <c r="B369" s="133"/>
      <c r="C369" s="149">
        <f ca="1">_xll.meDateFromTenor(C368,"1D","FOLLOWING",$D$11,"NORMAL")</f>
        <v>42941</v>
      </c>
      <c r="D369" s="20">
        <f ca="1">_xll.meDateFromTenor(C369,"1D","Following",$D$11,"Normal")</f>
        <v>42942</v>
      </c>
      <c r="E369" s="99">
        <f ca="1"/>
        <v>8.4742436647111969E-3</v>
      </c>
      <c r="F369" s="161">
        <f ca="1">_xll.meCurveForwardRates(C369,$D$9,$D$10)</f>
        <v>8.5101511220972981E-3</v>
      </c>
      <c r="G369" s="7" t="s">
        <v>4</v>
      </c>
      <c r="H369" s="149">
        <f t="shared" ca="1" si="10"/>
        <v>42941</v>
      </c>
      <c r="I369" s="20">
        <f ca="1">_xll.meDateFromTenor(H369,"3M","Following",$I$11,"Normal")</f>
        <v>43033</v>
      </c>
      <c r="J369" s="150">
        <f ca="1"/>
        <v>1.0587180315442887E-2</v>
      </c>
      <c r="K369" s="7" t="s">
        <v>4</v>
      </c>
      <c r="L369" s="149" t="e">
        <f ca="1">_xll.meDateFromTenor(L368,"1D","FOLLOWING",#REF!,"NORMAL")</f>
        <v>#VALUE!</v>
      </c>
      <c r="M369" s="155">
        <f ca="1">_xll.meDateYearFraction(C369,D369,$M$11)</f>
        <v>2.7777777777777779E-3</v>
      </c>
      <c r="N369" s="150">
        <f ca="1"/>
        <v>-2.4300000000065936E-3</v>
      </c>
      <c r="O369" s="7" t="s">
        <v>4</v>
      </c>
      <c r="P369" s="149">
        <f t="shared" ca="1" si="11"/>
        <v>42941</v>
      </c>
      <c r="Q369" s="155">
        <f ca="1">_xll.meDateYearFraction(H369,I369,$Q$11,TRUE)</f>
        <v>0.25555555555555554</v>
      </c>
      <c r="R369" s="150">
        <f ca="1">IF(NOW(),_xll.meCurveForwardRatesFromYearFraction(P369,Q369,$Q$11,$Q$9,$Q$10))</f>
        <v>-3.1024499557075931E-3</v>
      </c>
      <c r="S369" s="134" t="s">
        <v>4</v>
      </c>
    </row>
    <row r="370" spans="1:19" x14ac:dyDescent="0.25">
      <c r="A370" s="128">
        <v>354</v>
      </c>
      <c r="B370" s="133"/>
      <c r="C370" s="149">
        <f ca="1">_xll.meDateFromTenor(C369,"1D","FOLLOWING",$D$11,"NORMAL")</f>
        <v>42942</v>
      </c>
      <c r="D370" s="20">
        <f ca="1">_xll.meDateFromTenor(C370,"1D","Following",$D$11,"Normal")</f>
        <v>42943</v>
      </c>
      <c r="E370" s="99">
        <f ca="1"/>
        <v>8.4853891545222677E-3</v>
      </c>
      <c r="F370" s="161">
        <f ca="1">_xll.meCurveForwardRates(C370,$D$9,$D$10)</f>
        <v>8.5213912595873964E-3</v>
      </c>
      <c r="G370" s="7" t="s">
        <v>4</v>
      </c>
      <c r="H370" s="149">
        <f t="shared" ca="1" si="10"/>
        <v>42942</v>
      </c>
      <c r="I370" s="20">
        <f ca="1">_xll.meDateFromTenor(H370,"3M","Following",$I$11,"Normal")</f>
        <v>43034</v>
      </c>
      <c r="J370" s="150">
        <f ca="1"/>
        <v>1.0595094813960246E-2</v>
      </c>
      <c r="K370" s="7" t="s">
        <v>4</v>
      </c>
      <c r="L370" s="149" t="e">
        <f ca="1">_xll.meDateFromTenor(L369,"1D","FOLLOWING",#REF!,"NORMAL")</f>
        <v>#VALUE!</v>
      </c>
      <c r="M370" s="155">
        <f ca="1">_xll.meDateYearFraction(C370,D370,$M$11)</f>
        <v>2.7777777777777779E-3</v>
      </c>
      <c r="N370" s="150">
        <f ca="1"/>
        <v>-2.4300000000065936E-3</v>
      </c>
      <c r="O370" s="7" t="s">
        <v>4</v>
      </c>
      <c r="P370" s="149">
        <f t="shared" ca="1" si="11"/>
        <v>42942</v>
      </c>
      <c r="Q370" s="155">
        <f ca="1">_xll.meDateYearFraction(H370,I370,$Q$11,TRUE)</f>
        <v>0.25555555555555554</v>
      </c>
      <c r="R370" s="150">
        <f ca="1">IF(NOW(),_xll.meCurveForwardRatesFromYearFraction(P370,Q370,$Q$11,$Q$9,$Q$10))</f>
        <v>-3.7175485397107962E-3</v>
      </c>
      <c r="S370" s="134" t="s">
        <v>4</v>
      </c>
    </row>
    <row r="371" spans="1:19" x14ac:dyDescent="0.25">
      <c r="A371" s="128">
        <v>355</v>
      </c>
      <c r="B371" s="133"/>
      <c r="C371" s="149">
        <f ca="1">_xll.meDateFromTenor(C370,"1D","FOLLOWING",$D$11,"NORMAL")</f>
        <v>42943</v>
      </c>
      <c r="D371" s="20">
        <f ca="1">_xll.meDateFromTenor(C371,"1D","Following",$D$11,"Normal")</f>
        <v>42944</v>
      </c>
      <c r="E371" s="99">
        <f ca="1"/>
        <v>8.4965206344201089E-3</v>
      </c>
      <c r="F371" s="161">
        <f ca="1">_xll.meCurveForwardRates(C371,$D$9,$D$10)</f>
        <v>8.532617392882802E-3</v>
      </c>
      <c r="G371" s="7" t="s">
        <v>4</v>
      </c>
      <c r="H371" s="149">
        <f t="shared" ca="1" si="10"/>
        <v>42943</v>
      </c>
      <c r="I371" s="20">
        <f ca="1">_xll.meDateFromTenor(H371,"3M","Following",$I$11,"Normal")</f>
        <v>43035</v>
      </c>
      <c r="J371" s="150">
        <f ca="1"/>
        <v>1.0603009312477605E-2</v>
      </c>
      <c r="K371" s="7" t="s">
        <v>4</v>
      </c>
      <c r="L371" s="149" t="e">
        <f ca="1">_xll.meDateFromTenor(L370,"1D","FOLLOWING",#REF!,"NORMAL")</f>
        <v>#VALUE!</v>
      </c>
      <c r="M371" s="155">
        <f ca="1">_xll.meDateYearFraction(C371,D371,$M$11)</f>
        <v>2.7777777777777779E-3</v>
      </c>
      <c r="N371" s="150">
        <f ca="1"/>
        <v>-2.4300000000065936E-3</v>
      </c>
      <c r="O371" s="7" t="s">
        <v>4</v>
      </c>
      <c r="P371" s="149">
        <f t="shared" ca="1" si="11"/>
        <v>42943</v>
      </c>
      <c r="Q371" s="155">
        <f ca="1">_xll.meDateYearFraction(H371,I371,$Q$11,TRUE)</f>
        <v>0.25555555555555554</v>
      </c>
      <c r="R371" s="150">
        <f ca="1">IF(NOW(),_xll.meCurveForwardRatesFromYearFraction(P371,Q371,$Q$11,$Q$9,$Q$10))</f>
        <v>-3.1001520541043249E-3</v>
      </c>
      <c r="S371" s="134" t="s">
        <v>4</v>
      </c>
    </row>
    <row r="372" spans="1:19" x14ac:dyDescent="0.25">
      <c r="A372" s="128">
        <v>356</v>
      </c>
      <c r="B372" s="133"/>
      <c r="C372" s="149">
        <f ca="1">_xll.meDateFromTenor(C371,"1D","FOLLOWING",$D$11,"NORMAL")</f>
        <v>42944</v>
      </c>
      <c r="D372" s="20">
        <f ca="1">_xll.meDateFromTenor(C372,"1D","Following",$D$11,"Normal")</f>
        <v>42947</v>
      </c>
      <c r="E372" s="99">
        <f ca="1"/>
        <v>8.5189380714734437E-3</v>
      </c>
      <c r="F372" s="161">
        <f ca="1">_xll.meCurveForwardRates(C372,$D$9,$D$10)</f>
        <v>8.5438277955831587E-3</v>
      </c>
      <c r="G372" s="7" t="s">
        <v>4</v>
      </c>
      <c r="H372" s="149">
        <f t="shared" ca="1" si="10"/>
        <v>42944</v>
      </c>
      <c r="I372" s="20">
        <f ca="1">_xll.meDateFromTenor(H372,"3M","Following",$I$11,"Normal")</f>
        <v>43038</v>
      </c>
      <c r="J372" s="150">
        <f ca="1"/>
        <v>1.0610923810994963E-2</v>
      </c>
      <c r="K372" s="7" t="s">
        <v>4</v>
      </c>
      <c r="L372" s="149" t="e">
        <f ca="1">_xll.meDateFromTenor(L371,"1D","FOLLOWING",#REF!,"NORMAL")</f>
        <v>#VALUE!</v>
      </c>
      <c r="M372" s="155">
        <f ca="1">_xll.meDateYearFraction(C372,D372,$M$11)</f>
        <v>8.3333333333333332E-3</v>
      </c>
      <c r="N372" s="150">
        <f ca="1"/>
        <v>-2.4300000000065936E-3</v>
      </c>
      <c r="O372" s="7" t="s">
        <v>4</v>
      </c>
      <c r="P372" s="149">
        <f t="shared" ca="1" si="11"/>
        <v>42944</v>
      </c>
      <c r="Q372" s="155">
        <f ca="1">_xll.meDateYearFraction(H372,I372,$Q$11,TRUE)</f>
        <v>0.26111111111111113</v>
      </c>
      <c r="R372" s="150">
        <f ca="1">IF(NOW(),_xll.meCurveForwardRatesFromYearFraction(P372,Q372,$Q$11,$Q$9,$Q$10))</f>
        <v>-3.7175485397107962E-3</v>
      </c>
      <c r="S372" s="134" t="s">
        <v>4</v>
      </c>
    </row>
    <row r="373" spans="1:19" x14ac:dyDescent="0.25">
      <c r="A373" s="128">
        <v>357</v>
      </c>
      <c r="B373" s="133"/>
      <c r="C373" s="149">
        <f ca="1">_xll.meDateFromTenor(C372,"1D","FOLLOWING",$D$11,"NORMAL")</f>
        <v>42947</v>
      </c>
      <c r="D373" s="20">
        <f ca="1">_xll.meDateFromTenor(C373,"1D","Following",$D$11,"Normal")</f>
        <v>42948</v>
      </c>
      <c r="E373" s="99">
        <f ca="1"/>
        <v>8.540904836173327E-3</v>
      </c>
      <c r="F373" s="161">
        <f ca="1">_xll.meCurveForwardRates(C373,$D$9,$D$10)</f>
        <v>8.5773802421948986E-3</v>
      </c>
      <c r="G373" s="7" t="s">
        <v>4</v>
      </c>
      <c r="H373" s="149">
        <f t="shared" ca="1" si="10"/>
        <v>42947</v>
      </c>
      <c r="I373" s="20">
        <f ca="1">_xll.meDateFromTenor(H373,"3M","Following",$I$11,"Normal")</f>
        <v>43039</v>
      </c>
      <c r="J373" s="150">
        <f ca="1"/>
        <v>1.0634667306547038E-2</v>
      </c>
      <c r="K373" s="7" t="s">
        <v>4</v>
      </c>
      <c r="L373" s="149" t="e">
        <f ca="1">_xll.meDateFromTenor(L372,"1D","FOLLOWING",#REF!,"NORMAL")</f>
        <v>#VALUE!</v>
      </c>
      <c r="M373" s="155">
        <f ca="1">_xll.meDateYearFraction(C373,D373,$M$11)</f>
        <v>2.7777777777777779E-3</v>
      </c>
      <c r="N373" s="150">
        <f ca="1"/>
        <v>-2.4300000000065936E-3</v>
      </c>
      <c r="O373" s="7" t="s">
        <v>4</v>
      </c>
      <c r="P373" s="149">
        <f t="shared" ca="1" si="11"/>
        <v>42947</v>
      </c>
      <c r="Q373" s="155">
        <f ca="1">_xll.meDateYearFraction(H373,I373,$Q$11,TRUE)</f>
        <v>0.25555555555555554</v>
      </c>
      <c r="R373" s="150">
        <f ca="1">IF(NOW(),_xll.meCurveForwardRatesFromYearFraction(P373,Q373,$Q$11,$Q$9,$Q$10))</f>
        <v>-3.0956748672098179E-3</v>
      </c>
      <c r="S373" s="134" t="s">
        <v>4</v>
      </c>
    </row>
    <row r="374" spans="1:19" x14ac:dyDescent="0.25">
      <c r="A374" s="128">
        <v>358</v>
      </c>
      <c r="B374" s="133"/>
      <c r="C374" s="149">
        <f ca="1">_xll.meDateFromTenor(C373,"1D","FOLLOWING",$D$11,"NORMAL")</f>
        <v>42948</v>
      </c>
      <c r="D374" s="20">
        <f ca="1">_xll.meDateFromTenor(C374,"1D","Following",$D$11,"Normal")</f>
        <v>42949</v>
      </c>
      <c r="E374" s="99">
        <f ca="1"/>
        <v>8.5519650526766668E-3</v>
      </c>
      <c r="F374" s="161">
        <f ca="1">_xll.meCurveForwardRates(C374,$D$9,$D$10)</f>
        <v>8.5885351232504181E-3</v>
      </c>
      <c r="G374" s="7" t="s">
        <v>4</v>
      </c>
      <c r="H374" s="149">
        <f t="shared" ca="1" si="10"/>
        <v>42948</v>
      </c>
      <c r="I374" s="20">
        <f ca="1">_xll.meDateFromTenor(H374,"3M","Following",$I$11,"Normal")</f>
        <v>43040</v>
      </c>
      <c r="J374" s="150">
        <f ca="1"/>
        <v>1.0642581805064397E-2</v>
      </c>
      <c r="K374" s="7" t="s">
        <v>4</v>
      </c>
      <c r="L374" s="149" t="e">
        <f ca="1">_xll.meDateFromTenor(L373,"1D","FOLLOWING",#REF!,"NORMAL")</f>
        <v>#VALUE!</v>
      </c>
      <c r="M374" s="155">
        <f ca="1">_xll.meDateYearFraction(C374,D374,$M$11)</f>
        <v>2.7777777777777779E-3</v>
      </c>
      <c r="N374" s="150">
        <f ca="1"/>
        <v>-2.4300000000065936E-3</v>
      </c>
      <c r="O374" s="7" t="s">
        <v>4</v>
      </c>
      <c r="P374" s="149">
        <f t="shared" ca="1" si="11"/>
        <v>42948</v>
      </c>
      <c r="Q374" s="155">
        <f ca="1">_xll.meDateYearFraction(H374,I374,$Q$11,TRUE)</f>
        <v>0.25555555555555554</v>
      </c>
      <c r="R374" s="150">
        <f ca="1">IF(NOW(),_xll.meCurveForwardRatesFromYearFraction(P374,Q374,$Q$11,$Q$9,$Q$10))</f>
        <v>-3.7175485397107962E-3</v>
      </c>
      <c r="S374" s="134" t="s">
        <v>4</v>
      </c>
    </row>
    <row r="375" spans="1:19" x14ac:dyDescent="0.25">
      <c r="A375" s="128">
        <v>359</v>
      </c>
      <c r="B375" s="133"/>
      <c r="C375" s="149">
        <f ca="1">_xll.meDateFromTenor(C374,"1D","FOLLOWING",$D$11,"NORMAL")</f>
        <v>42949</v>
      </c>
      <c r="D375" s="20">
        <f ca="1">_xll.meDateFromTenor(C375,"1D","Following",$D$11,"Normal")</f>
        <v>42950</v>
      </c>
      <c r="E375" s="99">
        <f ca="1"/>
        <v>8.5630107736545426E-3</v>
      </c>
      <c r="F375" s="161">
        <f ca="1">_xll.meCurveForwardRates(C375,$D$9,$D$10)</f>
        <v>8.5996755075017361E-3</v>
      </c>
      <c r="G375" s="7" t="s">
        <v>4</v>
      </c>
      <c r="H375" s="149">
        <f t="shared" ca="1" si="10"/>
        <v>42949</v>
      </c>
      <c r="I375" s="20">
        <f ca="1">_xll.meDateFromTenor(H375,"3M","Following",$I$11,"Normal")</f>
        <v>43041</v>
      </c>
      <c r="J375" s="150">
        <f ca="1"/>
        <v>1.0650496303581756E-2</v>
      </c>
      <c r="K375" s="7" t="s">
        <v>4</v>
      </c>
      <c r="L375" s="149" t="e">
        <f ca="1">_xll.meDateFromTenor(L374,"1D","FOLLOWING",#REF!,"NORMAL")</f>
        <v>#VALUE!</v>
      </c>
      <c r="M375" s="155">
        <f ca="1">_xll.meDateYearFraction(C375,D375,$M$11)</f>
        <v>2.7777777777777779E-3</v>
      </c>
      <c r="N375" s="150">
        <f ca="1"/>
        <v>-2.4300000000065936E-3</v>
      </c>
      <c r="O375" s="7" t="s">
        <v>4</v>
      </c>
      <c r="P375" s="149">
        <f t="shared" ca="1" si="11"/>
        <v>42949</v>
      </c>
      <c r="Q375" s="155">
        <f ca="1">_xll.meDateYearFraction(H375,I375,$Q$11,TRUE)</f>
        <v>0.25555555555555554</v>
      </c>
      <c r="R375" s="150">
        <f ca="1">IF(NOW(),_xll.meCurveForwardRatesFromYearFraction(P375,Q375,$Q$11,$Q$9,$Q$10))</f>
        <v>-3.7175485397107962E-3</v>
      </c>
      <c r="S375" s="134" t="s">
        <v>4</v>
      </c>
    </row>
    <row r="376" spans="1:19" x14ac:dyDescent="0.25">
      <c r="A376" s="128">
        <v>360</v>
      </c>
      <c r="B376" s="133"/>
      <c r="C376" s="149">
        <f ca="1">_xll.meDateFromTenor(C375,"1D","FOLLOWING",$D$11,"NORMAL")</f>
        <v>42950</v>
      </c>
      <c r="D376" s="20">
        <f ca="1">_xll.meDateFromTenor(C376,"1D","Following",$D$11,"Normal")</f>
        <v>42951</v>
      </c>
      <c r="E376" s="99">
        <f ca="1"/>
        <v>8.5740419184521556E-3</v>
      </c>
      <c r="F376" s="161">
        <f ca="1">_xll.meCurveForwardRates(C376,$D$9,$D$10)</f>
        <v>8.6108013131196426E-3</v>
      </c>
      <c r="G376" s="7" t="s">
        <v>4</v>
      </c>
      <c r="H376" s="149">
        <f t="shared" ca="1" si="10"/>
        <v>42950</v>
      </c>
      <c r="I376" s="20">
        <f ca="1">_xll.meDateFromTenor(H376,"3M","Following",$I$11,"Normal")</f>
        <v>43042</v>
      </c>
      <c r="J376" s="150">
        <f ca="1"/>
        <v>1.0658410802099113E-2</v>
      </c>
      <c r="K376" s="7" t="s">
        <v>4</v>
      </c>
      <c r="L376" s="149" t="e">
        <f ca="1">_xll.meDateFromTenor(L375,"1D","FOLLOWING",#REF!,"NORMAL")</f>
        <v>#VALUE!</v>
      </c>
      <c r="M376" s="155">
        <f ca="1">_xll.meDateYearFraction(C376,D376,$M$11)</f>
        <v>2.7777777777777779E-3</v>
      </c>
      <c r="N376" s="150">
        <f ca="1"/>
        <v>-2.4300000000065936E-3</v>
      </c>
      <c r="O376" s="7" t="s">
        <v>4</v>
      </c>
      <c r="P376" s="149">
        <f t="shared" ca="1" si="11"/>
        <v>42950</v>
      </c>
      <c r="Q376" s="155">
        <f ca="1">_xll.meDateYearFraction(H376,I376,$Q$11,TRUE)</f>
        <v>0.25555555555555554</v>
      </c>
      <c r="R376" s="150">
        <f ca="1">IF(NOW(),_xll.meCurveForwardRatesFromYearFraction(P376,Q376,$Q$11,$Q$9,$Q$10))</f>
        <v>-3.7175485397107962E-3</v>
      </c>
      <c r="S376" s="134" t="s">
        <v>4</v>
      </c>
    </row>
    <row r="377" spans="1:19" x14ac:dyDescent="0.25">
      <c r="A377" s="128">
        <v>361</v>
      </c>
      <c r="B377" s="133"/>
      <c r="C377" s="149">
        <f ca="1">_xll.meDateFromTenor(C376,"1D","FOLLOWING",$D$11,"NORMAL")</f>
        <v>42951</v>
      </c>
      <c r="D377" s="20">
        <f ca="1">_xll.meDateFromTenor(C377,"1D","Following",$D$11,"Normal")</f>
        <v>42954</v>
      </c>
      <c r="E377" s="99">
        <f ca="1"/>
        <v>8.5962604731282567E-3</v>
      </c>
      <c r="F377" s="161">
        <f ca="1">_xll.meCurveForwardRates(C377,$D$9,$D$10)</f>
        <v>8.6219107499436731E-3</v>
      </c>
      <c r="G377" s="7" t="s">
        <v>4</v>
      </c>
      <c r="H377" s="149">
        <f t="shared" ca="1" si="10"/>
        <v>42951</v>
      </c>
      <c r="I377" s="20">
        <f ca="1">_xll.meDateFromTenor(H377,"3M","Following",$I$11,"Normal")</f>
        <v>43045</v>
      </c>
      <c r="J377" s="150">
        <f ca="1"/>
        <v>1.0666325300616472E-2</v>
      </c>
      <c r="K377" s="7" t="s">
        <v>4</v>
      </c>
      <c r="L377" s="149" t="e">
        <f ca="1">_xll.meDateFromTenor(L376,"1D","FOLLOWING",#REF!,"NORMAL")</f>
        <v>#VALUE!</v>
      </c>
      <c r="M377" s="155">
        <f ca="1">_xll.meDateYearFraction(C377,D377,$M$11)</f>
        <v>8.3333333333333332E-3</v>
      </c>
      <c r="N377" s="150">
        <f ca="1"/>
        <v>-2.4300000000065936E-3</v>
      </c>
      <c r="O377" s="7" t="s">
        <v>4</v>
      </c>
      <c r="P377" s="149">
        <f t="shared" ca="1" si="11"/>
        <v>42951</v>
      </c>
      <c r="Q377" s="155">
        <f ca="1">_xll.meDateYearFraction(H377,I377,$Q$11,TRUE)</f>
        <v>0.26111111111111113</v>
      </c>
      <c r="R377" s="150">
        <f ca="1">IF(NOW(),_xll.meCurveForwardRatesFromYearFraction(P377,Q377,$Q$11,$Q$9,$Q$10))</f>
        <v>-3.091354607909234E-3</v>
      </c>
      <c r="S377" s="134" t="s">
        <v>4</v>
      </c>
    </row>
    <row r="378" spans="1:19" x14ac:dyDescent="0.25">
      <c r="A378" s="128">
        <v>362</v>
      </c>
      <c r="B378" s="133"/>
      <c r="C378" s="149">
        <f ca="1">_xll.meDateFromTenor(C377,"1D","FOLLOWING",$D$11,"NORMAL")</f>
        <v>42954</v>
      </c>
      <c r="D378" s="20">
        <f ca="1">_xll.meDateFromTenor(C378,"1D","Following",$D$11,"Normal")</f>
        <v>42955</v>
      </c>
      <c r="E378" s="99">
        <f ca="1"/>
        <v>8.618019115935769E-3</v>
      </c>
      <c r="F378" s="161">
        <f ca="1">_xll.meCurveForwardRates(C378,$D$9,$D$10)</f>
        <v>8.6551571057060794E-3</v>
      </c>
      <c r="G378" s="7" t="s">
        <v>4</v>
      </c>
      <c r="H378" s="149">
        <f t="shared" ca="1" si="10"/>
        <v>42954</v>
      </c>
      <c r="I378" s="20">
        <f ca="1">_xll.meDateFromTenor(H378,"3M","Following",$I$11,"Normal")</f>
        <v>43046</v>
      </c>
      <c r="J378" s="150">
        <f ca="1"/>
        <v>1.0690068796168548E-2</v>
      </c>
      <c r="K378" s="7" t="s">
        <v>4</v>
      </c>
      <c r="L378" s="149" t="e">
        <f ca="1">_xll.meDateFromTenor(L377,"1D","FOLLOWING",#REF!,"NORMAL")</f>
        <v>#VALUE!</v>
      </c>
      <c r="M378" s="155">
        <f ca="1">_xll.meDateYearFraction(C378,D378,$M$11)</f>
        <v>2.7777777777777779E-3</v>
      </c>
      <c r="N378" s="150">
        <f ca="1"/>
        <v>-2.4300000000065936E-3</v>
      </c>
      <c r="O378" s="7" t="s">
        <v>4</v>
      </c>
      <c r="P378" s="149">
        <f t="shared" ca="1" si="11"/>
        <v>42954</v>
      </c>
      <c r="Q378" s="155">
        <f ca="1">_xll.meDateYearFraction(H378,I378,$Q$11,TRUE)</f>
        <v>0.25555555555555554</v>
      </c>
      <c r="R378" s="150">
        <f ca="1">IF(NOW(),_xll.meCurveForwardRatesFromYearFraction(P378,Q378,$Q$11,$Q$9,$Q$10))</f>
        <v>-3.7175485397107962E-3</v>
      </c>
      <c r="S378" s="134" t="s">
        <v>4</v>
      </c>
    </row>
    <row r="379" spans="1:19" x14ac:dyDescent="0.25">
      <c r="A379" s="128">
        <v>363</v>
      </c>
      <c r="B379" s="133"/>
      <c r="C379" s="149">
        <f ca="1">_xll.meDateFromTenor(C378,"1D","FOLLOWING",$D$11,"NORMAL")</f>
        <v>42955</v>
      </c>
      <c r="D379" s="20">
        <f ca="1">_xll.meDateFromTenor(C379,"1D","Following",$D$11,"Normal")</f>
        <v>42956</v>
      </c>
      <c r="E379" s="99">
        <f ca="1"/>
        <v>8.6289761654434784E-3</v>
      </c>
      <c r="F379" s="161">
        <f ca="1">_xll.meCurveForwardRates(C379,$D$9,$D$10)</f>
        <v>8.6662087860118753E-3</v>
      </c>
      <c r="G379" s="7" t="s">
        <v>4</v>
      </c>
      <c r="H379" s="149">
        <f t="shared" ca="1" si="10"/>
        <v>42955</v>
      </c>
      <c r="I379" s="20">
        <f ca="1">_xll.meDateFromTenor(H379,"3M","Following",$I$11,"Normal")</f>
        <v>43047</v>
      </c>
      <c r="J379" s="150">
        <f ca="1"/>
        <v>1.0697983294685907E-2</v>
      </c>
      <c r="K379" s="7" t="s">
        <v>4</v>
      </c>
      <c r="L379" s="149" t="e">
        <f ca="1">_xll.meDateFromTenor(L378,"1D","FOLLOWING",#REF!,"NORMAL")</f>
        <v>#VALUE!</v>
      </c>
      <c r="M379" s="155">
        <f ca="1">_xll.meDateYearFraction(C379,D379,$M$11)</f>
        <v>2.7777777777777779E-3</v>
      </c>
      <c r="N379" s="150">
        <f ca="1"/>
        <v>-2.4300000000065936E-3</v>
      </c>
      <c r="O379" s="7" t="s">
        <v>4</v>
      </c>
      <c r="P379" s="149">
        <f t="shared" ca="1" si="11"/>
        <v>42955</v>
      </c>
      <c r="Q379" s="155">
        <f ca="1">_xll.meDateYearFraction(H379,I379,$Q$11,TRUE)</f>
        <v>0.25555555555555554</v>
      </c>
      <c r="R379" s="150">
        <f ca="1">IF(NOW(),_xll.meCurveForwardRatesFromYearFraction(P379,Q379,$Q$11,$Q$9,$Q$10))</f>
        <v>-3.0871898032160312E-3</v>
      </c>
      <c r="S379" s="134" t="s">
        <v>4</v>
      </c>
    </row>
    <row r="380" spans="1:19" x14ac:dyDescent="0.25">
      <c r="A380" s="128">
        <v>364</v>
      </c>
      <c r="B380" s="133"/>
      <c r="C380" s="149">
        <f ca="1">_xll.meDateFromTenor(C379,"1D","FOLLOWING",$D$11,"NORMAL")</f>
        <v>42956</v>
      </c>
      <c r="D380" s="20">
        <f ca="1">_xll.meDateFromTenor(C380,"1D","Following",$D$11,"Normal")</f>
        <v>42957</v>
      </c>
      <c r="E380" s="99">
        <f ca="1"/>
        <v>8.6399181529995019E-3</v>
      </c>
      <c r="F380" s="161">
        <f ca="1">_xll.meCurveForwardRates(C380,$D$9,$D$10)</f>
        <v>8.6772453947892014E-3</v>
      </c>
      <c r="G380" s="7" t="s">
        <v>4</v>
      </c>
      <c r="H380" s="149">
        <f t="shared" ca="1" si="10"/>
        <v>42956</v>
      </c>
      <c r="I380" s="20">
        <f ca="1">_xll.meDateFromTenor(H380,"3M","Following",$I$11,"Normal")</f>
        <v>43048</v>
      </c>
      <c r="J380" s="150">
        <f ca="1"/>
        <v>1.0705897793203264E-2</v>
      </c>
      <c r="K380" s="7" t="s">
        <v>4</v>
      </c>
      <c r="L380" s="149" t="e">
        <f ca="1">_xll.meDateFromTenor(L379,"1D","FOLLOWING",#REF!,"NORMAL")</f>
        <v>#VALUE!</v>
      </c>
      <c r="M380" s="155">
        <f ca="1">_xll.meDateYearFraction(C380,D380,$M$11)</f>
        <v>2.7777777777777779E-3</v>
      </c>
      <c r="N380" s="150">
        <f ca="1"/>
        <v>-2.4300000000065936E-3</v>
      </c>
      <c r="O380" s="7" t="s">
        <v>4</v>
      </c>
      <c r="P380" s="149">
        <f t="shared" ca="1" si="11"/>
        <v>42956</v>
      </c>
      <c r="Q380" s="155">
        <f ca="1">_xll.meDateYearFraction(H380,I380,$Q$11,TRUE)</f>
        <v>0.25555555555555554</v>
      </c>
      <c r="R380" s="150">
        <f ca="1">IF(NOW(),_xll.meCurveForwardRatesFromYearFraction(P380,Q380,$Q$11,$Q$9,$Q$10))</f>
        <v>-3.7175485397107962E-3</v>
      </c>
      <c r="S380" s="134" t="s">
        <v>4</v>
      </c>
    </row>
    <row r="381" spans="1:19" x14ac:dyDescent="0.25">
      <c r="A381" s="128">
        <v>365</v>
      </c>
      <c r="B381" s="133"/>
      <c r="C381" s="149">
        <f ca="1">_xll.meDateFromTenor(C380,"1D","FOLLOWING",$D$11,"NORMAL")</f>
        <v>42957</v>
      </c>
      <c r="D381" s="20">
        <f ca="1">_xll.meDateFromTenor(C381,"1D","Following",$D$11,"Normal")</f>
        <v>42958</v>
      </c>
      <c r="E381" s="99">
        <f ca="1"/>
        <v>8.6508449981082293E-3</v>
      </c>
      <c r="F381" s="161">
        <f ca="1">_xll.meCurveForwardRates(C381,$D$9,$D$10)</f>
        <v>8.688266850349402E-3</v>
      </c>
      <c r="G381" s="7" t="s">
        <v>4</v>
      </c>
      <c r="H381" s="149">
        <f t="shared" ca="1" si="10"/>
        <v>42957</v>
      </c>
      <c r="I381" s="20">
        <f ca="1">_xll.meDateFromTenor(H381,"3M","Following",$I$11,"Normal")</f>
        <v>43049</v>
      </c>
      <c r="J381" s="150">
        <f ca="1"/>
        <v>1.0713812291720623E-2</v>
      </c>
      <c r="K381" s="7" t="s">
        <v>4</v>
      </c>
      <c r="L381" s="149" t="e">
        <f ca="1">_xll.meDateFromTenor(L380,"1D","FOLLOWING",#REF!,"NORMAL")</f>
        <v>#VALUE!</v>
      </c>
      <c r="M381" s="155">
        <f ca="1">_xll.meDateYearFraction(C381,D381,$M$11)</f>
        <v>2.7777777777777779E-3</v>
      </c>
      <c r="N381" s="150">
        <f ca="1"/>
        <v>-2.4300000000065936E-3</v>
      </c>
      <c r="O381" s="7" t="s">
        <v>4</v>
      </c>
      <c r="P381" s="149">
        <f t="shared" ca="1" si="11"/>
        <v>42957</v>
      </c>
      <c r="Q381" s="155">
        <f ca="1">_xll.meDateYearFraction(H381,I381,$Q$11,TRUE)</f>
        <v>0.25555555555555554</v>
      </c>
      <c r="R381" s="150">
        <f ca="1">IF(NOW(),_xll.meCurveForwardRatesFromYearFraction(P381,Q381,$Q$11,$Q$9,$Q$10))</f>
        <v>-3.0851652360389037E-3</v>
      </c>
      <c r="S381" s="134" t="s">
        <v>4</v>
      </c>
    </row>
    <row r="382" spans="1:19" x14ac:dyDescent="0.25">
      <c r="A382" s="128">
        <v>366</v>
      </c>
      <c r="B382" s="133"/>
      <c r="C382" s="149">
        <f ca="1">_xll.meDateFromTenor(C381,"1D","FOLLOWING",$D$11,"NORMAL")</f>
        <v>42958</v>
      </c>
      <c r="D382" s="20">
        <f ca="1">_xll.meDateFromTenor(C382,"1D","Following",$D$11,"Normal")</f>
        <v>42961</v>
      </c>
      <c r="E382" s="99">
        <f ca="1"/>
        <v>8.6728567394978341E-3</v>
      </c>
      <c r="F382" s="161">
        <f ca="1">_xll.meCurveForwardRates(C382,$D$9,$D$10)</f>
        <v>8.699271298764133E-3</v>
      </c>
      <c r="G382" s="7" t="s">
        <v>4</v>
      </c>
      <c r="H382" s="149">
        <f t="shared" ca="1" si="10"/>
        <v>42958</v>
      </c>
      <c r="I382" s="20">
        <f ca="1">_xll.meDateFromTenor(H382,"3M","Following",$I$11,"Normal")</f>
        <v>43052</v>
      </c>
      <c r="J382" s="150">
        <f ca="1"/>
        <v>1.0721726790237982E-2</v>
      </c>
      <c r="K382" s="7" t="s">
        <v>4</v>
      </c>
      <c r="L382" s="149" t="e">
        <f ca="1">_xll.meDateFromTenor(L381,"1D","FOLLOWING",#REF!,"NORMAL")</f>
        <v>#VALUE!</v>
      </c>
      <c r="M382" s="155">
        <f ca="1">_xll.meDateYearFraction(C382,D382,$M$11)</f>
        <v>8.3333333333333332E-3</v>
      </c>
      <c r="N382" s="150">
        <f ca="1"/>
        <v>-2.4300000000065936E-3</v>
      </c>
      <c r="O382" s="7" t="s">
        <v>4</v>
      </c>
      <c r="P382" s="149">
        <f t="shared" ca="1" si="11"/>
        <v>42958</v>
      </c>
      <c r="Q382" s="155">
        <f ca="1">_xll.meDateYearFraction(H382,I382,$Q$11,TRUE)</f>
        <v>0.26111111111111113</v>
      </c>
      <c r="R382" s="150">
        <f ca="1">IF(NOW(),_xll.meCurveForwardRatesFromYearFraction(P382,Q382,$Q$11,$Q$9,$Q$10))</f>
        <v>-3.7175485397107962E-3</v>
      </c>
      <c r="S382" s="134" t="s">
        <v>4</v>
      </c>
    </row>
    <row r="383" spans="1:19" x14ac:dyDescent="0.25">
      <c r="A383" s="128">
        <v>367</v>
      </c>
      <c r="B383" s="133"/>
      <c r="C383" s="149">
        <f ca="1">_xll.meDateFromTenor(C382,"1D","FOLLOWING",$D$11,"NORMAL")</f>
        <v>42961</v>
      </c>
      <c r="D383" s="20">
        <f ca="1">_xll.meDateFromTenor(C383,"1D","Following",$D$11,"Normal")</f>
        <v>42962</v>
      </c>
      <c r="E383" s="99">
        <f ca="1"/>
        <v>8.6943993328869908E-3</v>
      </c>
      <c r="F383" s="161">
        <f ca="1">_xll.meCurveForwardRates(C383,$D$9,$D$10)</f>
        <v>8.7321994951683468E-3</v>
      </c>
      <c r="G383" s="7" t="s">
        <v>4</v>
      </c>
      <c r="H383" s="149">
        <f t="shared" ca="1" si="10"/>
        <v>42961</v>
      </c>
      <c r="I383" s="20">
        <f ca="1">_xll.meDateFromTenor(H383,"3M","Following",$I$11,"Normal")</f>
        <v>43053</v>
      </c>
      <c r="J383" s="150">
        <f ca="1"/>
        <v>1.0745470285790057E-2</v>
      </c>
      <c r="K383" s="7" t="s">
        <v>4</v>
      </c>
      <c r="L383" s="149" t="e">
        <f ca="1">_xll.meDateFromTenor(L382,"1D","FOLLOWING",#REF!,"NORMAL")</f>
        <v>#VALUE!</v>
      </c>
      <c r="M383" s="155">
        <f ca="1">_xll.meDateYearFraction(C383,D383,$M$11)</f>
        <v>2.7777777777777779E-3</v>
      </c>
      <c r="N383" s="150">
        <f ca="1"/>
        <v>-2.4300000000065936E-3</v>
      </c>
      <c r="O383" s="7" t="s">
        <v>4</v>
      </c>
      <c r="P383" s="149">
        <f t="shared" ca="1" si="11"/>
        <v>42961</v>
      </c>
      <c r="Q383" s="155">
        <f ca="1">_xll.meDateYearFraction(H383,I383,$Q$11,TRUE)</f>
        <v>0.25555555555555554</v>
      </c>
      <c r="R383" s="150">
        <f ca="1">IF(NOW(),_xll.meCurveForwardRatesFromYearFraction(P383,Q383,$Q$11,$Q$9,$Q$10))</f>
        <v>-3.7175485397107962E-3</v>
      </c>
      <c r="S383" s="134" t="s">
        <v>4</v>
      </c>
    </row>
    <row r="384" spans="1:19" x14ac:dyDescent="0.25">
      <c r="A384" s="128">
        <v>368</v>
      </c>
      <c r="B384" s="133"/>
      <c r="C384" s="149">
        <f ca="1">_xll.meDateFromTenor(C383,"1D","FOLLOWING",$D$11,"NORMAL")</f>
        <v>42962</v>
      </c>
      <c r="D384" s="20">
        <f ca="1">_xll.meDateFromTenor(C384,"1D","Following",$D$11,"Normal")</f>
        <v>42963</v>
      </c>
      <c r="E384" s="99">
        <f ca="1"/>
        <v>8.7052492508110958E-3</v>
      </c>
      <c r="F384" s="161">
        <f ca="1">_xll.meCurveForwardRates(C384,$D$9,$D$10)</f>
        <v>8.7431439516276743E-3</v>
      </c>
      <c r="G384" s="7" t="s">
        <v>4</v>
      </c>
      <c r="H384" s="149">
        <f t="shared" ca="1" si="10"/>
        <v>42962</v>
      </c>
      <c r="I384" s="20">
        <f ca="1">_xll.meDateFromTenor(H384,"3M","Following",$I$11,"Normal")</f>
        <v>43054</v>
      </c>
      <c r="J384" s="150">
        <f ca="1"/>
        <v>1.0753384784307415E-2</v>
      </c>
      <c r="K384" s="7" t="s">
        <v>4</v>
      </c>
      <c r="L384" s="149" t="e">
        <f ca="1">_xll.meDateFromTenor(L383,"1D","FOLLOWING",#REF!,"NORMAL")</f>
        <v>#VALUE!</v>
      </c>
      <c r="M384" s="155">
        <f ca="1">_xll.meDateYearFraction(C384,D384,$M$11)</f>
        <v>2.7777777777777779E-3</v>
      </c>
      <c r="N384" s="150">
        <f ca="1"/>
        <v>-2.4300000000065936E-3</v>
      </c>
      <c r="O384" s="7" t="s">
        <v>4</v>
      </c>
      <c r="P384" s="149">
        <f t="shared" ca="1" si="11"/>
        <v>42962</v>
      </c>
      <c r="Q384" s="155">
        <f ca="1">_xll.meDateYearFraction(H384,I384,$Q$11,TRUE)</f>
        <v>0.25555555555555554</v>
      </c>
      <c r="R384" s="150">
        <f ca="1">IF(NOW(),_xll.meCurveForwardRatesFromYearFraction(P384,Q384,$Q$11,$Q$9,$Q$10))</f>
        <v>-3.7175485397107962E-3</v>
      </c>
      <c r="S384" s="134" t="s">
        <v>4</v>
      </c>
    </row>
    <row r="385" spans="1:19" x14ac:dyDescent="0.25">
      <c r="A385" s="128">
        <v>369</v>
      </c>
      <c r="B385" s="133"/>
      <c r="C385" s="149">
        <f ca="1">_xll.meDateFromTenor(C384,"1D","FOLLOWING",$D$11,"NORMAL")</f>
        <v>42963</v>
      </c>
      <c r="D385" s="20">
        <f ca="1">_xll.meDateFromTenor(C385,"1D","Following",$D$11,"Normal")</f>
        <v>42964</v>
      </c>
      <c r="E385" s="99">
        <f ca="1"/>
        <v>8.7160835405164817E-3</v>
      </c>
      <c r="F385" s="161">
        <f ca="1">_xll.meCurveForwardRates(C385,$D$9,$D$10)</f>
        <v>8.7540727618538039E-3</v>
      </c>
      <c r="G385" s="7" t="s">
        <v>4</v>
      </c>
      <c r="H385" s="149">
        <f t="shared" ca="1" si="10"/>
        <v>42963</v>
      </c>
      <c r="I385" s="20">
        <f ca="1">_xll.meDateFromTenor(H385,"3M","Following",$I$11,"Normal")</f>
        <v>43055</v>
      </c>
      <c r="J385" s="150">
        <f ca="1"/>
        <v>1.0761299282824774E-2</v>
      </c>
      <c r="K385" s="7" t="s">
        <v>4</v>
      </c>
      <c r="L385" s="149" t="e">
        <f ca="1">_xll.meDateFromTenor(L384,"1D","FOLLOWING",#REF!,"NORMAL")</f>
        <v>#VALUE!</v>
      </c>
      <c r="M385" s="155">
        <f ca="1">_xll.meDateYearFraction(C385,D385,$M$11)</f>
        <v>2.7777777777777779E-3</v>
      </c>
      <c r="N385" s="150">
        <f ca="1"/>
        <v>-2.4300000000065936E-3</v>
      </c>
      <c r="O385" s="7" t="s">
        <v>4</v>
      </c>
      <c r="P385" s="149">
        <f t="shared" ca="1" si="11"/>
        <v>42963</v>
      </c>
      <c r="Q385" s="155">
        <f ca="1">_xll.meDateYearFraction(H385,I385,$Q$11,TRUE)</f>
        <v>0.25555555555555554</v>
      </c>
      <c r="R385" s="150">
        <f ca="1">IF(NOW(),_xll.meCurveForwardRatesFromYearFraction(P385,Q385,$Q$11,$Q$9,$Q$10))</f>
        <v>-3.0793206657056052E-3</v>
      </c>
      <c r="S385" s="134" t="s">
        <v>4</v>
      </c>
    </row>
    <row r="386" spans="1:19" x14ac:dyDescent="0.25">
      <c r="A386" s="128">
        <v>370</v>
      </c>
      <c r="B386" s="133"/>
      <c r="C386" s="149">
        <f ca="1">_xll.meDateFromTenor(C385,"1D","FOLLOWING",$D$11,"NORMAL")</f>
        <v>42964</v>
      </c>
      <c r="D386" s="20">
        <f ca="1">_xll.meDateFromTenor(C386,"1D","Following",$D$11,"Normal")</f>
        <v>42965</v>
      </c>
      <c r="E386" s="99">
        <f ca="1"/>
        <v>8.7269021212677302E-3</v>
      </c>
      <c r="F386" s="161">
        <f ca="1">_xll.meCurveForwardRates(C386,$D$9,$D$10)</f>
        <v>8.764985843895623E-3</v>
      </c>
      <c r="G386" s="7" t="s">
        <v>4</v>
      </c>
      <c r="H386" s="149">
        <f t="shared" ca="1" si="10"/>
        <v>42964</v>
      </c>
      <c r="I386" s="20">
        <f ca="1">_xll.meDateFromTenor(H386,"3M","Following",$I$11,"Normal")</f>
        <v>43056</v>
      </c>
      <c r="J386" s="150">
        <f ca="1"/>
        <v>1.0769213781342133E-2</v>
      </c>
      <c r="K386" s="7" t="s">
        <v>4</v>
      </c>
      <c r="L386" s="149" t="e">
        <f ca="1">_xll.meDateFromTenor(L385,"1D","FOLLOWING",#REF!,"NORMAL")</f>
        <v>#VALUE!</v>
      </c>
      <c r="M386" s="155">
        <f ca="1">_xll.meDateYearFraction(C386,D386,$M$11)</f>
        <v>2.7777777777777779E-3</v>
      </c>
      <c r="N386" s="150">
        <f ca="1"/>
        <v>-2.4300000000065936E-3</v>
      </c>
      <c r="O386" s="7" t="s">
        <v>4</v>
      </c>
      <c r="P386" s="149">
        <f t="shared" ca="1" si="11"/>
        <v>42964</v>
      </c>
      <c r="Q386" s="155">
        <f ca="1">_xll.meDateYearFraction(H386,I386,$Q$11,TRUE)</f>
        <v>0.25555555555555554</v>
      </c>
      <c r="R386" s="150">
        <f ca="1">IF(NOW(),_xll.meCurveForwardRatesFromYearFraction(P386,Q386,$Q$11,$Q$9,$Q$10))</f>
        <v>-3.7175485397107962E-3</v>
      </c>
      <c r="S386" s="134" t="s">
        <v>4</v>
      </c>
    </row>
    <row r="387" spans="1:19" x14ac:dyDescent="0.25">
      <c r="A387" s="128">
        <v>371</v>
      </c>
      <c r="B387" s="133"/>
      <c r="C387" s="149">
        <f ca="1">_xll.meDateFromTenor(C386,"1D","FOLLOWING",$D$11,"NORMAL")</f>
        <v>42965</v>
      </c>
      <c r="D387" s="20">
        <f ca="1">_xll.meDateFromTenor(C387,"1D","Following",$D$11,"Normal")</f>
        <v>42968</v>
      </c>
      <c r="E387" s="99">
        <f ca="1"/>
        <v>8.7486991161967211E-3</v>
      </c>
      <c r="F387" s="161">
        <f ca="1">_xll.meCurveForwardRates(C387,$D$9,$D$10)</f>
        <v>8.7758812805334152E-3</v>
      </c>
      <c r="G387" s="7" t="s">
        <v>4</v>
      </c>
      <c r="H387" s="149">
        <f t="shared" ca="1" si="10"/>
        <v>42965</v>
      </c>
      <c r="I387" s="20">
        <f ca="1">_xll.meDateFromTenor(H387,"3M","Following",$I$11,"Normal")</f>
        <v>43059</v>
      </c>
      <c r="J387" s="150">
        <f ca="1"/>
        <v>1.077712827985949E-2</v>
      </c>
      <c r="K387" s="7" t="s">
        <v>4</v>
      </c>
      <c r="L387" s="149" t="e">
        <f ca="1">_xll.meDateFromTenor(L386,"1D","FOLLOWING",#REF!,"NORMAL")</f>
        <v>#VALUE!</v>
      </c>
      <c r="M387" s="155">
        <f ca="1">_xll.meDateYearFraction(C387,D387,$M$11)</f>
        <v>8.3333333333333332E-3</v>
      </c>
      <c r="N387" s="150">
        <f ca="1"/>
        <v>-2.4300000000065936E-3</v>
      </c>
      <c r="O387" s="7" t="s">
        <v>4</v>
      </c>
      <c r="P387" s="149">
        <f t="shared" ca="1" si="11"/>
        <v>42965</v>
      </c>
      <c r="Q387" s="155">
        <f ca="1">_xll.meDateYearFraction(H387,I387,$Q$11,TRUE)</f>
        <v>0.26111111111111113</v>
      </c>
      <c r="R387" s="150">
        <f ca="1">IF(NOW(),_xll.meCurveForwardRatesFromYearFraction(P387,Q387,$Q$11,$Q$9,$Q$10))</f>
        <v>-3.0774482389161421E-3</v>
      </c>
      <c r="S387" s="134" t="s">
        <v>4</v>
      </c>
    </row>
    <row r="388" spans="1:19" x14ac:dyDescent="0.25">
      <c r="A388" s="128">
        <v>372</v>
      </c>
      <c r="B388" s="133"/>
      <c r="C388" s="149">
        <f ca="1">_xll.meDateFromTenor(C387,"1D","FOLLOWING",$D$11,"NORMAL")</f>
        <v>42968</v>
      </c>
      <c r="D388" s="20">
        <f ca="1">_xll.meDateFromTenor(C388,"1D","Following",$D$11,"Normal")</f>
        <v>42969</v>
      </c>
      <c r="E388" s="99">
        <f ca="1"/>
        <v>8.7700177352268184E-3</v>
      </c>
      <c r="F388" s="161">
        <f ca="1">_xll.meCurveForwardRates(C388,$D$9,$D$10)</f>
        <v>8.8084792462712613E-3</v>
      </c>
      <c r="G388" s="7" t="s">
        <v>4</v>
      </c>
      <c r="H388" s="149">
        <f t="shared" ca="1" si="10"/>
        <v>42968</v>
      </c>
      <c r="I388" s="20">
        <f ca="1">_xll.meDateFromTenor(H388,"3M","Following",$I$11,"Normal")</f>
        <v>43060</v>
      </c>
      <c r="J388" s="150">
        <f ca="1"/>
        <v>1.0800871775411567E-2</v>
      </c>
      <c r="K388" s="7" t="s">
        <v>4</v>
      </c>
      <c r="L388" s="149" t="e">
        <f ca="1">_xll.meDateFromTenor(L387,"1D","FOLLOWING",#REF!,"NORMAL")</f>
        <v>#VALUE!</v>
      </c>
      <c r="M388" s="155">
        <f ca="1">_xll.meDateYearFraction(C388,D388,$M$11)</f>
        <v>2.7777777777777779E-3</v>
      </c>
      <c r="N388" s="150">
        <f ca="1"/>
        <v>-2.4300000000065936E-3</v>
      </c>
      <c r="O388" s="7" t="s">
        <v>4</v>
      </c>
      <c r="P388" s="149">
        <f t="shared" ca="1" si="11"/>
        <v>42968</v>
      </c>
      <c r="Q388" s="155">
        <f ca="1">_xll.meDateYearFraction(H388,I388,$Q$11,TRUE)</f>
        <v>0.25555555555555554</v>
      </c>
      <c r="R388" s="150">
        <f ca="1">IF(NOW(),_xll.meCurveForwardRatesFromYearFraction(P388,Q388,$Q$11,$Q$9,$Q$10))</f>
        <v>-3.0747099939220758E-3</v>
      </c>
      <c r="S388" s="134" t="s">
        <v>4</v>
      </c>
    </row>
    <row r="389" spans="1:19" x14ac:dyDescent="0.25">
      <c r="A389" s="128">
        <v>373</v>
      </c>
      <c r="B389" s="133"/>
      <c r="C389" s="149">
        <f ca="1">_xll.meDateFromTenor(C388,"1D","FOLLOWING",$D$11,"NORMAL")</f>
        <v>42969</v>
      </c>
      <c r="D389" s="20">
        <f ca="1">_xll.meDateFromTenor(C389,"1D","Following",$D$11,"Normal")</f>
        <v>42970</v>
      </c>
      <c r="E389" s="99">
        <f ca="1"/>
        <v>8.7807565568987257E-3</v>
      </c>
      <c r="F389" s="161">
        <f ca="1">_xll.meCurveForwardRates(C389,$D$9,$D$10)</f>
        <v>8.819312454727557E-3</v>
      </c>
      <c r="G389" s="7" t="s">
        <v>4</v>
      </c>
      <c r="H389" s="149">
        <f t="shared" ca="1" si="10"/>
        <v>42969</v>
      </c>
      <c r="I389" s="20">
        <f ca="1">_xll.meDateFromTenor(H389,"3M","Following",$I$11,"Normal")</f>
        <v>43061</v>
      </c>
      <c r="J389" s="150">
        <f ca="1"/>
        <v>1.0808786273928925E-2</v>
      </c>
      <c r="K389" s="7" t="s">
        <v>4</v>
      </c>
      <c r="L389" s="149" t="e">
        <f ca="1">_xll.meDateFromTenor(L388,"1D","FOLLOWING",#REF!,"NORMAL")</f>
        <v>#VALUE!</v>
      </c>
      <c r="M389" s="155">
        <f ca="1">_xll.meDateYearFraction(C389,D389,$M$11)</f>
        <v>2.7777777777777779E-3</v>
      </c>
      <c r="N389" s="150">
        <f ca="1"/>
        <v>-2.4300000000065936E-3</v>
      </c>
      <c r="O389" s="7" t="s">
        <v>4</v>
      </c>
      <c r="P389" s="149">
        <f t="shared" ca="1" si="11"/>
        <v>42969</v>
      </c>
      <c r="Q389" s="155">
        <f ca="1">_xll.meDateYearFraction(H389,I389,$Q$11,TRUE)</f>
        <v>0.25555555555555554</v>
      </c>
      <c r="R389" s="150">
        <f ca="1">IF(NOW(),_xll.meCurveForwardRatesFromYearFraction(P389,Q389,$Q$11,$Q$9,$Q$10))</f>
        <v>-3.0738159255797623E-3</v>
      </c>
      <c r="S389" s="134" t="s">
        <v>4</v>
      </c>
    </row>
    <row r="390" spans="1:19" x14ac:dyDescent="0.25">
      <c r="A390" s="128">
        <v>374</v>
      </c>
      <c r="B390" s="133"/>
      <c r="C390" s="149">
        <f ca="1">_xll.meDateFromTenor(C389,"1D","FOLLOWING",$D$11,"NORMAL")</f>
        <v>42970</v>
      </c>
      <c r="D390" s="20">
        <f ca="1">_xll.meDateFromTenor(C390,"1D","Following",$D$11,"Normal")</f>
        <v>42971</v>
      </c>
      <c r="E390" s="99">
        <f ca="1"/>
        <v>8.7919541573449004E-3</v>
      </c>
      <c r="F390" s="161">
        <f ca="1">_xll.meCurveForwardRates(C390,$D$9,$D$10)</f>
        <v>8.8306085978557824E-3</v>
      </c>
      <c r="G390" s="7" t="s">
        <v>4</v>
      </c>
      <c r="H390" s="149">
        <f t="shared" ca="1" si="10"/>
        <v>42970</v>
      </c>
      <c r="I390" s="20">
        <f ca="1">_xll.meDateFromTenor(H390,"3M","Following",$I$11,"Normal")</f>
        <v>43063</v>
      </c>
      <c r="J390" s="150">
        <f ca="1"/>
        <v>1.0855497412659679E-2</v>
      </c>
      <c r="K390" s="7" t="s">
        <v>4</v>
      </c>
      <c r="L390" s="149" t="e">
        <f ca="1">_xll.meDateFromTenor(L389,"1D","FOLLOWING",#REF!,"NORMAL")</f>
        <v>#VALUE!</v>
      </c>
      <c r="M390" s="155">
        <f ca="1">_xll.meDateYearFraction(C390,D390,$M$11)</f>
        <v>2.7777777777777779E-3</v>
      </c>
      <c r="N390" s="150">
        <f ca="1"/>
        <v>-2.4300000000065936E-3</v>
      </c>
      <c r="O390" s="7" t="s">
        <v>4</v>
      </c>
      <c r="P390" s="149">
        <f t="shared" ca="1" si="11"/>
        <v>42970</v>
      </c>
      <c r="Q390" s="155">
        <f ca="1">_xll.meDateYearFraction(H390,I390,$Q$11,TRUE)</f>
        <v>0.25833333333333336</v>
      </c>
      <c r="R390" s="150">
        <f ca="1">IF(NOW(),_xll.meCurveForwardRatesFromYearFraction(P390,Q390,$Q$11,$Q$9,$Q$10))</f>
        <v>-3.7175485397107962E-3</v>
      </c>
      <c r="S390" s="134" t="s">
        <v>4</v>
      </c>
    </row>
    <row r="391" spans="1:19" x14ac:dyDescent="0.25">
      <c r="A391" s="128">
        <v>375</v>
      </c>
      <c r="B391" s="133"/>
      <c r="C391" s="149">
        <f ca="1">_xll.meDateFromTenor(C390,"1D","FOLLOWING",$D$11,"NORMAL")</f>
        <v>42971</v>
      </c>
      <c r="D391" s="20">
        <f ca="1">_xll.meDateFromTenor(C391,"1D","Following",$D$11,"Normal")</f>
        <v>42972</v>
      </c>
      <c r="E391" s="99">
        <f ca="1"/>
        <v>8.8036213193820913E-3</v>
      </c>
      <c r="F391" s="161">
        <f ca="1">_xll.meCurveForwardRates(C391,$D$9,$D$10)</f>
        <v>8.8423785690572299E-3</v>
      </c>
      <c r="G391" s="7" t="s">
        <v>4</v>
      </c>
      <c r="H391" s="149">
        <f t="shared" ca="1" si="10"/>
        <v>42971</v>
      </c>
      <c r="I391" s="20">
        <f ca="1">_xll.meDateFromTenor(H391,"3M","Following",$I$11,"Normal")</f>
        <v>43063</v>
      </c>
      <c r="J391" s="150">
        <f ca="1"/>
        <v>1.0824615270963641E-2</v>
      </c>
      <c r="K391" s="7" t="s">
        <v>4</v>
      </c>
      <c r="L391" s="149" t="e">
        <f ca="1">_xll.meDateFromTenor(L390,"1D","FOLLOWING",#REF!,"NORMAL")</f>
        <v>#VALUE!</v>
      </c>
      <c r="M391" s="155">
        <f ca="1">_xll.meDateYearFraction(C391,D391,$M$11)</f>
        <v>2.7777777777777779E-3</v>
      </c>
      <c r="N391" s="150">
        <f ca="1"/>
        <v>-2.4300000000065936E-3</v>
      </c>
      <c r="O391" s="7" t="s">
        <v>4</v>
      </c>
      <c r="P391" s="149">
        <f t="shared" ca="1" si="11"/>
        <v>42971</v>
      </c>
      <c r="Q391" s="155">
        <f ca="1">_xll.meDateYearFraction(H391,I391,$Q$11,TRUE)</f>
        <v>0.25555555555555554</v>
      </c>
      <c r="R391" s="150">
        <f ca="1">IF(NOW(),_xll.meCurveForwardRatesFromYearFraction(P391,Q391,$Q$11,$Q$9,$Q$10))</f>
        <v>-3.0720588375555331E-3</v>
      </c>
      <c r="S391" s="134" t="s">
        <v>4</v>
      </c>
    </row>
    <row r="392" spans="1:19" x14ac:dyDescent="0.25">
      <c r="A392" s="128">
        <v>376</v>
      </c>
      <c r="B392" s="133"/>
      <c r="C392" s="149">
        <f ca="1">_xll.meDateFromTenor(C391,"1D","FOLLOWING",$D$11,"NORMAL")</f>
        <v>42972</v>
      </c>
      <c r="D392" s="20">
        <f ca="1">_xll.meDateFromTenor(C392,"1D","Following",$D$11,"Normal")</f>
        <v>42976</v>
      </c>
      <c r="E392" s="99">
        <f ca="1"/>
        <v>8.8331143073739106E-3</v>
      </c>
      <c r="F392" s="161">
        <f ca="1">_xll.meCurveForwardRates(C392,$D$9,$D$10)</f>
        <v>8.8541485826838517E-3</v>
      </c>
      <c r="G392" s="7" t="s">
        <v>4</v>
      </c>
      <c r="H392" s="149">
        <f t="shared" ca="1" si="10"/>
        <v>42972</v>
      </c>
      <c r="I392" s="20">
        <f ca="1">_xll.meDateFromTenor(H392,"3M","Following",$I$11,"Normal")</f>
        <v>43066</v>
      </c>
      <c r="J392" s="150">
        <f ca="1"/>
        <v>1.0832529769481E-2</v>
      </c>
      <c r="K392" s="7" t="s">
        <v>4</v>
      </c>
      <c r="L392" s="149" t="e">
        <f ca="1">_xll.meDateFromTenor(L391,"1D","FOLLOWING",#REF!,"NORMAL")</f>
        <v>#VALUE!</v>
      </c>
      <c r="M392" s="155">
        <f ca="1">_xll.meDateYearFraction(C392,D392,$M$11)</f>
        <v>1.1111111111111112E-2</v>
      </c>
      <c r="N392" s="150">
        <f ca="1"/>
        <v>-2.4300000000065936E-3</v>
      </c>
      <c r="O392" s="7" t="s">
        <v>4</v>
      </c>
      <c r="P392" s="149">
        <f t="shared" ca="1" si="11"/>
        <v>42972</v>
      </c>
      <c r="Q392" s="155">
        <f ca="1">_xll.meDateYearFraction(H392,I392,$Q$11,TRUE)</f>
        <v>0.26111111111111113</v>
      </c>
      <c r="R392" s="150">
        <f ca="1">IF(NOW(),_xll.meCurveForwardRatesFromYearFraction(P392,Q392,$Q$11,$Q$9,$Q$10))</f>
        <v>-3.7175485397107962E-3</v>
      </c>
      <c r="S392" s="134" t="s">
        <v>4</v>
      </c>
    </row>
    <row r="393" spans="1:19" x14ac:dyDescent="0.25">
      <c r="A393" s="128">
        <v>377</v>
      </c>
      <c r="B393" s="133"/>
      <c r="C393" s="149">
        <f ca="1">_xll.meDateFromTenor(C392,"1D","FOLLOWING",$D$11,"NORMAL")</f>
        <v>42976</v>
      </c>
      <c r="D393" s="20">
        <f ca="1">_xll.meDateFromTenor(C393,"1D","Following",$D$11,"Normal")</f>
        <v>42977</v>
      </c>
      <c r="E393" s="99">
        <f ca="1"/>
        <v>8.8619571356396733E-3</v>
      </c>
      <c r="F393" s="161">
        <f ca="1">_xll.meCurveForwardRates(C393,$D$9,$D$10)</f>
        <v>8.9012304852942314E-3</v>
      </c>
      <c r="G393" s="7" t="s">
        <v>4</v>
      </c>
      <c r="H393" s="149">
        <f t="shared" ca="1" si="10"/>
        <v>42976</v>
      </c>
      <c r="I393" s="20">
        <f ca="1">_xll.meDateFromTenor(H393,"3M","Following",$I$11,"Normal")</f>
        <v>43068</v>
      </c>
      <c r="J393" s="150">
        <f ca="1"/>
        <v>1.0864187763550434E-2</v>
      </c>
      <c r="K393" s="7" t="s">
        <v>4</v>
      </c>
      <c r="L393" s="149" t="e">
        <f ca="1">_xll.meDateFromTenor(L392,"1D","FOLLOWING",#REF!,"NORMAL")</f>
        <v>#VALUE!</v>
      </c>
      <c r="M393" s="155">
        <f ca="1">_xll.meDateYearFraction(C393,D393,$M$11)</f>
        <v>2.7777777777777779E-3</v>
      </c>
      <c r="N393" s="150">
        <f ca="1"/>
        <v>-2.4300000000065936E-3</v>
      </c>
      <c r="O393" s="7" t="s">
        <v>4</v>
      </c>
      <c r="P393" s="149">
        <f t="shared" ca="1" si="11"/>
        <v>42976</v>
      </c>
      <c r="Q393" s="155">
        <f ca="1">_xll.meDateYearFraction(H393,I393,$Q$11,TRUE)</f>
        <v>0.25555555555555554</v>
      </c>
      <c r="R393" s="150">
        <f ca="1">IF(NOW(),_xll.meCurveForwardRatesFromYearFraction(P393,Q393,$Q$11,$Q$9,$Q$10))</f>
        <v>-3.0679257973938666E-3</v>
      </c>
      <c r="S393" s="134" t="s">
        <v>4</v>
      </c>
    </row>
    <row r="394" spans="1:19" x14ac:dyDescent="0.25">
      <c r="A394" s="128">
        <v>378</v>
      </c>
      <c r="B394" s="133"/>
      <c r="C394" s="149">
        <f ca="1">_xll.meDateFromTenor(C393,"1D","FOLLOWING",$D$11,"NORMAL")</f>
        <v>42977</v>
      </c>
      <c r="D394" s="20">
        <f ca="1">_xll.meDateFromTenor(C394,"1D","Following",$D$11,"Normal")</f>
        <v>42978</v>
      </c>
      <c r="E394" s="99">
        <f ca="1"/>
        <v>8.8736243000742433E-3</v>
      </c>
      <c r="F394" s="161">
        <f ca="1">_xll.meCurveForwardRates(C394,$D$9,$D$10)</f>
        <v>8.9130012805671566E-3</v>
      </c>
      <c r="G394" s="7" t="s">
        <v>4</v>
      </c>
      <c r="H394" s="149">
        <f t="shared" ca="1" si="10"/>
        <v>42977</v>
      </c>
      <c r="I394" s="20">
        <f ca="1">_xll.meDateFromTenor(H394,"3M","Following",$I$11,"Normal")</f>
        <v>43069</v>
      </c>
      <c r="J394" s="150">
        <f ca="1"/>
        <v>1.0872102262067793E-2</v>
      </c>
      <c r="K394" s="7" t="s">
        <v>4</v>
      </c>
      <c r="L394" s="149" t="e">
        <f ca="1">_xll.meDateFromTenor(L393,"1D","FOLLOWING",#REF!,"NORMAL")</f>
        <v>#VALUE!</v>
      </c>
      <c r="M394" s="155">
        <f ca="1">_xll.meDateYearFraction(C394,D394,$M$11)</f>
        <v>2.7777777777777779E-3</v>
      </c>
      <c r="N394" s="150">
        <f ca="1"/>
        <v>-2.4300000000065936E-3</v>
      </c>
      <c r="O394" s="7" t="s">
        <v>4</v>
      </c>
      <c r="P394" s="149">
        <f t="shared" ca="1" si="11"/>
        <v>42977</v>
      </c>
      <c r="Q394" s="155">
        <f ca="1">_xll.meDateYearFraction(H394,I394,$Q$11,TRUE)</f>
        <v>0.25555555555555554</v>
      </c>
      <c r="R394" s="150">
        <f ca="1">IF(NOW(),_xll.meCurveForwardRatesFromYearFraction(P394,Q394,$Q$11,$Q$9,$Q$10))</f>
        <v>-3.7175485397107962E-3</v>
      </c>
      <c r="S394" s="134" t="s">
        <v>4</v>
      </c>
    </row>
    <row r="395" spans="1:19" x14ac:dyDescent="0.25">
      <c r="A395" s="128">
        <v>379</v>
      </c>
      <c r="B395" s="133"/>
      <c r="C395" s="149">
        <f ca="1">_xll.meDateFromTenor(C394,"1D","FOLLOWING",$D$11,"NORMAL")</f>
        <v>42978</v>
      </c>
      <c r="D395" s="20">
        <f ca="1">_xll.meDateFromTenor(C395,"1D","Following",$D$11,"Normal")</f>
        <v>42979</v>
      </c>
      <c r="E395" s="99">
        <f ca="1"/>
        <v>8.8852914647486216E-3</v>
      </c>
      <c r="F395" s="161">
        <f ca="1">_xll.meCurveForwardRates(C395,$D$9,$D$10)</f>
        <v>8.9247722130298968E-3</v>
      </c>
      <c r="G395" s="7" t="s">
        <v>4</v>
      </c>
      <c r="H395" s="149">
        <f t="shared" ca="1" si="10"/>
        <v>42978</v>
      </c>
      <c r="I395" s="20">
        <f ca="1">_xll.meDateFromTenor(H395,"3M","Following",$I$11,"Normal")</f>
        <v>43069</v>
      </c>
      <c r="J395" s="150">
        <f ca="1"/>
        <v>1.0880016760585151E-2</v>
      </c>
      <c r="K395" s="7" t="s">
        <v>4</v>
      </c>
      <c r="L395" s="149" t="e">
        <f ca="1">_xll.meDateFromTenor(L394,"1D","FOLLOWING",#REF!,"NORMAL")</f>
        <v>#VALUE!</v>
      </c>
      <c r="M395" s="155">
        <f ca="1">_xll.meDateYearFraction(C395,D395,$M$11)</f>
        <v>2.7777777777777779E-3</v>
      </c>
      <c r="N395" s="150">
        <f ca="1"/>
        <v>-2.4300000000065936E-3</v>
      </c>
      <c r="O395" s="7" t="s">
        <v>4</v>
      </c>
      <c r="P395" s="149">
        <f t="shared" ca="1" si="11"/>
        <v>42978</v>
      </c>
      <c r="Q395" s="155">
        <f ca="1">_xll.meDateYearFraction(H395,I395,$Q$11,TRUE)</f>
        <v>0.25277777777777777</v>
      </c>
      <c r="R395" s="150">
        <f ca="1">IF(NOW(),_xll.meCurveForwardRatesFromYearFraction(P395,Q395,$Q$11,$Q$9,$Q$10))</f>
        <v>-3.0663758228922761E-3</v>
      </c>
      <c r="S395" s="134" t="s">
        <v>4</v>
      </c>
    </row>
    <row r="396" spans="1:19" x14ac:dyDescent="0.25">
      <c r="A396" s="128">
        <v>380</v>
      </c>
      <c r="B396" s="133"/>
      <c r="C396" s="149">
        <f ca="1">_xll.meDateFromTenor(C395,"1D","FOLLOWING",$D$11,"NORMAL")</f>
        <v>42979</v>
      </c>
      <c r="D396" s="20">
        <f ca="1">_xll.meDateFromTenor(C396,"1D","Following",$D$11,"Normal")</f>
        <v>42983</v>
      </c>
      <c r="E396" s="99">
        <f ca="1"/>
        <v>8.9253515011767127E-3</v>
      </c>
      <c r="F396" s="161">
        <f ca="1">_xll.meCurveForwardRates(C396,$D$9,$D$10)</f>
        <v>8.9390692059416743E-3</v>
      </c>
      <c r="G396" s="7" t="s">
        <v>4</v>
      </c>
      <c r="H396" s="149">
        <f t="shared" ca="1" si="10"/>
        <v>42979</v>
      </c>
      <c r="I396" s="20">
        <f ca="1">_xll.meDateFromTenor(H396,"3M","Following",$I$11,"Normal")</f>
        <v>43070</v>
      </c>
      <c r="J396" s="150">
        <f ca="1"/>
        <v>1.088793125910251E-2</v>
      </c>
      <c r="K396" s="7" t="s">
        <v>4</v>
      </c>
      <c r="L396" s="149" t="e">
        <f ca="1">_xll.meDateFromTenor(L395,"1D","FOLLOWING",#REF!,"NORMAL")</f>
        <v>#VALUE!</v>
      </c>
      <c r="M396" s="155">
        <f ca="1">_xll.meDateYearFraction(C396,D396,$M$11)</f>
        <v>1.1111111111111112E-2</v>
      </c>
      <c r="N396" s="150">
        <f ca="1"/>
        <v>-2.4300000000065936E-3</v>
      </c>
      <c r="O396" s="7" t="s">
        <v>4</v>
      </c>
      <c r="P396" s="149">
        <f t="shared" ca="1" si="11"/>
        <v>42979</v>
      </c>
      <c r="Q396" s="155">
        <f ca="1">_xll.meDateYearFraction(H396,I396,$Q$11,TRUE)</f>
        <v>0.25277777777777777</v>
      </c>
      <c r="R396" s="150">
        <f ca="1">IF(NOW(),_xll.meCurveForwardRatesFromYearFraction(P396,Q396,$Q$11,$Q$9,$Q$10))</f>
        <v>-3.7175485397107962E-3</v>
      </c>
      <c r="S396" s="134" t="s">
        <v>4</v>
      </c>
    </row>
    <row r="397" spans="1:19" x14ac:dyDescent="0.25">
      <c r="A397" s="128">
        <v>381</v>
      </c>
      <c r="B397" s="133"/>
      <c r="C397" s="149">
        <f ca="1">_xll.meDateFromTenor(C396,"1D","FOLLOWING",$D$11,"NORMAL")</f>
        <v>42983</v>
      </c>
      <c r="D397" s="20">
        <f ca="1">_xll.meDateFromTenor(C397,"1D","Following",$D$11,"Normal")</f>
        <v>42984</v>
      </c>
      <c r="E397" s="99">
        <f ca="1"/>
        <v>8.9668541123444669E-3</v>
      </c>
      <c r="F397" s="161">
        <f ca="1">_xll.meCurveForwardRates(C397,$D$9,$D$10)</f>
        <v>9.0070641042048205E-3</v>
      </c>
      <c r="G397" s="7" t="s">
        <v>4</v>
      </c>
      <c r="H397" s="149">
        <f t="shared" ca="1" si="10"/>
        <v>42983</v>
      </c>
      <c r="I397" s="20">
        <f ca="1">_xll.meDateFromTenor(H397,"3M","Following",$I$11,"Normal")</f>
        <v>43074</v>
      </c>
      <c r="J397" s="150">
        <f ca="1"/>
        <v>1.0919589253171944E-2</v>
      </c>
      <c r="K397" s="7" t="s">
        <v>4</v>
      </c>
      <c r="L397" s="149" t="e">
        <f ca="1">_xll.meDateFromTenor(L396,"1D","FOLLOWING",#REF!,"NORMAL")</f>
        <v>#VALUE!</v>
      </c>
      <c r="M397" s="155">
        <f ca="1">_xll.meDateYearFraction(C397,D397,$M$11)</f>
        <v>2.7777777777777779E-3</v>
      </c>
      <c r="N397" s="150">
        <f ca="1"/>
        <v>-2.4300000000065936E-3</v>
      </c>
      <c r="O397" s="7" t="s">
        <v>4</v>
      </c>
      <c r="P397" s="149">
        <f t="shared" ca="1" si="11"/>
        <v>42983</v>
      </c>
      <c r="Q397" s="155">
        <f ca="1">_xll.meDateYearFraction(H397,I397,$Q$11,TRUE)</f>
        <v>0.25277777777777777</v>
      </c>
      <c r="R397" s="150">
        <f ca="1">IF(NOW(),_xll.meCurveForwardRatesFromYearFraction(P397,Q397,$Q$11,$Q$9,$Q$10))</f>
        <v>-3.0627461551630724E-3</v>
      </c>
      <c r="S397" s="134" t="s">
        <v>4</v>
      </c>
    </row>
    <row r="398" spans="1:19" x14ac:dyDescent="0.25">
      <c r="A398" s="128">
        <v>382</v>
      </c>
      <c r="B398" s="133"/>
      <c r="C398" s="149">
        <f ca="1">_xll.meDateFromTenor(C397,"1D","FOLLOWING",$D$11,"NORMAL")</f>
        <v>42984</v>
      </c>
      <c r="D398" s="20">
        <f ca="1">_xll.meDateFromTenor(C398,"1D","Following",$D$11,"Normal")</f>
        <v>42985</v>
      </c>
      <c r="E398" s="99">
        <f ca="1"/>
        <v>8.9831312196065084E-3</v>
      </c>
      <c r="F398" s="161">
        <f ca="1">_xll.meCurveForwardRates(C398,$D$9,$D$10)</f>
        <v>9.0234875446331131E-3</v>
      </c>
      <c r="G398" s="7" t="s">
        <v>4</v>
      </c>
      <c r="H398" s="149">
        <f t="shared" ca="1" si="10"/>
        <v>42984</v>
      </c>
      <c r="I398" s="20">
        <f ca="1">_xll.meDateFromTenor(H398,"3M","Following",$I$11,"Normal")</f>
        <v>43075</v>
      </c>
      <c r="J398" s="150">
        <f ca="1"/>
        <v>1.0927503751689303E-2</v>
      </c>
      <c r="K398" s="7" t="s">
        <v>4</v>
      </c>
      <c r="L398" s="149" t="e">
        <f ca="1">_xll.meDateFromTenor(L397,"1D","FOLLOWING",#REF!,"NORMAL")</f>
        <v>#VALUE!</v>
      </c>
      <c r="M398" s="155">
        <f ca="1">_xll.meDateYearFraction(C398,D398,$M$11)</f>
        <v>2.7777777777777779E-3</v>
      </c>
      <c r="N398" s="150">
        <f ca="1"/>
        <v>-2.4300000000065936E-3</v>
      </c>
      <c r="O398" s="7" t="s">
        <v>4</v>
      </c>
      <c r="P398" s="149">
        <f t="shared" ca="1" si="11"/>
        <v>42984</v>
      </c>
      <c r="Q398" s="155">
        <f ca="1">_xll.meDateYearFraction(H398,I398,$Q$11,TRUE)</f>
        <v>0.25277777777777777</v>
      </c>
      <c r="R398" s="150">
        <f ca="1">IF(NOW(),_xll.meCurveForwardRatesFromYearFraction(P398,Q398,$Q$11,$Q$9,$Q$10))</f>
        <v>-3.7175485397107962E-3</v>
      </c>
      <c r="S398" s="134" t="s">
        <v>4</v>
      </c>
    </row>
    <row r="399" spans="1:19" x14ac:dyDescent="0.25">
      <c r="A399" s="128">
        <v>383</v>
      </c>
      <c r="B399" s="133"/>
      <c r="C399" s="149">
        <f ca="1">_xll.meDateFromTenor(C398,"1D","FOLLOWING",$D$11,"NORMAL")</f>
        <v>42985</v>
      </c>
      <c r="D399" s="20">
        <f ca="1">_xll.meDateFromTenor(C399,"1D","Following",$D$11,"Normal")</f>
        <v>42986</v>
      </c>
      <c r="E399" s="99">
        <f ca="1"/>
        <v>8.9991799412381425E-3</v>
      </c>
      <c r="F399" s="161">
        <f ca="1">_xll.meCurveForwardRates(C399,$D$9,$D$10)</f>
        <v>9.0396808072108481E-3</v>
      </c>
      <c r="G399" s="7" t="s">
        <v>4</v>
      </c>
      <c r="H399" s="149">
        <f t="shared" ca="1" si="10"/>
        <v>42985</v>
      </c>
      <c r="I399" s="20">
        <f ca="1">_xll.meDateFromTenor(H399,"3M","Following",$I$11,"Normal")</f>
        <v>43076</v>
      </c>
      <c r="J399" s="150">
        <f ca="1"/>
        <v>1.093541825020666E-2</v>
      </c>
      <c r="K399" s="7" t="s">
        <v>4</v>
      </c>
      <c r="L399" s="149" t="e">
        <f ca="1">_xll.meDateFromTenor(L398,"1D","FOLLOWING",#REF!,"NORMAL")</f>
        <v>#VALUE!</v>
      </c>
      <c r="M399" s="155">
        <f ca="1">_xll.meDateYearFraction(C399,D399,$M$11)</f>
        <v>2.7777777777777779E-3</v>
      </c>
      <c r="N399" s="150">
        <f ca="1"/>
        <v>-2.4300000000065936E-3</v>
      </c>
      <c r="O399" s="7" t="s">
        <v>4</v>
      </c>
      <c r="P399" s="149">
        <f t="shared" ca="1" si="11"/>
        <v>42985</v>
      </c>
      <c r="Q399" s="155">
        <f ca="1">_xll.meDateYearFraction(H399,I399,$Q$11,TRUE)</f>
        <v>0.25277777777777777</v>
      </c>
      <c r="R399" s="150">
        <f ca="1">IF(NOW(),_xll.meCurveForwardRatesFromYearFraction(P399,Q399,$Q$11,$Q$9,$Q$10))</f>
        <v>-3.7175485397107962E-3</v>
      </c>
      <c r="S399" s="134" t="s">
        <v>4</v>
      </c>
    </row>
    <row r="400" spans="1:19" x14ac:dyDescent="0.25">
      <c r="A400" s="128">
        <v>384</v>
      </c>
      <c r="B400" s="133"/>
      <c r="C400" s="149">
        <f ca="1">_xll.meDateFromTenor(C399,"1D","FOLLOWING",$D$11,"NORMAL")</f>
        <v>42986</v>
      </c>
      <c r="D400" s="20">
        <f ca="1">_xll.meDateFromTenor(C400,"1D","Following",$D$11,"Normal")</f>
        <v>42989</v>
      </c>
      <c r="E400" s="99">
        <f ca="1"/>
        <v>9.0307425249314434E-3</v>
      </c>
      <c r="F400" s="161">
        <f ca="1">_xll.meCurveForwardRates(C400,$D$9,$D$10)</f>
        <v>9.0556438598272671E-3</v>
      </c>
      <c r="G400" s="7" t="s">
        <v>4</v>
      </c>
      <c r="H400" s="149">
        <f t="shared" ca="1" si="10"/>
        <v>42986</v>
      </c>
      <c r="I400" s="20">
        <f ca="1">_xll.meDateFromTenor(H400,"3M","Following",$I$11,"Normal")</f>
        <v>43077</v>
      </c>
      <c r="J400" s="150">
        <f ca="1"/>
        <v>1.0943332748724019E-2</v>
      </c>
      <c r="K400" s="7" t="s">
        <v>4</v>
      </c>
      <c r="L400" s="149" t="e">
        <f ca="1">_xll.meDateFromTenor(L399,"1D","FOLLOWING",#REF!,"NORMAL")</f>
        <v>#VALUE!</v>
      </c>
      <c r="M400" s="155">
        <f ca="1">_xll.meDateYearFraction(C400,D400,$M$11)</f>
        <v>8.3333333333333332E-3</v>
      </c>
      <c r="N400" s="150">
        <f ca="1"/>
        <v>-2.4300000000065936E-3</v>
      </c>
      <c r="O400" s="7" t="s">
        <v>4</v>
      </c>
      <c r="P400" s="149">
        <f t="shared" ca="1" si="11"/>
        <v>42986</v>
      </c>
      <c r="Q400" s="155">
        <f ca="1">_xll.meDateYearFraction(H400,I400,$Q$11,TRUE)</f>
        <v>0.25277777777777777</v>
      </c>
      <c r="R400" s="150">
        <f ca="1">IF(NOW(),_xll.meCurveForwardRatesFromYearFraction(P400,Q400,$Q$11,$Q$9,$Q$10))</f>
        <v>-3.7175485397107962E-3</v>
      </c>
      <c r="S400" s="134" t="s">
        <v>4</v>
      </c>
    </row>
    <row r="401" spans="1:19" x14ac:dyDescent="0.25">
      <c r="A401" s="128">
        <v>385</v>
      </c>
      <c r="B401" s="133"/>
      <c r="C401" s="149">
        <f ca="1">_xll.meDateFromTenor(C400,"1D","FOLLOWING",$D$11,"NORMAL")</f>
        <v>42989</v>
      </c>
      <c r="D401" s="20">
        <f ca="1">_xll.meDateFromTenor(C401,"1D","Following",$D$11,"Normal")</f>
        <v>42990</v>
      </c>
      <c r="E401" s="99">
        <f ca="1"/>
        <v>9.06109055427432E-3</v>
      </c>
      <c r="F401" s="161">
        <f ca="1">_xll.meCurveForwardRates(C401,$D$9,$D$10)</f>
        <v>9.1021514392100045E-3</v>
      </c>
      <c r="G401" s="7" t="s">
        <v>4</v>
      </c>
      <c r="H401" s="149">
        <f t="shared" ref="H401:H464" ca="1" si="12">$C401</f>
        <v>42989</v>
      </c>
      <c r="I401" s="20">
        <f ca="1">_xll.meDateFromTenor(H401,"3M","Following",$I$11,"Normal")</f>
        <v>43080</v>
      </c>
      <c r="J401" s="150">
        <f ca="1"/>
        <v>1.0967076244276095E-2</v>
      </c>
      <c r="K401" s="7" t="s">
        <v>4</v>
      </c>
      <c r="L401" s="149" t="e">
        <f ca="1">_xll.meDateFromTenor(L400,"1D","FOLLOWING",#REF!,"NORMAL")</f>
        <v>#VALUE!</v>
      </c>
      <c r="M401" s="155">
        <f ca="1">_xll.meDateYearFraction(C401,D401,$M$11)</f>
        <v>2.7777777777777779E-3</v>
      </c>
      <c r="N401" s="150">
        <f ca="1"/>
        <v>-2.4300000000065936E-3</v>
      </c>
      <c r="O401" s="7" t="s">
        <v>4</v>
      </c>
      <c r="P401" s="149">
        <f t="shared" ref="P401:P464" ca="1" si="13">$C401</f>
        <v>42989</v>
      </c>
      <c r="Q401" s="155">
        <f ca="1">_xll.meDateYearFraction(H401,I401,$Q$11,TRUE)</f>
        <v>0.25277777777777777</v>
      </c>
      <c r="R401" s="150">
        <f ca="1">IF(NOW(),_xll.meCurveForwardRatesFromYearFraction(P401,Q401,$Q$11,$Q$9,$Q$10))</f>
        <v>-3.0588268393953572E-3</v>
      </c>
      <c r="S401" s="134" t="s">
        <v>4</v>
      </c>
    </row>
    <row r="402" spans="1:19" x14ac:dyDescent="0.25">
      <c r="A402" s="128">
        <v>386</v>
      </c>
      <c r="B402" s="133"/>
      <c r="C402" s="149">
        <f ca="1">_xll.meDateFromTenor(C401,"1D","FOLLOWING",$D$11,"NORMAL")</f>
        <v>42990</v>
      </c>
      <c r="D402" s="20">
        <f ca="1">_xll.meDateFromTenor(C402,"1D","Following",$D$11,"Normal")</f>
        <v>42991</v>
      </c>
      <c r="E402" s="99">
        <f ca="1"/>
        <v>9.0759970342446979E-3</v>
      </c>
      <c r="F402" s="161">
        <f ca="1">_xll.meCurveForwardRates(C402,$D$9,$D$10)</f>
        <v>9.1171933334177613E-3</v>
      </c>
      <c r="G402" s="7" t="s">
        <v>4</v>
      </c>
      <c r="H402" s="149">
        <f t="shared" ca="1" si="12"/>
        <v>42990</v>
      </c>
      <c r="I402" s="20">
        <f ca="1">_xll.meDateFromTenor(H402,"3M","Following",$I$11,"Normal")</f>
        <v>43081</v>
      </c>
      <c r="J402" s="150">
        <f ca="1"/>
        <v>1.0974990742793452E-2</v>
      </c>
      <c r="K402" s="7" t="s">
        <v>4</v>
      </c>
      <c r="L402" s="149" t="e">
        <f ca="1">_xll.meDateFromTenor(L401,"1D","FOLLOWING",#REF!,"NORMAL")</f>
        <v>#VALUE!</v>
      </c>
      <c r="M402" s="155">
        <f ca="1">_xll.meDateYearFraction(C402,D402,$M$11)</f>
        <v>2.7777777777777779E-3</v>
      </c>
      <c r="N402" s="150">
        <f ca="1"/>
        <v>-2.4300000000065936E-3</v>
      </c>
      <c r="O402" s="7" t="s">
        <v>4</v>
      </c>
      <c r="P402" s="149">
        <f t="shared" ca="1" si="13"/>
        <v>42990</v>
      </c>
      <c r="Q402" s="155">
        <f ca="1">_xll.meDateYearFraction(H402,I402,$Q$11,TRUE)</f>
        <v>0.25277777777777777</v>
      </c>
      <c r="R402" s="150">
        <f ca="1">IF(NOW(),_xll.meCurveForwardRatesFromYearFraction(P402,Q402,$Q$11,$Q$9,$Q$10))</f>
        <v>-3.7175485397107962E-3</v>
      </c>
      <c r="S402" s="134" t="s">
        <v>4</v>
      </c>
    </row>
    <row r="403" spans="1:19" x14ac:dyDescent="0.25">
      <c r="A403" s="128">
        <v>387</v>
      </c>
      <c r="B403" s="133"/>
      <c r="C403" s="149">
        <f ca="1">_xll.meDateFromTenor(C402,"1D","FOLLOWING",$D$11,"NORMAL")</f>
        <v>42991</v>
      </c>
      <c r="D403" s="20">
        <f ca="1">_xll.meDateFromTenor(C403,"1D","Following",$D$11,"Normal")</f>
        <v>42992</v>
      </c>
      <c r="E403" s="99">
        <f ca="1"/>
        <v>9.0906750024455692E-3</v>
      </c>
      <c r="F403" s="161">
        <f ca="1">_xll.meCurveForwardRates(C403,$D$9,$D$10)</f>
        <v>9.132004858476872E-3</v>
      </c>
      <c r="G403" s="7" t="s">
        <v>4</v>
      </c>
      <c r="H403" s="149">
        <f t="shared" ca="1" si="12"/>
        <v>42991</v>
      </c>
      <c r="I403" s="20">
        <f ca="1">_xll.meDateFromTenor(H403,"3M","Following",$I$11,"Normal")</f>
        <v>43082</v>
      </c>
      <c r="J403" s="150">
        <f ca="1"/>
        <v>1.0982905241310811E-2</v>
      </c>
      <c r="K403" s="7" t="s">
        <v>4</v>
      </c>
      <c r="L403" s="149" t="e">
        <f ca="1">_xll.meDateFromTenor(L402,"1D","FOLLOWING",#REF!,"NORMAL")</f>
        <v>#VALUE!</v>
      </c>
      <c r="M403" s="155">
        <f ca="1">_xll.meDateYearFraction(C403,D403,$M$11)</f>
        <v>2.7777777777777779E-3</v>
      </c>
      <c r="N403" s="150">
        <f ca="1"/>
        <v>-2.4300000000065936E-3</v>
      </c>
      <c r="O403" s="7" t="s">
        <v>4</v>
      </c>
      <c r="P403" s="149">
        <f t="shared" ca="1" si="13"/>
        <v>42991</v>
      </c>
      <c r="Q403" s="155">
        <f ca="1">_xll.meDateYearFraction(H403,I403,$Q$11,TRUE)</f>
        <v>0.25277777777777777</v>
      </c>
      <c r="R403" s="150">
        <f ca="1">IF(NOW(),_xll.meCurveForwardRatesFromYearFraction(P403,Q403,$Q$11,$Q$9,$Q$10))</f>
        <v>-3.7175485397107962E-3</v>
      </c>
      <c r="S403" s="134" t="s">
        <v>4</v>
      </c>
    </row>
    <row r="404" spans="1:19" x14ac:dyDescent="0.25">
      <c r="A404" s="128">
        <v>388</v>
      </c>
      <c r="B404" s="133"/>
      <c r="C404" s="149">
        <f ca="1">_xll.meDateFromTenor(C403,"1D","FOLLOWING",$D$11,"NORMAL")</f>
        <v>42992</v>
      </c>
      <c r="D404" s="20">
        <f ca="1">_xll.meDateFromTenor(C404,"1D","Following",$D$11,"Normal")</f>
        <v>42993</v>
      </c>
      <c r="E404" s="99">
        <f ca="1"/>
        <v>9.1051244376132139E-3</v>
      </c>
      <c r="F404" s="161">
        <f ca="1">_xll.meCurveForwardRates(C404,$D$9,$D$10)</f>
        <v>9.1465859828074869E-3</v>
      </c>
      <c r="G404" s="7" t="s">
        <v>4</v>
      </c>
      <c r="H404" s="149">
        <f t="shared" ca="1" si="12"/>
        <v>42992</v>
      </c>
      <c r="I404" s="20">
        <f ca="1">_xll.meDateFromTenor(H404,"3M","Following",$I$11,"Normal")</f>
        <v>43083</v>
      </c>
      <c r="J404" s="150">
        <f ca="1"/>
        <v>1.099081973982817E-2</v>
      </c>
      <c r="K404" s="7" t="s">
        <v>4</v>
      </c>
      <c r="L404" s="149" t="e">
        <f ca="1">_xll.meDateFromTenor(L403,"1D","FOLLOWING",#REF!,"NORMAL")</f>
        <v>#VALUE!</v>
      </c>
      <c r="M404" s="155">
        <f ca="1">_xll.meDateYearFraction(C404,D404,$M$11)</f>
        <v>2.7777777777777779E-3</v>
      </c>
      <c r="N404" s="150">
        <f ca="1"/>
        <v>-2.4300000000065936E-3</v>
      </c>
      <c r="O404" s="7" t="s">
        <v>4</v>
      </c>
      <c r="P404" s="149">
        <f t="shared" ca="1" si="13"/>
        <v>42992</v>
      </c>
      <c r="Q404" s="155">
        <f ca="1">_xll.meDateYearFraction(H404,I404,$Q$11,TRUE)</f>
        <v>0.25277777777777777</v>
      </c>
      <c r="R404" s="150">
        <f ca="1">IF(NOW(),_xll.meCurveForwardRatesFromYearFraction(P404,Q404,$Q$11,$Q$9,$Q$10))</f>
        <v>-3.0570341101016918E-3</v>
      </c>
      <c r="S404" s="134" t="s">
        <v>4</v>
      </c>
    </row>
    <row r="405" spans="1:19" x14ac:dyDescent="0.25">
      <c r="A405" s="128">
        <v>389</v>
      </c>
      <c r="B405" s="133"/>
      <c r="C405" s="149">
        <f ca="1">_xll.meDateFromTenor(C404,"1D","FOLLOWING",$D$11,"NORMAL")</f>
        <v>42993</v>
      </c>
      <c r="D405" s="20">
        <f ca="1">_xll.meDateFromTenor(C405,"1D","Following",$D$11,"Normal")</f>
        <v>42996</v>
      </c>
      <c r="E405" s="99">
        <f ca="1"/>
        <v>9.1334931376963243E-3</v>
      </c>
      <c r="F405" s="161">
        <f ca="1">_xll.meCurveForwardRates(C405,$D$9,$D$10)</f>
        <v>9.160936674585729E-3</v>
      </c>
      <c r="G405" s="7" t="s">
        <v>4</v>
      </c>
      <c r="H405" s="149">
        <f t="shared" ca="1" si="12"/>
        <v>42993</v>
      </c>
      <c r="I405" s="20">
        <f ca="1">_xll.meDateFromTenor(H405,"3M","Following",$I$11,"Normal")</f>
        <v>43084</v>
      </c>
      <c r="J405" s="150">
        <f ca="1"/>
        <v>1.0998734238345529E-2</v>
      </c>
      <c r="K405" s="7" t="s">
        <v>4</v>
      </c>
      <c r="L405" s="149" t="e">
        <f ca="1">_xll.meDateFromTenor(L404,"1D","FOLLOWING",#REF!,"NORMAL")</f>
        <v>#VALUE!</v>
      </c>
      <c r="M405" s="155">
        <f ca="1">_xll.meDateYearFraction(C405,D405,$M$11)</f>
        <v>8.3333333333333332E-3</v>
      </c>
      <c r="N405" s="150">
        <f ca="1"/>
        <v>-2.4300000000065936E-3</v>
      </c>
      <c r="O405" s="7" t="s">
        <v>4</v>
      </c>
      <c r="P405" s="149">
        <f t="shared" ca="1" si="13"/>
        <v>42993</v>
      </c>
      <c r="Q405" s="155">
        <f ca="1">_xll.meDateYearFraction(H405,I405,$Q$11,TRUE)</f>
        <v>0.25277777777777777</v>
      </c>
      <c r="R405" s="150">
        <f ca="1">IF(NOW(),_xll.meCurveForwardRatesFromYearFraction(P405,Q405,$Q$11,$Q$9,$Q$10))</f>
        <v>-3.0564600414145593E-3</v>
      </c>
      <c r="S405" s="134" t="s">
        <v>4</v>
      </c>
    </row>
    <row r="406" spans="1:19" x14ac:dyDescent="0.25">
      <c r="A406" s="128">
        <v>390</v>
      </c>
      <c r="B406" s="133"/>
      <c r="C406" s="149">
        <f ca="1">_xll.meDateFromTenor(C405,"1D","FOLLOWING",$D$11,"NORMAL")</f>
        <v>42996</v>
      </c>
      <c r="D406" s="20">
        <f ca="1">_xll.meDateFromTenor(C406,"1D","Following",$D$11,"Normal")</f>
        <v>42997</v>
      </c>
      <c r="E406" s="99">
        <f ca="1"/>
        <v>9.1606364171071038E-3</v>
      </c>
      <c r="F406" s="161">
        <f ca="1">_xll.meCurveForwardRates(C406,$D$9,$D$10)</f>
        <v>9.2026058410932254E-3</v>
      </c>
      <c r="G406" s="7" t="s">
        <v>4</v>
      </c>
      <c r="H406" s="149">
        <f t="shared" ca="1" si="12"/>
        <v>42996</v>
      </c>
      <c r="I406" s="20">
        <f ca="1">_xll.meDateFromTenor(H406,"3M","Following",$I$11,"Normal")</f>
        <v>43087</v>
      </c>
      <c r="J406" s="150">
        <f ca="1"/>
        <v>1.1022477733897603E-2</v>
      </c>
      <c r="K406" s="7" t="s">
        <v>4</v>
      </c>
      <c r="L406" s="149" t="e">
        <f ca="1">_xll.meDateFromTenor(L405,"1D","FOLLOWING",#REF!,"NORMAL")</f>
        <v>#VALUE!</v>
      </c>
      <c r="M406" s="155">
        <f ca="1">_xll.meDateYearFraction(C406,D406,$M$11)</f>
        <v>2.7777777777777779E-3</v>
      </c>
      <c r="N406" s="150">
        <f ca="1"/>
        <v>-2.4300000000065936E-3</v>
      </c>
      <c r="O406" s="7" t="s">
        <v>4</v>
      </c>
      <c r="P406" s="149">
        <f t="shared" ca="1" si="13"/>
        <v>42996</v>
      </c>
      <c r="Q406" s="155">
        <f ca="1">_xll.meDateYearFraction(H406,I406,$Q$11,TRUE)</f>
        <v>0.25277777777777777</v>
      </c>
      <c r="R406" s="150">
        <f ca="1">IF(NOW(),_xll.meCurveForwardRatesFromYearFraction(P406,Q406,$Q$11,$Q$9,$Q$10))</f>
        <v>-3.7175485397107962E-3</v>
      </c>
      <c r="S406" s="134" t="s">
        <v>4</v>
      </c>
    </row>
    <row r="407" spans="1:19" x14ac:dyDescent="0.25">
      <c r="A407" s="128">
        <v>391</v>
      </c>
      <c r="B407" s="133"/>
      <c r="C407" s="149">
        <f ca="1">_xll.meDateFromTenor(C406,"1D","FOLLOWING",$D$11,"NORMAL")</f>
        <v>42997</v>
      </c>
      <c r="D407" s="20">
        <f ca="1">_xll.meDateFromTenor(C407,"1D","Following",$D$11,"Normal")</f>
        <v>42998</v>
      </c>
      <c r="E407" s="99">
        <f ca="1"/>
        <v>9.173942863371953E-3</v>
      </c>
      <c r="F407" s="161">
        <f ca="1">_xll.meCurveForwardRates(C407,$D$9,$D$10)</f>
        <v>9.216034488725322E-3</v>
      </c>
      <c r="G407" s="7" t="s">
        <v>4</v>
      </c>
      <c r="H407" s="149">
        <f t="shared" ca="1" si="12"/>
        <v>42997</v>
      </c>
      <c r="I407" s="20">
        <f ca="1">_xll.meDateFromTenor(H407,"3M","Following",$I$11,"Normal")</f>
        <v>43088</v>
      </c>
      <c r="J407" s="150">
        <f ca="1"/>
        <v>1.1030392232414962E-2</v>
      </c>
      <c r="K407" s="7" t="s">
        <v>4</v>
      </c>
      <c r="L407" s="149" t="e">
        <f ca="1">_xll.meDateFromTenor(L406,"1D","FOLLOWING",#REF!,"NORMAL")</f>
        <v>#VALUE!</v>
      </c>
      <c r="M407" s="155">
        <f ca="1">_xll.meDateYearFraction(C407,D407,$M$11)</f>
        <v>2.7777777777777779E-3</v>
      </c>
      <c r="N407" s="150">
        <f ca="1"/>
        <v>-2.4300000000065936E-3</v>
      </c>
      <c r="O407" s="7" t="s">
        <v>4</v>
      </c>
      <c r="P407" s="149">
        <f t="shared" ca="1" si="13"/>
        <v>42997</v>
      </c>
      <c r="Q407" s="155">
        <f ca="1">_xll.meDateYearFraction(H407,I407,$Q$11,TRUE)</f>
        <v>0.25277777777777777</v>
      </c>
      <c r="R407" s="150">
        <f ca="1">IF(NOW(),_xll.meCurveForwardRatesFromYearFraction(P407,Q407,$Q$11,$Q$9,$Q$10))</f>
        <v>-3.7175485397107962E-3</v>
      </c>
      <c r="S407" s="134" t="s">
        <v>4</v>
      </c>
    </row>
    <row r="408" spans="1:19" x14ac:dyDescent="0.25">
      <c r="A408" s="128">
        <v>392</v>
      </c>
      <c r="B408" s="133"/>
      <c r="C408" s="149">
        <f ca="1">_xll.meDateFromTenor(C407,"1D","FOLLOWING",$D$11,"NORMAL")</f>
        <v>42998</v>
      </c>
      <c r="D408" s="20">
        <f ca="1">_xll.meDateFromTenor(C408,"1D","Following",$D$11,"Normal")</f>
        <v>42999</v>
      </c>
      <c r="E408" s="99">
        <f ca="1"/>
        <v>9.1870206466282741E-3</v>
      </c>
      <c r="F408" s="161">
        <f ca="1">_xll.meCurveForwardRates(C408,$D$9,$D$10)</f>
        <v>9.2292325470155756E-3</v>
      </c>
      <c r="G408" s="7" t="s">
        <v>4</v>
      </c>
      <c r="H408" s="149">
        <f t="shared" ca="1" si="12"/>
        <v>42998</v>
      </c>
      <c r="I408" s="20">
        <f ca="1">_xll.meDateFromTenor(H408,"3M","Following",$I$11,"Normal")</f>
        <v>43089</v>
      </c>
      <c r="J408" s="150">
        <f ca="1"/>
        <v>1.1038306730932321E-2</v>
      </c>
      <c r="K408" s="7" t="s">
        <v>4</v>
      </c>
      <c r="L408" s="149" t="e">
        <f ca="1">_xll.meDateFromTenor(L407,"1D","FOLLOWING",#REF!,"NORMAL")</f>
        <v>#VALUE!</v>
      </c>
      <c r="M408" s="155">
        <f ca="1">_xll.meDateYearFraction(C408,D408,$M$11)</f>
        <v>2.7777777777777779E-3</v>
      </c>
      <c r="N408" s="150">
        <f ca="1"/>
        <v>-2.4300000000065936E-3</v>
      </c>
      <c r="O408" s="7" t="s">
        <v>4</v>
      </c>
      <c r="P408" s="149">
        <f t="shared" ca="1" si="13"/>
        <v>42998</v>
      </c>
      <c r="Q408" s="155">
        <f ca="1">_xll.meDateYearFraction(H408,I408,$Q$11,TRUE)</f>
        <v>0.25277777777777777</v>
      </c>
      <c r="R408" s="150">
        <f ca="1">IF(NOW(),_xll.meCurveForwardRatesFromYearFraction(P408,Q408,$Q$11,$Q$9,$Q$10))</f>
        <v>-3.7175485397107962E-3</v>
      </c>
      <c r="S408" s="134" t="s">
        <v>4</v>
      </c>
    </row>
    <row r="409" spans="1:19" x14ac:dyDescent="0.25">
      <c r="A409" s="128">
        <v>393</v>
      </c>
      <c r="B409" s="133"/>
      <c r="C409" s="149">
        <f ca="1">_xll.meDateFromTenor(C408,"1D","FOLLOWING",$D$11,"NORMAL")</f>
        <v>42999</v>
      </c>
      <c r="D409" s="20">
        <f ca="1">_xll.meDateFromTenor(C409,"1D","Following",$D$11,"Normal")</f>
        <v>43000</v>
      </c>
      <c r="E409" s="99">
        <f ca="1"/>
        <v>9.1998697447337793E-3</v>
      </c>
      <c r="F409" s="161">
        <f ca="1">_xll.meCurveForwardRates(C409,$D$9,$D$10)</f>
        <v>9.2421999845913039E-3</v>
      </c>
      <c r="G409" s="7" t="s">
        <v>4</v>
      </c>
      <c r="H409" s="149">
        <f t="shared" ca="1" si="12"/>
        <v>42999</v>
      </c>
      <c r="I409" s="20">
        <f ca="1">_xll.meDateFromTenor(H409,"3M","Following",$I$11,"Normal")</f>
        <v>43090</v>
      </c>
      <c r="J409" s="150">
        <f ca="1"/>
        <v>1.1046173916827441E-2</v>
      </c>
      <c r="K409" s="7" t="s">
        <v>4</v>
      </c>
      <c r="L409" s="149" t="e">
        <f ca="1">_xll.meDateFromTenor(L408,"1D","FOLLOWING",#REF!,"NORMAL")</f>
        <v>#VALUE!</v>
      </c>
      <c r="M409" s="155">
        <f ca="1">_xll.meDateYearFraction(C409,D409,$M$11)</f>
        <v>2.7777777777777779E-3</v>
      </c>
      <c r="N409" s="150">
        <f ca="1"/>
        <v>-2.4300000000065936E-3</v>
      </c>
      <c r="O409" s="7" t="s">
        <v>4</v>
      </c>
      <c r="P409" s="149">
        <f t="shared" ca="1" si="13"/>
        <v>42999</v>
      </c>
      <c r="Q409" s="155">
        <f ca="1">_xll.meDateYearFraction(H409,I409,$Q$11,TRUE)</f>
        <v>0.25277777777777777</v>
      </c>
      <c r="R409" s="150">
        <f ca="1">IF(NOW(),_xll.meCurveForwardRatesFromYearFraction(P409,Q409,$Q$11,$Q$9,$Q$10))</f>
        <v>-3.0532496252217872E-3</v>
      </c>
      <c r="S409" s="134" t="s">
        <v>4</v>
      </c>
    </row>
    <row r="410" spans="1:19" x14ac:dyDescent="0.25">
      <c r="A410" s="128">
        <v>394</v>
      </c>
      <c r="B410" s="133"/>
      <c r="C410" s="149">
        <f ca="1">_xll.meDateFromTenor(C409,"1D","FOLLOWING",$D$11,"NORMAL")</f>
        <v>43000</v>
      </c>
      <c r="D410" s="20">
        <f ca="1">_xll.meDateFromTenor(C410,"1D","Following",$D$11,"Normal")</f>
        <v>43003</v>
      </c>
      <c r="E410" s="99">
        <f ca="1"/>
        <v>9.2250419295237026E-3</v>
      </c>
      <c r="F410" s="161">
        <f ca="1">_xll.meCurveForwardRates(C410,$D$9,$D$10)</f>
        <v>9.2549367704786167E-3</v>
      </c>
      <c r="G410" s="7" t="s">
        <v>4</v>
      </c>
      <c r="H410" s="149">
        <f t="shared" ca="1" si="12"/>
        <v>43000</v>
      </c>
      <c r="I410" s="20">
        <f ca="1">_xll.meDateFromTenor(H410,"3M","Following",$I$11,"Normal")</f>
        <v>43091</v>
      </c>
      <c r="J410" s="150">
        <f ca="1"/>
        <v>1.1054041102722564E-2</v>
      </c>
      <c r="K410" s="7" t="s">
        <v>4</v>
      </c>
      <c r="L410" s="149" t="e">
        <f ca="1">_xll.meDateFromTenor(L409,"1D","FOLLOWING",#REF!,"NORMAL")</f>
        <v>#VALUE!</v>
      </c>
      <c r="M410" s="155">
        <f ca="1">_xll.meDateYearFraction(C410,D410,$M$11)</f>
        <v>8.3333333333333332E-3</v>
      </c>
      <c r="N410" s="150">
        <f ca="1"/>
        <v>-2.4300000000065936E-3</v>
      </c>
      <c r="O410" s="7" t="s">
        <v>4</v>
      </c>
      <c r="P410" s="149">
        <f t="shared" ca="1" si="13"/>
        <v>43000</v>
      </c>
      <c r="Q410" s="155">
        <f ca="1">_xll.meDateYearFraction(H410,I410,$Q$11,TRUE)</f>
        <v>0.25277777777777777</v>
      </c>
      <c r="R410" s="150">
        <f ca="1">IF(NOW(),_xll.meCurveForwardRatesFromYearFraction(P410,Q410,$Q$11,$Q$9,$Q$10))</f>
        <v>-3.7175485397107962E-3</v>
      </c>
      <c r="S410" s="134" t="s">
        <v>4</v>
      </c>
    </row>
    <row r="411" spans="1:19" x14ac:dyDescent="0.25">
      <c r="A411" s="128">
        <v>395</v>
      </c>
      <c r="B411" s="133"/>
      <c r="C411" s="149">
        <f ca="1">_xll.meDateFromTenor(C410,"1D","FOLLOWING",$D$11,"NORMAL")</f>
        <v>43003</v>
      </c>
      <c r="D411" s="20">
        <f ca="1">_xll.meDateFromTenor(C411,"1D","Following",$D$11,"Normal")</f>
        <v>43004</v>
      </c>
      <c r="E411" s="99">
        <f ca="1"/>
        <v>9.2489788441607931E-3</v>
      </c>
      <c r="F411" s="161">
        <f ca="1">_xll.meCurveForwardRates(C411,$D$9,$D$10)</f>
        <v>9.2917629071509467E-3</v>
      </c>
      <c r="G411" s="7" t="s">
        <v>4</v>
      </c>
      <c r="H411" s="149">
        <f t="shared" ca="1" si="12"/>
        <v>43003</v>
      </c>
      <c r="I411" s="20">
        <f ca="1">_xll.meDateFromTenor(H411,"3M","Following",$I$11,"Normal")</f>
        <v>43096</v>
      </c>
      <c r="J411" s="150">
        <f ca="1"/>
        <v>1.1077642660407928E-2</v>
      </c>
      <c r="K411" s="7" t="s">
        <v>4</v>
      </c>
      <c r="L411" s="149" t="e">
        <f ca="1">_xll.meDateFromTenor(L410,"1D","FOLLOWING",#REF!,"NORMAL")</f>
        <v>#VALUE!</v>
      </c>
      <c r="M411" s="155">
        <f ca="1">_xll.meDateYearFraction(C411,D411,$M$11)</f>
        <v>2.7777777777777779E-3</v>
      </c>
      <c r="N411" s="150">
        <f ca="1"/>
        <v>-2.4300000000065936E-3</v>
      </c>
      <c r="O411" s="7" t="s">
        <v>4</v>
      </c>
      <c r="P411" s="149">
        <f t="shared" ca="1" si="13"/>
        <v>43003</v>
      </c>
      <c r="Q411" s="155">
        <f ca="1">_xll.meDateYearFraction(H411,I411,$Q$11,TRUE)</f>
        <v>0.25833333333333336</v>
      </c>
      <c r="R411" s="150">
        <f ca="1">IF(NOW(),_xll.meCurveForwardRatesFromYearFraction(P411,Q411,$Q$11,$Q$9,$Q$10))</f>
        <v>-3.0513187544350005E-3</v>
      </c>
      <c r="S411" s="134" t="s">
        <v>4</v>
      </c>
    </row>
    <row r="412" spans="1:19" x14ac:dyDescent="0.25">
      <c r="A412" s="128">
        <v>396</v>
      </c>
      <c r="B412" s="133"/>
      <c r="C412" s="149">
        <f ca="1">_xll.meDateFromTenor(C411,"1D","FOLLOWING",$D$11,"NORMAL")</f>
        <v>43004</v>
      </c>
      <c r="D412" s="20">
        <f ca="1">_xll.meDateFromTenor(C412,"1D","Following",$D$11,"Normal")</f>
        <v>43005</v>
      </c>
      <c r="E412" s="99">
        <f ca="1"/>
        <v>9.2606841844578344E-3</v>
      </c>
      <c r="F412" s="161">
        <f ca="1">_xll.meCurveForwardRates(C412,$D$9,$D$10)</f>
        <v>9.3035767761278088E-3</v>
      </c>
      <c r="G412" s="7" t="s">
        <v>4</v>
      </c>
      <c r="H412" s="149">
        <f t="shared" ca="1" si="12"/>
        <v>43004</v>
      </c>
      <c r="I412" s="20">
        <f ca="1">_xll.meDateFromTenor(H412,"3M","Following",$I$11,"Normal")</f>
        <v>43096</v>
      </c>
      <c r="J412" s="150">
        <f ca="1"/>
        <v>1.1085509846303051E-2</v>
      </c>
      <c r="K412" s="7" t="s">
        <v>4</v>
      </c>
      <c r="L412" s="149" t="e">
        <f ca="1">_xll.meDateFromTenor(L411,"1D","FOLLOWING",#REF!,"NORMAL")</f>
        <v>#VALUE!</v>
      </c>
      <c r="M412" s="155">
        <f ca="1">_xll.meDateYearFraction(C412,D412,$M$11)</f>
        <v>2.7777777777777779E-3</v>
      </c>
      <c r="N412" s="150">
        <f ca="1"/>
        <v>-2.4300000000065936E-3</v>
      </c>
      <c r="O412" s="7" t="s">
        <v>4</v>
      </c>
      <c r="P412" s="149">
        <f t="shared" ca="1" si="13"/>
        <v>43004</v>
      </c>
      <c r="Q412" s="155">
        <f ca="1">_xll.meDateYearFraction(H412,I412,$Q$11,TRUE)</f>
        <v>0.25555555555555554</v>
      </c>
      <c r="R412" s="150">
        <f ca="1">IF(NOW(),_xll.meCurveForwardRatesFromYearFraction(P412,Q412,$Q$11,$Q$9,$Q$10))</f>
        <v>-3.7175485397107962E-3</v>
      </c>
      <c r="S412" s="134" t="s">
        <v>4</v>
      </c>
    </row>
    <row r="413" spans="1:19" x14ac:dyDescent="0.25">
      <c r="A413" s="128">
        <v>397</v>
      </c>
      <c r="B413" s="133"/>
      <c r="C413" s="149">
        <f ca="1">_xll.meDateFromTenor(C412,"1D","FOLLOWING",$D$11,"NORMAL")</f>
        <v>43005</v>
      </c>
      <c r="D413" s="20">
        <f ca="1">_xll.meDateFromTenor(C413,"1D","Following",$D$11,"Normal")</f>
        <v>43006</v>
      </c>
      <c r="E413" s="99">
        <f ca="1"/>
        <v>9.2721607060309071E-3</v>
      </c>
      <c r="F413" s="161">
        <f ca="1">_xll.meCurveForwardRates(C413,$D$9,$D$10)</f>
        <v>9.3151598387182233E-3</v>
      </c>
      <c r="G413" s="7" t="s">
        <v>4</v>
      </c>
      <c r="H413" s="149">
        <f t="shared" ca="1" si="12"/>
        <v>43005</v>
      </c>
      <c r="I413" s="20">
        <f ca="1">_xll.meDateFromTenor(H413,"3M","Following",$I$11,"Normal")</f>
        <v>43096</v>
      </c>
      <c r="J413" s="150">
        <f ca="1"/>
        <v>1.1093377032198171E-2</v>
      </c>
      <c r="K413" s="7" t="s">
        <v>4</v>
      </c>
      <c r="L413" s="149" t="e">
        <f ca="1">_xll.meDateFromTenor(L412,"1D","FOLLOWING",#REF!,"NORMAL")</f>
        <v>#VALUE!</v>
      </c>
      <c r="M413" s="155">
        <f ca="1">_xll.meDateYearFraction(C413,D413,$M$11)</f>
        <v>2.7777777777777779E-3</v>
      </c>
      <c r="N413" s="150">
        <f ca="1"/>
        <v>-2.4300000000065936E-3</v>
      </c>
      <c r="O413" s="7" t="s">
        <v>4</v>
      </c>
      <c r="P413" s="149">
        <f t="shared" ca="1" si="13"/>
        <v>43005</v>
      </c>
      <c r="Q413" s="155">
        <f ca="1">_xll.meDateYearFraction(H413,I413,$Q$11,TRUE)</f>
        <v>0.25277777777777777</v>
      </c>
      <c r="R413" s="150">
        <f ca="1">IF(NOW(),_xll.meCurveForwardRatesFromYearFraction(P413,Q413,$Q$11,$Q$9,$Q$10))</f>
        <v>-3.0504117403414113E-3</v>
      </c>
      <c r="S413" s="134" t="s">
        <v>4</v>
      </c>
    </row>
    <row r="414" spans="1:19" x14ac:dyDescent="0.25">
      <c r="A414" s="128">
        <v>398</v>
      </c>
      <c r="B414" s="133"/>
      <c r="C414" s="149">
        <f ca="1">_xll.meDateFromTenor(C413,"1D","FOLLOWING",$D$11,"NORMAL")</f>
        <v>43006</v>
      </c>
      <c r="D414" s="20">
        <f ca="1">_xll.meDateFromTenor(C414,"1D","Following",$D$11,"Normal")</f>
        <v>43007</v>
      </c>
      <c r="E414" s="99">
        <f ca="1"/>
        <v>9.2834083866577873E-3</v>
      </c>
      <c r="F414" s="161">
        <f ca="1">_xll.meCurveForwardRates(C414,$D$9,$D$10)</f>
        <v>9.3265120645658062E-3</v>
      </c>
      <c r="G414" s="7" t="s">
        <v>4</v>
      </c>
      <c r="H414" s="149">
        <f t="shared" ca="1" si="12"/>
        <v>43006</v>
      </c>
      <c r="I414" s="20">
        <f ca="1">_xll.meDateFromTenor(H414,"3M","Following",$I$11,"Normal")</f>
        <v>43097</v>
      </c>
      <c r="J414" s="150">
        <f ca="1"/>
        <v>1.1101244218093293E-2</v>
      </c>
      <c r="K414" s="7" t="s">
        <v>4</v>
      </c>
      <c r="L414" s="149" t="e">
        <f ca="1">_xll.meDateFromTenor(L413,"1D","FOLLOWING",#REF!,"NORMAL")</f>
        <v>#VALUE!</v>
      </c>
      <c r="M414" s="155">
        <f ca="1">_xll.meDateYearFraction(C414,D414,$M$11)</f>
        <v>2.7777777777777779E-3</v>
      </c>
      <c r="N414" s="150">
        <f ca="1"/>
        <v>-2.4300000000065936E-3</v>
      </c>
      <c r="O414" s="7" t="s">
        <v>4</v>
      </c>
      <c r="P414" s="149">
        <f t="shared" ca="1" si="13"/>
        <v>43006</v>
      </c>
      <c r="Q414" s="155">
        <f ca="1">_xll.meDateYearFraction(H414,I414,$Q$11,TRUE)</f>
        <v>0.25277777777777777</v>
      </c>
      <c r="R414" s="150">
        <f ca="1">IF(NOW(),_xll.meCurveForwardRatesFromYearFraction(P414,Q414,$Q$11,$Q$9,$Q$10))</f>
        <v>-3.7175485397107962E-3</v>
      </c>
      <c r="S414" s="134" t="s">
        <v>4</v>
      </c>
    </row>
    <row r="415" spans="1:19" x14ac:dyDescent="0.25">
      <c r="A415" s="128">
        <v>399</v>
      </c>
      <c r="B415" s="133"/>
      <c r="C415" s="149">
        <f ca="1">_xll.meDateFromTenor(C414,"1D","FOLLOWING",$D$11,"NORMAL")</f>
        <v>43007</v>
      </c>
      <c r="D415" s="20">
        <f ca="1">_xll.meDateFromTenor(C415,"1D","Following",$D$11,"Normal")</f>
        <v>43010</v>
      </c>
      <c r="E415" s="99">
        <f ca="1"/>
        <v>9.3053813482147137E-3</v>
      </c>
      <c r="F415" s="161">
        <f ca="1">_xll.meCurveForwardRates(C415,$D$9,$D$10)</f>
        <v>9.3376334227446289E-3</v>
      </c>
      <c r="G415" s="7" t="s">
        <v>4</v>
      </c>
      <c r="H415" s="149">
        <f t="shared" ca="1" si="12"/>
        <v>43007</v>
      </c>
      <c r="I415" s="20">
        <f ca="1">_xll.meDateFromTenor(H415,"3M","Following",$I$11,"Normal")</f>
        <v>43098</v>
      </c>
      <c r="J415" s="150">
        <f ca="1"/>
        <v>1.1109111403988414E-2</v>
      </c>
      <c r="K415" s="7" t="s">
        <v>4</v>
      </c>
      <c r="L415" s="149" t="e">
        <f ca="1">_xll.meDateFromTenor(L414,"1D","FOLLOWING",#REF!,"NORMAL")</f>
        <v>#VALUE!</v>
      </c>
      <c r="M415" s="155">
        <f ca="1">_xll.meDateYearFraction(C415,D415,$M$11)</f>
        <v>8.3333333333333332E-3</v>
      </c>
      <c r="N415" s="150">
        <f ca="1"/>
        <v>-2.4300000000065936E-3</v>
      </c>
      <c r="O415" s="7" t="s">
        <v>4</v>
      </c>
      <c r="P415" s="149">
        <f t="shared" ca="1" si="13"/>
        <v>43007</v>
      </c>
      <c r="Q415" s="155">
        <f ca="1">_xll.meDateYearFraction(H415,I415,$Q$11,TRUE)</f>
        <v>0.25277777777777777</v>
      </c>
      <c r="R415" s="150">
        <f ca="1">IF(NOW(),_xll.meCurveForwardRatesFromYearFraction(P415,Q415,$Q$11,$Q$9,$Q$10))</f>
        <v>-3.0495417179131523E-3</v>
      </c>
      <c r="S415" s="134" t="s">
        <v>4</v>
      </c>
    </row>
    <row r="416" spans="1:19" x14ac:dyDescent="0.25">
      <c r="A416" s="128">
        <v>400</v>
      </c>
      <c r="B416" s="133"/>
      <c r="C416" s="149">
        <f ca="1">_xll.meDateFromTenor(C415,"1D","FOLLOWING",$D$11,"NORMAL")</f>
        <v>43010</v>
      </c>
      <c r="D416" s="20">
        <f ca="1">_xll.meDateFromTenor(C416,"1D","Following",$D$11,"Normal")</f>
        <v>43011</v>
      </c>
      <c r="E416" s="99">
        <f ca="1"/>
        <v>9.3261102439079809E-3</v>
      </c>
      <c r="F416" s="161">
        <f ca="1">_xll.meCurveForwardRates(C416,$D$9,$D$10)</f>
        <v>9.3696119874351336E-3</v>
      </c>
      <c r="G416" s="7" t="s">
        <v>4</v>
      </c>
      <c r="H416" s="149">
        <f t="shared" ca="1" si="12"/>
        <v>43010</v>
      </c>
      <c r="I416" s="20">
        <f ca="1">_xll.meDateFromTenor(H416,"3M","Following",$I$11,"Normal")</f>
        <v>43102</v>
      </c>
      <c r="J416" s="150">
        <f ca="1"/>
        <v>1.113271296167378E-2</v>
      </c>
      <c r="K416" s="7" t="s">
        <v>4</v>
      </c>
      <c r="L416" s="149" t="e">
        <f ca="1">_xll.meDateFromTenor(L415,"1D","FOLLOWING",#REF!,"NORMAL")</f>
        <v>#VALUE!</v>
      </c>
      <c r="M416" s="155">
        <f ca="1">_xll.meDateYearFraction(C416,D416,$M$11)</f>
        <v>2.7777777777777779E-3</v>
      </c>
      <c r="N416" s="150">
        <f ca="1"/>
        <v>-2.4300000000065936E-3</v>
      </c>
      <c r="O416" s="7" t="s">
        <v>4</v>
      </c>
      <c r="P416" s="149">
        <f t="shared" ca="1" si="13"/>
        <v>43010</v>
      </c>
      <c r="Q416" s="155">
        <f ca="1">_xll.meDateYearFraction(H416,I416,$Q$11,TRUE)</f>
        <v>0.25555555555555554</v>
      </c>
      <c r="R416" s="150">
        <f ca="1">IF(NOW(),_xll.meCurveForwardRatesFromYearFraction(P416,Q416,$Q$11,$Q$9,$Q$10))</f>
        <v>-3.0483028347975285E-3</v>
      </c>
      <c r="S416" s="134" t="s">
        <v>4</v>
      </c>
    </row>
    <row r="417" spans="1:19" x14ac:dyDescent="0.25">
      <c r="A417" s="128">
        <v>401</v>
      </c>
      <c r="B417" s="133"/>
      <c r="C417" s="149">
        <f ca="1">_xll.meDateFromTenor(C416,"1D","FOLLOWING",$D$11,"NORMAL")</f>
        <v>43011</v>
      </c>
      <c r="D417" s="20">
        <f ca="1">_xll.meDateFromTenor(C417,"1D","Following",$D$11,"Normal")</f>
        <v>43012</v>
      </c>
      <c r="E417" s="99">
        <f ca="1"/>
        <v>9.3362133780772513E-3</v>
      </c>
      <c r="F417" s="161">
        <f ca="1">_xll.meCurveForwardRates(C417,$D$9,$D$10)</f>
        <v>9.3798095712447349E-3</v>
      </c>
      <c r="G417" s="7" t="s">
        <v>4</v>
      </c>
      <c r="H417" s="149">
        <f t="shared" ca="1" si="12"/>
        <v>43011</v>
      </c>
      <c r="I417" s="20">
        <f ca="1">_xll.meDateFromTenor(H417,"3M","Following",$I$11,"Normal")</f>
        <v>43103</v>
      </c>
      <c r="J417" s="150">
        <f ca="1"/>
        <v>1.1140580147568902E-2</v>
      </c>
      <c r="K417" s="7" t="s">
        <v>4</v>
      </c>
      <c r="L417" s="149" t="e">
        <f ca="1">_xll.meDateFromTenor(L416,"1D","FOLLOWING",#REF!,"NORMAL")</f>
        <v>#VALUE!</v>
      </c>
      <c r="M417" s="155">
        <f ca="1">_xll.meDateYearFraction(C417,D417,$M$11)</f>
        <v>2.7777777777777779E-3</v>
      </c>
      <c r="N417" s="150">
        <f ca="1"/>
        <v>-2.4300000000065936E-3</v>
      </c>
      <c r="O417" s="7" t="s">
        <v>4</v>
      </c>
      <c r="P417" s="149">
        <f t="shared" ca="1" si="13"/>
        <v>43011</v>
      </c>
      <c r="Q417" s="155">
        <f ca="1">_xll.meDateYearFraction(H417,I417,$Q$11,TRUE)</f>
        <v>0.25555555555555554</v>
      </c>
      <c r="R417" s="150">
        <f ca="1">IF(NOW(),_xll.meCurveForwardRatesFromYearFraction(P417,Q417,$Q$11,$Q$9,$Q$10))</f>
        <v>-3.0479067804490057E-3</v>
      </c>
      <c r="S417" s="134" t="s">
        <v>4</v>
      </c>
    </row>
    <row r="418" spans="1:19" x14ac:dyDescent="0.25">
      <c r="A418" s="128">
        <v>402</v>
      </c>
      <c r="B418" s="133"/>
      <c r="C418" s="149">
        <f ca="1">_xll.meDateFromTenor(C417,"1D","FOLLOWING",$D$11,"NORMAL")</f>
        <v>43012</v>
      </c>
      <c r="D418" s="20">
        <f ca="1">_xll.meDateFromTenor(C418,"1D","Following",$D$11,"Normal")</f>
        <v>43013</v>
      </c>
      <c r="E418" s="99">
        <f ca="1"/>
        <v>9.3460875346096702E-3</v>
      </c>
      <c r="F418" s="161">
        <f ca="1">_xll.meCurveForwardRates(C418,$D$9,$D$10)</f>
        <v>9.3897761360819398E-3</v>
      </c>
      <c r="G418" s="7" t="s">
        <v>4</v>
      </c>
      <c r="H418" s="149">
        <f t="shared" ca="1" si="12"/>
        <v>43012</v>
      </c>
      <c r="I418" s="20">
        <f ca="1">_xll.meDateFromTenor(H418,"3M","Following",$I$11,"Normal")</f>
        <v>43104</v>
      </c>
      <c r="J418" s="150">
        <f ca="1"/>
        <v>1.1148447333464023E-2</v>
      </c>
      <c r="K418" s="7" t="s">
        <v>4</v>
      </c>
      <c r="L418" s="149" t="e">
        <f ca="1">_xll.meDateFromTenor(L417,"1D","FOLLOWING",#REF!,"NORMAL")</f>
        <v>#VALUE!</v>
      </c>
      <c r="M418" s="155">
        <f ca="1">_xll.meDateYearFraction(C418,D418,$M$11)</f>
        <v>2.7777777777777779E-3</v>
      </c>
      <c r="N418" s="150">
        <f ca="1"/>
        <v>-2.4300000000065936E-3</v>
      </c>
      <c r="O418" s="7" t="s">
        <v>4</v>
      </c>
      <c r="P418" s="149">
        <f t="shared" ca="1" si="13"/>
        <v>43012</v>
      </c>
      <c r="Q418" s="155">
        <f ca="1">_xll.meDateYearFraction(H418,I418,$Q$11,TRUE)</f>
        <v>0.25555555555555554</v>
      </c>
      <c r="R418" s="150">
        <f ca="1">IF(NOW(),_xll.meCurveForwardRatesFromYearFraction(P418,Q418,$Q$11,$Q$9,$Q$10))</f>
        <v>-3.0475188738411365E-3</v>
      </c>
      <c r="S418" s="134" t="s">
        <v>4</v>
      </c>
    </row>
    <row r="419" spans="1:19" x14ac:dyDescent="0.25">
      <c r="A419" s="128">
        <v>403</v>
      </c>
      <c r="B419" s="133"/>
      <c r="C419" s="149">
        <f ca="1">_xll.meDateFromTenor(C418,"1D","FOLLOWING",$D$11,"NORMAL")</f>
        <v>43013</v>
      </c>
      <c r="D419" s="20">
        <f ca="1">_xll.meDateFromTenor(C419,"1D","Following",$D$11,"Normal")</f>
        <v>43014</v>
      </c>
      <c r="E419" s="99">
        <f ca="1"/>
        <v>9.3557326901639089E-3</v>
      </c>
      <c r="F419" s="161">
        <f ca="1">_xll.meCurveForwardRates(C419,$D$9,$D$10)</f>
        <v>9.3995116515601662E-3</v>
      </c>
      <c r="G419" s="7" t="s">
        <v>4</v>
      </c>
      <c r="H419" s="149">
        <f t="shared" ca="1" si="12"/>
        <v>43013</v>
      </c>
      <c r="I419" s="20">
        <f ca="1">_xll.meDateFromTenor(H419,"3M","Following",$I$11,"Normal")</f>
        <v>43105</v>
      </c>
      <c r="J419" s="150">
        <f ca="1"/>
        <v>1.1156314519359145E-2</v>
      </c>
      <c r="K419" s="7" t="s">
        <v>4</v>
      </c>
      <c r="L419" s="149" t="e">
        <f ca="1">_xll.meDateFromTenor(L418,"1D","FOLLOWING",#REF!,"NORMAL")</f>
        <v>#VALUE!</v>
      </c>
      <c r="M419" s="155">
        <f ca="1">_xll.meDateYearFraction(C419,D419,$M$11)</f>
        <v>2.7777777777777779E-3</v>
      </c>
      <c r="N419" s="150">
        <f ca="1"/>
        <v>-2.4300000000065936E-3</v>
      </c>
      <c r="O419" s="7" t="s">
        <v>4</v>
      </c>
      <c r="P419" s="149">
        <f t="shared" ca="1" si="13"/>
        <v>43013</v>
      </c>
      <c r="Q419" s="155">
        <f ca="1">_xll.meDateYearFraction(H419,I419,$Q$11,TRUE)</f>
        <v>0.25555555555555554</v>
      </c>
      <c r="R419" s="150">
        <f ca="1">IF(NOW(),_xll.meCurveForwardRatesFromYearFraction(P419,Q419,$Q$11,$Q$9,$Q$10))</f>
        <v>-3.7175485397107962E-3</v>
      </c>
      <c r="S419" s="134" t="s">
        <v>4</v>
      </c>
    </row>
    <row r="420" spans="1:19" x14ac:dyDescent="0.25">
      <c r="A420" s="128">
        <v>404</v>
      </c>
      <c r="B420" s="133"/>
      <c r="C420" s="149">
        <f ca="1">_xll.meDateFromTenor(C419,"1D","FOLLOWING",$D$11,"NORMAL")</f>
        <v>43014</v>
      </c>
      <c r="D420" s="20">
        <f ca="1">_xll.meDateFromTenor(C420,"1D","Following",$D$11,"Normal")</f>
        <v>43018</v>
      </c>
      <c r="E420" s="99">
        <f ca="1"/>
        <v>9.3790668790248565E-3</v>
      </c>
      <c r="F420" s="161">
        <f ca="1">_xll.meCurveForwardRates(C420,$D$9,$D$10)</f>
        <v>9.4090160878541607E-3</v>
      </c>
      <c r="G420" s="7" t="s">
        <v>4</v>
      </c>
      <c r="H420" s="149">
        <f t="shared" ca="1" si="12"/>
        <v>43014</v>
      </c>
      <c r="I420" s="20">
        <f ca="1">_xll.meDateFromTenor(H420,"3M","Following",$I$11,"Normal")</f>
        <v>43108</v>
      </c>
      <c r="J420" s="150">
        <f ca="1"/>
        <v>1.1164181705254265E-2</v>
      </c>
      <c r="K420" s="7" t="s">
        <v>4</v>
      </c>
      <c r="L420" s="149" t="e">
        <f ca="1">_xll.meDateFromTenor(L419,"1D","FOLLOWING",#REF!,"NORMAL")</f>
        <v>#VALUE!</v>
      </c>
      <c r="M420" s="155">
        <f ca="1">_xll.meDateYearFraction(C420,D420,$M$11)</f>
        <v>1.1111111111111112E-2</v>
      </c>
      <c r="N420" s="150">
        <f ca="1"/>
        <v>-2.4300000000065936E-3</v>
      </c>
      <c r="O420" s="7" t="s">
        <v>4</v>
      </c>
      <c r="P420" s="149">
        <f t="shared" ca="1" si="13"/>
        <v>43014</v>
      </c>
      <c r="Q420" s="155">
        <f ca="1">_xll.meDateYearFraction(H420,I420,$Q$11,TRUE)</f>
        <v>0.26111111111111113</v>
      </c>
      <c r="R420" s="150">
        <f ca="1">IF(NOW(),_xll.meCurveForwardRatesFromYearFraction(P420,Q420,$Q$11,$Q$9,$Q$10))</f>
        <v>-3.7175485397107962E-3</v>
      </c>
      <c r="S420" s="134" t="s">
        <v>4</v>
      </c>
    </row>
    <row r="421" spans="1:19" x14ac:dyDescent="0.25">
      <c r="A421" s="128">
        <v>405</v>
      </c>
      <c r="B421" s="133"/>
      <c r="C421" s="149">
        <f ca="1">_xll.meDateFromTenor(C420,"1D","FOLLOWING",$D$11,"NORMAL")</f>
        <v>43018</v>
      </c>
      <c r="D421" s="20">
        <f ca="1">_xll.meDateFromTenor(C421,"1D","Following",$D$11,"Normal")</f>
        <v>43019</v>
      </c>
      <c r="E421" s="99">
        <f ca="1"/>
        <v>9.4005226458282794E-3</v>
      </c>
      <c r="F421" s="161">
        <f ca="1">_xll.meCurveForwardRates(C421,$D$9,$D$10)</f>
        <v>9.4447224456646328E-3</v>
      </c>
      <c r="G421" s="7" t="s">
        <v>4</v>
      </c>
      <c r="H421" s="149">
        <f t="shared" ca="1" si="12"/>
        <v>43018</v>
      </c>
      <c r="I421" s="20">
        <f ca="1">_xll.meDateFromTenor(H421,"3M","Following",$I$11,"Normal")</f>
        <v>43110</v>
      </c>
      <c r="J421" s="150">
        <f ca="1"/>
        <v>1.1195650448834752E-2</v>
      </c>
      <c r="K421" s="7" t="s">
        <v>4</v>
      </c>
      <c r="L421" s="149" t="e">
        <f ca="1">_xll.meDateFromTenor(L420,"1D","FOLLOWING",#REF!,"NORMAL")</f>
        <v>#VALUE!</v>
      </c>
      <c r="M421" s="155">
        <f ca="1">_xll.meDateYearFraction(C421,D421,$M$11)</f>
        <v>2.7777777777777779E-3</v>
      </c>
      <c r="N421" s="150">
        <f ca="1"/>
        <v>-2.4300000000065936E-3</v>
      </c>
      <c r="O421" s="7" t="s">
        <v>4</v>
      </c>
      <c r="P421" s="149">
        <f t="shared" ca="1" si="13"/>
        <v>43018</v>
      </c>
      <c r="Q421" s="155">
        <f ca="1">_xll.meDateYearFraction(H421,I421,$Q$11,TRUE)</f>
        <v>0.25555555555555554</v>
      </c>
      <c r="R421" s="150">
        <f ca="1">IF(NOW(),_xll.meCurveForwardRatesFromYearFraction(P421,Q421,$Q$11,$Q$9,$Q$10))</f>
        <v>-3.0453522684413233E-3</v>
      </c>
      <c r="S421" s="134" t="s">
        <v>4</v>
      </c>
    </row>
    <row r="422" spans="1:19" x14ac:dyDescent="0.25">
      <c r="A422" s="128">
        <v>406</v>
      </c>
      <c r="B422" s="133"/>
      <c r="C422" s="149">
        <f ca="1">_xll.meDateFromTenor(C421,"1D","FOLLOWING",$D$11,"NORMAL")</f>
        <v>43019</v>
      </c>
      <c r="D422" s="20">
        <f ca="1">_xll.meDateFromTenor(C422,"1D","Following",$D$11,"Normal")</f>
        <v>43020</v>
      </c>
      <c r="E422" s="99">
        <f ca="1"/>
        <v>9.4087933096620776E-3</v>
      </c>
      <c r="F422" s="161">
        <f ca="1">_xll.meCurveForwardRates(C422,$D$9,$D$10)</f>
        <v>9.453071040048E-3</v>
      </c>
      <c r="G422" s="7" t="s">
        <v>4</v>
      </c>
      <c r="H422" s="149">
        <f t="shared" ca="1" si="12"/>
        <v>43019</v>
      </c>
      <c r="I422" s="20">
        <f ca="1">_xll.meDateFromTenor(H422,"3M","Following",$I$11,"Normal")</f>
        <v>43111</v>
      </c>
      <c r="J422" s="150">
        <f ca="1"/>
        <v>1.1203517634729872E-2</v>
      </c>
      <c r="K422" s="7" t="s">
        <v>4</v>
      </c>
      <c r="L422" s="149" t="e">
        <f ca="1">_xll.meDateFromTenor(L421,"1D","FOLLOWING",#REF!,"NORMAL")</f>
        <v>#VALUE!</v>
      </c>
      <c r="M422" s="155">
        <f ca="1">_xll.meDateYearFraction(C422,D422,$M$11)</f>
        <v>2.7777777777777779E-3</v>
      </c>
      <c r="N422" s="150">
        <f ca="1"/>
        <v>-2.4300000000065936E-3</v>
      </c>
      <c r="O422" s="7" t="s">
        <v>4</v>
      </c>
      <c r="P422" s="149">
        <f t="shared" ca="1" si="13"/>
        <v>43019</v>
      </c>
      <c r="Q422" s="155">
        <f ca="1">_xll.meDateYearFraction(H422,I422,$Q$11,TRUE)</f>
        <v>0.25555555555555554</v>
      </c>
      <c r="R422" s="150">
        <f ca="1">IF(NOW(),_xll.meCurveForwardRatesFromYearFraction(P422,Q422,$Q$11,$Q$9,$Q$10))</f>
        <v>-3.7175485397107962E-3</v>
      </c>
      <c r="S422" s="134" t="s">
        <v>4</v>
      </c>
    </row>
    <row r="423" spans="1:19" x14ac:dyDescent="0.25">
      <c r="A423" s="128">
        <v>407</v>
      </c>
      <c r="B423" s="133"/>
      <c r="C423" s="149">
        <f ca="1">_xll.meDateFromTenor(C422,"1D","FOLLOWING",$D$11,"NORMAL")</f>
        <v>43020</v>
      </c>
      <c r="D423" s="20">
        <f ca="1">_xll.meDateFromTenor(C423,"1D","Following",$D$11,"Normal")</f>
        <v>43021</v>
      </c>
      <c r="E423" s="99">
        <f ca="1"/>
        <v>9.416834809927754E-3</v>
      </c>
      <c r="F423" s="161">
        <f ca="1">_xll.meCurveForwardRates(C423,$D$9,$D$10)</f>
        <v>9.4611883775830297E-3</v>
      </c>
      <c r="G423" s="7" t="s">
        <v>4</v>
      </c>
      <c r="H423" s="149">
        <f t="shared" ca="1" si="12"/>
        <v>43020</v>
      </c>
      <c r="I423" s="20">
        <f ca="1">_xll.meDateFromTenor(H423,"3M","Following",$I$11,"Normal")</f>
        <v>43112</v>
      </c>
      <c r="J423" s="150">
        <f ca="1"/>
        <v>1.1211384820624995E-2</v>
      </c>
      <c r="K423" s="7" t="s">
        <v>4</v>
      </c>
      <c r="L423" s="149" t="e">
        <f ca="1">_xll.meDateFromTenor(L422,"1D","FOLLOWING",#REF!,"NORMAL")</f>
        <v>#VALUE!</v>
      </c>
      <c r="M423" s="155">
        <f ca="1">_xll.meDateYearFraction(C423,D423,$M$11)</f>
        <v>2.7777777777777779E-3</v>
      </c>
      <c r="N423" s="150">
        <f ca="1"/>
        <v>-2.4300000000065936E-3</v>
      </c>
      <c r="O423" s="7" t="s">
        <v>4</v>
      </c>
      <c r="P423" s="149">
        <f t="shared" ca="1" si="13"/>
        <v>43020</v>
      </c>
      <c r="Q423" s="155">
        <f ca="1">_xll.meDateYearFraction(H423,I423,$Q$11,TRUE)</f>
        <v>0.25555555555555554</v>
      </c>
      <c r="R423" s="150">
        <f ca="1">IF(NOW(),_xll.meCurveForwardRatesFromYearFraction(P423,Q423,$Q$11,$Q$9,$Q$10))</f>
        <v>-3.7175485397107962E-3</v>
      </c>
      <c r="S423" s="134" t="s">
        <v>4</v>
      </c>
    </row>
    <row r="424" spans="1:19" x14ac:dyDescent="0.25">
      <c r="A424" s="128">
        <v>408</v>
      </c>
      <c r="B424" s="133"/>
      <c r="C424" s="149">
        <f ca="1">_xll.meDateFromTenor(C423,"1D","FOLLOWING",$D$11,"NORMAL")</f>
        <v>43021</v>
      </c>
      <c r="D424" s="20">
        <f ca="1">_xll.meDateFromTenor(C424,"1D","Following",$D$11,"Normal")</f>
        <v>43024</v>
      </c>
      <c r="E424" s="99">
        <f ca="1"/>
        <v>9.4324009427904417E-3</v>
      </c>
      <c r="F424" s="161">
        <f ca="1">_xll.meCurveForwardRates(C424,$D$9,$D$10)</f>
        <v>9.4690744289016582E-3</v>
      </c>
      <c r="G424" s="7" t="s">
        <v>4</v>
      </c>
      <c r="H424" s="149">
        <f t="shared" ca="1" si="12"/>
        <v>43021</v>
      </c>
      <c r="I424" s="20">
        <f ca="1">_xll.meDateFromTenor(H424,"3M","Following",$I$11,"Normal")</f>
        <v>43116</v>
      </c>
      <c r="J424" s="150">
        <f ca="1"/>
        <v>1.1219252006520115E-2</v>
      </c>
      <c r="K424" s="7" t="s">
        <v>4</v>
      </c>
      <c r="L424" s="149" t="e">
        <f ca="1">_xll.meDateFromTenor(L423,"1D","FOLLOWING",#REF!,"NORMAL")</f>
        <v>#VALUE!</v>
      </c>
      <c r="M424" s="155">
        <f ca="1">_xll.meDateYearFraction(C424,D424,$M$11)</f>
        <v>8.3333333333333332E-3</v>
      </c>
      <c r="N424" s="150">
        <f ca="1"/>
        <v>-2.4300000000065936E-3</v>
      </c>
      <c r="O424" s="7" t="s">
        <v>4</v>
      </c>
      <c r="P424" s="149">
        <f t="shared" ca="1" si="13"/>
        <v>43021</v>
      </c>
      <c r="Q424" s="155">
        <f ca="1">_xll.meDateYearFraction(H424,I424,$Q$11,TRUE)</f>
        <v>0.2638888888888889</v>
      </c>
      <c r="R424" s="150">
        <f ca="1">IF(NOW(),_xll.meCurveForwardRatesFromYearFraction(P424,Q424,$Q$11,$Q$9,$Q$10))</f>
        <v>-3.7175485397107962E-3</v>
      </c>
      <c r="S424" s="134" t="s">
        <v>4</v>
      </c>
    </row>
    <row r="425" spans="1:19" x14ac:dyDescent="0.25">
      <c r="A425" s="128">
        <v>409</v>
      </c>
      <c r="B425" s="133"/>
      <c r="C425" s="149">
        <f ca="1">_xll.meDateFromTenor(C424,"1D","FOLLOWING",$D$11,"NORMAL")</f>
        <v>43024</v>
      </c>
      <c r="D425" s="20">
        <f ca="1">_xll.meDateFromTenor(C425,"1D","Following",$D$11,"Normal")</f>
        <v>43025</v>
      </c>
      <c r="E425" s="99">
        <f ca="1"/>
        <v>9.4467087044858618E-3</v>
      </c>
      <c r="F425" s="161">
        <f ca="1">_xll.meCurveForwardRates(C425,$D$9,$D$10)</f>
        <v>9.491344575051075E-3</v>
      </c>
      <c r="G425" s="7" t="s">
        <v>4</v>
      </c>
      <c r="H425" s="149">
        <f t="shared" ca="1" si="12"/>
        <v>43024</v>
      </c>
      <c r="I425" s="20">
        <f ca="1">_xll.meDateFromTenor(H425,"3M","Following",$I$11,"Normal")</f>
        <v>43116</v>
      </c>
      <c r="J425" s="150">
        <f ca="1"/>
        <v>1.1242853564205482E-2</v>
      </c>
      <c r="K425" s="7" t="s">
        <v>4</v>
      </c>
      <c r="L425" s="149" t="e">
        <f ca="1">_xll.meDateFromTenor(L424,"1D","FOLLOWING",#REF!,"NORMAL")</f>
        <v>#VALUE!</v>
      </c>
      <c r="M425" s="155">
        <f ca="1">_xll.meDateYearFraction(C425,D425,$M$11)</f>
        <v>2.7777777777777779E-3</v>
      </c>
      <c r="N425" s="150">
        <f ca="1"/>
        <v>-2.4300000000065936E-3</v>
      </c>
      <c r="O425" s="7" t="s">
        <v>4</v>
      </c>
      <c r="P425" s="149">
        <f t="shared" ca="1" si="13"/>
        <v>43024</v>
      </c>
      <c r="Q425" s="155">
        <f ca="1">_xll.meDateYearFraction(H425,I425,$Q$11,TRUE)</f>
        <v>0.25555555555555554</v>
      </c>
      <c r="R425" s="150">
        <f ca="1">IF(NOW(),_xll.meCurveForwardRatesFromYearFraction(P425,Q425,$Q$11,$Q$9,$Q$10))</f>
        <v>-3.0434327743265547E-3</v>
      </c>
      <c r="S425" s="134" t="s">
        <v>4</v>
      </c>
    </row>
    <row r="426" spans="1:19" x14ac:dyDescent="0.25">
      <c r="A426" s="128">
        <v>410</v>
      </c>
      <c r="B426" s="133"/>
      <c r="C426" s="149">
        <f ca="1">_xll.meDateFromTenor(C425,"1D","FOLLOWING",$D$11,"NORMAL")</f>
        <v>43025</v>
      </c>
      <c r="D426" s="20">
        <f ca="1">_xll.meDateFromTenor(C426,"1D","Following",$D$11,"Normal")</f>
        <v>43026</v>
      </c>
      <c r="E426" s="99">
        <f ca="1"/>
        <v>9.4536040335136181E-3</v>
      </c>
      <c r="F426" s="161">
        <f ca="1">_xll.meCurveForwardRates(C426,$D$9,$D$10)</f>
        <v>9.4983051913013483E-3</v>
      </c>
      <c r="G426" s="7" t="s">
        <v>4</v>
      </c>
      <c r="H426" s="149">
        <f t="shared" ca="1" si="12"/>
        <v>43025</v>
      </c>
      <c r="I426" s="20">
        <f ca="1">_xll.meDateFromTenor(H426,"3M","Following",$I$11,"Normal")</f>
        <v>43117</v>
      </c>
      <c r="J426" s="150">
        <f ca="1"/>
        <v>1.1250720750100602E-2</v>
      </c>
      <c r="K426" s="7" t="s">
        <v>4</v>
      </c>
      <c r="L426" s="149" t="e">
        <f ca="1">_xll.meDateFromTenor(L425,"1D","FOLLOWING",#REF!,"NORMAL")</f>
        <v>#VALUE!</v>
      </c>
      <c r="M426" s="155">
        <f ca="1">_xll.meDateYearFraction(C426,D426,$M$11)</f>
        <v>2.7777777777777779E-3</v>
      </c>
      <c r="N426" s="150">
        <f ca="1"/>
        <v>-2.4300000000065936E-3</v>
      </c>
      <c r="O426" s="7" t="s">
        <v>4</v>
      </c>
      <c r="P426" s="149">
        <f t="shared" ca="1" si="13"/>
        <v>43025</v>
      </c>
      <c r="Q426" s="155">
        <f ca="1">_xll.meDateYearFraction(H426,I426,$Q$11,TRUE)</f>
        <v>0.25555555555555554</v>
      </c>
      <c r="R426" s="150">
        <f ca="1">IF(NOW(),_xll.meCurveForwardRatesFromYearFraction(P426,Q426,$Q$11,$Q$9,$Q$10))</f>
        <v>-3.7175485397107962E-3</v>
      </c>
      <c r="S426" s="134" t="s">
        <v>4</v>
      </c>
    </row>
    <row r="427" spans="1:19" x14ac:dyDescent="0.25">
      <c r="A427" s="128">
        <v>411</v>
      </c>
      <c r="B427" s="133"/>
      <c r="C427" s="149">
        <f ca="1">_xll.meDateFromTenor(C426,"1D","FOLLOWING",$D$11,"NORMAL")</f>
        <v>43026</v>
      </c>
      <c r="D427" s="20">
        <f ca="1">_xll.meDateFromTenor(C427,"1D","Following",$D$11,"Normal")</f>
        <v>43027</v>
      </c>
      <c r="E427" s="99">
        <f ca="1"/>
        <v>9.4602700573265582E-3</v>
      </c>
      <c r="F427" s="161">
        <f ca="1">_xll.meCurveForwardRates(C427,$D$9,$D$10)</f>
        <v>9.5050343767004719E-3</v>
      </c>
      <c r="G427" s="7" t="s">
        <v>4</v>
      </c>
      <c r="H427" s="149">
        <f t="shared" ca="1" si="12"/>
        <v>43026</v>
      </c>
      <c r="I427" s="20">
        <f ca="1">_xll.meDateFromTenor(H427,"3M","Following",$I$11,"Normal")</f>
        <v>43118</v>
      </c>
      <c r="J427" s="150">
        <f ca="1"/>
        <v>1.1258587935995724E-2</v>
      </c>
      <c r="K427" s="7" t="s">
        <v>4</v>
      </c>
      <c r="L427" s="149" t="e">
        <f ca="1">_xll.meDateFromTenor(L426,"1D","FOLLOWING",#REF!,"NORMAL")</f>
        <v>#VALUE!</v>
      </c>
      <c r="M427" s="155">
        <f ca="1">_xll.meDateYearFraction(C427,D427,$M$11)</f>
        <v>2.7777777777777779E-3</v>
      </c>
      <c r="N427" s="150">
        <f ca="1"/>
        <v>-2.4300000000065936E-3</v>
      </c>
      <c r="O427" s="7" t="s">
        <v>4</v>
      </c>
      <c r="P427" s="149">
        <f t="shared" ca="1" si="13"/>
        <v>43026</v>
      </c>
      <c r="Q427" s="155">
        <f ca="1">_xll.meDateYearFraction(H427,I427,$Q$11,TRUE)</f>
        <v>0.25555555555555554</v>
      </c>
      <c r="R427" s="150">
        <f ca="1">IF(NOW(),_xll.meCurveForwardRatesFromYearFraction(P427,Q427,$Q$11,$Q$9,$Q$10))</f>
        <v>-3.0428410110363091E-3</v>
      </c>
      <c r="S427" s="134" t="s">
        <v>4</v>
      </c>
    </row>
    <row r="428" spans="1:19" x14ac:dyDescent="0.25">
      <c r="A428" s="128">
        <v>412</v>
      </c>
      <c r="B428" s="133"/>
      <c r="C428" s="149">
        <f ca="1">_xll.meDateFromTenor(C427,"1D","FOLLOWING",$D$11,"NORMAL")</f>
        <v>43027</v>
      </c>
      <c r="D428" s="20">
        <f ca="1">_xll.meDateFromTenor(C428,"1D","Following",$D$11,"Normal")</f>
        <v>43028</v>
      </c>
      <c r="E428" s="99">
        <f ca="1"/>
        <v>9.466706752103737E-3</v>
      </c>
      <c r="F428" s="161">
        <f ca="1">_xll.meCurveForwardRates(C428,$D$9,$D$10)</f>
        <v>9.5115321025858179E-3</v>
      </c>
      <c r="G428" s="7" t="s">
        <v>4</v>
      </c>
      <c r="H428" s="149">
        <f t="shared" ca="1" si="12"/>
        <v>43027</v>
      </c>
      <c r="I428" s="20">
        <f ca="1">_xll.meDateFromTenor(H428,"3M","Following",$I$11,"Normal")</f>
        <v>43119</v>
      </c>
      <c r="J428" s="150">
        <f ca="1"/>
        <v>1.1266455121890845E-2</v>
      </c>
      <c r="K428" s="7" t="s">
        <v>4</v>
      </c>
      <c r="L428" s="149" t="e">
        <f ca="1">_xll.meDateFromTenor(L427,"1D","FOLLOWING",#REF!,"NORMAL")</f>
        <v>#VALUE!</v>
      </c>
      <c r="M428" s="155">
        <f ca="1">_xll.meDateYearFraction(C428,D428,$M$11)</f>
        <v>2.7777777777777779E-3</v>
      </c>
      <c r="N428" s="150">
        <f ca="1"/>
        <v>-2.4300000000065936E-3</v>
      </c>
      <c r="O428" s="7" t="s">
        <v>4</v>
      </c>
      <c r="P428" s="149">
        <f t="shared" ca="1" si="13"/>
        <v>43027</v>
      </c>
      <c r="Q428" s="155">
        <f ca="1">_xll.meDateYearFraction(H428,I428,$Q$11,TRUE)</f>
        <v>0.25555555555555554</v>
      </c>
      <c r="R428" s="150">
        <f ca="1">IF(NOW(),_xll.meCurveForwardRatesFromYearFraction(P428,Q428,$Q$11,$Q$9,$Q$10))</f>
        <v>-3.7175485397107962E-3</v>
      </c>
      <c r="S428" s="134" t="s">
        <v>4</v>
      </c>
    </row>
    <row r="429" spans="1:19" x14ac:dyDescent="0.25">
      <c r="A429" s="128">
        <v>413</v>
      </c>
      <c r="B429" s="133"/>
      <c r="C429" s="149">
        <f ca="1">_xll.meDateFromTenor(C428,"1D","FOLLOWING",$D$11,"NORMAL")</f>
        <v>43028</v>
      </c>
      <c r="D429" s="20">
        <f ca="1">_xll.meDateFromTenor(C429,"1D","Following",$D$11,"Normal")</f>
        <v>43031</v>
      </c>
      <c r="E429" s="99">
        <f ca="1"/>
        <v>9.4790651724175109E-3</v>
      </c>
      <c r="F429" s="161">
        <f ca="1">_xll.meCurveForwardRates(C429,$D$9,$D$10)</f>
        <v>9.5177983405336786E-3</v>
      </c>
      <c r="G429" s="7" t="s">
        <v>4</v>
      </c>
      <c r="H429" s="149">
        <f t="shared" ca="1" si="12"/>
        <v>43028</v>
      </c>
      <c r="I429" s="20">
        <f ca="1">_xll.meDateFromTenor(H429,"3M","Following",$I$11,"Normal")</f>
        <v>43122</v>
      </c>
      <c r="J429" s="150">
        <f ca="1"/>
        <v>1.1274322307785967E-2</v>
      </c>
      <c r="K429" s="7" t="s">
        <v>4</v>
      </c>
      <c r="L429" s="149" t="e">
        <f ca="1">_xll.meDateFromTenor(L428,"1D","FOLLOWING",#REF!,"NORMAL")</f>
        <v>#VALUE!</v>
      </c>
      <c r="M429" s="155">
        <f ca="1">_xll.meDateYearFraction(C429,D429,$M$11)</f>
        <v>8.3333333333333332E-3</v>
      </c>
      <c r="N429" s="150">
        <f ca="1"/>
        <v>-2.4300000000065936E-3</v>
      </c>
      <c r="O429" s="7" t="s">
        <v>4</v>
      </c>
      <c r="P429" s="149">
        <f t="shared" ca="1" si="13"/>
        <v>43028</v>
      </c>
      <c r="Q429" s="155">
        <f ca="1">_xll.meDateYearFraction(H429,I429,$Q$11,TRUE)</f>
        <v>0.26111111111111113</v>
      </c>
      <c r="R429" s="150">
        <f ca="1">IF(NOW(),_xll.meCurveForwardRatesFromYearFraction(P429,Q429,$Q$11,$Q$9,$Q$10))</f>
        <v>-3.0422708369518942E-3</v>
      </c>
      <c r="S429" s="134" t="s">
        <v>4</v>
      </c>
    </row>
    <row r="430" spans="1:19" x14ac:dyDescent="0.25">
      <c r="A430" s="128">
        <v>414</v>
      </c>
      <c r="B430" s="133"/>
      <c r="C430" s="149">
        <f ca="1">_xll.meDateFromTenor(C429,"1D","FOLLOWING",$D$11,"NORMAL")</f>
        <v>43031</v>
      </c>
      <c r="D430" s="20">
        <f ca="1">_xll.meDateFromTenor(C430,"1D","Following",$D$11,"Normal")</f>
        <v>43032</v>
      </c>
      <c r="E430" s="99">
        <f ca="1"/>
        <v>9.4901597646757426E-3</v>
      </c>
      <c r="F430" s="161">
        <f ca="1">_xll.meCurveForwardRates(C430,$D$9,$D$10)</f>
        <v>9.5352078435144705E-3</v>
      </c>
      <c r="G430" s="7" t="s">
        <v>4</v>
      </c>
      <c r="H430" s="149">
        <f t="shared" ca="1" si="12"/>
        <v>43031</v>
      </c>
      <c r="I430" s="20">
        <f ca="1">_xll.meDateFromTenor(H430,"3M","Following",$I$11,"Normal")</f>
        <v>43123</v>
      </c>
      <c r="J430" s="150">
        <f ca="1"/>
        <v>1.1297923865471333E-2</v>
      </c>
      <c r="K430" s="7" t="s">
        <v>4</v>
      </c>
      <c r="L430" s="149" t="e">
        <f ca="1">_xll.meDateFromTenor(L429,"1D","FOLLOWING",#REF!,"NORMAL")</f>
        <v>#VALUE!</v>
      </c>
      <c r="M430" s="155">
        <f ca="1">_xll.meDateYearFraction(C430,D430,$M$11)</f>
        <v>2.7777777777777779E-3</v>
      </c>
      <c r="N430" s="150">
        <f ca="1"/>
        <v>-2.4300000000065936E-3</v>
      </c>
      <c r="O430" s="7" t="s">
        <v>4</v>
      </c>
      <c r="P430" s="149">
        <f t="shared" ca="1" si="13"/>
        <v>43031</v>
      </c>
      <c r="Q430" s="155">
        <f ca="1">_xll.meDateYearFraction(H430,I430,$Q$11,TRUE)</f>
        <v>0.25555555555555554</v>
      </c>
      <c r="R430" s="150">
        <f ca="1">IF(NOW(),_xll.meCurveForwardRatesFromYearFraction(P430,Q430,$Q$11,$Q$9,$Q$10))</f>
        <v>-3.7175485397107962E-3</v>
      </c>
      <c r="S430" s="134" t="s">
        <v>4</v>
      </c>
    </row>
    <row r="431" spans="1:19" x14ac:dyDescent="0.25">
      <c r="A431" s="128">
        <v>415</v>
      </c>
      <c r="B431" s="133"/>
      <c r="C431" s="149">
        <f ca="1">_xll.meDateFromTenor(C430,"1D","FOLLOWING",$D$11,"NORMAL")</f>
        <v>43032</v>
      </c>
      <c r="D431" s="20">
        <f ca="1">_xll.meDateFromTenor(C431,"1D","Following",$D$11,"Normal")</f>
        <v>43033</v>
      </c>
      <c r="E431" s="99">
        <f ca="1"/>
        <v>9.4954494565602562E-3</v>
      </c>
      <c r="F431" s="161">
        <f ca="1">_xll.meCurveForwardRates(C431,$D$9,$D$10)</f>
        <v>9.5405478470238503E-3</v>
      </c>
      <c r="G431" s="7" t="s">
        <v>4</v>
      </c>
      <c r="H431" s="149">
        <f t="shared" ca="1" si="12"/>
        <v>43032</v>
      </c>
      <c r="I431" s="20">
        <f ca="1">_xll.meDateFromTenor(H431,"3M","Following",$I$11,"Normal")</f>
        <v>43124</v>
      </c>
      <c r="J431" s="150">
        <f ca="1"/>
        <v>1.1305791051366454E-2</v>
      </c>
      <c r="K431" s="7" t="s">
        <v>4</v>
      </c>
      <c r="L431" s="149" t="e">
        <f ca="1">_xll.meDateFromTenor(L430,"1D","FOLLOWING",#REF!,"NORMAL")</f>
        <v>#VALUE!</v>
      </c>
      <c r="M431" s="155">
        <f ca="1">_xll.meDateYearFraction(C431,D431,$M$11)</f>
        <v>2.7777777777777779E-3</v>
      </c>
      <c r="N431" s="150">
        <f ca="1"/>
        <v>-2.4300000000065936E-3</v>
      </c>
      <c r="O431" s="7" t="s">
        <v>4</v>
      </c>
      <c r="P431" s="149">
        <f t="shared" ca="1" si="13"/>
        <v>43032</v>
      </c>
      <c r="Q431" s="155">
        <f ca="1">_xll.meDateYearFraction(H431,I431,$Q$11,TRUE)</f>
        <v>0.25555555555555554</v>
      </c>
      <c r="R431" s="150">
        <f ca="1">IF(NOW(),_xll.meCurveForwardRatesFromYearFraction(P431,Q431,$Q$11,$Q$9,$Q$10))</f>
        <v>-3.0411893887969375E-3</v>
      </c>
      <c r="S431" s="134" t="s">
        <v>4</v>
      </c>
    </row>
    <row r="432" spans="1:19" x14ac:dyDescent="0.25">
      <c r="A432" s="128">
        <v>416</v>
      </c>
      <c r="B432" s="133"/>
      <c r="C432" s="149">
        <f ca="1">_xll.meDateFromTenor(C431,"1D","FOLLOWING",$D$11,"NORMAL")</f>
        <v>43033</v>
      </c>
      <c r="D432" s="20">
        <f ca="1">_xll.meDateFromTenor(C432,"1D","Following",$D$11,"Normal")</f>
        <v>43034</v>
      </c>
      <c r="E432" s="99">
        <f ca="1"/>
        <v>9.5005096760836568E-3</v>
      </c>
      <c r="F432" s="161">
        <f ca="1">_xll.meCurveForwardRates(C432,$D$9,$D$10)</f>
        <v>9.545656221962906E-3</v>
      </c>
      <c r="G432" s="7" t="s">
        <v>4</v>
      </c>
      <c r="H432" s="149">
        <f t="shared" ca="1" si="12"/>
        <v>43033</v>
      </c>
      <c r="I432" s="20">
        <f ca="1">_xll.meDateFromTenor(H432,"3M","Following",$I$11,"Normal")</f>
        <v>43125</v>
      </c>
      <c r="J432" s="150">
        <f ca="1"/>
        <v>1.1313658237261576E-2</v>
      </c>
      <c r="K432" s="7" t="s">
        <v>4</v>
      </c>
      <c r="L432" s="149" t="e">
        <f ca="1">_xll.meDateFromTenor(L431,"1D","FOLLOWING",#REF!,"NORMAL")</f>
        <v>#VALUE!</v>
      </c>
      <c r="M432" s="155">
        <f ca="1">_xll.meDateYearFraction(C432,D432,$M$11)</f>
        <v>2.7777777777777779E-3</v>
      </c>
      <c r="N432" s="150">
        <f ca="1"/>
        <v>-2.4300000000065936E-3</v>
      </c>
      <c r="O432" s="7" t="s">
        <v>4</v>
      </c>
      <c r="P432" s="149">
        <f t="shared" ca="1" si="13"/>
        <v>43033</v>
      </c>
      <c r="Q432" s="155">
        <f ca="1">_xll.meDateYearFraction(H432,I432,$Q$11,TRUE)</f>
        <v>0.25555555555555554</v>
      </c>
      <c r="R432" s="150">
        <f ca="1">IF(NOW(),_xll.meCurveForwardRatesFromYearFraction(P432,Q432,$Q$11,$Q$9,$Q$10))</f>
        <v>-3.0409302279791788E-3</v>
      </c>
      <c r="S432" s="134" t="s">
        <v>4</v>
      </c>
    </row>
    <row r="433" spans="1:19" x14ac:dyDescent="0.25">
      <c r="A433" s="128">
        <v>417</v>
      </c>
      <c r="B433" s="133"/>
      <c r="C433" s="149">
        <f ca="1">_xll.meDateFromTenor(C432,"1D","FOLLOWING",$D$11,"NORMAL")</f>
        <v>43034</v>
      </c>
      <c r="D433" s="20">
        <f ca="1">_xll.meDateFromTenor(C433,"1D","Following",$D$11,"Normal")</f>
        <v>43035</v>
      </c>
      <c r="E433" s="99">
        <f ca="1"/>
        <v>9.5053403991052551E-3</v>
      </c>
      <c r="F433" s="161">
        <f ca="1">_xll.meCurveForwardRates(C433,$D$9,$D$10)</f>
        <v>9.5505329404539374E-3</v>
      </c>
      <c r="G433" s="7" t="s">
        <v>4</v>
      </c>
      <c r="H433" s="149">
        <f t="shared" ca="1" si="12"/>
        <v>43034</v>
      </c>
      <c r="I433" s="20">
        <f ca="1">_xll.meDateFromTenor(H433,"3M","Following",$I$11,"Normal")</f>
        <v>43126</v>
      </c>
      <c r="J433" s="150">
        <f ca="1"/>
        <v>1.1321525423156696E-2</v>
      </c>
      <c r="K433" s="7" t="s">
        <v>4</v>
      </c>
      <c r="L433" s="149" t="e">
        <f ca="1">_xll.meDateFromTenor(L432,"1D","FOLLOWING",#REF!,"NORMAL")</f>
        <v>#VALUE!</v>
      </c>
      <c r="M433" s="155">
        <f ca="1">_xll.meDateYearFraction(C433,D433,$M$11)</f>
        <v>2.7777777777777779E-3</v>
      </c>
      <c r="N433" s="150">
        <f ca="1"/>
        <v>-2.4300000000065936E-3</v>
      </c>
      <c r="O433" s="7" t="s">
        <v>4</v>
      </c>
      <c r="P433" s="149">
        <f t="shared" ca="1" si="13"/>
        <v>43034</v>
      </c>
      <c r="Q433" s="155">
        <f ca="1">_xll.meDateYearFraction(H433,I433,$Q$11,TRUE)</f>
        <v>0.25555555555555554</v>
      </c>
      <c r="R433" s="150">
        <f ca="1">IF(NOW(),_xll.meCurveForwardRatesFromYearFraction(P433,Q433,$Q$11,$Q$9,$Q$10))</f>
        <v>-3.0406751809245866E-3</v>
      </c>
      <c r="S433" s="134" t="s">
        <v>4</v>
      </c>
    </row>
    <row r="434" spans="1:19" x14ac:dyDescent="0.25">
      <c r="A434" s="128">
        <v>418</v>
      </c>
      <c r="B434" s="133"/>
      <c r="C434" s="149">
        <f ca="1">_xll.meDateFromTenor(C433,"1D","FOLLOWING",$D$11,"NORMAL")</f>
        <v>43035</v>
      </c>
      <c r="D434" s="20">
        <f ca="1">_xll.meDateFromTenor(C434,"1D","Following",$D$11,"Normal")</f>
        <v>43038</v>
      </c>
      <c r="E434" s="99">
        <f ca="1"/>
        <v>9.5144881851536595E-3</v>
      </c>
      <c r="F434" s="161">
        <f ca="1">_xll.meCurveForwardRates(C434,$D$9,$D$10)</f>
        <v>9.5551779749398769E-3</v>
      </c>
      <c r="G434" s="7" t="s">
        <v>4</v>
      </c>
      <c r="H434" s="149">
        <f t="shared" ca="1" si="12"/>
        <v>43035</v>
      </c>
      <c r="I434" s="20">
        <f ca="1">_xll.meDateFromTenor(H434,"3M","Following",$I$11,"Normal")</f>
        <v>43129</v>
      </c>
      <c r="J434" s="150">
        <f ca="1"/>
        <v>1.1329392609051818E-2</v>
      </c>
      <c r="K434" s="7" t="s">
        <v>4</v>
      </c>
      <c r="L434" s="149" t="e">
        <f ca="1">_xll.meDateFromTenor(L433,"1D","FOLLOWING",#REF!,"NORMAL")</f>
        <v>#VALUE!</v>
      </c>
      <c r="M434" s="155">
        <f ca="1">_xll.meDateYearFraction(C434,D434,$M$11)</f>
        <v>8.3333333333333332E-3</v>
      </c>
      <c r="N434" s="150">
        <f ca="1"/>
        <v>-2.4300000000065936E-3</v>
      </c>
      <c r="O434" s="7" t="s">
        <v>4</v>
      </c>
      <c r="P434" s="149">
        <f t="shared" ca="1" si="13"/>
        <v>43035</v>
      </c>
      <c r="Q434" s="155">
        <f ca="1">_xll.meDateYearFraction(H434,I434,$Q$11,TRUE)</f>
        <v>0.26111111111111113</v>
      </c>
      <c r="R434" s="150">
        <f ca="1">IF(NOW(),_xll.meCurveForwardRatesFromYearFraction(P434,Q434,$Q$11,$Q$9,$Q$10))</f>
        <v>-3.0404240642705467E-3</v>
      </c>
      <c r="S434" s="134" t="s">
        <v>4</v>
      </c>
    </row>
    <row r="435" spans="1:19" x14ac:dyDescent="0.25">
      <c r="A435" s="128">
        <v>419</v>
      </c>
      <c r="B435" s="133"/>
      <c r="C435" s="149">
        <f ca="1">_xll.meDateFromTenor(C434,"1D","FOLLOWING",$D$11,"NORMAL")</f>
        <v>43038</v>
      </c>
      <c r="D435" s="20">
        <f ca="1">_xll.meDateFromTenor(C435,"1D","Following",$D$11,"Normal")</f>
        <v>43039</v>
      </c>
      <c r="E435" s="99">
        <f ca="1"/>
        <v>9.5223678447986862E-3</v>
      </c>
      <c r="F435" s="161">
        <f ca="1">_xll.meCurveForwardRates(C435,$D$9,$D$10)</f>
        <v>9.5677226993966524E-3</v>
      </c>
      <c r="G435" s="7" t="s">
        <v>4</v>
      </c>
      <c r="H435" s="149">
        <f t="shared" ca="1" si="12"/>
        <v>43038</v>
      </c>
      <c r="I435" s="20">
        <f ca="1">_xll.meDateFromTenor(H435,"3M","Following",$I$11,"Normal")</f>
        <v>43130</v>
      </c>
      <c r="J435" s="150">
        <f ca="1"/>
        <v>1.1352994166737183E-2</v>
      </c>
      <c r="K435" s="7" t="s">
        <v>4</v>
      </c>
      <c r="L435" s="149" t="e">
        <f ca="1">_xll.meDateFromTenor(L434,"1D","FOLLOWING",#REF!,"NORMAL")</f>
        <v>#VALUE!</v>
      </c>
      <c r="M435" s="155">
        <f ca="1">_xll.meDateYearFraction(C435,D435,$M$11)</f>
        <v>2.7777777777777779E-3</v>
      </c>
      <c r="N435" s="150">
        <f ca="1"/>
        <v>-2.4300000000065936E-3</v>
      </c>
      <c r="O435" s="7" t="s">
        <v>4</v>
      </c>
      <c r="P435" s="149">
        <f t="shared" ca="1" si="13"/>
        <v>43038</v>
      </c>
      <c r="Q435" s="155">
        <f ca="1">_xll.meDateYearFraction(H435,I435,$Q$11,TRUE)</f>
        <v>0.25555555555555554</v>
      </c>
      <c r="R435" s="150">
        <f ca="1">IF(NOW(),_xll.meCurveForwardRatesFromYearFraction(P435,Q435,$Q$11,$Q$9,$Q$10))</f>
        <v>-3.0396924630856155E-3</v>
      </c>
      <c r="S435" s="134" t="s">
        <v>4</v>
      </c>
    </row>
    <row r="436" spans="1:19" x14ac:dyDescent="0.25">
      <c r="A436" s="128">
        <v>420</v>
      </c>
      <c r="B436" s="133"/>
      <c r="C436" s="149">
        <f ca="1">_xll.meDateFromTenor(C435,"1D","FOLLOWING",$D$11,"NORMAL")</f>
        <v>43039</v>
      </c>
      <c r="D436" s="20">
        <f ca="1">_xll.meDateFromTenor(C436,"1D","Following",$D$11,"Normal")</f>
        <v>43040</v>
      </c>
      <c r="E436" s="99">
        <f ca="1"/>
        <v>9.5260507238404193E-3</v>
      </c>
      <c r="F436" s="161">
        <f ca="1">_xll.meCurveForwardRates(C436,$D$9,$D$10)</f>
        <v>9.5714407236857646E-3</v>
      </c>
      <c r="G436" s="7" t="s">
        <v>4</v>
      </c>
      <c r="H436" s="149">
        <f t="shared" ca="1" si="12"/>
        <v>43039</v>
      </c>
      <c r="I436" s="20">
        <f ca="1">_xll.meDateFromTenor(H436,"3M","Following",$I$11,"Normal")</f>
        <v>43131</v>
      </c>
      <c r="J436" s="150">
        <f ca="1"/>
        <v>1.1360861352632303E-2</v>
      </c>
      <c r="K436" s="7" t="s">
        <v>4</v>
      </c>
      <c r="L436" s="149" t="e">
        <f ca="1">_xll.meDateFromTenor(L435,"1D","FOLLOWING",#REF!,"NORMAL")</f>
        <v>#VALUE!</v>
      </c>
      <c r="M436" s="155">
        <f ca="1">_xll.meDateYearFraction(C436,D436,$M$11)</f>
        <v>2.7777777777777779E-3</v>
      </c>
      <c r="N436" s="150">
        <f ca="1"/>
        <v>-2.4300000000065936E-3</v>
      </c>
      <c r="O436" s="7" t="s">
        <v>4</v>
      </c>
      <c r="P436" s="149">
        <f t="shared" ca="1" si="13"/>
        <v>43039</v>
      </c>
      <c r="Q436" s="155">
        <f ca="1">_xll.meDateYearFraction(H436,I436,$Q$11,TRUE)</f>
        <v>0.25555555555555554</v>
      </c>
      <c r="R436" s="150">
        <f ca="1">IF(NOW(),_xll.meCurveForwardRatesFromYearFraction(P436,Q436,$Q$11,$Q$9,$Q$10))</f>
        <v>-3.7175485397107962E-3</v>
      </c>
      <c r="S436" s="134" t="s">
        <v>4</v>
      </c>
    </row>
    <row r="437" spans="1:19" x14ac:dyDescent="0.25">
      <c r="A437" s="128">
        <v>421</v>
      </c>
      <c r="B437" s="133"/>
      <c r="C437" s="149">
        <f ca="1">_xll.meDateFromTenor(C436,"1D","FOLLOWING",$D$11,"NORMAL")</f>
        <v>43040</v>
      </c>
      <c r="D437" s="20">
        <f ca="1">_xll.meDateFromTenor(C437,"1D","Following",$D$11,"Normal")</f>
        <v>43041</v>
      </c>
      <c r="E437" s="99">
        <f ca="1"/>
        <v>9.5295039616161495E-3</v>
      </c>
      <c r="F437" s="161">
        <f ca="1">_xll.meCurveForwardRates(C437,$D$9,$D$10)</f>
        <v>9.5749269276754756E-3</v>
      </c>
      <c r="G437" s="7" t="s">
        <v>4</v>
      </c>
      <c r="H437" s="149">
        <f t="shared" ca="1" si="12"/>
        <v>43040</v>
      </c>
      <c r="I437" s="20">
        <f ca="1">_xll.meDateFromTenor(H437,"3M","Following",$I$11,"Normal")</f>
        <v>43132</v>
      </c>
      <c r="J437" s="150">
        <f ca="1"/>
        <v>1.1368728538527426E-2</v>
      </c>
      <c r="K437" s="7" t="s">
        <v>4</v>
      </c>
      <c r="L437" s="149" t="e">
        <f ca="1">_xll.meDateFromTenor(L436,"1D","FOLLOWING",#REF!,"NORMAL")</f>
        <v>#VALUE!</v>
      </c>
      <c r="M437" s="155">
        <f ca="1">_xll.meDateYearFraction(C437,D437,$M$11)</f>
        <v>2.7777777777777779E-3</v>
      </c>
      <c r="N437" s="150">
        <f ca="1"/>
        <v>-2.4300000000065936E-3</v>
      </c>
      <c r="O437" s="7" t="s">
        <v>4</v>
      </c>
      <c r="P437" s="149">
        <f t="shared" ca="1" si="13"/>
        <v>43040</v>
      </c>
      <c r="Q437" s="155">
        <f ca="1">_xll.meDateYearFraction(H437,I437,$Q$11,TRUE)</f>
        <v>0.25555555555555554</v>
      </c>
      <c r="R437" s="150">
        <f ca="1">IF(NOW(),_xll.meCurveForwardRatesFromYearFraction(P437,Q437,$Q$11,$Q$9,$Q$10))</f>
        <v>-3.0392210193171862E-3</v>
      </c>
      <c r="S437" s="134" t="s">
        <v>4</v>
      </c>
    </row>
    <row r="438" spans="1:19" x14ac:dyDescent="0.25">
      <c r="A438" s="128">
        <v>422</v>
      </c>
      <c r="B438" s="133"/>
      <c r="C438" s="149">
        <f ca="1">_xll.meDateFromTenor(C437,"1D","FOLLOWING",$D$11,"NORMAL")</f>
        <v>43041</v>
      </c>
      <c r="D438" s="20">
        <f ca="1">_xll.meDateFromTenor(C438,"1D","Following",$D$11,"Normal")</f>
        <v>43042</v>
      </c>
      <c r="E438" s="99">
        <f ca="1"/>
        <v>9.5327275339052511E-3</v>
      </c>
      <c r="F438" s="161">
        <f ca="1">_xll.meCurveForwardRates(C438,$D$9,$D$10)</f>
        <v>9.5781812845188163E-3</v>
      </c>
      <c r="G438" s="7" t="s">
        <v>4</v>
      </c>
      <c r="H438" s="149">
        <f t="shared" ca="1" si="12"/>
        <v>43041</v>
      </c>
      <c r="I438" s="20">
        <f ca="1">_xll.meDateFromTenor(H438,"3M","Following",$I$11,"Normal")</f>
        <v>43133</v>
      </c>
      <c r="J438" s="150">
        <f ca="1"/>
        <v>1.1376595724422546E-2</v>
      </c>
      <c r="K438" s="7" t="s">
        <v>4</v>
      </c>
      <c r="L438" s="149" t="e">
        <f ca="1">_xll.meDateFromTenor(L437,"1D","FOLLOWING",#REF!,"NORMAL")</f>
        <v>#VALUE!</v>
      </c>
      <c r="M438" s="155">
        <f ca="1">_xll.meDateYearFraction(C438,D438,$M$11)</f>
        <v>2.7777777777777779E-3</v>
      </c>
      <c r="N438" s="150">
        <f ca="1"/>
        <v>-2.4300000000065936E-3</v>
      </c>
      <c r="O438" s="7" t="s">
        <v>4</v>
      </c>
      <c r="P438" s="149">
        <f t="shared" ca="1" si="13"/>
        <v>43041</v>
      </c>
      <c r="Q438" s="155">
        <f ca="1">_xll.meDateYearFraction(H438,I438,$Q$11,TRUE)</f>
        <v>0.25555555555555554</v>
      </c>
      <c r="R438" s="150">
        <f ca="1">IF(NOW(),_xll.meCurveForwardRatesFromYearFraction(P438,Q438,$Q$11,$Q$9,$Q$10))</f>
        <v>-3.7175485397107962E-3</v>
      </c>
      <c r="S438" s="134" t="s">
        <v>4</v>
      </c>
    </row>
    <row r="439" spans="1:19" x14ac:dyDescent="0.25">
      <c r="A439" s="128">
        <v>423</v>
      </c>
      <c r="B439" s="133"/>
      <c r="C439" s="149">
        <f ca="1">_xll.meDateFromTenor(C438,"1D","FOLLOWING",$D$11,"NORMAL")</f>
        <v>43042</v>
      </c>
      <c r="D439" s="20">
        <f ca="1">_xll.meDateFromTenor(C439,"1D","Following",$D$11,"Normal")</f>
        <v>43045</v>
      </c>
      <c r="E439" s="99">
        <f ca="1"/>
        <v>9.5386617330906268E-3</v>
      </c>
      <c r="F439" s="161">
        <f ca="1">_xll.meCurveForwardRates(C439,$D$9,$D$10)</f>
        <v>9.5812037672857731E-3</v>
      </c>
      <c r="G439" s="7" t="s">
        <v>4</v>
      </c>
      <c r="H439" s="149">
        <f t="shared" ca="1" si="12"/>
        <v>43042</v>
      </c>
      <c r="I439" s="20">
        <f ca="1">_xll.meDateFromTenor(H439,"3M","Following",$I$11,"Normal")</f>
        <v>43136</v>
      </c>
      <c r="J439" s="150">
        <f ca="1"/>
        <v>1.1384462910317668E-2</v>
      </c>
      <c r="K439" s="7" t="s">
        <v>4</v>
      </c>
      <c r="L439" s="149" t="e">
        <f ca="1">_xll.meDateFromTenor(L438,"1D","FOLLOWING",#REF!,"NORMAL")</f>
        <v>#VALUE!</v>
      </c>
      <c r="M439" s="155">
        <f ca="1">_xll.meDateYearFraction(C439,D439,$M$11)</f>
        <v>8.3333333333333332E-3</v>
      </c>
      <c r="N439" s="150">
        <f ca="1"/>
        <v>-2.4300000000065936E-3</v>
      </c>
      <c r="O439" s="7" t="s">
        <v>4</v>
      </c>
      <c r="P439" s="149">
        <f t="shared" ca="1" si="13"/>
        <v>43042</v>
      </c>
      <c r="Q439" s="155">
        <f ca="1">_xll.meDateYearFraction(H439,I439,$Q$11,TRUE)</f>
        <v>0.26111111111111113</v>
      </c>
      <c r="R439" s="150">
        <f ca="1">IF(NOW(),_xll.meCurveForwardRatesFromYearFraction(P439,Q439,$Q$11,$Q$9,$Q$10))</f>
        <v>-3.7175485397107962E-3</v>
      </c>
      <c r="S439" s="134" t="s">
        <v>4</v>
      </c>
    </row>
    <row r="440" spans="1:19" x14ac:dyDescent="0.25">
      <c r="A440" s="128">
        <v>424</v>
      </c>
      <c r="B440" s="133"/>
      <c r="C440" s="149">
        <f ca="1">_xll.meDateFromTenor(C439,"1D","FOLLOWING",$D$11,"NORMAL")</f>
        <v>43045</v>
      </c>
      <c r="D440" s="20">
        <f ca="1">_xll.meDateFromTenor(C440,"1D","Following",$D$11,"Normal")</f>
        <v>43046</v>
      </c>
      <c r="E440" s="99">
        <f ca="1"/>
        <v>9.5433246818643971E-3</v>
      </c>
      <c r="F440" s="161">
        <f ca="1">_xll.meCurveForwardRates(C440,$D$9,$D$10)</f>
        <v>9.5888797071188581E-3</v>
      </c>
      <c r="G440" s="7" t="s">
        <v>4</v>
      </c>
      <c r="H440" s="149">
        <f t="shared" ca="1" si="12"/>
        <v>43045</v>
      </c>
      <c r="I440" s="20">
        <f ca="1">_xll.meDateFromTenor(H440,"3M","Following",$I$11,"Normal")</f>
        <v>43137</v>
      </c>
      <c r="J440" s="150">
        <f ca="1"/>
        <v>1.1408064468003033E-2</v>
      </c>
      <c r="K440" s="7" t="s">
        <v>4</v>
      </c>
      <c r="L440" s="149" t="e">
        <f ca="1">_xll.meDateFromTenor(L439,"1D","FOLLOWING",#REF!,"NORMAL")</f>
        <v>#VALUE!</v>
      </c>
      <c r="M440" s="155">
        <f ca="1">_xll.meDateYearFraction(C440,D440,$M$11)</f>
        <v>2.7777777777777779E-3</v>
      </c>
      <c r="N440" s="150">
        <f ca="1"/>
        <v>-2.4300000000065936E-3</v>
      </c>
      <c r="O440" s="7" t="s">
        <v>4</v>
      </c>
      <c r="P440" s="149">
        <f t="shared" ca="1" si="13"/>
        <v>43045</v>
      </c>
      <c r="Q440" s="155">
        <f ca="1">_xll.meDateYearFraction(H440,I440,$Q$11,TRUE)</f>
        <v>0.25555555555555554</v>
      </c>
      <c r="R440" s="150">
        <f ca="1">IF(NOW(),_xll.meCurveForwardRatesFromYearFraction(P440,Q440,$Q$11,$Q$9,$Q$10))</f>
        <v>-3.7175485397107962E-3</v>
      </c>
      <c r="S440" s="134" t="s">
        <v>4</v>
      </c>
    </row>
    <row r="441" spans="1:19" x14ac:dyDescent="0.25">
      <c r="A441" s="128">
        <v>425</v>
      </c>
      <c r="B441" s="133"/>
      <c r="C441" s="149">
        <f ca="1">_xll.meDateFromTenor(C440,"1D","FOLLOWING",$D$11,"NORMAL")</f>
        <v>43046</v>
      </c>
      <c r="D441" s="20">
        <f ca="1">_xll.meDateFromTenor(C441,"1D","Following",$D$11,"Normal")</f>
        <v>43047</v>
      </c>
      <c r="E441" s="99">
        <f ca="1"/>
        <v>9.5453995622119328E-3</v>
      </c>
      <c r="F441" s="161">
        <f ca="1">_xll.meCurveForwardRates(C441,$D$9,$D$10)</f>
        <v>9.5909744298821042E-3</v>
      </c>
      <c r="G441" s="7" t="s">
        <v>4</v>
      </c>
      <c r="H441" s="149">
        <f t="shared" ca="1" si="12"/>
        <v>43046</v>
      </c>
      <c r="I441" s="20">
        <f ca="1">_xll.meDateFromTenor(H441,"3M","Following",$I$11,"Normal")</f>
        <v>43138</v>
      </c>
      <c r="J441" s="150">
        <f ca="1"/>
        <v>1.1415931653898155E-2</v>
      </c>
      <c r="K441" s="7" t="s">
        <v>4</v>
      </c>
      <c r="L441" s="149" t="e">
        <f ca="1">_xll.meDateFromTenor(L440,"1D","FOLLOWING",#REF!,"NORMAL")</f>
        <v>#VALUE!</v>
      </c>
      <c r="M441" s="155">
        <f ca="1">_xll.meDateYearFraction(C441,D441,$M$11)</f>
        <v>2.7777777777777779E-3</v>
      </c>
      <c r="N441" s="150">
        <f ca="1"/>
        <v>-2.4300000000065936E-3</v>
      </c>
      <c r="O441" s="7" t="s">
        <v>4</v>
      </c>
      <c r="P441" s="149">
        <f t="shared" ca="1" si="13"/>
        <v>43046</v>
      </c>
      <c r="Q441" s="155">
        <f ca="1">_xll.meDateYearFraction(H441,I441,$Q$11,TRUE)</f>
        <v>0.25555555555555554</v>
      </c>
      <c r="R441" s="150">
        <f ca="1">IF(NOW(),_xll.meCurveForwardRatesFromYearFraction(P441,Q441,$Q$11,$Q$9,$Q$10))</f>
        <v>-3.0378687458052665E-3</v>
      </c>
      <c r="S441" s="134" t="s">
        <v>4</v>
      </c>
    </row>
    <row r="442" spans="1:19" x14ac:dyDescent="0.25">
      <c r="A442" s="128">
        <v>426</v>
      </c>
      <c r="B442" s="133"/>
      <c r="C442" s="149">
        <f ca="1">_xll.meDateFromTenor(C441,"1D","FOLLOWING",$D$11,"NORMAL")</f>
        <v>43047</v>
      </c>
      <c r="D442" s="20">
        <f ca="1">_xll.meDateFromTenor(C442,"1D","Following",$D$11,"Normal")</f>
        <v>43048</v>
      </c>
      <c r="E442" s="99">
        <f ca="1"/>
        <v>9.5472446311095985E-3</v>
      </c>
      <c r="F442" s="161">
        <f ca="1">_xll.meCurveForwardRates(C442,$D$9,$D$10)</f>
        <v>9.592837147112121E-3</v>
      </c>
      <c r="G442" s="7" t="s">
        <v>4</v>
      </c>
      <c r="H442" s="149">
        <f t="shared" ca="1" si="12"/>
        <v>43047</v>
      </c>
      <c r="I442" s="20">
        <f ca="1">_xll.meDateFromTenor(H442,"3M","Following",$I$11,"Normal")</f>
        <v>43139</v>
      </c>
      <c r="J442" s="150">
        <f ca="1"/>
        <v>1.1423798839793275E-2</v>
      </c>
      <c r="K442" s="7" t="s">
        <v>4</v>
      </c>
      <c r="L442" s="149" t="e">
        <f ca="1">_xll.meDateFromTenor(L441,"1D","FOLLOWING",#REF!,"NORMAL")</f>
        <v>#VALUE!</v>
      </c>
      <c r="M442" s="155">
        <f ca="1">_xll.meDateYearFraction(C442,D442,$M$11)</f>
        <v>2.7777777777777779E-3</v>
      </c>
      <c r="N442" s="150">
        <f ca="1"/>
        <v>-2.4300000000065936E-3</v>
      </c>
      <c r="O442" s="7" t="s">
        <v>4</v>
      </c>
      <c r="P442" s="149">
        <f t="shared" ca="1" si="13"/>
        <v>43047</v>
      </c>
      <c r="Q442" s="155">
        <f ca="1">_xll.meDateYearFraction(H442,I442,$Q$11,TRUE)</f>
        <v>0.25555555555555554</v>
      </c>
      <c r="R442" s="150">
        <f ca="1">IF(NOW(),_xll.meCurveForwardRatesFromYearFraction(P442,Q442,$Q$11,$Q$9,$Q$10))</f>
        <v>-3.0376504916740424E-3</v>
      </c>
      <c r="S442" s="134" t="s">
        <v>4</v>
      </c>
    </row>
    <row r="443" spans="1:19" x14ac:dyDescent="0.25">
      <c r="A443" s="128">
        <v>427</v>
      </c>
      <c r="B443" s="133"/>
      <c r="C443" s="149">
        <f ca="1">_xll.meDateFromTenor(C442,"1D","FOLLOWING",$D$11,"NORMAL")</f>
        <v>43048</v>
      </c>
      <c r="D443" s="20">
        <f ca="1">_xll.meDateFromTenor(C443,"1D","Following",$D$11,"Normal")</f>
        <v>43049</v>
      </c>
      <c r="E443" s="99">
        <f ca="1"/>
        <v>9.5488598643367686E-3</v>
      </c>
      <c r="F443" s="161">
        <f ca="1">_xll.meCurveForwardRates(C443,$D$9,$D$10)</f>
        <v>9.594467833075937E-3</v>
      </c>
      <c r="G443" s="7" t="s">
        <v>4</v>
      </c>
      <c r="H443" s="149">
        <f t="shared" ca="1" si="12"/>
        <v>43048</v>
      </c>
      <c r="I443" s="20">
        <f ca="1">_xll.meDateFromTenor(H443,"3M","Following",$I$11,"Normal")</f>
        <v>43140</v>
      </c>
      <c r="J443" s="150">
        <f ca="1"/>
        <v>1.1431666025688398E-2</v>
      </c>
      <c r="K443" s="7" t="s">
        <v>4</v>
      </c>
      <c r="L443" s="149" t="e">
        <f ca="1">_xll.meDateFromTenor(L442,"1D","FOLLOWING",#REF!,"NORMAL")</f>
        <v>#VALUE!</v>
      </c>
      <c r="M443" s="155">
        <f ca="1">_xll.meDateYearFraction(C443,D443,$M$11)</f>
        <v>2.7777777777777779E-3</v>
      </c>
      <c r="N443" s="150">
        <f ca="1"/>
        <v>-2.4300000000065936E-3</v>
      </c>
      <c r="O443" s="7" t="s">
        <v>4</v>
      </c>
      <c r="P443" s="149">
        <f t="shared" ca="1" si="13"/>
        <v>43048</v>
      </c>
      <c r="Q443" s="155">
        <f ca="1">_xll.meDateYearFraction(H443,I443,$Q$11,TRUE)</f>
        <v>0.25555555555555554</v>
      </c>
      <c r="R443" s="150">
        <f ca="1">IF(NOW(),_xll.meCurveForwardRatesFromYearFraction(P443,Q443,$Q$11,$Q$9,$Q$10))</f>
        <v>-3.7175485397107962E-3</v>
      </c>
      <c r="S443" s="134" t="s">
        <v>4</v>
      </c>
    </row>
    <row r="444" spans="1:19" x14ac:dyDescent="0.25">
      <c r="A444" s="128">
        <v>428</v>
      </c>
      <c r="B444" s="133"/>
      <c r="C444" s="149">
        <f ca="1">_xll.meDateFromTenor(C443,"1D","FOLLOWING",$D$11,"NORMAL")</f>
        <v>43049</v>
      </c>
      <c r="D444" s="20">
        <f ca="1">_xll.meDateFromTenor(C444,"1D","Following",$D$11,"Normal")</f>
        <v>43052</v>
      </c>
      <c r="E444" s="99">
        <f ca="1"/>
        <v>9.5515775024513153E-3</v>
      </c>
      <c r="F444" s="161">
        <f ca="1">_xll.meCurveForwardRates(C444,$D$9,$D$10)</f>
        <v>9.5958664618771561E-3</v>
      </c>
      <c r="G444" s="7" t="s">
        <v>4</v>
      </c>
      <c r="H444" s="149">
        <f t="shared" ca="1" si="12"/>
        <v>43049</v>
      </c>
      <c r="I444" s="20">
        <f ca="1">_xll.meDateFromTenor(H444,"3M","Following",$I$11,"Normal")</f>
        <v>43143</v>
      </c>
      <c r="J444" s="150">
        <f ca="1"/>
        <v>1.143953321158352E-2</v>
      </c>
      <c r="K444" s="7" t="s">
        <v>4</v>
      </c>
      <c r="L444" s="149" t="e">
        <f ca="1">_xll.meDateFromTenor(L443,"1D","FOLLOWING",#REF!,"NORMAL")</f>
        <v>#VALUE!</v>
      </c>
      <c r="M444" s="155">
        <f ca="1">_xll.meDateYearFraction(C444,D444,$M$11)</f>
        <v>8.3333333333333332E-3</v>
      </c>
      <c r="N444" s="150">
        <f ca="1"/>
        <v>-2.4300000000065936E-3</v>
      </c>
      <c r="O444" s="7" t="s">
        <v>4</v>
      </c>
      <c r="P444" s="149">
        <f t="shared" ca="1" si="13"/>
        <v>43049</v>
      </c>
      <c r="Q444" s="155">
        <f ca="1">_xll.meDateYearFraction(H444,I444,$Q$11,TRUE)</f>
        <v>0.26111111111111113</v>
      </c>
      <c r="R444" s="150">
        <f ca="1">IF(NOW(),_xll.meCurveForwardRatesFromYearFraction(P444,Q444,$Q$11,$Q$9,$Q$10))</f>
        <v>-3.7175485397107962E-3</v>
      </c>
      <c r="S444" s="134" t="s">
        <v>4</v>
      </c>
    </row>
    <row r="445" spans="1:19" x14ac:dyDescent="0.25">
      <c r="A445" s="128">
        <v>429</v>
      </c>
      <c r="B445" s="133"/>
      <c r="C445" s="149">
        <f ca="1">_xll.meDateFromTenor(C444,"1D","FOLLOWING",$D$11,"NORMAL")</f>
        <v>43052</v>
      </c>
      <c r="D445" s="20">
        <f ca="1">_xll.meDateFromTenor(C445,"1D","Following",$D$11,"Normal")</f>
        <v>43053</v>
      </c>
      <c r="E445" s="99">
        <f ca="1"/>
        <v>9.5530219522111173E-3</v>
      </c>
      <c r="F445" s="161">
        <f ca="1">_xll.meCurveForwardRates(C445,$D$9,$D$10)</f>
        <v>9.5986697512344676E-3</v>
      </c>
      <c r="G445" s="7" t="s">
        <v>4</v>
      </c>
      <c r="H445" s="149">
        <f t="shared" ca="1" si="12"/>
        <v>43052</v>
      </c>
      <c r="I445" s="20">
        <f ca="1">_xll.meDateFromTenor(H445,"3M","Following",$I$11,"Normal")</f>
        <v>43144</v>
      </c>
      <c r="J445" s="150">
        <f ca="1"/>
        <v>1.1463134769268885E-2</v>
      </c>
      <c r="K445" s="7" t="s">
        <v>4</v>
      </c>
      <c r="L445" s="149" t="e">
        <f ca="1">_xll.meDateFromTenor(L444,"1D","FOLLOWING",#REF!,"NORMAL")</f>
        <v>#VALUE!</v>
      </c>
      <c r="M445" s="155">
        <f ca="1">_xll.meDateYearFraction(C445,D445,$M$11)</f>
        <v>2.7777777777777779E-3</v>
      </c>
      <c r="N445" s="150">
        <f ca="1"/>
        <v>-2.4300000000065936E-3</v>
      </c>
      <c r="O445" s="7" t="s">
        <v>4</v>
      </c>
      <c r="P445" s="149">
        <f t="shared" ca="1" si="13"/>
        <v>43052</v>
      </c>
      <c r="Q445" s="155">
        <f ca="1">_xll.meDateYearFraction(H445,I445,$Q$11,TRUE)</f>
        <v>0.25555555555555554</v>
      </c>
      <c r="R445" s="150">
        <f ca="1">IF(NOW(),_xll.meCurveForwardRatesFromYearFraction(P445,Q445,$Q$11,$Q$9,$Q$10))</f>
        <v>-3.036578754064401E-3</v>
      </c>
      <c r="S445" s="134" t="s">
        <v>4</v>
      </c>
    </row>
    <row r="446" spans="1:19" x14ac:dyDescent="0.25">
      <c r="A446" s="128">
        <v>430</v>
      </c>
      <c r="B446" s="133"/>
      <c r="C446" s="149">
        <f ca="1">_xll.meDateFromTenor(C445,"1D","FOLLOWING",$D$11,"NORMAL")</f>
        <v>43053</v>
      </c>
      <c r="D446" s="20">
        <f ca="1">_xll.meDateFromTenor(C446,"1D","Following",$D$11,"Normal")</f>
        <v>43054</v>
      </c>
      <c r="E446" s="99">
        <f ca="1"/>
        <v>9.5534876588044063E-3</v>
      </c>
      <c r="F446" s="161">
        <f ca="1">_xll.meCurveForwardRates(C446,$D$9,$D$10)</f>
        <v>9.5991399156243329E-3</v>
      </c>
      <c r="G446" s="7" t="s">
        <v>4</v>
      </c>
      <c r="H446" s="149">
        <f t="shared" ca="1" si="12"/>
        <v>43053</v>
      </c>
      <c r="I446" s="20">
        <f ca="1">_xll.meDateFromTenor(H446,"3M","Following",$I$11,"Normal")</f>
        <v>43145</v>
      </c>
      <c r="J446" s="150">
        <f ca="1"/>
        <v>1.1471001955164007E-2</v>
      </c>
      <c r="K446" s="7" t="s">
        <v>4</v>
      </c>
      <c r="L446" s="149" t="e">
        <f ca="1">_xll.meDateFromTenor(L445,"1D","FOLLOWING",#REF!,"NORMAL")</f>
        <v>#VALUE!</v>
      </c>
      <c r="M446" s="155">
        <f ca="1">_xll.meDateYearFraction(C446,D446,$M$11)</f>
        <v>2.7777777777777779E-3</v>
      </c>
      <c r="N446" s="150">
        <f ca="1"/>
        <v>-2.4300000000065936E-3</v>
      </c>
      <c r="O446" s="7" t="s">
        <v>4</v>
      </c>
      <c r="P446" s="149">
        <f t="shared" ca="1" si="13"/>
        <v>43053</v>
      </c>
      <c r="Q446" s="155">
        <f ca="1">_xll.meDateYearFraction(H446,I446,$Q$11,TRUE)</f>
        <v>0.25555555555555554</v>
      </c>
      <c r="R446" s="150">
        <f ca="1">IF(NOW(),_xll.meCurveForwardRatesFromYearFraction(P446,Q446,$Q$11,$Q$9,$Q$10))</f>
        <v>-3.7175485397107962E-3</v>
      </c>
      <c r="S446" s="134" t="s">
        <v>4</v>
      </c>
    </row>
    <row r="447" spans="1:19" x14ac:dyDescent="0.25">
      <c r="A447" s="128">
        <v>431</v>
      </c>
      <c r="B447" s="133"/>
      <c r="C447" s="149">
        <f ca="1">_xll.meDateFromTenor(C446,"1D","FOLLOWING",$D$11,"NORMAL")</f>
        <v>43054</v>
      </c>
      <c r="D447" s="20">
        <f ca="1">_xll.meDateFromTenor(C447,"1D","Following",$D$11,"Normal")</f>
        <v>43055</v>
      </c>
      <c r="E447" s="99">
        <f ca="1"/>
        <v>9.5537712864857474E-3</v>
      </c>
      <c r="F447" s="161">
        <f ca="1">_xll.meCurveForwardRates(C447,$D$9,$D$10)</f>
        <v>9.5994262583289913E-3</v>
      </c>
      <c r="G447" s="7" t="s">
        <v>4</v>
      </c>
      <c r="H447" s="149">
        <f t="shared" ca="1" si="12"/>
        <v>43054</v>
      </c>
      <c r="I447" s="20">
        <f ca="1">_xll.meDateFromTenor(H447,"3M","Following",$I$11,"Normal")</f>
        <v>43146</v>
      </c>
      <c r="J447" s="150">
        <f ca="1"/>
        <v>1.1478869141059127E-2</v>
      </c>
      <c r="K447" s="7" t="s">
        <v>4</v>
      </c>
      <c r="L447" s="149" t="e">
        <f ca="1">_xll.meDateFromTenor(L446,"1D","FOLLOWING",#REF!,"NORMAL")</f>
        <v>#VALUE!</v>
      </c>
      <c r="M447" s="155">
        <f ca="1">_xll.meDateYearFraction(C447,D447,$M$11)</f>
        <v>2.7777777777777779E-3</v>
      </c>
      <c r="N447" s="150">
        <f ca="1"/>
        <v>-2.4300000000065936E-3</v>
      </c>
      <c r="O447" s="7" t="s">
        <v>4</v>
      </c>
      <c r="P447" s="149">
        <f t="shared" ca="1" si="13"/>
        <v>43054</v>
      </c>
      <c r="Q447" s="155">
        <f ca="1">_xll.meDateYearFraction(H447,I447,$Q$11,TRUE)</f>
        <v>0.25555555555555554</v>
      </c>
      <c r="R447" s="150">
        <f ca="1">IF(NOW(),_xll.meCurveForwardRatesFromYearFraction(P447,Q447,$Q$11,$Q$9,$Q$10))</f>
        <v>-3.0361557516734583E-3</v>
      </c>
      <c r="S447" s="134" t="s">
        <v>4</v>
      </c>
    </row>
    <row r="448" spans="1:19" x14ac:dyDescent="0.25">
      <c r="A448" s="128">
        <v>432</v>
      </c>
      <c r="B448" s="133"/>
      <c r="C448" s="149">
        <f ca="1">_xll.meDateFromTenor(C447,"1D","FOLLOWING",$D$11,"NORMAL")</f>
        <v>43055</v>
      </c>
      <c r="D448" s="20">
        <f ca="1">_xll.meDateFromTenor(C448,"1D","Following",$D$11,"Normal")</f>
        <v>43056</v>
      </c>
      <c r="E448" s="99">
        <f ca="1"/>
        <v>9.5540248335890601E-3</v>
      </c>
      <c r="F448" s="161">
        <f ca="1">_xll.meCurveForwardRates(C448,$D$9,$D$10)</f>
        <v>9.5996822325783437E-3</v>
      </c>
      <c r="G448" s="7" t="s">
        <v>4</v>
      </c>
      <c r="H448" s="149">
        <f t="shared" ca="1" si="12"/>
        <v>43055</v>
      </c>
      <c r="I448" s="20">
        <f ca="1">_xll.meDateFromTenor(H448,"3M","Following",$I$11,"Normal")</f>
        <v>43147</v>
      </c>
      <c r="J448" s="150">
        <f ca="1"/>
        <v>1.1486736326954249E-2</v>
      </c>
      <c r="K448" s="7" t="s">
        <v>4</v>
      </c>
      <c r="L448" s="149" t="e">
        <f ca="1">_xll.meDateFromTenor(L447,"1D","FOLLOWING",#REF!,"NORMAL")</f>
        <v>#VALUE!</v>
      </c>
      <c r="M448" s="155">
        <f ca="1">_xll.meDateYearFraction(C448,D448,$M$11)</f>
        <v>2.7777777777777779E-3</v>
      </c>
      <c r="N448" s="150">
        <f ca="1"/>
        <v>-2.4300000000065936E-3</v>
      </c>
      <c r="O448" s="7" t="s">
        <v>4</v>
      </c>
      <c r="P448" s="149">
        <f t="shared" ca="1" si="13"/>
        <v>43055</v>
      </c>
      <c r="Q448" s="155">
        <f ca="1">_xll.meDateYearFraction(H448,I448,$Q$11,TRUE)</f>
        <v>0.25555555555555554</v>
      </c>
      <c r="R448" s="150">
        <f ca="1">IF(NOW(),_xll.meCurveForwardRatesFromYearFraction(P448,Q448,$Q$11,$Q$9,$Q$10))</f>
        <v>-3.7175485397107962E-3</v>
      </c>
      <c r="S448" s="134" t="s">
        <v>4</v>
      </c>
    </row>
    <row r="449" spans="1:19" x14ac:dyDescent="0.25">
      <c r="A449" s="128">
        <v>433</v>
      </c>
      <c r="B449" s="133"/>
      <c r="C449" s="149">
        <f ca="1">_xll.meDateFromTenor(C448,"1D","FOLLOWING",$D$11,"NORMAL")</f>
        <v>43056</v>
      </c>
      <c r="D449" s="20">
        <f ca="1">_xll.meDateFromTenor(C449,"1D","Following",$D$11,"Normal")</f>
        <v>43059</v>
      </c>
      <c r="E449" s="99">
        <f ca="1"/>
        <v>9.5547855557942887E-3</v>
      </c>
      <c r="F449" s="161">
        <f ca="1">_xll.meCurveForwardRates(C449,$D$9,$D$10)</f>
        <v>9.5999382206115591E-3</v>
      </c>
      <c r="G449" s="7" t="s">
        <v>4</v>
      </c>
      <c r="H449" s="149">
        <f t="shared" ca="1" si="12"/>
        <v>43056</v>
      </c>
      <c r="I449" s="20">
        <f ca="1">_xll.meDateFromTenor(H449,"3M","Following",$I$11,"Normal")</f>
        <v>43151</v>
      </c>
      <c r="J449" s="150">
        <f ca="1"/>
        <v>1.1494603512849371E-2</v>
      </c>
      <c r="K449" s="7" t="s">
        <v>4</v>
      </c>
      <c r="L449" s="149" t="e">
        <f ca="1">_xll.meDateFromTenor(L448,"1D","FOLLOWING",#REF!,"NORMAL")</f>
        <v>#VALUE!</v>
      </c>
      <c r="M449" s="155">
        <f ca="1">_xll.meDateYearFraction(C449,D449,$M$11)</f>
        <v>8.3333333333333332E-3</v>
      </c>
      <c r="N449" s="150">
        <f ca="1"/>
        <v>-2.4300000000065936E-3</v>
      </c>
      <c r="O449" s="7" t="s">
        <v>4</v>
      </c>
      <c r="P449" s="149">
        <f t="shared" ca="1" si="13"/>
        <v>43056</v>
      </c>
      <c r="Q449" s="155">
        <f ca="1">_xll.meDateYearFraction(H449,I449,$Q$11,TRUE)</f>
        <v>0.2638888888888889</v>
      </c>
      <c r="R449" s="150">
        <f ca="1">IF(NOW(),_xll.meCurveForwardRatesFromYearFraction(P449,Q449,$Q$11,$Q$9,$Q$10))</f>
        <v>-3.0357338073839645E-3</v>
      </c>
      <c r="S449" s="134" t="s">
        <v>4</v>
      </c>
    </row>
    <row r="450" spans="1:19" x14ac:dyDescent="0.25">
      <c r="A450" s="128">
        <v>434</v>
      </c>
      <c r="B450" s="133"/>
      <c r="C450" s="149">
        <f ca="1">_xll.meDateFromTenor(C449,"1D","FOLLOWING",$D$11,"NORMAL")</f>
        <v>43059</v>
      </c>
      <c r="D450" s="20">
        <f ca="1">_xll.meDateFromTenor(C450,"1D","Following",$D$11,"Normal")</f>
        <v>43060</v>
      </c>
      <c r="E450" s="99">
        <f ca="1"/>
        <v>9.5550391567745044E-3</v>
      </c>
      <c r="F450" s="161">
        <f ca="1">_xll.meCurveForwardRates(C450,$D$9,$D$10)</f>
        <v>9.600706266285286E-3</v>
      </c>
      <c r="G450" s="7" t="s">
        <v>4</v>
      </c>
      <c r="H450" s="149">
        <f t="shared" ca="1" si="12"/>
        <v>43059</v>
      </c>
      <c r="I450" s="20">
        <f ca="1">_xll.meDateFromTenor(H450,"3M","Following",$I$11,"Normal")</f>
        <v>43151</v>
      </c>
      <c r="J450" s="150">
        <f ca="1"/>
        <v>1.1518205070534734E-2</v>
      </c>
      <c r="K450" s="7" t="s">
        <v>4</v>
      </c>
      <c r="L450" s="149" t="e">
        <f ca="1">_xll.meDateFromTenor(L449,"1D","FOLLOWING",#REF!,"NORMAL")</f>
        <v>#VALUE!</v>
      </c>
      <c r="M450" s="155">
        <f ca="1">_xll.meDateYearFraction(C450,D450,$M$11)</f>
        <v>2.7777777777777779E-3</v>
      </c>
      <c r="N450" s="150">
        <f ca="1"/>
        <v>-2.4300000000065936E-3</v>
      </c>
      <c r="O450" s="7" t="s">
        <v>4</v>
      </c>
      <c r="P450" s="149">
        <f t="shared" ca="1" si="13"/>
        <v>43059</v>
      </c>
      <c r="Q450" s="155">
        <f ca="1">_xll.meDateYearFraction(H450,I450,$Q$11,TRUE)</f>
        <v>0.25555555555555554</v>
      </c>
      <c r="R450" s="150">
        <f ca="1">IF(NOW(),_xll.meCurveForwardRatesFromYearFraction(P450,Q450,$Q$11,$Q$9,$Q$10))</f>
        <v>-3.7175485397107962E-3</v>
      </c>
      <c r="S450" s="134" t="s">
        <v>4</v>
      </c>
    </row>
    <row r="451" spans="1:19" x14ac:dyDescent="0.25">
      <c r="A451" s="128">
        <v>435</v>
      </c>
      <c r="B451" s="133"/>
      <c r="C451" s="149">
        <f ca="1">_xll.meDateFromTenor(C450,"1D","FOLLOWING",$D$11,"NORMAL")</f>
        <v>43060</v>
      </c>
      <c r="D451" s="20">
        <f ca="1">_xll.meDateFromTenor(C451,"1D","Following",$D$11,"Normal")</f>
        <v>43061</v>
      </c>
      <c r="E451" s="99">
        <f ca="1"/>
        <v>9.5552927711832127E-3</v>
      </c>
      <c r="F451" s="161">
        <f ca="1">_xll.meCurveForwardRates(C451,$D$9,$D$10)</f>
        <v>9.6009623088078033E-3</v>
      </c>
      <c r="G451" s="7" t="s">
        <v>4</v>
      </c>
      <c r="H451" s="149">
        <f t="shared" ca="1" si="12"/>
        <v>43060</v>
      </c>
      <c r="I451" s="20">
        <f ca="1">_xll.meDateFromTenor(H451,"3M","Following",$I$11,"Normal")</f>
        <v>43152</v>
      </c>
      <c r="J451" s="150">
        <f ca="1"/>
        <v>1.1526072256429857E-2</v>
      </c>
      <c r="K451" s="7" t="s">
        <v>4</v>
      </c>
      <c r="L451" s="149" t="e">
        <f ca="1">_xll.meDateFromTenor(L450,"1D","FOLLOWING",#REF!,"NORMAL")</f>
        <v>#VALUE!</v>
      </c>
      <c r="M451" s="155">
        <f ca="1">_xll.meDateYearFraction(C451,D451,$M$11)</f>
        <v>2.7777777777777779E-3</v>
      </c>
      <c r="N451" s="150">
        <f ca="1"/>
        <v>-2.4300000000065936E-3</v>
      </c>
      <c r="O451" s="7" t="s">
        <v>4</v>
      </c>
      <c r="P451" s="149">
        <f t="shared" ca="1" si="13"/>
        <v>43060</v>
      </c>
      <c r="Q451" s="155">
        <f ca="1">_xll.meDateYearFraction(H451,I451,$Q$11,TRUE)</f>
        <v>0.25555555555555554</v>
      </c>
      <c r="R451" s="150">
        <f ca="1">IF(NOW(),_xll.meCurveForwardRatesFromYearFraction(P451,Q451,$Q$11,$Q$9,$Q$10))</f>
        <v>-3.0348900994636554E-3</v>
      </c>
      <c r="S451" s="134" t="s">
        <v>4</v>
      </c>
    </row>
    <row r="452" spans="1:19" x14ac:dyDescent="0.25">
      <c r="A452" s="128">
        <v>436</v>
      </c>
      <c r="B452" s="133"/>
      <c r="C452" s="149">
        <f ca="1">_xll.meDateFromTenor(C451,"1D","FOLLOWING",$D$11,"NORMAL")</f>
        <v>43061</v>
      </c>
      <c r="D452" s="20">
        <f ca="1">_xll.meDateFromTenor(C452,"1D","Following",$D$11,"Normal")</f>
        <v>43063</v>
      </c>
      <c r="E452" s="99">
        <f ca="1"/>
        <v>9.5558000404505697E-3</v>
      </c>
      <c r="F452" s="161">
        <f ca="1">_xll.meCurveForwardRates(C452,$D$9,$D$10)</f>
        <v>9.6012183649547556E-3</v>
      </c>
      <c r="G452" s="7" t="s">
        <v>4</v>
      </c>
      <c r="H452" s="149">
        <f t="shared" ca="1" si="12"/>
        <v>43061</v>
      </c>
      <c r="I452" s="20">
        <f ca="1">_xll.meDateFromTenor(H452,"3M","Following",$I$11,"Normal")</f>
        <v>43153</v>
      </c>
      <c r="J452" s="150">
        <f ca="1"/>
        <v>1.1533939442324977E-2</v>
      </c>
      <c r="K452" s="7" t="s">
        <v>4</v>
      </c>
      <c r="L452" s="149" t="e">
        <f ca="1">_xll.meDateFromTenor(L451,"1D","FOLLOWING",#REF!,"NORMAL")</f>
        <v>#VALUE!</v>
      </c>
      <c r="M452" s="155">
        <f ca="1">_xll.meDateYearFraction(C452,D452,$M$11)</f>
        <v>5.5555555555555558E-3</v>
      </c>
      <c r="N452" s="150">
        <f ca="1"/>
        <v>-2.4300000000065936E-3</v>
      </c>
      <c r="O452" s="7" t="s">
        <v>4</v>
      </c>
      <c r="P452" s="149">
        <f t="shared" ca="1" si="13"/>
        <v>43061</v>
      </c>
      <c r="Q452" s="155">
        <f ca="1">_xll.meDateYearFraction(H452,I452,$Q$11,TRUE)</f>
        <v>0.25555555555555554</v>
      </c>
      <c r="R452" s="150">
        <f ca="1">IF(NOW(),_xll.meCurveForwardRatesFromYearFraction(P452,Q452,$Q$11,$Q$9,$Q$10))</f>
        <v>-3.7175485397107962E-3</v>
      </c>
      <c r="S452" s="134" t="s">
        <v>4</v>
      </c>
    </row>
    <row r="453" spans="1:19" x14ac:dyDescent="0.25">
      <c r="A453" s="128">
        <v>437</v>
      </c>
      <c r="B453" s="133"/>
      <c r="C453" s="149">
        <f ca="1">_xll.meDateFromTenor(C452,"1D","FOLLOWING",$D$11,"NORMAL")</f>
        <v>43063</v>
      </c>
      <c r="D453" s="20">
        <f ca="1">_xll.meDateFromTenor(C453,"1D","Following",$D$11,"Normal")</f>
        <v>43066</v>
      </c>
      <c r="E453" s="99">
        <f ca="1"/>
        <v>9.575381073592161E-3</v>
      </c>
      <c r="F453" s="161">
        <f ca="1">_xll.meCurveForwardRates(C453,$D$9,$D$10)</f>
        <v>9.6081792875926109E-3</v>
      </c>
      <c r="G453" s="7" t="s">
        <v>4</v>
      </c>
      <c r="H453" s="149">
        <f t="shared" ca="1" si="12"/>
        <v>43063</v>
      </c>
      <c r="I453" s="20">
        <f ca="1">_xll.meDateFromTenor(H453,"3M","Following",$I$11,"Normal")</f>
        <v>43157</v>
      </c>
      <c r="J453" s="150">
        <f ca="1"/>
        <v>1.154967381411571E-2</v>
      </c>
      <c r="K453" s="7" t="s">
        <v>4</v>
      </c>
      <c r="L453" s="149" t="e">
        <f ca="1">_xll.meDateFromTenor(L452,"1D","FOLLOWING",#REF!,"NORMAL")</f>
        <v>#VALUE!</v>
      </c>
      <c r="M453" s="155">
        <f ca="1">_xll.meDateYearFraction(C453,D453,$M$11)</f>
        <v>8.3333333333333332E-3</v>
      </c>
      <c r="N453" s="150">
        <f ca="1"/>
        <v>-2.4300000000065936E-3</v>
      </c>
      <c r="O453" s="7" t="s">
        <v>4</v>
      </c>
      <c r="P453" s="149">
        <f t="shared" ca="1" si="13"/>
        <v>43063</v>
      </c>
      <c r="Q453" s="155">
        <f ca="1">_xll.meDateYearFraction(H453,I453,$Q$11,TRUE)</f>
        <v>0.26111111111111113</v>
      </c>
      <c r="R453" s="150">
        <f ca="1">IF(NOW(),_xll.meCurveForwardRatesFromYearFraction(P453,Q453,$Q$11,$Q$9,$Q$10))</f>
        <v>-3.0342573185234236E-3</v>
      </c>
      <c r="S453" s="134" t="s">
        <v>4</v>
      </c>
    </row>
    <row r="454" spans="1:19" x14ac:dyDescent="0.25">
      <c r="A454" s="128">
        <v>438</v>
      </c>
      <c r="B454" s="133"/>
      <c r="C454" s="149">
        <f ca="1">_xll.meDateFromTenor(C453,"1D","FOLLOWING",$D$11,"NORMAL")</f>
        <v>43066</v>
      </c>
      <c r="D454" s="20">
        <f ca="1">_xll.meDateFromTenor(C454,"1D","Following",$D$11,"Normal")</f>
        <v>43067</v>
      </c>
      <c r="E454" s="99">
        <f ca="1"/>
        <v>9.5998091074811845E-3</v>
      </c>
      <c r="F454" s="161">
        <f ca="1">_xll.meCurveForwardRates(C454,$D$9,$D$10)</f>
        <v>9.6459058494344774E-3</v>
      </c>
      <c r="G454" s="7" t="s">
        <v>4</v>
      </c>
      <c r="H454" s="149">
        <f t="shared" ca="1" si="12"/>
        <v>43066</v>
      </c>
      <c r="I454" s="20">
        <f ca="1">_xll.meDateFromTenor(H454,"3M","Following",$I$11,"Normal")</f>
        <v>43158</v>
      </c>
      <c r="J454" s="150">
        <f ca="1"/>
        <v>1.1573275371800586E-2</v>
      </c>
      <c r="K454" s="7" t="s">
        <v>4</v>
      </c>
      <c r="L454" s="149" t="e">
        <f ca="1">_xll.meDateFromTenor(L453,"1D","FOLLOWING",#REF!,"NORMAL")</f>
        <v>#VALUE!</v>
      </c>
      <c r="M454" s="155">
        <f ca="1">_xll.meDateYearFraction(C454,D454,$M$11)</f>
        <v>2.7777777777777779E-3</v>
      </c>
      <c r="N454" s="150">
        <f ca="1"/>
        <v>-2.4300000000065936E-3</v>
      </c>
      <c r="O454" s="7" t="s">
        <v>4</v>
      </c>
      <c r="P454" s="149">
        <f t="shared" ca="1" si="13"/>
        <v>43066</v>
      </c>
      <c r="Q454" s="155">
        <f ca="1">_xll.meDateYearFraction(H454,I454,$Q$11,TRUE)</f>
        <v>0.25555555555555554</v>
      </c>
      <c r="R454" s="150">
        <f ca="1">IF(NOW(),_xll.meCurveForwardRatesFromYearFraction(P454,Q454,$Q$11,$Q$9,$Q$10))</f>
        <v>-3.7175485397107962E-3</v>
      </c>
      <c r="S454" s="134" t="s">
        <v>4</v>
      </c>
    </row>
    <row r="455" spans="1:19" x14ac:dyDescent="0.25">
      <c r="A455" s="128">
        <v>439</v>
      </c>
      <c r="B455" s="133"/>
      <c r="C455" s="149">
        <f ca="1">_xll.meDateFromTenor(C454,"1D","FOLLOWING",$D$11,"NORMAL")</f>
        <v>43067</v>
      </c>
      <c r="D455" s="20">
        <f ca="1">_xll.meDateFromTenor(C455,"1D","Following",$D$11,"Normal")</f>
        <v>43068</v>
      </c>
      <c r="E455" s="99">
        <f ca="1"/>
        <v>9.6115774746419538E-3</v>
      </c>
      <c r="F455" s="161">
        <f ca="1">_xll.meCurveForwardRates(C455,$D$9,$D$10)</f>
        <v>9.6577874860388491E-3</v>
      </c>
      <c r="G455" s="7" t="s">
        <v>4</v>
      </c>
      <c r="H455" s="149">
        <f t="shared" ca="1" si="12"/>
        <v>43067</v>
      </c>
      <c r="I455" s="20">
        <f ca="1">_xll.meDateFromTenor(H455,"3M","Following",$I$11,"Normal")</f>
        <v>43159</v>
      </c>
      <c r="J455" s="150">
        <f ca="1"/>
        <v>1.1581142557695708E-2</v>
      </c>
      <c r="K455" s="7" t="s">
        <v>4</v>
      </c>
      <c r="L455" s="149" t="e">
        <f ca="1">_xll.meDateFromTenor(L454,"1D","FOLLOWING",#REF!,"NORMAL")</f>
        <v>#VALUE!</v>
      </c>
      <c r="M455" s="155">
        <f ca="1">_xll.meDateYearFraction(C455,D455,$M$11)</f>
        <v>2.7777777777777779E-3</v>
      </c>
      <c r="N455" s="150">
        <f ca="1"/>
        <v>-2.4300000000065936E-3</v>
      </c>
      <c r="O455" s="7" t="s">
        <v>4</v>
      </c>
      <c r="P455" s="149">
        <f t="shared" ca="1" si="13"/>
        <v>43067</v>
      </c>
      <c r="Q455" s="155">
        <f ca="1">_xll.meDateYearFraction(H455,I455,$Q$11,TRUE)</f>
        <v>0.25555555555555554</v>
      </c>
      <c r="R455" s="150">
        <f ca="1">IF(NOW(),_xll.meCurveForwardRatesFromYearFraction(P455,Q455,$Q$11,$Q$9,$Q$10))</f>
        <v>-3.7175485397107962E-3</v>
      </c>
      <c r="S455" s="134" t="s">
        <v>4</v>
      </c>
    </row>
    <row r="456" spans="1:19" x14ac:dyDescent="0.25">
      <c r="A456" s="128">
        <v>440</v>
      </c>
      <c r="B456" s="133"/>
      <c r="C456" s="149">
        <f ca="1">_xll.meDateFromTenor(C455,"1D","FOLLOWING",$D$11,"NORMAL")</f>
        <v>43068</v>
      </c>
      <c r="D456" s="20">
        <f ca="1">_xll.meDateFromTenor(C456,"1D","Following",$D$11,"Normal")</f>
        <v>43069</v>
      </c>
      <c r="E456" s="99">
        <f ca="1"/>
        <v>9.6230019954113635E-3</v>
      </c>
      <c r="F456" s="161">
        <f ca="1">_xll.meCurveForwardRates(C456,$D$9,$D$10)</f>
        <v>9.6693221001469265E-3</v>
      </c>
      <c r="G456" s="7" t="s">
        <v>4</v>
      </c>
      <c r="H456" s="149">
        <f t="shared" ca="1" si="12"/>
        <v>43068</v>
      </c>
      <c r="I456" s="20">
        <f ca="1">_xll.meDateFromTenor(H456,"3M","Following",$I$11,"Normal")</f>
        <v>43159</v>
      </c>
      <c r="J456" s="150">
        <f ca="1"/>
        <v>1.1589009743590829E-2</v>
      </c>
      <c r="K456" s="7" t="s">
        <v>4</v>
      </c>
      <c r="L456" s="149" t="e">
        <f ca="1">_xll.meDateFromTenor(L455,"1D","FOLLOWING",#REF!,"NORMAL")</f>
        <v>#VALUE!</v>
      </c>
      <c r="M456" s="155">
        <f ca="1">_xll.meDateYearFraction(C456,D456,$M$11)</f>
        <v>2.7777777777777779E-3</v>
      </c>
      <c r="N456" s="150">
        <f ca="1"/>
        <v>-2.4300000000065936E-3</v>
      </c>
      <c r="O456" s="7" t="s">
        <v>4</v>
      </c>
      <c r="P456" s="149">
        <f t="shared" ca="1" si="13"/>
        <v>43068</v>
      </c>
      <c r="Q456" s="155">
        <f ca="1">_xll.meDateYearFraction(H456,I456,$Q$11,TRUE)</f>
        <v>0.25277777777777777</v>
      </c>
      <c r="R456" s="150">
        <f ca="1">IF(NOW(),_xll.meCurveForwardRatesFromYearFraction(P456,Q456,$Q$11,$Q$9,$Q$10))</f>
        <v>-3.0337787707887288E-3</v>
      </c>
      <c r="S456" s="134" t="s">
        <v>4</v>
      </c>
    </row>
    <row r="457" spans="1:19" x14ac:dyDescent="0.25">
      <c r="A457" s="128">
        <v>441</v>
      </c>
      <c r="B457" s="133"/>
      <c r="C457" s="149">
        <f ca="1">_xll.meDateFromTenor(C456,"1D","FOLLOWING",$D$11,"NORMAL")</f>
        <v>43069</v>
      </c>
      <c r="D457" s="20">
        <f ca="1">_xll.meDateFromTenor(C457,"1D","Following",$D$11,"Normal")</f>
        <v>43070</v>
      </c>
      <c r="E457" s="99">
        <f ca="1"/>
        <v>9.6340826340579958E-3</v>
      </c>
      <c r="F457" s="161">
        <f ca="1">_xll.meCurveForwardRates(C457,$D$9,$D$10)</f>
        <v>9.6805096438186133E-3</v>
      </c>
      <c r="G457" s="7" t="s">
        <v>4</v>
      </c>
      <c r="H457" s="149">
        <f t="shared" ca="1" si="12"/>
        <v>43069</v>
      </c>
      <c r="I457" s="20">
        <f ca="1">_xll.meDateFromTenor(H457,"3M","Following",$I$11,"Normal")</f>
        <v>43159</v>
      </c>
      <c r="J457" s="150">
        <f ca="1"/>
        <v>1.1596876929485951E-2</v>
      </c>
      <c r="K457" s="7" t="s">
        <v>4</v>
      </c>
      <c r="L457" s="149" t="e">
        <f ca="1">_xll.meDateFromTenor(L456,"1D","FOLLOWING",#REF!,"NORMAL")</f>
        <v>#VALUE!</v>
      </c>
      <c r="M457" s="155">
        <f ca="1">_xll.meDateYearFraction(C457,D457,$M$11)</f>
        <v>2.7777777777777779E-3</v>
      </c>
      <c r="N457" s="150">
        <f ca="1"/>
        <v>-2.4300000000065936E-3</v>
      </c>
      <c r="O457" s="7" t="s">
        <v>4</v>
      </c>
      <c r="P457" s="149">
        <f t="shared" ca="1" si="13"/>
        <v>43069</v>
      </c>
      <c r="Q457" s="155">
        <f ca="1">_xll.meDateYearFraction(H457,I457,$Q$11,TRUE)</f>
        <v>0.25</v>
      </c>
      <c r="R457" s="150">
        <f ca="1">IF(NOW(),_xll.meCurveForwardRatesFromYearFraction(P457,Q457,$Q$11,$Q$9,$Q$10))</f>
        <v>-3.0337664085724613E-3</v>
      </c>
      <c r="S457" s="134" t="s">
        <v>4</v>
      </c>
    </row>
    <row r="458" spans="1:19" x14ac:dyDescent="0.25">
      <c r="A458" s="128">
        <v>442</v>
      </c>
      <c r="B458" s="133"/>
      <c r="C458" s="149">
        <f ca="1">_xll.meDateFromTenor(C457,"1D","FOLLOWING",$D$11,"NORMAL")</f>
        <v>43070</v>
      </c>
      <c r="D458" s="20">
        <f ca="1">_xll.meDateFromTenor(C458,"1D","Following",$D$11,"Normal")</f>
        <v>43073</v>
      </c>
      <c r="E458" s="99">
        <f ca="1"/>
        <v>9.6553564072810252E-3</v>
      </c>
      <c r="F458" s="161">
        <f ca="1">_xll.meCurveForwardRates(C458,$D$9,$D$10)</f>
        <v>9.6913500693081023E-3</v>
      </c>
      <c r="G458" s="7" t="s">
        <v>4</v>
      </c>
      <c r="H458" s="149">
        <f t="shared" ca="1" si="12"/>
        <v>43070</v>
      </c>
      <c r="I458" s="20">
        <f ca="1">_xll.meDateFromTenor(H458,"3M","Following",$I$11,"Normal")</f>
        <v>43160</v>
      </c>
      <c r="J458" s="150">
        <f ca="1"/>
        <v>1.1604744115381071E-2</v>
      </c>
      <c r="K458" s="7" t="s">
        <v>4</v>
      </c>
      <c r="L458" s="149" t="e">
        <f ca="1">_xll.meDateFromTenor(L457,"1D","FOLLOWING",#REF!,"NORMAL")</f>
        <v>#VALUE!</v>
      </c>
      <c r="M458" s="155">
        <f ca="1">_xll.meDateYearFraction(C458,D458,$M$11)</f>
        <v>8.3333333333333332E-3</v>
      </c>
      <c r="N458" s="150">
        <f ca="1"/>
        <v>-2.4300000000065936E-3</v>
      </c>
      <c r="O458" s="7" t="s">
        <v>4</v>
      </c>
      <c r="P458" s="149">
        <f t="shared" ca="1" si="13"/>
        <v>43070</v>
      </c>
      <c r="Q458" s="155">
        <f ca="1">_xll.meDateYearFraction(H458,I458,$Q$11,TRUE)</f>
        <v>0.25</v>
      </c>
      <c r="R458" s="150">
        <f ca="1">IF(NOW(),_xll.meCurveForwardRatesFromYearFraction(P458,Q458,$Q$11,$Q$9,$Q$10))</f>
        <v>-3.7175485397107962E-3</v>
      </c>
      <c r="S458" s="134" t="s">
        <v>4</v>
      </c>
    </row>
    <row r="459" spans="1:19" x14ac:dyDescent="0.25">
      <c r="A459" s="128">
        <v>443</v>
      </c>
      <c r="B459" s="133"/>
      <c r="C459" s="149">
        <f ca="1">_xll.meDateFromTenor(C458,"1D","FOLLOWING",$D$11,"NORMAL")</f>
        <v>43073</v>
      </c>
      <c r="D459" s="20">
        <f ca="1">_xll.meDateFromTenor(C459,"1D","Following",$D$11,"Normal")</f>
        <v>43074</v>
      </c>
      <c r="E459" s="99">
        <f ca="1"/>
        <v>9.6749656487116545E-3</v>
      </c>
      <c r="F459" s="161">
        <f ca="1">_xll.meCurveForwardRates(C459,$D$9,$D$10)</f>
        <v>9.7217881636668668E-3</v>
      </c>
      <c r="G459" s="7" t="s">
        <v>4</v>
      </c>
      <c r="H459" s="149">
        <f t="shared" ca="1" si="12"/>
        <v>43073</v>
      </c>
      <c r="I459" s="20">
        <f ca="1">_xll.meDateFromTenor(H459,"3M","Following",$I$11,"Normal")</f>
        <v>43164</v>
      </c>
      <c r="J459" s="150">
        <f ca="1"/>
        <v>1.1628345673066438E-2</v>
      </c>
      <c r="K459" s="7" t="s">
        <v>4</v>
      </c>
      <c r="L459" s="149" t="e">
        <f ca="1">_xll.meDateFromTenor(L458,"1D","FOLLOWING",#REF!,"NORMAL")</f>
        <v>#VALUE!</v>
      </c>
      <c r="M459" s="155">
        <f ca="1">_xll.meDateYearFraction(C459,D459,$M$11)</f>
        <v>2.7777777777777779E-3</v>
      </c>
      <c r="N459" s="150">
        <f ca="1"/>
        <v>-2.4300000000065936E-3</v>
      </c>
      <c r="O459" s="7" t="s">
        <v>4</v>
      </c>
      <c r="P459" s="149">
        <f t="shared" ca="1" si="13"/>
        <v>43073</v>
      </c>
      <c r="Q459" s="155">
        <f ca="1">_xll.meDateYearFraction(H459,I459,$Q$11,TRUE)</f>
        <v>0.25277777777777777</v>
      </c>
      <c r="R459" s="150">
        <f ca="1">IF(NOW(),_xll.meCurveForwardRatesFromYearFraction(P459,Q459,$Q$11,$Q$9,$Q$10))</f>
        <v>-3.7175485397107962E-3</v>
      </c>
      <c r="S459" s="134" t="s">
        <v>4</v>
      </c>
    </row>
    <row r="460" spans="1:19" x14ac:dyDescent="0.25">
      <c r="A460" s="128">
        <v>444</v>
      </c>
      <c r="B460" s="133"/>
      <c r="C460" s="149">
        <f ca="1">_xll.meDateFromTenor(C459,"1D","FOLLOWING",$D$11,"NORMAL")</f>
        <v>43074</v>
      </c>
      <c r="D460" s="20">
        <f ca="1">_xll.meDateFromTenor(C460,"1D","Following",$D$11,"Normal")</f>
        <v>43075</v>
      </c>
      <c r="E460" s="99">
        <f ca="1"/>
        <v>9.6843263369362012E-3</v>
      </c>
      <c r="F460" s="161">
        <f ca="1">_xll.meCurveForwardRates(C460,$D$9,$D$10)</f>
        <v>9.7312396446251892E-3</v>
      </c>
      <c r="G460" s="7" t="s">
        <v>4</v>
      </c>
      <c r="H460" s="149">
        <f t="shared" ca="1" si="12"/>
        <v>43074</v>
      </c>
      <c r="I460" s="20">
        <f ca="1">_xll.meDateFromTenor(H460,"3M","Following",$I$11,"Normal")</f>
        <v>43164</v>
      </c>
      <c r="J460" s="150">
        <f ca="1"/>
        <v>1.1636212858961558E-2</v>
      </c>
      <c r="K460" s="7" t="s">
        <v>4</v>
      </c>
      <c r="L460" s="149" t="e">
        <f ca="1">_xll.meDateFromTenor(L459,"1D","FOLLOWING",#REF!,"NORMAL")</f>
        <v>#VALUE!</v>
      </c>
      <c r="M460" s="155">
        <f ca="1">_xll.meDateYearFraction(C460,D460,$M$11)</f>
        <v>2.7777777777777779E-3</v>
      </c>
      <c r="N460" s="150">
        <f ca="1"/>
        <v>-2.4300000000065936E-3</v>
      </c>
      <c r="O460" s="7" t="s">
        <v>4</v>
      </c>
      <c r="P460" s="149">
        <f t="shared" ca="1" si="13"/>
        <v>43074</v>
      </c>
      <c r="Q460" s="155">
        <f ca="1">_xll.meDateYearFraction(H460,I460,$Q$11,TRUE)</f>
        <v>0.25</v>
      </c>
      <c r="R460" s="150">
        <f ca="1">IF(NOW(),_xll.meCurveForwardRatesFromYearFraction(P460,Q460,$Q$11,$Q$9,$Q$10))</f>
        <v>-3.7175485397107962E-3</v>
      </c>
      <c r="S460" s="134" t="s">
        <v>4</v>
      </c>
    </row>
    <row r="461" spans="1:19" x14ac:dyDescent="0.25">
      <c r="A461" s="128">
        <v>445</v>
      </c>
      <c r="B461" s="133"/>
      <c r="C461" s="149">
        <f ca="1">_xll.meDateFromTenor(C460,"1D","FOLLOWING",$D$11,"NORMAL")</f>
        <v>43075</v>
      </c>
      <c r="D461" s="20">
        <f ca="1">_xll.meDateFromTenor(C461,"1D","Following",$D$11,"Normal")</f>
        <v>43076</v>
      </c>
      <c r="E461" s="99">
        <f ca="1"/>
        <v>9.6933429264112539E-3</v>
      </c>
      <c r="F461" s="161">
        <f ca="1">_xll.meCurveForwardRates(C461,$D$9,$D$10)</f>
        <v>9.740343772713711E-3</v>
      </c>
      <c r="G461" s="7" t="s">
        <v>4</v>
      </c>
      <c r="H461" s="149">
        <f t="shared" ca="1" si="12"/>
        <v>43075</v>
      </c>
      <c r="I461" s="20">
        <f ca="1">_xll.meDateFromTenor(H461,"3M","Following",$I$11,"Normal")</f>
        <v>43165</v>
      </c>
      <c r="J461" s="150">
        <f ca="1"/>
        <v>1.164408004485668E-2</v>
      </c>
      <c r="K461" s="7" t="s">
        <v>4</v>
      </c>
      <c r="L461" s="149" t="e">
        <f ca="1">_xll.meDateFromTenor(L460,"1D","FOLLOWING",#REF!,"NORMAL")</f>
        <v>#VALUE!</v>
      </c>
      <c r="M461" s="155">
        <f ca="1">_xll.meDateYearFraction(C461,D461,$M$11)</f>
        <v>2.7777777777777779E-3</v>
      </c>
      <c r="N461" s="150">
        <f ca="1"/>
        <v>-2.4300000000065936E-3</v>
      </c>
      <c r="O461" s="7" t="s">
        <v>4</v>
      </c>
      <c r="P461" s="149">
        <f t="shared" ca="1" si="13"/>
        <v>43075</v>
      </c>
      <c r="Q461" s="155">
        <f ca="1">_xll.meDateYearFraction(H461,I461,$Q$11,TRUE)</f>
        <v>0.25</v>
      </c>
      <c r="R461" s="150">
        <f ca="1">IF(NOW(),_xll.meCurveForwardRatesFromYearFraction(P461,Q461,$Q$11,$Q$9,$Q$10))</f>
        <v>-3.0337336811320746E-3</v>
      </c>
      <c r="S461" s="134" t="s">
        <v>4</v>
      </c>
    </row>
    <row r="462" spans="1:19" x14ac:dyDescent="0.25">
      <c r="A462" s="128">
        <v>446</v>
      </c>
      <c r="B462" s="133"/>
      <c r="C462" s="149">
        <f ca="1">_xll.meDateFromTenor(C461,"1D","FOLLOWING",$D$11,"NORMAL")</f>
        <v>43076</v>
      </c>
      <c r="D462" s="20">
        <f ca="1">_xll.meDateFromTenor(C462,"1D","Following",$D$11,"Normal")</f>
        <v>43077</v>
      </c>
      <c r="E462" s="99">
        <f ca="1"/>
        <v>9.7020153807659062E-3</v>
      </c>
      <c r="F462" s="161">
        <f ca="1">_xll.meCurveForwardRates(C462,$D$9,$D$10)</f>
        <v>9.7491005018375265E-3</v>
      </c>
      <c r="G462" s="7" t="s">
        <v>4</v>
      </c>
      <c r="H462" s="149">
        <f t="shared" ca="1" si="12"/>
        <v>43076</v>
      </c>
      <c r="I462" s="20">
        <f ca="1">_xll.meDateFromTenor(H462,"3M","Following",$I$11,"Normal")</f>
        <v>43166</v>
      </c>
      <c r="J462" s="150">
        <f ca="1"/>
        <v>1.1651947230751802E-2</v>
      </c>
      <c r="K462" s="7" t="s">
        <v>4</v>
      </c>
      <c r="L462" s="149" t="e">
        <f ca="1">_xll.meDateFromTenor(L461,"1D","FOLLOWING",#REF!,"NORMAL")</f>
        <v>#VALUE!</v>
      </c>
      <c r="M462" s="155">
        <f ca="1">_xll.meDateYearFraction(C462,D462,$M$11)</f>
        <v>2.7777777777777779E-3</v>
      </c>
      <c r="N462" s="150">
        <f ca="1"/>
        <v>-2.4300000000065936E-3</v>
      </c>
      <c r="O462" s="7" t="s">
        <v>4</v>
      </c>
      <c r="P462" s="149">
        <f t="shared" ca="1" si="13"/>
        <v>43076</v>
      </c>
      <c r="Q462" s="155">
        <f ca="1">_xll.meDateYearFraction(H462,I462,$Q$11,TRUE)</f>
        <v>0.25</v>
      </c>
      <c r="R462" s="150">
        <f ca="1">IF(NOW(),_xll.meCurveForwardRatesFromYearFraction(P462,Q462,$Q$11,$Q$9,$Q$10))</f>
        <v>-3.7175485397107962E-3</v>
      </c>
      <c r="S462" s="134" t="s">
        <v>4</v>
      </c>
    </row>
    <row r="463" spans="1:19" x14ac:dyDescent="0.25">
      <c r="A463" s="128">
        <v>447</v>
      </c>
      <c r="B463" s="133"/>
      <c r="C463" s="149">
        <f ca="1">_xll.meDateFromTenor(C462,"1D","FOLLOWING",$D$11,"NORMAL")</f>
        <v>43077</v>
      </c>
      <c r="D463" s="20">
        <f ca="1">_xll.meDateFromTenor(C463,"1D","Following",$D$11,"Normal")</f>
        <v>43080</v>
      </c>
      <c r="E463" s="99">
        <f ca="1"/>
        <v>9.7184753351520561E-3</v>
      </c>
      <c r="F463" s="161">
        <f ca="1">_xll.meCurveForwardRates(C463,$D$9,$D$10)</f>
        <v>9.7575097859343707E-3</v>
      </c>
      <c r="G463" s="7" t="s">
        <v>4</v>
      </c>
      <c r="H463" s="149">
        <f t="shared" ca="1" si="12"/>
        <v>43077</v>
      </c>
      <c r="I463" s="20">
        <f ca="1">_xll.meDateFromTenor(H463,"3M","Following",$I$11,"Normal")</f>
        <v>43167</v>
      </c>
      <c r="J463" s="150">
        <f ca="1"/>
        <v>1.1659814416646923E-2</v>
      </c>
      <c r="K463" s="7" t="s">
        <v>4</v>
      </c>
      <c r="L463" s="149" t="e">
        <f ca="1">_xll.meDateFromTenor(L462,"1D","FOLLOWING",#REF!,"NORMAL")</f>
        <v>#VALUE!</v>
      </c>
      <c r="M463" s="155">
        <f ca="1">_xll.meDateYearFraction(C463,D463,$M$11)</f>
        <v>8.3333333333333332E-3</v>
      </c>
      <c r="N463" s="150">
        <f ca="1"/>
        <v>-2.4300000000065936E-3</v>
      </c>
      <c r="O463" s="7" t="s">
        <v>4</v>
      </c>
      <c r="P463" s="149">
        <f t="shared" ca="1" si="13"/>
        <v>43077</v>
      </c>
      <c r="Q463" s="155">
        <f ca="1">_xll.meDateYearFraction(H463,I463,$Q$11,TRUE)</f>
        <v>0.25</v>
      </c>
      <c r="R463" s="150">
        <f ca="1">IF(NOW(),_xll.meCurveForwardRatesFromYearFraction(P463,Q463,$Q$11,$Q$9,$Q$10))</f>
        <v>-3.033722948072342E-3</v>
      </c>
      <c r="S463" s="134" t="s">
        <v>4</v>
      </c>
    </row>
    <row r="464" spans="1:19" x14ac:dyDescent="0.25">
      <c r="A464" s="128">
        <v>448</v>
      </c>
      <c r="B464" s="133"/>
      <c r="C464" s="149">
        <f ca="1">_xll.meDateFromTenor(C463,"1D","FOLLOWING",$D$11,"NORMAL")</f>
        <v>43080</v>
      </c>
      <c r="D464" s="20">
        <f ca="1">_xll.meDateFromTenor(C464,"1D","Following",$D$11,"Normal")</f>
        <v>43081</v>
      </c>
      <c r="E464" s="99">
        <f ca="1"/>
        <v>9.7332631147662232E-3</v>
      </c>
      <c r="F464" s="161">
        <f ca="1">_xll.meCurveForwardRates(C464,$D$9,$D$10)</f>
        <v>9.7806525144015222E-3</v>
      </c>
      <c r="G464" s="7" t="s">
        <v>4</v>
      </c>
      <c r="H464" s="149">
        <f t="shared" ca="1" si="12"/>
        <v>43080</v>
      </c>
      <c r="I464" s="20">
        <f ca="1">_xll.meDateFromTenor(H464,"3M","Following",$I$11,"Normal")</f>
        <v>43171</v>
      </c>
      <c r="J464" s="150">
        <f ca="1"/>
        <v>1.1683415974332288E-2</v>
      </c>
      <c r="K464" s="7" t="s">
        <v>4</v>
      </c>
      <c r="L464" s="149" t="e">
        <f ca="1">_xll.meDateFromTenor(L463,"1D","FOLLOWING",#REF!,"NORMAL")</f>
        <v>#VALUE!</v>
      </c>
      <c r="M464" s="155">
        <f ca="1">_xll.meDateYearFraction(C464,D464,$M$11)</f>
        <v>2.7777777777777779E-3</v>
      </c>
      <c r="N464" s="150">
        <f ca="1"/>
        <v>-2.4300000000065936E-3</v>
      </c>
      <c r="O464" s="7" t="s">
        <v>4</v>
      </c>
      <c r="P464" s="149">
        <f t="shared" ca="1" si="13"/>
        <v>43080</v>
      </c>
      <c r="Q464" s="155">
        <f ca="1">_xll.meDateYearFraction(H464,I464,$Q$11,TRUE)</f>
        <v>0.25277777777777777</v>
      </c>
      <c r="R464" s="150">
        <f ca="1">IF(NOW(),_xll.meCurveForwardRatesFromYearFraction(P464,Q464,$Q$11,$Q$9,$Q$10))</f>
        <v>-3.7175485397107962E-3</v>
      </c>
      <c r="S464" s="134" t="s">
        <v>4</v>
      </c>
    </row>
    <row r="465" spans="1:19" x14ac:dyDescent="0.25">
      <c r="A465" s="128">
        <v>449</v>
      </c>
      <c r="B465" s="133"/>
      <c r="C465" s="149">
        <f ca="1">_xll.meDateFromTenor(C464,"1D","FOLLOWING",$D$11,"NORMAL")</f>
        <v>43081</v>
      </c>
      <c r="D465" s="20">
        <f ca="1">_xll.meDateFromTenor(C465,"1D","Following",$D$11,"Normal")</f>
        <v>43082</v>
      </c>
      <c r="E465" s="99">
        <f ca="1"/>
        <v>9.7402143437186686E-3</v>
      </c>
      <c r="F465" s="161">
        <f ca="1">_xll.meCurveForwardRates(C465,$D$9,$D$10)</f>
        <v>9.7876715654636737E-3</v>
      </c>
      <c r="G465" s="7" t="s">
        <v>4</v>
      </c>
      <c r="H465" s="149">
        <f t="shared" ref="H465:H528" ca="1" si="14">$C465</f>
        <v>43081</v>
      </c>
      <c r="I465" s="20">
        <f ca="1">_xll.meDateFromTenor(H465,"3M","Following",$I$11,"Normal")</f>
        <v>43171</v>
      </c>
      <c r="J465" s="150">
        <f ca="1"/>
        <v>1.1691283160227408E-2</v>
      </c>
      <c r="K465" s="7" t="s">
        <v>4</v>
      </c>
      <c r="L465" s="149" t="e">
        <f ca="1">_xll.meDateFromTenor(L464,"1D","FOLLOWING",#REF!,"NORMAL")</f>
        <v>#VALUE!</v>
      </c>
      <c r="M465" s="155">
        <f ca="1">_xll.meDateYearFraction(C465,D465,$M$11)</f>
        <v>2.7777777777777779E-3</v>
      </c>
      <c r="N465" s="150">
        <f ca="1"/>
        <v>-2.4300000000065936E-3</v>
      </c>
      <c r="O465" s="7" t="s">
        <v>4</v>
      </c>
      <c r="P465" s="149">
        <f t="shared" ref="P465:P528" ca="1" si="15">$C465</f>
        <v>43081</v>
      </c>
      <c r="Q465" s="155">
        <f ca="1">_xll.meDateYearFraction(H465,I465,$Q$11,TRUE)</f>
        <v>0.25</v>
      </c>
      <c r="R465" s="150">
        <f ca="1">IF(NOW(),_xll.meCurveForwardRatesFromYearFraction(P465,Q465,$Q$11,$Q$9,$Q$10))</f>
        <v>-3.0337014819528767E-3</v>
      </c>
      <c r="S465" s="134" t="s">
        <v>4</v>
      </c>
    </row>
    <row r="466" spans="1:19" x14ac:dyDescent="0.25">
      <c r="A466" s="128">
        <v>450</v>
      </c>
      <c r="B466" s="133"/>
      <c r="C466" s="149">
        <f ca="1">_xll.meDateFromTenor(C465,"1D","FOLLOWING",$D$11,"NORMAL")</f>
        <v>43082</v>
      </c>
      <c r="D466" s="20">
        <f ca="1">_xll.meDateFromTenor(C466,"1D","Following",$D$11,"Normal")</f>
        <v>43083</v>
      </c>
      <c r="E466" s="99">
        <f ca="1"/>
        <v>9.7468212174060317E-3</v>
      </c>
      <c r="F466" s="161">
        <f ca="1">_xll.meCurveForwardRates(C466,$D$9,$D$10)</f>
        <v>9.7943429465361387E-3</v>
      </c>
      <c r="G466" s="7" t="s">
        <v>4</v>
      </c>
      <c r="H466" s="149">
        <f t="shared" ca="1" si="14"/>
        <v>43082</v>
      </c>
      <c r="I466" s="20">
        <f ca="1">_xll.meDateFromTenor(H466,"3M","Following",$I$11,"Normal")</f>
        <v>43172</v>
      </c>
      <c r="J466" s="150">
        <f ca="1"/>
        <v>1.169915034612253E-2</v>
      </c>
      <c r="K466" s="7" t="s">
        <v>4</v>
      </c>
      <c r="L466" s="149" t="e">
        <f ca="1">_xll.meDateFromTenor(L465,"1D","FOLLOWING",#REF!,"NORMAL")</f>
        <v>#VALUE!</v>
      </c>
      <c r="M466" s="155">
        <f ca="1">_xll.meDateYearFraction(C466,D466,$M$11)</f>
        <v>2.7777777777777779E-3</v>
      </c>
      <c r="N466" s="150">
        <f ca="1"/>
        <v>-2.4300000000065936E-3</v>
      </c>
      <c r="O466" s="7" t="s">
        <v>4</v>
      </c>
      <c r="P466" s="149">
        <f t="shared" ca="1" si="15"/>
        <v>43082</v>
      </c>
      <c r="Q466" s="155">
        <f ca="1">_xll.meDateYearFraction(H466,I466,$Q$11,TRUE)</f>
        <v>0.25</v>
      </c>
      <c r="R466" s="150">
        <f ca="1">IF(NOW(),_xll.meCurveForwardRatesFromYearFraction(P466,Q466,$Q$11,$Q$9,$Q$10))</f>
        <v>-3.7175485397107962E-3</v>
      </c>
      <c r="S466" s="134" t="s">
        <v>4</v>
      </c>
    </row>
    <row r="467" spans="1:19" x14ac:dyDescent="0.25">
      <c r="A467" s="128">
        <v>451</v>
      </c>
      <c r="B467" s="133"/>
      <c r="C467" s="149">
        <f ca="1">_xll.meDateFromTenor(C466,"1D","FOLLOWING",$D$11,"NORMAL")</f>
        <v>43083</v>
      </c>
      <c r="D467" s="20">
        <f ca="1">_xll.meDateFromTenor(C467,"1D","Following",$D$11,"Normal")</f>
        <v>43084</v>
      </c>
      <c r="E467" s="99">
        <f ca="1"/>
        <v>9.7530836986603822E-3</v>
      </c>
      <c r="F467" s="161">
        <f ca="1">_xll.meCurveForwardRates(C467,$D$9,$D$10)</f>
        <v>9.8006666132153253E-3</v>
      </c>
      <c r="G467" s="7" t="s">
        <v>4</v>
      </c>
      <c r="H467" s="149">
        <f t="shared" ca="1" si="14"/>
        <v>43083</v>
      </c>
      <c r="I467" s="20">
        <f ca="1">_xll.meDateFromTenor(H467,"3M","Following",$I$11,"Normal")</f>
        <v>43173</v>
      </c>
      <c r="J467" s="150">
        <f ca="1"/>
        <v>1.1707017532017652E-2</v>
      </c>
      <c r="K467" s="7" t="s">
        <v>4</v>
      </c>
      <c r="L467" s="149" t="e">
        <f ca="1">_xll.meDateFromTenor(L466,"1D","FOLLOWING",#REF!,"NORMAL")</f>
        <v>#VALUE!</v>
      </c>
      <c r="M467" s="155">
        <f ca="1">_xll.meDateYearFraction(C467,D467,$M$11)</f>
        <v>2.7777777777777779E-3</v>
      </c>
      <c r="N467" s="150">
        <f ca="1"/>
        <v>-2.4300000000065936E-3</v>
      </c>
      <c r="O467" s="7" t="s">
        <v>4</v>
      </c>
      <c r="P467" s="149">
        <f t="shared" ca="1" si="15"/>
        <v>43083</v>
      </c>
      <c r="Q467" s="155">
        <f ca="1">_xll.meDateYearFraction(H467,I467,$Q$11,TRUE)</f>
        <v>0.25</v>
      </c>
      <c r="R467" s="150">
        <f ca="1">IF(NOW(),_xll.meCurveForwardRatesFromYearFraction(P467,Q467,$Q$11,$Q$9,$Q$10))</f>
        <v>-3.0336907488931445E-3</v>
      </c>
      <c r="S467" s="134" t="s">
        <v>4</v>
      </c>
    </row>
    <row r="468" spans="1:19" x14ac:dyDescent="0.25">
      <c r="A468" s="128">
        <v>452</v>
      </c>
      <c r="B468" s="133"/>
      <c r="C468" s="149">
        <f ca="1">_xll.meDateFromTenor(C467,"1D","FOLLOWING",$D$11,"NORMAL")</f>
        <v>43084</v>
      </c>
      <c r="D468" s="20">
        <f ca="1">_xll.meDateFromTenor(C468,"1D","Following",$D$11,"Normal")</f>
        <v>43087</v>
      </c>
      <c r="E468" s="99">
        <f ca="1"/>
        <v>9.7647253497701661E-3</v>
      </c>
      <c r="F468" s="161">
        <f ca="1">_xll.meCurveForwardRates(C468,$D$9,$D$10)</f>
        <v>9.8066425215310726E-3</v>
      </c>
      <c r="G468" s="7" t="s">
        <v>4</v>
      </c>
      <c r="H468" s="149">
        <f t="shared" ca="1" si="14"/>
        <v>43084</v>
      </c>
      <c r="I468" s="20">
        <f ca="1">_xll.meDateFromTenor(H468,"3M","Following",$I$11,"Normal")</f>
        <v>43174</v>
      </c>
      <c r="J468" s="150">
        <f ca="1"/>
        <v>1.1714884717912774E-2</v>
      </c>
      <c r="K468" s="7" t="s">
        <v>4</v>
      </c>
      <c r="L468" s="149" t="e">
        <f ca="1">_xll.meDateFromTenor(L467,"1D","FOLLOWING",#REF!,"NORMAL")</f>
        <v>#VALUE!</v>
      </c>
      <c r="M468" s="155">
        <f ca="1">_xll.meDateYearFraction(C468,D468,$M$11)</f>
        <v>8.3333333333333332E-3</v>
      </c>
      <c r="N468" s="150">
        <f ca="1"/>
        <v>-2.4300000000065936E-3</v>
      </c>
      <c r="O468" s="7" t="s">
        <v>4</v>
      </c>
      <c r="P468" s="149">
        <f t="shared" ca="1" si="15"/>
        <v>43084</v>
      </c>
      <c r="Q468" s="155">
        <f ca="1">_xll.meDateYearFraction(H468,I468,$Q$11,TRUE)</f>
        <v>0.25</v>
      </c>
      <c r="R468" s="150">
        <f ca="1">IF(NOW(),_xll.meCurveForwardRatesFromYearFraction(P468,Q468,$Q$11,$Q$9,$Q$10))</f>
        <v>-3.7175485397107962E-3</v>
      </c>
      <c r="S468" s="134" t="s">
        <v>4</v>
      </c>
    </row>
    <row r="469" spans="1:19" x14ac:dyDescent="0.25">
      <c r="A469" s="128">
        <v>453</v>
      </c>
      <c r="B469" s="133"/>
      <c r="C469" s="149">
        <f ca="1">_xll.meDateFromTenor(C468,"1D","FOLLOWING",$D$11,"NORMAL")</f>
        <v>43087</v>
      </c>
      <c r="D469" s="20">
        <f ca="1">_xll.meDateFromTenor(C469,"1D","Following",$D$11,"Normal")</f>
        <v>43088</v>
      </c>
      <c r="E469" s="99">
        <f ca="1"/>
        <v>9.77468895792203E-3</v>
      </c>
      <c r="F469" s="161">
        <f ca="1">_xll.meCurveForwardRates(C469,$D$9,$D$10)</f>
        <v>9.8224832623874381E-3</v>
      </c>
      <c r="G469" s="7" t="s">
        <v>4</v>
      </c>
      <c r="H469" s="149">
        <f t="shared" ca="1" si="14"/>
        <v>43087</v>
      </c>
      <c r="I469" s="20">
        <f ca="1">_xll.meDateFromTenor(H469,"3M","Following",$I$11,"Normal")</f>
        <v>43178</v>
      </c>
      <c r="J469" s="150">
        <f ca="1"/>
        <v>1.1738486275598139E-2</v>
      </c>
      <c r="K469" s="7" t="s">
        <v>4</v>
      </c>
      <c r="L469" s="149" t="e">
        <f ca="1">_xll.meDateFromTenor(L468,"1D","FOLLOWING",#REF!,"NORMAL")</f>
        <v>#VALUE!</v>
      </c>
      <c r="M469" s="155">
        <f ca="1">_xll.meDateYearFraction(C469,D469,$M$11)</f>
        <v>2.7777777777777779E-3</v>
      </c>
      <c r="N469" s="150">
        <f ca="1"/>
        <v>-2.4300000000065936E-3</v>
      </c>
      <c r="O469" s="7" t="s">
        <v>4</v>
      </c>
      <c r="P469" s="149">
        <f t="shared" ca="1" si="15"/>
        <v>43087</v>
      </c>
      <c r="Q469" s="155">
        <f ca="1">_xll.meDateYearFraction(H469,I469,$Q$11,TRUE)</f>
        <v>0.25277777777777777</v>
      </c>
      <c r="R469" s="150">
        <f ca="1">IF(NOW(),_xll.meCurveForwardRatesFromYearFraction(P469,Q469,$Q$11,$Q$9,$Q$10))</f>
        <v>-3.0336692827736792E-3</v>
      </c>
      <c r="S469" s="134" t="s">
        <v>4</v>
      </c>
    </row>
    <row r="470" spans="1:19" x14ac:dyDescent="0.25">
      <c r="A470" s="128">
        <v>454</v>
      </c>
      <c r="B470" s="133"/>
      <c r="C470" s="149">
        <f ca="1">_xll.meDateFromTenor(C469,"1D","FOLLOWING",$D$11,"NORMAL")</f>
        <v>43088</v>
      </c>
      <c r="D470" s="20">
        <f ca="1">_xll.meDateFromTenor(C470,"1D","Following",$D$11,"Normal")</f>
        <v>43089</v>
      </c>
      <c r="E470" s="99">
        <f ca="1"/>
        <v>9.7792289204079799E-3</v>
      </c>
      <c r="F470" s="161">
        <f ca="1">_xll.meCurveForwardRates(C470,$D$9,$D$10)</f>
        <v>9.8270677044800525E-3</v>
      </c>
      <c r="G470" s="7" t="s">
        <v>4</v>
      </c>
      <c r="H470" s="149">
        <f t="shared" ca="1" si="14"/>
        <v>43088</v>
      </c>
      <c r="I470" s="20">
        <f ca="1">_xll.meDateFromTenor(H470,"3M","Following",$I$11,"Normal")</f>
        <v>43178</v>
      </c>
      <c r="J470" s="150">
        <f ca="1"/>
        <v>1.174635346149326E-2</v>
      </c>
      <c r="K470" s="7" t="s">
        <v>4</v>
      </c>
      <c r="L470" s="149" t="e">
        <f ca="1">_xll.meDateFromTenor(L469,"1D","FOLLOWING",#REF!,"NORMAL")</f>
        <v>#VALUE!</v>
      </c>
      <c r="M470" s="155">
        <f ca="1">_xll.meDateYearFraction(C470,D470,$M$11)</f>
        <v>2.7777777777777779E-3</v>
      </c>
      <c r="N470" s="150">
        <f ca="1"/>
        <v>-2.4300000000065936E-3</v>
      </c>
      <c r="O470" s="7" t="s">
        <v>4</v>
      </c>
      <c r="P470" s="149">
        <f t="shared" ca="1" si="15"/>
        <v>43088</v>
      </c>
      <c r="Q470" s="155">
        <f ca="1">_xll.meDateYearFraction(H470,I470,$Q$11,TRUE)</f>
        <v>0.25</v>
      </c>
      <c r="R470" s="150">
        <f ca="1">IF(NOW(),_xll.meCurveForwardRatesFromYearFraction(P470,Q470,$Q$11,$Q$9,$Q$10))</f>
        <v>-3.7175485397107962E-3</v>
      </c>
      <c r="S470" s="134" t="s">
        <v>4</v>
      </c>
    </row>
    <row r="471" spans="1:19" x14ac:dyDescent="0.25">
      <c r="A471" s="128">
        <v>455</v>
      </c>
      <c r="B471" s="133"/>
      <c r="C471" s="149">
        <f ca="1">_xll.meDateFromTenor(C470,"1D","FOLLOWING",$D$11,"NORMAL")</f>
        <v>43089</v>
      </c>
      <c r="D471" s="20">
        <f ca="1">_xll.meDateFromTenor(C471,"1D","Following",$D$11,"Normal")</f>
        <v>43090</v>
      </c>
      <c r="E471" s="99">
        <f ca="1"/>
        <v>9.7834242675176944E-3</v>
      </c>
      <c r="F471" s="161">
        <f ca="1">_xll.meCurveForwardRates(C471,$D$9,$D$10)</f>
        <v>9.8313041733302242E-3</v>
      </c>
      <c r="G471" s="7" t="s">
        <v>4</v>
      </c>
      <c r="H471" s="149">
        <f t="shared" ca="1" si="14"/>
        <v>43089</v>
      </c>
      <c r="I471" s="20">
        <f ca="1">_xll.meDateFromTenor(H471,"3M","Following",$I$11,"Normal")</f>
        <v>43179</v>
      </c>
      <c r="J471" s="150">
        <f ca="1"/>
        <v>1.1754220647388382E-2</v>
      </c>
      <c r="K471" s="7" t="s">
        <v>4</v>
      </c>
      <c r="L471" s="149" t="e">
        <f ca="1">_xll.meDateFromTenor(L470,"1D","FOLLOWING",#REF!,"NORMAL")</f>
        <v>#VALUE!</v>
      </c>
      <c r="M471" s="155">
        <f ca="1">_xll.meDateYearFraction(C471,D471,$M$11)</f>
        <v>2.7777777777777779E-3</v>
      </c>
      <c r="N471" s="150">
        <f ca="1"/>
        <v>-2.4300000000065936E-3</v>
      </c>
      <c r="O471" s="7" t="s">
        <v>4</v>
      </c>
      <c r="P471" s="149">
        <f t="shared" ca="1" si="15"/>
        <v>43089</v>
      </c>
      <c r="Q471" s="155">
        <f ca="1">_xll.meDateYearFraction(H471,I471,$Q$11,TRUE)</f>
        <v>0.25</v>
      </c>
      <c r="R471" s="150">
        <f ca="1">IF(NOW(),_xll.meCurveForwardRatesFromYearFraction(P471,Q471,$Q$11,$Q$9,$Q$10))</f>
        <v>-3.0336585497139465E-3</v>
      </c>
      <c r="S471" s="134" t="s">
        <v>4</v>
      </c>
    </row>
    <row r="472" spans="1:19" x14ac:dyDescent="0.25">
      <c r="A472" s="128">
        <v>456</v>
      </c>
      <c r="B472" s="133"/>
      <c r="C472" s="149">
        <f ca="1">_xll.meDateFromTenor(C471,"1D","FOLLOWING",$D$11,"NORMAL")</f>
        <v>43090</v>
      </c>
      <c r="D472" s="20">
        <f ca="1">_xll.meDateFromTenor(C472,"1D","Following",$D$11,"Normal")</f>
        <v>43091</v>
      </c>
      <c r="E472" s="99">
        <f ca="1"/>
        <v>9.7872749619210345E-3</v>
      </c>
      <c r="F472" s="161">
        <f ca="1">_xll.meCurveForwardRates(C472,$D$9,$D$10)</f>
        <v>9.8351926268740453E-3</v>
      </c>
      <c r="G472" s="7" t="s">
        <v>4</v>
      </c>
      <c r="H472" s="149">
        <f t="shared" ca="1" si="14"/>
        <v>43090</v>
      </c>
      <c r="I472" s="20">
        <f ca="1">_xll.meDateFromTenor(H472,"3M","Following",$I$11,"Normal")</f>
        <v>43180</v>
      </c>
      <c r="J472" s="150">
        <f ca="1"/>
        <v>1.1760393260250225E-2</v>
      </c>
      <c r="K472" s="7" t="s">
        <v>4</v>
      </c>
      <c r="L472" s="149" t="e">
        <f ca="1">_xll.meDateFromTenor(L471,"1D","FOLLOWING",#REF!,"NORMAL")</f>
        <v>#VALUE!</v>
      </c>
      <c r="M472" s="155">
        <f ca="1">_xll.meDateYearFraction(C472,D472,$M$11)</f>
        <v>2.7777777777777779E-3</v>
      </c>
      <c r="N472" s="150">
        <f ca="1"/>
        <v>-2.4300000000065936E-3</v>
      </c>
      <c r="O472" s="7" t="s">
        <v>4</v>
      </c>
      <c r="P472" s="149">
        <f t="shared" ca="1" si="15"/>
        <v>43090</v>
      </c>
      <c r="Q472" s="155">
        <f ca="1">_xll.meDateYearFraction(H472,I472,$Q$11,TRUE)</f>
        <v>0.25</v>
      </c>
      <c r="R472" s="150">
        <f ca="1">IF(NOW(),_xll.meCurveForwardRatesFromYearFraction(P472,Q472,$Q$11,$Q$9,$Q$10))</f>
        <v>-3.7175485397107962E-3</v>
      </c>
      <c r="S472" s="134" t="s">
        <v>4</v>
      </c>
    </row>
    <row r="473" spans="1:19" x14ac:dyDescent="0.25">
      <c r="A473" s="128">
        <v>457</v>
      </c>
      <c r="B473" s="133"/>
      <c r="C473" s="149">
        <f ca="1">_xll.meDateFromTenor(C472,"1D","FOLLOWING",$D$11,"NORMAL")</f>
        <v>43091</v>
      </c>
      <c r="D473" s="20">
        <f ca="1">_xll.meDateFromTenor(C473,"1D","Following",$D$11,"Normal")</f>
        <v>43096</v>
      </c>
      <c r="E473" s="99">
        <f ca="1"/>
        <v>9.7969471316581638E-3</v>
      </c>
      <c r="F473" s="161">
        <f ca="1">_xll.meCurveForwardRates(C473,$D$9,$D$10)</f>
        <v>9.8387330232445613E-3</v>
      </c>
      <c r="G473" s="7" t="s">
        <v>4</v>
      </c>
      <c r="H473" s="149">
        <f t="shared" ca="1" si="14"/>
        <v>43091</v>
      </c>
      <c r="I473" s="20">
        <f ca="1">_xll.meDateFromTenor(H473,"3M","Following",$I$11,"Normal")</f>
        <v>43181</v>
      </c>
      <c r="J473" s="150">
        <f ca="1"/>
        <v>1.1766565873112068E-2</v>
      </c>
      <c r="K473" s="7" t="s">
        <v>4</v>
      </c>
      <c r="L473" s="149" t="e">
        <f ca="1">_xll.meDateFromTenor(L472,"1D","FOLLOWING",#REF!,"NORMAL")</f>
        <v>#VALUE!</v>
      </c>
      <c r="M473" s="155">
        <f ca="1">_xll.meDateYearFraction(C473,D473,$M$11)</f>
        <v>1.3888888888888888E-2</v>
      </c>
      <c r="N473" s="150">
        <f ca="1"/>
        <v>-2.4300000000065936E-3</v>
      </c>
      <c r="O473" s="7" t="s">
        <v>4</v>
      </c>
      <c r="P473" s="149">
        <f t="shared" ca="1" si="15"/>
        <v>43091</v>
      </c>
      <c r="Q473" s="155">
        <f ca="1">_xll.meDateYearFraction(H473,I473,$Q$11,TRUE)</f>
        <v>0.25</v>
      </c>
      <c r="R473" s="150">
        <f ca="1">IF(NOW(),_xll.meCurveForwardRatesFromYearFraction(P473,Q473,$Q$11,$Q$9,$Q$10))</f>
        <v>-3.0336478166542139E-3</v>
      </c>
      <c r="S473" s="134" t="s">
        <v>4</v>
      </c>
    </row>
    <row r="474" spans="1:19" x14ac:dyDescent="0.25">
      <c r="A474" s="128">
        <v>458</v>
      </c>
      <c r="B474" s="133"/>
      <c r="C474" s="149">
        <f ca="1">_xll.meDateFromTenor(C473,"1D","FOLLOWING",$D$11,"NORMAL")</f>
        <v>43096</v>
      </c>
      <c r="D474" s="20">
        <f ca="1">_xll.meDateFromTenor(C474,"1D","Following",$D$11,"Normal")</f>
        <v>43097</v>
      </c>
      <c r="E474" s="99">
        <f ca="1"/>
        <v>9.8031393245446088E-3</v>
      </c>
      <c r="F474" s="161">
        <f ca="1">_xll.meCurveForwardRates(C474,$D$9,$D$10)</f>
        <v>9.8512127097449831E-3</v>
      </c>
      <c r="G474" s="7" t="s">
        <v>4</v>
      </c>
      <c r="H474" s="149">
        <f t="shared" ca="1" si="14"/>
        <v>43096</v>
      </c>
      <c r="I474" s="20">
        <f ca="1">_xll.meDateFromTenor(H474,"3M","Following",$I$11,"Normal")</f>
        <v>43186</v>
      </c>
      <c r="J474" s="150">
        <f ca="1"/>
        <v>1.1797428937421285E-2</v>
      </c>
      <c r="K474" s="7" t="s">
        <v>4</v>
      </c>
      <c r="L474" s="149" t="e">
        <f ca="1">_xll.meDateFromTenor(L473,"1D","FOLLOWING",#REF!,"NORMAL")</f>
        <v>#VALUE!</v>
      </c>
      <c r="M474" s="155">
        <f ca="1">_xll.meDateYearFraction(C474,D474,$M$11)</f>
        <v>2.7777777777777779E-3</v>
      </c>
      <c r="N474" s="150">
        <f ca="1"/>
        <v>-2.4300000000065936E-3</v>
      </c>
      <c r="O474" s="7" t="s">
        <v>4</v>
      </c>
      <c r="P474" s="149">
        <f t="shared" ca="1" si="15"/>
        <v>43096</v>
      </c>
      <c r="Q474" s="155">
        <f ca="1">_xll.meDateYearFraction(H474,I474,$Q$11,TRUE)</f>
        <v>0.25</v>
      </c>
      <c r="R474" s="150">
        <f ca="1">IF(NOW(),_xll.meCurveForwardRatesFromYearFraction(P474,Q474,$Q$11,$Q$9,$Q$10))</f>
        <v>-3.7175485397107962E-3</v>
      </c>
      <c r="S474" s="134" t="s">
        <v>4</v>
      </c>
    </row>
    <row r="475" spans="1:19" x14ac:dyDescent="0.25">
      <c r="A475" s="128">
        <v>459</v>
      </c>
      <c r="B475" s="133"/>
      <c r="C475" s="149">
        <f ca="1">_xll.meDateFromTenor(C474,"1D","FOLLOWING",$D$11,"NORMAL")</f>
        <v>43097</v>
      </c>
      <c r="D475" s="20">
        <f ca="1">_xll.meDateFromTenor(C475,"1D","Following",$D$11,"Normal")</f>
        <v>43098</v>
      </c>
      <c r="E475" s="99">
        <f ca="1"/>
        <v>9.8045764012422501E-3</v>
      </c>
      <c r="F475" s="161">
        <f ca="1">_xll.meCurveForwardRates(C475,$D$9,$D$10)</f>
        <v>9.8526639049132392E-3</v>
      </c>
      <c r="G475" s="7" t="s">
        <v>4</v>
      </c>
      <c r="H475" s="149">
        <f t="shared" ca="1" si="14"/>
        <v>43097</v>
      </c>
      <c r="I475" s="20">
        <f ca="1">_xll.meDateFromTenor(H475,"3M","Following",$I$11,"Normal")</f>
        <v>43187</v>
      </c>
      <c r="J475" s="150">
        <f ca="1"/>
        <v>1.1803601550283128E-2</v>
      </c>
      <c r="K475" s="7" t="s">
        <v>4</v>
      </c>
      <c r="L475" s="149" t="e">
        <f ca="1">_xll.meDateFromTenor(L474,"1D","FOLLOWING",#REF!,"NORMAL")</f>
        <v>#VALUE!</v>
      </c>
      <c r="M475" s="155">
        <f ca="1">_xll.meDateYearFraction(C475,D475,$M$11)</f>
        <v>2.7777777777777779E-3</v>
      </c>
      <c r="N475" s="150">
        <f ca="1"/>
        <v>-2.4300000000065936E-3</v>
      </c>
      <c r="O475" s="7" t="s">
        <v>4</v>
      </c>
      <c r="P475" s="149">
        <f t="shared" ca="1" si="15"/>
        <v>43097</v>
      </c>
      <c r="Q475" s="155">
        <f ca="1">_xll.meDateYearFraction(H475,I475,$Q$11,TRUE)</f>
        <v>0.25</v>
      </c>
      <c r="R475" s="150">
        <f ca="1">IF(NOW(),_xll.meCurveForwardRatesFromYearFraction(P475,Q475,$Q$11,$Q$9,$Q$10))</f>
        <v>-3.7175485397107962E-3</v>
      </c>
      <c r="S475" s="134" t="s">
        <v>4</v>
      </c>
    </row>
    <row r="476" spans="1:19" x14ac:dyDescent="0.25">
      <c r="A476" s="128">
        <v>460</v>
      </c>
      <c r="B476" s="133"/>
      <c r="C476" s="149">
        <f ca="1">_xll.meDateFromTenor(C475,"1D","FOLLOWING",$D$11,"NORMAL")</f>
        <v>43098</v>
      </c>
      <c r="D476" s="20">
        <f ca="1">_xll.meDateFromTenor(C476,"1D","Following",$D$11,"Normal")</f>
        <v>43102</v>
      </c>
      <c r="E476" s="99">
        <f ca="1"/>
        <v>9.8069047745564034E-3</v>
      </c>
      <c r="F476" s="161">
        <f ca="1">_xll.meCurveForwardRates(C476,$D$9,$D$10)</f>
        <v>9.8537667597995426E-3</v>
      </c>
      <c r="G476" s="7" t="s">
        <v>4</v>
      </c>
      <c r="H476" s="149">
        <f t="shared" ca="1" si="14"/>
        <v>43098</v>
      </c>
      <c r="I476" s="20">
        <f ca="1">_xll.meDateFromTenor(H476,"3M","Following",$I$11,"Normal")</f>
        <v>43188</v>
      </c>
      <c r="J476" s="150">
        <f ca="1"/>
        <v>1.1809774163144972E-2</v>
      </c>
      <c r="K476" s="7" t="s">
        <v>4</v>
      </c>
      <c r="L476" s="149" t="e">
        <f ca="1">_xll.meDateFromTenor(L475,"1D","FOLLOWING",#REF!,"NORMAL")</f>
        <v>#VALUE!</v>
      </c>
      <c r="M476" s="155">
        <f ca="1">_xll.meDateYearFraction(C476,D476,$M$11)</f>
        <v>1.1111111111111112E-2</v>
      </c>
      <c r="N476" s="150">
        <f ca="1"/>
        <v>-2.4300000000065936E-3</v>
      </c>
      <c r="O476" s="7" t="s">
        <v>4</v>
      </c>
      <c r="P476" s="149">
        <f t="shared" ca="1" si="15"/>
        <v>43098</v>
      </c>
      <c r="Q476" s="155">
        <f ca="1">_xll.meDateYearFraction(H476,I476,$Q$11,TRUE)</f>
        <v>0.25</v>
      </c>
      <c r="R476" s="150">
        <f ca="1">IF(NOW(),_xll.meCurveForwardRatesFromYearFraction(P476,Q476,$Q$11,$Q$9,$Q$10))</f>
        <v>-3.7175485397107962E-3</v>
      </c>
      <c r="S476" s="134" t="s">
        <v>4</v>
      </c>
    </row>
    <row r="477" spans="1:19" x14ac:dyDescent="0.25">
      <c r="A477" s="128">
        <v>461</v>
      </c>
      <c r="B477" s="133"/>
      <c r="C477" s="149">
        <f ca="1">_xll.meDateFromTenor(C476,"1D","FOLLOWING",$D$11,"NORMAL")</f>
        <v>43102</v>
      </c>
      <c r="D477" s="20">
        <f ca="1">_xll.meDateFromTenor(C477,"1D","Following",$D$11,"Normal")</f>
        <v>43103</v>
      </c>
      <c r="E477" s="99">
        <f ca="1"/>
        <v>9.8073685175404171E-3</v>
      </c>
      <c r="F477" s="161">
        <f ca="1">_xll.meCurveForwardRates(C477,$D$9,$D$10)</f>
        <v>9.8554834581299211E-3</v>
      </c>
      <c r="G477" s="7" t="s">
        <v>4</v>
      </c>
      <c r="H477" s="149">
        <f t="shared" ca="1" si="14"/>
        <v>43102</v>
      </c>
      <c r="I477" s="20">
        <f ca="1">_xll.meDateFromTenor(H477,"3M","Following",$I$11,"Normal")</f>
        <v>43193</v>
      </c>
      <c r="J477" s="150">
        <f ca="1"/>
        <v>1.1834464614592345E-2</v>
      </c>
      <c r="K477" s="7" t="s">
        <v>4</v>
      </c>
      <c r="L477" s="149" t="e">
        <f ca="1">_xll.meDateFromTenor(L476,"1D","FOLLOWING",#REF!,"NORMAL")</f>
        <v>#VALUE!</v>
      </c>
      <c r="M477" s="155">
        <f ca="1">_xll.meDateYearFraction(C477,D477,$M$11)</f>
        <v>2.7777777777777779E-3</v>
      </c>
      <c r="N477" s="150">
        <f ca="1"/>
        <v>-2.4300000000065936E-3</v>
      </c>
      <c r="O477" s="7" t="s">
        <v>4</v>
      </c>
      <c r="P477" s="149">
        <f t="shared" ca="1" si="15"/>
        <v>43102</v>
      </c>
      <c r="Q477" s="155">
        <f ca="1">_xll.meDateYearFraction(H477,I477,$Q$11,TRUE)</f>
        <v>0.25277777777777777</v>
      </c>
      <c r="R477" s="150">
        <f ca="1">IF(NOW(),_xll.meCurveForwardRatesFromYearFraction(P477,Q477,$Q$11,$Q$9,$Q$10))</f>
        <v>-3.0335887848256847E-3</v>
      </c>
      <c r="S477" s="134" t="s">
        <v>4</v>
      </c>
    </row>
    <row r="478" spans="1:19" x14ac:dyDescent="0.25">
      <c r="A478" s="128">
        <v>462</v>
      </c>
      <c r="B478" s="133"/>
      <c r="C478" s="149">
        <f ca="1">_xll.meDateFromTenor(C477,"1D","FOLLOWING",$D$11,"NORMAL")</f>
        <v>43103</v>
      </c>
      <c r="D478" s="20">
        <f ca="1">_xll.meDateFromTenor(C478,"1D","Following",$D$11,"Normal")</f>
        <v>43104</v>
      </c>
      <c r="E478" s="99">
        <f ca="1"/>
        <v>9.8076357038135234E-3</v>
      </c>
      <c r="F478" s="161">
        <f ca="1">_xll.meCurveForwardRates(C478,$D$9,$D$10)</f>
        <v>9.8557532703382744E-3</v>
      </c>
      <c r="G478" s="7" t="s">
        <v>4</v>
      </c>
      <c r="H478" s="149">
        <f t="shared" ca="1" si="14"/>
        <v>43103</v>
      </c>
      <c r="I478" s="20">
        <f ca="1">_xll.meDateFromTenor(H478,"3M","Following",$I$11,"Normal")</f>
        <v>43193</v>
      </c>
      <c r="J478" s="150">
        <f ca="1"/>
        <v>1.1840637227454189E-2</v>
      </c>
      <c r="K478" s="7" t="s">
        <v>4</v>
      </c>
      <c r="L478" s="149" t="e">
        <f ca="1">_xll.meDateFromTenor(L477,"1D","FOLLOWING",#REF!,"NORMAL")</f>
        <v>#VALUE!</v>
      </c>
      <c r="M478" s="155">
        <f ca="1">_xll.meDateYearFraction(C478,D478,$M$11)</f>
        <v>2.7777777777777779E-3</v>
      </c>
      <c r="N478" s="150">
        <f ca="1"/>
        <v>-2.4300000000065936E-3</v>
      </c>
      <c r="O478" s="7" t="s">
        <v>4</v>
      </c>
      <c r="P478" s="149">
        <f t="shared" ca="1" si="15"/>
        <v>43103</v>
      </c>
      <c r="Q478" s="155">
        <f ca="1">_xll.meDateYearFraction(H478,I478,$Q$11,TRUE)</f>
        <v>0.25</v>
      </c>
      <c r="R478" s="150">
        <f ca="1">IF(NOW(),_xll.meCurveForwardRatesFromYearFraction(P478,Q478,$Q$11,$Q$9,$Q$10))</f>
        <v>-3.0335834182958184E-3</v>
      </c>
      <c r="S478" s="134" t="s">
        <v>4</v>
      </c>
    </row>
    <row r="479" spans="1:19" x14ac:dyDescent="0.25">
      <c r="A479" s="128">
        <v>463</v>
      </c>
      <c r="B479" s="133"/>
      <c r="C479" s="149">
        <f ca="1">_xll.meDateFromTenor(C478,"1D","FOLLOWING",$D$11,"NORMAL")</f>
        <v>43104</v>
      </c>
      <c r="D479" s="20">
        <f ca="1">_xll.meDateFromTenor(C479,"1D","Following",$D$11,"Normal")</f>
        <v>43105</v>
      </c>
      <c r="E479" s="99">
        <f ca="1"/>
        <v>9.8079029047948643E-3</v>
      </c>
      <c r="F479" s="161">
        <f ca="1">_xll.meCurveForwardRates(C479,$D$9,$D$10)</f>
        <v>9.8560230974715779E-3</v>
      </c>
      <c r="G479" s="7" t="s">
        <v>4</v>
      </c>
      <c r="H479" s="149">
        <f t="shared" ca="1" si="14"/>
        <v>43104</v>
      </c>
      <c r="I479" s="20">
        <f ca="1">_xll.meDateFromTenor(H479,"3M","Following",$I$11,"Normal")</f>
        <v>43194</v>
      </c>
      <c r="J479" s="150">
        <f ca="1"/>
        <v>1.1846809840316032E-2</v>
      </c>
      <c r="K479" s="7" t="s">
        <v>4</v>
      </c>
      <c r="L479" s="149" t="e">
        <f ca="1">_xll.meDateFromTenor(L478,"1D","FOLLOWING",#REF!,"NORMAL")</f>
        <v>#VALUE!</v>
      </c>
      <c r="M479" s="155">
        <f ca="1">_xll.meDateYearFraction(C479,D479,$M$11)</f>
        <v>2.7777777777777779E-3</v>
      </c>
      <c r="N479" s="150">
        <f ca="1"/>
        <v>-2.4300000000065936E-3</v>
      </c>
      <c r="O479" s="7" t="s">
        <v>4</v>
      </c>
      <c r="P479" s="149">
        <f t="shared" ca="1" si="15"/>
        <v>43104</v>
      </c>
      <c r="Q479" s="155">
        <f ca="1">_xll.meDateYearFraction(H479,I479,$Q$11,TRUE)</f>
        <v>0.25</v>
      </c>
      <c r="R479" s="150">
        <f ca="1">IF(NOW(),_xll.meCurveForwardRatesFromYearFraction(P479,Q479,$Q$11,$Q$9,$Q$10))</f>
        <v>-3.7175485397107962E-3</v>
      </c>
      <c r="S479" s="134" t="s">
        <v>4</v>
      </c>
    </row>
    <row r="480" spans="1:19" x14ac:dyDescent="0.25">
      <c r="A480" s="128">
        <v>464</v>
      </c>
      <c r="B480" s="133"/>
      <c r="C480" s="149">
        <f ca="1">_xll.meDateFromTenor(C479,"1D","FOLLOWING",$D$11,"NORMAL")</f>
        <v>43105</v>
      </c>
      <c r="D480" s="20">
        <f ca="1">_xll.meDateFromTenor(C480,"1D","Following",$D$11,"Normal")</f>
        <v>43108</v>
      </c>
      <c r="E480" s="99">
        <f ca="1"/>
        <v>9.8087045950288002E-3</v>
      </c>
      <c r="F480" s="161">
        <f ca="1">_xll.meCurveForwardRates(C480,$D$9,$D$10)</f>
        <v>9.8562929393672949E-3</v>
      </c>
      <c r="G480" s="7" t="s">
        <v>4</v>
      </c>
      <c r="H480" s="149">
        <f t="shared" ca="1" si="14"/>
        <v>43105</v>
      </c>
      <c r="I480" s="20">
        <f ca="1">_xll.meDateFromTenor(H480,"3M","Following",$I$11,"Normal")</f>
        <v>43195</v>
      </c>
      <c r="J480" s="150">
        <f ca="1"/>
        <v>1.1852982453177875E-2</v>
      </c>
      <c r="K480" s="7" t="s">
        <v>4</v>
      </c>
      <c r="L480" s="149" t="e">
        <f ca="1">_xll.meDateFromTenor(L479,"1D","FOLLOWING",#REF!,"NORMAL")</f>
        <v>#VALUE!</v>
      </c>
      <c r="M480" s="155">
        <f ca="1">_xll.meDateYearFraction(C480,D480,$M$11)</f>
        <v>8.3333333333333332E-3</v>
      </c>
      <c r="N480" s="150">
        <f ca="1"/>
        <v>-2.4300000000065936E-3</v>
      </c>
      <c r="O480" s="7" t="s">
        <v>4</v>
      </c>
      <c r="P480" s="149">
        <f t="shared" ca="1" si="15"/>
        <v>43105</v>
      </c>
      <c r="Q480" s="155">
        <f ca="1">_xll.meDateYearFraction(H480,I480,$Q$11,TRUE)</f>
        <v>0.25</v>
      </c>
      <c r="R480" s="150">
        <f ca="1">IF(NOW(),_xll.meCurveForwardRatesFromYearFraction(P480,Q480,$Q$11,$Q$9,$Q$10))</f>
        <v>-3.7175485397107962E-3</v>
      </c>
      <c r="S480" s="134" t="s">
        <v>4</v>
      </c>
    </row>
    <row r="481" spans="1:19" x14ac:dyDescent="0.25">
      <c r="A481" s="128">
        <v>465</v>
      </c>
      <c r="B481" s="133"/>
      <c r="C481" s="149">
        <f ca="1">_xll.meDateFromTenor(C480,"1D","FOLLOWING",$D$11,"NORMAL")</f>
        <v>43108</v>
      </c>
      <c r="D481" s="20">
        <f ca="1">_xll.meDateFromTenor(C481,"1D","Following",$D$11,"Normal")</f>
        <v>43109</v>
      </c>
      <c r="E481" s="99">
        <f ca="1"/>
        <v>9.8089718542038531E-3</v>
      </c>
      <c r="F481" s="161">
        <f ca="1">_xll.meCurveForwardRates(C481,$D$9,$D$10)</f>
        <v>9.8571025536371426E-3</v>
      </c>
      <c r="G481" s="7" t="s">
        <v>4</v>
      </c>
      <c r="H481" s="149">
        <f t="shared" ca="1" si="14"/>
        <v>43108</v>
      </c>
      <c r="I481" s="20">
        <f ca="1">_xll.meDateFromTenor(H481,"3M","Following",$I$11,"Normal")</f>
        <v>43199</v>
      </c>
      <c r="J481" s="150">
        <f ca="1"/>
        <v>1.1871500291763405E-2</v>
      </c>
      <c r="K481" s="7" t="s">
        <v>4</v>
      </c>
      <c r="L481" s="149" t="e">
        <f ca="1">_xll.meDateFromTenor(L480,"1D","FOLLOWING",#REF!,"NORMAL")</f>
        <v>#VALUE!</v>
      </c>
      <c r="M481" s="155">
        <f ca="1">_xll.meDateYearFraction(C481,D481,$M$11)</f>
        <v>2.7777777777777779E-3</v>
      </c>
      <c r="N481" s="150">
        <f ca="1"/>
        <v>-2.4300000000065936E-3</v>
      </c>
      <c r="O481" s="7" t="s">
        <v>4</v>
      </c>
      <c r="P481" s="149">
        <f t="shared" ca="1" si="15"/>
        <v>43108</v>
      </c>
      <c r="Q481" s="155">
        <f ca="1">_xll.meDateYearFraction(H481,I481,$Q$11,TRUE)</f>
        <v>0.25277777777777777</v>
      </c>
      <c r="R481" s="150">
        <f ca="1">IF(NOW(),_xll.meCurveForwardRatesFromYearFraction(P481,Q481,$Q$11,$Q$9,$Q$10))</f>
        <v>-3.0335565856464872E-3</v>
      </c>
      <c r="S481" s="134" t="s">
        <v>4</v>
      </c>
    </row>
    <row r="482" spans="1:19" x14ac:dyDescent="0.25">
      <c r="A482" s="128">
        <v>466</v>
      </c>
      <c r="B482" s="133"/>
      <c r="C482" s="149">
        <f ca="1">_xll.meDateFromTenor(C481,"1D","FOLLOWING",$D$11,"NORMAL")</f>
        <v>43109</v>
      </c>
      <c r="D482" s="20">
        <f ca="1">_xll.meDateFromTenor(C482,"1D","Following",$D$11,"Normal")</f>
        <v>43110</v>
      </c>
      <c r="E482" s="99">
        <f ca="1"/>
        <v>9.8092391279270066E-3</v>
      </c>
      <c r="F482" s="161">
        <f ca="1">_xll.meCurveForwardRates(C482,$D$9,$D$10)</f>
        <v>9.8573724545867325E-3</v>
      </c>
      <c r="G482" s="7" t="s">
        <v>4</v>
      </c>
      <c r="H482" s="149">
        <f t="shared" ca="1" si="14"/>
        <v>43109</v>
      </c>
      <c r="I482" s="20">
        <f ca="1">_xll.meDateFromTenor(H482,"3M","Following",$I$11,"Normal")</f>
        <v>43199</v>
      </c>
      <c r="J482" s="150">
        <f ca="1"/>
        <v>1.1877672904625249E-2</v>
      </c>
      <c r="K482" s="7" t="s">
        <v>4</v>
      </c>
      <c r="L482" s="149" t="e">
        <f ca="1">_xll.meDateFromTenor(L481,"1D","FOLLOWING",#REF!,"NORMAL")</f>
        <v>#VALUE!</v>
      </c>
      <c r="M482" s="155">
        <f ca="1">_xll.meDateYearFraction(C482,D482,$M$11)</f>
        <v>2.7777777777777779E-3</v>
      </c>
      <c r="N482" s="150">
        <f ca="1"/>
        <v>-2.4300000000065936E-3</v>
      </c>
      <c r="O482" s="7" t="s">
        <v>4</v>
      </c>
      <c r="P482" s="149">
        <f t="shared" ca="1" si="15"/>
        <v>43109</v>
      </c>
      <c r="Q482" s="155">
        <f ca="1">_xll.meDateYearFraction(H482,I482,$Q$11,TRUE)</f>
        <v>0.25</v>
      </c>
      <c r="R482" s="150">
        <f ca="1">IF(NOW(),_xll.meCurveForwardRatesFromYearFraction(P482,Q482,$Q$11,$Q$9,$Q$10))</f>
        <v>-3.7175485397107962E-3</v>
      </c>
      <c r="S482" s="134" t="s">
        <v>4</v>
      </c>
    </row>
    <row r="483" spans="1:19" x14ac:dyDescent="0.25">
      <c r="A483" s="128">
        <v>467</v>
      </c>
      <c r="B483" s="133"/>
      <c r="C483" s="149">
        <f ca="1">_xll.meDateFromTenor(C482,"1D","FOLLOWING",$D$11,"NORMAL")</f>
        <v>43110</v>
      </c>
      <c r="D483" s="20">
        <f ca="1">_xll.meDateFromTenor(C483,"1D","Following",$D$11,"Normal")</f>
        <v>43111</v>
      </c>
      <c r="E483" s="99">
        <f ca="1"/>
        <v>9.8095064162784587E-3</v>
      </c>
      <c r="F483" s="161">
        <f ca="1">_xll.meCurveForwardRates(C483,$D$9,$D$10)</f>
        <v>9.8576423703802263E-3</v>
      </c>
      <c r="G483" s="7" t="s">
        <v>4</v>
      </c>
      <c r="H483" s="149">
        <f t="shared" ca="1" si="14"/>
        <v>43110</v>
      </c>
      <c r="I483" s="20">
        <f ca="1">_xll.meDateFromTenor(H483,"3M","Following",$I$11,"Normal")</f>
        <v>43200</v>
      </c>
      <c r="J483" s="150">
        <f ca="1"/>
        <v>1.1883845517487092E-2</v>
      </c>
      <c r="K483" s="7" t="s">
        <v>4</v>
      </c>
      <c r="L483" s="149" t="e">
        <f ca="1">_xll.meDateFromTenor(L482,"1D","FOLLOWING",#REF!,"NORMAL")</f>
        <v>#VALUE!</v>
      </c>
      <c r="M483" s="155">
        <f ca="1">_xll.meDateYearFraction(C483,D483,$M$11)</f>
        <v>2.7777777777777779E-3</v>
      </c>
      <c r="N483" s="150">
        <f ca="1"/>
        <v>-2.4300000000065936E-3</v>
      </c>
      <c r="O483" s="7" t="s">
        <v>4</v>
      </c>
      <c r="P483" s="149">
        <f t="shared" ca="1" si="15"/>
        <v>43110</v>
      </c>
      <c r="Q483" s="155">
        <f ca="1">_xll.meDateYearFraction(H483,I483,$Q$11,TRUE)</f>
        <v>0.25</v>
      </c>
      <c r="R483" s="150">
        <f ca="1">IF(NOW(),_xll.meCurveForwardRatesFromYearFraction(P483,Q483,$Q$11,$Q$9,$Q$10))</f>
        <v>-3.033545852586755E-3</v>
      </c>
      <c r="S483" s="134" t="s">
        <v>4</v>
      </c>
    </row>
    <row r="484" spans="1:19" x14ac:dyDescent="0.25">
      <c r="A484" s="128">
        <v>468</v>
      </c>
      <c r="B484" s="133"/>
      <c r="C484" s="149">
        <f ca="1">_xll.meDateFromTenor(C483,"1D","FOLLOWING",$D$11,"NORMAL")</f>
        <v>43111</v>
      </c>
      <c r="D484" s="20">
        <f ca="1">_xll.meDateFromTenor(C484,"1D","Following",$D$11,"Normal")</f>
        <v>43112</v>
      </c>
      <c r="E484" s="99">
        <f ca="1"/>
        <v>9.8097737191782733E-3</v>
      </c>
      <c r="F484" s="161">
        <f ca="1">_xll.meCurveForwardRates(C484,$D$9,$D$10)</f>
        <v>9.8579123009372438E-3</v>
      </c>
      <c r="G484" s="7" t="s">
        <v>4</v>
      </c>
      <c r="H484" s="149">
        <f t="shared" ca="1" si="14"/>
        <v>43111</v>
      </c>
      <c r="I484" s="20">
        <f ca="1">_xll.meDateFromTenor(H484,"3M","Following",$I$11,"Normal")</f>
        <v>43201</v>
      </c>
      <c r="J484" s="150">
        <f ca="1"/>
        <v>1.1890018130348935E-2</v>
      </c>
      <c r="K484" s="7" t="s">
        <v>4</v>
      </c>
      <c r="L484" s="149" t="e">
        <f ca="1">_xll.meDateFromTenor(L483,"1D","FOLLOWING",#REF!,"NORMAL")</f>
        <v>#VALUE!</v>
      </c>
      <c r="M484" s="155">
        <f ca="1">_xll.meDateYearFraction(C484,D484,$M$11)</f>
        <v>2.7777777777777779E-3</v>
      </c>
      <c r="N484" s="150">
        <f ca="1"/>
        <v>-2.4300000000065936E-3</v>
      </c>
      <c r="O484" s="7" t="s">
        <v>4</v>
      </c>
      <c r="P484" s="149">
        <f t="shared" ca="1" si="15"/>
        <v>43111</v>
      </c>
      <c r="Q484" s="155">
        <f ca="1">_xll.meDateYearFraction(H484,I484,$Q$11,TRUE)</f>
        <v>0.25</v>
      </c>
      <c r="R484" s="150">
        <f ca="1">IF(NOW(),_xll.meCurveForwardRatesFromYearFraction(P484,Q484,$Q$11,$Q$9,$Q$10))</f>
        <v>-3.7175485397107962E-3</v>
      </c>
      <c r="S484" s="134" t="s">
        <v>4</v>
      </c>
    </row>
    <row r="485" spans="1:19" x14ac:dyDescent="0.25">
      <c r="A485" s="128">
        <v>469</v>
      </c>
      <c r="B485" s="133"/>
      <c r="C485" s="149">
        <f ca="1">_xll.meDateFromTenor(C484,"1D","FOLLOWING",$D$11,"NORMAL")</f>
        <v>43112</v>
      </c>
      <c r="D485" s="20">
        <f ca="1">_xll.meDateFromTenor(C485,"1D","Following",$D$11,"Normal")</f>
        <v>43116</v>
      </c>
      <c r="E485" s="99">
        <f ca="1"/>
        <v>9.8108430763810608E-3</v>
      </c>
      <c r="F485" s="161">
        <f ca="1">_xll.meCurveForwardRates(C485,$D$9,$D$10)</f>
        <v>9.858182246257563E-3</v>
      </c>
      <c r="G485" s="7" t="s">
        <v>4</v>
      </c>
      <c r="H485" s="149">
        <f t="shared" ca="1" si="14"/>
        <v>43112</v>
      </c>
      <c r="I485" s="20">
        <f ca="1">_xll.meDateFromTenor(H485,"3M","Following",$I$11,"Normal")</f>
        <v>43202</v>
      </c>
      <c r="J485" s="150">
        <f ca="1"/>
        <v>1.1896190743210779E-2</v>
      </c>
      <c r="K485" s="7" t="s">
        <v>4</v>
      </c>
      <c r="L485" s="149" t="e">
        <f ca="1">_xll.meDateFromTenor(L484,"1D","FOLLOWING",#REF!,"NORMAL")</f>
        <v>#VALUE!</v>
      </c>
      <c r="M485" s="155">
        <f ca="1">_xll.meDateYearFraction(C485,D485,$M$11)</f>
        <v>1.1111111111111112E-2</v>
      </c>
      <c r="N485" s="150">
        <f ca="1"/>
        <v>-2.4300000000065936E-3</v>
      </c>
      <c r="O485" s="7" t="s">
        <v>4</v>
      </c>
      <c r="P485" s="149">
        <f t="shared" ca="1" si="15"/>
        <v>43112</v>
      </c>
      <c r="Q485" s="155">
        <f ca="1">_xll.meDateYearFraction(H485,I485,$Q$11,TRUE)</f>
        <v>0.25</v>
      </c>
      <c r="R485" s="150">
        <f ca="1">IF(NOW(),_xll.meCurveForwardRatesFromYearFraction(P485,Q485,$Q$11,$Q$9,$Q$10))</f>
        <v>-3.0335351195270224E-3</v>
      </c>
      <c r="S485" s="134" t="s">
        <v>4</v>
      </c>
    </row>
    <row r="486" spans="1:19" x14ac:dyDescent="0.25">
      <c r="A486" s="128">
        <v>470</v>
      </c>
      <c r="B486" s="133"/>
      <c r="C486" s="149">
        <f ca="1">_xll.meDateFromTenor(C485,"1D","FOLLOWING",$D$11,"NORMAL")</f>
        <v>43116</v>
      </c>
      <c r="D486" s="20">
        <f ca="1">_xll.meDateFromTenor(C486,"1D","Following",$D$11,"Normal")</f>
        <v>43117</v>
      </c>
      <c r="E486" s="99">
        <f ca="1"/>
        <v>9.8111104521425921E-3</v>
      </c>
      <c r="F486" s="161">
        <f ca="1">_xll.meCurveForwardRates(C486,$D$9,$D$10)</f>
        <v>9.8592621754143295E-3</v>
      </c>
      <c r="G486" s="7" t="s">
        <v>4</v>
      </c>
      <c r="H486" s="149">
        <f t="shared" ca="1" si="14"/>
        <v>43116</v>
      </c>
      <c r="I486" s="20">
        <f ca="1">_xll.meDateFromTenor(H486,"3M","Following",$I$11,"Normal")</f>
        <v>43206</v>
      </c>
      <c r="J486" s="150">
        <f ca="1"/>
        <v>1.1920881194658152E-2</v>
      </c>
      <c r="K486" s="7" t="s">
        <v>4</v>
      </c>
      <c r="L486" s="149" t="e">
        <f ca="1">_xll.meDateFromTenor(L485,"1D","FOLLOWING",#REF!,"NORMAL")</f>
        <v>#VALUE!</v>
      </c>
      <c r="M486" s="155">
        <f ca="1">_xll.meDateYearFraction(C486,D486,$M$11)</f>
        <v>2.7777777777777779E-3</v>
      </c>
      <c r="N486" s="150">
        <f ca="1"/>
        <v>-2.4300000000065936E-3</v>
      </c>
      <c r="O486" s="7" t="s">
        <v>4</v>
      </c>
      <c r="P486" s="149">
        <f t="shared" ca="1" si="15"/>
        <v>43116</v>
      </c>
      <c r="Q486" s="155">
        <f ca="1">_xll.meDateYearFraction(H486,I486,$Q$11,TRUE)</f>
        <v>0.25</v>
      </c>
      <c r="R486" s="150">
        <f ca="1">IF(NOW(),_xll.meCurveForwardRatesFromYearFraction(P486,Q486,$Q$11,$Q$9,$Q$10))</f>
        <v>-3.7175485397107962E-3</v>
      </c>
      <c r="S486" s="134" t="s">
        <v>4</v>
      </c>
    </row>
    <row r="487" spans="1:19" x14ac:dyDescent="0.25">
      <c r="A487" s="128">
        <v>471</v>
      </c>
      <c r="B487" s="133"/>
      <c r="C487" s="149">
        <f ca="1">_xll.meDateFromTenor(C486,"1D","FOLLOWING",$D$11,"NORMAL")</f>
        <v>43117</v>
      </c>
      <c r="D487" s="20">
        <f ca="1">_xll.meDateFromTenor(C487,"1D","Following",$D$11,"Normal")</f>
        <v>43118</v>
      </c>
      <c r="E487" s="99">
        <f ca="1"/>
        <v>9.8113778424924539E-3</v>
      </c>
      <c r="F487" s="161">
        <f ca="1">_xll.meCurveForwardRates(C487,$D$9,$D$10)</f>
        <v>9.8595321947128056E-3</v>
      </c>
      <c r="G487" s="7" t="s">
        <v>4</v>
      </c>
      <c r="H487" s="149">
        <f t="shared" ca="1" si="14"/>
        <v>43117</v>
      </c>
      <c r="I487" s="20">
        <f ca="1">_xll.meDateFromTenor(H487,"3M","Following",$I$11,"Normal")</f>
        <v>43207</v>
      </c>
      <c r="J487" s="150">
        <f ca="1"/>
        <v>1.1927053807519995E-2</v>
      </c>
      <c r="K487" s="7" t="s">
        <v>4</v>
      </c>
      <c r="L487" s="149" t="e">
        <f ca="1">_xll.meDateFromTenor(L486,"1D","FOLLOWING",#REF!,"NORMAL")</f>
        <v>#VALUE!</v>
      </c>
      <c r="M487" s="155">
        <f ca="1">_xll.meDateYearFraction(C487,D487,$M$11)</f>
        <v>2.7777777777777779E-3</v>
      </c>
      <c r="N487" s="150">
        <f ca="1"/>
        <v>-2.4300000000065936E-3</v>
      </c>
      <c r="O487" s="7" t="s">
        <v>4</v>
      </c>
      <c r="P487" s="149">
        <f t="shared" ca="1" si="15"/>
        <v>43117</v>
      </c>
      <c r="Q487" s="155">
        <f ca="1">_xll.meDateYearFraction(H487,I487,$Q$11,TRUE)</f>
        <v>0.25</v>
      </c>
      <c r="R487" s="150">
        <f ca="1">IF(NOW(),_xll.meCurveForwardRatesFromYearFraction(P487,Q487,$Q$11,$Q$9,$Q$10))</f>
        <v>-3.7175485397107962E-3</v>
      </c>
      <c r="S487" s="134" t="s">
        <v>4</v>
      </c>
    </row>
    <row r="488" spans="1:19" x14ac:dyDescent="0.25">
      <c r="A488" s="128">
        <v>472</v>
      </c>
      <c r="B488" s="133"/>
      <c r="C488" s="149">
        <f ca="1">_xll.meDateFromTenor(C487,"1D","FOLLOWING",$D$11,"NORMAL")</f>
        <v>43118</v>
      </c>
      <c r="D488" s="20">
        <f ca="1">_xll.meDateFromTenor(C488,"1D","Following",$D$11,"Normal")</f>
        <v>43119</v>
      </c>
      <c r="E488" s="99">
        <f ca="1"/>
        <v>9.8116452473107421E-3</v>
      </c>
      <c r="F488" s="161">
        <f ca="1">_xll.meCurveForwardRates(C488,$D$9,$D$10)</f>
        <v>9.8598022286942033E-3</v>
      </c>
      <c r="G488" s="7" t="s">
        <v>4</v>
      </c>
      <c r="H488" s="149">
        <f t="shared" ca="1" si="14"/>
        <v>43118</v>
      </c>
      <c r="I488" s="20">
        <f ca="1">_xll.meDateFromTenor(H488,"3M","Following",$I$11,"Normal")</f>
        <v>43208</v>
      </c>
      <c r="J488" s="150">
        <f ca="1"/>
        <v>1.1933226420381839E-2</v>
      </c>
      <c r="K488" s="7" t="s">
        <v>4</v>
      </c>
      <c r="L488" s="149" t="e">
        <f ca="1">_xll.meDateFromTenor(L487,"1D","FOLLOWING",#REF!,"NORMAL")</f>
        <v>#VALUE!</v>
      </c>
      <c r="M488" s="155">
        <f ca="1">_xll.meDateYearFraction(C488,D488,$M$11)</f>
        <v>2.7777777777777779E-3</v>
      </c>
      <c r="N488" s="150">
        <f ca="1"/>
        <v>-2.4300000000065936E-3</v>
      </c>
      <c r="O488" s="7" t="s">
        <v>4</v>
      </c>
      <c r="P488" s="149">
        <f t="shared" ca="1" si="15"/>
        <v>43118</v>
      </c>
      <c r="Q488" s="155">
        <f ca="1">_xll.meDateYearFraction(H488,I488,$Q$11,TRUE)</f>
        <v>0.25</v>
      </c>
      <c r="R488" s="150">
        <f ca="1">IF(NOW(),_xll.meCurveForwardRatesFromYearFraction(P488,Q488,$Q$11,$Q$9,$Q$10))</f>
        <v>-3.7175485397107962E-3</v>
      </c>
      <c r="S488" s="134" t="s">
        <v>4</v>
      </c>
    </row>
    <row r="489" spans="1:19" x14ac:dyDescent="0.25">
      <c r="A489" s="128">
        <v>473</v>
      </c>
      <c r="B489" s="133"/>
      <c r="C489" s="149">
        <f ca="1">_xll.meDateFromTenor(C488,"1D","FOLLOWING",$D$11,"NORMAL")</f>
        <v>43119</v>
      </c>
      <c r="D489" s="20">
        <f ca="1">_xll.meDateFromTenor(C489,"1D","Following",$D$11,"Normal")</f>
        <v>43122</v>
      </c>
      <c r="E489" s="99">
        <f ca="1"/>
        <v>9.8124475494288169E-3</v>
      </c>
      <c r="F489" s="161">
        <f ca="1">_xll.meCurveForwardRates(C489,$D$9,$D$10)</f>
        <v>9.8600722775195049E-3</v>
      </c>
      <c r="G489" s="7" t="s">
        <v>4</v>
      </c>
      <c r="H489" s="149">
        <f t="shared" ca="1" si="14"/>
        <v>43119</v>
      </c>
      <c r="I489" s="20">
        <f ca="1">_xll.meDateFromTenor(H489,"3M","Following",$I$11,"Normal")</f>
        <v>43209</v>
      </c>
      <c r="J489" s="150">
        <f ca="1"/>
        <v>1.1939399033243682E-2</v>
      </c>
      <c r="K489" s="7" t="s">
        <v>4</v>
      </c>
      <c r="L489" s="149" t="e">
        <f ca="1">_xll.meDateFromTenor(L488,"1D","FOLLOWING",#REF!,"NORMAL")</f>
        <v>#VALUE!</v>
      </c>
      <c r="M489" s="155">
        <f ca="1">_xll.meDateYearFraction(C489,D489,$M$11)</f>
        <v>8.3333333333333332E-3</v>
      </c>
      <c r="N489" s="150">
        <f ca="1"/>
        <v>-2.4300000000065936E-3</v>
      </c>
      <c r="O489" s="7" t="s">
        <v>4</v>
      </c>
      <c r="P489" s="149">
        <f t="shared" ca="1" si="15"/>
        <v>43119</v>
      </c>
      <c r="Q489" s="155">
        <f ca="1">_xll.meDateYearFraction(H489,I489,$Q$11,TRUE)</f>
        <v>0.25</v>
      </c>
      <c r="R489" s="150">
        <f ca="1">IF(NOW(),_xll.meCurveForwardRatesFromYearFraction(P489,Q489,$Q$11,$Q$9,$Q$10))</f>
        <v>-3.0334975538179581E-3</v>
      </c>
      <c r="S489" s="134" t="s">
        <v>4</v>
      </c>
    </row>
    <row r="490" spans="1:19" x14ac:dyDescent="0.25">
      <c r="A490" s="128">
        <v>474</v>
      </c>
      <c r="B490" s="133"/>
      <c r="C490" s="149">
        <f ca="1">_xll.meDateFromTenor(C489,"1D","FOLLOWING",$D$11,"NORMAL")</f>
        <v>43122</v>
      </c>
      <c r="D490" s="20">
        <f ca="1">_xll.meDateFromTenor(C490,"1D","Following",$D$11,"Normal")</f>
        <v>43123</v>
      </c>
      <c r="E490" s="99">
        <f ca="1"/>
        <v>9.8127150126270726E-3</v>
      </c>
      <c r="F490" s="161">
        <f ca="1">_xll.meCurveForwardRates(C490,$D$9,$D$10)</f>
        <v>9.8608825128185806E-3</v>
      </c>
      <c r="G490" s="7" t="s">
        <v>4</v>
      </c>
      <c r="H490" s="149">
        <f t="shared" ca="1" si="14"/>
        <v>43122</v>
      </c>
      <c r="I490" s="20">
        <f ca="1">_xll.meDateFromTenor(H490,"3M","Following",$I$11,"Normal")</f>
        <v>43213</v>
      </c>
      <c r="J490" s="150">
        <f ca="1"/>
        <v>1.1957916871829212E-2</v>
      </c>
      <c r="K490" s="7" t="s">
        <v>4</v>
      </c>
      <c r="L490" s="149" t="e">
        <f ca="1">_xll.meDateFromTenor(L489,"1D","FOLLOWING",#REF!,"NORMAL")</f>
        <v>#VALUE!</v>
      </c>
      <c r="M490" s="155">
        <f ca="1">_xll.meDateYearFraction(C490,D490,$M$11)</f>
        <v>2.7777777777777779E-3</v>
      </c>
      <c r="N490" s="150">
        <f ca="1"/>
        <v>-2.4300000000065936E-3</v>
      </c>
      <c r="O490" s="7" t="s">
        <v>4</v>
      </c>
      <c r="P490" s="149">
        <f t="shared" ca="1" si="15"/>
        <v>43122</v>
      </c>
      <c r="Q490" s="155">
        <f ca="1">_xll.meDateYearFraction(H490,I490,$Q$11,TRUE)</f>
        <v>0.25277777777777777</v>
      </c>
      <c r="R490" s="150">
        <f ca="1">IF(NOW(),_xll.meCurveForwardRatesFromYearFraction(P490,Q490,$Q$11,$Q$9,$Q$10))</f>
        <v>-3.7175485397107962E-3</v>
      </c>
      <c r="S490" s="134" t="s">
        <v>4</v>
      </c>
    </row>
    <row r="491" spans="1:19" x14ac:dyDescent="0.25">
      <c r="A491" s="128">
        <v>475</v>
      </c>
      <c r="B491" s="133"/>
      <c r="C491" s="149">
        <f ca="1">_xll.meDateFromTenor(C490,"1D","FOLLOWING",$D$11,"NORMAL")</f>
        <v>43123</v>
      </c>
      <c r="D491" s="20">
        <f ca="1">_xll.meDateFromTenor(C491,"1D","Following",$D$11,"Normal")</f>
        <v>43124</v>
      </c>
      <c r="E491" s="99">
        <f ca="1"/>
        <v>9.8129824904269816E-3</v>
      </c>
      <c r="F491" s="161">
        <f ca="1">_xll.meCurveForwardRates(C491,$D$9,$D$10)</f>
        <v>9.8611526208591815E-3</v>
      </c>
      <c r="G491" s="7" t="s">
        <v>4</v>
      </c>
      <c r="H491" s="149">
        <f t="shared" ca="1" si="14"/>
        <v>43123</v>
      </c>
      <c r="I491" s="20">
        <f ca="1">_xll.meDateFromTenor(H491,"3M","Following",$I$11,"Normal")</f>
        <v>43213</v>
      </c>
      <c r="J491" s="150">
        <f ca="1"/>
        <v>1.1964089484691055E-2</v>
      </c>
      <c r="K491" s="7" t="s">
        <v>4</v>
      </c>
      <c r="L491" s="149" t="e">
        <f ca="1">_xll.meDateFromTenor(L490,"1D","FOLLOWING",#REF!,"NORMAL")</f>
        <v>#VALUE!</v>
      </c>
      <c r="M491" s="155">
        <f ca="1">_xll.meDateYearFraction(C491,D491,$M$11)</f>
        <v>2.7777777777777779E-3</v>
      </c>
      <c r="N491" s="150">
        <f ca="1"/>
        <v>-2.4300000000065936E-3</v>
      </c>
      <c r="O491" s="7" t="s">
        <v>4</v>
      </c>
      <c r="P491" s="149">
        <f t="shared" ca="1" si="15"/>
        <v>43123</v>
      </c>
      <c r="Q491" s="155">
        <f ca="1">_xll.meDateYearFraction(H491,I491,$Q$11,TRUE)</f>
        <v>0.25</v>
      </c>
      <c r="R491" s="150">
        <f ca="1">IF(NOW(),_xll.meCurveForwardRatesFromYearFraction(P491,Q491,$Q$11,$Q$9,$Q$10))</f>
        <v>-3.7175485397107962E-3</v>
      </c>
      <c r="S491" s="134" t="s">
        <v>4</v>
      </c>
    </row>
    <row r="492" spans="1:19" x14ac:dyDescent="0.25">
      <c r="A492" s="128">
        <v>476</v>
      </c>
      <c r="B492" s="133"/>
      <c r="C492" s="149">
        <f ca="1">_xll.meDateFromTenor(C491,"1D","FOLLOWING",$D$11,"NORMAL")</f>
        <v>43124</v>
      </c>
      <c r="D492" s="20">
        <f ca="1">_xll.meDateFromTenor(C492,"1D","Following",$D$11,"Normal")</f>
        <v>43125</v>
      </c>
      <c r="E492" s="99">
        <f ca="1"/>
        <v>9.8132499827752531E-3</v>
      </c>
      <c r="F492" s="161">
        <f ca="1">_xll.meCurveForwardRates(C492,$D$9,$D$10)</f>
        <v>9.8614227436630841E-3</v>
      </c>
      <c r="G492" s="7" t="s">
        <v>4</v>
      </c>
      <c r="H492" s="149">
        <f t="shared" ca="1" si="14"/>
        <v>43124</v>
      </c>
      <c r="I492" s="20">
        <f ca="1">_xll.meDateFromTenor(H492,"3M","Following",$I$11,"Normal")</f>
        <v>43214</v>
      </c>
      <c r="J492" s="150">
        <f ca="1"/>
        <v>1.1970262097552899E-2</v>
      </c>
      <c r="K492" s="7" t="s">
        <v>4</v>
      </c>
      <c r="L492" s="149" t="e">
        <f ca="1">_xll.meDateFromTenor(L491,"1D","FOLLOWING",#REF!,"NORMAL")</f>
        <v>#VALUE!</v>
      </c>
      <c r="M492" s="155">
        <f ca="1">_xll.meDateYearFraction(C492,D492,$M$11)</f>
        <v>2.7777777777777779E-3</v>
      </c>
      <c r="N492" s="150">
        <f ca="1"/>
        <v>-2.4300000000065936E-3</v>
      </c>
      <c r="O492" s="7" t="s">
        <v>4</v>
      </c>
      <c r="P492" s="149">
        <f t="shared" ca="1" si="15"/>
        <v>43124</v>
      </c>
      <c r="Q492" s="155">
        <f ca="1">_xll.meDateYearFraction(H492,I492,$Q$11,TRUE)</f>
        <v>0.25</v>
      </c>
      <c r="R492" s="150">
        <f ca="1">IF(NOW(),_xll.meCurveForwardRatesFromYearFraction(P492,Q492,$Q$11,$Q$9,$Q$10))</f>
        <v>-3.7175485397107962E-3</v>
      </c>
      <c r="S492" s="134" t="s">
        <v>4</v>
      </c>
    </row>
    <row r="493" spans="1:19" x14ac:dyDescent="0.25">
      <c r="A493" s="128">
        <v>477</v>
      </c>
      <c r="B493" s="133"/>
      <c r="C493" s="149">
        <f ca="1">_xll.meDateFromTenor(C492,"1D","FOLLOWING",$D$11,"NORMAL")</f>
        <v>43125</v>
      </c>
      <c r="D493" s="20">
        <f ca="1">_xll.meDateFromTenor(C493,"1D","Following",$D$11,"Normal")</f>
        <v>43126</v>
      </c>
      <c r="E493" s="99">
        <f ca="1"/>
        <v>9.8135174897518232E-3</v>
      </c>
      <c r="F493" s="161">
        <f ca="1">_xll.meCurveForwardRates(C493,$D$9,$D$10)</f>
        <v>9.8616928813115567E-3</v>
      </c>
      <c r="G493" s="7" t="s">
        <v>4</v>
      </c>
      <c r="H493" s="149">
        <f t="shared" ca="1" si="14"/>
        <v>43125</v>
      </c>
      <c r="I493" s="20">
        <f ca="1">_xll.meDateFromTenor(H493,"3M","Following",$I$11,"Normal")</f>
        <v>43215</v>
      </c>
      <c r="J493" s="150">
        <f ca="1"/>
        <v>1.1976434710414742E-2</v>
      </c>
      <c r="K493" s="7" t="s">
        <v>4</v>
      </c>
      <c r="L493" s="149" t="e">
        <f ca="1">_xll.meDateFromTenor(L492,"1D","FOLLOWING",#REF!,"NORMAL")</f>
        <v>#VALUE!</v>
      </c>
      <c r="M493" s="155">
        <f ca="1">_xll.meDateYearFraction(C493,D493,$M$11)</f>
        <v>2.7777777777777779E-3</v>
      </c>
      <c r="N493" s="150">
        <f ca="1"/>
        <v>-2.4300000000065936E-3</v>
      </c>
      <c r="O493" s="7" t="s">
        <v>4</v>
      </c>
      <c r="P493" s="149">
        <f t="shared" ca="1" si="15"/>
        <v>43125</v>
      </c>
      <c r="Q493" s="155">
        <f ca="1">_xll.meDateYearFraction(H493,I493,$Q$11,TRUE)</f>
        <v>0.25</v>
      </c>
      <c r="R493" s="150">
        <f ca="1">IF(NOW(),_xll.meCurveForwardRatesFromYearFraction(P493,Q493,$Q$11,$Q$9,$Q$10))</f>
        <v>-3.0334653546387606E-3</v>
      </c>
      <c r="S493" s="134" t="s">
        <v>4</v>
      </c>
    </row>
    <row r="494" spans="1:19" x14ac:dyDescent="0.25">
      <c r="A494" s="128">
        <v>478</v>
      </c>
      <c r="B494" s="133"/>
      <c r="C494" s="149">
        <f ca="1">_xll.meDateFromTenor(C493,"1D","FOLLOWING",$D$11,"NORMAL")</f>
        <v>43126</v>
      </c>
      <c r="D494" s="20">
        <f ca="1">_xll.meDateFromTenor(C494,"1D","Following",$D$11,"Normal")</f>
        <v>43129</v>
      </c>
      <c r="E494" s="99">
        <f ca="1"/>
        <v>9.8143200980513826E-3</v>
      </c>
      <c r="F494" s="161">
        <f ca="1">_xll.meCurveForwardRates(C494,$D$9,$D$10)</f>
        <v>9.8619630337233311E-3</v>
      </c>
      <c r="G494" s="7" t="s">
        <v>4</v>
      </c>
      <c r="H494" s="149">
        <f t="shared" ca="1" si="14"/>
        <v>43126</v>
      </c>
      <c r="I494" s="20">
        <f ca="1">_xll.meDateFromTenor(H494,"3M","Following",$I$11,"Normal")</f>
        <v>43216</v>
      </c>
      <c r="J494" s="150">
        <f ca="1"/>
        <v>1.1982607323276585E-2</v>
      </c>
      <c r="K494" s="7" t="s">
        <v>4</v>
      </c>
      <c r="L494" s="149" t="e">
        <f ca="1">_xll.meDateFromTenor(L493,"1D","FOLLOWING",#REF!,"NORMAL")</f>
        <v>#VALUE!</v>
      </c>
      <c r="M494" s="155">
        <f ca="1">_xll.meDateYearFraction(C494,D494,$M$11)</f>
        <v>8.3333333333333332E-3</v>
      </c>
      <c r="N494" s="150">
        <f ca="1"/>
        <v>-2.4300000000065936E-3</v>
      </c>
      <c r="O494" s="7" t="s">
        <v>4</v>
      </c>
      <c r="P494" s="149">
        <f t="shared" ca="1" si="15"/>
        <v>43126</v>
      </c>
      <c r="Q494" s="155">
        <f ca="1">_xll.meDateYearFraction(H494,I494,$Q$11,TRUE)</f>
        <v>0.25</v>
      </c>
      <c r="R494" s="150">
        <f ca="1">IF(NOW(),_xll.meCurveForwardRatesFromYearFraction(P494,Q494,$Q$11,$Q$9,$Q$10))</f>
        <v>-3.7175485397107962E-3</v>
      </c>
      <c r="S494" s="134" t="s">
        <v>4</v>
      </c>
    </row>
    <row r="495" spans="1:19" x14ac:dyDescent="0.25">
      <c r="A495" s="128">
        <v>479</v>
      </c>
      <c r="B495" s="133"/>
      <c r="C495" s="149">
        <f ca="1">_xll.meDateFromTenor(C494,"1D","FOLLOWING",$D$11,"NORMAL")</f>
        <v>43129</v>
      </c>
      <c r="D495" s="20">
        <f ca="1">_xll.meDateFromTenor(C495,"1D","Following",$D$11,"Normal")</f>
        <v>43130</v>
      </c>
      <c r="E495" s="99">
        <f ca="1"/>
        <v>9.8145876633815368E-3</v>
      </c>
      <c r="F495" s="161">
        <f ca="1">_xll.meCurveForwardRates(C495,$D$9,$D$10)</f>
        <v>9.862773579781825E-3</v>
      </c>
      <c r="G495" s="7" t="s">
        <v>4</v>
      </c>
      <c r="H495" s="149">
        <f t="shared" ca="1" si="14"/>
        <v>43129</v>
      </c>
      <c r="I495" s="20">
        <f ca="1">_xll.meDateFromTenor(H495,"3M","Following",$I$11,"Normal")</f>
        <v>43220</v>
      </c>
      <c r="J495" s="150">
        <f ca="1"/>
        <v>1.2001125161862115E-2</v>
      </c>
      <c r="K495" s="7" t="s">
        <v>4</v>
      </c>
      <c r="L495" s="149" t="e">
        <f ca="1">_xll.meDateFromTenor(L494,"1D","FOLLOWING",#REF!,"NORMAL")</f>
        <v>#VALUE!</v>
      </c>
      <c r="M495" s="155">
        <f ca="1">_xll.meDateYearFraction(C495,D495,$M$11)</f>
        <v>2.7777777777777779E-3</v>
      </c>
      <c r="N495" s="150">
        <f ca="1"/>
        <v>-2.4300000000065936E-3</v>
      </c>
      <c r="O495" s="7" t="s">
        <v>4</v>
      </c>
      <c r="P495" s="149">
        <f t="shared" ca="1" si="15"/>
        <v>43129</v>
      </c>
      <c r="Q495" s="155">
        <f ca="1">_xll.meDateYearFraction(H495,I495,$Q$11,TRUE)</f>
        <v>0.25277777777777777</v>
      </c>
      <c r="R495" s="150">
        <f ca="1">IF(NOW(),_xll.meCurveForwardRatesFromYearFraction(P495,Q495,$Q$11,$Q$9,$Q$10))</f>
        <v>-3.0334438885192953E-3</v>
      </c>
      <c r="S495" s="134" t="s">
        <v>4</v>
      </c>
    </row>
    <row r="496" spans="1:19" x14ac:dyDescent="0.25">
      <c r="A496" s="128">
        <v>480</v>
      </c>
      <c r="B496" s="133"/>
      <c r="C496" s="149">
        <f ca="1">_xll.meDateFromTenor(C495,"1D","FOLLOWING",$D$11,"NORMAL")</f>
        <v>43130</v>
      </c>
      <c r="D496" s="20">
        <f ca="1">_xll.meDateFromTenor(C496,"1D","Following",$D$11,"Normal")</f>
        <v>43131</v>
      </c>
      <c r="E496" s="99">
        <f ca="1"/>
        <v>9.8148552432597916E-3</v>
      </c>
      <c r="F496" s="161">
        <f ca="1">_xll.meCurveForwardRates(C496,$D$9,$D$10)</f>
        <v>9.8630437914093427E-3</v>
      </c>
      <c r="G496" s="7" t="s">
        <v>4</v>
      </c>
      <c r="H496" s="149">
        <f t="shared" ca="1" si="14"/>
        <v>43130</v>
      </c>
      <c r="I496" s="20">
        <f ca="1">_xll.meDateFromTenor(H496,"3M","Following",$I$11,"Normal")</f>
        <v>43220</v>
      </c>
      <c r="J496" s="150">
        <f ca="1"/>
        <v>1.2007297774723959E-2</v>
      </c>
      <c r="K496" s="7" t="s">
        <v>4</v>
      </c>
      <c r="L496" s="149" t="e">
        <f ca="1">_xll.meDateFromTenor(L495,"1D","FOLLOWING",#REF!,"NORMAL")</f>
        <v>#VALUE!</v>
      </c>
      <c r="M496" s="155">
        <f ca="1">_xll.meDateYearFraction(C496,D496,$M$11)</f>
        <v>2.7777777777777779E-3</v>
      </c>
      <c r="N496" s="150">
        <f ca="1"/>
        <v>-2.4300000000065936E-3</v>
      </c>
      <c r="O496" s="7" t="s">
        <v>4</v>
      </c>
      <c r="P496" s="149">
        <f t="shared" ca="1" si="15"/>
        <v>43130</v>
      </c>
      <c r="Q496" s="155">
        <f ca="1">_xll.meDateYearFraction(H496,I496,$Q$11,TRUE)</f>
        <v>0.25</v>
      </c>
      <c r="R496" s="150">
        <f ca="1">IF(NOW(),_xll.meCurveForwardRatesFromYearFraction(P496,Q496,$Q$11,$Q$9,$Q$10))</f>
        <v>-3.033438521989429E-3</v>
      </c>
      <c r="S496" s="134" t="s">
        <v>4</v>
      </c>
    </row>
    <row r="497" spans="1:19" x14ac:dyDescent="0.25">
      <c r="A497" s="128">
        <v>481</v>
      </c>
      <c r="B497" s="133"/>
      <c r="C497" s="149">
        <f ca="1">_xll.meDateFromTenor(C496,"1D","FOLLOWING",$D$11,"NORMAL")</f>
        <v>43131</v>
      </c>
      <c r="D497" s="20">
        <f ca="1">_xll.meDateFromTenor(C497,"1D","Following",$D$11,"Normal")</f>
        <v>43132</v>
      </c>
      <c r="E497" s="99">
        <f ca="1"/>
        <v>9.8151228376864089E-3</v>
      </c>
      <c r="F497" s="161">
        <f ca="1">_xll.meCurveForwardRates(C497,$D$9,$D$10)</f>
        <v>9.8633140178001621E-3</v>
      </c>
      <c r="G497" s="7" t="s">
        <v>4</v>
      </c>
      <c r="H497" s="149">
        <f t="shared" ca="1" si="14"/>
        <v>43131</v>
      </c>
      <c r="I497" s="20">
        <f ca="1">_xll.meDateFromTenor(H497,"3M","Following",$I$11,"Normal")</f>
        <v>43220</v>
      </c>
      <c r="J497" s="150">
        <f ca="1"/>
        <v>1.2013470387585802E-2</v>
      </c>
      <c r="K497" s="7" t="s">
        <v>4</v>
      </c>
      <c r="L497" s="149" t="e">
        <f ca="1">_xll.meDateFromTenor(L496,"1D","FOLLOWING",#REF!,"NORMAL")</f>
        <v>#VALUE!</v>
      </c>
      <c r="M497" s="155">
        <f ca="1">_xll.meDateYearFraction(C497,D497,$M$11)</f>
        <v>2.7777777777777779E-3</v>
      </c>
      <c r="N497" s="150">
        <f ca="1"/>
        <v>-2.4300000000065936E-3</v>
      </c>
      <c r="O497" s="7" t="s">
        <v>4</v>
      </c>
      <c r="P497" s="149">
        <f t="shared" ca="1" si="15"/>
        <v>43131</v>
      </c>
      <c r="Q497" s="155">
        <f ca="1">_xll.meDateYearFraction(H497,I497,$Q$11,TRUE)</f>
        <v>0.24722222222222223</v>
      </c>
      <c r="R497" s="150">
        <f ca="1">IF(NOW(),_xll.meCurveForwardRatesFromYearFraction(P497,Q497,$Q$11,$Q$9,$Q$10))</f>
        <v>-3.0334331554595626E-3</v>
      </c>
      <c r="S497" s="134" t="s">
        <v>4</v>
      </c>
    </row>
    <row r="498" spans="1:19" x14ac:dyDescent="0.25">
      <c r="A498" s="128">
        <v>482</v>
      </c>
      <c r="B498" s="133"/>
      <c r="C498" s="149">
        <f ca="1">_xll.meDateFromTenor(C497,"1D","FOLLOWING",$D$11,"NORMAL")</f>
        <v>43132</v>
      </c>
      <c r="D498" s="20">
        <f ca="1">_xll.meDateFromTenor(C498,"1D","Following",$D$11,"Normal")</f>
        <v>43133</v>
      </c>
      <c r="E498" s="99">
        <f ca="1"/>
        <v>9.8153904467413247E-3</v>
      </c>
      <c r="F498" s="161">
        <f ca="1">_xll.meCurveForwardRates(C498,$D$9,$D$10)</f>
        <v>9.8635842590353295E-3</v>
      </c>
      <c r="G498" s="7" t="s">
        <v>4</v>
      </c>
      <c r="H498" s="149">
        <f t="shared" ca="1" si="14"/>
        <v>43132</v>
      </c>
      <c r="I498" s="20">
        <f ca="1">_xll.meDateFromTenor(H498,"3M","Following",$I$11,"Normal")</f>
        <v>43221</v>
      </c>
      <c r="J498" s="150">
        <f ca="1"/>
        <v>1.2019643000447645E-2</v>
      </c>
      <c r="K498" s="7" t="s">
        <v>4</v>
      </c>
      <c r="L498" s="149" t="e">
        <f ca="1">_xll.meDateFromTenor(L497,"1D","FOLLOWING",#REF!,"NORMAL")</f>
        <v>#VALUE!</v>
      </c>
      <c r="M498" s="155">
        <f ca="1">_xll.meDateYearFraction(C498,D498,$M$11)</f>
        <v>2.7777777777777779E-3</v>
      </c>
      <c r="N498" s="150">
        <f ca="1"/>
        <v>-2.4300000000065936E-3</v>
      </c>
      <c r="O498" s="7" t="s">
        <v>4</v>
      </c>
      <c r="P498" s="149">
        <f t="shared" ca="1" si="15"/>
        <v>43132</v>
      </c>
      <c r="Q498" s="155">
        <f ca="1">_xll.meDateYearFraction(H498,I498,$Q$11,TRUE)</f>
        <v>0.24722222222222223</v>
      </c>
      <c r="R498" s="150">
        <f ca="1">IF(NOW(),_xll.meCurveForwardRatesFromYearFraction(P498,Q498,$Q$11,$Q$9,$Q$10))</f>
        <v>-3.0334277889296963E-3</v>
      </c>
      <c r="S498" s="134" t="s">
        <v>4</v>
      </c>
    </row>
    <row r="499" spans="1:19" x14ac:dyDescent="0.25">
      <c r="A499" s="128">
        <v>483</v>
      </c>
      <c r="B499" s="133"/>
      <c r="C499" s="149">
        <f ca="1">_xll.meDateFromTenor(C498,"1D","FOLLOWING",$D$11,"NORMAL")</f>
        <v>43133</v>
      </c>
      <c r="D499" s="20">
        <f ca="1">_xll.meDateFromTenor(C499,"1D","Following",$D$11,"Normal")</f>
        <v>43136</v>
      </c>
      <c r="E499" s="99">
        <f ca="1"/>
        <v>9.8161933615426369E-3</v>
      </c>
      <c r="F499" s="161">
        <f ca="1">_xll.meCurveForwardRates(C499,$D$9,$D$10)</f>
        <v>9.8638545151148449E-3</v>
      </c>
      <c r="G499" s="7" t="s">
        <v>4</v>
      </c>
      <c r="H499" s="149">
        <f t="shared" ca="1" si="14"/>
        <v>43133</v>
      </c>
      <c r="I499" s="20">
        <f ca="1">_xll.meDateFromTenor(H499,"3M","Following",$I$11,"Normal")</f>
        <v>43222</v>
      </c>
      <c r="J499" s="150">
        <f ca="1"/>
        <v>1.2025815613309489E-2</v>
      </c>
      <c r="K499" s="7" t="s">
        <v>4</v>
      </c>
      <c r="L499" s="149" t="e">
        <f ca="1">_xll.meDateFromTenor(L498,"1D","FOLLOWING",#REF!,"NORMAL")</f>
        <v>#VALUE!</v>
      </c>
      <c r="M499" s="155">
        <f ca="1">_xll.meDateYearFraction(C499,D499,$M$11)</f>
        <v>8.3333333333333332E-3</v>
      </c>
      <c r="N499" s="150">
        <f ca="1"/>
        <v>-2.4300000000065936E-3</v>
      </c>
      <c r="O499" s="7" t="s">
        <v>4</v>
      </c>
      <c r="P499" s="149">
        <f t="shared" ca="1" si="15"/>
        <v>43133</v>
      </c>
      <c r="Q499" s="155">
        <f ca="1">_xll.meDateYearFraction(H499,I499,$Q$11,TRUE)</f>
        <v>0.24722222222222223</v>
      </c>
      <c r="R499" s="150">
        <f ca="1">IF(NOW(),_xll.meCurveForwardRatesFromYearFraction(P499,Q499,$Q$11,$Q$9,$Q$10))</f>
        <v>-3.03342242239983E-3</v>
      </c>
      <c r="S499" s="134" t="s">
        <v>4</v>
      </c>
    </row>
    <row r="500" spans="1:19" x14ac:dyDescent="0.25">
      <c r="A500" s="128">
        <v>484</v>
      </c>
      <c r="B500" s="133"/>
      <c r="C500" s="149">
        <f ca="1">_xll.meDateFromTenor(C499,"1D","FOLLOWING",$D$11,"NORMAL")</f>
        <v>43136</v>
      </c>
      <c r="D500" s="20">
        <f ca="1">_xll.meDateFromTenor(C500,"1D","Following",$D$11,"Normal")</f>
        <v>43137</v>
      </c>
      <c r="E500" s="99">
        <f ca="1"/>
        <v>9.8164610290041657E-3</v>
      </c>
      <c r="F500" s="161">
        <f ca="1">_xll.meCurveForwardRates(C500,$D$9,$D$10)</f>
        <v>9.8646653721772282E-3</v>
      </c>
      <c r="G500" s="7" t="s">
        <v>4</v>
      </c>
      <c r="H500" s="149">
        <f t="shared" ca="1" si="14"/>
        <v>43136</v>
      </c>
      <c r="I500" s="20">
        <f ca="1">_xll.meDateFromTenor(H500,"3M","Following",$I$11,"Normal")</f>
        <v>43228</v>
      </c>
      <c r="J500" s="150">
        <f ca="1"/>
        <v>1.2044333451895019E-2</v>
      </c>
      <c r="K500" s="7" t="s">
        <v>4</v>
      </c>
      <c r="L500" s="149" t="e">
        <f ca="1">_xll.meDateFromTenor(L499,"1D","FOLLOWING",#REF!,"NORMAL")</f>
        <v>#VALUE!</v>
      </c>
      <c r="M500" s="155">
        <f ca="1">_xll.meDateYearFraction(C500,D500,$M$11)</f>
        <v>2.7777777777777779E-3</v>
      </c>
      <c r="N500" s="150">
        <f ca="1"/>
        <v>-2.4300000000065936E-3</v>
      </c>
      <c r="O500" s="7" t="s">
        <v>4</v>
      </c>
      <c r="P500" s="149">
        <f t="shared" ca="1" si="15"/>
        <v>43136</v>
      </c>
      <c r="Q500" s="155">
        <f ca="1">_xll.meDateYearFraction(H500,I500,$Q$11,TRUE)</f>
        <v>0.25555555555555554</v>
      </c>
      <c r="R500" s="150">
        <f ca="1">IF(NOW(),_xll.meCurveForwardRatesFromYearFraction(P500,Q500,$Q$11,$Q$9,$Q$10))</f>
        <v>-3.7175485397107962E-3</v>
      </c>
      <c r="S500" s="134" t="s">
        <v>4</v>
      </c>
    </row>
    <row r="501" spans="1:19" x14ac:dyDescent="0.25">
      <c r="A501" s="128">
        <v>485</v>
      </c>
      <c r="B501" s="133"/>
      <c r="C501" s="149">
        <f ca="1">_xll.meDateFromTenor(C500,"1D","FOLLOWING",$D$11,"NORMAL")</f>
        <v>43137</v>
      </c>
      <c r="D501" s="20">
        <f ca="1">_xll.meDateFromTenor(C501,"1D","Following",$D$11,"Normal")</f>
        <v>43138</v>
      </c>
      <c r="E501" s="99">
        <f ca="1"/>
        <v>9.8167287110407023E-3</v>
      </c>
      <c r="F501" s="161">
        <f ca="1">_xll.meCurveForwardRates(C501,$D$9,$D$10)</f>
        <v>9.8649356874724869E-3</v>
      </c>
      <c r="G501" s="7" t="s">
        <v>4</v>
      </c>
      <c r="H501" s="149">
        <f t="shared" ca="1" si="14"/>
        <v>43137</v>
      </c>
      <c r="I501" s="20">
        <f ca="1">_xll.meDateFromTenor(H501,"3M","Following",$I$11,"Normal")</f>
        <v>43228</v>
      </c>
      <c r="J501" s="150">
        <f ca="1"/>
        <v>1.2050506064756862E-2</v>
      </c>
      <c r="K501" s="7" t="s">
        <v>4</v>
      </c>
      <c r="L501" s="149" t="e">
        <f ca="1">_xll.meDateFromTenor(L500,"1D","FOLLOWING",#REF!,"NORMAL")</f>
        <v>#VALUE!</v>
      </c>
      <c r="M501" s="155">
        <f ca="1">_xll.meDateYearFraction(C501,D501,$M$11)</f>
        <v>2.7777777777777779E-3</v>
      </c>
      <c r="N501" s="150">
        <f ca="1"/>
        <v>-2.4300000000065936E-3</v>
      </c>
      <c r="O501" s="7" t="s">
        <v>4</v>
      </c>
      <c r="P501" s="149">
        <f t="shared" ca="1" si="15"/>
        <v>43137</v>
      </c>
      <c r="Q501" s="155">
        <f ca="1">_xll.meDateYearFraction(H501,I501,$Q$11,TRUE)</f>
        <v>0.25277777777777777</v>
      </c>
      <c r="R501" s="150">
        <f ca="1">IF(NOW(),_xll.meCurveForwardRatesFromYearFraction(P501,Q501,$Q$11,$Q$9,$Q$10))</f>
        <v>-3.0334009562803651E-3</v>
      </c>
      <c r="S501" s="134" t="s">
        <v>4</v>
      </c>
    </row>
    <row r="502" spans="1:19" x14ac:dyDescent="0.25">
      <c r="A502" s="128">
        <v>486</v>
      </c>
      <c r="B502" s="133"/>
      <c r="C502" s="149">
        <f ca="1">_xll.meDateFromTenor(C501,"1D","FOLLOWING",$D$11,"NORMAL")</f>
        <v>43138</v>
      </c>
      <c r="D502" s="20">
        <f ca="1">_xll.meDateFromTenor(C502,"1D","Following",$D$11,"Normal")</f>
        <v>43139</v>
      </c>
      <c r="E502" s="99">
        <f ca="1"/>
        <v>9.8169964076256014E-3</v>
      </c>
      <c r="F502" s="161">
        <f ca="1">_xll.meCurveForwardRates(C502,$D$9,$D$10)</f>
        <v>9.8652060175314915E-3</v>
      </c>
      <c r="G502" s="7" t="s">
        <v>4</v>
      </c>
      <c r="H502" s="149">
        <f t="shared" ca="1" si="14"/>
        <v>43138</v>
      </c>
      <c r="I502" s="20">
        <f ca="1">_xll.meDateFromTenor(H502,"3M","Following",$I$11,"Normal")</f>
        <v>43228</v>
      </c>
      <c r="J502" s="150">
        <f ca="1"/>
        <v>1.2056678677618705E-2</v>
      </c>
      <c r="K502" s="7" t="s">
        <v>4</v>
      </c>
      <c r="L502" s="149" t="e">
        <f ca="1">_xll.meDateFromTenor(L501,"1D","FOLLOWING",#REF!,"NORMAL")</f>
        <v>#VALUE!</v>
      </c>
      <c r="M502" s="155">
        <f ca="1">_xll.meDateYearFraction(C502,D502,$M$11)</f>
        <v>2.7777777777777779E-3</v>
      </c>
      <c r="N502" s="150">
        <f ca="1"/>
        <v>-2.4300000000065936E-3</v>
      </c>
      <c r="O502" s="7" t="s">
        <v>4</v>
      </c>
      <c r="P502" s="149">
        <f t="shared" ca="1" si="15"/>
        <v>43138</v>
      </c>
      <c r="Q502" s="155">
        <f ca="1">_xll.meDateYearFraction(H502,I502,$Q$11,TRUE)</f>
        <v>0.25</v>
      </c>
      <c r="R502" s="150">
        <f ca="1">IF(NOW(),_xll.meCurveForwardRatesFromYearFraction(P502,Q502,$Q$11,$Q$9,$Q$10))</f>
        <v>-3.7175485397107962E-3</v>
      </c>
      <c r="S502" s="134" t="s">
        <v>4</v>
      </c>
    </row>
    <row r="503" spans="1:19" x14ac:dyDescent="0.25">
      <c r="A503" s="128">
        <v>487</v>
      </c>
      <c r="B503" s="133"/>
      <c r="C503" s="149">
        <f ca="1">_xll.meDateFromTenor(C502,"1D","FOLLOWING",$D$11,"NORMAL")</f>
        <v>43139</v>
      </c>
      <c r="D503" s="20">
        <f ca="1">_xll.meDateFromTenor(C503,"1D","Following",$D$11,"Normal")</f>
        <v>43140</v>
      </c>
      <c r="E503" s="99">
        <f ca="1"/>
        <v>9.8172641188387991E-3</v>
      </c>
      <c r="F503" s="161">
        <f ca="1">_xll.meCurveForwardRates(C503,$D$9,$D$10)</f>
        <v>9.8654763624350661E-3</v>
      </c>
      <c r="G503" s="7" t="s">
        <v>4</v>
      </c>
      <c r="H503" s="149">
        <f t="shared" ca="1" si="14"/>
        <v>43139</v>
      </c>
      <c r="I503" s="20">
        <f ca="1">_xll.meDateFromTenor(H503,"3M","Following",$I$11,"Normal")</f>
        <v>43228</v>
      </c>
      <c r="J503" s="150">
        <f ca="1"/>
        <v>1.2062851290480549E-2</v>
      </c>
      <c r="K503" s="7" t="s">
        <v>4</v>
      </c>
      <c r="L503" s="149" t="e">
        <f ca="1">_xll.meDateFromTenor(L502,"1D","FOLLOWING",#REF!,"NORMAL")</f>
        <v>#VALUE!</v>
      </c>
      <c r="M503" s="155">
        <f ca="1">_xll.meDateYearFraction(C503,D503,$M$11)</f>
        <v>2.7777777777777779E-3</v>
      </c>
      <c r="N503" s="150">
        <f ca="1"/>
        <v>-2.4300000000065936E-3</v>
      </c>
      <c r="O503" s="7" t="s">
        <v>4</v>
      </c>
      <c r="P503" s="149">
        <f t="shared" ca="1" si="15"/>
        <v>43139</v>
      </c>
      <c r="Q503" s="155">
        <f ca="1">_xll.meDateYearFraction(H503,I503,$Q$11,TRUE)</f>
        <v>0.24722222222222223</v>
      </c>
      <c r="R503" s="150">
        <f ca="1">IF(NOW(),_xll.meCurveForwardRatesFromYearFraction(P503,Q503,$Q$11,$Q$9,$Q$10))</f>
        <v>-3.0333902232206325E-3</v>
      </c>
      <c r="S503" s="134" t="s">
        <v>4</v>
      </c>
    </row>
    <row r="504" spans="1:19" x14ac:dyDescent="0.25">
      <c r="A504" s="128">
        <v>488</v>
      </c>
      <c r="B504" s="133"/>
      <c r="C504" s="149">
        <f ca="1">_xll.meDateFromTenor(C503,"1D","FOLLOWING",$D$11,"NORMAL")</f>
        <v>43140</v>
      </c>
      <c r="D504" s="20">
        <f ca="1">_xll.meDateFromTenor(C504,"1D","Following",$D$11,"Normal")</f>
        <v>43143</v>
      </c>
      <c r="E504" s="99">
        <f ca="1"/>
        <v>9.8180673402481836E-3</v>
      </c>
      <c r="F504" s="161">
        <f ca="1">_xll.meCurveForwardRates(C504,$D$9,$D$10)</f>
        <v>9.8657467222635908E-3</v>
      </c>
      <c r="G504" s="7" t="s">
        <v>4</v>
      </c>
      <c r="H504" s="149">
        <f t="shared" ca="1" si="14"/>
        <v>43140</v>
      </c>
      <c r="I504" s="20">
        <f ca="1">_xll.meDateFromTenor(H504,"3M","Following",$I$11,"Normal")</f>
        <v>43229</v>
      </c>
      <c r="J504" s="150">
        <f ca="1"/>
        <v>1.2069023903342392E-2</v>
      </c>
      <c r="K504" s="7" t="s">
        <v>4</v>
      </c>
      <c r="L504" s="149" t="e">
        <f ca="1">_xll.meDateFromTenor(L503,"1D","FOLLOWING",#REF!,"NORMAL")</f>
        <v>#VALUE!</v>
      </c>
      <c r="M504" s="155">
        <f ca="1">_xll.meDateYearFraction(C504,D504,$M$11)</f>
        <v>8.3333333333333332E-3</v>
      </c>
      <c r="N504" s="150">
        <f ca="1"/>
        <v>-2.4300000000065936E-3</v>
      </c>
      <c r="O504" s="7" t="s">
        <v>4</v>
      </c>
      <c r="P504" s="149">
        <f t="shared" ca="1" si="15"/>
        <v>43140</v>
      </c>
      <c r="Q504" s="155">
        <f ca="1">_xll.meDateYearFraction(H504,I504,$Q$11,TRUE)</f>
        <v>0.24722222222222223</v>
      </c>
      <c r="R504" s="150">
        <f ca="1">IF(NOW(),_xll.meCurveForwardRatesFromYearFraction(P504,Q504,$Q$11,$Q$9,$Q$10))</f>
        <v>-3.7175485397107962E-3</v>
      </c>
      <c r="S504" s="134" t="s">
        <v>4</v>
      </c>
    </row>
    <row r="505" spans="1:19" x14ac:dyDescent="0.25">
      <c r="A505" s="128">
        <v>489</v>
      </c>
      <c r="B505" s="133"/>
      <c r="C505" s="149">
        <f ca="1">_xll.meDateFromTenor(C504,"1D","FOLLOWING",$D$11,"NORMAL")</f>
        <v>43143</v>
      </c>
      <c r="D505" s="20">
        <f ca="1">_xll.meDateFromTenor(C505,"1D","Following",$D$11,"Normal")</f>
        <v>43144</v>
      </c>
      <c r="E505" s="99">
        <f ca="1"/>
        <v>9.8183351098946395E-3</v>
      </c>
      <c r="F505" s="161">
        <f ca="1">_xll.meCurveForwardRates(C505,$D$9,$D$10)</f>
        <v>9.8665578904117979E-3</v>
      </c>
      <c r="G505" s="7" t="s">
        <v>4</v>
      </c>
      <c r="H505" s="149">
        <f t="shared" ca="1" si="14"/>
        <v>43143</v>
      </c>
      <c r="I505" s="20">
        <f ca="1">_xll.meDateFromTenor(H505,"3M","Following",$I$11,"Normal")</f>
        <v>43234</v>
      </c>
      <c r="J505" s="150">
        <f ca="1"/>
        <v>1.2087541741927922E-2</v>
      </c>
      <c r="K505" s="7" t="s">
        <v>4</v>
      </c>
      <c r="L505" s="149" t="e">
        <f ca="1">_xll.meDateFromTenor(L504,"1D","FOLLOWING",#REF!,"NORMAL")</f>
        <v>#VALUE!</v>
      </c>
      <c r="M505" s="155">
        <f ca="1">_xll.meDateYearFraction(C505,D505,$M$11)</f>
        <v>2.7777777777777779E-3</v>
      </c>
      <c r="N505" s="150">
        <f ca="1"/>
        <v>-2.4300000000065936E-3</v>
      </c>
      <c r="O505" s="7" t="s">
        <v>4</v>
      </c>
      <c r="P505" s="149">
        <f t="shared" ca="1" si="15"/>
        <v>43143</v>
      </c>
      <c r="Q505" s="155">
        <f ca="1">_xll.meDateYearFraction(H505,I505,$Q$11,TRUE)</f>
        <v>0.25277777777777777</v>
      </c>
      <c r="R505" s="150">
        <f ca="1">IF(NOW(),_xll.meCurveForwardRatesFromYearFraction(P505,Q505,$Q$11,$Q$9,$Q$10))</f>
        <v>-3.0333687571011672E-3</v>
      </c>
      <c r="S505" s="134" t="s">
        <v>4</v>
      </c>
    </row>
    <row r="506" spans="1:19" x14ac:dyDescent="0.25">
      <c r="A506" s="128">
        <v>490</v>
      </c>
      <c r="B506" s="133"/>
      <c r="C506" s="149">
        <f ca="1">_xll.meDateFromTenor(C505,"1D","FOLLOWING",$D$11,"NORMAL")</f>
        <v>43144</v>
      </c>
      <c r="D506" s="20">
        <f ca="1">_xll.meDateFromTenor(C506,"1D","Following",$D$11,"Normal")</f>
        <v>43145</v>
      </c>
      <c r="E506" s="99">
        <f ca="1"/>
        <v>9.818602894169394E-3</v>
      </c>
      <c r="F506" s="161">
        <f ca="1">_xll.meCurveForwardRates(C506,$D$9,$D$10)</f>
        <v>9.8668283094565101E-3</v>
      </c>
      <c r="G506" s="7" t="s">
        <v>4</v>
      </c>
      <c r="H506" s="149">
        <f t="shared" ca="1" si="14"/>
        <v>43144</v>
      </c>
      <c r="I506" s="20">
        <f ca="1">_xll.meDateFromTenor(H506,"3M","Following",$I$11,"Normal")</f>
        <v>43234</v>
      </c>
      <c r="J506" s="150">
        <f ca="1"/>
        <v>1.2093714354789765E-2</v>
      </c>
      <c r="K506" s="7" t="s">
        <v>4</v>
      </c>
      <c r="L506" s="149" t="e">
        <f ca="1">_xll.meDateFromTenor(L505,"1D","FOLLOWING",#REF!,"NORMAL")</f>
        <v>#VALUE!</v>
      </c>
      <c r="M506" s="155">
        <f ca="1">_xll.meDateYearFraction(C506,D506,$M$11)</f>
        <v>2.7777777777777779E-3</v>
      </c>
      <c r="N506" s="150">
        <f ca="1"/>
        <v>-2.4300000000065936E-3</v>
      </c>
      <c r="O506" s="7" t="s">
        <v>4</v>
      </c>
      <c r="P506" s="149">
        <f t="shared" ca="1" si="15"/>
        <v>43144</v>
      </c>
      <c r="Q506" s="155">
        <f ca="1">_xll.meDateYearFraction(H506,I506,$Q$11,TRUE)</f>
        <v>0.25</v>
      </c>
      <c r="R506" s="150">
        <f ca="1">IF(NOW(),_xll.meCurveForwardRatesFromYearFraction(P506,Q506,$Q$11,$Q$9,$Q$10))</f>
        <v>-3.7175485397107962E-3</v>
      </c>
      <c r="S506" s="134" t="s">
        <v>4</v>
      </c>
    </row>
    <row r="507" spans="1:19" x14ac:dyDescent="0.25">
      <c r="A507" s="128">
        <v>491</v>
      </c>
      <c r="B507" s="133"/>
      <c r="C507" s="149">
        <f ca="1">_xll.meDateFromTenor(C506,"1D","FOLLOWING",$D$11,"NORMAL")</f>
        <v>43145</v>
      </c>
      <c r="D507" s="20">
        <f ca="1">_xll.meDateFromTenor(C507,"1D","Following",$D$11,"Normal")</f>
        <v>43146</v>
      </c>
      <c r="E507" s="99">
        <f ca="1"/>
        <v>9.818870692992511E-3</v>
      </c>
      <c r="F507" s="161">
        <f ca="1">_xll.meCurveForwardRates(C507,$D$9,$D$10)</f>
        <v>9.8670987432649682E-3</v>
      </c>
      <c r="G507" s="7" t="s">
        <v>4</v>
      </c>
      <c r="H507" s="149">
        <f t="shared" ca="1" si="14"/>
        <v>43145</v>
      </c>
      <c r="I507" s="20">
        <f ca="1">_xll.meDateFromTenor(H507,"3M","Following",$I$11,"Normal")</f>
        <v>43234</v>
      </c>
      <c r="J507" s="150">
        <f ca="1"/>
        <v>1.2099886967651611E-2</v>
      </c>
      <c r="K507" s="7" t="s">
        <v>4</v>
      </c>
      <c r="L507" s="149" t="e">
        <f ca="1">_xll.meDateFromTenor(L506,"1D","FOLLOWING",#REF!,"NORMAL")</f>
        <v>#VALUE!</v>
      </c>
      <c r="M507" s="155">
        <f ca="1">_xll.meDateYearFraction(C507,D507,$M$11)</f>
        <v>2.7777777777777779E-3</v>
      </c>
      <c r="N507" s="150">
        <f ca="1"/>
        <v>-2.4300000000065936E-3</v>
      </c>
      <c r="O507" s="7" t="s">
        <v>4</v>
      </c>
      <c r="P507" s="149">
        <f t="shared" ca="1" si="15"/>
        <v>43145</v>
      </c>
      <c r="Q507" s="155">
        <f ca="1">_xll.meDateYearFraction(H507,I507,$Q$11,TRUE)</f>
        <v>0.24722222222222223</v>
      </c>
      <c r="R507" s="150">
        <f ca="1">IF(NOW(),_xll.meCurveForwardRatesFromYearFraction(P507,Q507,$Q$11,$Q$9,$Q$10))</f>
        <v>-3.7175485397107962E-3</v>
      </c>
      <c r="S507" s="134" t="s">
        <v>4</v>
      </c>
    </row>
    <row r="508" spans="1:19" x14ac:dyDescent="0.25">
      <c r="A508" s="128">
        <v>492</v>
      </c>
      <c r="B508" s="133"/>
      <c r="C508" s="149">
        <f ca="1">_xll.meDateFromTenor(C507,"1D","FOLLOWING",$D$11,"NORMAL")</f>
        <v>43146</v>
      </c>
      <c r="D508" s="20">
        <f ca="1">_xll.meDateFromTenor(C508,"1D","Following",$D$11,"Normal")</f>
        <v>43147</v>
      </c>
      <c r="E508" s="99">
        <f ca="1"/>
        <v>9.8191385065238626E-3</v>
      </c>
      <c r="F508" s="161">
        <f ca="1">_xll.meCurveForwardRates(C508,$D$9,$D$10)</f>
        <v>9.8673691919985984E-3</v>
      </c>
      <c r="G508" s="7" t="s">
        <v>4</v>
      </c>
      <c r="H508" s="149">
        <f t="shared" ca="1" si="14"/>
        <v>43146</v>
      </c>
      <c r="I508" s="20">
        <f ca="1">_xll.meDateFromTenor(H508,"3M","Following",$I$11,"Normal")</f>
        <v>43235</v>
      </c>
      <c r="J508" s="150">
        <f ca="1"/>
        <v>1.2106059580513452E-2</v>
      </c>
      <c r="K508" s="7" t="s">
        <v>4</v>
      </c>
      <c r="L508" s="149" t="e">
        <f ca="1">_xll.meDateFromTenor(L507,"1D","FOLLOWING",#REF!,"NORMAL")</f>
        <v>#VALUE!</v>
      </c>
      <c r="M508" s="155">
        <f ca="1">_xll.meDateYearFraction(C508,D508,$M$11)</f>
        <v>2.7777777777777779E-3</v>
      </c>
      <c r="N508" s="150">
        <f ca="1"/>
        <v>-2.4300000000065936E-3</v>
      </c>
      <c r="O508" s="7" t="s">
        <v>4</v>
      </c>
      <c r="P508" s="149">
        <f t="shared" ca="1" si="15"/>
        <v>43146</v>
      </c>
      <c r="Q508" s="155">
        <f ca="1">_xll.meDateYearFraction(H508,I508,$Q$11,TRUE)</f>
        <v>0.24722222222222223</v>
      </c>
      <c r="R508" s="150">
        <f ca="1">IF(NOW(),_xll.meCurveForwardRatesFromYearFraction(P508,Q508,$Q$11,$Q$9,$Q$10))</f>
        <v>-3.0333526575115682E-3</v>
      </c>
      <c r="S508" s="134" t="s">
        <v>4</v>
      </c>
    </row>
    <row r="509" spans="1:19" x14ac:dyDescent="0.25">
      <c r="A509" s="128">
        <v>493</v>
      </c>
      <c r="B509" s="133"/>
      <c r="C509" s="149">
        <f ca="1">_xll.meDateFromTenor(C508,"1D","FOLLOWING",$D$11,"NORMAL")</f>
        <v>43147</v>
      </c>
      <c r="D509" s="20">
        <f ca="1">_xll.meDateFromTenor(C509,"1D","Following",$D$11,"Normal")</f>
        <v>43151</v>
      </c>
      <c r="E509" s="99">
        <f ca="1"/>
        <v>9.8202099065125906E-3</v>
      </c>
      <c r="F509" s="161">
        <f ca="1">_xll.meCurveForwardRates(C509,$D$9,$D$10)</f>
        <v>9.8676396554959744E-3</v>
      </c>
      <c r="G509" s="7" t="s">
        <v>4</v>
      </c>
      <c r="H509" s="149">
        <f t="shared" ca="1" si="14"/>
        <v>43147</v>
      </c>
      <c r="I509" s="20">
        <f ca="1">_xll.meDateFromTenor(H509,"3M","Following",$I$11,"Normal")</f>
        <v>43236</v>
      </c>
      <c r="J509" s="150">
        <f ca="1"/>
        <v>1.2112232193375295E-2</v>
      </c>
      <c r="K509" s="7" t="s">
        <v>4</v>
      </c>
      <c r="L509" s="149" t="e">
        <f ca="1">_xll.meDateFromTenor(L508,"1D","FOLLOWING",#REF!,"NORMAL")</f>
        <v>#VALUE!</v>
      </c>
      <c r="M509" s="155">
        <f ca="1">_xll.meDateYearFraction(C509,D509,$M$11)</f>
        <v>1.1111111111111112E-2</v>
      </c>
      <c r="N509" s="150">
        <f ca="1"/>
        <v>-2.4300000000065936E-3</v>
      </c>
      <c r="O509" s="7" t="s">
        <v>4</v>
      </c>
      <c r="P509" s="149">
        <f t="shared" ca="1" si="15"/>
        <v>43147</v>
      </c>
      <c r="Q509" s="155">
        <f ca="1">_xll.meDateYearFraction(H509,I509,$Q$11,TRUE)</f>
        <v>0.24722222222222223</v>
      </c>
      <c r="R509" s="150">
        <f ca="1">IF(NOW(),_xll.meCurveForwardRatesFromYearFraction(P509,Q509,$Q$11,$Q$9,$Q$10))</f>
        <v>-3.0333472909817019E-3</v>
      </c>
      <c r="S509" s="134" t="s">
        <v>4</v>
      </c>
    </row>
    <row r="510" spans="1:19" x14ac:dyDescent="0.25">
      <c r="A510" s="128">
        <v>494</v>
      </c>
      <c r="B510" s="133"/>
      <c r="C510" s="149">
        <f ca="1">_xll.meDateFromTenor(C509,"1D","FOLLOWING",$D$11,"NORMAL")</f>
        <v>43151</v>
      </c>
      <c r="D510" s="20">
        <f ca="1">_xll.meDateFromTenor(C510,"1D","Following",$D$11,"Normal")</f>
        <v>43152</v>
      </c>
      <c r="E510" s="99">
        <f ca="1"/>
        <v>9.8204777929656109E-3</v>
      </c>
      <c r="F510" s="161">
        <f ca="1">_xll.meCurveForwardRates(C510,$D$9,$D$10)</f>
        <v>9.8687216576882619E-3</v>
      </c>
      <c r="G510" s="7" t="s">
        <v>4</v>
      </c>
      <c r="H510" s="149">
        <f t="shared" ca="1" si="14"/>
        <v>43151</v>
      </c>
      <c r="I510" s="20">
        <f ca="1">_xll.meDateFromTenor(H510,"3M","Following",$I$11,"Normal")</f>
        <v>43241</v>
      </c>
      <c r="J510" s="150">
        <f ca="1"/>
        <v>1.2136922644822671E-2</v>
      </c>
      <c r="K510" s="7" t="s">
        <v>4</v>
      </c>
      <c r="L510" s="149" t="e">
        <f ca="1">_xll.meDateFromTenor(L509,"1D","FOLLOWING",#REF!,"NORMAL")</f>
        <v>#VALUE!</v>
      </c>
      <c r="M510" s="155">
        <f ca="1">_xll.meDateYearFraction(C510,D510,$M$11)</f>
        <v>2.7777777777777779E-3</v>
      </c>
      <c r="N510" s="150">
        <f ca="1"/>
        <v>-2.4300000000065936E-3</v>
      </c>
      <c r="O510" s="7" t="s">
        <v>4</v>
      </c>
      <c r="P510" s="149">
        <f t="shared" ca="1" si="15"/>
        <v>43151</v>
      </c>
      <c r="Q510" s="155">
        <f ca="1">_xll.meDateYearFraction(H510,I510,$Q$11,TRUE)</f>
        <v>0.25</v>
      </c>
      <c r="R510" s="150">
        <f ca="1">IF(NOW(),_xll.meCurveForwardRatesFromYearFraction(P510,Q510,$Q$11,$Q$9,$Q$10))</f>
        <v>-3.033325824862237E-3</v>
      </c>
      <c r="S510" s="134" t="s">
        <v>4</v>
      </c>
    </row>
    <row r="511" spans="1:19" x14ac:dyDescent="0.25">
      <c r="A511" s="128">
        <v>495</v>
      </c>
      <c r="B511" s="133"/>
      <c r="C511" s="149">
        <f ca="1">_xll.meDateFromTenor(C510,"1D","FOLLOWING",$D$11,"NORMAL")</f>
        <v>43152</v>
      </c>
      <c r="D511" s="20">
        <f ca="1">_xll.meDateFromTenor(C511,"1D","Following",$D$11,"Normal")</f>
        <v>43153</v>
      </c>
      <c r="E511" s="99">
        <f ca="1"/>
        <v>9.820745694266754E-3</v>
      </c>
      <c r="F511" s="161">
        <f ca="1">_xll.meCurveForwardRates(C511,$D$9,$D$10)</f>
        <v>9.8689921954888682E-3</v>
      </c>
      <c r="G511" s="7" t="s">
        <v>4</v>
      </c>
      <c r="H511" s="149">
        <f t="shared" ca="1" si="14"/>
        <v>43152</v>
      </c>
      <c r="I511" s="20">
        <f ca="1">_xll.meDateFromTenor(H511,"3M","Following",$I$11,"Normal")</f>
        <v>43241</v>
      </c>
      <c r="J511" s="150">
        <f ca="1"/>
        <v>1.2143095257684514E-2</v>
      </c>
      <c r="K511" s="7" t="s">
        <v>4</v>
      </c>
      <c r="L511" s="149" t="e">
        <f ca="1">_xll.meDateFromTenor(L510,"1D","FOLLOWING",#REF!,"NORMAL")</f>
        <v>#VALUE!</v>
      </c>
      <c r="M511" s="155">
        <f ca="1">_xll.meDateYearFraction(C511,D511,$M$11)</f>
        <v>2.7777777777777779E-3</v>
      </c>
      <c r="N511" s="150">
        <f ca="1"/>
        <v>-2.4300000000065936E-3</v>
      </c>
      <c r="O511" s="7" t="s">
        <v>4</v>
      </c>
      <c r="P511" s="149">
        <f t="shared" ca="1" si="15"/>
        <v>43152</v>
      </c>
      <c r="Q511" s="155">
        <f ca="1">_xll.meDateYearFraction(H511,I511,$Q$11,TRUE)</f>
        <v>0.24722222222222223</v>
      </c>
      <c r="R511" s="150">
        <f ca="1">IF(NOW(),_xll.meCurveForwardRatesFromYearFraction(P511,Q511,$Q$11,$Q$9,$Q$10))</f>
        <v>-3.7175485397107962E-3</v>
      </c>
      <c r="S511" s="134" t="s">
        <v>4</v>
      </c>
    </row>
    <row r="512" spans="1:19" x14ac:dyDescent="0.25">
      <c r="A512" s="128">
        <v>496</v>
      </c>
      <c r="B512" s="133"/>
      <c r="C512" s="149">
        <f ca="1">_xll.meDateFromTenor(C511,"1D","FOLLOWING",$D$11,"NORMAL")</f>
        <v>43153</v>
      </c>
      <c r="D512" s="20">
        <f ca="1">_xll.meDateFromTenor(C512,"1D","Following",$D$11,"Normal")</f>
        <v>43154</v>
      </c>
      <c r="E512" s="99">
        <f ca="1"/>
        <v>9.8210136099563874E-3</v>
      </c>
      <c r="F512" s="161">
        <f ca="1">_xll.meCurveForwardRates(C512,$D$9,$D$10)</f>
        <v>9.8692627478920159E-3</v>
      </c>
      <c r="G512" s="7" t="s">
        <v>4</v>
      </c>
      <c r="H512" s="149">
        <f t="shared" ca="1" si="14"/>
        <v>43153</v>
      </c>
      <c r="I512" s="20">
        <f ca="1">_xll.meDateFromTenor(H512,"3M","Following",$I$11,"Normal")</f>
        <v>43242</v>
      </c>
      <c r="J512" s="150">
        <f ca="1"/>
        <v>1.2149267870546357E-2</v>
      </c>
      <c r="K512" s="7" t="s">
        <v>4</v>
      </c>
      <c r="L512" s="149" t="e">
        <f ca="1">_xll.meDateFromTenor(L511,"1D","FOLLOWING",#REF!,"NORMAL")</f>
        <v>#VALUE!</v>
      </c>
      <c r="M512" s="155">
        <f ca="1">_xll.meDateYearFraction(C512,D512,$M$11)</f>
        <v>2.7777777777777779E-3</v>
      </c>
      <c r="N512" s="150">
        <f ca="1"/>
        <v>-2.4300000000065936E-3</v>
      </c>
      <c r="O512" s="7" t="s">
        <v>4</v>
      </c>
      <c r="P512" s="149">
        <f t="shared" ca="1" si="15"/>
        <v>43153</v>
      </c>
      <c r="Q512" s="155">
        <f ca="1">_xll.meDateYearFraction(H512,I512,$Q$11,TRUE)</f>
        <v>0.24722222222222223</v>
      </c>
      <c r="R512" s="150">
        <f ca="1">IF(NOW(),_xll.meCurveForwardRatesFromYearFraction(P512,Q512,$Q$11,$Q$9,$Q$10))</f>
        <v>-3.7175485397107962E-3</v>
      </c>
      <c r="S512" s="134" t="s">
        <v>4</v>
      </c>
    </row>
    <row r="513" spans="1:19" x14ac:dyDescent="0.25">
      <c r="A513" s="128">
        <v>497</v>
      </c>
      <c r="B513" s="133"/>
      <c r="C513" s="149">
        <f ca="1">_xll.meDateFromTenor(C512,"1D","FOLLOWING",$D$11,"NORMAL")</f>
        <v>43154</v>
      </c>
      <c r="D513" s="20">
        <f ca="1">_xll.meDateFromTenor(C513,"1D","Following",$D$11,"Normal")</f>
        <v>43157</v>
      </c>
      <c r="E513" s="99">
        <f ca="1"/>
        <v>9.8218174450082421E-3</v>
      </c>
      <c r="F513" s="161">
        <f ca="1">_xll.meCurveForwardRates(C513,$D$9,$D$10)</f>
        <v>9.8695333152201137E-3</v>
      </c>
      <c r="G513" s="7" t="s">
        <v>4</v>
      </c>
      <c r="H513" s="149">
        <f t="shared" ca="1" si="14"/>
        <v>43154</v>
      </c>
      <c r="I513" s="20">
        <f ca="1">_xll.meDateFromTenor(H513,"3M","Following",$I$11,"Normal")</f>
        <v>43243</v>
      </c>
      <c r="J513" s="150">
        <f ca="1"/>
        <v>1.211619733698655E-2</v>
      </c>
      <c r="K513" s="7" t="s">
        <v>4</v>
      </c>
      <c r="L513" s="149" t="e">
        <f ca="1">_xll.meDateFromTenor(L512,"1D","FOLLOWING",#REF!,"NORMAL")</f>
        <v>#VALUE!</v>
      </c>
      <c r="M513" s="155">
        <f ca="1">_xll.meDateYearFraction(C513,D513,$M$11)</f>
        <v>8.3333333333333332E-3</v>
      </c>
      <c r="N513" s="150">
        <f ca="1"/>
        <v>-2.4300000000065936E-3</v>
      </c>
      <c r="O513" s="7" t="s">
        <v>4</v>
      </c>
      <c r="P513" s="149">
        <f t="shared" ca="1" si="15"/>
        <v>43154</v>
      </c>
      <c r="Q513" s="155">
        <f ca="1">_xll.meDateYearFraction(H513,I513,$Q$11,TRUE)</f>
        <v>0.24722222222222223</v>
      </c>
      <c r="R513" s="150">
        <f ca="1">IF(NOW(),_xll.meCurveForwardRatesFromYearFraction(P513,Q513,$Q$11,$Q$9,$Q$10))</f>
        <v>-3.033309725272638E-3</v>
      </c>
      <c r="S513" s="134" t="s">
        <v>4</v>
      </c>
    </row>
    <row r="514" spans="1:19" x14ac:dyDescent="0.25">
      <c r="A514" s="128">
        <v>498</v>
      </c>
      <c r="B514" s="133"/>
      <c r="C514" s="149">
        <f ca="1">_xll.meDateFromTenor(C513,"1D","FOLLOWING",$D$11,"NORMAL")</f>
        <v>43157</v>
      </c>
      <c r="D514" s="20">
        <f ca="1">_xll.meDateFromTenor(C514,"1D","Following",$D$11,"Normal")</f>
        <v>43158</v>
      </c>
      <c r="E514" s="99">
        <f ca="1"/>
        <v>9.8220854192377152E-3</v>
      </c>
      <c r="F514" s="161">
        <f ca="1">_xll.meCurveForwardRates(C514,$D$9,$D$10)</f>
        <v>9.8703451061916692E-3</v>
      </c>
      <c r="G514" s="7" t="s">
        <v>4</v>
      </c>
      <c r="H514" s="149">
        <f t="shared" ca="1" si="14"/>
        <v>43157</v>
      </c>
      <c r="I514" s="20">
        <f ca="1">_xll.meDateFromTenor(H514,"3M","Following",$I$11,"Normal")</f>
        <v>43249</v>
      </c>
      <c r="J514" s="150">
        <f ca="1"/>
        <v>1.2173958321993731E-2</v>
      </c>
      <c r="K514" s="7" t="s">
        <v>4</v>
      </c>
      <c r="L514" s="149" t="e">
        <f ca="1">_xll.meDateFromTenor(L513,"1D","FOLLOWING",#REF!,"NORMAL")</f>
        <v>#VALUE!</v>
      </c>
      <c r="M514" s="155">
        <f ca="1">_xll.meDateYearFraction(C514,D514,$M$11)</f>
        <v>2.7777777777777779E-3</v>
      </c>
      <c r="N514" s="150">
        <f ca="1"/>
        <v>-2.4300000000065936E-3</v>
      </c>
      <c r="O514" s="7" t="s">
        <v>4</v>
      </c>
      <c r="P514" s="149">
        <f t="shared" ca="1" si="15"/>
        <v>43157</v>
      </c>
      <c r="Q514" s="155">
        <f ca="1">_xll.meDateYearFraction(H514,I514,$Q$11,TRUE)</f>
        <v>0.25555555555555554</v>
      </c>
      <c r="R514" s="150">
        <f ca="1">IF(NOW(),_xll.meCurveForwardRatesFromYearFraction(P514,Q514,$Q$11,$Q$9,$Q$10))</f>
        <v>-3.7175485397107962E-3</v>
      </c>
      <c r="S514" s="134" t="s">
        <v>4</v>
      </c>
    </row>
    <row r="515" spans="1:19" x14ac:dyDescent="0.25">
      <c r="A515" s="128">
        <v>499</v>
      </c>
      <c r="B515" s="133"/>
      <c r="C515" s="149">
        <f ca="1">_xll.meDateFromTenor(C514,"1D","FOLLOWING",$D$11,"NORMAL")</f>
        <v>43158</v>
      </c>
      <c r="D515" s="20">
        <f ca="1">_xll.meDateFromTenor(C515,"1D","Following",$D$11,"Normal")</f>
        <v>43159</v>
      </c>
      <c r="E515" s="99">
        <f ca="1"/>
        <v>9.8223534080688416E-3</v>
      </c>
      <c r="F515" s="161">
        <f ca="1">_xll.meCurveForwardRates(C515,$D$9,$D$10)</f>
        <v>9.8706157328176669E-3</v>
      </c>
      <c r="G515" s="7" t="s">
        <v>4</v>
      </c>
      <c r="H515" s="149">
        <f t="shared" ca="1" si="14"/>
        <v>43158</v>
      </c>
      <c r="I515" s="20">
        <f ca="1">_xll.meDateFromTenor(H515,"3M","Following",$I$11,"Normal")</f>
        <v>43249</v>
      </c>
      <c r="J515" s="150">
        <f ca="1"/>
        <v>1.2180130934855574E-2</v>
      </c>
      <c r="K515" s="7" t="s">
        <v>4</v>
      </c>
      <c r="L515" s="149" t="e">
        <f ca="1">_xll.meDateFromTenor(L514,"1D","FOLLOWING",#REF!,"NORMAL")</f>
        <v>#VALUE!</v>
      </c>
      <c r="M515" s="155">
        <f ca="1">_xll.meDateYearFraction(C515,D515,$M$11)</f>
        <v>2.7777777777777779E-3</v>
      </c>
      <c r="N515" s="150">
        <f ca="1"/>
        <v>-2.4300000000065936E-3</v>
      </c>
      <c r="O515" s="7" t="s">
        <v>4</v>
      </c>
      <c r="P515" s="149">
        <f t="shared" ca="1" si="15"/>
        <v>43158</v>
      </c>
      <c r="Q515" s="155">
        <f ca="1">_xll.meDateYearFraction(H515,I515,$Q$11,TRUE)</f>
        <v>0.25277777777777777</v>
      </c>
      <c r="R515" s="150">
        <f ca="1">IF(NOW(),_xll.meCurveForwardRatesFromYearFraction(P515,Q515,$Q$11,$Q$9,$Q$10))</f>
        <v>-3.7175485397107962E-3</v>
      </c>
      <c r="S515" s="134" t="s">
        <v>4</v>
      </c>
    </row>
    <row r="516" spans="1:19" x14ac:dyDescent="0.25">
      <c r="A516" s="128">
        <v>500</v>
      </c>
      <c r="B516" s="133"/>
      <c r="C516" s="149">
        <f ca="1">_xll.meDateFromTenor(C515,"1D","FOLLOWING",$D$11,"NORMAL")</f>
        <v>43159</v>
      </c>
      <c r="D516" s="20">
        <f ca="1">_xll.meDateFromTenor(C516,"1D","Following",$D$11,"Normal")</f>
        <v>43160</v>
      </c>
      <c r="E516" s="99">
        <f ca="1"/>
        <v>9.8226214116082025E-3</v>
      </c>
      <c r="F516" s="161">
        <f ca="1">_xll.meCurveForwardRates(C516,$D$9,$D$10)</f>
        <v>9.8708863743688369E-3</v>
      </c>
      <c r="G516" s="7" t="s">
        <v>4</v>
      </c>
      <c r="H516" s="149">
        <f t="shared" ca="1" si="14"/>
        <v>43159</v>
      </c>
      <c r="I516" s="20">
        <f ca="1">_xll.meDateFromTenor(H516,"3M","Following",$I$11,"Normal")</f>
        <v>43249</v>
      </c>
      <c r="J516" s="150">
        <f ca="1"/>
        <v>1.2186303547717417E-2</v>
      </c>
      <c r="K516" s="7" t="s">
        <v>4</v>
      </c>
      <c r="L516" s="149" t="e">
        <f ca="1">_xll.meDateFromTenor(L515,"1D","FOLLOWING",#REF!,"NORMAL")</f>
        <v>#VALUE!</v>
      </c>
      <c r="M516" s="155">
        <f ca="1">_xll.meDateYearFraction(C516,D516,$M$11)</f>
        <v>2.7777777777777779E-3</v>
      </c>
      <c r="N516" s="150">
        <f ca="1"/>
        <v>-2.4300000000065936E-3</v>
      </c>
      <c r="O516" s="7" t="s">
        <v>4</v>
      </c>
      <c r="P516" s="149">
        <f t="shared" ca="1" si="15"/>
        <v>43159</v>
      </c>
      <c r="Q516" s="155">
        <f ca="1">_xll.meDateYearFraction(H516,I516,$Q$11,TRUE)</f>
        <v>0.25</v>
      </c>
      <c r="R516" s="150">
        <f ca="1">IF(NOW(),_xll.meCurveForwardRatesFromYearFraction(P516,Q516,$Q$11,$Q$9,$Q$10))</f>
        <v>-3.7175485397107962E-3</v>
      </c>
      <c r="S516" s="134" t="s">
        <v>4</v>
      </c>
    </row>
    <row r="517" spans="1:19" x14ac:dyDescent="0.25">
      <c r="A517" s="128">
        <v>501</v>
      </c>
      <c r="B517" s="133"/>
      <c r="C517" s="149">
        <f ca="1">_xll.meDateFromTenor(C516,"1D","FOLLOWING",$D$11,"NORMAL")</f>
        <v>43160</v>
      </c>
      <c r="D517" s="20">
        <f ca="1">_xll.meDateFromTenor(C517,"1D","Following",$D$11,"Normal")</f>
        <v>43161</v>
      </c>
      <c r="E517" s="99">
        <f ca="1"/>
        <v>9.822889429775862E-3</v>
      </c>
      <c r="F517" s="161">
        <f ca="1">_xll.meCurveForwardRates(C517,$D$9,$D$10)</f>
        <v>9.8711570307645768E-3</v>
      </c>
      <c r="G517" s="7" t="s">
        <v>4</v>
      </c>
      <c r="H517" s="149">
        <f t="shared" ca="1" si="14"/>
        <v>43160</v>
      </c>
      <c r="I517" s="20">
        <f ca="1">_xll.meDateFromTenor(H517,"3M","Following",$I$11,"Normal")</f>
        <v>43252</v>
      </c>
      <c r="J517" s="150">
        <f ca="1"/>
        <v>1.2192476160579261E-2</v>
      </c>
      <c r="K517" s="7" t="s">
        <v>4</v>
      </c>
      <c r="L517" s="149" t="e">
        <f ca="1">_xll.meDateFromTenor(L516,"1D","FOLLOWING",#REF!,"NORMAL")</f>
        <v>#VALUE!</v>
      </c>
      <c r="M517" s="155">
        <f ca="1">_xll.meDateYearFraction(C517,D517,$M$11)</f>
        <v>2.7777777777777779E-3</v>
      </c>
      <c r="N517" s="150">
        <f ca="1"/>
        <v>-2.4300000000065936E-3</v>
      </c>
      <c r="O517" s="7" t="s">
        <v>4</v>
      </c>
      <c r="P517" s="149">
        <f t="shared" ca="1" si="15"/>
        <v>43160</v>
      </c>
      <c r="Q517" s="155">
        <f ca="1">_xll.meDateYearFraction(H517,I517,$Q$11,TRUE)</f>
        <v>0.25555555555555554</v>
      </c>
      <c r="R517" s="150">
        <f ca="1">IF(NOW(),_xll.meCurveForwardRatesFromYearFraction(P517,Q517,$Q$11,$Q$9,$Q$10))</f>
        <v>-3.0332814708387873E-3</v>
      </c>
      <c r="S517" s="134" t="s">
        <v>4</v>
      </c>
    </row>
    <row r="518" spans="1:19" x14ac:dyDescent="0.25">
      <c r="A518" s="128">
        <v>502</v>
      </c>
      <c r="B518" s="133"/>
      <c r="C518" s="149">
        <f ca="1">_xll.meDateFromTenor(C517,"1D","FOLLOWING",$D$11,"NORMAL")</f>
        <v>43161</v>
      </c>
      <c r="D518" s="20">
        <f ca="1">_xll.meDateFromTenor(C518,"1D","Following",$D$11,"Normal")</f>
        <v>43164</v>
      </c>
      <c r="E518" s="99">
        <f ca="1"/>
        <v>9.8236948839053977E-3</v>
      </c>
      <c r="F518" s="161">
        <f ca="1">_xll.meCurveForwardRates(C518,$D$9,$D$10)</f>
        <v>9.8714277019227303E-3</v>
      </c>
      <c r="G518" s="7" t="s">
        <v>4</v>
      </c>
      <c r="H518" s="149">
        <f t="shared" ca="1" si="14"/>
        <v>43161</v>
      </c>
      <c r="I518" s="20">
        <f ca="1">_xll.meDateFromTenor(H518,"3M","Following",$I$11,"Normal")</f>
        <v>43255</v>
      </c>
      <c r="J518" s="150">
        <f ca="1"/>
        <v>1.2198648773441104E-2</v>
      </c>
      <c r="K518" s="7" t="s">
        <v>4</v>
      </c>
      <c r="L518" s="149" t="e">
        <f ca="1">_xll.meDateFromTenor(L517,"1D","FOLLOWING",#REF!,"NORMAL")</f>
        <v>#VALUE!</v>
      </c>
      <c r="M518" s="155">
        <f ca="1">_xll.meDateYearFraction(C518,D518,$M$11)</f>
        <v>8.3333333333333332E-3</v>
      </c>
      <c r="N518" s="150">
        <f ca="1"/>
        <v>-2.4300000000065936E-3</v>
      </c>
      <c r="O518" s="7" t="s">
        <v>4</v>
      </c>
      <c r="P518" s="149">
        <f t="shared" ca="1" si="15"/>
        <v>43161</v>
      </c>
      <c r="Q518" s="155">
        <f ca="1">_xll.meDateYearFraction(H518,I518,$Q$11,TRUE)</f>
        <v>0.26111111111111113</v>
      </c>
      <c r="R518" s="150">
        <f ca="1">IF(NOW(),_xll.meCurveForwardRatesFromYearFraction(P518,Q518,$Q$11,$Q$9,$Q$10))</f>
        <v>-3.7175485397107962E-3</v>
      </c>
      <c r="S518" s="134" t="s">
        <v>4</v>
      </c>
    </row>
    <row r="519" spans="1:19" x14ac:dyDescent="0.25">
      <c r="A519" s="128">
        <v>503</v>
      </c>
      <c r="B519" s="133"/>
      <c r="C519" s="149">
        <f ca="1">_xll.meDateFromTenor(C518,"1D","FOLLOWING",$D$11,"NORMAL")</f>
        <v>43164</v>
      </c>
      <c r="D519" s="20">
        <f ca="1">_xll.meDateFromTenor(C519,"1D","Following",$D$11,"Normal")</f>
        <v>43165</v>
      </c>
      <c r="E519" s="99">
        <f ca="1"/>
        <v>9.8239956476931303E-3</v>
      </c>
      <c r="F519" s="161">
        <f ca="1">_xll.meCurveForwardRates(C519,$D$9,$D$10)</f>
        <v>9.8722741384675849E-3</v>
      </c>
      <c r="G519" s="7" t="s">
        <v>4</v>
      </c>
      <c r="H519" s="149">
        <f t="shared" ca="1" si="14"/>
        <v>43164</v>
      </c>
      <c r="I519" s="20">
        <f ca="1">_xll.meDateFromTenor(H519,"3M","Following",$I$11,"Normal")</f>
        <v>43256</v>
      </c>
      <c r="J519" s="150">
        <f ca="1"/>
        <v>1.2217166612026632E-2</v>
      </c>
      <c r="K519" s="7" t="s">
        <v>4</v>
      </c>
      <c r="L519" s="149" t="e">
        <f ca="1">_xll.meDateFromTenor(L518,"1D","FOLLOWING",#REF!,"NORMAL")</f>
        <v>#VALUE!</v>
      </c>
      <c r="M519" s="155">
        <f ca="1">_xll.meDateYearFraction(C519,D519,$M$11)</f>
        <v>2.7777777777777779E-3</v>
      </c>
      <c r="N519" s="150">
        <f ca="1"/>
        <v>-2.4300000000065936E-3</v>
      </c>
      <c r="O519" s="7" t="s">
        <v>4</v>
      </c>
      <c r="P519" s="149">
        <f t="shared" ca="1" si="15"/>
        <v>43164</v>
      </c>
      <c r="Q519" s="155">
        <f ca="1">_xll.meDateYearFraction(H519,I519,$Q$11,TRUE)</f>
        <v>0.25555555555555554</v>
      </c>
      <c r="R519" s="150">
        <f ca="1">IF(NOW(),_xll.meCurveForwardRatesFromYearFraction(P519,Q519,$Q$11,$Q$9,$Q$10))</f>
        <v>-3.0332668458270171E-3</v>
      </c>
      <c r="S519" s="134" t="s">
        <v>4</v>
      </c>
    </row>
    <row r="520" spans="1:19" x14ac:dyDescent="0.25">
      <c r="A520" s="128">
        <v>504</v>
      </c>
      <c r="B520" s="133"/>
      <c r="C520" s="149">
        <f ca="1">_xll.meDateFromTenor(C519,"1D","FOLLOWING",$D$11,"NORMAL")</f>
        <v>43165</v>
      </c>
      <c r="D520" s="20">
        <f ca="1">_xll.meDateFromTenor(C520,"1D","Following",$D$11,"Normal")</f>
        <v>43166</v>
      </c>
      <c r="E520" s="99">
        <f ca="1"/>
        <v>9.8243277022369915E-3</v>
      </c>
      <c r="F520" s="161">
        <f ca="1">_xll.meCurveForwardRates(C520,$D$9,$D$10)</f>
        <v>9.8726094620500415E-3</v>
      </c>
      <c r="G520" s="7" t="s">
        <v>4</v>
      </c>
      <c r="H520" s="149">
        <f t="shared" ca="1" si="14"/>
        <v>43165</v>
      </c>
      <c r="I520" s="20">
        <f ca="1">_xll.meDateFromTenor(H520,"3M","Following",$I$11,"Normal")</f>
        <v>43257</v>
      </c>
      <c r="J520" s="150">
        <f ca="1"/>
        <v>1.2223339224888476E-2</v>
      </c>
      <c r="K520" s="7" t="s">
        <v>4</v>
      </c>
      <c r="L520" s="149" t="e">
        <f ca="1">_xll.meDateFromTenor(L519,"1D","FOLLOWING",#REF!,"NORMAL")</f>
        <v>#VALUE!</v>
      </c>
      <c r="M520" s="155">
        <f ca="1">_xll.meDateYearFraction(C520,D520,$M$11)</f>
        <v>2.7777777777777779E-3</v>
      </c>
      <c r="N520" s="150">
        <f ca="1"/>
        <v>-2.4300000000065936E-3</v>
      </c>
      <c r="O520" s="7" t="s">
        <v>4</v>
      </c>
      <c r="P520" s="149">
        <f t="shared" ca="1" si="15"/>
        <v>43165</v>
      </c>
      <c r="Q520" s="155">
        <f ca="1">_xll.meDateYearFraction(H520,I520,$Q$11,TRUE)</f>
        <v>0.25555555555555554</v>
      </c>
      <c r="R520" s="150">
        <f ca="1">IF(NOW(),_xll.meCurveForwardRatesFromYearFraction(P520,Q520,$Q$11,$Q$9,$Q$10))</f>
        <v>-3.7175485397107962E-3</v>
      </c>
      <c r="S520" s="134" t="s">
        <v>4</v>
      </c>
    </row>
    <row r="521" spans="1:19" x14ac:dyDescent="0.25">
      <c r="A521" s="128">
        <v>505</v>
      </c>
      <c r="B521" s="133"/>
      <c r="C521" s="149">
        <f ca="1">_xll.meDateFromTenor(C520,"1D","FOLLOWING",$D$11,"NORMAL")</f>
        <v>43166</v>
      </c>
      <c r="D521" s="20">
        <f ca="1">_xll.meDateFromTenor(C521,"1D","Following",$D$11,"Normal")</f>
        <v>43167</v>
      </c>
      <c r="E521" s="99">
        <f ca="1"/>
        <v>9.8246936834023649E-3</v>
      </c>
      <c r="F521" s="161">
        <f ca="1">_xll.meCurveForwardRates(C521,$D$9,$D$10)</f>
        <v>9.8729790463860656E-3</v>
      </c>
      <c r="G521" s="7" t="s">
        <v>4</v>
      </c>
      <c r="H521" s="149">
        <f t="shared" ca="1" si="14"/>
        <v>43166</v>
      </c>
      <c r="I521" s="20">
        <f ca="1">_xll.meDateFromTenor(H521,"3M","Following",$I$11,"Normal")</f>
        <v>43258</v>
      </c>
      <c r="J521" s="150">
        <f ca="1"/>
        <v>1.2229511837750321E-2</v>
      </c>
      <c r="K521" s="7" t="s">
        <v>4</v>
      </c>
      <c r="L521" s="149" t="e">
        <f ca="1">_xll.meDateFromTenor(L520,"1D","FOLLOWING",#REF!,"NORMAL")</f>
        <v>#VALUE!</v>
      </c>
      <c r="M521" s="155">
        <f ca="1">_xll.meDateYearFraction(C521,D521,$M$11)</f>
        <v>2.7777777777777779E-3</v>
      </c>
      <c r="N521" s="150">
        <f ca="1"/>
        <v>-2.4300000000065936E-3</v>
      </c>
      <c r="O521" s="7" t="s">
        <v>4</v>
      </c>
      <c r="P521" s="149">
        <f t="shared" ca="1" si="15"/>
        <v>43166</v>
      </c>
      <c r="Q521" s="155">
        <f ca="1">_xll.meDateYearFraction(H521,I521,$Q$11,TRUE)</f>
        <v>0.25555555555555554</v>
      </c>
      <c r="R521" s="150">
        <f ca="1">IF(NOW(),_xll.meCurveForwardRatesFromYearFraction(P521,Q521,$Q$11,$Q$9,$Q$10))</f>
        <v>-3.0332607348661201E-3</v>
      </c>
      <c r="S521" s="134" t="s">
        <v>4</v>
      </c>
    </row>
    <row r="522" spans="1:19" x14ac:dyDescent="0.25">
      <c r="A522" s="128">
        <v>506</v>
      </c>
      <c r="B522" s="133"/>
      <c r="C522" s="149">
        <f ca="1">_xll.meDateFromTenor(C521,"1D","FOLLOWING",$D$11,"NORMAL")</f>
        <v>43167</v>
      </c>
      <c r="D522" s="20">
        <f ca="1">_xll.meDateFromTenor(C522,"1D","Following",$D$11,"Normal")</f>
        <v>43168</v>
      </c>
      <c r="E522" s="99">
        <f ca="1"/>
        <v>9.8250935951860532E-3</v>
      </c>
      <c r="F522" s="161">
        <f ca="1">_xll.meCurveForwardRates(C522,$D$9,$D$10)</f>
        <v>9.8733828955495095E-3</v>
      </c>
      <c r="G522" s="7" t="s">
        <v>4</v>
      </c>
      <c r="H522" s="149">
        <f t="shared" ca="1" si="14"/>
        <v>43167</v>
      </c>
      <c r="I522" s="20">
        <f ca="1">_xll.meDateFromTenor(H522,"3M","Following",$I$11,"Normal")</f>
        <v>43259</v>
      </c>
      <c r="J522" s="150">
        <f ca="1"/>
        <v>1.2235684450612164E-2</v>
      </c>
      <c r="K522" s="7" t="s">
        <v>4</v>
      </c>
      <c r="L522" s="149" t="e">
        <f ca="1">_xll.meDateFromTenor(L521,"1D","FOLLOWING",#REF!,"NORMAL")</f>
        <v>#VALUE!</v>
      </c>
      <c r="M522" s="155">
        <f ca="1">_xll.meDateYearFraction(C522,D522,$M$11)</f>
        <v>2.7777777777777779E-3</v>
      </c>
      <c r="N522" s="150">
        <f ca="1"/>
        <v>-2.4300000000065936E-3</v>
      </c>
      <c r="O522" s="7" t="s">
        <v>4</v>
      </c>
      <c r="P522" s="149">
        <f t="shared" ca="1" si="15"/>
        <v>43167</v>
      </c>
      <c r="Q522" s="155">
        <f ca="1">_xll.meDateYearFraction(H522,I522,$Q$11,TRUE)</f>
        <v>0.25555555555555554</v>
      </c>
      <c r="R522" s="150">
        <f ca="1">IF(NOW(),_xll.meCurveForwardRatesFromYearFraction(P522,Q522,$Q$11,$Q$9,$Q$10))</f>
        <v>-3.0332579707538403E-3</v>
      </c>
      <c r="S522" s="134" t="s">
        <v>4</v>
      </c>
    </row>
    <row r="523" spans="1:19" x14ac:dyDescent="0.25">
      <c r="A523" s="128">
        <v>507</v>
      </c>
      <c r="B523" s="133"/>
      <c r="C523" s="149">
        <f ca="1">_xll.meDateFromTenor(C522,"1D","FOLLOWING",$D$11,"NORMAL")</f>
        <v>43168</v>
      </c>
      <c r="D523" s="20">
        <f ca="1">_xll.meDateFromTenor(C523,"1D","Following",$D$11,"Normal")</f>
        <v>43171</v>
      </c>
      <c r="E523" s="99">
        <f ca="1"/>
        <v>9.8262747363176209E-3</v>
      </c>
      <c r="F523" s="161">
        <f ca="1">_xll.meCurveForwardRates(C523,$D$9,$D$10)</f>
        <v>9.8738210129718507E-3</v>
      </c>
      <c r="G523" s="7" t="s">
        <v>4</v>
      </c>
      <c r="H523" s="149">
        <f t="shared" ca="1" si="14"/>
        <v>43168</v>
      </c>
      <c r="I523" s="20">
        <f ca="1">_xll.meDateFromTenor(H523,"3M","Following",$I$11,"Normal")</f>
        <v>43262</v>
      </c>
      <c r="J523" s="150">
        <f ca="1"/>
        <v>1.2241857063474007E-2</v>
      </c>
      <c r="K523" s="7" t="s">
        <v>4</v>
      </c>
      <c r="L523" s="149" t="e">
        <f ca="1">_xll.meDateFromTenor(L522,"1D","FOLLOWING",#REF!,"NORMAL")</f>
        <v>#VALUE!</v>
      </c>
      <c r="M523" s="155">
        <f ca="1">_xll.meDateYearFraction(C523,D523,$M$11)</f>
        <v>8.3333333333333332E-3</v>
      </c>
      <c r="N523" s="150">
        <f ca="1"/>
        <v>-2.4300000000065936E-3</v>
      </c>
      <c r="O523" s="7" t="s">
        <v>4</v>
      </c>
      <c r="P523" s="149">
        <f t="shared" ca="1" si="15"/>
        <v>43168</v>
      </c>
      <c r="Q523" s="155">
        <f ca="1">_xll.meDateYearFraction(H523,I523,$Q$11,TRUE)</f>
        <v>0.26111111111111113</v>
      </c>
      <c r="R523" s="150">
        <f ca="1">IF(NOW(),_xll.meCurveForwardRatesFromYearFraction(P523,Q523,$Q$11,$Q$9,$Q$10))</f>
        <v>-3.7175485397107962E-3</v>
      </c>
      <c r="S523" s="134" t="s">
        <v>4</v>
      </c>
    </row>
    <row r="524" spans="1:19" x14ac:dyDescent="0.25">
      <c r="A524" s="128">
        <v>508</v>
      </c>
      <c r="B524" s="133"/>
      <c r="C524" s="149">
        <f ca="1">_xll.meDateFromTenor(C523,"1D","FOLLOWING",$D$11,"NORMAL")</f>
        <v>43171</v>
      </c>
      <c r="D524" s="20">
        <f ca="1">_xll.meDateFromTenor(C524,"1D","Following",$D$11,"Normal")</f>
        <v>43172</v>
      </c>
      <c r="E524" s="99">
        <f ca="1"/>
        <v>9.8270326198069205E-3</v>
      </c>
      <c r="F524" s="161">
        <f ca="1">_xll.meCurveForwardRates(C524,$D$9,$D$10)</f>
        <v>9.8753410133551878E-3</v>
      </c>
      <c r="G524" s="7" t="s">
        <v>4</v>
      </c>
      <c r="H524" s="149">
        <f t="shared" ca="1" si="14"/>
        <v>43171</v>
      </c>
      <c r="I524" s="20">
        <f ca="1">_xll.meDateFromTenor(H524,"3M","Following",$I$11,"Normal")</f>
        <v>43263</v>
      </c>
      <c r="J524" s="150">
        <f ca="1"/>
        <v>1.2260374902059537E-2</v>
      </c>
      <c r="K524" s="7" t="s">
        <v>4</v>
      </c>
      <c r="L524" s="149" t="e">
        <f ca="1">_xll.meDateFromTenor(L523,"1D","FOLLOWING",#REF!,"NORMAL")</f>
        <v>#VALUE!</v>
      </c>
      <c r="M524" s="155">
        <f ca="1">_xll.meDateYearFraction(C524,D524,$M$11)</f>
        <v>2.7777777777777779E-3</v>
      </c>
      <c r="N524" s="150">
        <f ca="1"/>
        <v>-2.4300000000065936E-3</v>
      </c>
      <c r="O524" s="7" t="s">
        <v>4</v>
      </c>
      <c r="P524" s="149">
        <f t="shared" ca="1" si="15"/>
        <v>43171</v>
      </c>
      <c r="Q524" s="155">
        <f ca="1">_xll.meDateYearFraction(H524,I524,$Q$11,TRUE)</f>
        <v>0.25555555555555554</v>
      </c>
      <c r="R524" s="150">
        <f ca="1">IF(NOW(),_xll.meCurveForwardRatesFromYearFraction(P524,Q524,$Q$11,$Q$9,$Q$10))</f>
        <v>-3.0332487966386549E-3</v>
      </c>
      <c r="S524" s="134" t="s">
        <v>4</v>
      </c>
    </row>
    <row r="525" spans="1:19" x14ac:dyDescent="0.25">
      <c r="A525" s="128">
        <v>509</v>
      </c>
      <c r="B525" s="133"/>
      <c r="C525" s="149">
        <f ca="1">_xll.meDateFromTenor(C524,"1D","FOLLOWING",$D$11,"NORMAL")</f>
        <v>43172</v>
      </c>
      <c r="D525" s="20">
        <f ca="1">_xll.meDateFromTenor(C525,"1D","Following",$D$11,"Normal")</f>
        <v>43173</v>
      </c>
      <c r="E525" s="99">
        <f ca="1"/>
        <v>9.8276022390387033E-3</v>
      </c>
      <c r="F525" s="161">
        <f ca="1">_xll.meCurveForwardRates(C525,$D$9,$D$10)</f>
        <v>9.8759162422323854E-3</v>
      </c>
      <c r="G525" s="7" t="s">
        <v>4</v>
      </c>
      <c r="H525" s="149">
        <f t="shared" ca="1" si="14"/>
        <v>43172</v>
      </c>
      <c r="I525" s="20">
        <f ca="1">_xll.meDateFromTenor(H525,"3M","Following",$I$11,"Normal")</f>
        <v>43264</v>
      </c>
      <c r="J525" s="150">
        <f ca="1"/>
        <v>1.2266547514921379E-2</v>
      </c>
      <c r="K525" s="7" t="s">
        <v>4</v>
      </c>
      <c r="L525" s="149" t="e">
        <f ca="1">_xll.meDateFromTenor(L524,"1D","FOLLOWING",#REF!,"NORMAL")</f>
        <v>#VALUE!</v>
      </c>
      <c r="M525" s="155">
        <f ca="1">_xll.meDateYearFraction(C525,D525,$M$11)</f>
        <v>2.7777777777777779E-3</v>
      </c>
      <c r="N525" s="150">
        <f ca="1"/>
        <v>-2.4300000000065936E-3</v>
      </c>
      <c r="O525" s="7" t="s">
        <v>4</v>
      </c>
      <c r="P525" s="149">
        <f t="shared" ca="1" si="15"/>
        <v>43172</v>
      </c>
      <c r="Q525" s="155">
        <f ca="1">_xll.meDateYearFraction(H525,I525,$Q$11,TRUE)</f>
        <v>0.25555555555555554</v>
      </c>
      <c r="R525" s="150">
        <f ca="1">IF(NOW(),_xll.meCurveForwardRatesFromYearFraction(P525,Q525,$Q$11,$Q$9,$Q$10))</f>
        <v>-3.0332469608103734E-3</v>
      </c>
      <c r="S525" s="134" t="s">
        <v>4</v>
      </c>
    </row>
    <row r="526" spans="1:19" x14ac:dyDescent="0.25">
      <c r="A526" s="128">
        <v>510</v>
      </c>
      <c r="B526" s="133"/>
      <c r="C526" s="149">
        <f ca="1">_xll.meDateFromTenor(C525,"1D","FOLLOWING",$D$11,"NORMAL")</f>
        <v>43173</v>
      </c>
      <c r="D526" s="20">
        <f ca="1">_xll.meDateFromTenor(C526,"1D","Following",$D$11,"Normal")</f>
        <v>43174</v>
      </c>
      <c r="E526" s="99">
        <f ca="1"/>
        <v>9.828205810871217E-3</v>
      </c>
      <c r="F526" s="161">
        <f ca="1">_xll.meCurveForwardRates(C526,$D$9,$D$10)</f>
        <v>9.8765257584341182E-3</v>
      </c>
      <c r="G526" s="7" t="s">
        <v>4</v>
      </c>
      <c r="H526" s="149">
        <f t="shared" ca="1" si="14"/>
        <v>43173</v>
      </c>
      <c r="I526" s="20">
        <f ca="1">_xll.meDateFromTenor(H526,"3M","Following",$I$11,"Normal")</f>
        <v>43265</v>
      </c>
      <c r="J526" s="150">
        <f ca="1"/>
        <v>1.2272720127783222E-2</v>
      </c>
      <c r="K526" s="7" t="s">
        <v>4</v>
      </c>
      <c r="L526" s="149" t="e">
        <f ca="1">_xll.meDateFromTenor(L525,"1D","FOLLOWING",#REF!,"NORMAL")</f>
        <v>#VALUE!</v>
      </c>
      <c r="M526" s="155">
        <f ca="1">_xll.meDateYearFraction(C526,D526,$M$11)</f>
        <v>2.7777777777777779E-3</v>
      </c>
      <c r="N526" s="150">
        <f ca="1"/>
        <v>-2.4300000000065936E-3</v>
      </c>
      <c r="O526" s="7" t="s">
        <v>4</v>
      </c>
      <c r="P526" s="149">
        <f t="shared" ca="1" si="15"/>
        <v>43173</v>
      </c>
      <c r="Q526" s="155">
        <f ca="1">_xll.meDateYearFraction(H526,I526,$Q$11,TRUE)</f>
        <v>0.25555555555555554</v>
      </c>
      <c r="R526" s="150">
        <f ca="1">IF(NOW(),_xll.meCurveForwardRatesFromYearFraction(P526,Q526,$Q$11,$Q$9,$Q$10))</f>
        <v>-3.7175485397107962E-3</v>
      </c>
      <c r="S526" s="134" t="s">
        <v>4</v>
      </c>
    </row>
    <row r="527" spans="1:19" x14ac:dyDescent="0.25">
      <c r="A527" s="128">
        <v>511</v>
      </c>
      <c r="B527" s="133"/>
      <c r="C527" s="149">
        <f ca="1">_xll.meDateFromTenor(C526,"1D","FOLLOWING",$D$11,"NORMAL")</f>
        <v>43174</v>
      </c>
      <c r="D527" s="20">
        <f ca="1">_xll.meDateFromTenor(C527,"1D","Following",$D$11,"Normal")</f>
        <v>43175</v>
      </c>
      <c r="E527" s="99">
        <f ca="1"/>
        <v>9.8288433390614563E-3</v>
      </c>
      <c r="F527" s="161">
        <f ca="1">_xll.meCurveForwardRates(C527,$D$9,$D$10)</f>
        <v>9.8771695658161907E-3</v>
      </c>
      <c r="G527" s="7" t="s">
        <v>4</v>
      </c>
      <c r="H527" s="149">
        <f t="shared" ca="1" si="14"/>
        <v>43174</v>
      </c>
      <c r="I527" s="20">
        <f ca="1">_xll.meDateFromTenor(H527,"3M","Following",$I$11,"Normal")</f>
        <v>43266</v>
      </c>
      <c r="J527" s="150">
        <f ca="1"/>
        <v>1.2278892740645067E-2</v>
      </c>
      <c r="K527" s="7" t="s">
        <v>4</v>
      </c>
      <c r="L527" s="149" t="e">
        <f ca="1">_xll.meDateFromTenor(L526,"1D","FOLLOWING",#REF!,"NORMAL")</f>
        <v>#VALUE!</v>
      </c>
      <c r="M527" s="155">
        <f ca="1">_xll.meDateYearFraction(C527,D527,$M$11)</f>
        <v>2.7777777777777779E-3</v>
      </c>
      <c r="N527" s="150">
        <f ca="1"/>
        <v>-2.4300000000065936E-3</v>
      </c>
      <c r="O527" s="7" t="s">
        <v>4</v>
      </c>
      <c r="P527" s="149">
        <f t="shared" ca="1" si="15"/>
        <v>43174</v>
      </c>
      <c r="Q527" s="155">
        <f ca="1">_xll.meDateYearFraction(H527,I527,$Q$11,TRUE)</f>
        <v>0.25555555555555554</v>
      </c>
      <c r="R527" s="150">
        <f ca="1">IF(NOW(),_xll.meCurveForwardRatesFromYearFraction(P527,Q527,$Q$11,$Q$9,$Q$10))</f>
        <v>-3.7175485397107962E-3</v>
      </c>
      <c r="S527" s="134" t="s">
        <v>4</v>
      </c>
    </row>
    <row r="528" spans="1:19" x14ac:dyDescent="0.25">
      <c r="A528" s="128">
        <v>512</v>
      </c>
      <c r="B528" s="133"/>
      <c r="C528" s="149">
        <f ca="1">_xll.meDateFromTenor(C527,"1D","FOLLOWING",$D$11,"NORMAL")</f>
        <v>43175</v>
      </c>
      <c r="D528" s="20">
        <f ca="1">_xll.meDateFromTenor(C528,"1D","Following",$D$11,"Normal")</f>
        <v>43178</v>
      </c>
      <c r="E528" s="99">
        <f ca="1"/>
        <v>9.830500030485502E-3</v>
      </c>
      <c r="F528" s="161">
        <f ca="1">_xll.meCurveForwardRates(C528,$D$9,$D$10)</f>
        <v>9.87784766815758E-3</v>
      </c>
      <c r="G528" s="7" t="s">
        <v>4</v>
      </c>
      <c r="H528" s="149">
        <f t="shared" ca="1" si="14"/>
        <v>43175</v>
      </c>
      <c r="I528" s="20">
        <f ca="1">_xll.meDateFromTenor(H528,"3M","Following",$I$11,"Normal")</f>
        <v>43269</v>
      </c>
      <c r="J528" s="150">
        <f ca="1"/>
        <v>1.2285065353506911E-2</v>
      </c>
      <c r="K528" s="7" t="s">
        <v>4</v>
      </c>
      <c r="L528" s="149" t="e">
        <f ca="1">_xll.meDateFromTenor(L527,"1D","FOLLOWING",#REF!,"NORMAL")</f>
        <v>#VALUE!</v>
      </c>
      <c r="M528" s="155">
        <f ca="1">_xll.meDateYearFraction(C528,D528,$M$11)</f>
        <v>8.3333333333333332E-3</v>
      </c>
      <c r="N528" s="150">
        <f ca="1"/>
        <v>-2.4300000000065936E-3</v>
      </c>
      <c r="O528" s="7" t="s">
        <v>4</v>
      </c>
      <c r="P528" s="149">
        <f t="shared" ca="1" si="15"/>
        <v>43175</v>
      </c>
      <c r="Q528" s="155">
        <f ca="1">_xll.meDateYearFraction(H528,I528,$Q$11,TRUE)</f>
        <v>0.26111111111111113</v>
      </c>
      <c r="R528" s="150">
        <f ca="1">IF(NOW(),_xll.meCurveForwardRatesFromYearFraction(P528,Q528,$Q$11,$Q$9,$Q$10))</f>
        <v>-3.0332425105812624E-3</v>
      </c>
      <c r="S528" s="134" t="s">
        <v>4</v>
      </c>
    </row>
    <row r="529" spans="1:19" x14ac:dyDescent="0.25">
      <c r="A529" s="128">
        <v>513</v>
      </c>
      <c r="B529" s="133"/>
      <c r="C529" s="149">
        <f ca="1">_xll.meDateFromTenor(C528,"1D","FOLLOWING",$D$11,"NORMAL")</f>
        <v>43178</v>
      </c>
      <c r="D529" s="20">
        <f ca="1">_xll.meDateFromTenor(C529,"1D","Following",$D$11,"Normal")</f>
        <v>43179</v>
      </c>
      <c r="E529" s="99">
        <f ca="1"/>
        <v>9.8317330894204594E-3</v>
      </c>
      <c r="F529" s="161">
        <f ca="1">_xll.meCurveForwardRates(C529,$D$9,$D$10)</f>
        <v>9.8800877832601053E-3</v>
      </c>
      <c r="G529" s="7" t="s">
        <v>4</v>
      </c>
      <c r="H529" s="149">
        <f t="shared" ref="H529:H592" ca="1" si="16">$C529</f>
        <v>43178</v>
      </c>
      <c r="I529" s="20">
        <f ca="1">_xll.meDateFromTenor(H529,"3M","Following",$I$11,"Normal")</f>
        <v>43270</v>
      </c>
      <c r="J529" s="150">
        <f ca="1"/>
        <v>1.2303583192092443E-2</v>
      </c>
      <c r="K529" s="7" t="s">
        <v>4</v>
      </c>
      <c r="L529" s="149" t="e">
        <f ca="1">_xll.meDateFromTenor(L528,"1D","FOLLOWING",#REF!,"NORMAL")</f>
        <v>#VALUE!</v>
      </c>
      <c r="M529" s="155">
        <f ca="1">_xll.meDateYearFraction(C529,D529,$M$11)</f>
        <v>2.7777777777777779E-3</v>
      </c>
      <c r="N529" s="150">
        <f ca="1"/>
        <v>-2.4300000000065936E-3</v>
      </c>
      <c r="O529" s="7" t="s">
        <v>4</v>
      </c>
      <c r="P529" s="149">
        <f t="shared" ref="P529:P592" ca="1" si="17">$C529</f>
        <v>43178</v>
      </c>
      <c r="Q529" s="155">
        <f ca="1">_xll.meDateYearFraction(H529,I529,$Q$11,TRUE)</f>
        <v>0.25555555555555554</v>
      </c>
      <c r="R529" s="150">
        <f ca="1">IF(NOW(),_xll.meCurveForwardRatesFromYearFraction(P529,Q529,$Q$11,$Q$9,$Q$10))</f>
        <v>-3.0332395921272826E-3</v>
      </c>
      <c r="S529" s="134" t="s">
        <v>4</v>
      </c>
    </row>
    <row r="530" spans="1:19" x14ac:dyDescent="0.25">
      <c r="A530" s="128">
        <v>514</v>
      </c>
      <c r="B530" s="133"/>
      <c r="C530" s="149">
        <f ca="1">_xll.meDateFromTenor(C529,"1D","FOLLOWING",$D$11,"NORMAL")</f>
        <v>43179</v>
      </c>
      <c r="D530" s="20">
        <f ca="1">_xll.meDateFromTenor(C530,"1D","Following",$D$11,"Normal")</f>
        <v>43180</v>
      </c>
      <c r="E530" s="99">
        <f ca="1"/>
        <v>9.832540454954887E-3</v>
      </c>
      <c r="F530" s="161">
        <f ca="1">_xll.meCurveForwardRates(C530,$D$9,$D$10)</f>
        <v>9.8809031036983797E-3</v>
      </c>
      <c r="G530" s="7" t="s">
        <v>4</v>
      </c>
      <c r="H530" s="149">
        <f t="shared" ca="1" si="16"/>
        <v>43179</v>
      </c>
      <c r="I530" s="20">
        <f ca="1">_xll.meDateFromTenor(H530,"3M","Following",$I$11,"Normal")</f>
        <v>43271</v>
      </c>
      <c r="J530" s="150">
        <f ca="1"/>
        <v>1.2309755804954284E-2</v>
      </c>
      <c r="K530" s="7" t="s">
        <v>4</v>
      </c>
      <c r="L530" s="149" t="e">
        <f ca="1">_xll.meDateFromTenor(L529,"1D","FOLLOWING",#REF!,"NORMAL")</f>
        <v>#VALUE!</v>
      </c>
      <c r="M530" s="155">
        <f ca="1">_xll.meDateYearFraction(C530,D530,$M$11)</f>
        <v>2.7777777777777779E-3</v>
      </c>
      <c r="N530" s="150">
        <f ca="1"/>
        <v>-2.4300000000065936E-3</v>
      </c>
      <c r="O530" s="7" t="s">
        <v>4</v>
      </c>
      <c r="P530" s="149">
        <f t="shared" ca="1" si="17"/>
        <v>43179</v>
      </c>
      <c r="Q530" s="155">
        <f ca="1">_xll.meDateYearFraction(H530,I530,$Q$11,TRUE)</f>
        <v>0.25555555555555554</v>
      </c>
      <c r="R530" s="150">
        <f ca="1">IF(NOW(),_xll.meCurveForwardRatesFromYearFraction(P530,Q530,$Q$11,$Q$9,$Q$10))</f>
        <v>-3.7175485397107962E-3</v>
      </c>
      <c r="S530" s="134" t="s">
        <v>4</v>
      </c>
    </row>
    <row r="531" spans="1:19" x14ac:dyDescent="0.25">
      <c r="A531" s="128">
        <v>515</v>
      </c>
      <c r="B531" s="133"/>
      <c r="C531" s="149">
        <f ca="1">_xll.meDateFromTenor(C530,"1D","FOLLOWING",$D$11,"NORMAL")</f>
        <v>43180</v>
      </c>
      <c r="D531" s="20">
        <f ca="1">_xll.meDateFromTenor(C531,"1D","Following",$D$11,"Normal")</f>
        <v>43181</v>
      </c>
      <c r="E531" s="99">
        <f ca="1"/>
        <v>9.8333817990692643E-3</v>
      </c>
      <c r="F531" s="161">
        <f ca="1">_xll.meCurveForwardRates(C531,$D$9,$D$10)</f>
        <v>9.8817527382031312E-3</v>
      </c>
      <c r="G531" s="7" t="s">
        <v>4</v>
      </c>
      <c r="H531" s="149">
        <f t="shared" ca="1" si="16"/>
        <v>43180</v>
      </c>
      <c r="I531" s="20">
        <f ca="1">_xll.meDateFromTenor(H531,"3M","Following",$I$11,"Normal")</f>
        <v>43272</v>
      </c>
      <c r="J531" s="150">
        <f ca="1"/>
        <v>1.2315928417816127E-2</v>
      </c>
      <c r="K531" s="7" t="s">
        <v>4</v>
      </c>
      <c r="L531" s="149" t="e">
        <f ca="1">_xll.meDateFromTenor(L530,"1D","FOLLOWING",#REF!,"NORMAL")</f>
        <v>#VALUE!</v>
      </c>
      <c r="M531" s="155">
        <f ca="1">_xll.meDateYearFraction(C531,D531,$M$11)</f>
        <v>2.7777777777777779E-3</v>
      </c>
      <c r="N531" s="150">
        <f ca="1"/>
        <v>-2.4300000000065936E-3</v>
      </c>
      <c r="O531" s="7" t="s">
        <v>4</v>
      </c>
      <c r="P531" s="149">
        <f t="shared" ca="1" si="17"/>
        <v>43180</v>
      </c>
      <c r="Q531" s="155">
        <f ca="1">_xll.meDateYearFraction(H531,I531,$Q$11,TRUE)</f>
        <v>0.25555555555555554</v>
      </c>
      <c r="R531" s="150">
        <f ca="1">IF(NOW(),_xll.meCurveForwardRatesFromYearFraction(P531,Q531,$Q$11,$Q$9,$Q$10))</f>
        <v>-3.0332384631228961E-3</v>
      </c>
      <c r="S531" s="134" t="s">
        <v>4</v>
      </c>
    </row>
    <row r="532" spans="1:19" x14ac:dyDescent="0.25">
      <c r="A532" s="128">
        <v>516</v>
      </c>
      <c r="B532" s="133"/>
      <c r="C532" s="149">
        <f ca="1">_xll.meDateFromTenor(C531,"1D","FOLLOWING",$D$11,"NORMAL")</f>
        <v>43181</v>
      </c>
      <c r="D532" s="20">
        <f ca="1">_xll.meDateFromTenor(C532,"1D","Following",$D$11,"Normal")</f>
        <v>43182</v>
      </c>
      <c r="E532" s="99">
        <f ca="1"/>
        <v>9.834257125520586E-3</v>
      </c>
      <c r="F532" s="161">
        <f ca="1">_xll.meCurveForwardRates(C532,$D$9,$D$10)</f>
        <v>9.8826366906545893E-3</v>
      </c>
      <c r="G532" s="7" t="s">
        <v>4</v>
      </c>
      <c r="H532" s="149">
        <f t="shared" ca="1" si="16"/>
        <v>43181</v>
      </c>
      <c r="I532" s="20">
        <f ca="1">_xll.meDateFromTenor(H532,"3M","Following",$I$11,"Normal")</f>
        <v>43273</v>
      </c>
      <c r="J532" s="150">
        <f ca="1"/>
        <v>1.2323154782530165E-2</v>
      </c>
      <c r="K532" s="7" t="s">
        <v>4</v>
      </c>
      <c r="L532" s="149" t="e">
        <f ca="1">_xll.meDateFromTenor(L531,"1D","FOLLOWING",#REF!,"NORMAL")</f>
        <v>#VALUE!</v>
      </c>
      <c r="M532" s="155">
        <f ca="1">_xll.meDateYearFraction(C532,D532,$M$11)</f>
        <v>2.7777777777777779E-3</v>
      </c>
      <c r="N532" s="150">
        <f ca="1"/>
        <v>-2.4300000000065936E-3</v>
      </c>
      <c r="O532" s="7" t="s">
        <v>4</v>
      </c>
      <c r="P532" s="149">
        <f t="shared" ca="1" si="17"/>
        <v>43181</v>
      </c>
      <c r="Q532" s="155">
        <f ca="1">_xll.meDateYearFraction(H532,I532,$Q$11,TRUE)</f>
        <v>0.25555555555555554</v>
      </c>
      <c r="R532" s="150">
        <f ca="1">IF(NOW(),_xll.meCurveForwardRatesFromYearFraction(P532,Q532,$Q$11,$Q$9,$Q$10))</f>
        <v>-3.7175485397107962E-3</v>
      </c>
      <c r="S532" s="134" t="s">
        <v>4</v>
      </c>
    </row>
    <row r="533" spans="1:19" x14ac:dyDescent="0.25">
      <c r="A533" s="128">
        <v>517</v>
      </c>
      <c r="B533" s="133"/>
      <c r="C533" s="149">
        <f ca="1">_xll.meDateFromTenor(C532,"1D","FOLLOWING",$D$11,"NORMAL")</f>
        <v>43182</v>
      </c>
      <c r="D533" s="20">
        <f ca="1">_xll.meDateFromTenor(C533,"1D","Following",$D$11,"Normal")</f>
        <v>43185</v>
      </c>
      <c r="E533" s="99">
        <f ca="1"/>
        <v>9.8363898219400517E-3</v>
      </c>
      <c r="F533" s="161">
        <f ca="1">_xll.meCurveForwardRates(C533,$D$9,$D$10)</f>
        <v>9.8835549649369803E-3</v>
      </c>
      <c r="G533" s="7" t="s">
        <v>4</v>
      </c>
      <c r="H533" s="149">
        <f t="shared" ca="1" si="16"/>
        <v>43182</v>
      </c>
      <c r="I533" s="20">
        <f ca="1">_xll.meDateFromTenor(H533,"3M","Following",$I$11,"Normal")</f>
        <v>43276</v>
      </c>
      <c r="J533" s="150">
        <f ca="1"/>
        <v>1.2330381147244204E-2</v>
      </c>
      <c r="K533" s="7" t="s">
        <v>4</v>
      </c>
      <c r="L533" s="149" t="e">
        <f ca="1">_xll.meDateFromTenor(L532,"1D","FOLLOWING",#REF!,"NORMAL")</f>
        <v>#VALUE!</v>
      </c>
      <c r="M533" s="155">
        <f ca="1">_xll.meDateYearFraction(C533,D533,$M$11)</f>
        <v>8.3333333333333332E-3</v>
      </c>
      <c r="N533" s="150">
        <f ca="1"/>
        <v>-2.4300000000065936E-3</v>
      </c>
      <c r="O533" s="7" t="s">
        <v>4</v>
      </c>
      <c r="P533" s="149">
        <f t="shared" ca="1" si="17"/>
        <v>43182</v>
      </c>
      <c r="Q533" s="155">
        <f ca="1">_xll.meDateYearFraction(H533,I533,$Q$11,TRUE)</f>
        <v>0.26111111111111113</v>
      </c>
      <c r="R533" s="150">
        <f ca="1">IF(NOW(),_xll.meCurveForwardRatesFromYearFraction(P533,Q533,$Q$11,$Q$9,$Q$10))</f>
        <v>-3.0332379633755801E-3</v>
      </c>
      <c r="S533" s="134" t="s">
        <v>4</v>
      </c>
    </row>
    <row r="534" spans="1:19" x14ac:dyDescent="0.25">
      <c r="A534" s="128">
        <v>518</v>
      </c>
      <c r="B534" s="133"/>
      <c r="C534" s="149">
        <f ca="1">_xll.meDateFromTenor(C533,"1D","FOLLOWING",$D$11,"NORMAL")</f>
        <v>43185</v>
      </c>
      <c r="D534" s="20">
        <f ca="1">_xll.meDateFromTenor(C534,"1D","Following",$D$11,"Normal")</f>
        <v>43186</v>
      </c>
      <c r="E534" s="99">
        <f ca="1"/>
        <v>9.8380983290358506E-3</v>
      </c>
      <c r="F534" s="161">
        <f ca="1">_xll.meCurveForwardRates(C534,$D$9,$D$10)</f>
        <v>9.8865157568521767E-3</v>
      </c>
      <c r="G534" s="7" t="s">
        <v>4</v>
      </c>
      <c r="H534" s="149">
        <f t="shared" ca="1" si="16"/>
        <v>43185</v>
      </c>
      <c r="I534" s="20">
        <f ca="1">_xll.meDateFromTenor(H534,"3M","Following",$I$11,"Normal")</f>
        <v>43277</v>
      </c>
      <c r="J534" s="150">
        <f ca="1"/>
        <v>1.2352060241386322E-2</v>
      </c>
      <c r="K534" s="7" t="s">
        <v>4</v>
      </c>
      <c r="L534" s="149" t="e">
        <f ca="1">_xll.meDateFromTenor(L533,"1D","FOLLOWING",#REF!,"NORMAL")</f>
        <v>#VALUE!</v>
      </c>
      <c r="M534" s="155">
        <f ca="1">_xll.meDateYearFraction(C534,D534,$M$11)</f>
        <v>2.7777777777777779E-3</v>
      </c>
      <c r="N534" s="150">
        <f ca="1"/>
        <v>-2.4300000000065936E-3</v>
      </c>
      <c r="O534" s="7" t="s">
        <v>4</v>
      </c>
      <c r="P534" s="149">
        <f t="shared" ca="1" si="17"/>
        <v>43185</v>
      </c>
      <c r="Q534" s="155">
        <f ca="1">_xll.meDateYearFraction(H534,I534,$Q$11,TRUE)</f>
        <v>0.25555555555555554</v>
      </c>
      <c r="R534" s="150">
        <f ca="1">IF(NOW(),_xll.meCurveForwardRatesFromYearFraction(P534,Q534,$Q$11,$Q$9,$Q$10))</f>
        <v>-3.7175485397107962E-3</v>
      </c>
      <c r="S534" s="134" t="s">
        <v>4</v>
      </c>
    </row>
    <row r="535" spans="1:19" x14ac:dyDescent="0.25">
      <c r="A535" s="128">
        <v>519</v>
      </c>
      <c r="B535" s="133"/>
      <c r="C535" s="149">
        <f ca="1">_xll.meDateFromTenor(C534,"1D","FOLLOWING",$D$11,"NORMAL")</f>
        <v>43186</v>
      </c>
      <c r="D535" s="20">
        <f ca="1">_xll.meDateFromTenor(C535,"1D","Following",$D$11,"Normal")</f>
        <v>43187</v>
      </c>
      <c r="E535" s="99">
        <f ca="1"/>
        <v>9.8391436228873266E-3</v>
      </c>
      <c r="F535" s="161">
        <f ca="1">_xll.meCurveForwardRates(C535,$D$9,$D$10)</f>
        <v>9.8875713567205814E-3</v>
      </c>
      <c r="G535" s="7" t="s">
        <v>4</v>
      </c>
      <c r="H535" s="149">
        <f t="shared" ca="1" si="16"/>
        <v>43186</v>
      </c>
      <c r="I535" s="20">
        <f ca="1">_xll.meDateFromTenor(H535,"3M","Following",$I$11,"Normal")</f>
        <v>43278</v>
      </c>
      <c r="J535" s="150">
        <f ca="1"/>
        <v>1.2359286606100361E-2</v>
      </c>
      <c r="K535" s="7" t="s">
        <v>4</v>
      </c>
      <c r="L535" s="149" t="e">
        <f ca="1">_xll.meDateFromTenor(L534,"1D","FOLLOWING",#REF!,"NORMAL")</f>
        <v>#VALUE!</v>
      </c>
      <c r="M535" s="155">
        <f ca="1">_xll.meDateYearFraction(C535,D535,$M$11)</f>
        <v>2.7777777777777779E-3</v>
      </c>
      <c r="N535" s="150">
        <f ca="1"/>
        <v>-2.4300000000065936E-3</v>
      </c>
      <c r="O535" s="7" t="s">
        <v>4</v>
      </c>
      <c r="P535" s="149">
        <f t="shared" ca="1" si="17"/>
        <v>43186</v>
      </c>
      <c r="Q535" s="155">
        <f ca="1">_xll.meDateYearFraction(H535,I535,$Q$11,TRUE)</f>
        <v>0.25555555555555554</v>
      </c>
      <c r="R535" s="150">
        <f ca="1">IF(NOW(),_xll.meCurveForwardRatesFromYearFraction(P535,Q535,$Q$11,$Q$9,$Q$10))</f>
        <v>-3.7175485397107962E-3</v>
      </c>
      <c r="S535" s="134" t="s">
        <v>4</v>
      </c>
    </row>
    <row r="536" spans="1:19" x14ac:dyDescent="0.25">
      <c r="A536" s="128">
        <v>520</v>
      </c>
      <c r="B536" s="133"/>
      <c r="C536" s="149">
        <f ca="1">_xll.meDateFromTenor(C535,"1D","FOLLOWING",$D$11,"NORMAL")</f>
        <v>43187</v>
      </c>
      <c r="D536" s="20">
        <f ca="1">_xll.meDateFromTenor(C536,"1D","Following",$D$11,"Normal")</f>
        <v>43188</v>
      </c>
      <c r="E536" s="99">
        <f ca="1"/>
        <v>9.8402229213779072E-3</v>
      </c>
      <c r="F536" s="161">
        <f ca="1">_xll.meCurveForwardRates(C536,$D$9,$D$10)</f>
        <v>9.8886612976494259E-3</v>
      </c>
      <c r="G536" s="7" t="s">
        <v>4</v>
      </c>
      <c r="H536" s="149">
        <f t="shared" ca="1" si="16"/>
        <v>43187</v>
      </c>
      <c r="I536" s="20">
        <f ca="1">_xll.meDateFromTenor(H536,"3M","Following",$I$11,"Normal")</f>
        <v>43279</v>
      </c>
      <c r="J536" s="150">
        <f ca="1"/>
        <v>1.2366512970814401E-2</v>
      </c>
      <c r="K536" s="7" t="s">
        <v>4</v>
      </c>
      <c r="L536" s="149" t="e">
        <f ca="1">_xll.meDateFromTenor(L535,"1D","FOLLOWING",#REF!,"NORMAL")</f>
        <v>#VALUE!</v>
      </c>
      <c r="M536" s="155">
        <f ca="1">_xll.meDateYearFraction(C536,D536,$M$11)</f>
        <v>2.7777777777777779E-3</v>
      </c>
      <c r="N536" s="150">
        <f ca="1"/>
        <v>-2.4300000000065936E-3</v>
      </c>
      <c r="O536" s="7" t="s">
        <v>4</v>
      </c>
      <c r="P536" s="149">
        <f t="shared" ca="1" si="17"/>
        <v>43187</v>
      </c>
      <c r="Q536" s="155">
        <f ca="1">_xll.meDateYearFraction(H536,I536,$Q$11,TRUE)</f>
        <v>0.25555555555555554</v>
      </c>
      <c r="R536" s="150">
        <f ca="1">IF(NOW(),_xll.meCurveForwardRatesFromYearFraction(P536,Q536,$Q$11,$Q$9,$Q$10))</f>
        <v>-3.7175485397107962E-3</v>
      </c>
      <c r="S536" s="134" t="s">
        <v>4</v>
      </c>
    </row>
    <row r="537" spans="1:19" x14ac:dyDescent="0.25">
      <c r="A537" s="128">
        <v>521</v>
      </c>
      <c r="B537" s="133"/>
      <c r="C537" s="149">
        <f ca="1">_xll.meDateFromTenor(C536,"1D","FOLLOWING",$D$11,"NORMAL")</f>
        <v>43188</v>
      </c>
      <c r="D537" s="20">
        <f ca="1">_xll.meDateFromTenor(C537,"1D","Following",$D$11,"Normal")</f>
        <v>43193</v>
      </c>
      <c r="E537" s="99">
        <f ca="1"/>
        <v>9.8442372406708847E-3</v>
      </c>
      <c r="F537" s="161">
        <f ca="1">_xll.meCurveForwardRates(C537,$D$9,$D$10)</f>
        <v>9.8897855835438087E-3</v>
      </c>
      <c r="G537" s="7" t="s">
        <v>4</v>
      </c>
      <c r="H537" s="149">
        <f t="shared" ca="1" si="16"/>
        <v>43188</v>
      </c>
      <c r="I537" s="20">
        <f ca="1">_xll.meDateFromTenor(H537,"3M","Following",$I$11,"Normal")</f>
        <v>43280</v>
      </c>
      <c r="J537" s="150">
        <f ca="1"/>
        <v>1.2373739335528438E-2</v>
      </c>
      <c r="K537" s="7" t="s">
        <v>4</v>
      </c>
      <c r="L537" s="149" t="e">
        <f ca="1">_xll.meDateFromTenor(L536,"1D","FOLLOWING",#REF!,"NORMAL")</f>
        <v>#VALUE!</v>
      </c>
      <c r="M537" s="155">
        <f ca="1">_xll.meDateYearFraction(C537,D537,$M$11)</f>
        <v>1.3888888888888888E-2</v>
      </c>
      <c r="N537" s="150">
        <f ca="1"/>
        <v>-2.4300000000065936E-3</v>
      </c>
      <c r="O537" s="7" t="s">
        <v>4</v>
      </c>
      <c r="P537" s="149">
        <f t="shared" ca="1" si="17"/>
        <v>43188</v>
      </c>
      <c r="Q537" s="155">
        <f ca="1">_xll.meDateYearFraction(H537,I537,$Q$11,TRUE)</f>
        <v>0.25555555555555554</v>
      </c>
      <c r="R537" s="150">
        <f ca="1">IF(NOW(),_xll.meCurveForwardRatesFromYearFraction(P537,Q537,$Q$11,$Q$9,$Q$10))</f>
        <v>-3.0332400335485519E-3</v>
      </c>
      <c r="S537" s="134" t="s">
        <v>4</v>
      </c>
    </row>
    <row r="538" spans="1:19" x14ac:dyDescent="0.25">
      <c r="A538" s="128">
        <v>522</v>
      </c>
      <c r="B538" s="133"/>
      <c r="C538" s="149">
        <f ca="1">_xll.meDateFromTenor(C537,"1D","FOLLOWING",$D$11,"NORMAL")</f>
        <v>43193</v>
      </c>
      <c r="D538" s="20">
        <f ca="1">_xll.meDateFromTenor(C538,"1D","Following",$D$11,"Normal")</f>
        <v>43194</v>
      </c>
      <c r="E538" s="99">
        <f ca="1"/>
        <v>9.8474130183756961E-3</v>
      </c>
      <c r="F538" s="161">
        <f ca="1">_xll.meCurveForwardRates(C538,$D$9,$D$10)</f>
        <v>9.8959223226398052E-3</v>
      </c>
      <c r="G538" s="7" t="s">
        <v>4</v>
      </c>
      <c r="H538" s="149">
        <f t="shared" ca="1" si="16"/>
        <v>43193</v>
      </c>
      <c r="I538" s="20">
        <f ca="1">_xll.meDateFromTenor(H538,"3M","Following",$I$11,"Normal")</f>
        <v>43284</v>
      </c>
      <c r="J538" s="150">
        <f ca="1"/>
        <v>1.2409871159098635E-2</v>
      </c>
      <c r="K538" s="7" t="s">
        <v>4</v>
      </c>
      <c r="L538" s="149" t="e">
        <f ca="1">_xll.meDateFromTenor(L537,"1D","FOLLOWING",#REF!,"NORMAL")</f>
        <v>#VALUE!</v>
      </c>
      <c r="M538" s="155">
        <f ca="1">_xll.meDateYearFraction(C538,D538,$M$11)</f>
        <v>2.7777777777777779E-3</v>
      </c>
      <c r="N538" s="150">
        <f ca="1"/>
        <v>-2.4300000000065936E-3</v>
      </c>
      <c r="O538" s="7" t="s">
        <v>4</v>
      </c>
      <c r="P538" s="149">
        <f t="shared" ca="1" si="17"/>
        <v>43193</v>
      </c>
      <c r="Q538" s="155">
        <f ca="1">_xll.meDateYearFraction(H538,I538,$Q$11,TRUE)</f>
        <v>0.25277777777777777</v>
      </c>
      <c r="R538" s="150">
        <f ca="1">IF(NOW(),_xll.meCurveForwardRatesFromYearFraction(P538,Q538,$Q$11,$Q$9,$Q$10))</f>
        <v>-3.0332455416031954E-3</v>
      </c>
      <c r="S538" s="134" t="s">
        <v>4</v>
      </c>
    </row>
    <row r="539" spans="1:19" x14ac:dyDescent="0.25">
      <c r="A539" s="128">
        <v>523</v>
      </c>
      <c r="B539" s="133"/>
      <c r="C539" s="149">
        <f ca="1">_xll.meDateFromTenor(C538,"1D","FOLLOWING",$D$11,"NORMAL")</f>
        <v>43194</v>
      </c>
      <c r="D539" s="20">
        <f ca="1">_xll.meDateFromTenor(C539,"1D","Following",$D$11,"Normal")</f>
        <v>43195</v>
      </c>
      <c r="E539" s="99">
        <f ca="1"/>
        <v>9.8487304536565637E-3</v>
      </c>
      <c r="F539" s="161">
        <f ca="1">_xll.meCurveForwardRates(C539,$D$9,$D$10)</f>
        <v>9.8972527596390414E-3</v>
      </c>
      <c r="G539" s="7" t="s">
        <v>4</v>
      </c>
      <c r="H539" s="149">
        <f t="shared" ca="1" si="16"/>
        <v>43194</v>
      </c>
      <c r="I539" s="20">
        <f ca="1">_xll.meDateFromTenor(H539,"3M","Following",$I$11,"Normal")</f>
        <v>43286</v>
      </c>
      <c r="J539" s="150">
        <f ca="1"/>
        <v>1.2417097523812674E-2</v>
      </c>
      <c r="K539" s="7" t="s">
        <v>4</v>
      </c>
      <c r="L539" s="149" t="e">
        <f ca="1">_xll.meDateFromTenor(L538,"1D","FOLLOWING",#REF!,"NORMAL")</f>
        <v>#VALUE!</v>
      </c>
      <c r="M539" s="155">
        <f ca="1">_xll.meDateYearFraction(C539,D539,$M$11)</f>
        <v>2.7777777777777779E-3</v>
      </c>
      <c r="N539" s="150">
        <f ca="1"/>
        <v>-2.4300000000065936E-3</v>
      </c>
      <c r="O539" s="7" t="s">
        <v>4</v>
      </c>
      <c r="P539" s="149">
        <f t="shared" ca="1" si="17"/>
        <v>43194</v>
      </c>
      <c r="Q539" s="155">
        <f ca="1">_xll.meDateYearFraction(H539,I539,$Q$11,TRUE)</f>
        <v>0.25555555555555554</v>
      </c>
      <c r="R539" s="150">
        <f ca="1">IF(NOW(),_xll.meCurveForwardRatesFromYearFraction(P539,Q539,$Q$11,$Q$9,$Q$10))</f>
        <v>-3.7175485397107962E-3</v>
      </c>
      <c r="S539" s="134" t="s">
        <v>4</v>
      </c>
    </row>
    <row r="540" spans="1:19" x14ac:dyDescent="0.25">
      <c r="A540" s="128">
        <v>524</v>
      </c>
      <c r="B540" s="133"/>
      <c r="C540" s="149">
        <f ca="1">_xll.meDateFromTenor(C539,"1D","FOLLOWING",$D$11,"NORMAL")</f>
        <v>43195</v>
      </c>
      <c r="D540" s="20">
        <f ca="1">_xll.meDateFromTenor(C540,"1D","Following",$D$11,"Normal")</f>
        <v>43196</v>
      </c>
      <c r="E540" s="99">
        <f ca="1"/>
        <v>9.8500819233926853E-3</v>
      </c>
      <c r="F540" s="161">
        <f ca="1">_xll.meCurveForwardRates(C540,$D$9,$D$10)</f>
        <v>9.8986175687945099E-3</v>
      </c>
      <c r="G540" s="7" t="s">
        <v>4</v>
      </c>
      <c r="H540" s="149">
        <f t="shared" ca="1" si="16"/>
        <v>43195</v>
      </c>
      <c r="I540" s="20">
        <f ca="1">_xll.meDateFromTenor(H540,"3M","Following",$I$11,"Normal")</f>
        <v>43286</v>
      </c>
      <c r="J540" s="150">
        <f ca="1"/>
        <v>1.2424323888526713E-2</v>
      </c>
      <c r="K540" s="7" t="s">
        <v>4</v>
      </c>
      <c r="L540" s="149" t="e">
        <f ca="1">_xll.meDateFromTenor(L539,"1D","FOLLOWING",#REF!,"NORMAL")</f>
        <v>#VALUE!</v>
      </c>
      <c r="M540" s="155">
        <f ca="1">_xll.meDateYearFraction(C540,D540,$M$11)</f>
        <v>2.7777777777777779E-3</v>
      </c>
      <c r="N540" s="150">
        <f ca="1"/>
        <v>-2.4300000000065936E-3</v>
      </c>
      <c r="O540" s="7" t="s">
        <v>4</v>
      </c>
      <c r="P540" s="149">
        <f t="shared" ca="1" si="17"/>
        <v>43195</v>
      </c>
      <c r="Q540" s="155">
        <f ca="1">_xll.meDateYearFraction(H540,I540,$Q$11,TRUE)</f>
        <v>0.25277777777777777</v>
      </c>
      <c r="R540" s="150">
        <f ca="1">IF(NOW(),_xll.meCurveForwardRatesFromYearFraction(P540,Q540,$Q$11,$Q$9,$Q$10))</f>
        <v>-3.7175485397107962E-3</v>
      </c>
      <c r="S540" s="134" t="s">
        <v>4</v>
      </c>
    </row>
    <row r="541" spans="1:19" x14ac:dyDescent="0.25">
      <c r="A541" s="128">
        <v>525</v>
      </c>
      <c r="B541" s="133"/>
      <c r="C541" s="149">
        <f ca="1">_xll.meDateFromTenor(C540,"1D","FOLLOWING",$D$11,"NORMAL")</f>
        <v>43196</v>
      </c>
      <c r="D541" s="20">
        <f ca="1">_xll.meDateFromTenor(C541,"1D","Following",$D$11,"Normal")</f>
        <v>43199</v>
      </c>
      <c r="E541" s="99">
        <f ca="1"/>
        <v>9.853167997775393E-3</v>
      </c>
      <c r="F541" s="161">
        <f ca="1">_xll.meCurveForwardRates(C541,$D$9,$D$10)</f>
        <v>9.9000167540392869E-3</v>
      </c>
      <c r="G541" s="7" t="s">
        <v>4</v>
      </c>
      <c r="H541" s="149">
        <f t="shared" ca="1" si="16"/>
        <v>43196</v>
      </c>
      <c r="I541" s="20">
        <f ca="1">_xll.meDateFromTenor(H541,"3M","Following",$I$11,"Normal")</f>
        <v>43287</v>
      </c>
      <c r="J541" s="150">
        <f ca="1"/>
        <v>1.2431550253240753E-2</v>
      </c>
      <c r="K541" s="7" t="s">
        <v>4</v>
      </c>
      <c r="L541" s="149" t="e">
        <f ca="1">_xll.meDateFromTenor(L540,"1D","FOLLOWING",#REF!,"NORMAL")</f>
        <v>#VALUE!</v>
      </c>
      <c r="M541" s="155">
        <f ca="1">_xll.meDateYearFraction(C541,D541,$M$11)</f>
        <v>8.3333333333333332E-3</v>
      </c>
      <c r="N541" s="150">
        <f ca="1"/>
        <v>-2.4300000000065936E-3</v>
      </c>
      <c r="O541" s="7" t="s">
        <v>4</v>
      </c>
      <c r="P541" s="149">
        <f t="shared" ca="1" si="17"/>
        <v>43196</v>
      </c>
      <c r="Q541" s="155">
        <f ca="1">_xll.meDateYearFraction(H541,I541,$Q$11,TRUE)</f>
        <v>0.25277777777777777</v>
      </c>
      <c r="R541" s="150">
        <f ca="1">IF(NOW(),_xll.meCurveForwardRatesFromYearFraction(P541,Q541,$Q$11,$Q$9,$Q$10))</f>
        <v>-3.0332503528713089E-3</v>
      </c>
      <c r="S541" s="134" t="s">
        <v>4</v>
      </c>
    </row>
    <row r="542" spans="1:19" x14ac:dyDescent="0.25">
      <c r="A542" s="128">
        <v>526</v>
      </c>
      <c r="B542" s="133"/>
      <c r="C542" s="149">
        <f ca="1">_xll.meDateFromTenor(C541,"1D","FOLLOWING",$D$11,"NORMAL")</f>
        <v>43199</v>
      </c>
      <c r="D542" s="20">
        <f ca="1">_xll.meDateFromTenor(C542,"1D","Following",$D$11,"Normal")</f>
        <v>43200</v>
      </c>
      <c r="E542" s="99">
        <f ca="1"/>
        <v>9.8558282217098628E-3</v>
      </c>
      <c r="F542" s="161">
        <f ca="1">_xll.meCurveForwardRates(C542,$D$9,$D$10)</f>
        <v>9.9044206053691131E-3</v>
      </c>
      <c r="G542" s="7" t="s">
        <v>4</v>
      </c>
      <c r="H542" s="149">
        <f t="shared" ca="1" si="16"/>
        <v>43199</v>
      </c>
      <c r="I542" s="20">
        <f ca="1">_xll.meDateFromTenor(H542,"3M","Following",$I$11,"Normal")</f>
        <v>43290</v>
      </c>
      <c r="J542" s="150">
        <f ca="1"/>
        <v>1.2453229347382867E-2</v>
      </c>
      <c r="K542" s="7" t="s">
        <v>4</v>
      </c>
      <c r="L542" s="149" t="e">
        <f ca="1">_xll.meDateFromTenor(L541,"1D","FOLLOWING",#REF!,"NORMAL")</f>
        <v>#VALUE!</v>
      </c>
      <c r="M542" s="155">
        <f ca="1">_xll.meDateYearFraction(C542,D542,$M$11)</f>
        <v>2.7777777777777779E-3</v>
      </c>
      <c r="N542" s="150">
        <f ca="1"/>
        <v>-2.4300000000065936E-3</v>
      </c>
      <c r="O542" s="7" t="s">
        <v>4</v>
      </c>
      <c r="P542" s="149">
        <f t="shared" ca="1" si="17"/>
        <v>43199</v>
      </c>
      <c r="Q542" s="155">
        <f ca="1">_xll.meDateYearFraction(H542,I542,$Q$11,TRUE)</f>
        <v>0.25277777777777777</v>
      </c>
      <c r="R542" s="150">
        <f ca="1">IF(NOW(),_xll.meCurveForwardRatesFromYearFraction(P542,Q542,$Q$11,$Q$9,$Q$10))</f>
        <v>-3.7175485397107962E-3</v>
      </c>
      <c r="S542" s="134" t="s">
        <v>4</v>
      </c>
    </row>
    <row r="543" spans="1:19" x14ac:dyDescent="0.25">
      <c r="A543" s="128">
        <v>527</v>
      </c>
      <c r="B543" s="133"/>
      <c r="C543" s="149">
        <f ca="1">_xll.meDateFromTenor(C542,"1D","FOLLOWING",$D$11,"NORMAL")</f>
        <v>43200</v>
      </c>
      <c r="D543" s="20">
        <f ca="1">_xll.meDateFromTenor(C543,"1D","Following",$D$11,"Normal")</f>
        <v>43201</v>
      </c>
      <c r="E543" s="99">
        <f ca="1"/>
        <v>9.8573499198373674E-3</v>
      </c>
      <c r="F543" s="161">
        <f ca="1">_xll.meCurveForwardRates(C543,$D$9,$D$10)</f>
        <v>9.9059573341293561E-3</v>
      </c>
      <c r="G543" s="7" t="s">
        <v>4</v>
      </c>
      <c r="H543" s="149">
        <f t="shared" ca="1" si="16"/>
        <v>43200</v>
      </c>
      <c r="I543" s="20">
        <f ca="1">_xll.meDateFromTenor(H543,"3M","Following",$I$11,"Normal")</f>
        <v>43291</v>
      </c>
      <c r="J543" s="150">
        <f ca="1"/>
        <v>1.2460455712096906E-2</v>
      </c>
      <c r="K543" s="7" t="s">
        <v>4</v>
      </c>
      <c r="L543" s="149" t="e">
        <f ca="1">_xll.meDateFromTenor(L542,"1D","FOLLOWING",#REF!,"NORMAL")</f>
        <v>#VALUE!</v>
      </c>
      <c r="M543" s="155">
        <f ca="1">_xll.meDateYearFraction(C543,D543,$M$11)</f>
        <v>2.7777777777777779E-3</v>
      </c>
      <c r="N543" s="150">
        <f ca="1"/>
        <v>-2.4300000000065936E-3</v>
      </c>
      <c r="O543" s="7" t="s">
        <v>4</v>
      </c>
      <c r="P543" s="149">
        <f t="shared" ca="1" si="17"/>
        <v>43200</v>
      </c>
      <c r="Q543" s="155">
        <f ca="1">_xll.meDateYearFraction(H543,I543,$Q$11,TRUE)</f>
        <v>0.25277777777777777</v>
      </c>
      <c r="R543" s="150">
        <f ca="1">IF(NOW(),_xll.meCurveForwardRatesFromYearFraction(P543,Q543,$Q$11,$Q$9,$Q$10))</f>
        <v>-3.7175485397107962E-3</v>
      </c>
      <c r="S543" s="134" t="s">
        <v>4</v>
      </c>
    </row>
    <row r="544" spans="1:19" x14ac:dyDescent="0.25">
      <c r="A544" s="128">
        <v>528</v>
      </c>
      <c r="B544" s="133"/>
      <c r="C544" s="149">
        <f ca="1">_xll.meDateFromTenor(C543,"1D","FOLLOWING",$D$11,"NORMAL")</f>
        <v>43201</v>
      </c>
      <c r="D544" s="20">
        <f ca="1">_xll.meDateFromTenor(C544,"1D","Following",$D$11,"Normal")</f>
        <v>43202</v>
      </c>
      <c r="E544" s="99">
        <f ca="1"/>
        <v>9.8589056748022222E-3</v>
      </c>
      <c r="F544" s="161">
        <f ca="1">_xll.meCurveForwardRates(C544,$D$9,$D$10)</f>
        <v>9.9075284585354861E-3</v>
      </c>
      <c r="G544" s="7" t="s">
        <v>4</v>
      </c>
      <c r="H544" s="149">
        <f t="shared" ca="1" si="16"/>
        <v>43201</v>
      </c>
      <c r="I544" s="20">
        <f ca="1">_xll.meDateFromTenor(H544,"3M","Following",$I$11,"Normal")</f>
        <v>43292</v>
      </c>
      <c r="J544" s="150">
        <f ca="1"/>
        <v>1.2467682076810946E-2</v>
      </c>
      <c r="K544" s="7" t="s">
        <v>4</v>
      </c>
      <c r="L544" s="149" t="e">
        <f ca="1">_xll.meDateFromTenor(L543,"1D","FOLLOWING",#REF!,"NORMAL")</f>
        <v>#VALUE!</v>
      </c>
      <c r="M544" s="155">
        <f ca="1">_xll.meDateYearFraction(C544,D544,$M$11)</f>
        <v>2.7777777777777779E-3</v>
      </c>
      <c r="N544" s="150">
        <f ca="1"/>
        <v>-2.4300000000065936E-3</v>
      </c>
      <c r="O544" s="7" t="s">
        <v>4</v>
      </c>
      <c r="P544" s="149">
        <f t="shared" ca="1" si="17"/>
        <v>43201</v>
      </c>
      <c r="Q544" s="155">
        <f ca="1">_xll.meDateYearFraction(H544,I544,$Q$11,TRUE)</f>
        <v>0.25277777777777777</v>
      </c>
      <c r="R544" s="150">
        <f ca="1">IF(NOW(),_xll.meCurveForwardRatesFromYearFraction(P544,Q544,$Q$11,$Q$9,$Q$10))</f>
        <v>-3.033260659072248E-3</v>
      </c>
      <c r="S544" s="134" t="s">
        <v>4</v>
      </c>
    </row>
    <row r="545" spans="1:19" x14ac:dyDescent="0.25">
      <c r="A545" s="128">
        <v>529</v>
      </c>
      <c r="B545" s="133"/>
      <c r="C545" s="149">
        <f ca="1">_xll.meDateFromTenor(C544,"1D","FOLLOWING",$D$11,"NORMAL")</f>
        <v>43202</v>
      </c>
      <c r="D545" s="20">
        <f ca="1">_xll.meDateFromTenor(C545,"1D","Following",$D$11,"Normal")</f>
        <v>43203</v>
      </c>
      <c r="E545" s="99">
        <f ca="1"/>
        <v>9.860495490441358E-3</v>
      </c>
      <c r="F545" s="161">
        <f ca="1">_xll.meCurveForwardRates(C545,$D$9,$D$10)</f>
        <v>9.9091339826222757E-3</v>
      </c>
      <c r="G545" s="7" t="s">
        <v>4</v>
      </c>
      <c r="H545" s="149">
        <f t="shared" ca="1" si="16"/>
        <v>43202</v>
      </c>
      <c r="I545" s="20">
        <f ca="1">_xll.meDateFromTenor(H545,"3M","Following",$I$11,"Normal")</f>
        <v>43293</v>
      </c>
      <c r="J545" s="150">
        <f ca="1"/>
        <v>1.2474908441524985E-2</v>
      </c>
      <c r="K545" s="7" t="s">
        <v>4</v>
      </c>
      <c r="L545" s="149" t="e">
        <f ca="1">_xll.meDateFromTenor(L544,"1D","FOLLOWING",#REF!,"NORMAL")</f>
        <v>#VALUE!</v>
      </c>
      <c r="M545" s="155">
        <f ca="1">_xll.meDateYearFraction(C545,D545,$M$11)</f>
        <v>2.7777777777777779E-3</v>
      </c>
      <c r="N545" s="150">
        <f ca="1"/>
        <v>-2.4300000000065936E-3</v>
      </c>
      <c r="O545" s="7" t="s">
        <v>4</v>
      </c>
      <c r="P545" s="149">
        <f t="shared" ca="1" si="17"/>
        <v>43202</v>
      </c>
      <c r="Q545" s="155">
        <f ca="1">_xll.meDateYearFraction(H545,I545,$Q$11,TRUE)</f>
        <v>0.25277777777777777</v>
      </c>
      <c r="R545" s="150">
        <f ca="1">IF(NOW(),_xll.meCurveForwardRatesFromYearFraction(P545,Q545,$Q$11,$Q$9,$Q$10))</f>
        <v>-3.0332630402362041E-3</v>
      </c>
      <c r="S545" s="134" t="s">
        <v>4</v>
      </c>
    </row>
    <row r="546" spans="1:19" x14ac:dyDescent="0.25">
      <c r="A546" s="128">
        <v>530</v>
      </c>
      <c r="B546" s="133"/>
      <c r="C546" s="149">
        <f ca="1">_xll.meDateFromTenor(C545,"1D","FOLLOWING",$D$11,"NORMAL")</f>
        <v>43203</v>
      </c>
      <c r="D546" s="20">
        <f ca="1">_xll.meDateFromTenor(C546,"1D","Following",$D$11,"Normal")</f>
        <v>43206</v>
      </c>
      <c r="E546" s="99">
        <f ca="1"/>
        <v>9.864058940456423E-3</v>
      </c>
      <c r="F546" s="161">
        <f ca="1">_xll.meCurveForwardRates(C546,$D$9,$D$10)</f>
        <v>9.91077391034767E-3</v>
      </c>
      <c r="G546" s="7" t="s">
        <v>4</v>
      </c>
      <c r="H546" s="149">
        <f t="shared" ca="1" si="16"/>
        <v>43203</v>
      </c>
      <c r="I546" s="20">
        <f ca="1">_xll.meDateFromTenor(H546,"3M","Following",$I$11,"Normal")</f>
        <v>43294</v>
      </c>
      <c r="J546" s="150">
        <f ca="1"/>
        <v>1.2482134806239024E-2</v>
      </c>
      <c r="K546" s="7" t="s">
        <v>4</v>
      </c>
      <c r="L546" s="149" t="e">
        <f ca="1">_xll.meDateFromTenor(L545,"1D","FOLLOWING",#REF!,"NORMAL")</f>
        <v>#VALUE!</v>
      </c>
      <c r="M546" s="155">
        <f ca="1">_xll.meDateYearFraction(C546,D546,$M$11)</f>
        <v>8.3333333333333332E-3</v>
      </c>
      <c r="N546" s="150">
        <f ca="1"/>
        <v>-2.4300000000065936E-3</v>
      </c>
      <c r="O546" s="7" t="s">
        <v>4</v>
      </c>
      <c r="P546" s="149">
        <f t="shared" ca="1" si="17"/>
        <v>43203</v>
      </c>
      <c r="Q546" s="155">
        <f ca="1">_xll.meDateYearFraction(H546,I546,$Q$11,TRUE)</f>
        <v>0.25277777777777777</v>
      </c>
      <c r="R546" s="150">
        <f ca="1">IF(NOW(),_xll.meCurveForwardRatesFromYearFraction(P546,Q546,$Q$11,$Q$9,$Q$10))</f>
        <v>-3.7175485397107962E-3</v>
      </c>
      <c r="S546" s="134" t="s">
        <v>4</v>
      </c>
    </row>
    <row r="547" spans="1:19" x14ac:dyDescent="0.25">
      <c r="A547" s="128">
        <v>531</v>
      </c>
      <c r="B547" s="133"/>
      <c r="C547" s="149">
        <f ca="1">_xll.meDateFromTenor(C546,"1D","FOLLOWING",$D$11,"NORMAL")</f>
        <v>43206</v>
      </c>
      <c r="D547" s="20">
        <f ca="1">_xll.meDateFromTenor(C547,"1D","Following",$D$11,"Normal")</f>
        <v>43207</v>
      </c>
      <c r="E547" s="99">
        <f ca="1"/>
        <v>9.8671954343194767E-3</v>
      </c>
      <c r="F547" s="161">
        <f ca="1">_xll.meCurveForwardRates(C547,$D$9,$D$10)</f>
        <v>9.9159001544182335E-3</v>
      </c>
      <c r="G547" s="7" t="s">
        <v>4</v>
      </c>
      <c r="H547" s="149">
        <f t="shared" ca="1" si="16"/>
        <v>43206</v>
      </c>
      <c r="I547" s="20">
        <f ca="1">_xll.meDateFromTenor(H547,"3M","Following",$I$11,"Normal")</f>
        <v>43297</v>
      </c>
      <c r="J547" s="150">
        <f ca="1"/>
        <v>1.250381390038114E-2</v>
      </c>
      <c r="K547" s="7" t="s">
        <v>4</v>
      </c>
      <c r="L547" s="149" t="e">
        <f ca="1">_xll.meDateFromTenor(L546,"1D","FOLLOWING",#REF!,"NORMAL")</f>
        <v>#VALUE!</v>
      </c>
      <c r="M547" s="155">
        <f ca="1">_xll.meDateYearFraction(C547,D547,$M$11)</f>
        <v>2.7777777777777779E-3</v>
      </c>
      <c r="N547" s="150">
        <f ca="1"/>
        <v>-2.4300000000065936E-3</v>
      </c>
      <c r="O547" s="7" t="s">
        <v>4</v>
      </c>
      <c r="P547" s="149">
        <f t="shared" ca="1" si="17"/>
        <v>43206</v>
      </c>
      <c r="Q547" s="155">
        <f ca="1">_xll.meDateYearFraction(H547,I547,$Q$11,TRUE)</f>
        <v>0.25277777777777777</v>
      </c>
      <c r="R547" s="150">
        <f ca="1">IF(NOW(),_xll.meCurveForwardRatesFromYearFraction(P547,Q547,$Q$11,$Q$9,$Q$10))</f>
        <v>-3.7175485397107962E-3</v>
      </c>
      <c r="S547" s="134" t="s">
        <v>4</v>
      </c>
    </row>
    <row r="548" spans="1:19" x14ac:dyDescent="0.25">
      <c r="A548" s="128">
        <v>532</v>
      </c>
      <c r="B548" s="133"/>
      <c r="C548" s="149">
        <f ca="1">_xll.meDateFromTenor(C547,"1D","FOLLOWING",$D$11,"NORMAL")</f>
        <v>43207</v>
      </c>
      <c r="D548" s="20">
        <f ca="1">_xll.meDateFromTenor(C548,"1D","Following",$D$11,"Normal")</f>
        <v>43208</v>
      </c>
      <c r="E548" s="99">
        <f ca="1"/>
        <v>9.8689556094467071E-3</v>
      </c>
      <c r="F548" s="161">
        <f ca="1">_xll.meCurveForwardRates(C548,$D$9,$D$10)</f>
        <v>9.9176777361049684E-3</v>
      </c>
      <c r="G548" s="7" t="s">
        <v>4</v>
      </c>
      <c r="H548" s="149">
        <f t="shared" ca="1" si="16"/>
        <v>43207</v>
      </c>
      <c r="I548" s="20">
        <f ca="1">_xll.meDateFromTenor(H548,"3M","Following",$I$11,"Normal")</f>
        <v>43298</v>
      </c>
      <c r="J548" s="150">
        <f ca="1"/>
        <v>1.2511040265095179E-2</v>
      </c>
      <c r="K548" s="7" t="s">
        <v>4</v>
      </c>
      <c r="L548" s="149" t="e">
        <f ca="1">_xll.meDateFromTenor(L547,"1D","FOLLOWING",#REF!,"NORMAL")</f>
        <v>#VALUE!</v>
      </c>
      <c r="M548" s="155">
        <f ca="1">_xll.meDateYearFraction(C548,D548,$M$11)</f>
        <v>2.7777777777777779E-3</v>
      </c>
      <c r="N548" s="150">
        <f ca="1"/>
        <v>-2.4300000000065936E-3</v>
      </c>
      <c r="O548" s="7" t="s">
        <v>4</v>
      </c>
      <c r="P548" s="149">
        <f t="shared" ca="1" si="17"/>
        <v>43207</v>
      </c>
      <c r="Q548" s="155">
        <f ca="1">_xll.meDateYearFraction(H548,I548,$Q$11,TRUE)</f>
        <v>0.25277777777777777</v>
      </c>
      <c r="R548" s="150">
        <f ca="1">IF(NOW(),_xll.meCurveForwardRatesFromYearFraction(P548,Q548,$Q$11,$Q$9,$Q$10))</f>
        <v>-3.7175485397107962E-3</v>
      </c>
      <c r="S548" s="134" t="s">
        <v>4</v>
      </c>
    </row>
    <row r="549" spans="1:19" x14ac:dyDescent="0.25">
      <c r="A549" s="128">
        <v>533</v>
      </c>
      <c r="B549" s="133"/>
      <c r="C549" s="149">
        <f ca="1">_xll.meDateFromTenor(C548,"1D","FOLLOWING",$D$11,"NORMAL")</f>
        <v>43208</v>
      </c>
      <c r="D549" s="20">
        <f ca="1">_xll.meDateFromTenor(C549,"1D","Following",$D$11,"Normal")</f>
        <v>43209</v>
      </c>
      <c r="E549" s="99">
        <f ca="1"/>
        <v>9.8707498676287378E-3</v>
      </c>
      <c r="F549" s="161">
        <f ca="1">_xll.meCurveForwardRates(C549,$D$9,$D$10)</f>
        <v>9.919489741108567E-3</v>
      </c>
      <c r="G549" s="7" t="s">
        <v>4</v>
      </c>
      <c r="H549" s="149">
        <f t="shared" ca="1" si="16"/>
        <v>43208</v>
      </c>
      <c r="I549" s="20">
        <f ca="1">_xll.meDateFromTenor(H549,"3M","Following",$I$11,"Normal")</f>
        <v>43299</v>
      </c>
      <c r="J549" s="150">
        <f ca="1"/>
        <v>1.2518266629809217E-2</v>
      </c>
      <c r="K549" s="7" t="s">
        <v>4</v>
      </c>
      <c r="L549" s="149" t="e">
        <f ca="1">_xll.meDateFromTenor(L548,"1D","FOLLOWING",#REF!,"NORMAL")</f>
        <v>#VALUE!</v>
      </c>
      <c r="M549" s="155">
        <f ca="1">_xll.meDateYearFraction(C549,D549,$M$11)</f>
        <v>2.7777777777777779E-3</v>
      </c>
      <c r="N549" s="150">
        <f ca="1"/>
        <v>-2.4300000000065936E-3</v>
      </c>
      <c r="O549" s="7" t="s">
        <v>4</v>
      </c>
      <c r="P549" s="149">
        <f t="shared" ca="1" si="17"/>
        <v>43208</v>
      </c>
      <c r="Q549" s="155">
        <f ca="1">_xll.meDateYearFraction(H549,I549,$Q$11,TRUE)</f>
        <v>0.25277777777777777</v>
      </c>
      <c r="R549" s="150">
        <f ca="1">IF(NOW(),_xll.meCurveForwardRatesFromYearFraction(P549,Q549,$Q$11,$Q$9,$Q$10))</f>
        <v>-3.0332793502524354E-3</v>
      </c>
      <c r="S549" s="134" t="s">
        <v>4</v>
      </c>
    </row>
    <row r="550" spans="1:19" x14ac:dyDescent="0.25">
      <c r="A550" s="128">
        <v>534</v>
      </c>
      <c r="B550" s="133"/>
      <c r="C550" s="149">
        <f ca="1">_xll.meDateFromTenor(C549,"1D","FOLLOWING",$D$11,"NORMAL")</f>
        <v>43209</v>
      </c>
      <c r="D550" s="20">
        <f ca="1">_xll.meDateFromTenor(C550,"1D","Following",$D$11,"Normal")</f>
        <v>43210</v>
      </c>
      <c r="E550" s="99">
        <f ca="1"/>
        <v>9.8725782127840125E-3</v>
      </c>
      <c r="F550" s="161">
        <f ca="1">_xll.meCurveForwardRates(C550,$D$9,$D$10)</f>
        <v>9.9213361735712713E-3</v>
      </c>
      <c r="G550" s="7" t="s">
        <v>4</v>
      </c>
      <c r="H550" s="149">
        <f t="shared" ca="1" si="16"/>
        <v>43209</v>
      </c>
      <c r="I550" s="20">
        <f ca="1">_xll.meDateFromTenor(H550,"3M","Following",$I$11,"Normal")</f>
        <v>43300</v>
      </c>
      <c r="J550" s="150">
        <f ca="1"/>
        <v>1.2525492994523256E-2</v>
      </c>
      <c r="K550" s="7" t="s">
        <v>4</v>
      </c>
      <c r="L550" s="149" t="e">
        <f ca="1">_xll.meDateFromTenor(L549,"1D","FOLLOWING",#REF!,"NORMAL")</f>
        <v>#VALUE!</v>
      </c>
      <c r="M550" s="155">
        <f ca="1">_xll.meDateYearFraction(C550,D550,$M$11)</f>
        <v>2.7777777777777779E-3</v>
      </c>
      <c r="N550" s="150">
        <f ca="1"/>
        <v>-2.4300000000065936E-3</v>
      </c>
      <c r="O550" s="7" t="s">
        <v>4</v>
      </c>
      <c r="P550" s="149">
        <f t="shared" ca="1" si="17"/>
        <v>43209</v>
      </c>
      <c r="Q550" s="155">
        <f ca="1">_xll.meDateYearFraction(H550,I550,$Q$11,TRUE)</f>
        <v>0.25277777777777777</v>
      </c>
      <c r="R550" s="150">
        <f ca="1">IF(NOW(),_xll.meCurveForwardRatesFromYearFraction(P550,Q550,$Q$11,$Q$9,$Q$10))</f>
        <v>-3.7175485397107962E-3</v>
      </c>
      <c r="S550" s="134" t="s">
        <v>4</v>
      </c>
    </row>
    <row r="551" spans="1:19" x14ac:dyDescent="0.25">
      <c r="A551" s="128">
        <v>535</v>
      </c>
      <c r="B551" s="133"/>
      <c r="C551" s="149">
        <f ca="1">_xll.meDateFromTenor(C550,"1D","FOLLOWING",$D$11,"NORMAL")</f>
        <v>43210</v>
      </c>
      <c r="D551" s="20">
        <f ca="1">_xll.meDateFromTenor(C551,"1D","Following",$D$11,"Normal")</f>
        <v>43213</v>
      </c>
      <c r="E551" s="99">
        <f ca="1"/>
        <v>9.8766194979305402E-3</v>
      </c>
      <c r="F551" s="161">
        <f ca="1">_xll.meCurveForwardRates(C551,$D$9,$D$10)</f>
        <v>9.9232170373140249E-3</v>
      </c>
      <c r="G551" s="7" t="s">
        <v>4</v>
      </c>
      <c r="H551" s="149">
        <f t="shared" ca="1" si="16"/>
        <v>43210</v>
      </c>
      <c r="I551" s="20">
        <f ca="1">_xll.meDateFromTenor(H551,"3M","Following",$I$11,"Normal")</f>
        <v>43301</v>
      </c>
      <c r="J551" s="150">
        <f ca="1"/>
        <v>1.2532719359237296E-2</v>
      </c>
      <c r="K551" s="7" t="s">
        <v>4</v>
      </c>
      <c r="L551" s="149" t="e">
        <f ca="1">_xll.meDateFromTenor(L550,"1D","FOLLOWING",#REF!,"NORMAL")</f>
        <v>#VALUE!</v>
      </c>
      <c r="M551" s="155">
        <f ca="1">_xll.meDateYearFraction(C551,D551,$M$11)</f>
        <v>8.3333333333333332E-3</v>
      </c>
      <c r="N551" s="150">
        <f ca="1"/>
        <v>-2.4300000000065936E-3</v>
      </c>
      <c r="O551" s="7" t="s">
        <v>4</v>
      </c>
      <c r="P551" s="149">
        <f t="shared" ca="1" si="17"/>
        <v>43210</v>
      </c>
      <c r="Q551" s="155">
        <f ca="1">_xll.meDateYearFraction(H551,I551,$Q$11,TRUE)</f>
        <v>0.25277777777777777</v>
      </c>
      <c r="R551" s="150">
        <f ca="1">IF(NOW(),_xll.meCurveForwardRatesFromYearFraction(P551,Q551,$Q$11,$Q$9,$Q$10))</f>
        <v>-3.0332854957653074E-3</v>
      </c>
      <c r="S551" s="134" t="s">
        <v>4</v>
      </c>
    </row>
    <row r="552" spans="1:19" x14ac:dyDescent="0.25">
      <c r="A552" s="128">
        <v>536</v>
      </c>
      <c r="B552" s="133"/>
      <c r="C552" s="149">
        <f ca="1">_xll.meDateFromTenor(C551,"1D","FOLLOWING",$D$11,"NORMAL")</f>
        <v>43213</v>
      </c>
      <c r="D552" s="20">
        <f ca="1">_xll.meDateFromTenor(C552,"1D","Following",$D$11,"Normal")</f>
        <v>43214</v>
      </c>
      <c r="E552" s="99">
        <f ca="1"/>
        <v>9.8802325373981495E-3</v>
      </c>
      <c r="F552" s="161">
        <f ca="1">_xll.meCurveForwardRates(C552,$D$9,$D$10)</f>
        <v>9.9290662568267685E-3</v>
      </c>
      <c r="G552" s="7" t="s">
        <v>4</v>
      </c>
      <c r="H552" s="149">
        <f t="shared" ca="1" si="16"/>
        <v>43213</v>
      </c>
      <c r="I552" s="20">
        <f ca="1">_xll.meDateFromTenor(H552,"3M","Following",$I$11,"Normal")</f>
        <v>43304</v>
      </c>
      <c r="J552" s="150">
        <f ca="1"/>
        <v>1.2554398453379415E-2</v>
      </c>
      <c r="K552" s="7" t="s">
        <v>4</v>
      </c>
      <c r="L552" s="149" t="e">
        <f ca="1">_xll.meDateFromTenor(L551,"1D","FOLLOWING",#REF!,"NORMAL")</f>
        <v>#VALUE!</v>
      </c>
      <c r="M552" s="155">
        <f ca="1">_xll.meDateYearFraction(C552,D552,$M$11)</f>
        <v>2.7777777777777779E-3</v>
      </c>
      <c r="N552" s="150">
        <f ca="1"/>
        <v>-2.4300000000065936E-3</v>
      </c>
      <c r="O552" s="7" t="s">
        <v>4</v>
      </c>
      <c r="P552" s="149">
        <f t="shared" ca="1" si="17"/>
        <v>43213</v>
      </c>
      <c r="Q552" s="155">
        <f ca="1">_xll.meDateYearFraction(H552,I552,$Q$11,TRUE)</f>
        <v>0.25277777777777777</v>
      </c>
      <c r="R552" s="150">
        <f ca="1">IF(NOW(),_xll.meCurveForwardRatesFromYearFraction(P552,Q552,$Q$11,$Q$9,$Q$10))</f>
        <v>-3.7175485397107962E-3</v>
      </c>
      <c r="S552" s="134" t="s">
        <v>4</v>
      </c>
    </row>
    <row r="553" spans="1:19" x14ac:dyDescent="0.25">
      <c r="A553" s="128">
        <v>537</v>
      </c>
      <c r="B553" s="133"/>
      <c r="C553" s="149">
        <f ca="1">_xll.meDateFromTenor(C552,"1D","FOLLOWING",$D$11,"NORMAL")</f>
        <v>43214</v>
      </c>
      <c r="D553" s="20">
        <f ca="1">_xll.meDateFromTenor(C553,"1D","Following",$D$11,"Normal")</f>
        <v>43215</v>
      </c>
      <c r="E553" s="99">
        <f ca="1"/>
        <v>9.8822313733748848E-3</v>
      </c>
      <c r="F553" s="161">
        <f ca="1">_xll.meCurveForwardRates(C553,$D$9,$D$10)</f>
        <v>9.9310848859885947E-3</v>
      </c>
      <c r="G553" s="7" t="s">
        <v>4</v>
      </c>
      <c r="H553" s="149">
        <f t="shared" ca="1" si="16"/>
        <v>43214</v>
      </c>
      <c r="I553" s="20">
        <f ca="1">_xll.meDateFromTenor(H553,"3M","Following",$I$11,"Normal")</f>
        <v>43305</v>
      </c>
      <c r="J553" s="150">
        <f ca="1"/>
        <v>1.2561624818093453E-2</v>
      </c>
      <c r="K553" s="7" t="s">
        <v>4</v>
      </c>
      <c r="L553" s="149" t="e">
        <f ca="1">_xll.meDateFromTenor(L552,"1D","FOLLOWING",#REF!,"NORMAL")</f>
        <v>#VALUE!</v>
      </c>
      <c r="M553" s="155">
        <f ca="1">_xll.meDateYearFraction(C553,D553,$M$11)</f>
        <v>2.7777777777777779E-3</v>
      </c>
      <c r="N553" s="150">
        <f ca="1"/>
        <v>-2.4300000000065936E-3</v>
      </c>
      <c r="O553" s="7" t="s">
        <v>4</v>
      </c>
      <c r="P553" s="149">
        <f t="shared" ca="1" si="17"/>
        <v>43214</v>
      </c>
      <c r="Q553" s="155">
        <f ca="1">_xll.meDateYearFraction(H553,I553,$Q$11,TRUE)</f>
        <v>0.25277777777777777</v>
      </c>
      <c r="R553" s="150">
        <f ca="1">IF(NOW(),_xll.meCurveForwardRatesFromYearFraction(P553,Q553,$Q$11,$Q$9,$Q$10))</f>
        <v>-3.0332987263757397E-3</v>
      </c>
      <c r="S553" s="134" t="s">
        <v>4</v>
      </c>
    </row>
    <row r="554" spans="1:19" x14ac:dyDescent="0.25">
      <c r="A554" s="128">
        <v>538</v>
      </c>
      <c r="B554" s="133"/>
      <c r="C554" s="149">
        <f ca="1">_xll.meDateFromTenor(C553,"1D","FOLLOWING",$D$11,"NORMAL")</f>
        <v>43215</v>
      </c>
      <c r="D554" s="20">
        <f ca="1">_xll.meDateFromTenor(C554,"1D","Following",$D$11,"Normal")</f>
        <v>43216</v>
      </c>
      <c r="E554" s="99">
        <f ca="1"/>
        <v>9.8842643188668325E-3</v>
      </c>
      <c r="F554" s="161">
        <f ca="1">_xll.meCurveForwardRates(C554,$D$9,$D$10)</f>
        <v>9.9331379665574815E-3</v>
      </c>
      <c r="G554" s="7" t="s">
        <v>4</v>
      </c>
      <c r="H554" s="149">
        <f t="shared" ca="1" si="16"/>
        <v>43215</v>
      </c>
      <c r="I554" s="20">
        <f ca="1">_xll.meDateFromTenor(H554,"3M","Following",$I$11,"Normal")</f>
        <v>43306</v>
      </c>
      <c r="J554" s="150">
        <f ca="1"/>
        <v>1.2568851182807492E-2</v>
      </c>
      <c r="K554" s="7" t="s">
        <v>4</v>
      </c>
      <c r="L554" s="149" t="e">
        <f ca="1">_xll.meDateFromTenor(L553,"1D","FOLLOWING",#REF!,"NORMAL")</f>
        <v>#VALUE!</v>
      </c>
      <c r="M554" s="155">
        <f ca="1">_xll.meDateYearFraction(C554,D554,$M$11)</f>
        <v>2.7777777777777779E-3</v>
      </c>
      <c r="N554" s="150">
        <f ca="1"/>
        <v>-2.4300000000065936E-3</v>
      </c>
      <c r="O554" s="7" t="s">
        <v>4</v>
      </c>
      <c r="P554" s="149">
        <f t="shared" ca="1" si="17"/>
        <v>43215</v>
      </c>
      <c r="Q554" s="155">
        <f ca="1">_xll.meDateYearFraction(H554,I554,$Q$11,TRUE)</f>
        <v>0.25277777777777777</v>
      </c>
      <c r="R554" s="150">
        <f ca="1">IF(NOW(),_xll.meCurveForwardRatesFromYearFraction(P554,Q554,$Q$11,$Q$9,$Q$10))</f>
        <v>-3.7175485397107962E-3</v>
      </c>
      <c r="S554" s="134" t="s">
        <v>4</v>
      </c>
    </row>
    <row r="555" spans="1:19" x14ac:dyDescent="0.25">
      <c r="A555" s="128">
        <v>539</v>
      </c>
      <c r="B555" s="133"/>
      <c r="C555" s="149">
        <f ca="1">_xll.meDateFromTenor(C554,"1D","FOLLOWING",$D$11,"NORMAL")</f>
        <v>43216</v>
      </c>
      <c r="D555" s="20">
        <f ca="1">_xll.meDateFromTenor(C555,"1D","Following",$D$11,"Normal")</f>
        <v>43217</v>
      </c>
      <c r="E555" s="99">
        <f ca="1"/>
        <v>9.8863313777109232E-3</v>
      </c>
      <c r="F555" s="161">
        <f ca="1">_xll.meCurveForwardRates(C555,$D$9,$D$10)</f>
        <v>9.9352255026179392E-3</v>
      </c>
      <c r="G555" s="7" t="s">
        <v>4</v>
      </c>
      <c r="H555" s="149">
        <f t="shared" ca="1" si="16"/>
        <v>43216</v>
      </c>
      <c r="I555" s="20">
        <f ca="1">_xll.meDateFromTenor(H555,"3M","Following",$I$11,"Normal")</f>
        <v>43307</v>
      </c>
      <c r="J555" s="150">
        <f ca="1"/>
        <v>1.2576077547521531E-2</v>
      </c>
      <c r="K555" s="7" t="s">
        <v>4</v>
      </c>
      <c r="L555" s="149" t="e">
        <f ca="1">_xll.meDateFromTenor(L554,"1D","FOLLOWING",#REF!,"NORMAL")</f>
        <v>#VALUE!</v>
      </c>
      <c r="M555" s="155">
        <f ca="1">_xll.meDateYearFraction(C555,D555,$M$11)</f>
        <v>2.7777777777777779E-3</v>
      </c>
      <c r="N555" s="150">
        <f ca="1"/>
        <v>-2.4300000000065936E-3</v>
      </c>
      <c r="O555" s="7" t="s">
        <v>4</v>
      </c>
      <c r="P555" s="149">
        <f t="shared" ca="1" si="17"/>
        <v>43216</v>
      </c>
      <c r="Q555" s="155">
        <f ca="1">_xll.meDateYearFraction(H555,I555,$Q$11,TRUE)</f>
        <v>0.25277777777777777</v>
      </c>
      <c r="R555" s="150">
        <f ca="1">IF(NOW(),_xll.meCurveForwardRatesFromYearFraction(P555,Q555,$Q$11,$Q$9,$Q$10))</f>
        <v>-3.7175485397107962E-3</v>
      </c>
      <c r="S555" s="134" t="s">
        <v>4</v>
      </c>
    </row>
    <row r="556" spans="1:19" x14ac:dyDescent="0.25">
      <c r="A556" s="128">
        <v>540</v>
      </c>
      <c r="B556" s="133"/>
      <c r="C556" s="149">
        <f ca="1">_xll.meDateFromTenor(C555,"1D","FOLLOWING",$D$11,"NORMAL")</f>
        <v>43217</v>
      </c>
      <c r="D556" s="20">
        <f ca="1">_xll.meDateFromTenor(C556,"1D","Following",$D$11,"Normal")</f>
        <v>43220</v>
      </c>
      <c r="E556" s="99">
        <f ca="1"/>
        <v>9.8908509595663566E-3</v>
      </c>
      <c r="F556" s="161">
        <f ca="1">_xll.meCurveForwardRates(C556,$D$9,$D$10)</f>
        <v>9.9373474980153365E-3</v>
      </c>
      <c r="G556" s="7" t="s">
        <v>4</v>
      </c>
      <c r="H556" s="149">
        <f t="shared" ca="1" si="16"/>
        <v>43217</v>
      </c>
      <c r="I556" s="20">
        <f ca="1">_xll.meDateFromTenor(H556,"3M","Following",$I$11,"Normal")</f>
        <v>43308</v>
      </c>
      <c r="J556" s="150">
        <f ca="1"/>
        <v>1.2583303912235569E-2</v>
      </c>
      <c r="K556" s="7" t="s">
        <v>4</v>
      </c>
      <c r="L556" s="149" t="e">
        <f ca="1">_xll.meDateFromTenor(L555,"1D","FOLLOWING",#REF!,"NORMAL")</f>
        <v>#VALUE!</v>
      </c>
      <c r="M556" s="155">
        <f ca="1">_xll.meDateYearFraction(C556,D556,$M$11)</f>
        <v>8.3333333333333332E-3</v>
      </c>
      <c r="N556" s="150">
        <f ca="1"/>
        <v>-2.4300000000065936E-3</v>
      </c>
      <c r="O556" s="7" t="s">
        <v>4</v>
      </c>
      <c r="P556" s="149">
        <f t="shared" ca="1" si="17"/>
        <v>43217</v>
      </c>
      <c r="Q556" s="155">
        <f ca="1">_xll.meDateYearFraction(H556,I556,$Q$11,TRUE)</f>
        <v>0.25277777777777777</v>
      </c>
      <c r="R556" s="150">
        <f ca="1">IF(NOW(),_xll.meCurveForwardRatesFromYearFraction(P556,Q556,$Q$11,$Q$9,$Q$10))</f>
        <v>-3.0333093903074618E-3</v>
      </c>
      <c r="S556" s="134" t="s">
        <v>4</v>
      </c>
    </row>
    <row r="557" spans="1:19" x14ac:dyDescent="0.25">
      <c r="A557" s="128">
        <v>541</v>
      </c>
      <c r="B557" s="133"/>
      <c r="C557" s="149">
        <f ca="1">_xll.meDateFromTenor(C556,"1D","FOLLOWING",$D$11,"NORMAL")</f>
        <v>43220</v>
      </c>
      <c r="D557" s="20">
        <f ca="1">_xll.meDateFromTenor(C557,"1D","Following",$D$11,"Normal")</f>
        <v>43221</v>
      </c>
      <c r="E557" s="99">
        <f ca="1"/>
        <v>9.8949408208693149E-3</v>
      </c>
      <c r="F557" s="161">
        <f ca="1">_xll.meCurveForwardRates(C557,$D$9,$D$10)</f>
        <v>9.9439202810838179E-3</v>
      </c>
      <c r="G557" s="7" t="s">
        <v>4</v>
      </c>
      <c r="H557" s="149">
        <f t="shared" ca="1" si="16"/>
        <v>43220</v>
      </c>
      <c r="I557" s="20">
        <f ca="1">_xll.meDateFromTenor(H557,"3M","Following",$I$11,"Normal")</f>
        <v>43311</v>
      </c>
      <c r="J557" s="150">
        <f ca="1"/>
        <v>1.2604983006377687E-2</v>
      </c>
      <c r="K557" s="7" t="s">
        <v>4</v>
      </c>
      <c r="L557" s="149" t="e">
        <f ca="1">_xll.meDateFromTenor(L556,"1D","FOLLOWING",#REF!,"NORMAL")</f>
        <v>#VALUE!</v>
      </c>
      <c r="M557" s="155">
        <f ca="1">_xll.meDateYearFraction(C557,D557,$M$11)</f>
        <v>2.7777777777777779E-3</v>
      </c>
      <c r="N557" s="150">
        <f ca="1"/>
        <v>-2.4300000000065936E-3</v>
      </c>
      <c r="O557" s="7" t="s">
        <v>4</v>
      </c>
      <c r="P557" s="149">
        <f t="shared" ca="1" si="17"/>
        <v>43220</v>
      </c>
      <c r="Q557" s="155">
        <f ca="1">_xll.meDateYearFraction(H557,I557,$Q$11,TRUE)</f>
        <v>0.25277777777777777</v>
      </c>
      <c r="R557" s="150">
        <f ca="1">IF(NOW(),_xll.meCurveForwardRatesFromYearFraction(P557,Q557,$Q$11,$Q$9,$Q$10))</f>
        <v>-3.033320612061853E-3</v>
      </c>
      <c r="S557" s="134" t="s">
        <v>4</v>
      </c>
    </row>
    <row r="558" spans="1:19" x14ac:dyDescent="0.25">
      <c r="A558" s="128">
        <v>542</v>
      </c>
      <c r="B558" s="133"/>
      <c r="C558" s="149">
        <f ca="1">_xll.meDateFromTenor(C557,"1D","FOLLOWING",$D$11,"NORMAL")</f>
        <v>43221</v>
      </c>
      <c r="D558" s="20">
        <f ca="1">_xll.meDateFromTenor(C558,"1D","Following",$D$11,"Normal")</f>
        <v>43222</v>
      </c>
      <c r="E558" s="99">
        <f ca="1"/>
        <v>9.8971785026691697E-3</v>
      </c>
      <c r="F558" s="161">
        <f ca="1">_xll.meCurveForwardRates(C558,$D$9,$D$10)</f>
        <v>9.9461801546196771E-3</v>
      </c>
      <c r="G558" s="7" t="s">
        <v>4</v>
      </c>
      <c r="H558" s="149">
        <f t="shared" ca="1" si="16"/>
        <v>43221</v>
      </c>
      <c r="I558" s="20">
        <f ca="1">_xll.meDateFromTenor(H558,"3M","Following",$I$11,"Normal")</f>
        <v>43313</v>
      </c>
      <c r="J558" s="150">
        <f ca="1"/>
        <v>1.2612209371091726E-2</v>
      </c>
      <c r="K558" s="7" t="s">
        <v>4</v>
      </c>
      <c r="L558" s="149" t="e">
        <f ca="1">_xll.meDateFromTenor(L557,"1D","FOLLOWING",#REF!,"NORMAL")</f>
        <v>#VALUE!</v>
      </c>
      <c r="M558" s="155">
        <f ca="1">_xll.meDateYearFraction(C558,D558,$M$11)</f>
        <v>2.7777777777777779E-3</v>
      </c>
      <c r="N558" s="150">
        <f ca="1"/>
        <v>-2.4300000000065936E-3</v>
      </c>
      <c r="O558" s="7" t="s">
        <v>4</v>
      </c>
      <c r="P558" s="149">
        <f t="shared" ca="1" si="17"/>
        <v>43221</v>
      </c>
      <c r="Q558" s="155">
        <f ca="1">_xll.meDateYearFraction(H558,I558,$Q$11,TRUE)</f>
        <v>0.25555555555555554</v>
      </c>
      <c r="R558" s="150">
        <f ca="1">IF(NOW(),_xll.meCurveForwardRatesFromYearFraction(P558,Q558,$Q$11,$Q$9,$Q$10))</f>
        <v>-3.0333244645831385E-3</v>
      </c>
      <c r="S558" s="134" t="s">
        <v>4</v>
      </c>
    </row>
    <row r="559" spans="1:19" x14ac:dyDescent="0.25">
      <c r="A559" s="128">
        <v>543</v>
      </c>
      <c r="B559" s="133"/>
      <c r="C559" s="149">
        <f ca="1">_xll.meDateFromTenor(C558,"1D","FOLLOWING",$D$11,"NORMAL")</f>
        <v>43222</v>
      </c>
      <c r="D559" s="20">
        <f ca="1">_xll.meDateFromTenor(C559,"1D","Following",$D$11,"Normal")</f>
        <v>43223</v>
      </c>
      <c r="E559" s="99">
        <f ca="1"/>
        <v>9.8994503202032638E-3</v>
      </c>
      <c r="F559" s="161">
        <f ca="1">_xll.meCurveForwardRates(C559,$D$9,$D$10)</f>
        <v>9.9484745075824055E-3</v>
      </c>
      <c r="G559" s="7" t="s">
        <v>4</v>
      </c>
      <c r="H559" s="149">
        <f t="shared" ca="1" si="16"/>
        <v>43222</v>
      </c>
      <c r="I559" s="20">
        <f ca="1">_xll.meDateFromTenor(H559,"3M","Following",$I$11,"Normal")</f>
        <v>43314</v>
      </c>
      <c r="J559" s="150">
        <f ca="1"/>
        <v>1.2619435735805765E-2</v>
      </c>
      <c r="K559" s="7" t="s">
        <v>4</v>
      </c>
      <c r="L559" s="149" t="e">
        <f ca="1">_xll.meDateFromTenor(L558,"1D","FOLLOWING",#REF!,"NORMAL")</f>
        <v>#VALUE!</v>
      </c>
      <c r="M559" s="155">
        <f ca="1">_xll.meDateYearFraction(C559,D559,$M$11)</f>
        <v>2.7777777777777779E-3</v>
      </c>
      <c r="N559" s="150">
        <f ca="1"/>
        <v>-2.4300000000065936E-3</v>
      </c>
      <c r="O559" s="7" t="s">
        <v>4</v>
      </c>
      <c r="P559" s="149">
        <f t="shared" ca="1" si="17"/>
        <v>43222</v>
      </c>
      <c r="Q559" s="155">
        <f ca="1">_xll.meDateYearFraction(H559,I559,$Q$11,TRUE)</f>
        <v>0.25555555555555554</v>
      </c>
      <c r="R559" s="150">
        <f ca="1">IF(NOW(),_xll.meCurveForwardRatesFromYearFraction(P559,Q559,$Q$11,$Q$9,$Q$10))</f>
        <v>-3.0333283687783456E-3</v>
      </c>
      <c r="S559" s="134" t="s">
        <v>4</v>
      </c>
    </row>
    <row r="560" spans="1:19" x14ac:dyDescent="0.25">
      <c r="A560" s="128">
        <v>544</v>
      </c>
      <c r="B560" s="133"/>
      <c r="C560" s="149">
        <f ca="1">_xll.meDateFromTenor(C559,"1D","FOLLOWING",$D$11,"NORMAL")</f>
        <v>43223</v>
      </c>
      <c r="D560" s="20">
        <f ca="1">_xll.meDateFromTenor(C560,"1D","Following",$D$11,"Normal")</f>
        <v>43224</v>
      </c>
      <c r="E560" s="99">
        <f ca="1"/>
        <v>9.9017562777082083E-3</v>
      </c>
      <c r="F560" s="161">
        <f ca="1">_xll.meCurveForwardRates(C560,$D$9,$D$10)</f>
        <v>9.9508033444850597E-3</v>
      </c>
      <c r="G560" s="7" t="s">
        <v>4</v>
      </c>
      <c r="H560" s="149">
        <f t="shared" ca="1" si="16"/>
        <v>43223</v>
      </c>
      <c r="I560" s="20">
        <f ca="1">_xll.meDateFromTenor(H560,"3M","Following",$I$11,"Normal")</f>
        <v>43315</v>
      </c>
      <c r="J560" s="150">
        <f ca="1"/>
        <v>1.2626662100519803E-2</v>
      </c>
      <c r="K560" s="7" t="s">
        <v>4</v>
      </c>
      <c r="L560" s="149" t="e">
        <f ca="1">_xll.meDateFromTenor(L559,"1D","FOLLOWING",#REF!,"NORMAL")</f>
        <v>#VALUE!</v>
      </c>
      <c r="M560" s="155">
        <f ca="1">_xll.meDateYearFraction(C560,D560,$M$11)</f>
        <v>2.7777777777777779E-3</v>
      </c>
      <c r="N560" s="150">
        <f ca="1"/>
        <v>-2.4300000000065936E-3</v>
      </c>
      <c r="O560" s="7" t="s">
        <v>4</v>
      </c>
      <c r="P560" s="149">
        <f t="shared" ca="1" si="17"/>
        <v>43223</v>
      </c>
      <c r="Q560" s="155">
        <f ca="1">_xll.meDateYearFraction(H560,I560,$Q$11,TRUE)</f>
        <v>0.25555555555555554</v>
      </c>
      <c r="R560" s="150">
        <f ca="1">IF(NOW(),_xll.meCurveForwardRatesFromYearFraction(P560,Q560,$Q$11,$Q$9,$Q$10))</f>
        <v>-3.7175485397107962E-3</v>
      </c>
      <c r="S560" s="134" t="s">
        <v>4</v>
      </c>
    </row>
    <row r="561" spans="1:19" x14ac:dyDescent="0.25">
      <c r="A561" s="128">
        <v>545</v>
      </c>
      <c r="B561" s="133"/>
      <c r="C561" s="149">
        <f ca="1">_xll.meDateFromTenor(C560,"1D","FOLLOWING",$D$11,"NORMAL")</f>
        <v>43224</v>
      </c>
      <c r="D561" s="20">
        <f ca="1">_xll.meDateFromTenor(C561,"1D","Following",$D$11,"Normal")</f>
        <v>43228</v>
      </c>
      <c r="E561" s="99">
        <f ca="1"/>
        <v>9.9081009202595452E-3</v>
      </c>
      <c r="F561" s="161">
        <f ca="1">_xll.meCurveForwardRates(C561,$D$9,$D$10)</f>
        <v>9.9531666689560705E-3</v>
      </c>
      <c r="G561" s="7" t="s">
        <v>4</v>
      </c>
      <c r="H561" s="149">
        <f t="shared" ca="1" si="16"/>
        <v>43224</v>
      </c>
      <c r="I561" s="20">
        <f ca="1">_xll.meDateFromTenor(H561,"3M","Following",$I$11,"Normal")</f>
        <v>43318</v>
      </c>
      <c r="J561" s="150">
        <f ca="1"/>
        <v>1.2633888465233842E-2</v>
      </c>
      <c r="K561" s="7" t="s">
        <v>4</v>
      </c>
      <c r="L561" s="149" t="e">
        <f ca="1">_xll.meDateFromTenor(L560,"1D","FOLLOWING",#REF!,"NORMAL")</f>
        <v>#VALUE!</v>
      </c>
      <c r="M561" s="155">
        <f ca="1">_xll.meDateYearFraction(C561,D561,$M$11)</f>
        <v>1.1111111111111112E-2</v>
      </c>
      <c r="N561" s="150">
        <f ca="1"/>
        <v>-2.4300000000065936E-3</v>
      </c>
      <c r="O561" s="7" t="s">
        <v>4</v>
      </c>
      <c r="P561" s="149">
        <f t="shared" ca="1" si="17"/>
        <v>43224</v>
      </c>
      <c r="Q561" s="155">
        <f ca="1">_xll.meDateYearFraction(H561,I561,$Q$11,TRUE)</f>
        <v>0.26111111111111113</v>
      </c>
      <c r="R561" s="150">
        <f ca="1">IF(NOW(),_xll.meCurveForwardRatesFromYearFraction(P561,Q561,$Q$11,$Q$9,$Q$10))</f>
        <v>-3.033336321884148E-3</v>
      </c>
      <c r="S561" s="134" t="s">
        <v>4</v>
      </c>
    </row>
    <row r="562" spans="1:19" x14ac:dyDescent="0.25">
      <c r="A562" s="128">
        <v>546</v>
      </c>
      <c r="B562" s="133"/>
      <c r="C562" s="149">
        <f ca="1">_xll.meDateFromTenor(C561,"1D","FOLLOWING",$D$11,"NORMAL")</f>
        <v>43228</v>
      </c>
      <c r="D562" s="20">
        <f ca="1">_xll.meDateFromTenor(C562,"1D","Following",$D$11,"Normal")</f>
        <v>43229</v>
      </c>
      <c r="E562" s="99">
        <f ca="1"/>
        <v>9.9137982932529303E-3</v>
      </c>
      <c r="F562" s="161">
        <f ca="1">_xll.meCurveForwardRates(C562,$D$9,$D$10)</f>
        <v>9.9629649262769071E-3</v>
      </c>
      <c r="G562" s="7" t="s">
        <v>4</v>
      </c>
      <c r="H562" s="149">
        <f t="shared" ca="1" si="16"/>
        <v>43228</v>
      </c>
      <c r="I562" s="20">
        <f ca="1">_xll.meDateFromTenor(H562,"3M","Following",$I$11,"Normal")</f>
        <v>43320</v>
      </c>
      <c r="J562" s="150">
        <f ca="1"/>
        <v>1.2662793924089998E-2</v>
      </c>
      <c r="K562" s="7" t="s">
        <v>4</v>
      </c>
      <c r="L562" s="149" t="e">
        <f ca="1">_xll.meDateFromTenor(L561,"1D","FOLLOWING",#REF!,"NORMAL")</f>
        <v>#VALUE!</v>
      </c>
      <c r="M562" s="155">
        <f ca="1">_xll.meDateYearFraction(C562,D562,$M$11)</f>
        <v>2.7777777777777779E-3</v>
      </c>
      <c r="N562" s="150">
        <f ca="1"/>
        <v>-2.4300000000065936E-3</v>
      </c>
      <c r="O562" s="7" t="s">
        <v>4</v>
      </c>
      <c r="P562" s="149">
        <f t="shared" ca="1" si="17"/>
        <v>43228</v>
      </c>
      <c r="Q562" s="155">
        <f ca="1">_xll.meDateYearFraction(H562,I562,$Q$11,TRUE)</f>
        <v>0.25555555555555554</v>
      </c>
      <c r="R562" s="150">
        <f ca="1">IF(NOW(),_xll.meCurveForwardRatesFromYearFraction(P562,Q562,$Q$11,$Q$9,$Q$10))</f>
        <v>-3.7175485397107962E-3</v>
      </c>
      <c r="S562" s="134" t="s">
        <v>4</v>
      </c>
    </row>
    <row r="563" spans="1:19" x14ac:dyDescent="0.25">
      <c r="A563" s="128">
        <v>547</v>
      </c>
      <c r="B563" s="133"/>
      <c r="C563" s="149">
        <f ca="1">_xll.meDateFromTenor(C562,"1D","FOLLOWING",$D$11,"NORMAL")</f>
        <v>43229</v>
      </c>
      <c r="D563" s="20">
        <f ca="1">_xll.meDateFromTenor(C563,"1D","Following",$D$11,"Normal")</f>
        <v>43230</v>
      </c>
      <c r="E563" s="99">
        <f ca="1"/>
        <v>9.9163091686805052E-3</v>
      </c>
      <c r="F563" s="161">
        <f ca="1">_xll.meCurveForwardRates(C563,$D$9,$D$10)</f>
        <v>9.9655007508108184E-3</v>
      </c>
      <c r="G563" s="7" t="s">
        <v>4</v>
      </c>
      <c r="H563" s="149">
        <f t="shared" ca="1" si="16"/>
        <v>43229</v>
      </c>
      <c r="I563" s="20">
        <f ca="1">_xll.meDateFromTenor(H563,"3M","Following",$I$11,"Normal")</f>
        <v>43321</v>
      </c>
      <c r="J563" s="150">
        <f ca="1"/>
        <v>1.2670020288804037E-2</v>
      </c>
      <c r="K563" s="7" t="s">
        <v>4</v>
      </c>
      <c r="L563" s="149" t="e">
        <f ca="1">_xll.meDateFromTenor(L562,"1D","FOLLOWING",#REF!,"NORMAL")</f>
        <v>#VALUE!</v>
      </c>
      <c r="M563" s="155">
        <f ca="1">_xll.meDateYearFraction(C563,D563,$M$11)</f>
        <v>2.7777777777777779E-3</v>
      </c>
      <c r="N563" s="150">
        <f ca="1"/>
        <v>-2.4300000000065936E-3</v>
      </c>
      <c r="O563" s="7" t="s">
        <v>4</v>
      </c>
      <c r="P563" s="149">
        <f t="shared" ca="1" si="17"/>
        <v>43229</v>
      </c>
      <c r="Q563" s="155">
        <f ca="1">_xll.meDateYearFraction(H563,I563,$Q$11,TRUE)</f>
        <v>0.25555555555555554</v>
      </c>
      <c r="R563" s="150">
        <f ca="1">IF(NOW(),_xll.meCurveForwardRatesFromYearFraction(P563,Q563,$Q$11,$Q$9,$Q$10))</f>
        <v>-3.7175485397107962E-3</v>
      </c>
      <c r="S563" s="134" t="s">
        <v>4</v>
      </c>
    </row>
    <row r="564" spans="1:19" x14ac:dyDescent="0.25">
      <c r="A564" s="128">
        <v>548</v>
      </c>
      <c r="B564" s="133"/>
      <c r="C564" s="149">
        <f ca="1">_xll.meDateFromTenor(C563,"1D","FOLLOWING",$D$11,"NORMAL")</f>
        <v>43230</v>
      </c>
      <c r="D564" s="20">
        <f ca="1">_xll.meDateFromTenor(C564,"1D","Following",$D$11,"Normal")</f>
        <v>43231</v>
      </c>
      <c r="E564" s="99">
        <f ca="1"/>
        <v>9.9188542103778934E-3</v>
      </c>
      <c r="F564" s="161">
        <f ca="1">_xll.meCurveForwardRates(C564,$D$9,$D$10)</f>
        <v>9.9680710875840184E-3</v>
      </c>
      <c r="G564" s="7" t="s">
        <v>4</v>
      </c>
      <c r="H564" s="149">
        <f t="shared" ca="1" si="16"/>
        <v>43230</v>
      </c>
      <c r="I564" s="20">
        <f ca="1">_xll.meDateFromTenor(H564,"3M","Following",$I$11,"Normal")</f>
        <v>43322</v>
      </c>
      <c r="J564" s="150">
        <f ca="1"/>
        <v>1.2677246653518078E-2</v>
      </c>
      <c r="K564" s="7" t="s">
        <v>4</v>
      </c>
      <c r="L564" s="149" t="e">
        <f ca="1">_xll.meDateFromTenor(L563,"1D","FOLLOWING",#REF!,"NORMAL")</f>
        <v>#VALUE!</v>
      </c>
      <c r="M564" s="155">
        <f ca="1">_xll.meDateYearFraction(C564,D564,$M$11)</f>
        <v>2.7777777777777779E-3</v>
      </c>
      <c r="N564" s="150">
        <f ca="1"/>
        <v>-2.4300000000065936E-3</v>
      </c>
      <c r="O564" s="7" t="s">
        <v>4</v>
      </c>
      <c r="P564" s="149">
        <f t="shared" ca="1" si="17"/>
        <v>43230</v>
      </c>
      <c r="Q564" s="155">
        <f ca="1">_xll.meDateYearFraction(H564,I564,$Q$11,TRUE)</f>
        <v>0.25555555555555554</v>
      </c>
      <c r="R564" s="150">
        <f ca="1">IF(NOW(),_xll.meCurveForwardRatesFromYearFraction(P564,Q564,$Q$11,$Q$9,$Q$10))</f>
        <v>-3.0333611534099111E-3</v>
      </c>
      <c r="S564" s="134" t="s">
        <v>4</v>
      </c>
    </row>
    <row r="565" spans="1:19" x14ac:dyDescent="0.25">
      <c r="A565" s="128">
        <v>549</v>
      </c>
      <c r="B565" s="133"/>
      <c r="C565" s="149">
        <f ca="1">_xll.meDateFromTenor(C564,"1D","FOLLOWING",$D$11,"NORMAL")</f>
        <v>43231</v>
      </c>
      <c r="D565" s="20">
        <f ca="1">_xll.meDateFromTenor(C565,"1D","Following",$D$11,"Normal")</f>
        <v>43234</v>
      </c>
      <c r="E565" s="99">
        <f ca="1"/>
        <v>9.9243317779241016E-3</v>
      </c>
      <c r="F565" s="161">
        <f ca="1">_xll.meCurveForwardRates(C565,$D$9,$D$10)</f>
        <v>9.9706759408155765E-3</v>
      </c>
      <c r="G565" s="7" t="s">
        <v>4</v>
      </c>
      <c r="H565" s="149">
        <f t="shared" ca="1" si="16"/>
        <v>43231</v>
      </c>
      <c r="I565" s="20">
        <f ca="1">_xll.meDateFromTenor(H565,"3M","Following",$I$11,"Normal")</f>
        <v>43325</v>
      </c>
      <c r="J565" s="150">
        <f ca="1"/>
        <v>1.2684473018232115E-2</v>
      </c>
      <c r="K565" s="7" t="s">
        <v>4</v>
      </c>
      <c r="L565" s="149" t="e">
        <f ca="1">_xll.meDateFromTenor(L564,"1D","FOLLOWING",#REF!,"NORMAL")</f>
        <v>#VALUE!</v>
      </c>
      <c r="M565" s="155">
        <f ca="1">_xll.meDateYearFraction(C565,D565,$M$11)</f>
        <v>8.3333333333333332E-3</v>
      </c>
      <c r="N565" s="150">
        <f ca="1"/>
        <v>-2.4300000000065936E-3</v>
      </c>
      <c r="O565" s="7" t="s">
        <v>4</v>
      </c>
      <c r="P565" s="149">
        <f t="shared" ca="1" si="17"/>
        <v>43231</v>
      </c>
      <c r="Q565" s="155">
        <f ca="1">_xll.meDateYearFraction(H565,I565,$Q$11,TRUE)</f>
        <v>0.26111111111111113</v>
      </c>
      <c r="R565" s="150">
        <f ca="1">IF(NOW(),_xll.meCurveForwardRatesFromYearFraction(P565,Q565,$Q$11,$Q$9,$Q$10))</f>
        <v>-3.0333654067236887E-3</v>
      </c>
      <c r="S565" s="134" t="s">
        <v>4</v>
      </c>
    </row>
    <row r="566" spans="1:19" x14ac:dyDescent="0.25">
      <c r="A566" s="128">
        <v>550</v>
      </c>
      <c r="B566" s="133"/>
      <c r="C566" s="149">
        <f ca="1">_xll.meDateFromTenor(C565,"1D","FOLLOWING",$D$11,"NORMAL")</f>
        <v>43234</v>
      </c>
      <c r="D566" s="20">
        <f ca="1">_xll.meDateFromTenor(C566,"1D","Following",$D$11,"Normal")</f>
        <v>43235</v>
      </c>
      <c r="E566" s="99">
        <f ca="1"/>
        <v>9.9293761166841313E-3</v>
      </c>
      <c r="F566" s="161">
        <f ca="1">_xll.meCurveForwardRates(C566,$D$9,$D$10)</f>
        <v>9.9786976399640626E-3</v>
      </c>
      <c r="G566" s="7" t="s">
        <v>4</v>
      </c>
      <c r="H566" s="149">
        <f t="shared" ca="1" si="16"/>
        <v>43234</v>
      </c>
      <c r="I566" s="20">
        <f ca="1">_xll.meDateFromTenor(H566,"3M","Following",$I$11,"Normal")</f>
        <v>43326</v>
      </c>
      <c r="J566" s="150">
        <f ca="1"/>
        <v>1.270615211237423E-2</v>
      </c>
      <c r="K566" s="7" t="s">
        <v>4</v>
      </c>
      <c r="L566" s="149" t="e">
        <f ca="1">_xll.meDateFromTenor(L565,"1D","FOLLOWING",#REF!,"NORMAL")</f>
        <v>#VALUE!</v>
      </c>
      <c r="M566" s="155">
        <f ca="1">_xll.meDateYearFraction(C566,D566,$M$11)</f>
        <v>2.7777777777777779E-3</v>
      </c>
      <c r="N566" s="150">
        <f ca="1"/>
        <v>-2.4300000000065936E-3</v>
      </c>
      <c r="O566" s="7" t="s">
        <v>4</v>
      </c>
      <c r="P566" s="149">
        <f t="shared" ca="1" si="17"/>
        <v>43234</v>
      </c>
      <c r="Q566" s="155">
        <f ca="1">_xll.meDateYearFraction(H566,I566,$Q$11,TRUE)</f>
        <v>0.25555555555555554</v>
      </c>
      <c r="R566" s="150">
        <f ca="1">IF(NOW(),_xll.meCurveForwardRatesFromYearFraction(P566,Q566,$Q$11,$Q$9,$Q$10))</f>
        <v>-3.7175485397107962E-3</v>
      </c>
      <c r="S566" s="134" t="s">
        <v>4</v>
      </c>
    </row>
    <row r="567" spans="1:19" x14ac:dyDescent="0.25">
      <c r="A567" s="128">
        <v>551</v>
      </c>
      <c r="B567" s="133"/>
      <c r="C567" s="149">
        <f ca="1">_xll.meDateFromTenor(C566,"1D","FOLLOWING",$D$11,"NORMAL")</f>
        <v>43235</v>
      </c>
      <c r="D567" s="20">
        <f ca="1">_xll.meDateFromTenor(C567,"1D","Following",$D$11,"Normal")</f>
        <v>43236</v>
      </c>
      <c r="E567" s="99">
        <f ca="1"/>
        <v>9.9320920471246757E-3</v>
      </c>
      <c r="F567" s="161">
        <f ca="1">_xll.meCurveForwardRates(C567,$D$9,$D$10)</f>
        <v>9.9814405999125722E-3</v>
      </c>
      <c r="G567" s="7" t="s">
        <v>4</v>
      </c>
      <c r="H567" s="149">
        <f t="shared" ca="1" si="16"/>
        <v>43235</v>
      </c>
      <c r="I567" s="20">
        <f ca="1">_xll.meDateFromTenor(H567,"3M","Following",$I$11,"Normal")</f>
        <v>43327</v>
      </c>
      <c r="J567" s="150">
        <f ca="1"/>
        <v>1.2713378477088269E-2</v>
      </c>
      <c r="K567" s="7" t="s">
        <v>4</v>
      </c>
      <c r="L567" s="149" t="e">
        <f ca="1">_xll.meDateFromTenor(L566,"1D","FOLLOWING",#REF!,"NORMAL")</f>
        <v>#VALUE!</v>
      </c>
      <c r="M567" s="155">
        <f ca="1">_xll.meDateYearFraction(C567,D567,$M$11)</f>
        <v>2.7777777777777779E-3</v>
      </c>
      <c r="N567" s="150">
        <f ca="1"/>
        <v>-2.4300000000065936E-3</v>
      </c>
      <c r="O567" s="7" t="s">
        <v>4</v>
      </c>
      <c r="P567" s="149">
        <f t="shared" ca="1" si="17"/>
        <v>43235</v>
      </c>
      <c r="Q567" s="155">
        <f ca="1">_xll.meDateYearFraction(H567,I567,$Q$11,TRUE)</f>
        <v>0.25555555555555554</v>
      </c>
      <c r="R567" s="150">
        <f ca="1">IF(NOW(),_xll.meCurveForwardRatesFromYearFraction(P567,Q567,$Q$11,$Q$9,$Q$10))</f>
        <v>-3.7175485397107962E-3</v>
      </c>
      <c r="S567" s="134" t="s">
        <v>4</v>
      </c>
    </row>
    <row r="568" spans="1:19" x14ac:dyDescent="0.25">
      <c r="A568" s="128">
        <v>552</v>
      </c>
      <c r="B568" s="133"/>
      <c r="C568" s="149">
        <f ca="1">_xll.meDateFromTenor(C567,"1D","FOLLOWING",$D$11,"NORMAL")</f>
        <v>43236</v>
      </c>
      <c r="D568" s="20">
        <f ca="1">_xll.meDateFromTenor(C568,"1D","Following",$D$11,"Normal")</f>
        <v>43237</v>
      </c>
      <c r="E568" s="99">
        <f ca="1"/>
        <v>9.934842166776682E-3</v>
      </c>
      <c r="F568" s="161">
        <f ca="1">_xll.meCurveForwardRates(C568,$D$9,$D$10)</f>
        <v>9.9842180969003103E-3</v>
      </c>
      <c r="G568" s="7" t="s">
        <v>4</v>
      </c>
      <c r="H568" s="149">
        <f t="shared" ca="1" si="16"/>
        <v>43236</v>
      </c>
      <c r="I568" s="20">
        <f ca="1">_xll.meDateFromTenor(H568,"3M","Following",$I$11,"Normal")</f>
        <v>43328</v>
      </c>
      <c r="J568" s="150">
        <f ca="1"/>
        <v>1.2720604841802308E-2</v>
      </c>
      <c r="K568" s="7" t="s">
        <v>4</v>
      </c>
      <c r="L568" s="149" t="e">
        <f ca="1">_xll.meDateFromTenor(L567,"1D","FOLLOWING",#REF!,"NORMAL")</f>
        <v>#VALUE!</v>
      </c>
      <c r="M568" s="155">
        <f ca="1">_xll.meDateYearFraction(C568,D568,$M$11)</f>
        <v>2.7777777777777779E-3</v>
      </c>
      <c r="N568" s="150">
        <f ca="1"/>
        <v>-2.4300000000065936E-3</v>
      </c>
      <c r="O568" s="7" t="s">
        <v>4</v>
      </c>
      <c r="P568" s="149">
        <f t="shared" ca="1" si="17"/>
        <v>43236</v>
      </c>
      <c r="Q568" s="155">
        <f ca="1">_xll.meDateYearFraction(H568,I568,$Q$11,TRUE)</f>
        <v>0.25555555555555554</v>
      </c>
      <c r="R568" s="150">
        <f ca="1">IF(NOW(),_xll.meCurveForwardRatesFromYearFraction(P568,Q568,$Q$11,$Q$9,$Q$10))</f>
        <v>-3.0333870103804463E-3</v>
      </c>
      <c r="S568" s="134" t="s">
        <v>4</v>
      </c>
    </row>
    <row r="569" spans="1:19" x14ac:dyDescent="0.25">
      <c r="A569" s="128">
        <v>553</v>
      </c>
      <c r="B569" s="133"/>
      <c r="C569" s="149">
        <f ca="1">_xll.meDateFromTenor(C568,"1D","FOLLOWING",$D$11,"NORMAL")</f>
        <v>43237</v>
      </c>
      <c r="D569" s="20">
        <f ca="1">_xll.meDateFromTenor(C569,"1D","Following",$D$11,"Normal")</f>
        <v>43238</v>
      </c>
      <c r="E569" s="99">
        <f ca="1"/>
        <v>9.9376264794770811E-3</v>
      </c>
      <c r="F569" s="161">
        <f ca="1">_xll.meCurveForwardRates(C569,$D$9,$D$10)</f>
        <v>9.9870301350866164E-3</v>
      </c>
      <c r="G569" s="7" t="s">
        <v>4</v>
      </c>
      <c r="H569" s="149">
        <f t="shared" ca="1" si="16"/>
        <v>43237</v>
      </c>
      <c r="I569" s="20">
        <f ca="1">_xll.meDateFromTenor(H569,"3M","Following",$I$11,"Normal")</f>
        <v>43329</v>
      </c>
      <c r="J569" s="150">
        <f ca="1"/>
        <v>1.2727831206516349E-2</v>
      </c>
      <c r="K569" s="7" t="s">
        <v>4</v>
      </c>
      <c r="L569" s="149" t="e">
        <f ca="1">_xll.meDateFromTenor(L568,"1D","FOLLOWING",#REF!,"NORMAL")</f>
        <v>#VALUE!</v>
      </c>
      <c r="M569" s="155">
        <f ca="1">_xll.meDateYearFraction(C569,D569,$M$11)</f>
        <v>2.7777777777777779E-3</v>
      </c>
      <c r="N569" s="150">
        <f ca="1"/>
        <v>-2.4300000000065936E-3</v>
      </c>
      <c r="O569" s="7" t="s">
        <v>4</v>
      </c>
      <c r="P569" s="149">
        <f t="shared" ca="1" si="17"/>
        <v>43237</v>
      </c>
      <c r="Q569" s="155">
        <f ca="1">_xll.meDateYearFraction(H569,I569,$Q$11,TRUE)</f>
        <v>0.25555555555555554</v>
      </c>
      <c r="R569" s="150">
        <f ca="1">IF(NOW(),_xll.meCurveForwardRatesFromYearFraction(P569,Q569,$Q$11,$Q$9,$Q$10))</f>
        <v>-3.0333913804932149E-3</v>
      </c>
      <c r="S569" s="134" t="s">
        <v>4</v>
      </c>
    </row>
    <row r="570" spans="1:19" x14ac:dyDescent="0.25">
      <c r="A570" s="128">
        <v>554</v>
      </c>
      <c r="B570" s="133"/>
      <c r="C570" s="149">
        <f ca="1">_xll.meDateFromTenor(C569,"1D","FOLLOWING",$D$11,"NORMAL")</f>
        <v>43238</v>
      </c>
      <c r="D570" s="20">
        <f ca="1">_xll.meDateFromTenor(C570,"1D","Following",$D$11,"Normal")</f>
        <v>43241</v>
      </c>
      <c r="E570" s="99">
        <f ca="1"/>
        <v>9.9435837405348684E-3</v>
      </c>
      <c r="F570" s="161">
        <f ca="1">_xll.meCurveForwardRates(C570,$D$9,$D$10)</f>
        <v>9.9898767186343829E-3</v>
      </c>
      <c r="G570" s="7" t="s">
        <v>4</v>
      </c>
      <c r="H570" s="149">
        <f t="shared" ca="1" si="16"/>
        <v>43238</v>
      </c>
      <c r="I570" s="20">
        <f ca="1">_xll.meDateFromTenor(H570,"3M","Following",$I$11,"Normal")</f>
        <v>43332</v>
      </c>
      <c r="J570" s="150">
        <f ca="1"/>
        <v>1.2735057571230389E-2</v>
      </c>
      <c r="K570" s="7" t="s">
        <v>4</v>
      </c>
      <c r="L570" s="149" t="e">
        <f ca="1">_xll.meDateFromTenor(L569,"1D","FOLLOWING",#REF!,"NORMAL")</f>
        <v>#VALUE!</v>
      </c>
      <c r="M570" s="155">
        <f ca="1">_xll.meDateYearFraction(C570,D570,$M$11)</f>
        <v>8.3333333333333332E-3</v>
      </c>
      <c r="N570" s="150">
        <f ca="1"/>
        <v>-2.4300000000065936E-3</v>
      </c>
      <c r="O570" s="7" t="s">
        <v>4</v>
      </c>
      <c r="P570" s="149">
        <f t="shared" ca="1" si="17"/>
        <v>43238</v>
      </c>
      <c r="Q570" s="155">
        <f ca="1">_xll.meDateYearFraction(H570,I570,$Q$11,TRUE)</f>
        <v>0.26111111111111113</v>
      </c>
      <c r="R570" s="150">
        <f ca="1">IF(NOW(),_xll.meCurveForwardRatesFromYearFraction(P570,Q570,$Q$11,$Q$9,$Q$10))</f>
        <v>-3.0333957610544048E-3</v>
      </c>
      <c r="S570" s="134" t="s">
        <v>4</v>
      </c>
    </row>
    <row r="571" spans="1:19" x14ac:dyDescent="0.25">
      <c r="A571" s="128">
        <v>555</v>
      </c>
      <c r="B571" s="133"/>
      <c r="C571" s="149">
        <f ca="1">_xll.meDateFromTenor(C570,"1D","FOLLOWING",$D$11,"NORMAL")</f>
        <v>43241</v>
      </c>
      <c r="D571" s="20">
        <f ca="1">_xll.meDateFromTenor(C571,"1D","Following",$D$11,"Normal")</f>
        <v>43242</v>
      </c>
      <c r="E571" s="99">
        <f ca="1"/>
        <v>9.9491057371814753E-3</v>
      </c>
      <c r="F571" s="161">
        <f ca="1">_xll.meCurveForwardRates(C571,$D$9,$D$10)</f>
        <v>9.9986237828049163E-3</v>
      </c>
      <c r="G571" s="7" t="s">
        <v>4</v>
      </c>
      <c r="H571" s="149">
        <f t="shared" ca="1" si="16"/>
        <v>43241</v>
      </c>
      <c r="I571" s="20">
        <f ca="1">_xll.meDateFromTenor(H571,"3M","Following",$I$11,"Normal")</f>
        <v>43333</v>
      </c>
      <c r="J571" s="150">
        <f ca="1"/>
        <v>1.2756736665372505E-2</v>
      </c>
      <c r="K571" s="7" t="s">
        <v>4</v>
      </c>
      <c r="L571" s="149" t="e">
        <f ca="1">_xll.meDateFromTenor(L570,"1D","FOLLOWING",#REF!,"NORMAL")</f>
        <v>#VALUE!</v>
      </c>
      <c r="M571" s="155">
        <f ca="1">_xll.meDateYearFraction(C571,D571,$M$11)</f>
        <v>2.7777777777777779E-3</v>
      </c>
      <c r="N571" s="150">
        <f ca="1"/>
        <v>-2.4300000000065936E-3</v>
      </c>
      <c r="O571" s="7" t="s">
        <v>4</v>
      </c>
      <c r="P571" s="149">
        <f t="shared" ca="1" si="17"/>
        <v>43241</v>
      </c>
      <c r="Q571" s="155">
        <f ca="1">_xll.meDateYearFraction(H571,I571,$Q$11,TRUE)</f>
        <v>0.25555555555555554</v>
      </c>
      <c r="R571" s="150">
        <f ca="1">IF(NOW(),_xll.meCurveForwardRatesFromYearFraction(P571,Q571,$Q$11,$Q$9,$Q$10))</f>
        <v>-3.0334089396625561E-3</v>
      </c>
      <c r="S571" s="134" t="s">
        <v>4</v>
      </c>
    </row>
    <row r="572" spans="1:19" x14ac:dyDescent="0.25">
      <c r="A572" s="128">
        <v>556</v>
      </c>
      <c r="B572" s="133"/>
      <c r="C572" s="149">
        <f ca="1">_xll.meDateFromTenor(C571,"1D","FOLLOWING",$D$11,"NORMAL")</f>
        <v>43242</v>
      </c>
      <c r="D572" s="20">
        <f ca="1">_xll.meDateFromTenor(C572,"1D","Following",$D$11,"Normal")</f>
        <v>43243</v>
      </c>
      <c r="E572" s="99">
        <f ca="1"/>
        <v>9.9520610725179273E-3</v>
      </c>
      <c r="F572" s="161">
        <f ca="1">_xll.meCurveForwardRates(C572,$D$9,$D$10)</f>
        <v>1.0001608589336408E-2</v>
      </c>
      <c r="G572" s="7" t="s">
        <v>4</v>
      </c>
      <c r="H572" s="149">
        <f t="shared" ca="1" si="16"/>
        <v>43242</v>
      </c>
      <c r="I572" s="20">
        <f ca="1">_xll.meDateFromTenor(H572,"3M","Following",$I$11,"Normal")</f>
        <v>43334</v>
      </c>
      <c r="J572" s="150">
        <f ca="1"/>
        <v>1.2763963030086544E-2</v>
      </c>
      <c r="K572" s="7" t="s">
        <v>4</v>
      </c>
      <c r="L572" s="149" t="e">
        <f ca="1">_xll.meDateFromTenor(L571,"1D","FOLLOWING",#REF!,"NORMAL")</f>
        <v>#VALUE!</v>
      </c>
      <c r="M572" s="155">
        <f ca="1">_xll.meDateYearFraction(C572,D572,$M$11)</f>
        <v>2.7777777777777779E-3</v>
      </c>
      <c r="N572" s="150">
        <f ca="1"/>
        <v>-2.4300000000065936E-3</v>
      </c>
      <c r="O572" s="7" t="s">
        <v>4</v>
      </c>
      <c r="P572" s="149">
        <f t="shared" ca="1" si="17"/>
        <v>43242</v>
      </c>
      <c r="Q572" s="155">
        <f ca="1">_xll.meDateYearFraction(H572,I572,$Q$11,TRUE)</f>
        <v>0.25555555555555554</v>
      </c>
      <c r="R572" s="150">
        <f ca="1">IF(NOW(),_xll.meCurveForwardRatesFromYearFraction(P572,Q572,$Q$11,$Q$9,$Q$10))</f>
        <v>-3.7175485397107962E-3</v>
      </c>
      <c r="S572" s="134" t="s">
        <v>4</v>
      </c>
    </row>
    <row r="573" spans="1:19" x14ac:dyDescent="0.25">
      <c r="A573" s="128">
        <v>557</v>
      </c>
      <c r="B573" s="133"/>
      <c r="C573" s="149">
        <f ca="1">_xll.meDateFromTenor(C572,"1D","FOLLOWING",$D$11,"NORMAL")</f>
        <v>43243</v>
      </c>
      <c r="D573" s="20">
        <f ca="1">_xll.meDateFromTenor(C573,"1D","Following",$D$11,"Normal")</f>
        <v>43244</v>
      </c>
      <c r="E573" s="99">
        <f ca="1"/>
        <v>9.9543650886957727E-3</v>
      </c>
      <c r="F573" s="161">
        <f ca="1">_xll.meCurveForwardRates(C573,$D$9,$D$10)</f>
        <v>1.0003935587726609E-2</v>
      </c>
      <c r="G573" s="7" t="s">
        <v>4</v>
      </c>
      <c r="H573" s="149">
        <f t="shared" ca="1" si="16"/>
        <v>43243</v>
      </c>
      <c r="I573" s="20">
        <f ca="1">_xll.meDateFromTenor(H573,"3M","Following",$I$11,"Normal")</f>
        <v>43335</v>
      </c>
      <c r="J573" s="150">
        <f ca="1"/>
        <v>1.2790506831577068E-2</v>
      </c>
      <c r="K573" s="7" t="s">
        <v>4</v>
      </c>
      <c r="L573" s="149" t="e">
        <f ca="1">_xll.meDateFromTenor(L572,"1D","FOLLOWING",#REF!,"NORMAL")</f>
        <v>#VALUE!</v>
      </c>
      <c r="M573" s="155">
        <f ca="1">_xll.meDateYearFraction(C573,D573,$M$11)</f>
        <v>2.7777777777777779E-3</v>
      </c>
      <c r="N573" s="150">
        <f ca="1"/>
        <v>-2.4300000000065936E-3</v>
      </c>
      <c r="O573" s="7" t="s">
        <v>4</v>
      </c>
      <c r="P573" s="149">
        <f t="shared" ca="1" si="17"/>
        <v>43243</v>
      </c>
      <c r="Q573" s="155">
        <f ca="1">_xll.meDateYearFraction(H573,I573,$Q$11,TRUE)</f>
        <v>0.25555555555555554</v>
      </c>
      <c r="R573" s="150">
        <f ca="1">IF(NOW(),_xll.meCurveForwardRatesFromYearFraction(P573,Q573,$Q$11,$Q$9,$Q$10))</f>
        <v>-3.0332713786441878E-3</v>
      </c>
      <c r="S573" s="134" t="s">
        <v>4</v>
      </c>
    </row>
    <row r="574" spans="1:19" x14ac:dyDescent="0.25">
      <c r="A574" s="128">
        <v>558</v>
      </c>
      <c r="B574" s="133"/>
      <c r="C574" s="149">
        <f ca="1">_xll.meDateFromTenor(C573,"1D","FOLLOWING",$D$11,"NORMAL")</f>
        <v>43244</v>
      </c>
      <c r="D574" s="20">
        <f ca="1">_xll.meDateFromTenor(C574,"1D","Following",$D$11,"Normal")</f>
        <v>43245</v>
      </c>
      <c r="E574" s="99">
        <f ca="1"/>
        <v>9.9560028146506233E-3</v>
      </c>
      <c r="F574" s="161">
        <f ca="1">_xll.meCurveForwardRates(C574,$D$9,$D$10)</f>
        <v>1.0005589653000468E-2</v>
      </c>
      <c r="G574" s="7" t="s">
        <v>4</v>
      </c>
      <c r="H574" s="149">
        <f t="shared" ca="1" si="16"/>
        <v>43244</v>
      </c>
      <c r="I574" s="20">
        <f ca="1">_xll.meDateFromTenor(H574,"3M","Following",$I$11,"Normal")</f>
        <v>43336</v>
      </c>
      <c r="J574" s="150">
        <f ca="1"/>
        <v>1.2778415759514623E-2</v>
      </c>
      <c r="K574" s="7" t="s">
        <v>4</v>
      </c>
      <c r="L574" s="149" t="e">
        <f ca="1">_xll.meDateFromTenor(L573,"1D","FOLLOWING",#REF!,"NORMAL")</f>
        <v>#VALUE!</v>
      </c>
      <c r="M574" s="155">
        <f ca="1">_xll.meDateYearFraction(C574,D574,$M$11)</f>
        <v>2.7777777777777779E-3</v>
      </c>
      <c r="N574" s="150">
        <f ca="1"/>
        <v>-2.4300000000065936E-3</v>
      </c>
      <c r="O574" s="7" t="s">
        <v>4</v>
      </c>
      <c r="P574" s="149">
        <f t="shared" ca="1" si="17"/>
        <v>43244</v>
      </c>
      <c r="Q574" s="155">
        <f ca="1">_xll.meDateYearFraction(H574,I574,$Q$11,TRUE)</f>
        <v>0.25555555555555554</v>
      </c>
      <c r="R574" s="150">
        <f ca="1">IF(NOW(),_xll.meCurveForwardRatesFromYearFraction(P574,Q574,$Q$11,$Q$9,$Q$10))</f>
        <v>-3.7175485397107962E-3</v>
      </c>
      <c r="S574" s="134" t="s">
        <v>4</v>
      </c>
    </row>
    <row r="575" spans="1:19" x14ac:dyDescent="0.25">
      <c r="A575" s="128">
        <v>559</v>
      </c>
      <c r="B575" s="133"/>
      <c r="C575" s="149">
        <f ca="1">_xll.meDateFromTenor(C574,"1D","FOLLOWING",$D$11,"NORMAL")</f>
        <v>43245</v>
      </c>
      <c r="D575" s="20">
        <f ca="1">_xll.meDateFromTenor(C575,"1D","Following",$D$11,"Normal")</f>
        <v>43249</v>
      </c>
      <c r="E575" s="99">
        <f ca="1"/>
        <v>9.9605692930860093E-3</v>
      </c>
      <c r="F575" s="161">
        <f ca="1">_xll.meCurveForwardRates(C575,$D$9,$D$10)</f>
        <v>1.0007255597962228E-2</v>
      </c>
      <c r="G575" s="7" t="s">
        <v>4</v>
      </c>
      <c r="H575" s="149">
        <f t="shared" ca="1" si="16"/>
        <v>43245</v>
      </c>
      <c r="I575" s="20">
        <f ca="1">_xll.meDateFromTenor(H575,"3M","Following",$I$11,"Normal")</f>
        <v>43340</v>
      </c>
      <c r="J575" s="150">
        <f ca="1"/>
        <v>1.278564212422866E-2</v>
      </c>
      <c r="K575" s="7" t="s">
        <v>4</v>
      </c>
      <c r="L575" s="149" t="e">
        <f ca="1">_xll.meDateFromTenor(L574,"1D","FOLLOWING",#REF!,"NORMAL")</f>
        <v>#VALUE!</v>
      </c>
      <c r="M575" s="155">
        <f ca="1">_xll.meDateYearFraction(C575,D575,$M$11)</f>
        <v>1.1111111111111112E-2</v>
      </c>
      <c r="N575" s="150">
        <f ca="1"/>
        <v>-2.4300000000065936E-3</v>
      </c>
      <c r="O575" s="7" t="s">
        <v>4</v>
      </c>
      <c r="P575" s="149">
        <f t="shared" ca="1" si="17"/>
        <v>43245</v>
      </c>
      <c r="Q575" s="155">
        <f ca="1">_xll.meDateYearFraction(H575,I575,$Q$11,TRUE)</f>
        <v>0.2638888888888889</v>
      </c>
      <c r="R575" s="150">
        <f ca="1">IF(NOW(),_xll.meCurveForwardRatesFromYearFraction(P575,Q575,$Q$11,$Q$9,$Q$10))</f>
        <v>-3.7175485397107962E-3</v>
      </c>
      <c r="S575" s="134" t="s">
        <v>4</v>
      </c>
    </row>
    <row r="576" spans="1:19" x14ac:dyDescent="0.25">
      <c r="A576" s="128">
        <v>560</v>
      </c>
      <c r="B576" s="133"/>
      <c r="C576" s="149">
        <f ca="1">_xll.meDateFromTenor(C575,"1D","FOLLOWING",$D$11,"NORMAL")</f>
        <v>43249</v>
      </c>
      <c r="D576" s="20">
        <f ca="1">_xll.meDateFromTenor(C576,"1D","Following",$D$11,"Normal")</f>
        <v>43250</v>
      </c>
      <c r="E576" s="99">
        <f ca="1"/>
        <v>9.9643678648231662E-3</v>
      </c>
      <c r="F576" s="161">
        <f ca="1">_xll.meCurveForwardRates(C576,$D$9,$D$10)</f>
        <v>1.0014038202021291E-2</v>
      </c>
      <c r="G576" s="7" t="s">
        <v>4</v>
      </c>
      <c r="H576" s="149">
        <f t="shared" ca="1" si="16"/>
        <v>43249</v>
      </c>
      <c r="I576" s="20">
        <f ca="1">_xll.meDateFromTenor(H576,"3M","Following",$I$11,"Normal")</f>
        <v>43341</v>
      </c>
      <c r="J576" s="150">
        <f ca="1"/>
        <v>1.2814547583084817E-2</v>
      </c>
      <c r="K576" s="7" t="s">
        <v>4</v>
      </c>
      <c r="L576" s="149" t="e">
        <f ca="1">_xll.meDateFromTenor(L575,"1D","FOLLOWING",#REF!,"NORMAL")</f>
        <v>#VALUE!</v>
      </c>
      <c r="M576" s="155">
        <f ca="1">_xll.meDateYearFraction(C576,D576,$M$11)</f>
        <v>2.7777777777777779E-3</v>
      </c>
      <c r="N576" s="150">
        <f ca="1"/>
        <v>-2.4300000000065936E-3</v>
      </c>
      <c r="O576" s="7" t="s">
        <v>4</v>
      </c>
      <c r="P576" s="149">
        <f t="shared" ca="1" si="17"/>
        <v>43249</v>
      </c>
      <c r="Q576" s="155">
        <f ca="1">_xll.meDateYearFraction(H576,I576,$Q$11,TRUE)</f>
        <v>0.25555555555555554</v>
      </c>
      <c r="R576" s="150">
        <f ca="1">IF(NOW(),_xll.meCurveForwardRatesFromYearFraction(P576,Q576,$Q$11,$Q$9,$Q$10))</f>
        <v>-3.7175485397107962E-3</v>
      </c>
      <c r="S576" s="134" t="s">
        <v>4</v>
      </c>
    </row>
    <row r="577" spans="1:19" x14ac:dyDescent="0.25">
      <c r="A577" s="128">
        <v>561</v>
      </c>
      <c r="B577" s="133"/>
      <c r="C577" s="149">
        <f ca="1">_xll.meDateFromTenor(C576,"1D","FOLLOWING",$D$11,"NORMAL")</f>
        <v>43250</v>
      </c>
      <c r="D577" s="20">
        <f ca="1">_xll.meDateFromTenor(C577,"1D","Following",$D$11,"Normal")</f>
        <v>43251</v>
      </c>
      <c r="E577" s="99">
        <f ca="1"/>
        <v>9.9660761681619539E-3</v>
      </c>
      <c r="F577" s="161">
        <f ca="1">_xll.meCurveForwardRates(C577,$D$9,$D$10)</f>
        <v>1.0015763566088465E-2</v>
      </c>
      <c r="G577" s="7" t="s">
        <v>4</v>
      </c>
      <c r="H577" s="149">
        <f t="shared" ca="1" si="16"/>
        <v>43250</v>
      </c>
      <c r="I577" s="20">
        <f ca="1">_xll.meDateFromTenor(H577,"3M","Following",$I$11,"Normal")</f>
        <v>43342</v>
      </c>
      <c r="J577" s="150">
        <f ca="1"/>
        <v>1.2821773947798855E-2</v>
      </c>
      <c r="K577" s="7" t="s">
        <v>4</v>
      </c>
      <c r="L577" s="149" t="e">
        <f ca="1">_xll.meDateFromTenor(L576,"1D","FOLLOWING",#REF!,"NORMAL")</f>
        <v>#VALUE!</v>
      </c>
      <c r="M577" s="155">
        <f ca="1">_xll.meDateYearFraction(C577,D577,$M$11)</f>
        <v>2.7777777777777779E-3</v>
      </c>
      <c r="N577" s="150">
        <f ca="1"/>
        <v>-2.4300000000065936E-3</v>
      </c>
      <c r="O577" s="7" t="s">
        <v>4</v>
      </c>
      <c r="P577" s="149">
        <f t="shared" ca="1" si="17"/>
        <v>43250</v>
      </c>
      <c r="Q577" s="155">
        <f ca="1">_xll.meDateYearFraction(H577,I577,$Q$11,TRUE)</f>
        <v>0.25555555555555554</v>
      </c>
      <c r="R577" s="150">
        <f ca="1">IF(NOW(),_xll.meCurveForwardRatesFromYearFraction(P577,Q577,$Q$11,$Q$9,$Q$10))</f>
        <v>-3.0317218708318361E-3</v>
      </c>
      <c r="S577" s="134" t="s">
        <v>4</v>
      </c>
    </row>
    <row r="578" spans="1:19" x14ac:dyDescent="0.25">
      <c r="A578" s="128">
        <v>562</v>
      </c>
      <c r="B578" s="133"/>
      <c r="C578" s="149">
        <f ca="1">_xll.meDateFromTenor(C577,"1D","FOLLOWING",$D$11,"NORMAL")</f>
        <v>43251</v>
      </c>
      <c r="D578" s="20">
        <f ca="1">_xll.meDateFromTenor(C578,"1D","Following",$D$11,"Normal")</f>
        <v>43252</v>
      </c>
      <c r="E578" s="99">
        <f ca="1"/>
        <v>9.9677962388862139E-3</v>
      </c>
      <c r="F578" s="161">
        <f ca="1">_xll.meCurveForwardRates(C578,$D$9,$D$10)</f>
        <v>1.0017500818031211E-2</v>
      </c>
      <c r="G578" s="7" t="s">
        <v>4</v>
      </c>
      <c r="H578" s="149">
        <f t="shared" ca="1" si="16"/>
        <v>43251</v>
      </c>
      <c r="I578" s="20">
        <f ca="1">_xll.meDateFromTenor(H578,"3M","Following",$I$11,"Normal")</f>
        <v>43343</v>
      </c>
      <c r="J578" s="150">
        <f ca="1"/>
        <v>1.2829000312512894E-2</v>
      </c>
      <c r="K578" s="7" t="s">
        <v>4</v>
      </c>
      <c r="L578" s="149" t="e">
        <f ca="1">_xll.meDateFromTenor(L577,"1D","FOLLOWING",#REF!,"NORMAL")</f>
        <v>#VALUE!</v>
      </c>
      <c r="M578" s="155">
        <f ca="1">_xll.meDateYearFraction(C578,D578,$M$11)</f>
        <v>2.7777777777777779E-3</v>
      </c>
      <c r="N578" s="150">
        <f ca="1"/>
        <v>-2.4300000000065936E-3</v>
      </c>
      <c r="O578" s="7" t="s">
        <v>4</v>
      </c>
      <c r="P578" s="149">
        <f t="shared" ca="1" si="17"/>
        <v>43251</v>
      </c>
      <c r="Q578" s="155">
        <f ca="1">_xll.meDateYearFraction(H578,I578,$Q$11,TRUE)</f>
        <v>0.25555555555555554</v>
      </c>
      <c r="R578" s="150">
        <f ca="1">IF(NOW(),_xll.meCurveForwardRatesFromYearFraction(P578,Q578,$Q$11,$Q$9,$Q$10))</f>
        <v>-3.7175485397107962E-3</v>
      </c>
      <c r="S578" s="134" t="s">
        <v>4</v>
      </c>
    </row>
    <row r="579" spans="1:19" x14ac:dyDescent="0.25">
      <c r="A579" s="128">
        <v>563</v>
      </c>
      <c r="B579" s="133"/>
      <c r="C579" s="149">
        <f ca="1">_xll.meDateFromTenor(C578,"1D","FOLLOWING",$D$11,"NORMAL")</f>
        <v>43252</v>
      </c>
      <c r="D579" s="20">
        <f ca="1">_xll.meDateFromTenor(C579,"1D","Following",$D$11,"Normal")</f>
        <v>43255</v>
      </c>
      <c r="E579" s="99">
        <f ca="1"/>
        <v>9.971551798990709E-3</v>
      </c>
      <c r="F579" s="161">
        <f ca="1">_xll.meCurveForwardRates(C579,$D$9,$D$10)</f>
        <v>1.0019249959529741E-2</v>
      </c>
      <c r="G579" s="7" t="s">
        <v>4</v>
      </c>
      <c r="H579" s="149">
        <f t="shared" ca="1" si="16"/>
        <v>43252</v>
      </c>
      <c r="I579" s="20">
        <f ca="1">_xll.meDateFromTenor(H579,"3M","Following",$I$11,"Normal")</f>
        <v>43347</v>
      </c>
      <c r="J579" s="150">
        <f ca="1"/>
        <v>1.2836226677226932E-2</v>
      </c>
      <c r="K579" s="7" t="s">
        <v>4</v>
      </c>
      <c r="L579" s="149" t="e">
        <f ca="1">_xll.meDateFromTenor(L578,"1D","FOLLOWING",#REF!,"NORMAL")</f>
        <v>#VALUE!</v>
      </c>
      <c r="M579" s="155">
        <f ca="1">_xll.meDateYearFraction(C579,D579,$M$11)</f>
        <v>8.3333333333333332E-3</v>
      </c>
      <c r="N579" s="150">
        <f ca="1"/>
        <v>-2.4300000000065936E-3</v>
      </c>
      <c r="O579" s="7" t="s">
        <v>4</v>
      </c>
      <c r="P579" s="149">
        <f t="shared" ca="1" si="17"/>
        <v>43252</v>
      </c>
      <c r="Q579" s="155">
        <f ca="1">_xll.meDateYearFraction(H579,I579,$Q$11,TRUE)</f>
        <v>0.2638888888888889</v>
      </c>
      <c r="R579" s="150">
        <f ca="1">IF(NOW(),_xll.meCurveForwardRatesFromYearFraction(P579,Q579,$Q$11,$Q$9,$Q$10))</f>
        <v>-3.0312791543140221E-3</v>
      </c>
      <c r="S579" s="134" t="s">
        <v>4</v>
      </c>
    </row>
    <row r="580" spans="1:19" x14ac:dyDescent="0.25">
      <c r="A580" s="128">
        <v>564</v>
      </c>
      <c r="B580" s="133"/>
      <c r="C580" s="149">
        <f ca="1">_xll.meDateFromTenor(C579,"1D","FOLLOWING",$D$11,"NORMAL")</f>
        <v>43255</v>
      </c>
      <c r="D580" s="20">
        <f ca="1">_xll.meDateFromTenor(C580,"1D","Following",$D$11,"Normal")</f>
        <v>43256</v>
      </c>
      <c r="E580" s="99">
        <f ca="1"/>
        <v>9.974794223639484E-3</v>
      </c>
      <c r="F580" s="161">
        <f ca="1">_xll.meCurveForwardRates(C580,$D$9,$D$10)</f>
        <v>1.0024568734065431E-2</v>
      </c>
      <c r="G580" s="7" t="s">
        <v>4</v>
      </c>
      <c r="H580" s="149">
        <f t="shared" ca="1" si="16"/>
        <v>43255</v>
      </c>
      <c r="I580" s="20">
        <f ca="1">_xll.meDateFromTenor(H580,"3M","Following",$I$11,"Normal")</f>
        <v>43347</v>
      </c>
      <c r="J580" s="150">
        <f ca="1"/>
        <v>1.285790577136905E-2</v>
      </c>
      <c r="K580" s="7" t="s">
        <v>4</v>
      </c>
      <c r="L580" s="149" t="e">
        <f ca="1">_xll.meDateFromTenor(L579,"1D","FOLLOWING",#REF!,"NORMAL")</f>
        <v>#VALUE!</v>
      </c>
      <c r="M580" s="155">
        <f ca="1">_xll.meDateYearFraction(C580,D580,$M$11)</f>
        <v>2.7777777777777779E-3</v>
      </c>
      <c r="N580" s="150">
        <f ca="1"/>
        <v>-2.4300000000065936E-3</v>
      </c>
      <c r="O580" s="7" t="s">
        <v>4</v>
      </c>
      <c r="P580" s="149">
        <f t="shared" ca="1" si="17"/>
        <v>43255</v>
      </c>
      <c r="Q580" s="155">
        <f ca="1">_xll.meDateYearFraction(H580,I580,$Q$11,TRUE)</f>
        <v>0.25555555555555554</v>
      </c>
      <c r="R580" s="150">
        <f ca="1">IF(NOW(),_xll.meCurveForwardRatesFromYearFraction(P580,Q580,$Q$11,$Q$9,$Q$10))</f>
        <v>-3.7175485397107962E-3</v>
      </c>
      <c r="S580" s="134" t="s">
        <v>4</v>
      </c>
    </row>
    <row r="581" spans="1:19" x14ac:dyDescent="0.25">
      <c r="A581" s="128">
        <v>565</v>
      </c>
      <c r="B581" s="133"/>
      <c r="C581" s="149">
        <f ca="1">_xll.meDateFromTenor(C580,"1D","FOLLOWING",$D$11,"NORMAL")</f>
        <v>43256</v>
      </c>
      <c r="D581" s="20">
        <f ca="1">_xll.meDateFromTenor(C581,"1D","Following",$D$11,"Normal")</f>
        <v>43257</v>
      </c>
      <c r="E581" s="99">
        <f ca="1"/>
        <v>9.9765731517642911E-3</v>
      </c>
      <c r="F581" s="161">
        <f ca="1">_xll.meCurveForwardRates(C581,$D$9,$D$10)</f>
        <v>1.0026365446988317E-2</v>
      </c>
      <c r="G581" s="7" t="s">
        <v>4</v>
      </c>
      <c r="H581" s="149">
        <f t="shared" ca="1" si="16"/>
        <v>43256</v>
      </c>
      <c r="I581" s="20">
        <f ca="1">_xll.meDateFromTenor(H581,"3M","Following",$I$11,"Normal")</f>
        <v>43348</v>
      </c>
      <c r="J581" s="150">
        <f ca="1"/>
        <v>1.2865132136083089E-2</v>
      </c>
      <c r="K581" s="7" t="s">
        <v>4</v>
      </c>
      <c r="L581" s="149" t="e">
        <f ca="1">_xll.meDateFromTenor(L580,"1D","FOLLOWING",#REF!,"NORMAL")</f>
        <v>#VALUE!</v>
      </c>
      <c r="M581" s="155">
        <f ca="1">_xll.meDateYearFraction(C581,D581,$M$11)</f>
        <v>2.7777777777777779E-3</v>
      </c>
      <c r="N581" s="150">
        <f ca="1"/>
        <v>-2.4300000000065936E-3</v>
      </c>
      <c r="O581" s="7" t="s">
        <v>4</v>
      </c>
      <c r="P581" s="149">
        <f t="shared" ca="1" si="17"/>
        <v>43256</v>
      </c>
      <c r="Q581" s="155">
        <f ca="1">_xll.meDateYearFraction(H581,I581,$Q$11,TRUE)</f>
        <v>0.25555555555555554</v>
      </c>
      <c r="R581" s="150">
        <f ca="1">IF(NOW(),_xll.meCurveForwardRatesFromYearFraction(P581,Q581,$Q$11,$Q$9,$Q$10))</f>
        <v>-3.0303937212783926E-3</v>
      </c>
      <c r="S581" s="134" t="s">
        <v>4</v>
      </c>
    </row>
    <row r="582" spans="1:19" x14ac:dyDescent="0.25">
      <c r="A582" s="128">
        <v>566</v>
      </c>
      <c r="B582" s="133"/>
      <c r="C582" s="149">
        <f ca="1">_xll.meDateFromTenor(C581,"1D","FOLLOWING",$D$11,"NORMAL")</f>
        <v>43257</v>
      </c>
      <c r="D582" s="20">
        <f ca="1">_xll.meDateFromTenor(C582,"1D","Following",$D$11,"Normal")</f>
        <v>43258</v>
      </c>
      <c r="E582" s="99">
        <f ca="1"/>
        <v>9.9783638553497048E-3</v>
      </c>
      <c r="F582" s="161">
        <f ca="1">_xll.meCurveForwardRates(C582,$D$9,$D$10)</f>
        <v>1.0028174056315731E-2</v>
      </c>
      <c r="G582" s="7" t="s">
        <v>4</v>
      </c>
      <c r="H582" s="149">
        <f t="shared" ca="1" si="16"/>
        <v>43257</v>
      </c>
      <c r="I582" s="20">
        <f ca="1">_xll.meDateFromTenor(H582,"3M","Following",$I$11,"Normal")</f>
        <v>43349</v>
      </c>
      <c r="J582" s="150">
        <f ca="1"/>
        <v>1.2872358500797128E-2</v>
      </c>
      <c r="K582" s="7" t="s">
        <v>4</v>
      </c>
      <c r="L582" s="149" t="e">
        <f ca="1">_xll.meDateFromTenor(L581,"1D","FOLLOWING",#REF!,"NORMAL")</f>
        <v>#VALUE!</v>
      </c>
      <c r="M582" s="155">
        <f ca="1">_xll.meDateYearFraction(C582,D582,$M$11)</f>
        <v>2.7777777777777779E-3</v>
      </c>
      <c r="N582" s="150">
        <f ca="1"/>
        <v>-2.4300000000065936E-3</v>
      </c>
      <c r="O582" s="7" t="s">
        <v>4</v>
      </c>
      <c r="P582" s="149">
        <f t="shared" ca="1" si="17"/>
        <v>43257</v>
      </c>
      <c r="Q582" s="155">
        <f ca="1">_xll.meDateYearFraction(H582,I582,$Q$11,TRUE)</f>
        <v>0.25555555555555554</v>
      </c>
      <c r="R582" s="150">
        <f ca="1">IF(NOW(),_xll.meCurveForwardRatesFromYearFraction(P582,Q582,$Q$11,$Q$9,$Q$10))</f>
        <v>-3.7175485397107962E-3</v>
      </c>
      <c r="S582" s="134" t="s">
        <v>4</v>
      </c>
    </row>
    <row r="583" spans="1:19" x14ac:dyDescent="0.25">
      <c r="A583" s="128">
        <v>567</v>
      </c>
      <c r="B583" s="133"/>
      <c r="C583" s="149">
        <f ca="1">_xll.meDateFromTenor(C582,"1D","FOLLOWING",$D$11,"NORMAL")</f>
        <v>43258</v>
      </c>
      <c r="D583" s="20">
        <f ca="1">_xll.meDateFromTenor(C583,"1D","Following",$D$11,"Normal")</f>
        <v>43259</v>
      </c>
      <c r="E583" s="99">
        <f ca="1"/>
        <v>9.980166335674702E-3</v>
      </c>
      <c r="F583" s="161">
        <f ca="1">_xll.meCurveForwardRates(C583,$D$9,$D$10)</f>
        <v>1.0029994563403033E-2</v>
      </c>
      <c r="G583" s="7" t="s">
        <v>4</v>
      </c>
      <c r="H583" s="149">
        <f t="shared" ca="1" si="16"/>
        <v>43258</v>
      </c>
      <c r="I583" s="20">
        <f ca="1">_xll.meDateFromTenor(H583,"3M","Following",$I$11,"Normal")</f>
        <v>43350</v>
      </c>
      <c r="J583" s="150">
        <f ca="1"/>
        <v>1.2879584865511169E-2</v>
      </c>
      <c r="K583" s="7" t="s">
        <v>4</v>
      </c>
      <c r="L583" s="149" t="e">
        <f ca="1">_xll.meDateFromTenor(L582,"1D","FOLLOWING",#REF!,"NORMAL")</f>
        <v>#VALUE!</v>
      </c>
      <c r="M583" s="155">
        <f ca="1">_xll.meDateYearFraction(C583,D583,$M$11)</f>
        <v>2.7777777777777779E-3</v>
      </c>
      <c r="N583" s="150">
        <f ca="1"/>
        <v>-2.4300000000065936E-3</v>
      </c>
      <c r="O583" s="7" t="s">
        <v>4</v>
      </c>
      <c r="P583" s="149">
        <f t="shared" ca="1" si="17"/>
        <v>43258</v>
      </c>
      <c r="Q583" s="155">
        <f ca="1">_xll.meDateYearFraction(H583,I583,$Q$11,TRUE)</f>
        <v>0.25555555555555554</v>
      </c>
      <c r="R583" s="150">
        <f ca="1">IF(NOW(),_xll.meCurveForwardRatesFromYearFraction(P583,Q583,$Q$11,$Q$9,$Q$10))</f>
        <v>-3.0299510047605777E-3</v>
      </c>
      <c r="S583" s="134" t="s">
        <v>4</v>
      </c>
    </row>
    <row r="584" spans="1:19" x14ac:dyDescent="0.25">
      <c r="A584" s="128">
        <v>568</v>
      </c>
      <c r="B584" s="133"/>
      <c r="C584" s="149">
        <f ca="1">_xll.meDateFromTenor(C583,"1D","FOLLOWING",$D$11,"NORMAL")</f>
        <v>43259</v>
      </c>
      <c r="D584" s="20">
        <f ca="1">_xll.meDateFromTenor(C584,"1D","Following",$D$11,"Normal")</f>
        <v>43262</v>
      </c>
      <c r="E584" s="99">
        <f ca="1"/>
        <v>9.9840874405288452E-3</v>
      </c>
      <c r="F584" s="161">
        <f ca="1">_xll.meCurveForwardRates(C584,$D$9,$D$10)</f>
        <v>1.0031826969767899E-2</v>
      </c>
      <c r="G584" s="7" t="s">
        <v>4</v>
      </c>
      <c r="H584" s="149">
        <f t="shared" ca="1" si="16"/>
        <v>43259</v>
      </c>
      <c r="I584" s="20">
        <f ca="1">_xll.meDateFromTenor(H584,"3M","Following",$I$11,"Normal")</f>
        <v>43353</v>
      </c>
      <c r="J584" s="150">
        <f ca="1"/>
        <v>1.2886811230225207E-2</v>
      </c>
      <c r="K584" s="7" t="s">
        <v>4</v>
      </c>
      <c r="L584" s="149" t="e">
        <f ca="1">_xll.meDateFromTenor(L583,"1D","FOLLOWING",#REF!,"NORMAL")</f>
        <v>#VALUE!</v>
      </c>
      <c r="M584" s="155">
        <f ca="1">_xll.meDateYearFraction(C584,D584,$M$11)</f>
        <v>8.3333333333333332E-3</v>
      </c>
      <c r="N584" s="150">
        <f ca="1"/>
        <v>-2.4300000000065936E-3</v>
      </c>
      <c r="O584" s="7" t="s">
        <v>4</v>
      </c>
      <c r="P584" s="149">
        <f t="shared" ca="1" si="17"/>
        <v>43259</v>
      </c>
      <c r="Q584" s="155">
        <f ca="1">_xll.meDateYearFraction(H584,I584,$Q$11,TRUE)</f>
        <v>0.26111111111111113</v>
      </c>
      <c r="R584" s="150">
        <f ca="1">IF(NOW(),_xll.meCurveForwardRatesFromYearFraction(P584,Q584,$Q$11,$Q$9,$Q$10))</f>
        <v>-3.0297296465016709E-3</v>
      </c>
      <c r="S584" s="134" t="s">
        <v>4</v>
      </c>
    </row>
    <row r="585" spans="1:19" x14ac:dyDescent="0.25">
      <c r="A585" s="128">
        <v>569</v>
      </c>
      <c r="B585" s="133"/>
      <c r="C585" s="149">
        <f ca="1">_xll.meDateFromTenor(C584,"1D","FOLLOWING",$D$11,"NORMAL")</f>
        <v>43262</v>
      </c>
      <c r="D585" s="20">
        <f ca="1">_xll.meDateFromTenor(C585,"1D","Following",$D$11,"Normal")</f>
        <v>43263</v>
      </c>
      <c r="E585" s="99">
        <f ca="1"/>
        <v>9.9874940511491053E-3</v>
      </c>
      <c r="F585" s="161">
        <f ca="1">_xll.meCurveForwardRates(C585,$D$9,$D$10)</f>
        <v>1.0037395597688237E-2</v>
      </c>
      <c r="G585" s="7" t="s">
        <v>4</v>
      </c>
      <c r="H585" s="149">
        <f t="shared" ca="1" si="16"/>
        <v>43262</v>
      </c>
      <c r="I585" s="20">
        <f ca="1">_xll.meDateFromTenor(H585,"3M","Following",$I$11,"Normal")</f>
        <v>43354</v>
      </c>
      <c r="J585" s="150">
        <f ca="1"/>
        <v>1.2908490324367323E-2</v>
      </c>
      <c r="K585" s="7" t="s">
        <v>4</v>
      </c>
      <c r="L585" s="149" t="e">
        <f ca="1">_xll.meDateFromTenor(L584,"1D","FOLLOWING",#REF!,"NORMAL")</f>
        <v>#VALUE!</v>
      </c>
      <c r="M585" s="155">
        <f ca="1">_xll.meDateYearFraction(C585,D585,$M$11)</f>
        <v>2.7777777777777779E-3</v>
      </c>
      <c r="N585" s="150">
        <f ca="1"/>
        <v>-2.4300000000065936E-3</v>
      </c>
      <c r="O585" s="7" t="s">
        <v>4</v>
      </c>
      <c r="P585" s="149">
        <f t="shared" ca="1" si="17"/>
        <v>43262</v>
      </c>
      <c r="Q585" s="155">
        <f ca="1">_xll.meDateYearFraction(H585,I585,$Q$11,TRUE)</f>
        <v>0.25555555555555554</v>
      </c>
      <c r="R585" s="150">
        <f ca="1">IF(NOW(),_xll.meCurveForwardRatesFromYearFraction(P585,Q585,$Q$11,$Q$9,$Q$10))</f>
        <v>-3.0290655717249487E-3</v>
      </c>
      <c r="S585" s="134" t="s">
        <v>4</v>
      </c>
    </row>
    <row r="586" spans="1:19" x14ac:dyDescent="0.25">
      <c r="A586" s="128">
        <v>570</v>
      </c>
      <c r="B586" s="133"/>
      <c r="C586" s="149">
        <f ca="1">_xll.meDateFromTenor(C585,"1D","FOLLOWING",$D$11,"NORMAL")</f>
        <v>43263</v>
      </c>
      <c r="D586" s="20">
        <f ca="1">_xll.meDateFromTenor(C586,"1D","Following",$D$11,"Normal")</f>
        <v>43264</v>
      </c>
      <c r="E586" s="99">
        <f ca="1"/>
        <v>9.9893554352359706E-3</v>
      </c>
      <c r="F586" s="161">
        <f ca="1">_xll.meCurveForwardRates(C586,$D$9,$D$10)</f>
        <v>1.0039275614811105E-2</v>
      </c>
      <c r="G586" s="7" t="s">
        <v>4</v>
      </c>
      <c r="H586" s="149">
        <f t="shared" ca="1" si="16"/>
        <v>43263</v>
      </c>
      <c r="I586" s="20">
        <f ca="1">_xll.meDateFromTenor(H586,"3M","Following",$I$11,"Normal")</f>
        <v>43355</v>
      </c>
      <c r="J586" s="150">
        <f ca="1"/>
        <v>1.2915716689081362E-2</v>
      </c>
      <c r="K586" s="7" t="s">
        <v>4</v>
      </c>
      <c r="L586" s="149" t="e">
        <f ca="1">_xll.meDateFromTenor(L585,"1D","FOLLOWING",#REF!,"NORMAL")</f>
        <v>#VALUE!</v>
      </c>
      <c r="M586" s="155">
        <f ca="1">_xll.meDateYearFraction(C586,D586,$M$11)</f>
        <v>2.7777777777777779E-3</v>
      </c>
      <c r="N586" s="150">
        <f ca="1"/>
        <v>-2.4300000000065936E-3</v>
      </c>
      <c r="O586" s="7" t="s">
        <v>4</v>
      </c>
      <c r="P586" s="149">
        <f t="shared" ca="1" si="17"/>
        <v>43263</v>
      </c>
      <c r="Q586" s="155">
        <f ca="1">_xll.meDateYearFraction(H586,I586,$Q$11,TRUE)</f>
        <v>0.25555555555555554</v>
      </c>
      <c r="R586" s="150">
        <f ca="1">IF(NOW(),_xll.meCurveForwardRatesFromYearFraction(P586,Q586,$Q$11,$Q$9,$Q$10))</f>
        <v>-3.7175485397107962E-3</v>
      </c>
      <c r="S586" s="134" t="s">
        <v>4</v>
      </c>
    </row>
    <row r="587" spans="1:19" x14ac:dyDescent="0.25">
      <c r="A587" s="128">
        <v>571</v>
      </c>
      <c r="B587" s="133"/>
      <c r="C587" s="149">
        <f ca="1">_xll.meDateFromTenor(C586,"1D","FOLLOWING",$D$11,"NORMAL")</f>
        <v>43264</v>
      </c>
      <c r="D587" s="20">
        <f ca="1">_xll.meDateFromTenor(C587,"1D","Following",$D$11,"Normal")</f>
        <v>43265</v>
      </c>
      <c r="E587" s="99">
        <f ca="1"/>
        <v>9.9912286039760892E-3</v>
      </c>
      <c r="F587" s="161">
        <f ca="1">_xll.meCurveForwardRates(C587,$D$9,$D$10)</f>
        <v>1.0041167538078044E-2</v>
      </c>
      <c r="G587" s="7" t="s">
        <v>4</v>
      </c>
      <c r="H587" s="149">
        <f t="shared" ca="1" si="16"/>
        <v>43264</v>
      </c>
      <c r="I587" s="20">
        <f ca="1">_xll.meDateFromTenor(H587,"3M","Following",$I$11,"Normal")</f>
        <v>43356</v>
      </c>
      <c r="J587" s="150">
        <f ca="1"/>
        <v>1.2922943053795401E-2</v>
      </c>
      <c r="K587" s="7" t="s">
        <v>4</v>
      </c>
      <c r="L587" s="149" t="e">
        <f ca="1">_xll.meDateFromTenor(L586,"1D","FOLLOWING",#REF!,"NORMAL")</f>
        <v>#VALUE!</v>
      </c>
      <c r="M587" s="155">
        <f ca="1">_xll.meDateYearFraction(C587,D587,$M$11)</f>
        <v>2.7777777777777779E-3</v>
      </c>
      <c r="N587" s="150">
        <f ca="1"/>
        <v>-2.4300000000065936E-3</v>
      </c>
      <c r="O587" s="7" t="s">
        <v>4</v>
      </c>
      <c r="P587" s="149">
        <f t="shared" ca="1" si="17"/>
        <v>43264</v>
      </c>
      <c r="Q587" s="155">
        <f ca="1">_xll.meDateYearFraction(H587,I587,$Q$11,TRUE)</f>
        <v>0.25555555555555554</v>
      </c>
      <c r="R587" s="150">
        <f ca="1">IF(NOW(),_xll.meCurveForwardRatesFromYearFraction(P587,Q587,$Q$11,$Q$9,$Q$10))</f>
        <v>-3.0286228552071342E-3</v>
      </c>
      <c r="S587" s="134" t="s">
        <v>4</v>
      </c>
    </row>
    <row r="588" spans="1:19" x14ac:dyDescent="0.25">
      <c r="A588" s="128">
        <v>572</v>
      </c>
      <c r="B588" s="133"/>
      <c r="C588" s="149">
        <f ca="1">_xll.meDateFromTenor(C587,"1D","FOLLOWING",$D$11,"NORMAL")</f>
        <v>43265</v>
      </c>
      <c r="D588" s="20">
        <f ca="1">_xll.meDateFromTenor(C588,"1D","Following",$D$11,"Normal")</f>
        <v>43266</v>
      </c>
      <c r="E588" s="99">
        <f ca="1"/>
        <v>9.993113558728374E-3</v>
      </c>
      <c r="F588" s="161">
        <f ca="1">_xll.meCurveForwardRates(C588,$D$9,$D$10)</f>
        <v>1.0043071368928347E-2</v>
      </c>
      <c r="G588" s="7" t="s">
        <v>4</v>
      </c>
      <c r="H588" s="149">
        <f t="shared" ca="1" si="16"/>
        <v>43265</v>
      </c>
      <c r="I588" s="20">
        <f ca="1">_xll.meDateFromTenor(H588,"3M","Following",$I$11,"Normal")</f>
        <v>43357</v>
      </c>
      <c r="J588" s="150">
        <f ca="1"/>
        <v>1.2930169418509441E-2</v>
      </c>
      <c r="K588" s="7" t="s">
        <v>4</v>
      </c>
      <c r="L588" s="149" t="e">
        <f ca="1">_xll.meDateFromTenor(L587,"1D","FOLLOWING",#REF!,"NORMAL")</f>
        <v>#VALUE!</v>
      </c>
      <c r="M588" s="155">
        <f ca="1">_xll.meDateYearFraction(C588,D588,$M$11)</f>
        <v>2.7777777777777779E-3</v>
      </c>
      <c r="N588" s="150">
        <f ca="1"/>
        <v>-2.4300000000065936E-3</v>
      </c>
      <c r="O588" s="7" t="s">
        <v>4</v>
      </c>
      <c r="P588" s="149">
        <f t="shared" ca="1" si="17"/>
        <v>43265</v>
      </c>
      <c r="Q588" s="155">
        <f ca="1">_xll.meDateYearFraction(H588,I588,$Q$11,TRUE)</f>
        <v>0.25555555555555554</v>
      </c>
      <c r="R588" s="150">
        <f ca="1">IF(NOW(),_xll.meCurveForwardRatesFromYearFraction(P588,Q588,$Q$11,$Q$9,$Q$10))</f>
        <v>-3.7175485397107962E-3</v>
      </c>
      <c r="S588" s="134" t="s">
        <v>4</v>
      </c>
    </row>
    <row r="589" spans="1:19" x14ac:dyDescent="0.25">
      <c r="A589" s="128">
        <v>573</v>
      </c>
      <c r="B589" s="133"/>
      <c r="C589" s="149">
        <f ca="1">_xll.meDateFromTenor(C588,"1D","FOLLOWING",$D$11,"NORMAL")</f>
        <v>43266</v>
      </c>
      <c r="D589" s="20">
        <f ca="1">_xll.meDateFromTenor(C589,"1D","Following",$D$11,"Normal")</f>
        <v>43269</v>
      </c>
      <c r="E589" s="99">
        <f ca="1"/>
        <v>9.9972003712434435E-3</v>
      </c>
      <c r="F589" s="161">
        <f ca="1">_xll.meCurveForwardRates(C589,$D$9,$D$10)</f>
        <v>1.0044987108882353E-2</v>
      </c>
      <c r="G589" s="7" t="s">
        <v>4</v>
      </c>
      <c r="H589" s="149">
        <f t="shared" ca="1" si="16"/>
        <v>43266</v>
      </c>
      <c r="I589" s="20">
        <f ca="1">_xll.meDateFromTenor(H589,"3M","Following",$I$11,"Normal")</f>
        <v>43360</v>
      </c>
      <c r="J589" s="150">
        <f ca="1"/>
        <v>1.293739578322348E-2</v>
      </c>
      <c r="K589" s="7" t="s">
        <v>4</v>
      </c>
      <c r="L589" s="149" t="e">
        <f ca="1">_xll.meDateFromTenor(L588,"1D","FOLLOWING",#REF!,"NORMAL")</f>
        <v>#VALUE!</v>
      </c>
      <c r="M589" s="155">
        <f ca="1">_xll.meDateYearFraction(C589,D589,$M$11)</f>
        <v>8.3333333333333332E-3</v>
      </c>
      <c r="N589" s="150">
        <f ca="1"/>
        <v>-2.4300000000065936E-3</v>
      </c>
      <c r="O589" s="7" t="s">
        <v>4</v>
      </c>
      <c r="P589" s="149">
        <f t="shared" ca="1" si="17"/>
        <v>43266</v>
      </c>
      <c r="Q589" s="155">
        <f ca="1">_xll.meDateYearFraction(H589,I589,$Q$11,TRUE)</f>
        <v>0.26111111111111113</v>
      </c>
      <c r="R589" s="150">
        <f ca="1">IF(NOW(),_xll.meCurveForwardRatesFromYearFraction(P589,Q589,$Q$11,$Q$9,$Q$10))</f>
        <v>-3.0281801386893193E-3</v>
      </c>
      <c r="S589" s="134" t="s">
        <v>4</v>
      </c>
    </row>
    <row r="590" spans="1:19" x14ac:dyDescent="0.25">
      <c r="A590" s="128">
        <v>574</v>
      </c>
      <c r="B590" s="133"/>
      <c r="C590" s="149">
        <f ca="1">_xll.meDateFromTenor(C589,"1D","FOLLOWING",$D$11,"NORMAL")</f>
        <v>43269</v>
      </c>
      <c r="D590" s="20">
        <f ca="1">_xll.meDateFromTenor(C590,"1D","Following",$D$11,"Normal")</f>
        <v>43270</v>
      </c>
      <c r="E590" s="99">
        <f ca="1"/>
        <v>1.0000771265037435E-2</v>
      </c>
      <c r="F590" s="161">
        <f ca="1">_xll.meCurveForwardRates(C590,$D$9,$D$10)</f>
        <v>1.0050805796962825E-2</v>
      </c>
      <c r="G590" s="7" t="s">
        <v>4</v>
      </c>
      <c r="H590" s="149">
        <f t="shared" ca="1" si="16"/>
        <v>43269</v>
      </c>
      <c r="I590" s="20">
        <f ca="1">_xll.meDateFromTenor(H590,"3M","Following",$I$11,"Normal")</f>
        <v>43361</v>
      </c>
      <c r="J590" s="150">
        <f ca="1"/>
        <v>1.2959074877365596E-2</v>
      </c>
      <c r="K590" s="7" t="s">
        <v>4</v>
      </c>
      <c r="L590" s="149" t="e">
        <f ca="1">_xll.meDateFromTenor(L589,"1D","FOLLOWING",#REF!,"NORMAL")</f>
        <v>#VALUE!</v>
      </c>
      <c r="M590" s="155">
        <f ca="1">_xll.meDateYearFraction(C590,D590,$M$11)</f>
        <v>2.7777777777777779E-3</v>
      </c>
      <c r="N590" s="150">
        <f ca="1"/>
        <v>-2.4300000000065936E-3</v>
      </c>
      <c r="O590" s="7" t="s">
        <v>4</v>
      </c>
      <c r="P590" s="149">
        <f t="shared" ca="1" si="17"/>
        <v>43269</v>
      </c>
      <c r="Q590" s="155">
        <f ca="1">_xll.meDateYearFraction(H590,I590,$Q$11,TRUE)</f>
        <v>0.25555555555555554</v>
      </c>
      <c r="R590" s="150">
        <f ca="1">IF(NOW(),_xll.meCurveForwardRatesFromYearFraction(P590,Q590,$Q$11,$Q$9,$Q$10))</f>
        <v>-3.7175485397107962E-3</v>
      </c>
      <c r="S590" s="134" t="s">
        <v>4</v>
      </c>
    </row>
    <row r="591" spans="1:19" x14ac:dyDescent="0.25">
      <c r="A591" s="128">
        <v>575</v>
      </c>
      <c r="B591" s="133"/>
      <c r="C591" s="149">
        <f ca="1">_xll.meDateFromTenor(C590,"1D","FOLLOWING",$D$11,"NORMAL")</f>
        <v>43270</v>
      </c>
      <c r="D591" s="20">
        <f ca="1">_xll.meDateFromTenor(C591,"1D","Following",$D$11,"Normal")</f>
        <v>43271</v>
      </c>
      <c r="E591" s="99">
        <f ca="1"/>
        <v>1.0002715170074374E-2</v>
      </c>
      <c r="F591" s="161">
        <f ca="1">_xll.meCurveForwardRates(C591,$D$9,$D$10)</f>
        <v>1.0052769187171906E-2</v>
      </c>
      <c r="G591" s="7" t="s">
        <v>4</v>
      </c>
      <c r="H591" s="149">
        <f t="shared" ca="1" si="16"/>
        <v>43270</v>
      </c>
      <c r="I591" s="20">
        <f ca="1">_xll.meDateFromTenor(H591,"3M","Following",$I$11,"Normal")</f>
        <v>43362</v>
      </c>
      <c r="J591" s="150">
        <f ca="1"/>
        <v>1.2966301242079634E-2</v>
      </c>
      <c r="K591" s="7" t="s">
        <v>4</v>
      </c>
      <c r="L591" s="149" t="e">
        <f ca="1">_xll.meDateFromTenor(L590,"1D","FOLLOWING",#REF!,"NORMAL")</f>
        <v>#VALUE!</v>
      </c>
      <c r="M591" s="155">
        <f ca="1">_xll.meDateYearFraction(C591,D591,$M$11)</f>
        <v>2.7777777777777779E-3</v>
      </c>
      <c r="N591" s="150">
        <f ca="1"/>
        <v>-2.4300000000065936E-3</v>
      </c>
      <c r="O591" s="7" t="s">
        <v>4</v>
      </c>
      <c r="P591" s="149">
        <f t="shared" ca="1" si="17"/>
        <v>43270</v>
      </c>
      <c r="Q591" s="155">
        <f ca="1">_xll.meDateYearFraction(H591,I591,$Q$11,TRUE)</f>
        <v>0.25555555555555554</v>
      </c>
      <c r="R591" s="150">
        <f ca="1">IF(NOW(),_xll.meCurveForwardRatesFromYearFraction(P591,Q591,$Q$11,$Q$9,$Q$10))</f>
        <v>-3.7175485397107962E-3</v>
      </c>
      <c r="S591" s="134" t="s">
        <v>4</v>
      </c>
    </row>
    <row r="592" spans="1:19" x14ac:dyDescent="0.25">
      <c r="A592" s="128">
        <v>576</v>
      </c>
      <c r="B592" s="133"/>
      <c r="C592" s="149">
        <f ca="1">_xll.meDateFromTenor(C591,"1D","FOLLOWING",$D$11,"NORMAL")</f>
        <v>43271</v>
      </c>
      <c r="D592" s="20">
        <f ca="1">_xll.meDateFromTenor(C592,"1D","Following",$D$11,"Normal")</f>
        <v>43272</v>
      </c>
      <c r="E592" s="99">
        <f ca="1"/>
        <v>1.0004670869037148E-2</v>
      </c>
      <c r="F592" s="161">
        <f ca="1">_xll.meCurveForwardRates(C592,$D$9,$D$10)</f>
        <v>1.0054744493366519E-2</v>
      </c>
      <c r="G592" s="7" t="s">
        <v>4</v>
      </c>
      <c r="H592" s="149">
        <f t="shared" ca="1" si="16"/>
        <v>43271</v>
      </c>
      <c r="I592" s="20">
        <f ca="1">_xll.meDateFromTenor(H592,"3M","Following",$I$11,"Normal")</f>
        <v>43363</v>
      </c>
      <c r="J592" s="150">
        <f ca="1"/>
        <v>1.2973527606793673E-2</v>
      </c>
      <c r="K592" s="7" t="s">
        <v>4</v>
      </c>
      <c r="L592" s="149" t="e">
        <f ca="1">_xll.meDateFromTenor(L591,"1D","FOLLOWING",#REF!,"NORMAL")</f>
        <v>#VALUE!</v>
      </c>
      <c r="M592" s="155">
        <f ca="1">_xll.meDateYearFraction(C592,D592,$M$11)</f>
        <v>2.7777777777777779E-3</v>
      </c>
      <c r="N592" s="150">
        <f ca="1"/>
        <v>-2.4300000000065936E-3</v>
      </c>
      <c r="O592" s="7" t="s">
        <v>4</v>
      </c>
      <c r="P592" s="149">
        <f t="shared" ca="1" si="17"/>
        <v>43271</v>
      </c>
      <c r="Q592" s="155">
        <f ca="1">_xll.meDateYearFraction(H592,I592,$Q$11,TRUE)</f>
        <v>0.25555555555555554</v>
      </c>
      <c r="R592" s="150">
        <f ca="1">IF(NOW(),_xll.meCurveForwardRatesFromYearFraction(P592,Q592,$Q$11,$Q$9,$Q$10))</f>
        <v>-3.027073347394783E-3</v>
      </c>
      <c r="S592" s="134" t="s">
        <v>4</v>
      </c>
    </row>
    <row r="593" spans="1:19" x14ac:dyDescent="0.25">
      <c r="A593" s="128">
        <v>577</v>
      </c>
      <c r="B593" s="133"/>
      <c r="C593" s="149">
        <f ca="1">_xll.meDateFromTenor(C592,"1D","FOLLOWING",$D$11,"NORMAL")</f>
        <v>43272</v>
      </c>
      <c r="D593" s="20">
        <f ca="1">_xll.meDateFromTenor(C593,"1D","Following",$D$11,"Normal")</f>
        <v>43273</v>
      </c>
      <c r="E593" s="99">
        <f ca="1"/>
        <v>1.000663836352448E-2</v>
      </c>
      <c r="F593" s="161">
        <f ca="1">_xll.meCurveForwardRates(C593,$D$9,$D$10)</f>
        <v>1.0056731717231315E-2</v>
      </c>
      <c r="G593" s="7" t="s">
        <v>4</v>
      </c>
      <c r="H593" s="149">
        <f t="shared" ref="H593:H656" ca="1" si="18">$C593</f>
        <v>43272</v>
      </c>
      <c r="I593" s="20">
        <f ca="1">_xll.meDateFromTenor(H593,"3M","Following",$I$11,"Normal")</f>
        <v>43364</v>
      </c>
      <c r="J593" s="150">
        <f ca="1"/>
        <v>1.2980160425055854E-2</v>
      </c>
      <c r="K593" s="7" t="s">
        <v>4</v>
      </c>
      <c r="L593" s="149" t="e">
        <f ca="1">_xll.meDateFromTenor(L592,"1D","FOLLOWING",#REF!,"NORMAL")</f>
        <v>#VALUE!</v>
      </c>
      <c r="M593" s="155">
        <f ca="1">_xll.meDateYearFraction(C593,D593,$M$11)</f>
        <v>2.7777777777777779E-3</v>
      </c>
      <c r="N593" s="150">
        <f ca="1"/>
        <v>-2.4300000000065936E-3</v>
      </c>
      <c r="O593" s="7" t="s">
        <v>4</v>
      </c>
      <c r="P593" s="149">
        <f t="shared" ref="P593:P656" ca="1" si="19">$C593</f>
        <v>43272</v>
      </c>
      <c r="Q593" s="155">
        <f ca="1">_xll.meDateYearFraction(H593,I593,$Q$11,TRUE)</f>
        <v>0.25555555555555554</v>
      </c>
      <c r="R593" s="150">
        <f ca="1">IF(NOW(),_xll.meCurveForwardRatesFromYearFraction(P593,Q593,$Q$11,$Q$9,$Q$10))</f>
        <v>-3.0268519891358753E-3</v>
      </c>
      <c r="S593" s="134" t="s">
        <v>4</v>
      </c>
    </row>
    <row r="594" spans="1:19" x14ac:dyDescent="0.25">
      <c r="A594" s="128">
        <v>578</v>
      </c>
      <c r="B594" s="133"/>
      <c r="C594" s="149">
        <f ca="1">_xll.meDateFromTenor(C593,"1D","FOLLOWING",$D$11,"NORMAL")</f>
        <v>43273</v>
      </c>
      <c r="D594" s="20">
        <f ca="1">_xll.meDateFromTenor(C594,"1D","Following",$D$11,"Normal")</f>
        <v>43276</v>
      </c>
      <c r="E594" s="99">
        <f ca="1"/>
        <v>1.0010891047196361E-2</v>
      </c>
      <c r="F594" s="161">
        <f ca="1">_xll.meCurveForwardRates(C594,$D$9,$D$10)</f>
        <v>1.0058730859966669E-2</v>
      </c>
      <c r="G594" s="7" t="s">
        <v>4</v>
      </c>
      <c r="H594" s="149">
        <f t="shared" ca="1" si="18"/>
        <v>43273</v>
      </c>
      <c r="I594" s="20">
        <f ca="1">_xll.meDateFromTenor(H594,"3M","Following",$I$11,"Normal")</f>
        <v>43367</v>
      </c>
      <c r="J594" s="150">
        <f ca="1"/>
        <v>1.2986793243318036E-2</v>
      </c>
      <c r="K594" s="7" t="s">
        <v>4</v>
      </c>
      <c r="L594" s="149" t="e">
        <f ca="1">_xll.meDateFromTenor(L593,"1D","FOLLOWING",#REF!,"NORMAL")</f>
        <v>#VALUE!</v>
      </c>
      <c r="M594" s="155">
        <f ca="1">_xll.meDateYearFraction(C594,D594,$M$11)</f>
        <v>8.3333333333333332E-3</v>
      </c>
      <c r="N594" s="150">
        <f ca="1"/>
        <v>-2.4300000000065936E-3</v>
      </c>
      <c r="O594" s="7" t="s">
        <v>4</v>
      </c>
      <c r="P594" s="149">
        <f t="shared" ca="1" si="19"/>
        <v>43273</v>
      </c>
      <c r="Q594" s="155">
        <f ca="1">_xll.meDateYearFraction(H594,I594,$Q$11,TRUE)</f>
        <v>0.26111111111111113</v>
      </c>
      <c r="R594" s="150">
        <f ca="1">IF(NOW(),_xll.meCurveForwardRatesFromYearFraction(P594,Q594,$Q$11,$Q$9,$Q$10))</f>
        <v>-3.7175485397107962E-3</v>
      </c>
      <c r="S594" s="134" t="s">
        <v>4</v>
      </c>
    </row>
    <row r="595" spans="1:19" x14ac:dyDescent="0.25">
      <c r="A595" s="128">
        <v>579</v>
      </c>
      <c r="B595" s="133"/>
      <c r="C595" s="149">
        <f ca="1">_xll.meDateFromTenor(C594,"1D","FOLLOWING",$D$11,"NORMAL")</f>
        <v>43276</v>
      </c>
      <c r="D595" s="20">
        <f ca="1">_xll.meDateFromTenor(C595,"1D","Following",$D$11,"Normal")</f>
        <v>43277</v>
      </c>
      <c r="E595" s="99">
        <f ca="1"/>
        <v>1.0014626321659429E-2</v>
      </c>
      <c r="F595" s="161">
        <f ca="1">_xll.meCurveForwardRates(C595,$D$9,$D$10)</f>
        <v>1.0064799815989955E-2</v>
      </c>
      <c r="G595" s="7" t="s">
        <v>4</v>
      </c>
      <c r="H595" s="149">
        <f t="shared" ca="1" si="18"/>
        <v>43276</v>
      </c>
      <c r="I595" s="20">
        <f ca="1">_xll.meDateFromTenor(H595,"3M","Following",$I$11,"Normal")</f>
        <v>43368</v>
      </c>
      <c r="J595" s="150">
        <f ca="1"/>
        <v>1.3006691698104578E-2</v>
      </c>
      <c r="K595" s="7" t="s">
        <v>4</v>
      </c>
      <c r="L595" s="149" t="e">
        <f ca="1">_xll.meDateFromTenor(L594,"1D","FOLLOWING",#REF!,"NORMAL")</f>
        <v>#VALUE!</v>
      </c>
      <c r="M595" s="155">
        <f ca="1">_xll.meDateYearFraction(C595,D595,$M$11)</f>
        <v>2.7777777777777779E-3</v>
      </c>
      <c r="N595" s="150">
        <f ca="1"/>
        <v>-2.4300000000065936E-3</v>
      </c>
      <c r="O595" s="7" t="s">
        <v>4</v>
      </c>
      <c r="P595" s="149">
        <f t="shared" ca="1" si="19"/>
        <v>43276</v>
      </c>
      <c r="Q595" s="155">
        <f ca="1">_xll.meDateYearFraction(H595,I595,$Q$11,TRUE)</f>
        <v>0.25555555555555554</v>
      </c>
      <c r="R595" s="150">
        <f ca="1">IF(NOW(),_xll.meCurveForwardRatesFromYearFraction(P595,Q595,$Q$11,$Q$9,$Q$10))</f>
        <v>-3.0259665561002463E-3</v>
      </c>
      <c r="S595" s="134" t="s">
        <v>4</v>
      </c>
    </row>
    <row r="596" spans="1:19" x14ac:dyDescent="0.25">
      <c r="A596" s="128">
        <v>580</v>
      </c>
      <c r="B596" s="133"/>
      <c r="C596" s="149">
        <f ca="1">_xll.meDateFromTenor(C595,"1D","FOLLOWING",$D$11,"NORMAL")</f>
        <v>43277</v>
      </c>
      <c r="D596" s="20">
        <f ca="1">_xll.meDateFromTenor(C596,"1D","Following",$D$11,"Normal")</f>
        <v>43278</v>
      </c>
      <c r="E596" s="99">
        <f ca="1"/>
        <v>1.00166528129542E-2</v>
      </c>
      <c r="F596" s="161">
        <f ca="1">_xll.meCurveForwardRates(C596,$D$9,$D$10)</f>
        <v>1.0066846648642436E-2</v>
      </c>
      <c r="G596" s="7" t="s">
        <v>4</v>
      </c>
      <c r="H596" s="149">
        <f t="shared" ca="1" si="18"/>
        <v>43277</v>
      </c>
      <c r="I596" s="20">
        <f ca="1">_xll.meDateFromTenor(H596,"3M","Following",$I$11,"Normal")</f>
        <v>43369</v>
      </c>
      <c r="J596" s="150">
        <f ca="1"/>
        <v>1.3013324516366758E-2</v>
      </c>
      <c r="K596" s="7" t="s">
        <v>4</v>
      </c>
      <c r="L596" s="149" t="e">
        <f ca="1">_xll.meDateFromTenor(L595,"1D","FOLLOWING",#REF!,"NORMAL")</f>
        <v>#VALUE!</v>
      </c>
      <c r="M596" s="155">
        <f ca="1">_xll.meDateYearFraction(C596,D596,$M$11)</f>
        <v>2.7777777777777779E-3</v>
      </c>
      <c r="N596" s="150">
        <f ca="1"/>
        <v>-2.4300000000065936E-3</v>
      </c>
      <c r="O596" s="7" t="s">
        <v>4</v>
      </c>
      <c r="P596" s="149">
        <f t="shared" ca="1" si="19"/>
        <v>43277</v>
      </c>
      <c r="Q596" s="155">
        <f ca="1">_xll.meDateYearFraction(H596,I596,$Q$11,TRUE)</f>
        <v>0.25555555555555554</v>
      </c>
      <c r="R596" s="150">
        <f ca="1">IF(NOW(),_xll.meCurveForwardRatesFromYearFraction(P596,Q596,$Q$11,$Q$9,$Q$10))</f>
        <v>-3.7175485397107962E-3</v>
      </c>
      <c r="S596" s="134" t="s">
        <v>4</v>
      </c>
    </row>
    <row r="597" spans="1:19" x14ac:dyDescent="0.25">
      <c r="A597" s="128">
        <v>581</v>
      </c>
      <c r="B597" s="133"/>
      <c r="C597" s="149">
        <f ca="1">_xll.meDateFromTenor(C596,"1D","FOLLOWING",$D$11,"NORMAL")</f>
        <v>43278</v>
      </c>
      <c r="D597" s="20">
        <f ca="1">_xll.meDateFromTenor(C597,"1D","Following",$D$11,"Normal")</f>
        <v>43279</v>
      </c>
      <c r="E597" s="99">
        <f ca="1"/>
        <v>1.0018691107687197E-2</v>
      </c>
      <c r="F597" s="161">
        <f ca="1">_xll.meCurveForwardRates(C597,$D$9,$D$10)</f>
        <v>1.0068905407385254E-2</v>
      </c>
      <c r="G597" s="7" t="s">
        <v>4</v>
      </c>
      <c r="H597" s="149">
        <f t="shared" ca="1" si="18"/>
        <v>43278</v>
      </c>
      <c r="I597" s="20">
        <f ca="1">_xll.meDateFromTenor(H597,"3M","Following",$I$11,"Normal")</f>
        <v>43370</v>
      </c>
      <c r="J597" s="150">
        <f ca="1"/>
        <v>1.3019957334628938E-2</v>
      </c>
      <c r="K597" s="7" t="s">
        <v>4</v>
      </c>
      <c r="L597" s="149" t="e">
        <f ca="1">_xll.meDateFromTenor(L596,"1D","FOLLOWING",#REF!,"NORMAL")</f>
        <v>#VALUE!</v>
      </c>
      <c r="M597" s="155">
        <f ca="1">_xll.meDateYearFraction(C597,D597,$M$11)</f>
        <v>2.7777777777777779E-3</v>
      </c>
      <c r="N597" s="150">
        <f ca="1"/>
        <v>-2.4300000000065936E-3</v>
      </c>
      <c r="O597" s="7" t="s">
        <v>4</v>
      </c>
      <c r="P597" s="149">
        <f t="shared" ca="1" si="19"/>
        <v>43278</v>
      </c>
      <c r="Q597" s="155">
        <f ca="1">_xll.meDateYearFraction(H597,I597,$Q$11,TRUE)</f>
        <v>0.25555555555555554</v>
      </c>
      <c r="R597" s="150">
        <f ca="1">IF(NOW(),_xll.meCurveForwardRatesFromYearFraction(P597,Q597,$Q$11,$Q$9,$Q$10))</f>
        <v>-3.0255238395824318E-3</v>
      </c>
      <c r="S597" s="134" t="s">
        <v>4</v>
      </c>
    </row>
    <row r="598" spans="1:19" x14ac:dyDescent="0.25">
      <c r="A598" s="128">
        <v>582</v>
      </c>
      <c r="B598" s="133"/>
      <c r="C598" s="149">
        <f ca="1">_xll.meDateFromTenor(C597,"1D","FOLLOWING",$D$11,"NORMAL")</f>
        <v>43279</v>
      </c>
      <c r="D598" s="20">
        <f ca="1">_xll.meDateFromTenor(C598,"1D","Following",$D$11,"Normal")</f>
        <v>43280</v>
      </c>
      <c r="E598" s="99">
        <f ca="1"/>
        <v>1.0020741207137399E-2</v>
      </c>
      <c r="F598" s="161">
        <f ca="1">_xll.meCurveForwardRates(C598,$D$9,$D$10)</f>
        <v>1.0070976093583095E-2</v>
      </c>
      <c r="G598" s="7" t="s">
        <v>4</v>
      </c>
      <c r="H598" s="149">
        <f t="shared" ca="1" si="18"/>
        <v>43279</v>
      </c>
      <c r="I598" s="20">
        <f ca="1">_xll.meDateFromTenor(H598,"3M","Following",$I$11,"Normal")</f>
        <v>43371</v>
      </c>
      <c r="J598" s="150">
        <f ca="1"/>
        <v>1.3026590152891118E-2</v>
      </c>
      <c r="K598" s="7" t="s">
        <v>4</v>
      </c>
      <c r="L598" s="149" t="e">
        <f ca="1">_xll.meDateFromTenor(L597,"1D","FOLLOWING",#REF!,"NORMAL")</f>
        <v>#VALUE!</v>
      </c>
      <c r="M598" s="155">
        <f ca="1">_xll.meDateYearFraction(C598,D598,$M$11)</f>
        <v>2.7777777777777779E-3</v>
      </c>
      <c r="N598" s="150">
        <f ca="1"/>
        <v>-2.4300000000065936E-3</v>
      </c>
      <c r="O598" s="7" t="s">
        <v>4</v>
      </c>
      <c r="P598" s="149">
        <f t="shared" ca="1" si="19"/>
        <v>43279</v>
      </c>
      <c r="Q598" s="155">
        <f ca="1">_xll.meDateYearFraction(H598,I598,$Q$11,TRUE)</f>
        <v>0.25555555555555554</v>
      </c>
      <c r="R598" s="150">
        <f ca="1">IF(NOW(),_xll.meCurveForwardRatesFromYearFraction(P598,Q598,$Q$11,$Q$9,$Q$10))</f>
        <v>-3.7175485397107962E-3</v>
      </c>
      <c r="S598" s="134" t="s">
        <v>4</v>
      </c>
    </row>
    <row r="599" spans="1:19" x14ac:dyDescent="0.25">
      <c r="A599" s="128">
        <v>583</v>
      </c>
      <c r="B599" s="133"/>
      <c r="C599" s="149">
        <f ca="1">_xll.meDateFromTenor(C598,"1D","FOLLOWING",$D$11,"NORMAL")</f>
        <v>43280</v>
      </c>
      <c r="D599" s="20">
        <f ca="1">_xll.meDateFromTenor(C599,"1D","Following",$D$11,"Normal")</f>
        <v>43283</v>
      </c>
      <c r="E599" s="99">
        <f ca="1"/>
        <v>1.0025159926208041E-2</v>
      </c>
      <c r="F599" s="161">
        <f ca="1">_xll.meCurveForwardRates(C599,$D$9,$D$10)</f>
        <v>1.0073058708681248E-2</v>
      </c>
      <c r="G599" s="7" t="s">
        <v>4</v>
      </c>
      <c r="H599" s="149">
        <f t="shared" ca="1" si="18"/>
        <v>43280</v>
      </c>
      <c r="I599" s="20">
        <f ca="1">_xll.meDateFromTenor(H599,"3M","Following",$I$11,"Normal")</f>
        <v>43374</v>
      </c>
      <c r="J599" s="150">
        <f ca="1"/>
        <v>1.3033222971153299E-2</v>
      </c>
      <c r="K599" s="7" t="s">
        <v>4</v>
      </c>
      <c r="L599" s="149" t="e">
        <f ca="1">_xll.meDateFromTenor(L598,"1D","FOLLOWING",#REF!,"NORMAL")</f>
        <v>#VALUE!</v>
      </c>
      <c r="M599" s="155">
        <f ca="1">_xll.meDateYearFraction(C599,D599,$M$11)</f>
        <v>8.3333333333333332E-3</v>
      </c>
      <c r="N599" s="150">
        <f ca="1"/>
        <v>-2.4300000000065936E-3</v>
      </c>
      <c r="O599" s="7" t="s">
        <v>4</v>
      </c>
      <c r="P599" s="149">
        <f t="shared" ca="1" si="19"/>
        <v>43280</v>
      </c>
      <c r="Q599" s="155">
        <f ca="1">_xll.meDateYearFraction(H599,I599,$Q$11,TRUE)</f>
        <v>0.26111111111111113</v>
      </c>
      <c r="R599" s="150">
        <f ca="1">IF(NOW(),_xll.meCurveForwardRatesFromYearFraction(P599,Q599,$Q$11,$Q$9,$Q$10))</f>
        <v>-3.0250811230646169E-3</v>
      </c>
      <c r="S599" s="134" t="s">
        <v>4</v>
      </c>
    </row>
    <row r="600" spans="1:19" x14ac:dyDescent="0.25">
      <c r="A600" s="128">
        <v>584</v>
      </c>
      <c r="B600" s="133"/>
      <c r="C600" s="149">
        <f ca="1">_xll.meDateFromTenor(C599,"1D","FOLLOWING",$D$11,"NORMAL")</f>
        <v>43283</v>
      </c>
      <c r="D600" s="20">
        <f ca="1">_xll.meDateFromTenor(C600,"1D","Following",$D$11,"Normal")</f>
        <v>43284</v>
      </c>
      <c r="E600" s="99">
        <f ca="1"/>
        <v>1.002905967912863E-2</v>
      </c>
      <c r="F600" s="161">
        <f ca="1">_xll.meCurveForwardRates(C600,$D$9,$D$10)</f>
        <v>1.0079378141681472E-2</v>
      </c>
      <c r="G600" s="7" t="s">
        <v>4</v>
      </c>
      <c r="H600" s="149">
        <f t="shared" ca="1" si="18"/>
        <v>43283</v>
      </c>
      <c r="I600" s="20">
        <f ca="1">_xll.meDateFromTenor(H600,"3M","Following",$I$11,"Normal")</f>
        <v>43375</v>
      </c>
      <c r="J600" s="150">
        <f ca="1"/>
        <v>1.3053121425939842E-2</v>
      </c>
      <c r="K600" s="7" t="s">
        <v>4</v>
      </c>
      <c r="L600" s="149" t="e">
        <f ca="1">_xll.meDateFromTenor(L599,"1D","FOLLOWING",#REF!,"NORMAL")</f>
        <v>#VALUE!</v>
      </c>
      <c r="M600" s="155">
        <f ca="1">_xll.meDateYearFraction(C600,D600,$M$11)</f>
        <v>2.7777777777777779E-3</v>
      </c>
      <c r="N600" s="150">
        <f ca="1"/>
        <v>-2.4300000000065936E-3</v>
      </c>
      <c r="O600" s="7" t="s">
        <v>4</v>
      </c>
      <c r="P600" s="149">
        <f t="shared" ca="1" si="19"/>
        <v>43283</v>
      </c>
      <c r="Q600" s="155">
        <f ca="1">_xll.meDateYearFraction(H600,I600,$Q$11,TRUE)</f>
        <v>0.25555555555555554</v>
      </c>
      <c r="R600" s="150">
        <f ca="1">IF(NOW(),_xll.meCurveForwardRatesFromYearFraction(P600,Q600,$Q$11,$Q$9,$Q$10))</f>
        <v>-3.7175485397107962E-3</v>
      </c>
      <c r="S600" s="134" t="s">
        <v>4</v>
      </c>
    </row>
    <row r="601" spans="1:19" x14ac:dyDescent="0.25">
      <c r="A601" s="128">
        <v>585</v>
      </c>
      <c r="B601" s="133"/>
      <c r="C601" s="149">
        <f ca="1">_xll.meDateFromTenor(C600,"1D","FOLLOWING",$D$11,"NORMAL")</f>
        <v>43284</v>
      </c>
      <c r="D601" s="20">
        <f ca="1">_xll.meDateFromTenor(C601,"1D","Following",$D$11,"Normal")</f>
        <v>43286</v>
      </c>
      <c r="E601" s="99">
        <f ca="1"/>
        <v>1.0032369085957208E-2</v>
      </c>
      <c r="F601" s="161">
        <f ca="1">_xll.meCurveForwardRates(C601,$D$9,$D$10)</f>
        <v>1.0081508486686097E-2</v>
      </c>
      <c r="G601" s="7" t="s">
        <v>4</v>
      </c>
      <c r="H601" s="149">
        <f t="shared" ca="1" si="18"/>
        <v>43284</v>
      </c>
      <c r="I601" s="20">
        <f ca="1">_xll.meDateFromTenor(H601,"3M","Following",$I$11,"Normal")</f>
        <v>43376</v>
      </c>
      <c r="J601" s="150">
        <f ca="1"/>
        <v>1.3059754244202021E-2</v>
      </c>
      <c r="K601" s="7" t="s">
        <v>4</v>
      </c>
      <c r="L601" s="149" t="e">
        <f ca="1">_xll.meDateFromTenor(L600,"1D","FOLLOWING",#REF!,"NORMAL")</f>
        <v>#VALUE!</v>
      </c>
      <c r="M601" s="155">
        <f ca="1">_xll.meDateYearFraction(C601,D601,$M$11)</f>
        <v>5.5555555555555558E-3</v>
      </c>
      <c r="N601" s="150">
        <f ca="1"/>
        <v>-2.4300000000065936E-3</v>
      </c>
      <c r="O601" s="7" t="s">
        <v>4</v>
      </c>
      <c r="P601" s="149">
        <f t="shared" ca="1" si="19"/>
        <v>43284</v>
      </c>
      <c r="Q601" s="155">
        <f ca="1">_xll.meDateYearFraction(H601,I601,$Q$11,TRUE)</f>
        <v>0.25555555555555554</v>
      </c>
      <c r="R601" s="150">
        <f ca="1">IF(NOW(),_xll.meCurveForwardRatesFromYearFraction(P601,Q601,$Q$11,$Q$9,$Q$10))</f>
        <v>-3.0241956900289879E-3</v>
      </c>
      <c r="S601" s="134" t="s">
        <v>4</v>
      </c>
    </row>
    <row r="602" spans="1:19" x14ac:dyDescent="0.25">
      <c r="A602" s="128">
        <v>586</v>
      </c>
      <c r="B602" s="133"/>
      <c r="C602" s="149">
        <f ca="1">_xll.meDateFromTenor(C601,"1D","FOLLOWING",$D$11,"NORMAL")</f>
        <v>43286</v>
      </c>
      <c r="D602" s="20">
        <f ca="1">_xll.meDateFromTenor(C602,"1D","Following",$D$11,"Normal")</f>
        <v>43287</v>
      </c>
      <c r="E602" s="99">
        <f ca="1"/>
        <v>1.0035422548480036E-2</v>
      </c>
      <c r="F602" s="161">
        <f ca="1">_xll.meCurveForwardRates(C602,$D$9,$D$10)</f>
        <v>1.0085804986146751E-2</v>
      </c>
      <c r="G602" s="7" t="s">
        <v>4</v>
      </c>
      <c r="H602" s="149">
        <f t="shared" ca="1" si="18"/>
        <v>43286</v>
      </c>
      <c r="I602" s="20">
        <f ca="1">_xll.meDateFromTenor(H602,"3M","Following",$I$11,"Normal")</f>
        <v>43378</v>
      </c>
      <c r="J602" s="150">
        <f ca="1"/>
        <v>1.3073019880726382E-2</v>
      </c>
      <c r="K602" s="7" t="s">
        <v>4</v>
      </c>
      <c r="L602" s="149" t="e">
        <f ca="1">_xll.meDateFromTenor(L601,"1D","FOLLOWING",#REF!,"NORMAL")</f>
        <v>#VALUE!</v>
      </c>
      <c r="M602" s="155">
        <f ca="1">_xll.meDateYearFraction(C602,D602,$M$11)</f>
        <v>2.7777777777777779E-3</v>
      </c>
      <c r="N602" s="150">
        <f ca="1"/>
        <v>-2.4300000000065936E-3</v>
      </c>
      <c r="O602" s="7" t="s">
        <v>4</v>
      </c>
      <c r="P602" s="149">
        <f t="shared" ca="1" si="19"/>
        <v>43286</v>
      </c>
      <c r="Q602" s="155">
        <f ca="1">_xll.meDateYearFraction(H602,I602,$Q$11,TRUE)</f>
        <v>0.25555555555555554</v>
      </c>
      <c r="R602" s="150">
        <f ca="1">IF(NOW(),_xll.meCurveForwardRatesFromYearFraction(P602,Q602,$Q$11,$Q$9,$Q$10))</f>
        <v>-3.7175485397107962E-3</v>
      </c>
      <c r="S602" s="134" t="s">
        <v>4</v>
      </c>
    </row>
    <row r="603" spans="1:19" x14ac:dyDescent="0.25">
      <c r="A603" s="128">
        <v>587</v>
      </c>
      <c r="B603" s="133"/>
      <c r="C603" s="149">
        <f ca="1">_xll.meDateFromTenor(C602,"1D","FOLLOWING",$D$11,"NORMAL")</f>
        <v>43287</v>
      </c>
      <c r="D603" s="20">
        <f ca="1">_xll.meDateFromTenor(C603,"1D","Following",$D$11,"Normal")</f>
        <v>43290</v>
      </c>
      <c r="E603" s="99">
        <f ca="1"/>
        <v>1.0040007467857529E-2</v>
      </c>
      <c r="F603" s="161">
        <f ca="1">_xll.meCurveForwardRates(C603,$D$9,$D$10)</f>
        <v>1.0087971143661001E-2</v>
      </c>
      <c r="G603" s="7" t="s">
        <v>4</v>
      </c>
      <c r="H603" s="149">
        <f t="shared" ca="1" si="18"/>
        <v>43287</v>
      </c>
      <c r="I603" s="20">
        <f ca="1">_xll.meDateFromTenor(H603,"3M","Following",$I$11,"Normal")</f>
        <v>43382</v>
      </c>
      <c r="J603" s="150">
        <f ca="1"/>
        <v>1.3079652698988564E-2</v>
      </c>
      <c r="K603" s="7" t="s">
        <v>4</v>
      </c>
      <c r="L603" s="149" t="e">
        <f ca="1">_xll.meDateFromTenor(L602,"1D","FOLLOWING",#REF!,"NORMAL")</f>
        <v>#VALUE!</v>
      </c>
      <c r="M603" s="155">
        <f ca="1">_xll.meDateYearFraction(C603,D603,$M$11)</f>
        <v>8.3333333333333332E-3</v>
      </c>
      <c r="N603" s="150">
        <f ca="1"/>
        <v>-2.4300000000065936E-3</v>
      </c>
      <c r="O603" s="7" t="s">
        <v>4</v>
      </c>
      <c r="P603" s="149">
        <f t="shared" ca="1" si="19"/>
        <v>43287</v>
      </c>
      <c r="Q603" s="155">
        <f ca="1">_xll.meDateYearFraction(H603,I603,$Q$11,TRUE)</f>
        <v>0.2638888888888889</v>
      </c>
      <c r="R603" s="150">
        <f ca="1">IF(NOW(),_xll.meCurveForwardRatesFromYearFraction(P603,Q603,$Q$11,$Q$9,$Q$10))</f>
        <v>-3.7175485397107962E-3</v>
      </c>
      <c r="S603" s="134" t="s">
        <v>4</v>
      </c>
    </row>
    <row r="604" spans="1:19" x14ac:dyDescent="0.25">
      <c r="A604" s="128">
        <v>588</v>
      </c>
      <c r="B604" s="133"/>
      <c r="C604" s="149">
        <f ca="1">_xll.meDateFromTenor(C603,"1D","FOLLOWING",$D$11,"NORMAL")</f>
        <v>43290</v>
      </c>
      <c r="D604" s="20">
        <f ca="1">_xll.meDateFromTenor(C604,"1D","Following",$D$11,"Normal")</f>
        <v>43291</v>
      </c>
      <c r="E604" s="99">
        <f ca="1"/>
        <v>1.0044071797477053E-2</v>
      </c>
      <c r="F604" s="161">
        <f ca="1">_xll.meCurveForwardRates(C604,$D$9,$D$10)</f>
        <v>1.0094541263924395E-2</v>
      </c>
      <c r="G604" s="7" t="s">
        <v>4</v>
      </c>
      <c r="H604" s="149">
        <f t="shared" ca="1" si="18"/>
        <v>43290</v>
      </c>
      <c r="I604" s="20">
        <f ca="1">_xll.meDateFromTenor(H604,"3M","Following",$I$11,"Normal")</f>
        <v>43382</v>
      </c>
      <c r="J604" s="150">
        <f ca="1"/>
        <v>1.3099551153775105E-2</v>
      </c>
      <c r="K604" s="7" t="s">
        <v>4</v>
      </c>
      <c r="L604" s="149" t="e">
        <f ca="1">_xll.meDateFromTenor(L603,"1D","FOLLOWING",#REF!,"NORMAL")</f>
        <v>#VALUE!</v>
      </c>
      <c r="M604" s="155">
        <f ca="1">_xll.meDateYearFraction(C604,D604,$M$11)</f>
        <v>2.7777777777777779E-3</v>
      </c>
      <c r="N604" s="150">
        <f ca="1"/>
        <v>-2.4300000000065936E-3</v>
      </c>
      <c r="O604" s="7" t="s">
        <v>4</v>
      </c>
      <c r="P604" s="149">
        <f t="shared" ca="1" si="19"/>
        <v>43290</v>
      </c>
      <c r="Q604" s="155">
        <f ca="1">_xll.meDateYearFraction(H604,I604,$Q$11,TRUE)</f>
        <v>0.25555555555555554</v>
      </c>
      <c r="R604" s="150">
        <f ca="1">IF(NOW(),_xll.meCurveForwardRatesFromYearFraction(P604,Q604,$Q$11,$Q$9,$Q$10))</f>
        <v>-3.7175485397107962E-3</v>
      </c>
      <c r="S604" s="134" t="s">
        <v>4</v>
      </c>
    </row>
    <row r="605" spans="1:19" x14ac:dyDescent="0.25">
      <c r="A605" s="128">
        <v>589</v>
      </c>
      <c r="B605" s="133"/>
      <c r="C605" s="149">
        <f ca="1">_xll.meDateFromTenor(C604,"1D","FOLLOWING",$D$11,"NORMAL")</f>
        <v>43291</v>
      </c>
      <c r="D605" s="20">
        <f ca="1">_xll.meDateFromTenor(C605,"1D","Following",$D$11,"Normal")</f>
        <v>43292</v>
      </c>
      <c r="E605" s="99">
        <f ca="1"/>
        <v>1.0046263658409807E-2</v>
      </c>
      <c r="F605" s="161">
        <f ca="1">_xll.meCurveForwardRates(C605,$D$9,$D$10)</f>
        <v>1.0096755191338458E-2</v>
      </c>
      <c r="G605" s="7" t="s">
        <v>4</v>
      </c>
      <c r="H605" s="149">
        <f t="shared" ca="1" si="18"/>
        <v>43291</v>
      </c>
      <c r="I605" s="20">
        <f ca="1">_xll.meDateFromTenor(H605,"3M","Following",$I$11,"Normal")</f>
        <v>43383</v>
      </c>
      <c r="J605" s="150">
        <f ca="1"/>
        <v>1.3106183972037286E-2</v>
      </c>
      <c r="K605" s="7" t="s">
        <v>4</v>
      </c>
      <c r="L605" s="149" t="e">
        <f ca="1">_xll.meDateFromTenor(L604,"1D","FOLLOWING",#REF!,"NORMAL")</f>
        <v>#VALUE!</v>
      </c>
      <c r="M605" s="155">
        <f ca="1">_xll.meDateYearFraction(C605,D605,$M$11)</f>
        <v>2.7777777777777779E-3</v>
      </c>
      <c r="N605" s="150">
        <f ca="1"/>
        <v>-2.4300000000065936E-3</v>
      </c>
      <c r="O605" s="7" t="s">
        <v>4</v>
      </c>
      <c r="P605" s="149">
        <f t="shared" ca="1" si="19"/>
        <v>43291</v>
      </c>
      <c r="Q605" s="155">
        <f ca="1">_xll.meDateYearFraction(H605,I605,$Q$11,TRUE)</f>
        <v>0.25555555555555554</v>
      </c>
      <c r="R605" s="150">
        <f ca="1">IF(NOW(),_xll.meCurveForwardRatesFromYearFraction(P605,Q605,$Q$11,$Q$9,$Q$10))</f>
        <v>-3.0226461822166362E-3</v>
      </c>
      <c r="S605" s="134" t="s">
        <v>4</v>
      </c>
    </row>
    <row r="606" spans="1:19" x14ac:dyDescent="0.25">
      <c r="A606" s="128">
        <v>590</v>
      </c>
      <c r="B606" s="133"/>
      <c r="C606" s="149">
        <f ca="1">_xll.meDateFromTenor(C605,"1D","FOLLOWING",$D$11,"NORMAL")</f>
        <v>43292</v>
      </c>
      <c r="D606" s="20">
        <f ca="1">_xll.meDateFromTenor(C606,"1D","Following",$D$11,"Normal")</f>
        <v>43293</v>
      </c>
      <c r="E606" s="99">
        <f ca="1"/>
        <v>1.0048467341645698E-2</v>
      </c>
      <c r="F606" s="161">
        <f ca="1">_xll.meCurveForwardRates(C606,$D$9,$D$10)</f>
        <v>1.0098981064954327E-2</v>
      </c>
      <c r="G606" s="7" t="s">
        <v>4</v>
      </c>
      <c r="H606" s="149">
        <f t="shared" ca="1" si="18"/>
        <v>43292</v>
      </c>
      <c r="I606" s="20">
        <f ca="1">_xll.meDateFromTenor(H606,"3M","Following",$I$11,"Normal")</f>
        <v>43384</v>
      </c>
      <c r="J606" s="150">
        <f ca="1"/>
        <v>1.3112816790299466E-2</v>
      </c>
      <c r="K606" s="7" t="s">
        <v>4</v>
      </c>
      <c r="L606" s="149" t="e">
        <f ca="1">_xll.meDateFromTenor(L605,"1D","FOLLOWING",#REF!,"NORMAL")</f>
        <v>#VALUE!</v>
      </c>
      <c r="M606" s="155">
        <f ca="1">_xll.meDateYearFraction(C606,D606,$M$11)</f>
        <v>2.7777777777777779E-3</v>
      </c>
      <c r="N606" s="150">
        <f ca="1"/>
        <v>-2.4300000000065936E-3</v>
      </c>
      <c r="O606" s="7" t="s">
        <v>4</v>
      </c>
      <c r="P606" s="149">
        <f t="shared" ca="1" si="19"/>
        <v>43292</v>
      </c>
      <c r="Q606" s="155">
        <f ca="1">_xll.meDateYearFraction(H606,I606,$Q$11,TRUE)</f>
        <v>0.25555555555555554</v>
      </c>
      <c r="R606" s="150">
        <f ca="1">IF(NOW(),_xll.meCurveForwardRatesFromYearFraction(P606,Q606,$Q$11,$Q$9,$Q$10))</f>
        <v>-3.7175485397107962E-3</v>
      </c>
      <c r="S606" s="134" t="s">
        <v>4</v>
      </c>
    </row>
    <row r="607" spans="1:19" x14ac:dyDescent="0.25">
      <c r="A607" s="128">
        <v>591</v>
      </c>
      <c r="B607" s="133"/>
      <c r="C607" s="149">
        <f ca="1">_xll.meDateFromTenor(C606,"1D","FOLLOWING",$D$11,"NORMAL")</f>
        <v>43293</v>
      </c>
      <c r="D607" s="20">
        <f ca="1">_xll.meDateFromTenor(C607,"1D","Following",$D$11,"Normal")</f>
        <v>43294</v>
      </c>
      <c r="E607" s="99">
        <f ca="1"/>
        <v>1.0050682848463702E-2</v>
      </c>
      <c r="F607" s="161">
        <f ca="1">_xll.meCurveForwardRates(C607,$D$9,$D$10)</f>
        <v>1.0101218886142904E-2</v>
      </c>
      <c r="G607" s="7" t="s">
        <v>4</v>
      </c>
      <c r="H607" s="149">
        <f t="shared" ca="1" si="18"/>
        <v>43293</v>
      </c>
      <c r="I607" s="20">
        <f ca="1">_xll.meDateFromTenor(H607,"3M","Following",$I$11,"Normal")</f>
        <v>43385</v>
      </c>
      <c r="J607" s="150">
        <f ca="1"/>
        <v>1.3119449608561647E-2</v>
      </c>
      <c r="K607" s="7" t="s">
        <v>4</v>
      </c>
      <c r="L607" s="149" t="e">
        <f ca="1">_xll.meDateFromTenor(L606,"1D","FOLLOWING",#REF!,"NORMAL")</f>
        <v>#VALUE!</v>
      </c>
      <c r="M607" s="155">
        <f ca="1">_xll.meDateYearFraction(C607,D607,$M$11)</f>
        <v>2.7777777777777779E-3</v>
      </c>
      <c r="N607" s="150">
        <f ca="1"/>
        <v>-2.4300000000065936E-3</v>
      </c>
      <c r="O607" s="7" t="s">
        <v>4</v>
      </c>
      <c r="P607" s="149">
        <f t="shared" ca="1" si="19"/>
        <v>43293</v>
      </c>
      <c r="Q607" s="155">
        <f ca="1">_xll.meDateYearFraction(H607,I607,$Q$11,TRUE)</f>
        <v>0.25555555555555554</v>
      </c>
      <c r="R607" s="150">
        <f ca="1">IF(NOW(),_xll.meCurveForwardRatesFromYearFraction(P607,Q607,$Q$11,$Q$9,$Q$10))</f>
        <v>-3.0222034656988217E-3</v>
      </c>
      <c r="S607" s="134" t="s">
        <v>4</v>
      </c>
    </row>
    <row r="608" spans="1:19" x14ac:dyDescent="0.25">
      <c r="A608" s="128">
        <v>592</v>
      </c>
      <c r="B608" s="133"/>
      <c r="C608" s="149">
        <f ca="1">_xll.meDateFromTenor(C607,"1D","FOLLOWING",$D$11,"NORMAL")</f>
        <v>43294</v>
      </c>
      <c r="D608" s="20">
        <f ca="1">_xll.meDateFromTenor(C608,"1D","Following",$D$11,"Normal")</f>
        <v>43297</v>
      </c>
      <c r="E608" s="99">
        <f ca="1"/>
        <v>1.0055434133615149E-2</v>
      </c>
      <c r="F608" s="161">
        <f ca="1">_xll.meCurveForwardRates(C608,$D$9,$D$10)</f>
        <v>1.0103468656274872E-2</v>
      </c>
      <c r="G608" s="7" t="s">
        <v>4</v>
      </c>
      <c r="H608" s="149">
        <f t="shared" ca="1" si="18"/>
        <v>43294</v>
      </c>
      <c r="I608" s="20">
        <f ca="1">_xll.meDateFromTenor(H608,"3M","Following",$I$11,"Normal")</f>
        <v>43388</v>
      </c>
      <c r="J608" s="150">
        <f ca="1"/>
        <v>1.3126082426823829E-2</v>
      </c>
      <c r="K608" s="7" t="s">
        <v>4</v>
      </c>
      <c r="L608" s="149" t="e">
        <f ca="1">_xll.meDateFromTenor(L607,"1D","FOLLOWING",#REF!,"NORMAL")</f>
        <v>#VALUE!</v>
      </c>
      <c r="M608" s="155">
        <f ca="1">_xll.meDateYearFraction(C608,D608,$M$11)</f>
        <v>8.3333333333333332E-3</v>
      </c>
      <c r="N608" s="150">
        <f ca="1"/>
        <v>-2.4300000000065936E-3</v>
      </c>
      <c r="O608" s="7" t="s">
        <v>4</v>
      </c>
      <c r="P608" s="149">
        <f t="shared" ca="1" si="19"/>
        <v>43294</v>
      </c>
      <c r="Q608" s="155">
        <f ca="1">_xll.meDateYearFraction(H608,I608,$Q$11,TRUE)</f>
        <v>0.26111111111111113</v>
      </c>
      <c r="R608" s="150">
        <f ca="1">IF(NOW(),_xll.meCurveForwardRatesFromYearFraction(P608,Q608,$Q$11,$Q$9,$Q$10))</f>
        <v>-3.0219821074399145E-3</v>
      </c>
      <c r="S608" s="134" t="s">
        <v>4</v>
      </c>
    </row>
    <row r="609" spans="1:19" x14ac:dyDescent="0.25">
      <c r="A609" s="128">
        <v>593</v>
      </c>
      <c r="B609" s="133"/>
      <c r="C609" s="149">
        <f ca="1">_xll.meDateFromTenor(C608,"1D","FOLLOWING",$D$11,"NORMAL")</f>
        <v>43297</v>
      </c>
      <c r="D609" s="20">
        <f ca="1">_xll.meDateFromTenor(C609,"1D","Following",$D$11,"Normal")</f>
        <v>43298</v>
      </c>
      <c r="E609" s="99">
        <f ca="1"/>
        <v>1.0059663138335432E-2</v>
      </c>
      <c r="F609" s="161">
        <f ca="1">_xll.meCurveForwardRates(C609,$D$9,$D$10)</f>
        <v>1.0110289675260731E-2</v>
      </c>
      <c r="G609" s="7" t="s">
        <v>4</v>
      </c>
      <c r="H609" s="149">
        <f t="shared" ca="1" si="18"/>
        <v>43297</v>
      </c>
      <c r="I609" s="20">
        <f ca="1">_xll.meDateFromTenor(H609,"3M","Following",$I$11,"Normal")</f>
        <v>43389</v>
      </c>
      <c r="J609" s="150">
        <f ca="1"/>
        <v>1.3145980881610368E-2</v>
      </c>
      <c r="K609" s="7" t="s">
        <v>4</v>
      </c>
      <c r="L609" s="149" t="e">
        <f ca="1">_xll.meDateFromTenor(L608,"1D","FOLLOWING",#REF!,"NORMAL")</f>
        <v>#VALUE!</v>
      </c>
      <c r="M609" s="155">
        <f ca="1">_xll.meDateYearFraction(C609,D609,$M$11)</f>
        <v>2.7777777777777779E-3</v>
      </c>
      <c r="N609" s="150">
        <f ca="1"/>
        <v>-2.4300000000065936E-3</v>
      </c>
      <c r="O609" s="7" t="s">
        <v>4</v>
      </c>
      <c r="P609" s="149">
        <f t="shared" ca="1" si="19"/>
        <v>43297</v>
      </c>
      <c r="Q609" s="155">
        <f ca="1">_xll.meDateYearFraction(H609,I609,$Q$11,TRUE)</f>
        <v>0.25555555555555554</v>
      </c>
      <c r="R609" s="150">
        <f ca="1">IF(NOW(),_xll.meCurveForwardRatesFromYearFraction(P609,Q609,$Q$11,$Q$9,$Q$10))</f>
        <v>-3.0213180326631927E-3</v>
      </c>
      <c r="S609" s="134" t="s">
        <v>4</v>
      </c>
    </row>
    <row r="610" spans="1:19" x14ac:dyDescent="0.25">
      <c r="A610" s="128">
        <v>594</v>
      </c>
      <c r="B610" s="133"/>
      <c r="C610" s="149">
        <f ca="1">_xll.meDateFromTenor(C609,"1D","FOLLOWING",$D$11,"NORMAL")</f>
        <v>43298</v>
      </c>
      <c r="D610" s="20">
        <f ca="1">_xll.meDateFromTenor(C610,"1D","Following",$D$11,"Normal")</f>
        <v>43299</v>
      </c>
      <c r="E610" s="99">
        <f ca="1"/>
        <v>1.0061937783287825E-2</v>
      </c>
      <c r="F610" s="161">
        <f ca="1">_xll.meCurveForwardRates(C610,$D$9,$D$10)</f>
        <v>1.0112587255936001E-2</v>
      </c>
      <c r="G610" s="7" t="s">
        <v>4</v>
      </c>
      <c r="H610" s="149">
        <f t="shared" ca="1" si="18"/>
        <v>43298</v>
      </c>
      <c r="I610" s="20">
        <f ca="1">_xll.meDateFromTenor(H610,"3M","Following",$I$11,"Normal")</f>
        <v>43390</v>
      </c>
      <c r="J610" s="150">
        <f ca="1"/>
        <v>1.3152613699872549E-2</v>
      </c>
      <c r="K610" s="7" t="s">
        <v>4</v>
      </c>
      <c r="L610" s="149" t="e">
        <f ca="1">_xll.meDateFromTenor(L609,"1D","FOLLOWING",#REF!,"NORMAL")</f>
        <v>#VALUE!</v>
      </c>
      <c r="M610" s="155">
        <f ca="1">_xll.meDateYearFraction(C610,D610,$M$11)</f>
        <v>2.7777777777777779E-3</v>
      </c>
      <c r="N610" s="150">
        <f ca="1"/>
        <v>-2.4300000000065936E-3</v>
      </c>
      <c r="O610" s="7" t="s">
        <v>4</v>
      </c>
      <c r="P610" s="149">
        <f t="shared" ca="1" si="19"/>
        <v>43298</v>
      </c>
      <c r="Q610" s="155">
        <f ca="1">_xll.meDateYearFraction(H610,I610,$Q$11,TRUE)</f>
        <v>0.25555555555555554</v>
      </c>
      <c r="R610" s="150">
        <f ca="1">IF(NOW(),_xll.meCurveForwardRatesFromYearFraction(P610,Q610,$Q$11,$Q$9,$Q$10))</f>
        <v>-3.0210966744042855E-3</v>
      </c>
      <c r="S610" s="134" t="s">
        <v>4</v>
      </c>
    </row>
    <row r="611" spans="1:19" x14ac:dyDescent="0.25">
      <c r="A611" s="128">
        <v>595</v>
      </c>
      <c r="B611" s="133"/>
      <c r="C611" s="149">
        <f ca="1">_xll.meDateFromTenor(C610,"1D","FOLLOWING",$D$11,"NORMAL")</f>
        <v>43299</v>
      </c>
      <c r="D611" s="20">
        <f ca="1">_xll.meDateFromTenor(C611,"1D","Following",$D$11,"Normal")</f>
        <v>43300</v>
      </c>
      <c r="E611" s="99">
        <f ca="1"/>
        <v>1.0064224259895874E-2</v>
      </c>
      <c r="F611" s="161">
        <f ca="1">_xll.meCurveForwardRates(C611,$D$9,$D$10)</f>
        <v>1.0114896792819961E-2</v>
      </c>
      <c r="G611" s="7" t="s">
        <v>4</v>
      </c>
      <c r="H611" s="149">
        <f t="shared" ca="1" si="18"/>
        <v>43299</v>
      </c>
      <c r="I611" s="20">
        <f ca="1">_xll.meDateFromTenor(H611,"3M","Following",$I$11,"Normal")</f>
        <v>43391</v>
      </c>
      <c r="J611" s="150">
        <f ca="1"/>
        <v>1.3159246518134731E-2</v>
      </c>
      <c r="K611" s="7" t="s">
        <v>4</v>
      </c>
      <c r="L611" s="149" t="e">
        <f ca="1">_xll.meDateFromTenor(L610,"1D","FOLLOWING",#REF!,"NORMAL")</f>
        <v>#VALUE!</v>
      </c>
      <c r="M611" s="155">
        <f ca="1">_xll.meDateYearFraction(C611,D611,$M$11)</f>
        <v>2.7777777777777779E-3</v>
      </c>
      <c r="N611" s="150">
        <f ca="1"/>
        <v>-2.4300000000065936E-3</v>
      </c>
      <c r="O611" s="7" t="s">
        <v>4</v>
      </c>
      <c r="P611" s="149">
        <f t="shared" ca="1" si="19"/>
        <v>43299</v>
      </c>
      <c r="Q611" s="155">
        <f ca="1">_xll.meDateYearFraction(H611,I611,$Q$11,TRUE)</f>
        <v>0.25555555555555554</v>
      </c>
      <c r="R611" s="150">
        <f ca="1">IF(NOW(),_xll.meCurveForwardRatesFromYearFraction(P611,Q611,$Q$11,$Q$9,$Q$10))</f>
        <v>-3.7175485397107962E-3</v>
      </c>
      <c r="S611" s="134" t="s">
        <v>4</v>
      </c>
    </row>
    <row r="612" spans="1:19" x14ac:dyDescent="0.25">
      <c r="A612" s="128">
        <v>596</v>
      </c>
      <c r="B612" s="133"/>
      <c r="C612" s="149">
        <f ca="1">_xll.meDateFromTenor(C611,"1D","FOLLOWING",$D$11,"NORMAL")</f>
        <v>43300</v>
      </c>
      <c r="D612" s="20">
        <f ca="1">_xll.meDateFromTenor(C612,"1D","Following",$D$11,"Normal")</f>
        <v>43301</v>
      </c>
      <c r="E612" s="99">
        <f ca="1"/>
        <v>1.0066522569518491E-2</v>
      </c>
      <c r="F612" s="161">
        <f ca="1">_xll.meCurveForwardRates(C612,$D$9,$D$10)</f>
        <v>1.0117218287367447E-2</v>
      </c>
      <c r="G612" s="7" t="s">
        <v>4</v>
      </c>
      <c r="H612" s="149">
        <f t="shared" ca="1" si="18"/>
        <v>43300</v>
      </c>
      <c r="I612" s="20">
        <f ca="1">_xll.meDateFromTenor(H612,"3M","Following",$I$11,"Normal")</f>
        <v>43392</v>
      </c>
      <c r="J612" s="150">
        <f ca="1"/>
        <v>1.316587933639691E-2</v>
      </c>
      <c r="K612" s="7" t="s">
        <v>4</v>
      </c>
      <c r="L612" s="149" t="e">
        <f ca="1">_xll.meDateFromTenor(L611,"1D","FOLLOWING",#REF!,"NORMAL")</f>
        <v>#VALUE!</v>
      </c>
      <c r="M612" s="155">
        <f ca="1">_xll.meDateYearFraction(C612,D612,$M$11)</f>
        <v>2.7777777777777779E-3</v>
      </c>
      <c r="N612" s="150">
        <f ca="1"/>
        <v>-2.4300000000065936E-3</v>
      </c>
      <c r="O612" s="7" t="s">
        <v>4</v>
      </c>
      <c r="P612" s="149">
        <f t="shared" ca="1" si="19"/>
        <v>43300</v>
      </c>
      <c r="Q612" s="155">
        <f ca="1">_xll.meDateYearFraction(H612,I612,$Q$11,TRUE)</f>
        <v>0.25555555555555554</v>
      </c>
      <c r="R612" s="150">
        <f ca="1">IF(NOW(),_xll.meCurveForwardRatesFromYearFraction(P612,Q612,$Q$11,$Q$9,$Q$10))</f>
        <v>-3.7175485397107962E-3</v>
      </c>
      <c r="S612" s="134" t="s">
        <v>4</v>
      </c>
    </row>
    <row r="613" spans="1:19" x14ac:dyDescent="0.25">
      <c r="A613" s="128">
        <v>597</v>
      </c>
      <c r="B613" s="133"/>
      <c r="C613" s="149">
        <f ca="1">_xll.meDateFromTenor(C612,"1D","FOLLOWING",$D$11,"NORMAL")</f>
        <v>43301</v>
      </c>
      <c r="D613" s="20">
        <f ca="1">_xll.meDateFromTenor(C613,"1D","Following",$D$11,"Normal")</f>
        <v>43304</v>
      </c>
      <c r="E613" s="99">
        <f ca="1"/>
        <v>1.0071440386871836E-2</v>
      </c>
      <c r="F613" s="161">
        <f ca="1">_xll.meCurveForwardRates(C613,$D$9,$D$10)</f>
        <v>1.0119551741113897E-2</v>
      </c>
      <c r="G613" s="7" t="s">
        <v>4</v>
      </c>
      <c r="H613" s="149">
        <f t="shared" ca="1" si="18"/>
        <v>43301</v>
      </c>
      <c r="I613" s="20">
        <f ca="1">_xll.meDateFromTenor(H613,"3M","Following",$I$11,"Normal")</f>
        <v>43395</v>
      </c>
      <c r="J613" s="150">
        <f ca="1"/>
        <v>1.3172512154659092E-2</v>
      </c>
      <c r="K613" s="7" t="s">
        <v>4</v>
      </c>
      <c r="L613" s="149" t="e">
        <f ca="1">_xll.meDateFromTenor(L612,"1D","FOLLOWING",#REF!,"NORMAL")</f>
        <v>#VALUE!</v>
      </c>
      <c r="M613" s="155">
        <f ca="1">_xll.meDateYearFraction(C613,D613,$M$11)</f>
        <v>8.3333333333333332E-3</v>
      </c>
      <c r="N613" s="150">
        <f ca="1"/>
        <v>-2.4300000000065936E-3</v>
      </c>
      <c r="O613" s="7" t="s">
        <v>4</v>
      </c>
      <c r="P613" s="149">
        <f t="shared" ca="1" si="19"/>
        <v>43301</v>
      </c>
      <c r="Q613" s="155">
        <f ca="1">_xll.meDateYearFraction(H613,I613,$Q$11,TRUE)</f>
        <v>0.26111111111111113</v>
      </c>
      <c r="R613" s="150">
        <f ca="1">IF(NOW(),_xll.meCurveForwardRatesFromYearFraction(P613,Q613,$Q$11,$Q$9,$Q$10))</f>
        <v>-3.0204325996275633E-3</v>
      </c>
      <c r="S613" s="134" t="s">
        <v>4</v>
      </c>
    </row>
    <row r="614" spans="1:19" x14ac:dyDescent="0.25">
      <c r="A614" s="128">
        <v>598</v>
      </c>
      <c r="B614" s="133"/>
      <c r="C614" s="149">
        <f ca="1">_xll.meDateFromTenor(C613,"1D","FOLLOWING",$D$11,"NORMAL")</f>
        <v>43304</v>
      </c>
      <c r="D614" s="20">
        <f ca="1">_xll.meDateFromTenor(C614,"1D","Following",$D$11,"Normal")</f>
        <v>43305</v>
      </c>
      <c r="E614" s="99">
        <f ca="1"/>
        <v>1.0075834165732581E-2</v>
      </c>
      <c r="F614" s="161">
        <f ca="1">_xll.meCurveForwardRates(C614,$D$9,$D$10)</f>
        <v>1.0126623871697715E-2</v>
      </c>
      <c r="G614" s="7" t="s">
        <v>4</v>
      </c>
      <c r="H614" s="149">
        <f t="shared" ca="1" si="18"/>
        <v>43304</v>
      </c>
      <c r="I614" s="20">
        <f ca="1">_xll.meDateFromTenor(H614,"3M","Following",$I$11,"Normal")</f>
        <v>43396</v>
      </c>
      <c r="J614" s="150">
        <f ca="1"/>
        <v>1.3192410609445633E-2</v>
      </c>
      <c r="K614" s="7" t="s">
        <v>4</v>
      </c>
      <c r="L614" s="149" t="e">
        <f ca="1">_xll.meDateFromTenor(L613,"1D","FOLLOWING",#REF!,"NORMAL")</f>
        <v>#VALUE!</v>
      </c>
      <c r="M614" s="155">
        <f ca="1">_xll.meDateYearFraction(C614,D614,$M$11)</f>
        <v>2.7777777777777779E-3</v>
      </c>
      <c r="N614" s="150">
        <f ca="1"/>
        <v>-2.4300000000065936E-3</v>
      </c>
      <c r="O614" s="7" t="s">
        <v>4</v>
      </c>
      <c r="P614" s="149">
        <f t="shared" ca="1" si="19"/>
        <v>43304</v>
      </c>
      <c r="Q614" s="155">
        <f ca="1">_xll.meDateYearFraction(H614,I614,$Q$11,TRUE)</f>
        <v>0.25555555555555554</v>
      </c>
      <c r="R614" s="150">
        <f ca="1">IF(NOW(),_xll.meCurveForwardRatesFromYearFraction(P614,Q614,$Q$11,$Q$9,$Q$10))</f>
        <v>-3.7175485397107962E-3</v>
      </c>
      <c r="S614" s="134" t="s">
        <v>4</v>
      </c>
    </row>
    <row r="615" spans="1:19" x14ac:dyDescent="0.25">
      <c r="A615" s="128">
        <v>599</v>
      </c>
      <c r="B615" s="133"/>
      <c r="C615" s="149">
        <f ca="1">_xll.meDateFromTenor(C614,"1D","FOLLOWING",$D$11,"NORMAL")</f>
        <v>43305</v>
      </c>
      <c r="D615" s="20">
        <f ca="1">_xll.meDateFromTenor(C615,"1D","Following",$D$11,"Normal")</f>
        <v>43306</v>
      </c>
      <c r="E615" s="99">
        <f ca="1"/>
        <v>1.0078191661051542E-2</v>
      </c>
      <c r="F615" s="161">
        <f ca="1">_xll.meCurveForwardRates(C615,$D$9,$D$10)</f>
        <v>1.0129005176635175E-2</v>
      </c>
      <c r="G615" s="7" t="s">
        <v>4</v>
      </c>
      <c r="H615" s="149">
        <f t="shared" ca="1" si="18"/>
        <v>43305</v>
      </c>
      <c r="I615" s="20">
        <f ca="1">_xll.meDateFromTenor(H615,"3M","Following",$I$11,"Normal")</f>
        <v>43397</v>
      </c>
      <c r="J615" s="150">
        <f ca="1"/>
        <v>1.3199043427707814E-2</v>
      </c>
      <c r="K615" s="7" t="s">
        <v>4</v>
      </c>
      <c r="L615" s="149" t="e">
        <f ca="1">_xll.meDateFromTenor(L614,"1D","FOLLOWING",#REF!,"NORMAL")</f>
        <v>#VALUE!</v>
      </c>
      <c r="M615" s="155">
        <f ca="1">_xll.meDateYearFraction(C615,D615,$M$11)</f>
        <v>2.7777777777777779E-3</v>
      </c>
      <c r="N615" s="150">
        <f ca="1"/>
        <v>-2.4300000000065936E-3</v>
      </c>
      <c r="O615" s="7" t="s">
        <v>4</v>
      </c>
      <c r="P615" s="149">
        <f t="shared" ca="1" si="19"/>
        <v>43305</v>
      </c>
      <c r="Q615" s="155">
        <f ca="1">_xll.meDateYearFraction(H615,I615,$Q$11,TRUE)</f>
        <v>0.25555555555555554</v>
      </c>
      <c r="R615" s="150">
        <f ca="1">IF(NOW(),_xll.meCurveForwardRatesFromYearFraction(P615,Q615,$Q$11,$Q$9,$Q$10))</f>
        <v>-3.7175485397107962E-3</v>
      </c>
      <c r="S615" s="134" t="s">
        <v>4</v>
      </c>
    </row>
    <row r="616" spans="1:19" x14ac:dyDescent="0.25">
      <c r="A616" s="128">
        <v>600</v>
      </c>
      <c r="B616" s="133"/>
      <c r="C616" s="149">
        <f ca="1">_xll.meDateFromTenor(C615,"1D","FOLLOWING",$D$11,"NORMAL")</f>
        <v>43306</v>
      </c>
      <c r="D616" s="20">
        <f ca="1">_xll.meDateFromTenor(C616,"1D","Following",$D$11,"Normal")</f>
        <v>43307</v>
      </c>
      <c r="E616" s="99">
        <f ca="1"/>
        <v>1.0080560997458613E-2</v>
      </c>
      <c r="F616" s="161">
        <f ca="1">_xll.meCurveForwardRates(C616,$D$9,$D$10)</f>
        <v>1.0131398447890794E-2</v>
      </c>
      <c r="G616" s="7" t="s">
        <v>4</v>
      </c>
      <c r="H616" s="149">
        <f t="shared" ca="1" si="18"/>
        <v>43306</v>
      </c>
      <c r="I616" s="20">
        <f ca="1">_xll.meDateFromTenor(H616,"3M","Following",$I$11,"Normal")</f>
        <v>43398</v>
      </c>
      <c r="J616" s="150">
        <f ca="1"/>
        <v>1.3205676245969994E-2</v>
      </c>
      <c r="K616" s="7" t="s">
        <v>4</v>
      </c>
      <c r="L616" s="149" t="e">
        <f ca="1">_xll.meDateFromTenor(L615,"1D","FOLLOWING",#REF!,"NORMAL")</f>
        <v>#VALUE!</v>
      </c>
      <c r="M616" s="155">
        <f ca="1">_xll.meDateYearFraction(C616,D616,$M$11)</f>
        <v>2.7777777777777779E-3</v>
      </c>
      <c r="N616" s="150">
        <f ca="1"/>
        <v>-2.4300000000065936E-3</v>
      </c>
      <c r="O616" s="7" t="s">
        <v>4</v>
      </c>
      <c r="P616" s="149">
        <f t="shared" ca="1" si="19"/>
        <v>43306</v>
      </c>
      <c r="Q616" s="155">
        <f ca="1">_xll.meDateYearFraction(H616,I616,$Q$11,TRUE)</f>
        <v>0.25555555555555554</v>
      </c>
      <c r="R616" s="150">
        <f ca="1">IF(NOW(),_xll.meCurveForwardRatesFromYearFraction(P616,Q616,$Q$11,$Q$9,$Q$10))</f>
        <v>-3.019325808333027E-3</v>
      </c>
      <c r="S616" s="134" t="s">
        <v>4</v>
      </c>
    </row>
    <row r="617" spans="1:19" x14ac:dyDescent="0.25">
      <c r="A617" s="128">
        <v>601</v>
      </c>
      <c r="B617" s="133"/>
      <c r="C617" s="149">
        <f ca="1">_xll.meDateFromTenor(C616,"1D","FOLLOWING",$D$11,"NORMAL")</f>
        <v>43307</v>
      </c>
      <c r="D617" s="20">
        <f ca="1">_xll.meDateFromTenor(C617,"1D","Following",$D$11,"Normal")</f>
        <v>43308</v>
      </c>
      <c r="E617" s="99">
        <f ca="1"/>
        <v>1.0082942176472579E-2</v>
      </c>
      <c r="F617" s="161">
        <f ca="1">_xll.meCurveForwardRates(C617,$D$9,$D$10)</f>
        <v>1.0133803687083276E-2</v>
      </c>
      <c r="G617" s="7" t="s">
        <v>4</v>
      </c>
      <c r="H617" s="149">
        <f t="shared" ca="1" si="18"/>
        <v>43307</v>
      </c>
      <c r="I617" s="20">
        <f ca="1">_xll.meDateFromTenor(H617,"3M","Following",$I$11,"Normal")</f>
        <v>43399</v>
      </c>
      <c r="J617" s="150">
        <f ca="1"/>
        <v>1.3212309064232174E-2</v>
      </c>
      <c r="K617" s="7" t="s">
        <v>4</v>
      </c>
      <c r="L617" s="149" t="e">
        <f ca="1">_xll.meDateFromTenor(L616,"1D","FOLLOWING",#REF!,"NORMAL")</f>
        <v>#VALUE!</v>
      </c>
      <c r="M617" s="155">
        <f ca="1">_xll.meDateYearFraction(C617,D617,$M$11)</f>
        <v>2.7777777777777779E-3</v>
      </c>
      <c r="N617" s="150">
        <f ca="1"/>
        <v>-2.4300000000065936E-3</v>
      </c>
      <c r="O617" s="7" t="s">
        <v>4</v>
      </c>
      <c r="P617" s="149">
        <f t="shared" ca="1" si="19"/>
        <v>43307</v>
      </c>
      <c r="Q617" s="155">
        <f ca="1">_xll.meDateYearFraction(H617,I617,$Q$11,TRUE)</f>
        <v>0.25555555555555554</v>
      </c>
      <c r="R617" s="150">
        <f ca="1">IF(NOW(),_xll.meCurveForwardRatesFromYearFraction(P617,Q617,$Q$11,$Q$9,$Q$10))</f>
        <v>-3.0191044500741194E-3</v>
      </c>
      <c r="S617" s="134" t="s">
        <v>4</v>
      </c>
    </row>
    <row r="618" spans="1:19" x14ac:dyDescent="0.25">
      <c r="A618" s="128">
        <v>602</v>
      </c>
      <c r="B618" s="133"/>
      <c r="C618" s="149">
        <f ca="1">_xll.meDateFromTenor(C617,"1D","FOLLOWING",$D$11,"NORMAL")</f>
        <v>43308</v>
      </c>
      <c r="D618" s="20">
        <f ca="1">_xll.meDateFromTenor(C618,"1D","Following",$D$11,"Normal")</f>
        <v>43311</v>
      </c>
      <c r="E618" s="99">
        <f ca="1"/>
        <v>1.0088026692987065E-2</v>
      </c>
      <c r="F618" s="161">
        <f ca="1">_xll.meCurveForwardRates(C618,$D$9,$D$10)</f>
        <v>1.0136220895589965E-2</v>
      </c>
      <c r="G618" s="7" t="s">
        <v>4</v>
      </c>
      <c r="H618" s="149">
        <f t="shared" ca="1" si="18"/>
        <v>43308</v>
      </c>
      <c r="I618" s="20">
        <f ca="1">_xll.meDateFromTenor(H618,"3M","Following",$I$11,"Normal")</f>
        <v>43402</v>
      </c>
      <c r="J618" s="150">
        <f ca="1"/>
        <v>1.3218941882494355E-2</v>
      </c>
      <c r="K618" s="7" t="s">
        <v>4</v>
      </c>
      <c r="L618" s="149" t="e">
        <f ca="1">_xll.meDateFromTenor(L617,"1D","FOLLOWING",#REF!,"NORMAL")</f>
        <v>#VALUE!</v>
      </c>
      <c r="M618" s="155">
        <f ca="1">_xll.meDateYearFraction(C618,D618,$M$11)</f>
        <v>8.3333333333333332E-3</v>
      </c>
      <c r="N618" s="150">
        <f ca="1"/>
        <v>-2.4300000000065936E-3</v>
      </c>
      <c r="O618" s="7" t="s">
        <v>4</v>
      </c>
      <c r="P618" s="149">
        <f t="shared" ca="1" si="19"/>
        <v>43308</v>
      </c>
      <c r="Q618" s="155">
        <f ca="1">_xll.meDateYearFraction(H618,I618,$Q$11,TRUE)</f>
        <v>0.26111111111111113</v>
      </c>
      <c r="R618" s="150">
        <f ca="1">IF(NOW(),_xll.meCurveForwardRatesFromYearFraction(P618,Q618,$Q$11,$Q$9,$Q$10))</f>
        <v>-3.7175485397107962E-3</v>
      </c>
      <c r="S618" s="134" t="s">
        <v>4</v>
      </c>
    </row>
    <row r="619" spans="1:19" x14ac:dyDescent="0.25">
      <c r="A619" s="128">
        <v>603</v>
      </c>
      <c r="B619" s="133"/>
      <c r="C619" s="149">
        <f ca="1">_xll.meDateFromTenor(C618,"1D","FOLLOWING",$D$11,"NORMAL")</f>
        <v>43311</v>
      </c>
      <c r="D619" s="20">
        <f ca="1">_xll.meDateFromTenor(C619,"1D","Following",$D$11,"Normal")</f>
        <v>43312</v>
      </c>
      <c r="E619" s="99">
        <f ca="1"/>
        <v>1.009258534545591E-2</v>
      </c>
      <c r="F619" s="161">
        <f ca="1">_xll.meCurveForwardRates(C619,$D$9,$D$10)</f>
        <v>1.0143544352064771E-2</v>
      </c>
      <c r="G619" s="7" t="s">
        <v>4</v>
      </c>
      <c r="H619" s="149">
        <f t="shared" ca="1" si="18"/>
        <v>43311</v>
      </c>
      <c r="I619" s="20">
        <f ca="1">_xll.meDateFromTenor(H619,"3M","Following",$I$11,"Normal")</f>
        <v>43403</v>
      </c>
      <c r="J619" s="150">
        <f ca="1"/>
        <v>1.3238840337280898E-2</v>
      </c>
      <c r="K619" s="7" t="s">
        <v>4</v>
      </c>
      <c r="L619" s="149" t="e">
        <f ca="1">_xll.meDateFromTenor(L618,"1D","FOLLOWING",#REF!,"NORMAL")</f>
        <v>#VALUE!</v>
      </c>
      <c r="M619" s="155">
        <f ca="1">_xll.meDateYearFraction(C619,D619,$M$11)</f>
        <v>2.7777777777777779E-3</v>
      </c>
      <c r="N619" s="150">
        <f ca="1"/>
        <v>-2.4300000000065936E-3</v>
      </c>
      <c r="O619" s="7" t="s">
        <v>4</v>
      </c>
      <c r="P619" s="149">
        <f t="shared" ca="1" si="19"/>
        <v>43311</v>
      </c>
      <c r="Q619" s="155">
        <f ca="1">_xll.meDateYearFraction(H619,I619,$Q$11,TRUE)</f>
        <v>0.25555555555555554</v>
      </c>
      <c r="R619" s="150">
        <f ca="1">IF(NOW(),_xll.meCurveForwardRatesFromYearFraction(P619,Q619,$Q$11,$Q$9,$Q$10))</f>
        <v>-3.7175485397107962E-3</v>
      </c>
      <c r="S619" s="134" t="s">
        <v>4</v>
      </c>
    </row>
    <row r="620" spans="1:19" x14ac:dyDescent="0.25">
      <c r="A620" s="128">
        <v>604</v>
      </c>
      <c r="B620" s="133"/>
      <c r="C620" s="149">
        <f ca="1">_xll.meDateFromTenor(C619,"1D","FOLLOWING",$D$11,"NORMAL")</f>
        <v>43312</v>
      </c>
      <c r="D620" s="20">
        <f ca="1">_xll.meDateFromTenor(C620,"1D","Following",$D$11,"Normal")</f>
        <v>43313</v>
      </c>
      <c r="E620" s="99">
        <f ca="1"/>
        <v>1.0095025757648238E-2</v>
      </c>
      <c r="F620" s="161">
        <f ca="1">_xll.meCurveForwardRates(C620,$D$9,$D$10)</f>
        <v>1.0146009452576932E-2</v>
      </c>
      <c r="G620" s="7" t="s">
        <v>4</v>
      </c>
      <c r="H620" s="149">
        <f t="shared" ca="1" si="18"/>
        <v>43312</v>
      </c>
      <c r="I620" s="20">
        <f ca="1">_xll.meDateFromTenor(H620,"3M","Following",$I$11,"Normal")</f>
        <v>43404</v>
      </c>
      <c r="J620" s="150">
        <f ca="1"/>
        <v>1.3245473155543077E-2</v>
      </c>
      <c r="K620" s="7" t="s">
        <v>4</v>
      </c>
      <c r="L620" s="149" t="e">
        <f ca="1">_xll.meDateFromTenor(L619,"1D","FOLLOWING",#REF!,"NORMAL")</f>
        <v>#VALUE!</v>
      </c>
      <c r="M620" s="155">
        <f ca="1">_xll.meDateYearFraction(C620,D620,$M$11)</f>
        <v>2.7777777777777779E-3</v>
      </c>
      <c r="N620" s="150">
        <f ca="1"/>
        <v>-2.4300000000065936E-3</v>
      </c>
      <c r="O620" s="7" t="s">
        <v>4</v>
      </c>
      <c r="P620" s="149">
        <f t="shared" ca="1" si="19"/>
        <v>43312</v>
      </c>
      <c r="Q620" s="155">
        <f ca="1">_xll.meDateYearFraction(H620,I620,$Q$11,TRUE)</f>
        <v>0.25555555555555554</v>
      </c>
      <c r="R620" s="150">
        <f ca="1">IF(NOW(),_xll.meCurveForwardRatesFromYearFraction(P620,Q620,$Q$11,$Q$9,$Q$10))</f>
        <v>-3.7175485397107962E-3</v>
      </c>
      <c r="S620" s="134" t="s">
        <v>4</v>
      </c>
    </row>
    <row r="621" spans="1:19" x14ac:dyDescent="0.25">
      <c r="A621" s="128">
        <v>605</v>
      </c>
      <c r="B621" s="133"/>
      <c r="C621" s="149">
        <f ca="1">_xll.meDateFromTenor(C620,"1D","FOLLOWING",$D$11,"NORMAL")</f>
        <v>43313</v>
      </c>
      <c r="D621" s="20">
        <f ca="1">_xll.meDateFromTenor(C621,"1D","Following",$D$11,"Normal")</f>
        <v>43314</v>
      </c>
      <c r="E621" s="99">
        <f ca="1"/>
        <v>1.0097478020760811E-2</v>
      </c>
      <c r="F621" s="161">
        <f ca="1">_xll.meCurveForwardRates(C621,$D$9,$D$10)</f>
        <v>1.0148486529941492E-2</v>
      </c>
      <c r="G621" s="7" t="s">
        <v>4</v>
      </c>
      <c r="H621" s="149">
        <f t="shared" ca="1" si="18"/>
        <v>43313</v>
      </c>
      <c r="I621" s="20">
        <f ca="1">_xll.meDateFromTenor(H621,"3M","Following",$I$11,"Normal")</f>
        <v>43405</v>
      </c>
      <c r="J621" s="150">
        <f ca="1"/>
        <v>1.3252105973805259E-2</v>
      </c>
      <c r="K621" s="7" t="s">
        <v>4</v>
      </c>
      <c r="L621" s="149" t="e">
        <f ca="1">_xll.meDateFromTenor(L620,"1D","FOLLOWING",#REF!,"NORMAL")</f>
        <v>#VALUE!</v>
      </c>
      <c r="M621" s="155">
        <f ca="1">_xll.meDateYearFraction(C621,D621,$M$11)</f>
        <v>2.7777777777777779E-3</v>
      </c>
      <c r="N621" s="150">
        <f ca="1"/>
        <v>-2.4300000000065936E-3</v>
      </c>
      <c r="O621" s="7" t="s">
        <v>4</v>
      </c>
      <c r="P621" s="149">
        <f t="shared" ca="1" si="19"/>
        <v>43313</v>
      </c>
      <c r="Q621" s="155">
        <f ca="1">_xll.meDateYearFraction(H621,I621,$Q$11,TRUE)</f>
        <v>0.25555555555555554</v>
      </c>
      <c r="R621" s="150">
        <f ca="1">IF(NOW(),_xll.meCurveForwardRatesFromYearFraction(P621,Q621,$Q$11,$Q$9,$Q$10))</f>
        <v>-3.0177535656691398E-3</v>
      </c>
      <c r="S621" s="134" t="s">
        <v>4</v>
      </c>
    </row>
    <row r="622" spans="1:19" x14ac:dyDescent="0.25">
      <c r="A622" s="128">
        <v>606</v>
      </c>
      <c r="B622" s="133"/>
      <c r="C622" s="149">
        <f ca="1">_xll.meDateFromTenor(C621,"1D","FOLLOWING",$D$11,"NORMAL")</f>
        <v>43314</v>
      </c>
      <c r="D622" s="20">
        <f ca="1">_xll.meDateFromTenor(C622,"1D","Following",$D$11,"Normal")</f>
        <v>43315</v>
      </c>
      <c r="E622" s="99">
        <f ca="1"/>
        <v>1.0099942135912735E-2</v>
      </c>
      <c r="F622" s="161">
        <f ca="1">_xll.meCurveForwardRates(C622,$D$9,$D$10)</f>
        <v>1.0150975585376587E-2</v>
      </c>
      <c r="G622" s="7" t="s">
        <v>4</v>
      </c>
      <c r="H622" s="149">
        <f t="shared" ca="1" si="18"/>
        <v>43314</v>
      </c>
      <c r="I622" s="20">
        <f ca="1">_xll.meDateFromTenor(H622,"3M","Following",$I$11,"Normal")</f>
        <v>43406</v>
      </c>
      <c r="J622" s="150">
        <f ca="1"/>
        <v>1.3258738792067438E-2</v>
      </c>
      <c r="K622" s="7" t="s">
        <v>4</v>
      </c>
      <c r="L622" s="149" t="e">
        <f ca="1">_xll.meDateFromTenor(L621,"1D","FOLLOWING",#REF!,"NORMAL")</f>
        <v>#VALUE!</v>
      </c>
      <c r="M622" s="155">
        <f ca="1">_xll.meDateYearFraction(C622,D622,$M$11)</f>
        <v>2.7777777777777779E-3</v>
      </c>
      <c r="N622" s="150">
        <f ca="1"/>
        <v>-2.4300000000065936E-3</v>
      </c>
      <c r="O622" s="7" t="s">
        <v>4</v>
      </c>
      <c r="P622" s="149">
        <f t="shared" ca="1" si="19"/>
        <v>43314</v>
      </c>
      <c r="Q622" s="155">
        <f ca="1">_xll.meDateYearFraction(H622,I622,$Q$11,TRUE)</f>
        <v>0.25555555555555554</v>
      </c>
      <c r="R622" s="150">
        <f ca="1">IF(NOW(),_xll.meCurveForwardRatesFromYearFraction(P622,Q622,$Q$11,$Q$9,$Q$10))</f>
        <v>-3.7175485397107962E-3</v>
      </c>
      <c r="S622" s="134" t="s">
        <v>4</v>
      </c>
    </row>
    <row r="623" spans="1:19" x14ac:dyDescent="0.25">
      <c r="A623" s="128">
        <v>607</v>
      </c>
      <c r="B623" s="133"/>
      <c r="C623" s="149">
        <f ca="1">_xll.meDateFromTenor(C622,"1D","FOLLOWING",$D$11,"NORMAL")</f>
        <v>43315</v>
      </c>
      <c r="D623" s="20">
        <f ca="1">_xll.meDateFromTenor(C623,"1D","Following",$D$11,"Normal")</f>
        <v>43318</v>
      </c>
      <c r="E623" s="99">
        <f ca="1"/>
        <v>1.0105193519454084E-2</v>
      </c>
      <c r="F623" s="161">
        <f ca="1">_xll.meCurveForwardRates(C623,$D$9,$D$10)</f>
        <v>1.0153476620423874E-2</v>
      </c>
      <c r="G623" s="7" t="s">
        <v>4</v>
      </c>
      <c r="H623" s="149">
        <f t="shared" ca="1" si="18"/>
        <v>43315</v>
      </c>
      <c r="I623" s="20">
        <f ca="1">_xll.meDateFromTenor(H623,"3M","Following",$I$11,"Normal")</f>
        <v>43409</v>
      </c>
      <c r="J623" s="150">
        <f ca="1"/>
        <v>1.3265371610329618E-2</v>
      </c>
      <c r="K623" s="7" t="s">
        <v>4</v>
      </c>
      <c r="L623" s="149" t="e">
        <f ca="1">_xll.meDateFromTenor(L622,"1D","FOLLOWING",#REF!,"NORMAL")</f>
        <v>#VALUE!</v>
      </c>
      <c r="M623" s="155">
        <f ca="1">_xll.meDateYearFraction(C623,D623,$M$11)</f>
        <v>8.3333333333333332E-3</v>
      </c>
      <c r="N623" s="150">
        <f ca="1"/>
        <v>-2.4300000000065936E-3</v>
      </c>
      <c r="O623" s="7" t="s">
        <v>4</v>
      </c>
      <c r="P623" s="149">
        <f t="shared" ca="1" si="19"/>
        <v>43315</v>
      </c>
      <c r="Q623" s="155">
        <f ca="1">_xll.meDateYearFraction(H623,I623,$Q$11,TRUE)</f>
        <v>0.26111111111111113</v>
      </c>
      <c r="R623" s="150">
        <f ca="1">IF(NOW(),_xll.meCurveForwardRatesFromYearFraction(P623,Q623,$Q$11,$Q$9,$Q$10))</f>
        <v>-3.017202186173035E-3</v>
      </c>
      <c r="S623" s="134" t="s">
        <v>4</v>
      </c>
    </row>
    <row r="624" spans="1:19" x14ac:dyDescent="0.25">
      <c r="A624" s="128">
        <v>608</v>
      </c>
      <c r="B624" s="133"/>
      <c r="C624" s="149">
        <f ca="1">_xll.meDateFromTenor(C623,"1D","FOLLOWING",$D$11,"NORMAL")</f>
        <v>43318</v>
      </c>
      <c r="D624" s="20">
        <f ca="1">_xll.meDateFromTenor(C624,"1D","Following",$D$11,"Normal")</f>
        <v>43319</v>
      </c>
      <c r="E624" s="99">
        <f ca="1"/>
        <v>1.0109917145131356E-2</v>
      </c>
      <c r="F624" s="161">
        <f ca="1">_xll.meCurveForwardRates(C624,$D$9,$D$10)</f>
        <v>1.0161051618097661E-2</v>
      </c>
      <c r="G624" s="7" t="s">
        <v>4</v>
      </c>
      <c r="H624" s="149">
        <f t="shared" ca="1" si="18"/>
        <v>43318</v>
      </c>
      <c r="I624" s="20">
        <f ca="1">_xll.meDateFromTenor(H624,"3M","Following",$I$11,"Normal")</f>
        <v>43410</v>
      </c>
      <c r="J624" s="150">
        <f ca="1"/>
        <v>1.3285270065116161E-2</v>
      </c>
      <c r="K624" s="7" t="s">
        <v>4</v>
      </c>
      <c r="L624" s="149" t="e">
        <f ca="1">_xll.meDateFromTenor(L623,"1D","FOLLOWING",#REF!,"NORMAL")</f>
        <v>#VALUE!</v>
      </c>
      <c r="M624" s="155">
        <f ca="1">_xll.meDateYearFraction(C624,D624,$M$11)</f>
        <v>2.7777777777777779E-3</v>
      </c>
      <c r="N624" s="150">
        <f ca="1"/>
        <v>-2.4300000000065936E-3</v>
      </c>
      <c r="O624" s="7" t="s">
        <v>4</v>
      </c>
      <c r="P624" s="149">
        <f t="shared" ca="1" si="19"/>
        <v>43318</v>
      </c>
      <c r="Q624" s="155">
        <f ca="1">_xll.meDateYearFraction(H624,I624,$Q$11,TRUE)</f>
        <v>0.25555555555555554</v>
      </c>
      <c r="R624" s="150">
        <f ca="1">IF(NOW(),_xll.meCurveForwardRatesFromYearFraction(P624,Q624,$Q$11,$Q$9,$Q$10))</f>
        <v>-3.7175485397107962E-3</v>
      </c>
      <c r="S624" s="134" t="s">
        <v>4</v>
      </c>
    </row>
    <row r="625" spans="1:19" x14ac:dyDescent="0.25">
      <c r="A625" s="128">
        <v>609</v>
      </c>
      <c r="B625" s="133"/>
      <c r="C625" s="149">
        <f ca="1">_xll.meDateFromTenor(C624,"1D","FOLLOWING",$D$11,"NORMAL")</f>
        <v>43319</v>
      </c>
      <c r="D625" s="20">
        <f ca="1">_xll.meDateFromTenor(C625,"1D","Following",$D$11,"Normal")</f>
        <v>43320</v>
      </c>
      <c r="E625" s="99">
        <f ca="1"/>
        <v>1.0112440541503212E-2</v>
      </c>
      <c r="F625" s="161">
        <f ca="1">_xll.meCurveForwardRates(C625,$D$9,$D$10)</f>
        <v>1.0163600586454491E-2</v>
      </c>
      <c r="G625" s="7" t="s">
        <v>4</v>
      </c>
      <c r="H625" s="149">
        <f t="shared" ca="1" si="18"/>
        <v>43319</v>
      </c>
      <c r="I625" s="20">
        <f ca="1">_xll.meDateFromTenor(H625,"3M","Following",$I$11,"Normal")</f>
        <v>43411</v>
      </c>
      <c r="J625" s="150">
        <f ca="1"/>
        <v>1.3291902883378342E-2</v>
      </c>
      <c r="K625" s="7" t="s">
        <v>4</v>
      </c>
      <c r="L625" s="149" t="e">
        <f ca="1">_xll.meDateFromTenor(L624,"1D","FOLLOWING",#REF!,"NORMAL")</f>
        <v>#VALUE!</v>
      </c>
      <c r="M625" s="155">
        <f ca="1">_xll.meDateYearFraction(C625,D625,$M$11)</f>
        <v>2.7777777777777779E-3</v>
      </c>
      <c r="N625" s="150">
        <f ca="1"/>
        <v>-2.4300000000065936E-3</v>
      </c>
      <c r="O625" s="7" t="s">
        <v>4</v>
      </c>
      <c r="P625" s="149">
        <f t="shared" ca="1" si="19"/>
        <v>43319</v>
      </c>
      <c r="Q625" s="155">
        <f ca="1">_xll.meDateYearFraction(H625,I625,$Q$11,TRUE)</f>
        <v>0.25555555555555554</v>
      </c>
      <c r="R625" s="150">
        <f ca="1">IF(NOW(),_xll.meCurveForwardRatesFromYearFraction(P625,Q625,$Q$11,$Q$9,$Q$10))</f>
        <v>-3.0155673147357334E-3</v>
      </c>
      <c r="S625" s="134" t="s">
        <v>4</v>
      </c>
    </row>
    <row r="626" spans="1:19" x14ac:dyDescent="0.25">
      <c r="A626" s="128">
        <v>610</v>
      </c>
      <c r="B626" s="133"/>
      <c r="C626" s="149">
        <f ca="1">_xll.meDateFromTenor(C625,"1D","FOLLOWING",$D$11,"NORMAL")</f>
        <v>43320</v>
      </c>
      <c r="D626" s="20">
        <f ca="1">_xll.meDateFromTenor(C626,"1D","Following",$D$11,"Normal")</f>
        <v>43321</v>
      </c>
      <c r="E626" s="99">
        <f ca="1"/>
        <v>1.0114975798147833E-2</v>
      </c>
      <c r="F626" s="161">
        <f ca="1">_xll.meCurveForwardRates(C626,$D$9,$D$10)</f>
        <v>1.0166161541734775E-2</v>
      </c>
      <c r="G626" s="7" t="s">
        <v>4</v>
      </c>
      <c r="H626" s="149">
        <f t="shared" ca="1" si="18"/>
        <v>43320</v>
      </c>
      <c r="I626" s="20">
        <f ca="1">_xll.meDateFromTenor(H626,"3M","Following",$I$11,"Normal")</f>
        <v>43412</v>
      </c>
      <c r="J626" s="150">
        <f ca="1"/>
        <v>1.3298535701640522E-2</v>
      </c>
      <c r="K626" s="7" t="s">
        <v>4</v>
      </c>
      <c r="L626" s="149" t="e">
        <f ca="1">_xll.meDateFromTenor(L625,"1D","FOLLOWING",#REF!,"NORMAL")</f>
        <v>#VALUE!</v>
      </c>
      <c r="M626" s="155">
        <f ca="1">_xll.meDateYearFraction(C626,D626,$M$11)</f>
        <v>2.7777777777777779E-3</v>
      </c>
      <c r="N626" s="150">
        <f ca="1"/>
        <v>-2.4300000000065936E-3</v>
      </c>
      <c r="O626" s="7" t="s">
        <v>4</v>
      </c>
      <c r="P626" s="149">
        <f t="shared" ca="1" si="19"/>
        <v>43320</v>
      </c>
      <c r="Q626" s="155">
        <f ca="1">_xll.meDateYearFraction(H626,I626,$Q$11,TRUE)</f>
        <v>0.25555555555555554</v>
      </c>
      <c r="R626" s="150">
        <f ca="1">IF(NOW(),_xll.meCurveForwardRatesFromYearFraction(P626,Q626,$Q$11,$Q$9,$Q$10))</f>
        <v>-3.0149978401529899E-3</v>
      </c>
      <c r="S626" s="134" t="s">
        <v>4</v>
      </c>
    </row>
    <row r="627" spans="1:19" x14ac:dyDescent="0.25">
      <c r="A627" s="128">
        <v>611</v>
      </c>
      <c r="B627" s="133"/>
      <c r="C627" s="149">
        <f ca="1">_xll.meDateFromTenor(C626,"1D","FOLLOWING",$D$11,"NORMAL")</f>
        <v>43321</v>
      </c>
      <c r="D627" s="20">
        <f ca="1">_xll.meDateFromTenor(C627,"1D","Following",$D$11,"Normal")</f>
        <v>43322</v>
      </c>
      <c r="E627" s="99">
        <f ca="1"/>
        <v>1.0117522916584002E-2</v>
      </c>
      <c r="F627" s="161">
        <f ca="1">_xll.meCurveForwardRates(C627,$D$9,$D$10)</f>
        <v>1.0168734485563879E-2</v>
      </c>
      <c r="G627" s="7" t="s">
        <v>4</v>
      </c>
      <c r="H627" s="149">
        <f t="shared" ca="1" si="18"/>
        <v>43321</v>
      </c>
      <c r="I627" s="20">
        <f ca="1">_xll.meDateFromTenor(H627,"3M","Following",$I$11,"Normal")</f>
        <v>43413</v>
      </c>
      <c r="J627" s="150">
        <f ca="1"/>
        <v>1.3305168519902702E-2</v>
      </c>
      <c r="K627" s="7" t="s">
        <v>4</v>
      </c>
      <c r="L627" s="149" t="e">
        <f ca="1">_xll.meDateFromTenor(L626,"1D","FOLLOWING",#REF!,"NORMAL")</f>
        <v>#VALUE!</v>
      </c>
      <c r="M627" s="155">
        <f ca="1">_xll.meDateYearFraction(C627,D627,$M$11)</f>
        <v>2.7777777777777779E-3</v>
      </c>
      <c r="N627" s="150">
        <f ca="1"/>
        <v>-2.4300000000065936E-3</v>
      </c>
      <c r="O627" s="7" t="s">
        <v>4</v>
      </c>
      <c r="P627" s="149">
        <f t="shared" ca="1" si="19"/>
        <v>43321</v>
      </c>
      <c r="Q627" s="155">
        <f ca="1">_xll.meDateYearFraction(H627,I627,$Q$11,TRUE)</f>
        <v>0.25555555555555554</v>
      </c>
      <c r="R627" s="150">
        <f ca="1">IF(NOW(),_xll.meCurveForwardRatesFromYearFraction(P627,Q627,$Q$11,$Q$9,$Q$10))</f>
        <v>-3.7175485397107962E-3</v>
      </c>
      <c r="S627" s="134" t="s">
        <v>4</v>
      </c>
    </row>
    <row r="628" spans="1:19" x14ac:dyDescent="0.25">
      <c r="A628" s="128">
        <v>612</v>
      </c>
      <c r="B628" s="133"/>
      <c r="C628" s="149">
        <f ca="1">_xll.meDateFromTenor(C627,"1D","FOLLOWING",$D$11,"NORMAL")</f>
        <v>43322</v>
      </c>
      <c r="D628" s="20">
        <f ca="1">_xll.meDateFromTenor(C628,"1D","Following",$D$11,"Normal")</f>
        <v>43325</v>
      </c>
      <c r="E628" s="99">
        <f ca="1"/>
        <v>1.0122941335870586E-2</v>
      </c>
      <c r="F628" s="161">
        <f ca="1">_xll.meCurveForwardRates(C628,$D$9,$D$10)</f>
        <v>1.0171319419324698E-2</v>
      </c>
      <c r="G628" s="7" t="s">
        <v>4</v>
      </c>
      <c r="H628" s="149">
        <f t="shared" ca="1" si="18"/>
        <v>43322</v>
      </c>
      <c r="I628" s="20">
        <f ca="1">_xll.meDateFromTenor(H628,"3M","Following",$I$11,"Normal")</f>
        <v>43417</v>
      </c>
      <c r="J628" s="150">
        <f ca="1"/>
        <v>1.3311801338164883E-2</v>
      </c>
      <c r="K628" s="7" t="s">
        <v>4</v>
      </c>
      <c r="L628" s="149" t="e">
        <f ca="1">_xll.meDateFromTenor(L627,"1D","FOLLOWING",#REF!,"NORMAL")</f>
        <v>#VALUE!</v>
      </c>
      <c r="M628" s="155">
        <f ca="1">_xll.meDateYearFraction(C628,D628,$M$11)</f>
        <v>8.3333333333333332E-3</v>
      </c>
      <c r="N628" s="150">
        <f ca="1"/>
        <v>-2.4300000000065936E-3</v>
      </c>
      <c r="O628" s="7" t="s">
        <v>4</v>
      </c>
      <c r="P628" s="149">
        <f t="shared" ca="1" si="19"/>
        <v>43322</v>
      </c>
      <c r="Q628" s="155">
        <f ca="1">_xll.meDateYearFraction(H628,I628,$Q$11,TRUE)</f>
        <v>0.2638888888888889</v>
      </c>
      <c r="R628" s="150">
        <f ca="1">IF(NOW(),_xll.meCurveForwardRatesFromYearFraction(P628,Q628,$Q$11,$Q$9,$Q$10))</f>
        <v>-3.7175485397107962E-3</v>
      </c>
      <c r="S628" s="134" t="s">
        <v>4</v>
      </c>
    </row>
    <row r="629" spans="1:19" x14ac:dyDescent="0.25">
      <c r="A629" s="128">
        <v>613</v>
      </c>
      <c r="B629" s="133"/>
      <c r="C629" s="149">
        <f ca="1">_xll.meDateFromTenor(C628,"1D","FOLLOWING",$D$11,"NORMAL")</f>
        <v>43325</v>
      </c>
      <c r="D629" s="20">
        <f ca="1">_xll.meDateFromTenor(C629,"1D","Following",$D$11,"Normal")</f>
        <v>43326</v>
      </c>
      <c r="E629" s="99">
        <f ca="1"/>
        <v>1.0127830035022748E-2</v>
      </c>
      <c r="F629" s="161">
        <f ca="1">_xll.meCurveForwardRates(C629,$D$9,$D$10)</f>
        <v>1.0179146175248954E-2</v>
      </c>
      <c r="G629" s="7" t="s">
        <v>4</v>
      </c>
      <c r="H629" s="149">
        <f t="shared" ca="1" si="18"/>
        <v>43325</v>
      </c>
      <c r="I629" s="20">
        <f ca="1">_xll.meDateFromTenor(H629,"3M","Following",$I$11,"Normal")</f>
        <v>43417</v>
      </c>
      <c r="J629" s="150">
        <f ca="1"/>
        <v>1.3331699792951424E-2</v>
      </c>
      <c r="K629" s="7" t="s">
        <v>4</v>
      </c>
      <c r="L629" s="149" t="e">
        <f ca="1">_xll.meDateFromTenor(L628,"1D","FOLLOWING",#REF!,"NORMAL")</f>
        <v>#VALUE!</v>
      </c>
      <c r="M629" s="155">
        <f ca="1">_xll.meDateYearFraction(C629,D629,$M$11)</f>
        <v>2.7777777777777779E-3</v>
      </c>
      <c r="N629" s="150">
        <f ca="1"/>
        <v>-2.4300000000065936E-3</v>
      </c>
      <c r="O629" s="7" t="s">
        <v>4</v>
      </c>
      <c r="P629" s="149">
        <f t="shared" ca="1" si="19"/>
        <v>43325</v>
      </c>
      <c r="Q629" s="155">
        <f ca="1">_xll.meDateYearFraction(H629,I629,$Q$11,TRUE)</f>
        <v>0.25555555555555554</v>
      </c>
      <c r="R629" s="150">
        <f ca="1">IF(NOW(),_xll.meCurveForwardRatesFromYearFraction(P629,Q629,$Q$11,$Q$9,$Q$10))</f>
        <v>-3.0107582129214067E-3</v>
      </c>
      <c r="S629" s="134" t="s">
        <v>4</v>
      </c>
    </row>
    <row r="630" spans="1:19" x14ac:dyDescent="0.25">
      <c r="A630" s="128">
        <v>614</v>
      </c>
      <c r="B630" s="133"/>
      <c r="C630" s="149">
        <f ca="1">_xll.meDateFromTenor(C629,"1D","FOLLOWING",$D$11,"NORMAL")</f>
        <v>43326</v>
      </c>
      <c r="D630" s="20">
        <f ca="1">_xll.meDateFromTenor(C630,"1D","Following",$D$11,"Normal")</f>
        <v>43327</v>
      </c>
      <c r="E630" s="99">
        <f ca="1"/>
        <v>1.0130436482720421E-2</v>
      </c>
      <c r="F630" s="161">
        <f ca="1">_xll.meCurveForwardRates(C630,$D$9,$D$10)</f>
        <v>1.0181779083709097E-2</v>
      </c>
      <c r="G630" s="7" t="s">
        <v>4</v>
      </c>
      <c r="H630" s="149">
        <f t="shared" ca="1" si="18"/>
        <v>43326</v>
      </c>
      <c r="I630" s="20">
        <f ca="1">_xll.meDateFromTenor(H630,"3M","Following",$I$11,"Normal")</f>
        <v>43418</v>
      </c>
      <c r="J630" s="150">
        <f ca="1"/>
        <v>1.3338332611213605E-2</v>
      </c>
      <c r="K630" s="7" t="s">
        <v>4</v>
      </c>
      <c r="L630" s="149" t="e">
        <f ca="1">_xll.meDateFromTenor(L629,"1D","FOLLOWING",#REF!,"NORMAL")</f>
        <v>#VALUE!</v>
      </c>
      <c r="M630" s="155">
        <f ca="1">_xll.meDateYearFraction(C630,D630,$M$11)</f>
        <v>2.7777777777777779E-3</v>
      </c>
      <c r="N630" s="150">
        <f ca="1"/>
        <v>-2.4300000000065936E-3</v>
      </c>
      <c r="O630" s="7" t="s">
        <v>4</v>
      </c>
      <c r="P630" s="149">
        <f t="shared" ca="1" si="19"/>
        <v>43326</v>
      </c>
      <c r="Q630" s="155">
        <f ca="1">_xll.meDateYearFraction(H630,I630,$Q$11,TRUE)</f>
        <v>0.25555555555555554</v>
      </c>
      <c r="R630" s="150">
        <f ca="1">IF(NOW(),_xll.meCurveForwardRatesFromYearFraction(P630,Q630,$Q$11,$Q$9,$Q$10))</f>
        <v>-3.7175485397107962E-3</v>
      </c>
      <c r="S630" s="134" t="s">
        <v>4</v>
      </c>
    </row>
    <row r="631" spans="1:19" x14ac:dyDescent="0.25">
      <c r="A631" s="128">
        <v>615</v>
      </c>
      <c r="B631" s="133"/>
      <c r="C631" s="149">
        <f ca="1">_xll.meDateFromTenor(C630,"1D","FOLLOWING",$D$11,"NORMAL")</f>
        <v>43327</v>
      </c>
      <c r="D631" s="20">
        <f ca="1">_xll.meDateFromTenor(C631,"1D","Following",$D$11,"Normal")</f>
        <v>43328</v>
      </c>
      <c r="E631" s="99">
        <f ca="1"/>
        <v>1.0133054800443056E-2</v>
      </c>
      <c r="F631" s="161">
        <f ca="1">_xll.meCurveForwardRates(C631,$D$9,$D$10)</f>
        <v>1.0184423989589408E-2</v>
      </c>
      <c r="G631" s="7" t="s">
        <v>4</v>
      </c>
      <c r="H631" s="149">
        <f t="shared" ca="1" si="18"/>
        <v>43327</v>
      </c>
      <c r="I631" s="20">
        <f ca="1">_xll.meDateFromTenor(H631,"3M","Following",$I$11,"Normal")</f>
        <v>43419</v>
      </c>
      <c r="J631" s="150">
        <f ca="1"/>
        <v>1.3344965429475787E-2</v>
      </c>
      <c r="K631" s="7" t="s">
        <v>4</v>
      </c>
      <c r="L631" s="149" t="e">
        <f ca="1">_xll.meDateFromTenor(L630,"1D","FOLLOWING",#REF!,"NORMAL")</f>
        <v>#VALUE!</v>
      </c>
      <c r="M631" s="155">
        <f ca="1">_xll.meDateYearFraction(C631,D631,$M$11)</f>
        <v>2.7777777777777779E-3</v>
      </c>
      <c r="N631" s="150">
        <f ca="1"/>
        <v>-2.4300000000065936E-3</v>
      </c>
      <c r="O631" s="7" t="s">
        <v>4</v>
      </c>
      <c r="P631" s="149">
        <f t="shared" ca="1" si="19"/>
        <v>43327</v>
      </c>
      <c r="Q631" s="155">
        <f ca="1">_xll.meDateYearFraction(H631,I631,$Q$11,TRUE)</f>
        <v>0.25555555555555554</v>
      </c>
      <c r="R631" s="150">
        <f ca="1">IF(NOW(),_xll.meCurveForwardRatesFromYearFraction(P631,Q631,$Q$11,$Q$9,$Q$10))</f>
        <v>-3.7175485397107962E-3</v>
      </c>
      <c r="S631" s="134" t="s">
        <v>4</v>
      </c>
    </row>
    <row r="632" spans="1:19" x14ac:dyDescent="0.25">
      <c r="A632" s="128">
        <v>616</v>
      </c>
      <c r="B632" s="133"/>
      <c r="C632" s="149">
        <f ca="1">_xll.meDateFromTenor(C631,"1D","FOLLOWING",$D$11,"NORMAL")</f>
        <v>43328</v>
      </c>
      <c r="D632" s="20">
        <f ca="1">_xll.meDateFromTenor(C632,"1D","Following",$D$11,"Normal")</f>
        <v>43329</v>
      </c>
      <c r="E632" s="99">
        <f ca="1"/>
        <v>1.0135684989469632E-2</v>
      </c>
      <c r="F632" s="161">
        <f ca="1">_xll.meCurveForwardRates(C632,$D$9,$D$10)</f>
        <v>1.0187080894275669E-2</v>
      </c>
      <c r="G632" s="7" t="s">
        <v>4</v>
      </c>
      <c r="H632" s="149">
        <f t="shared" ca="1" si="18"/>
        <v>43328</v>
      </c>
      <c r="I632" s="20">
        <f ca="1">_xll.meDateFromTenor(H632,"3M","Following",$I$11,"Normal")</f>
        <v>43420</v>
      </c>
      <c r="J632" s="150">
        <f ca="1"/>
        <v>1.3351598247737967E-2</v>
      </c>
      <c r="K632" s="7" t="s">
        <v>4</v>
      </c>
      <c r="L632" s="149" t="e">
        <f ca="1">_xll.meDateFromTenor(L631,"1D","FOLLOWING",#REF!,"NORMAL")</f>
        <v>#VALUE!</v>
      </c>
      <c r="M632" s="155">
        <f ca="1">_xll.meDateYearFraction(C632,D632,$M$11)</f>
        <v>2.7777777777777779E-3</v>
      </c>
      <c r="N632" s="150">
        <f ca="1"/>
        <v>-2.4300000000065936E-3</v>
      </c>
      <c r="O632" s="7" t="s">
        <v>4</v>
      </c>
      <c r="P632" s="149">
        <f t="shared" ca="1" si="19"/>
        <v>43328</v>
      </c>
      <c r="Q632" s="155">
        <f ca="1">_xll.meDateYearFraction(H632,I632,$Q$11,TRUE)</f>
        <v>0.25555555555555554</v>
      </c>
      <c r="R632" s="150">
        <f ca="1">IF(NOW(),_xll.meCurveForwardRatesFromYearFraction(P632,Q632,$Q$11,$Q$9,$Q$10))</f>
        <v>-3.7175485397107962E-3</v>
      </c>
      <c r="S632" s="134" t="s">
        <v>4</v>
      </c>
    </row>
    <row r="633" spans="1:19" x14ac:dyDescent="0.25">
      <c r="A633" s="128">
        <v>617</v>
      </c>
      <c r="B633" s="133"/>
      <c r="C633" s="149">
        <f ca="1">_xll.meDateFromTenor(C632,"1D","FOLLOWING",$D$11,"NORMAL")</f>
        <v>43329</v>
      </c>
      <c r="D633" s="20">
        <f ca="1">_xll.meDateFromTenor(C633,"1D","Following",$D$11,"Normal")</f>
        <v>43332</v>
      </c>
      <c r="E633" s="99">
        <f ca="1"/>
        <v>1.014127061399254E-2</v>
      </c>
      <c r="F633" s="161">
        <f ca="1">_xll.meCurveForwardRates(C633,$D$9,$D$10)</f>
        <v>1.0189749799396575E-2</v>
      </c>
      <c r="G633" s="7" t="s">
        <v>4</v>
      </c>
      <c r="H633" s="149">
        <f t="shared" ca="1" si="18"/>
        <v>43329</v>
      </c>
      <c r="I633" s="20">
        <f ca="1">_xll.meDateFromTenor(H633,"3M","Following",$I$11,"Normal")</f>
        <v>43423</v>
      </c>
      <c r="J633" s="150">
        <f ca="1"/>
        <v>1.3358231066000148E-2</v>
      </c>
      <c r="K633" s="7" t="s">
        <v>4</v>
      </c>
      <c r="L633" s="149" t="e">
        <f ca="1">_xll.meDateFromTenor(L632,"1D","FOLLOWING",#REF!,"NORMAL")</f>
        <v>#VALUE!</v>
      </c>
      <c r="M633" s="155">
        <f ca="1">_xll.meDateYearFraction(C633,D633,$M$11)</f>
        <v>8.3333333333333332E-3</v>
      </c>
      <c r="N633" s="150">
        <f ca="1"/>
        <v>-2.4300000000065936E-3</v>
      </c>
      <c r="O633" s="7" t="s">
        <v>4</v>
      </c>
      <c r="P633" s="149">
        <f t="shared" ca="1" si="19"/>
        <v>43329</v>
      </c>
      <c r="Q633" s="155">
        <f ca="1">_xll.meDateYearFraction(H633,I633,$Q$11,TRUE)</f>
        <v>0.26111111111111113</v>
      </c>
      <c r="R633" s="150">
        <f ca="1">IF(NOW(),_xll.meCurveForwardRatesFromYearFraction(P633,Q633,$Q$11,$Q$9,$Q$10))</f>
        <v>-3.0051825491818822E-3</v>
      </c>
      <c r="S633" s="134" t="s">
        <v>4</v>
      </c>
    </row>
    <row r="634" spans="1:19" x14ac:dyDescent="0.25">
      <c r="A634" s="128">
        <v>618</v>
      </c>
      <c r="B634" s="133"/>
      <c r="C634" s="149">
        <f ca="1">_xll.meDateFromTenor(C633,"1D","FOLLOWING",$D$11,"NORMAL")</f>
        <v>43332</v>
      </c>
      <c r="D634" s="20">
        <f ca="1">_xll.meDateFromTenor(C634,"1D","Following",$D$11,"Normal")</f>
        <v>43333</v>
      </c>
      <c r="E634" s="99">
        <f ca="1"/>
        <v>1.0146324487312378E-2</v>
      </c>
      <c r="F634" s="161">
        <f ca="1">_xll.meCurveForwardRates(C634,$D$9,$D$10)</f>
        <v>1.0197828531963271E-2</v>
      </c>
      <c r="G634" s="7" t="s">
        <v>4</v>
      </c>
      <c r="H634" s="149">
        <f t="shared" ca="1" si="18"/>
        <v>43332</v>
      </c>
      <c r="I634" s="20">
        <f ca="1">_xll.meDateFromTenor(H634,"3M","Following",$I$11,"Normal")</f>
        <v>43424</v>
      </c>
      <c r="J634" s="150">
        <f ca="1"/>
        <v>1.3378129520786689E-2</v>
      </c>
      <c r="K634" s="7" t="s">
        <v>4</v>
      </c>
      <c r="L634" s="149" t="e">
        <f ca="1">_xll.meDateFromTenor(L633,"1D","FOLLOWING",#REF!,"NORMAL")</f>
        <v>#VALUE!</v>
      </c>
      <c r="M634" s="155">
        <f ca="1">_xll.meDateYearFraction(C634,D634,$M$11)</f>
        <v>2.7777777777777779E-3</v>
      </c>
      <c r="N634" s="150">
        <f ca="1"/>
        <v>-2.4300000000065936E-3</v>
      </c>
      <c r="O634" s="7" t="s">
        <v>4</v>
      </c>
      <c r="P634" s="149">
        <f t="shared" ca="1" si="19"/>
        <v>43332</v>
      </c>
      <c r="Q634" s="155">
        <f ca="1">_xll.meDateYearFraction(H634,I634,$Q$11,TRUE)</f>
        <v>0.25555555555555554</v>
      </c>
      <c r="R634" s="150">
        <f ca="1">IF(NOW(),_xll.meCurveForwardRatesFromYearFraction(P634,Q634,$Q$11,$Q$9,$Q$10))</f>
        <v>-3.7175485397107962E-3</v>
      </c>
      <c r="S634" s="134" t="s">
        <v>4</v>
      </c>
    </row>
    <row r="635" spans="1:19" x14ac:dyDescent="0.25">
      <c r="A635" s="128">
        <v>619</v>
      </c>
      <c r="B635" s="133"/>
      <c r="C635" s="149">
        <f ca="1">_xll.meDateFromTenor(C634,"1D","FOLLOWING",$D$11,"NORMAL")</f>
        <v>43333</v>
      </c>
      <c r="D635" s="20">
        <f ca="1">_xll.meDateFromTenor(C635,"1D","Following",$D$11,"Normal")</f>
        <v>43334</v>
      </c>
      <c r="E635" s="99">
        <f ca="1"/>
        <v>1.0149014053961772E-2</v>
      </c>
      <c r="F635" s="161">
        <f ca="1">_xll.meCurveForwardRates(C635,$D$9,$D$10)</f>
        <v>1.0200545453421306E-2</v>
      </c>
      <c r="G635" s="7" t="s">
        <v>4</v>
      </c>
      <c r="H635" s="149">
        <f t="shared" ca="1" si="18"/>
        <v>43333</v>
      </c>
      <c r="I635" s="20">
        <f ca="1">_xll.meDateFromTenor(H635,"3M","Following",$I$11,"Normal")</f>
        <v>43425</v>
      </c>
      <c r="J635" s="150">
        <f ca="1"/>
        <v>1.3384762339048869E-2</v>
      </c>
      <c r="K635" s="7" t="s">
        <v>4</v>
      </c>
      <c r="L635" s="149" t="e">
        <f ca="1">_xll.meDateFromTenor(L634,"1D","FOLLOWING",#REF!,"NORMAL")</f>
        <v>#VALUE!</v>
      </c>
      <c r="M635" s="155">
        <f ca="1">_xll.meDateYearFraction(C635,D635,$M$11)</f>
        <v>2.7777777777777779E-3</v>
      </c>
      <c r="N635" s="150">
        <f ca="1"/>
        <v>-2.4300000000065936E-3</v>
      </c>
      <c r="O635" s="7" t="s">
        <v>4</v>
      </c>
      <c r="P635" s="149">
        <f t="shared" ca="1" si="19"/>
        <v>43333</v>
      </c>
      <c r="Q635" s="155">
        <f ca="1">_xll.meDateYearFraction(H635,I635,$Q$11,TRUE)</f>
        <v>0.25555555555555554</v>
      </c>
      <c r="R635" s="150">
        <f ca="1">IF(NOW(),_xll.meCurveForwardRatesFromYearFraction(P635,Q635,$Q$11,$Q$9,$Q$10))</f>
        <v>-2.9970724892122006E-3</v>
      </c>
      <c r="S635" s="134" t="s">
        <v>4</v>
      </c>
    </row>
    <row r="636" spans="1:19" x14ac:dyDescent="0.25">
      <c r="A636" s="128">
        <v>620</v>
      </c>
      <c r="B636" s="133"/>
      <c r="C636" s="149">
        <f ca="1">_xll.meDateFromTenor(C635,"1D","FOLLOWING",$D$11,"NORMAL")</f>
        <v>43334</v>
      </c>
      <c r="D636" s="20">
        <f ca="1">_xll.meDateFromTenor(C636,"1D","Following",$D$11,"Normal")</f>
        <v>43335</v>
      </c>
      <c r="E636" s="99">
        <f ca="1"/>
        <v>1.0151715500388328E-2</v>
      </c>
      <c r="F636" s="161">
        <f ca="1">_xll.meCurveForwardRates(C636,$D$9,$D$10)</f>
        <v>1.020327438281754E-2</v>
      </c>
      <c r="G636" s="7" t="s">
        <v>4</v>
      </c>
      <c r="H636" s="149">
        <f t="shared" ca="1" si="18"/>
        <v>43334</v>
      </c>
      <c r="I636" s="20">
        <f ca="1">_xll.meDateFromTenor(H636,"3M","Following",$I$11,"Normal")</f>
        <v>43427</v>
      </c>
      <c r="J636" s="150">
        <f ca="1"/>
        <v>1.340078877059225E-2</v>
      </c>
      <c r="K636" s="7" t="s">
        <v>4</v>
      </c>
      <c r="L636" s="149" t="e">
        <f ca="1">_xll.meDateFromTenor(L635,"1D","FOLLOWING",#REF!,"NORMAL")</f>
        <v>#VALUE!</v>
      </c>
      <c r="M636" s="155">
        <f ca="1">_xll.meDateYearFraction(C636,D636,$M$11)</f>
        <v>2.7777777777777779E-3</v>
      </c>
      <c r="N636" s="150">
        <f ca="1"/>
        <v>-2.4300000000065936E-3</v>
      </c>
      <c r="O636" s="7" t="s">
        <v>4</v>
      </c>
      <c r="P636" s="149">
        <f t="shared" ca="1" si="19"/>
        <v>43334</v>
      </c>
      <c r="Q636" s="155">
        <f ca="1">_xll.meDateYearFraction(H636,I636,$Q$11,TRUE)</f>
        <v>0.25833333333333336</v>
      </c>
      <c r="R636" s="150">
        <f ca="1">IF(NOW(),_xll.meCurveForwardRatesFromYearFraction(P636,Q636,$Q$11,$Q$9,$Q$10))</f>
        <v>-3.7175485397107962E-3</v>
      </c>
      <c r="S636" s="134" t="s">
        <v>4</v>
      </c>
    </row>
    <row r="637" spans="1:19" x14ac:dyDescent="0.25">
      <c r="A637" s="128">
        <v>621</v>
      </c>
      <c r="B637" s="133"/>
      <c r="C637" s="149">
        <f ca="1">_xll.meDateFromTenor(C636,"1D","FOLLOWING",$D$11,"NORMAL")</f>
        <v>43335</v>
      </c>
      <c r="D637" s="20">
        <f ca="1">_xll.meDateFromTenor(C637,"1D","Following",$D$11,"Normal")</f>
        <v>43336</v>
      </c>
      <c r="E637" s="99">
        <f ca="1"/>
        <v>1.0153671783923493E-2</v>
      </c>
      <c r="F637" s="161">
        <f ca="1">_xll.meCurveForwardRates(C637,$D$9,$D$10)</f>
        <v>1.0205250573050995E-2</v>
      </c>
      <c r="G637" s="7" t="s">
        <v>4</v>
      </c>
      <c r="H637" s="149">
        <f t="shared" ca="1" si="18"/>
        <v>43335</v>
      </c>
      <c r="I637" s="20">
        <f ca="1">_xll.meDateFromTenor(H637,"3M","Following",$I$11,"Normal")</f>
        <v>43427</v>
      </c>
      <c r="J637" s="150">
        <f ca="1"/>
        <v>1.3417421241702162E-2</v>
      </c>
      <c r="K637" s="7" t="s">
        <v>4</v>
      </c>
      <c r="L637" s="149" t="e">
        <f ca="1">_xll.meDateFromTenor(L636,"1D","FOLLOWING",#REF!,"NORMAL")</f>
        <v>#VALUE!</v>
      </c>
      <c r="M637" s="155">
        <f ca="1">_xll.meDateYearFraction(C637,D637,$M$11)</f>
        <v>2.7777777777777779E-3</v>
      </c>
      <c r="N637" s="150">
        <f ca="1"/>
        <v>-2.4300000000065936E-3</v>
      </c>
      <c r="O637" s="7" t="s">
        <v>4</v>
      </c>
      <c r="P637" s="149">
        <f t="shared" ca="1" si="19"/>
        <v>43335</v>
      </c>
      <c r="Q637" s="155">
        <f ca="1">_xll.meDateYearFraction(H637,I637,$Q$11,TRUE)</f>
        <v>0.25555555555555554</v>
      </c>
      <c r="R637" s="150">
        <f ca="1">IF(NOW(),_xll.meCurveForwardRatesFromYearFraction(P637,Q637,$Q$11,$Q$9,$Q$10))</f>
        <v>-2.9918959750501102E-3</v>
      </c>
      <c r="S637" s="134" t="s">
        <v>4</v>
      </c>
    </row>
    <row r="638" spans="1:19" x14ac:dyDescent="0.25">
      <c r="A638" s="128">
        <v>622</v>
      </c>
      <c r="B638" s="133"/>
      <c r="C638" s="149">
        <f ca="1">_xll.meDateFromTenor(C637,"1D","FOLLOWING",$D$11,"NORMAL")</f>
        <v>43336</v>
      </c>
      <c r="D638" s="20">
        <f ca="1">_xll.meDateFromTenor(C638,"1D","Following",$D$11,"Normal")</f>
        <v>43340</v>
      </c>
      <c r="E638" s="99">
        <f ca="1"/>
        <v>1.0157268365795816E-2</v>
      </c>
      <c r="F638" s="161">
        <f ca="1">_xll.meCurveForwardRates(C638,$D$9,$D$10)</f>
        <v>1.0206491672557938E-2</v>
      </c>
      <c r="G638" s="7" t="s">
        <v>4</v>
      </c>
      <c r="H638" s="149">
        <f t="shared" ca="1" si="18"/>
        <v>43336</v>
      </c>
      <c r="I638" s="20">
        <f ca="1">_xll.meDateFromTenor(H638,"3M","Following",$I$11,"Normal")</f>
        <v>43430</v>
      </c>
      <c r="J638" s="150">
        <f ca="1"/>
        <v>1.3414054407116611E-2</v>
      </c>
      <c r="K638" s="7" t="s">
        <v>4</v>
      </c>
      <c r="L638" s="149" t="e">
        <f ca="1">_xll.meDateFromTenor(L637,"1D","FOLLOWING",#REF!,"NORMAL")</f>
        <v>#VALUE!</v>
      </c>
      <c r="M638" s="155">
        <f ca="1">_xll.meDateYearFraction(C638,D638,$M$11)</f>
        <v>1.1111111111111112E-2</v>
      </c>
      <c r="N638" s="150">
        <f ca="1"/>
        <v>-2.4300000000065936E-3</v>
      </c>
      <c r="O638" s="7" t="s">
        <v>4</v>
      </c>
      <c r="P638" s="149">
        <f t="shared" ca="1" si="19"/>
        <v>43336</v>
      </c>
      <c r="Q638" s="155">
        <f ca="1">_xll.meDateYearFraction(H638,I638,$Q$11,TRUE)</f>
        <v>0.26111111111111113</v>
      </c>
      <c r="R638" s="150">
        <f ca="1">IF(NOW(),_xll.meCurveForwardRatesFromYearFraction(P638,Q638,$Q$11,$Q$9,$Q$10))</f>
        <v>-3.7175485397107962E-3</v>
      </c>
      <c r="S638" s="134" t="s">
        <v>4</v>
      </c>
    </row>
    <row r="639" spans="1:19" x14ac:dyDescent="0.25">
      <c r="A639" s="128">
        <v>623</v>
      </c>
      <c r="B639" s="133"/>
      <c r="C639" s="149">
        <f ca="1">_xll.meDateFromTenor(C638,"1D","FOLLOWING",$D$11,"NORMAL")</f>
        <v>43340</v>
      </c>
      <c r="D639" s="20">
        <f ca="1">_xll.meDateFromTenor(C639,"1D","Following",$D$11,"Normal")</f>
        <v>43341</v>
      </c>
      <c r="E639" s="99">
        <f ca="1"/>
        <v>1.0160195766477679E-2</v>
      </c>
      <c r="F639" s="161">
        <f ca="1">_xll.meCurveForwardRates(C639,$D$9,$D$10)</f>
        <v>1.0211840970040242E-2</v>
      </c>
      <c r="G639" s="7" t="s">
        <v>4</v>
      </c>
      <c r="H639" s="149">
        <f t="shared" ca="1" si="18"/>
        <v>43340</v>
      </c>
      <c r="I639" s="20">
        <f ca="1">_xll.meDateFromTenor(H639,"3M","Following",$I$11,"Normal")</f>
        <v>43432</v>
      </c>
      <c r="J639" s="150">
        <f ca="1"/>
        <v>1.3431192066884133E-2</v>
      </c>
      <c r="K639" s="7" t="s">
        <v>4</v>
      </c>
      <c r="L639" s="149" t="e">
        <f ca="1">_xll.meDateFromTenor(L638,"1D","FOLLOWING",#REF!,"NORMAL")</f>
        <v>#VALUE!</v>
      </c>
      <c r="M639" s="155">
        <f ca="1">_xll.meDateYearFraction(C639,D639,$M$11)</f>
        <v>2.7777777777777779E-3</v>
      </c>
      <c r="N639" s="150">
        <f ca="1"/>
        <v>-2.4300000000065936E-3</v>
      </c>
      <c r="O639" s="7" t="s">
        <v>4</v>
      </c>
      <c r="P639" s="149">
        <f t="shared" ca="1" si="19"/>
        <v>43340</v>
      </c>
      <c r="Q639" s="155">
        <f ca="1">_xll.meDateYearFraction(H639,I639,$Q$11,TRUE)</f>
        <v>0.25555555555555554</v>
      </c>
      <c r="R639" s="150">
        <f ca="1">IF(NOW(),_xll.meCurveForwardRatesFromYearFraction(P639,Q639,$Q$11,$Q$9,$Q$10))</f>
        <v>-3.7175485397107962E-3</v>
      </c>
      <c r="S639" s="134" t="s">
        <v>4</v>
      </c>
    </row>
    <row r="640" spans="1:19" x14ac:dyDescent="0.25">
      <c r="A640" s="128">
        <v>624</v>
      </c>
      <c r="B640" s="133"/>
      <c r="C640" s="149">
        <f ca="1">_xll.meDateFromTenor(C639,"1D","FOLLOWING",$D$11,"NORMAL")</f>
        <v>43341</v>
      </c>
      <c r="D640" s="20">
        <f ca="1">_xll.meDateFromTenor(C640,"1D","Following",$D$11,"Normal")</f>
        <v>43342</v>
      </c>
      <c r="E640" s="99">
        <f ca="1"/>
        <v>1.0161614885937996E-2</v>
      </c>
      <c r="F640" s="161">
        <f ca="1">_xll.meCurveForwardRates(C640,$D$9,$D$10)</f>
        <v>1.0213274541877704E-2</v>
      </c>
      <c r="G640" s="7" t="s">
        <v>4</v>
      </c>
      <c r="H640" s="149">
        <f t="shared" ca="1" si="18"/>
        <v>43341</v>
      </c>
      <c r="I640" s="20">
        <f ca="1">_xll.meDateFromTenor(H640,"3M","Following",$I$11,"Normal")</f>
        <v>43433</v>
      </c>
      <c r="J640" s="150">
        <f ca="1"/>
        <v>1.3437824885146313E-2</v>
      </c>
      <c r="K640" s="7" t="s">
        <v>4</v>
      </c>
      <c r="L640" s="149" t="e">
        <f ca="1">_xll.meDateFromTenor(L639,"1D","FOLLOWING",#REF!,"NORMAL")</f>
        <v>#VALUE!</v>
      </c>
      <c r="M640" s="155">
        <f ca="1">_xll.meDateYearFraction(C640,D640,$M$11)</f>
        <v>2.7777777777777779E-3</v>
      </c>
      <c r="N640" s="150">
        <f ca="1"/>
        <v>-2.4300000000065936E-3</v>
      </c>
      <c r="O640" s="7" t="s">
        <v>4</v>
      </c>
      <c r="P640" s="149">
        <f t="shared" ca="1" si="19"/>
        <v>43341</v>
      </c>
      <c r="Q640" s="155">
        <f ca="1">_xll.meDateYearFraction(H640,I640,$Q$11,TRUE)</f>
        <v>0.25555555555555554</v>
      </c>
      <c r="R640" s="150">
        <f ca="1">IF(NOW(),_xll.meCurveForwardRatesFromYearFraction(P640,Q640,$Q$11,$Q$9,$Q$10))</f>
        <v>-3.7175485397107962E-3</v>
      </c>
      <c r="S640" s="134" t="s">
        <v>4</v>
      </c>
    </row>
    <row r="641" spans="1:19" x14ac:dyDescent="0.25">
      <c r="A641" s="128">
        <v>625</v>
      </c>
      <c r="B641" s="133"/>
      <c r="C641" s="149">
        <f ca="1">_xll.meDateFromTenor(C640,"1D","FOLLOWING",$D$11,"NORMAL")</f>
        <v>43342</v>
      </c>
      <c r="D641" s="20">
        <f ca="1">_xll.meDateFromTenor(C641,"1D","Following",$D$11,"Normal")</f>
        <v>43343</v>
      </c>
      <c r="E641" s="99">
        <f ca="1"/>
        <v>1.0163072123150521E-2</v>
      </c>
      <c r="F641" s="161">
        <f ca="1">_xll.meCurveForwardRates(C641,$D$9,$D$10)</f>
        <v>1.0214746621771686E-2</v>
      </c>
      <c r="G641" s="7" t="s">
        <v>4</v>
      </c>
      <c r="H641" s="149">
        <f t="shared" ca="1" si="18"/>
        <v>43342</v>
      </c>
      <c r="I641" s="20">
        <f ca="1">_xll.meDateFromTenor(H641,"3M","Following",$I$11,"Normal")</f>
        <v>43434</v>
      </c>
      <c r="J641" s="150">
        <f ca="1"/>
        <v>1.3444457703408495E-2</v>
      </c>
      <c r="K641" s="7" t="s">
        <v>4</v>
      </c>
      <c r="L641" s="149" t="e">
        <f ca="1">_xll.meDateFromTenor(L640,"1D","FOLLOWING",#REF!,"NORMAL")</f>
        <v>#VALUE!</v>
      </c>
      <c r="M641" s="155">
        <f ca="1">_xll.meDateYearFraction(C641,D641,$M$11)</f>
        <v>2.7777777777777779E-3</v>
      </c>
      <c r="N641" s="150">
        <f ca="1"/>
        <v>-2.4300000000065936E-3</v>
      </c>
      <c r="O641" s="7" t="s">
        <v>4</v>
      </c>
      <c r="P641" s="149">
        <f t="shared" ca="1" si="19"/>
        <v>43342</v>
      </c>
      <c r="Q641" s="155">
        <f ca="1">_xll.meDateYearFraction(H641,I641,$Q$11,TRUE)</f>
        <v>0.25555555555555554</v>
      </c>
      <c r="R641" s="150">
        <f ca="1">IF(NOW(),_xll.meCurveForwardRatesFromYearFraction(P641,Q641,$Q$11,$Q$9,$Q$10))</f>
        <v>-2.9696714069103211E-3</v>
      </c>
      <c r="S641" s="134" t="s">
        <v>4</v>
      </c>
    </row>
    <row r="642" spans="1:19" x14ac:dyDescent="0.25">
      <c r="A642" s="128">
        <v>626</v>
      </c>
      <c r="B642" s="133"/>
      <c r="C642" s="149">
        <f ca="1">_xll.meDateFromTenor(C641,"1D","FOLLOWING",$D$11,"NORMAL")</f>
        <v>43343</v>
      </c>
      <c r="D642" s="20">
        <f ca="1">_xll.meDateFromTenor(C642,"1D","Following",$D$11,"Normal")</f>
        <v>43347</v>
      </c>
      <c r="E642" s="99">
        <f ca="1"/>
        <v>1.0167336542028541E-2</v>
      </c>
      <c r="F642" s="161">
        <f ca="1">_xll.meCurveForwardRates(C642,$D$9,$D$10)</f>
        <v>1.0216257214164415E-2</v>
      </c>
      <c r="G642" s="7" t="s">
        <v>4</v>
      </c>
      <c r="H642" s="149">
        <f t="shared" ca="1" si="18"/>
        <v>43343</v>
      </c>
      <c r="I642" s="20">
        <f ca="1">_xll.meDateFromTenor(H642,"3M","Following",$I$11,"Normal")</f>
        <v>43434</v>
      </c>
      <c r="J642" s="150">
        <f ca="1"/>
        <v>1.3451090521670674E-2</v>
      </c>
      <c r="K642" s="7" t="s">
        <v>4</v>
      </c>
      <c r="L642" s="149" t="e">
        <f ca="1">_xll.meDateFromTenor(L641,"1D","FOLLOWING",#REF!,"NORMAL")</f>
        <v>#VALUE!</v>
      </c>
      <c r="M642" s="155">
        <f ca="1">_xll.meDateYearFraction(C642,D642,$M$11)</f>
        <v>1.1111111111111112E-2</v>
      </c>
      <c r="N642" s="150">
        <f ca="1"/>
        <v>-2.4300000000065936E-3</v>
      </c>
      <c r="O642" s="7" t="s">
        <v>4</v>
      </c>
      <c r="P642" s="149">
        <f t="shared" ca="1" si="19"/>
        <v>43343</v>
      </c>
      <c r="Q642" s="155">
        <f ca="1">_xll.meDateYearFraction(H642,I642,$Q$11,TRUE)</f>
        <v>0.25277777777777777</v>
      </c>
      <c r="R642" s="150">
        <f ca="1">IF(NOW(),_xll.meCurveForwardRatesFromYearFraction(P642,Q642,$Q$11,$Q$9,$Q$10))</f>
        <v>-3.7175485397107962E-3</v>
      </c>
      <c r="S642" s="134" t="s">
        <v>4</v>
      </c>
    </row>
    <row r="643" spans="1:19" x14ac:dyDescent="0.25">
      <c r="A643" s="128">
        <v>627</v>
      </c>
      <c r="B643" s="133"/>
      <c r="C643" s="149">
        <f ca="1">_xll.meDateFromTenor(C642,"1D","FOLLOWING",$D$11,"NORMAL")</f>
        <v>43347</v>
      </c>
      <c r="D643" s="20">
        <f ca="1">_xll.meDateFromTenor(C643,"1D","Following",$D$11,"Normal")</f>
        <v>43348</v>
      </c>
      <c r="E643" s="99">
        <f ca="1"/>
        <v>1.0170930225719169E-2</v>
      </c>
      <c r="F643" s="161">
        <f ca="1">_xll.meCurveForwardRates(C643,$D$9,$D$10)</f>
        <v>1.0222684799868986E-2</v>
      </c>
      <c r="G643" s="7" t="s">
        <v>4</v>
      </c>
      <c r="H643" s="149">
        <f t="shared" ca="1" si="18"/>
        <v>43347</v>
      </c>
      <c r="I643" s="20">
        <f ca="1">_xll.meDateFromTenor(H643,"3M","Following",$I$11,"Normal")</f>
        <v>43438</v>
      </c>
      <c r="J643" s="150">
        <f ca="1"/>
        <v>1.3477621794719398E-2</v>
      </c>
      <c r="K643" s="7" t="s">
        <v>4</v>
      </c>
      <c r="L643" s="149" t="e">
        <f ca="1">_xll.meDateFromTenor(L642,"1D","FOLLOWING",#REF!,"NORMAL")</f>
        <v>#VALUE!</v>
      </c>
      <c r="M643" s="155">
        <f ca="1">_xll.meDateYearFraction(C643,D643,$M$11)</f>
        <v>2.7777777777777779E-3</v>
      </c>
      <c r="N643" s="150">
        <f ca="1"/>
        <v>-2.4300000000065936E-3</v>
      </c>
      <c r="O643" s="7" t="s">
        <v>4</v>
      </c>
      <c r="P643" s="149">
        <f t="shared" ca="1" si="19"/>
        <v>43347</v>
      </c>
      <c r="Q643" s="155">
        <f ca="1">_xll.meDateYearFraction(H643,I643,$Q$11,TRUE)</f>
        <v>0.25277777777777777</v>
      </c>
      <c r="R643" s="150">
        <f ca="1">IF(NOW(),_xll.meCurveForwardRatesFromYearFraction(P643,Q643,$Q$11,$Q$9,$Q$10))</f>
        <v>-2.95079288935432E-3</v>
      </c>
      <c r="S643" s="134" t="s">
        <v>4</v>
      </c>
    </row>
    <row r="644" spans="1:19" x14ac:dyDescent="0.25">
      <c r="A644" s="128">
        <v>628</v>
      </c>
      <c r="B644" s="133"/>
      <c r="C644" s="149">
        <f ca="1">_xll.meDateFromTenor(C643,"1D","FOLLOWING",$D$11,"NORMAL")</f>
        <v>43348</v>
      </c>
      <c r="D644" s="20">
        <f ca="1">_xll.meDateFromTenor(C644,"1D","Following",$D$11,"Normal")</f>
        <v>43349</v>
      </c>
      <c r="E644" s="99">
        <f ca="1"/>
        <v>1.0172616259831494E-2</v>
      </c>
      <c r="F644" s="161">
        <f ca="1">_xll.meCurveForwardRates(C644,$D$9,$D$10)</f>
        <v>1.0224388023087894E-2</v>
      </c>
      <c r="G644" s="7" t="s">
        <v>4</v>
      </c>
      <c r="H644" s="149">
        <f t="shared" ca="1" si="18"/>
        <v>43348</v>
      </c>
      <c r="I644" s="20">
        <f ca="1">_xll.meDateFromTenor(H644,"3M","Following",$I$11,"Normal")</f>
        <v>43439</v>
      </c>
      <c r="J644" s="150">
        <f ca="1"/>
        <v>1.3484254612981578E-2</v>
      </c>
      <c r="K644" s="7" t="s">
        <v>4</v>
      </c>
      <c r="L644" s="149" t="e">
        <f ca="1">_xll.meDateFromTenor(L643,"1D","FOLLOWING",#REF!,"NORMAL")</f>
        <v>#VALUE!</v>
      </c>
      <c r="M644" s="155">
        <f ca="1">_xll.meDateYearFraction(C644,D644,$M$11)</f>
        <v>2.7777777777777779E-3</v>
      </c>
      <c r="N644" s="150">
        <f ca="1"/>
        <v>-2.4300000000065936E-3</v>
      </c>
      <c r="O644" s="7" t="s">
        <v>4</v>
      </c>
      <c r="P644" s="149">
        <f t="shared" ca="1" si="19"/>
        <v>43348</v>
      </c>
      <c r="Q644" s="155">
        <f ca="1">_xll.meDateYearFraction(H644,I644,$Q$11,TRUE)</f>
        <v>0.25277777777777777</v>
      </c>
      <c r="R644" s="150">
        <f ca="1">IF(NOW(),_xll.meCurveForwardRatesFromYearFraction(P644,Q644,$Q$11,$Q$9,$Q$10))</f>
        <v>-3.7175485397107962E-3</v>
      </c>
      <c r="S644" s="134" t="s">
        <v>4</v>
      </c>
    </row>
    <row r="645" spans="1:19" x14ac:dyDescent="0.25">
      <c r="A645" s="128">
        <v>629</v>
      </c>
      <c r="B645" s="133"/>
      <c r="C645" s="149">
        <f ca="1">_xll.meDateFromTenor(C644,"1D","FOLLOWING",$D$11,"NORMAL")</f>
        <v>43349</v>
      </c>
      <c r="D645" s="20">
        <f ca="1">_xll.meDateFromTenor(C645,"1D","Following",$D$11,"Normal")</f>
        <v>43350</v>
      </c>
      <c r="E645" s="99">
        <f ca="1"/>
        <v>1.0174340441988542E-2</v>
      </c>
      <c r="F645" s="161">
        <f ca="1">_xll.meCurveForwardRates(C645,$D$9,$D$10)</f>
        <v>1.0226129786232274E-2</v>
      </c>
      <c r="G645" s="7" t="s">
        <v>4</v>
      </c>
      <c r="H645" s="149">
        <f t="shared" ca="1" si="18"/>
        <v>43349</v>
      </c>
      <c r="I645" s="20">
        <f ca="1">_xll.meDateFromTenor(H645,"3M","Following",$I$11,"Normal")</f>
        <v>43440</v>
      </c>
      <c r="J645" s="150">
        <f ca="1"/>
        <v>1.3490887431243759E-2</v>
      </c>
      <c r="K645" s="7" t="s">
        <v>4</v>
      </c>
      <c r="L645" s="149" t="e">
        <f ca="1">_xll.meDateFromTenor(L644,"1D","FOLLOWING",#REF!,"NORMAL")</f>
        <v>#VALUE!</v>
      </c>
      <c r="M645" s="155">
        <f ca="1">_xll.meDateYearFraction(C645,D645,$M$11)</f>
        <v>2.7777777777777779E-3</v>
      </c>
      <c r="N645" s="150">
        <f ca="1"/>
        <v>-2.4300000000065936E-3</v>
      </c>
      <c r="O645" s="7" t="s">
        <v>4</v>
      </c>
      <c r="P645" s="149">
        <f t="shared" ca="1" si="19"/>
        <v>43349</v>
      </c>
      <c r="Q645" s="155">
        <f ca="1">_xll.meDateYearFraction(H645,I645,$Q$11,TRUE)</f>
        <v>0.25277777777777777</v>
      </c>
      <c r="R645" s="150">
        <f ca="1">IF(NOW(),_xll.meCurveForwardRatesFromYearFraction(P645,Q645,$Q$11,$Q$9,$Q$10))</f>
        <v>-2.9426157515464297E-3</v>
      </c>
      <c r="S645" s="134" t="s">
        <v>4</v>
      </c>
    </row>
    <row r="646" spans="1:19" x14ac:dyDescent="0.25">
      <c r="A646" s="128">
        <v>630</v>
      </c>
      <c r="B646" s="133"/>
      <c r="C646" s="149">
        <f ca="1">_xll.meDateFromTenor(C645,"1D","FOLLOWING",$D$11,"NORMAL")</f>
        <v>43350</v>
      </c>
      <c r="D646" s="20">
        <f ca="1">_xll.meDateFromTenor(C646,"1D","Following",$D$11,"Normal")</f>
        <v>43353</v>
      </c>
      <c r="E646" s="99">
        <f ca="1"/>
        <v>1.0178203740283146E-2</v>
      </c>
      <c r="F646" s="161">
        <f ca="1">_xll.meCurveForwardRates(C646,$D$9,$D$10)</f>
        <v>1.0227910093699943E-2</v>
      </c>
      <c r="G646" s="7" t="s">
        <v>4</v>
      </c>
      <c r="H646" s="149">
        <f t="shared" ca="1" si="18"/>
        <v>43350</v>
      </c>
      <c r="I646" s="20">
        <f ca="1">_xll.meDateFromTenor(H646,"3M","Following",$I$11,"Normal")</f>
        <v>43441</v>
      </c>
      <c r="J646" s="150">
        <f ca="1"/>
        <v>1.3497520249505939E-2</v>
      </c>
      <c r="K646" s="7" t="s">
        <v>4</v>
      </c>
      <c r="L646" s="149" t="e">
        <f ca="1">_xll.meDateFromTenor(L645,"1D","FOLLOWING",#REF!,"NORMAL")</f>
        <v>#VALUE!</v>
      </c>
      <c r="M646" s="155">
        <f ca="1">_xll.meDateYearFraction(C646,D646,$M$11)</f>
        <v>8.3333333333333332E-3</v>
      </c>
      <c r="N646" s="150">
        <f ca="1"/>
        <v>-2.4300000000065936E-3</v>
      </c>
      <c r="O646" s="7" t="s">
        <v>4</v>
      </c>
      <c r="P646" s="149">
        <f t="shared" ca="1" si="19"/>
        <v>43350</v>
      </c>
      <c r="Q646" s="155">
        <f ca="1">_xll.meDateYearFraction(H646,I646,$Q$11,TRUE)</f>
        <v>0.25277777777777777</v>
      </c>
      <c r="R646" s="150">
        <f ca="1">IF(NOW(),_xll.meCurveForwardRatesFromYearFraction(P646,Q646,$Q$11,$Q$9,$Q$10))</f>
        <v>-3.7175485397107962E-3</v>
      </c>
      <c r="S646" s="134" t="s">
        <v>4</v>
      </c>
    </row>
    <row r="647" spans="1:19" x14ac:dyDescent="0.25">
      <c r="A647" s="128">
        <v>631</v>
      </c>
      <c r="B647" s="133"/>
      <c r="C647" s="149">
        <f ca="1">_xll.meDateFromTenor(C646,"1D","FOLLOWING",$D$11,"NORMAL")</f>
        <v>43353</v>
      </c>
      <c r="D647" s="20">
        <f ca="1">_xll.meDateFromTenor(C647,"1D","Following",$D$11,"Normal")</f>
        <v>43354</v>
      </c>
      <c r="E647" s="99">
        <f ca="1"/>
        <v>1.0181618736595547E-2</v>
      </c>
      <c r="F647" s="161">
        <f ca="1">_xll.meCurveForwardRates(C647,$D$9,$D$10)</f>
        <v>1.0233482328509291E-2</v>
      </c>
      <c r="G647" s="7" t="s">
        <v>4</v>
      </c>
      <c r="H647" s="149">
        <f t="shared" ca="1" si="18"/>
        <v>43353</v>
      </c>
      <c r="I647" s="20">
        <f ca="1">_xll.meDateFromTenor(H647,"3M","Following",$I$11,"Normal")</f>
        <v>43444</v>
      </c>
      <c r="J647" s="150">
        <f ca="1"/>
        <v>1.3517418704292482E-2</v>
      </c>
      <c r="K647" s="7" t="s">
        <v>4</v>
      </c>
      <c r="L647" s="149" t="e">
        <f ca="1">_xll.meDateFromTenor(L646,"1D","FOLLOWING",#REF!,"NORMAL")</f>
        <v>#VALUE!</v>
      </c>
      <c r="M647" s="155">
        <f ca="1">_xll.meDateYearFraction(C647,D647,$M$11)</f>
        <v>2.7777777777777779E-3</v>
      </c>
      <c r="N647" s="150">
        <f ca="1"/>
        <v>-2.4300000000065936E-3</v>
      </c>
      <c r="O647" s="7" t="s">
        <v>4</v>
      </c>
      <c r="P647" s="149">
        <f t="shared" ca="1" si="19"/>
        <v>43353</v>
      </c>
      <c r="Q647" s="155">
        <f ca="1">_xll.meDateYearFraction(H647,I647,$Q$11,TRUE)</f>
        <v>0.25277777777777777</v>
      </c>
      <c r="R647" s="150">
        <f ca="1">IF(NOW(),_xll.meCurveForwardRatesFromYearFraction(P647,Q647,$Q$11,$Q$9,$Q$10))</f>
        <v>-2.9252900331347533E-3</v>
      </c>
      <c r="S647" s="134" t="s">
        <v>4</v>
      </c>
    </row>
    <row r="648" spans="1:19" x14ac:dyDescent="0.25">
      <c r="A648" s="128">
        <v>632</v>
      </c>
      <c r="B648" s="133"/>
      <c r="C648" s="149">
        <f ca="1">_xll.meDateFromTenor(C647,"1D","FOLLOWING",$D$11,"NORMAL")</f>
        <v>43354</v>
      </c>
      <c r="D648" s="20">
        <f ca="1">_xll.meDateFromTenor(C648,"1D","Following",$D$11,"Normal")</f>
        <v>43355</v>
      </c>
      <c r="E648" s="99">
        <f ca="1"/>
        <v>1.0183533723404673E-2</v>
      </c>
      <c r="F648" s="161">
        <f ca="1">_xll.meCurveForwardRates(C648,$D$9,$D$10)</f>
        <v>1.0235416859436297E-2</v>
      </c>
      <c r="G648" s="7" t="s">
        <v>4</v>
      </c>
      <c r="H648" s="149">
        <f t="shared" ca="1" si="18"/>
        <v>43354</v>
      </c>
      <c r="I648" s="20">
        <f ca="1">_xll.meDateFromTenor(H648,"3M","Following",$I$11,"Normal")</f>
        <v>43445</v>
      </c>
      <c r="J648" s="150">
        <f ca="1"/>
        <v>1.3524051522554661E-2</v>
      </c>
      <c r="K648" s="7" t="s">
        <v>4</v>
      </c>
      <c r="L648" s="149" t="e">
        <f ca="1">_xll.meDateFromTenor(L647,"1D","FOLLOWING",#REF!,"NORMAL")</f>
        <v>#VALUE!</v>
      </c>
      <c r="M648" s="155">
        <f ca="1">_xll.meDateYearFraction(C648,D648,$M$11)</f>
        <v>2.7777777777777779E-3</v>
      </c>
      <c r="N648" s="150">
        <f ca="1"/>
        <v>-2.4300000000065936E-3</v>
      </c>
      <c r="O648" s="7" t="s">
        <v>4</v>
      </c>
      <c r="P648" s="149">
        <f t="shared" ca="1" si="19"/>
        <v>43354</v>
      </c>
      <c r="Q648" s="155">
        <f ca="1">_xll.meDateYearFraction(H648,I648,$Q$11,TRUE)</f>
        <v>0.25277777777777777</v>
      </c>
      <c r="R648" s="150">
        <f ca="1">IF(NOW(),_xll.meCurveForwardRatesFromYearFraction(P648,Q648,$Q$11,$Q$9,$Q$10))</f>
        <v>-3.7175485397107962E-3</v>
      </c>
      <c r="S648" s="134" t="s">
        <v>4</v>
      </c>
    </row>
    <row r="649" spans="1:19" x14ac:dyDescent="0.25">
      <c r="A649" s="128">
        <v>633</v>
      </c>
      <c r="B649" s="133"/>
      <c r="C649" s="149">
        <f ca="1">_xll.meDateFromTenor(C648,"1D","FOLLOWING",$D$11,"NORMAL")</f>
        <v>43355</v>
      </c>
      <c r="D649" s="20">
        <f ca="1">_xll.meDateFromTenor(C649,"1D","Following",$D$11,"Normal")</f>
        <v>43356</v>
      </c>
      <c r="E649" s="99">
        <f ca="1"/>
        <v>1.0185486884317677E-2</v>
      </c>
      <c r="F649" s="161">
        <f ca="1">_xll.meCurveForwardRates(C649,$D$9,$D$10)</f>
        <v>1.0237389957872711E-2</v>
      </c>
      <c r="G649" s="7" t="s">
        <v>4</v>
      </c>
      <c r="H649" s="149">
        <f t="shared" ca="1" si="18"/>
        <v>43355</v>
      </c>
      <c r="I649" s="20">
        <f ca="1">_xll.meDateFromTenor(H649,"3M","Following",$I$11,"Normal")</f>
        <v>43446</v>
      </c>
      <c r="J649" s="150">
        <f ca="1"/>
        <v>1.3530684340816843E-2</v>
      </c>
      <c r="K649" s="7" t="s">
        <v>4</v>
      </c>
      <c r="L649" s="149" t="e">
        <f ca="1">_xll.meDateFromTenor(L648,"1D","FOLLOWING",#REF!,"NORMAL")</f>
        <v>#VALUE!</v>
      </c>
      <c r="M649" s="155">
        <f ca="1">_xll.meDateYearFraction(C649,D649,$M$11)</f>
        <v>2.7777777777777779E-3</v>
      </c>
      <c r="N649" s="150">
        <f ca="1"/>
        <v>-2.4300000000065936E-3</v>
      </c>
      <c r="O649" s="7" t="s">
        <v>4</v>
      </c>
      <c r="P649" s="149">
        <f t="shared" ca="1" si="19"/>
        <v>43355</v>
      </c>
      <c r="Q649" s="155">
        <f ca="1">_xll.meDateYearFraction(H649,I649,$Q$11,TRUE)</f>
        <v>0.25277777777777777</v>
      </c>
      <c r="R649" s="150">
        <f ca="1">IF(NOW(),_xll.meCurveForwardRatesFromYearFraction(P649,Q649,$Q$11,$Q$9,$Q$10))</f>
        <v>-2.9161782665493891E-3</v>
      </c>
      <c r="S649" s="134" t="s">
        <v>4</v>
      </c>
    </row>
    <row r="650" spans="1:19" x14ac:dyDescent="0.25">
      <c r="A650" s="128">
        <v>634</v>
      </c>
      <c r="B650" s="133"/>
      <c r="C650" s="149">
        <f ca="1">_xll.meDateFromTenor(C649,"1D","FOLLOWING",$D$11,"NORMAL")</f>
        <v>43356</v>
      </c>
      <c r="D650" s="20">
        <f ca="1">_xll.meDateFromTenor(C650,"1D","Following",$D$11,"Normal")</f>
        <v>43357</v>
      </c>
      <c r="E650" s="99">
        <f ca="1"/>
        <v>1.0187478223491234E-2</v>
      </c>
      <c r="F650" s="161">
        <f ca="1">_xll.meCurveForwardRates(C650,$D$9,$D$10)</f>
        <v>1.0239401628243217E-2</v>
      </c>
      <c r="G650" s="7" t="s">
        <v>4</v>
      </c>
      <c r="H650" s="149">
        <f t="shared" ca="1" si="18"/>
        <v>43356</v>
      </c>
      <c r="I650" s="20">
        <f ca="1">_xll.meDateFromTenor(H650,"3M","Following",$I$11,"Normal")</f>
        <v>43447</v>
      </c>
      <c r="J650" s="150">
        <f ca="1"/>
        <v>1.3537317159079023E-2</v>
      </c>
      <c r="K650" s="7" t="s">
        <v>4</v>
      </c>
      <c r="L650" s="149" t="e">
        <f ca="1">_xll.meDateFromTenor(L649,"1D","FOLLOWING",#REF!,"NORMAL")</f>
        <v>#VALUE!</v>
      </c>
      <c r="M650" s="155">
        <f ca="1">_xll.meDateYearFraction(C650,D650,$M$11)</f>
        <v>2.7777777777777779E-3</v>
      </c>
      <c r="N650" s="150">
        <f ca="1"/>
        <v>-2.4300000000065936E-3</v>
      </c>
      <c r="O650" s="7" t="s">
        <v>4</v>
      </c>
      <c r="P650" s="149">
        <f t="shared" ca="1" si="19"/>
        <v>43356</v>
      </c>
      <c r="Q650" s="155">
        <f ca="1">_xll.meDateYearFraction(H650,I650,$Q$11,TRUE)</f>
        <v>0.25277777777777777</v>
      </c>
      <c r="R650" s="150">
        <f ca="1">IF(NOW(),_xll.meCurveForwardRatesFromYearFraction(P650,Q650,$Q$11,$Q$9,$Q$10))</f>
        <v>-3.7175485397107962E-3</v>
      </c>
      <c r="S650" s="134" t="s">
        <v>4</v>
      </c>
    </row>
    <row r="651" spans="1:19" x14ac:dyDescent="0.25">
      <c r="A651" s="128">
        <v>635</v>
      </c>
      <c r="B651" s="133"/>
      <c r="C651" s="149">
        <f ca="1">_xll.meDateFromTenor(C650,"1D","FOLLOWING",$D$11,"NORMAL")</f>
        <v>43357</v>
      </c>
      <c r="D651" s="20">
        <f ca="1">_xll.meDateFromTenor(C651,"1D","Following",$D$11,"Normal")</f>
        <v>43360</v>
      </c>
      <c r="E651" s="99">
        <f ca="1"/>
        <v>1.0191876710878881E-2</v>
      </c>
      <c r="F651" s="161">
        <f ca="1">_xll.meCurveForwardRates(C651,$D$9,$D$10)</f>
        <v>1.0241451875299346E-2</v>
      </c>
      <c r="G651" s="7" t="s">
        <v>4</v>
      </c>
      <c r="H651" s="149">
        <f t="shared" ca="1" si="18"/>
        <v>43357</v>
      </c>
      <c r="I651" s="20">
        <f ca="1">_xll.meDateFromTenor(H651,"3M","Following",$I$11,"Normal")</f>
        <v>43448</v>
      </c>
      <c r="J651" s="150">
        <f ca="1"/>
        <v>1.3543949977341202E-2</v>
      </c>
      <c r="K651" s="7" t="s">
        <v>4</v>
      </c>
      <c r="L651" s="149" t="e">
        <f ca="1">_xll.meDateFromTenor(L650,"1D","FOLLOWING",#REF!,"NORMAL")</f>
        <v>#VALUE!</v>
      </c>
      <c r="M651" s="155">
        <f ca="1">_xll.meDateYearFraction(C651,D651,$M$11)</f>
        <v>8.3333333333333332E-3</v>
      </c>
      <c r="N651" s="150">
        <f ca="1"/>
        <v>-2.4300000000065936E-3</v>
      </c>
      <c r="O651" s="7" t="s">
        <v>4</v>
      </c>
      <c r="P651" s="149">
        <f t="shared" ca="1" si="19"/>
        <v>43357</v>
      </c>
      <c r="Q651" s="155">
        <f ca="1">_xll.meDateYearFraction(H651,I651,$Q$11,TRUE)</f>
        <v>0.25277777777777777</v>
      </c>
      <c r="R651" s="150">
        <f ca="1">IF(NOW(),_xll.meCurveForwardRatesFromYearFraction(P651,Q651,$Q$11,$Q$9,$Q$10))</f>
        <v>-3.7175485397107962E-3</v>
      </c>
      <c r="S651" s="134" t="s">
        <v>4</v>
      </c>
    </row>
    <row r="652" spans="1:19" x14ac:dyDescent="0.25">
      <c r="A652" s="128">
        <v>636</v>
      </c>
      <c r="B652" s="133"/>
      <c r="C652" s="149">
        <f ca="1">_xll.meDateFromTenor(C651,"1D","FOLLOWING",$D$11,"NORMAL")</f>
        <v>43360</v>
      </c>
      <c r="D652" s="20">
        <f ca="1">_xll.meDateFromTenor(C652,"1D","Following",$D$11,"Normal")</f>
        <v>43361</v>
      </c>
      <c r="E652" s="99">
        <f ca="1"/>
        <v>1.0195825450320975E-2</v>
      </c>
      <c r="F652" s="161">
        <f ca="1">_xll.meCurveForwardRates(C652,$D$9,$D$10)</f>
        <v>1.024783412214969E-2</v>
      </c>
      <c r="G652" s="7" t="s">
        <v>4</v>
      </c>
      <c r="H652" s="149">
        <f t="shared" ca="1" si="18"/>
        <v>43360</v>
      </c>
      <c r="I652" s="20">
        <f ca="1">_xll.meDateFromTenor(H652,"3M","Following",$I$11,"Normal")</f>
        <v>43451</v>
      </c>
      <c r="J652" s="150">
        <f ca="1"/>
        <v>1.3563848432127745E-2</v>
      </c>
      <c r="K652" s="7" t="s">
        <v>4</v>
      </c>
      <c r="L652" s="149" t="e">
        <f ca="1">_xll.meDateFromTenor(L651,"1D","FOLLOWING",#REF!,"NORMAL")</f>
        <v>#VALUE!</v>
      </c>
      <c r="M652" s="155">
        <f ca="1">_xll.meDateYearFraction(C652,D652,$M$11)</f>
        <v>2.7777777777777779E-3</v>
      </c>
      <c r="N652" s="150">
        <f ca="1"/>
        <v>-2.4300000000065936E-3</v>
      </c>
      <c r="O652" s="7" t="s">
        <v>4</v>
      </c>
      <c r="P652" s="149">
        <f t="shared" ca="1" si="19"/>
        <v>43360</v>
      </c>
      <c r="Q652" s="155">
        <f ca="1">_xll.meDateYearFraction(H652,I652,$Q$11,TRUE)</f>
        <v>0.25277777777777777</v>
      </c>
      <c r="R652" s="150">
        <f ca="1">IF(NOW(),_xll.meCurveForwardRatesFromYearFraction(P652,Q652,$Q$11,$Q$9,$Q$10))</f>
        <v>-3.7175485397107962E-3</v>
      </c>
      <c r="S652" s="134" t="s">
        <v>4</v>
      </c>
    </row>
    <row r="653" spans="1:19" x14ac:dyDescent="0.25">
      <c r="A653" s="128">
        <v>637</v>
      </c>
      <c r="B653" s="133"/>
      <c r="C653" s="149">
        <f ca="1">_xll.meDateFromTenor(C652,"1D","FOLLOWING",$D$11,"NORMAL")</f>
        <v>43361</v>
      </c>
      <c r="D653" s="20">
        <f ca="1">_xll.meDateFromTenor(C653,"1D","Following",$D$11,"Normal")</f>
        <v>43362</v>
      </c>
      <c r="E653" s="99">
        <f ca="1"/>
        <v>1.0198007746264929E-2</v>
      </c>
      <c r="F653" s="161">
        <f ca="1">_xll.meCurveForwardRates(C653,$D$9,$D$10)</f>
        <v>1.0250038721861365E-2</v>
      </c>
      <c r="G653" s="7" t="s">
        <v>4</v>
      </c>
      <c r="H653" s="149">
        <f t="shared" ca="1" si="18"/>
        <v>43361</v>
      </c>
      <c r="I653" s="20">
        <f ca="1">_xll.meDateFromTenor(H653,"3M","Following",$I$11,"Normal")</f>
        <v>43452</v>
      </c>
      <c r="J653" s="150">
        <f ca="1"/>
        <v>1.3570481250389925E-2</v>
      </c>
      <c r="K653" s="7" t="s">
        <v>4</v>
      </c>
      <c r="L653" s="149" t="e">
        <f ca="1">_xll.meDateFromTenor(L652,"1D","FOLLOWING",#REF!,"NORMAL")</f>
        <v>#VALUE!</v>
      </c>
      <c r="M653" s="155">
        <f ca="1">_xll.meDateYearFraction(C653,D653,$M$11)</f>
        <v>2.7777777777777779E-3</v>
      </c>
      <c r="N653" s="150">
        <f ca="1"/>
        <v>-2.4300000000065936E-3</v>
      </c>
      <c r="O653" s="7" t="s">
        <v>4</v>
      </c>
      <c r="P653" s="149">
        <f t="shared" ca="1" si="19"/>
        <v>43361</v>
      </c>
      <c r="Q653" s="155">
        <f ca="1">_xll.meDateYearFraction(H653,I653,$Q$11,TRUE)</f>
        <v>0.25277777777777777</v>
      </c>
      <c r="R653" s="150">
        <f ca="1">IF(NOW(),_xll.meCurveForwardRatesFromYearFraction(P653,Q653,$Q$11,$Q$9,$Q$10))</f>
        <v>-2.8872682213857254E-3</v>
      </c>
      <c r="S653" s="134" t="s">
        <v>4</v>
      </c>
    </row>
    <row r="654" spans="1:19" x14ac:dyDescent="0.25">
      <c r="A654" s="128">
        <v>638</v>
      </c>
      <c r="B654" s="133"/>
      <c r="C654" s="149">
        <f ca="1">_xll.meDateFromTenor(C653,"1D","FOLLOWING",$D$11,"NORMAL")</f>
        <v>43362</v>
      </c>
      <c r="D654" s="20">
        <f ca="1">_xll.meDateFromTenor(C654,"1D","Following",$D$11,"Normal")</f>
        <v>43363</v>
      </c>
      <c r="E654" s="99">
        <f ca="1"/>
        <v>1.0200228246768398E-2</v>
      </c>
      <c r="F654" s="161">
        <f ca="1">_xll.meCurveForwardRates(C654,$D$9,$D$10)</f>
        <v>1.0252281921519613E-2</v>
      </c>
      <c r="G654" s="7" t="s">
        <v>4</v>
      </c>
      <c r="H654" s="149">
        <f t="shared" ca="1" si="18"/>
        <v>43362</v>
      </c>
      <c r="I654" s="20">
        <f ca="1">_xll.meDateFromTenor(H654,"3M","Following",$I$11,"Normal")</f>
        <v>43453</v>
      </c>
      <c r="J654" s="150">
        <f ca="1"/>
        <v>1.3577114068652106E-2</v>
      </c>
      <c r="K654" s="7" t="s">
        <v>4</v>
      </c>
      <c r="L654" s="149" t="e">
        <f ca="1">_xll.meDateFromTenor(L653,"1D","FOLLOWING",#REF!,"NORMAL")</f>
        <v>#VALUE!</v>
      </c>
      <c r="M654" s="155">
        <f ca="1">_xll.meDateYearFraction(C654,D654,$M$11)</f>
        <v>2.7777777777777779E-3</v>
      </c>
      <c r="N654" s="150">
        <f ca="1"/>
        <v>-2.4300000000065936E-3</v>
      </c>
      <c r="O654" s="7" t="s">
        <v>4</v>
      </c>
      <c r="P654" s="149">
        <f t="shared" ca="1" si="19"/>
        <v>43362</v>
      </c>
      <c r="Q654" s="155">
        <f ca="1">_xll.meDateYearFraction(H654,I654,$Q$11,TRUE)</f>
        <v>0.25277777777777777</v>
      </c>
      <c r="R654" s="150">
        <f ca="1">IF(NOW(),_xll.meCurveForwardRatesFromYearFraction(P654,Q654,$Q$11,$Q$9,$Q$10))</f>
        <v>-3.7175485397107962E-3</v>
      </c>
      <c r="S654" s="134" t="s">
        <v>4</v>
      </c>
    </row>
    <row r="655" spans="1:19" x14ac:dyDescent="0.25">
      <c r="A655" s="128">
        <v>639</v>
      </c>
      <c r="B655" s="133"/>
      <c r="C655" s="149">
        <f ca="1">_xll.meDateFromTenor(C654,"1D","FOLLOWING",$D$11,"NORMAL")</f>
        <v>43363</v>
      </c>
      <c r="D655" s="20">
        <f ca="1">_xll.meDateFromTenor(C655,"1D","Following",$D$11,"Normal")</f>
        <v>43364</v>
      </c>
      <c r="E655" s="99">
        <f ca="1"/>
        <v>1.0202486955908122E-2</v>
      </c>
      <c r="F655" s="161">
        <f ca="1">_xll.meCurveForwardRates(C655,$D$9,$D$10)</f>
        <v>1.0254563725499377E-2</v>
      </c>
      <c r="G655" s="7" t="s">
        <v>4</v>
      </c>
      <c r="H655" s="149">
        <f t="shared" ca="1" si="18"/>
        <v>43363</v>
      </c>
      <c r="I655" s="20">
        <f ca="1">_xll.meDateFromTenor(H655,"3M","Following",$I$11,"Normal")</f>
        <v>43454</v>
      </c>
      <c r="J655" s="150">
        <f ca="1"/>
        <v>1.3584159102826369E-2</v>
      </c>
      <c r="K655" s="7" t="s">
        <v>4</v>
      </c>
      <c r="L655" s="149" t="e">
        <f ca="1">_xll.meDateFromTenor(L654,"1D","FOLLOWING",#REF!,"NORMAL")</f>
        <v>#VALUE!</v>
      </c>
      <c r="M655" s="155">
        <f ca="1">_xll.meDateYearFraction(C655,D655,$M$11)</f>
        <v>2.7777777777777779E-3</v>
      </c>
      <c r="N655" s="150">
        <f ca="1"/>
        <v>-2.4300000000065936E-3</v>
      </c>
      <c r="O655" s="7" t="s">
        <v>4</v>
      </c>
      <c r="P655" s="149">
        <f t="shared" ca="1" si="19"/>
        <v>43363</v>
      </c>
      <c r="Q655" s="155">
        <f ca="1">_xll.meDateYearFraction(H655,I655,$Q$11,TRUE)</f>
        <v>0.25277777777777777</v>
      </c>
      <c r="R655" s="150">
        <f ca="1">IF(NOW(),_xll.meCurveForwardRatesFromYearFraction(P655,Q655,$Q$11,$Q$9,$Q$10))</f>
        <v>-3.7175485397107962E-3</v>
      </c>
      <c r="S655" s="134" t="s">
        <v>4</v>
      </c>
    </row>
    <row r="656" spans="1:19" x14ac:dyDescent="0.25">
      <c r="A656" s="128">
        <v>640</v>
      </c>
      <c r="B656" s="133"/>
      <c r="C656" s="149">
        <f ca="1">_xll.meDateFromTenor(C655,"1D","FOLLOWING",$D$11,"NORMAL")</f>
        <v>43364</v>
      </c>
      <c r="D656" s="20">
        <f ca="1">_xll.meDateFromTenor(C656,"1D","Following",$D$11,"Normal")</f>
        <v>43367</v>
      </c>
      <c r="E656" s="99">
        <f ca="1"/>
        <v>1.0207421165802125E-2</v>
      </c>
      <c r="F656" s="161">
        <f ca="1">_xll.meCurveForwardRates(C656,$D$9,$D$10)</f>
        <v>1.025688413874537E-2</v>
      </c>
      <c r="G656" s="7" t="s">
        <v>4</v>
      </c>
      <c r="H656" s="149">
        <f t="shared" ca="1" si="18"/>
        <v>43364</v>
      </c>
      <c r="I656" s="20">
        <f ca="1">_xll.meDateFromTenor(H656,"3M","Following",$I$11,"Normal")</f>
        <v>43455</v>
      </c>
      <c r="J656" s="150">
        <f ca="1"/>
        <v>1.3591779861188332E-2</v>
      </c>
      <c r="K656" s="7" t="s">
        <v>4</v>
      </c>
      <c r="L656" s="149" t="e">
        <f ca="1">_xll.meDateFromTenor(L655,"1D","FOLLOWING",#REF!,"NORMAL")</f>
        <v>#VALUE!</v>
      </c>
      <c r="M656" s="155">
        <f ca="1">_xll.meDateYearFraction(C656,D656,$M$11)</f>
        <v>8.3333333333333332E-3</v>
      </c>
      <c r="N656" s="150">
        <f ca="1"/>
        <v>-2.4300000000065936E-3</v>
      </c>
      <c r="O656" s="7" t="s">
        <v>4</v>
      </c>
      <c r="P656" s="149">
        <f t="shared" ca="1" si="19"/>
        <v>43364</v>
      </c>
      <c r="Q656" s="155">
        <f ca="1">_xll.meDateYearFraction(H656,I656,$Q$11,TRUE)</f>
        <v>0.25277777777777777</v>
      </c>
      <c r="R656" s="150">
        <f ca="1">IF(NOW(),_xll.meCurveForwardRatesFromYearFraction(P656,Q656,$Q$11,$Q$9,$Q$10))</f>
        <v>-2.8720412978816266E-3</v>
      </c>
      <c r="S656" s="134" t="s">
        <v>4</v>
      </c>
    </row>
    <row r="657" spans="1:19" x14ac:dyDescent="0.25">
      <c r="A657" s="128">
        <v>641</v>
      </c>
      <c r="B657" s="133"/>
      <c r="C657" s="149">
        <f ca="1">_xll.meDateFromTenor(C656,"1D","FOLLOWING",$D$11,"NORMAL")</f>
        <v>43367</v>
      </c>
      <c r="D657" s="20">
        <f ca="1">_xll.meDateFromTenor(C657,"1D","Following",$D$11,"Normal")</f>
        <v>43368</v>
      </c>
      <c r="E657" s="99">
        <f ca="1"/>
        <v>1.0211903967958272E-2</v>
      </c>
      <c r="F657" s="161">
        <f ca="1">_xll.meCurveForwardRates(C657,$D$9,$D$10)</f>
        <v>1.0264077079958245E-2</v>
      </c>
      <c r="G657" s="7" t="s">
        <v>4</v>
      </c>
      <c r="H657" s="149">
        <f t="shared" ref="H657:H720" ca="1" si="20">$C657</f>
        <v>43367</v>
      </c>
      <c r="I657" s="20">
        <f ca="1">_xll.meDateFromTenor(H657,"3M","Following",$I$11,"Normal")</f>
        <v>43458</v>
      </c>
      <c r="J657" s="150">
        <f ca="1"/>
        <v>1.3617964697916764E-2</v>
      </c>
      <c r="K657" s="7" t="s">
        <v>4</v>
      </c>
      <c r="L657" s="149" t="e">
        <f ca="1">_xll.meDateFromTenor(L656,"1D","FOLLOWING",#REF!,"NORMAL")</f>
        <v>#VALUE!</v>
      </c>
      <c r="M657" s="155">
        <f ca="1">_xll.meDateYearFraction(C657,D657,$M$11)</f>
        <v>2.7777777777777779E-3</v>
      </c>
      <c r="N657" s="150">
        <f ca="1"/>
        <v>-2.4300000000065936E-3</v>
      </c>
      <c r="O657" s="7" t="s">
        <v>4</v>
      </c>
      <c r="P657" s="149">
        <f t="shared" ref="P657:P720" ca="1" si="21">$C657</f>
        <v>43367</v>
      </c>
      <c r="Q657" s="155">
        <f ca="1">_xll.meDateYearFraction(H657,I657,$Q$11,TRUE)</f>
        <v>0.25277777777777777</v>
      </c>
      <c r="R657" s="150">
        <f ca="1">IF(NOW(),_xll.meCurveForwardRatesFromYearFraction(P657,Q657,$Q$11,$Q$9,$Q$10))</f>
        <v>-2.856382605304133E-3</v>
      </c>
      <c r="S657" s="134" t="s">
        <v>4</v>
      </c>
    </row>
    <row r="658" spans="1:19" x14ac:dyDescent="0.25">
      <c r="A658" s="128">
        <v>642</v>
      </c>
      <c r="B658" s="133"/>
      <c r="C658" s="149">
        <f ca="1">_xll.meDateFromTenor(C657,"1D","FOLLOWING",$D$11,"NORMAL")</f>
        <v>43368</v>
      </c>
      <c r="D658" s="20">
        <f ca="1">_xll.meDateFromTenor(C658,"1D","Following",$D$11,"Normal")</f>
        <v>43369</v>
      </c>
      <c r="E658" s="99">
        <f ca="1"/>
        <v>1.0214353786626199E-2</v>
      </c>
      <c r="F658" s="161">
        <f ca="1">_xll.meCurveForwardRates(C658,$D$9,$D$10)</f>
        <v>1.0266551976573002E-2</v>
      </c>
      <c r="G658" s="7" t="s">
        <v>4</v>
      </c>
      <c r="H658" s="149">
        <f t="shared" ca="1" si="20"/>
        <v>43368</v>
      </c>
      <c r="I658" s="20">
        <f ca="1">_xll.meDateFromTenor(H658,"3M","Following",$I$11,"Normal")</f>
        <v>43461</v>
      </c>
      <c r="J658" s="150">
        <f ca="1"/>
        <v>1.3627756569545877E-2</v>
      </c>
      <c r="K658" s="7" t="s">
        <v>4</v>
      </c>
      <c r="L658" s="149" t="e">
        <f ca="1">_xll.meDateFromTenor(L657,"1D","FOLLOWING",#REF!,"NORMAL")</f>
        <v>#VALUE!</v>
      </c>
      <c r="M658" s="155">
        <f ca="1">_xll.meDateYearFraction(C658,D658,$M$11)</f>
        <v>2.7777777777777779E-3</v>
      </c>
      <c r="N658" s="150">
        <f ca="1"/>
        <v>-2.4300000000065936E-3</v>
      </c>
      <c r="O658" s="7" t="s">
        <v>4</v>
      </c>
      <c r="P658" s="149">
        <f t="shared" ca="1" si="21"/>
        <v>43368</v>
      </c>
      <c r="Q658" s="155">
        <f ca="1">_xll.meDateYearFraction(H658,I658,$Q$11,TRUE)</f>
        <v>0.25833333333333336</v>
      </c>
      <c r="R658" s="150">
        <f ca="1">IF(NOW(),_xll.meCurveForwardRatesFromYearFraction(P658,Q658,$Q$11,$Q$9,$Q$10))</f>
        <v>-3.7175485397107962E-3</v>
      </c>
      <c r="S658" s="134" t="s">
        <v>4</v>
      </c>
    </row>
    <row r="659" spans="1:19" x14ac:dyDescent="0.25">
      <c r="A659" s="128">
        <v>643</v>
      </c>
      <c r="B659" s="133"/>
      <c r="C659" s="149">
        <f ca="1">_xll.meDateFromTenor(C658,"1D","FOLLOWING",$D$11,"NORMAL")</f>
        <v>43369</v>
      </c>
      <c r="D659" s="20">
        <f ca="1">_xll.meDateFromTenor(C659,"1D","Following",$D$11,"Normal")</f>
        <v>43370</v>
      </c>
      <c r="E659" s="99">
        <f ca="1"/>
        <v>1.021684184030928E-2</v>
      </c>
      <c r="F659" s="161">
        <f ca="1">_xll.meCurveForwardRates(C659,$D$9,$D$10)</f>
        <v>1.0269065505789765E-2</v>
      </c>
      <c r="G659" s="7" t="s">
        <v>4</v>
      </c>
      <c r="H659" s="149">
        <f t="shared" ca="1" si="20"/>
        <v>43369</v>
      </c>
      <c r="I659" s="20">
        <f ca="1">_xll.meDateFromTenor(H659,"3M","Following",$I$11,"Normal")</f>
        <v>43461</v>
      </c>
      <c r="J659" s="150">
        <f ca="1"/>
        <v>1.3638058273620869E-2</v>
      </c>
      <c r="K659" s="7" t="s">
        <v>4</v>
      </c>
      <c r="L659" s="149" t="e">
        <f ca="1">_xll.meDateFromTenor(L658,"1D","FOLLOWING",#REF!,"NORMAL")</f>
        <v>#VALUE!</v>
      </c>
      <c r="M659" s="155">
        <f ca="1">_xll.meDateYearFraction(C659,D659,$M$11)</f>
        <v>2.7777777777777779E-3</v>
      </c>
      <c r="N659" s="150">
        <f ca="1"/>
        <v>-2.4300000000065936E-3</v>
      </c>
      <c r="O659" s="7" t="s">
        <v>4</v>
      </c>
      <c r="P659" s="149">
        <f t="shared" ca="1" si="21"/>
        <v>43369</v>
      </c>
      <c r="Q659" s="155">
        <f ca="1">_xll.meDateYearFraction(H659,I659,$Q$11,TRUE)</f>
        <v>0.25555555555555554</v>
      </c>
      <c r="R659" s="150">
        <f ca="1">IF(NOW(),_xll.meCurveForwardRatesFromYearFraction(P659,Q659,$Q$11,$Q$9,$Q$10))</f>
        <v>-2.8457342835603804E-3</v>
      </c>
      <c r="S659" s="134" t="s">
        <v>4</v>
      </c>
    </row>
    <row r="660" spans="1:19" x14ac:dyDescent="0.25">
      <c r="A660" s="128">
        <v>644</v>
      </c>
      <c r="B660" s="133"/>
      <c r="C660" s="149">
        <f ca="1">_xll.meDateFromTenor(C659,"1D","FOLLOWING",$D$11,"NORMAL")</f>
        <v>43370</v>
      </c>
      <c r="D660" s="20">
        <f ca="1">_xll.meDateFromTenor(C660,"1D","Following",$D$11,"Normal")</f>
        <v>43371</v>
      </c>
      <c r="E660" s="99">
        <f ca="1"/>
        <v>1.0219368133403997E-2</v>
      </c>
      <c r="F660" s="161">
        <f ca="1">_xll.meCurveForwardRates(C660,$D$9,$D$10)</f>
        <v>1.0271617672337863E-2</v>
      </c>
      <c r="G660" s="7" t="s">
        <v>4</v>
      </c>
      <c r="H660" s="149">
        <f t="shared" ca="1" si="20"/>
        <v>43370</v>
      </c>
      <c r="I660" s="20">
        <f ca="1">_xll.meDateFromTenor(H660,"3M","Following",$I$11,"Normal")</f>
        <v>43461</v>
      </c>
      <c r="J660" s="150">
        <f ca="1"/>
        <v>1.3648856631793379E-2</v>
      </c>
      <c r="K660" s="7" t="s">
        <v>4</v>
      </c>
      <c r="L660" s="149" t="e">
        <f ca="1">_xll.meDateFromTenor(L659,"1D","FOLLOWING",#REF!,"NORMAL")</f>
        <v>#VALUE!</v>
      </c>
      <c r="M660" s="155">
        <f ca="1">_xll.meDateYearFraction(C660,D660,$M$11)</f>
        <v>2.7777777777777779E-3</v>
      </c>
      <c r="N660" s="150">
        <f ca="1"/>
        <v>-2.4300000000065936E-3</v>
      </c>
      <c r="O660" s="7" t="s">
        <v>4</v>
      </c>
      <c r="P660" s="149">
        <f t="shared" ca="1" si="21"/>
        <v>43370</v>
      </c>
      <c r="Q660" s="155">
        <f ca="1">_xll.meDateYearFraction(H660,I660,$Q$11,TRUE)</f>
        <v>0.25277777777777777</v>
      </c>
      <c r="R660" s="150">
        <f ca="1">IF(NOW(),_xll.meCurveForwardRatesFromYearFraction(P660,Q660,$Q$11,$Q$9,$Q$10))</f>
        <v>-3.7175485397107962E-3</v>
      </c>
      <c r="S660" s="134" t="s">
        <v>4</v>
      </c>
    </row>
    <row r="661" spans="1:19" x14ac:dyDescent="0.25">
      <c r="A661" s="128">
        <v>645</v>
      </c>
      <c r="B661" s="133"/>
      <c r="C661" s="149">
        <f ca="1">_xll.meDateFromTenor(C660,"1D","FOLLOWING",$D$11,"NORMAL")</f>
        <v>43371</v>
      </c>
      <c r="D661" s="20">
        <f ca="1">_xll.meDateFromTenor(C661,"1D","Following",$D$11,"Normal")</f>
        <v>43374</v>
      </c>
      <c r="E661" s="99">
        <f ca="1"/>
        <v>1.0224838601589107E-2</v>
      </c>
      <c r="F661" s="161">
        <f ca="1">_xll.meCurveForwardRates(C661,$D$9,$D$10)</f>
        <v>1.0274208480869795E-2</v>
      </c>
      <c r="G661" s="7" t="s">
        <v>4</v>
      </c>
      <c r="H661" s="149">
        <f t="shared" ca="1" si="20"/>
        <v>43371</v>
      </c>
      <c r="I661" s="20">
        <f ca="1">_xll.meDateFromTenor(H661,"3M","Following",$I$11,"Normal")</f>
        <v>43462</v>
      </c>
      <c r="J661" s="150">
        <f ca="1"/>
        <v>1.366013846571504E-2</v>
      </c>
      <c r="K661" s="7" t="s">
        <v>4</v>
      </c>
      <c r="L661" s="149" t="e">
        <f ca="1">_xll.meDateFromTenor(L660,"1D","FOLLOWING",#REF!,"NORMAL")</f>
        <v>#VALUE!</v>
      </c>
      <c r="M661" s="155">
        <f ca="1">_xll.meDateYearFraction(C661,D661,$M$11)</f>
        <v>8.3333333333333332E-3</v>
      </c>
      <c r="N661" s="150">
        <f ca="1"/>
        <v>-2.4300000000065936E-3</v>
      </c>
      <c r="O661" s="7" t="s">
        <v>4</v>
      </c>
      <c r="P661" s="149">
        <f t="shared" ca="1" si="21"/>
        <v>43371</v>
      </c>
      <c r="Q661" s="155">
        <f ca="1">_xll.meDateYearFraction(H661,I661,$Q$11,TRUE)</f>
        <v>0.25277777777777777</v>
      </c>
      <c r="R661" s="150">
        <f ca="1">IF(NOW(),_xll.meCurveForwardRatesFromYearFraction(P661,Q661,$Q$11,$Q$9,$Q$10))</f>
        <v>-2.834940081973701E-3</v>
      </c>
      <c r="S661" s="134" t="s">
        <v>4</v>
      </c>
    </row>
    <row r="662" spans="1:19" x14ac:dyDescent="0.25">
      <c r="A662" s="128">
        <v>646</v>
      </c>
      <c r="B662" s="133"/>
      <c r="C662" s="149">
        <f ca="1">_xll.meDateFromTenor(C661,"1D","FOLLOWING",$D$11,"NORMAL")</f>
        <v>43374</v>
      </c>
      <c r="D662" s="20">
        <f ca="1">_xll.meDateFromTenor(C662,"1D","Following",$D$11,"Normal")</f>
        <v>43375</v>
      </c>
      <c r="E662" s="99">
        <f ca="1"/>
        <v>1.0229855787349288E-2</v>
      </c>
      <c r="F662" s="161">
        <f ca="1">_xll.meCurveForwardRates(C662,$D$9,$D$10)</f>
        <v>1.028221280609376E-2</v>
      </c>
      <c r="G662" s="7" t="s">
        <v>4</v>
      </c>
      <c r="H662" s="149">
        <f t="shared" ca="1" si="20"/>
        <v>43374</v>
      </c>
      <c r="I662" s="20">
        <f ca="1">_xll.meDateFromTenor(H662,"3M","Following",$I$11,"Normal")</f>
        <v>43467</v>
      </c>
      <c r="J662" s="150">
        <f ca="1"/>
        <v>1.3696753038491294E-2</v>
      </c>
      <c r="K662" s="7" t="s">
        <v>4</v>
      </c>
      <c r="L662" s="149" t="e">
        <f ca="1">_xll.meDateFromTenor(L661,"1D","FOLLOWING",#REF!,"NORMAL")</f>
        <v>#VALUE!</v>
      </c>
      <c r="M662" s="155">
        <f ca="1">_xll.meDateYearFraction(C662,D662,$M$11)</f>
        <v>2.7777777777777779E-3</v>
      </c>
      <c r="N662" s="150">
        <f ca="1"/>
        <v>-2.4300000000065936E-3</v>
      </c>
      <c r="O662" s="7" t="s">
        <v>4</v>
      </c>
      <c r="P662" s="149">
        <f t="shared" ca="1" si="21"/>
        <v>43374</v>
      </c>
      <c r="Q662" s="155">
        <f ca="1">_xll.meDateYearFraction(H662,I662,$Q$11,TRUE)</f>
        <v>0.25833333333333336</v>
      </c>
      <c r="R662" s="150">
        <f ca="1">IF(NOW(),_xll.meCurveForwardRatesFromYearFraction(P662,Q662,$Q$11,$Q$9,$Q$10))</f>
        <v>-3.7175485397107962E-3</v>
      </c>
      <c r="S662" s="134" t="s">
        <v>4</v>
      </c>
    </row>
    <row r="663" spans="1:19" x14ac:dyDescent="0.25">
      <c r="A663" s="128">
        <v>647</v>
      </c>
      <c r="B663" s="133"/>
      <c r="C663" s="149">
        <f ca="1">_xll.meDateFromTenor(C662,"1D","FOLLOWING",$D$11,"NORMAL")</f>
        <v>43375</v>
      </c>
      <c r="D663" s="20">
        <f ca="1">_xll.meDateFromTenor(C663,"1D","Following",$D$11,"Normal")</f>
        <v>43376</v>
      </c>
      <c r="E663" s="99">
        <f ca="1"/>
        <v>1.0232573343209631E-2</v>
      </c>
      <c r="F663" s="161">
        <f ca="1">_xll.meCurveForwardRates(C663,$D$9,$D$10)</f>
        <v>1.028495823014719E-2</v>
      </c>
      <c r="G663" s="7" t="s">
        <v>4</v>
      </c>
      <c r="H663" s="149">
        <f t="shared" ca="1" si="20"/>
        <v>43375</v>
      </c>
      <c r="I663" s="20">
        <f ca="1">_xll.meDateFromTenor(H663,"3M","Following",$I$11,"Normal")</f>
        <v>43467</v>
      </c>
      <c r="J663" s="150">
        <f ca="1"/>
        <v>1.3709836991925921E-2</v>
      </c>
      <c r="K663" s="7" t="s">
        <v>4</v>
      </c>
      <c r="L663" s="149" t="e">
        <f ca="1">_xll.meDateFromTenor(L662,"1D","FOLLOWING",#REF!,"NORMAL")</f>
        <v>#VALUE!</v>
      </c>
      <c r="M663" s="155">
        <f ca="1">_xll.meDateYearFraction(C663,D663,$M$11)</f>
        <v>2.7777777777777779E-3</v>
      </c>
      <c r="N663" s="150">
        <f ca="1"/>
        <v>-2.4300000000065936E-3</v>
      </c>
      <c r="O663" s="7" t="s">
        <v>4</v>
      </c>
      <c r="P663" s="149">
        <f t="shared" ca="1" si="21"/>
        <v>43375</v>
      </c>
      <c r="Q663" s="155">
        <f ca="1">_xll.meDateYearFraction(H663,I663,$Q$11,TRUE)</f>
        <v>0.25555555555555554</v>
      </c>
      <c r="R663" s="150">
        <f ca="1">IF(NOW(),_xll.meCurveForwardRatesFromYearFraction(P663,Q663,$Q$11,$Q$9,$Q$10))</f>
        <v>-2.812987667308408E-3</v>
      </c>
      <c r="S663" s="134" t="s">
        <v>4</v>
      </c>
    </row>
    <row r="664" spans="1:19" x14ac:dyDescent="0.25">
      <c r="A664" s="128">
        <v>648</v>
      </c>
      <c r="B664" s="133"/>
      <c r="C664" s="149">
        <f ca="1">_xll.meDateFromTenor(C663,"1D","FOLLOWING",$D$11,"NORMAL")</f>
        <v>43376</v>
      </c>
      <c r="D664" s="20">
        <f ca="1">_xll.meDateFromTenor(C664,"1D","Following",$D$11,"Normal")</f>
        <v>43377</v>
      </c>
      <c r="E664" s="99">
        <f ca="1"/>
        <v>1.0235329164780574E-2</v>
      </c>
      <c r="F664" s="161">
        <f ca="1">_xll.meCurveForwardRates(C664,$D$9,$D$10)</f>
        <v>1.0287742319919024E-2</v>
      </c>
      <c r="G664" s="7" t="s">
        <v>4</v>
      </c>
      <c r="H664" s="149">
        <f t="shared" ca="1" si="20"/>
        <v>43376</v>
      </c>
      <c r="I664" s="20">
        <f ca="1">_xll.meDateFromTenor(H664,"3M","Following",$I$11,"Normal")</f>
        <v>43468</v>
      </c>
      <c r="J664" s="150">
        <f ca="1"/>
        <v>1.3723338529367886E-2</v>
      </c>
      <c r="K664" s="7" t="s">
        <v>4</v>
      </c>
      <c r="L664" s="149" t="e">
        <f ca="1">_xll.meDateFromTenor(L663,"1D","FOLLOWING",#REF!,"NORMAL")</f>
        <v>#VALUE!</v>
      </c>
      <c r="M664" s="155">
        <f ca="1">_xll.meDateYearFraction(C664,D664,$M$11)</f>
        <v>2.7777777777777779E-3</v>
      </c>
      <c r="N664" s="150">
        <f ca="1"/>
        <v>-2.4300000000065936E-3</v>
      </c>
      <c r="O664" s="7" t="s">
        <v>4</v>
      </c>
      <c r="P664" s="149">
        <f t="shared" ca="1" si="21"/>
        <v>43376</v>
      </c>
      <c r="Q664" s="155">
        <f ca="1">_xll.meDateYearFraction(H664,I664,$Q$11,TRUE)</f>
        <v>0.25555555555555554</v>
      </c>
      <c r="R664" s="150">
        <f ca="1">IF(NOW(),_xll.meCurveForwardRatesFromYearFraction(P664,Q664,$Q$11,$Q$9,$Q$10))</f>
        <v>-2.8074371496921474E-3</v>
      </c>
      <c r="S664" s="134" t="s">
        <v>4</v>
      </c>
    </row>
    <row r="665" spans="1:19" x14ac:dyDescent="0.25">
      <c r="A665" s="128">
        <v>649</v>
      </c>
      <c r="B665" s="133"/>
      <c r="C665" s="149">
        <f ca="1">_xll.meDateFromTenor(C664,"1D","FOLLOWING",$D$11,"NORMAL")</f>
        <v>43377</v>
      </c>
      <c r="D665" s="20">
        <f ca="1">_xll.meDateFromTenor(C665,"1D","Following",$D$11,"Normal")</f>
        <v>43378</v>
      </c>
      <c r="E665" s="99">
        <f ca="1"/>
        <v>1.0238123256538537E-2</v>
      </c>
      <c r="F665" s="161">
        <f ca="1">_xll.meCurveForwardRates(C665,$D$9,$D$10)</f>
        <v>1.029056508025028E-2</v>
      </c>
      <c r="G665" s="7" t="s">
        <v>4</v>
      </c>
      <c r="H665" s="149">
        <f t="shared" ca="1" si="20"/>
        <v>43377</v>
      </c>
      <c r="I665" s="20">
        <f ca="1">_xll.meDateFromTenor(H665,"3M","Following",$I$11,"Normal")</f>
        <v>43469</v>
      </c>
      <c r="J665" s="150">
        <f ca="1"/>
        <v>1.3737244472468817E-2</v>
      </c>
      <c r="K665" s="7" t="s">
        <v>4</v>
      </c>
      <c r="L665" s="149" t="e">
        <f ca="1">_xll.meDateFromTenor(L664,"1D","FOLLOWING",#REF!,"NORMAL")</f>
        <v>#VALUE!</v>
      </c>
      <c r="M665" s="155">
        <f ca="1">_xll.meDateYearFraction(C665,D665,$M$11)</f>
        <v>2.7777777777777779E-3</v>
      </c>
      <c r="N665" s="150">
        <f ca="1"/>
        <v>-2.4300000000065936E-3</v>
      </c>
      <c r="O665" s="7" t="s">
        <v>4</v>
      </c>
      <c r="P665" s="149">
        <f t="shared" ca="1" si="21"/>
        <v>43377</v>
      </c>
      <c r="Q665" s="155">
        <f ca="1">_xll.meDateYearFraction(H665,I665,$Q$11,TRUE)</f>
        <v>0.25555555555555554</v>
      </c>
      <c r="R665" s="150">
        <f ca="1">IF(NOW(),_xll.meCurveForwardRatesFromYearFraction(P665,Q665,$Q$11,$Q$9,$Q$10))</f>
        <v>-2.8018662682482163E-3</v>
      </c>
      <c r="S665" s="134" t="s">
        <v>4</v>
      </c>
    </row>
    <row r="666" spans="1:19" x14ac:dyDescent="0.25">
      <c r="A666" s="128">
        <v>650</v>
      </c>
      <c r="B666" s="133"/>
      <c r="C666" s="149">
        <f ca="1">_xll.meDateFromTenor(C665,"1D","FOLLOWING",$D$11,"NORMAL")</f>
        <v>43378</v>
      </c>
      <c r="D666" s="20">
        <f ca="1">_xll.meDateFromTenor(C666,"1D","Following",$D$11,"Normal")</f>
        <v>43382</v>
      </c>
      <c r="E666" s="99">
        <f ca="1"/>
        <v>1.0245737242480272E-2</v>
      </c>
      <c r="F666" s="161">
        <f ca="1">_xll.meCurveForwardRates(C666,$D$9,$D$10)</f>
        <v>1.029342651582521E-2</v>
      </c>
      <c r="G666" s="7" t="s">
        <v>4</v>
      </c>
      <c r="H666" s="149">
        <f t="shared" ca="1" si="20"/>
        <v>43378</v>
      </c>
      <c r="I666" s="20">
        <f ca="1">_xll.meDateFromTenor(H666,"3M","Following",$I$11,"Normal")</f>
        <v>43472</v>
      </c>
      <c r="J666" s="150">
        <f ca="1"/>
        <v>1.3751541642880356E-2</v>
      </c>
      <c r="K666" s="7" t="s">
        <v>4</v>
      </c>
      <c r="L666" s="149" t="e">
        <f ca="1">_xll.meDateFromTenor(L665,"1D","FOLLOWING",#REF!,"NORMAL")</f>
        <v>#VALUE!</v>
      </c>
      <c r="M666" s="155">
        <f ca="1">_xll.meDateYearFraction(C666,D666,$M$11)</f>
        <v>1.1111111111111112E-2</v>
      </c>
      <c r="N666" s="150">
        <f ca="1"/>
        <v>-2.4300000000065936E-3</v>
      </c>
      <c r="O666" s="7" t="s">
        <v>4</v>
      </c>
      <c r="P666" s="149">
        <f t="shared" ca="1" si="21"/>
        <v>43378</v>
      </c>
      <c r="Q666" s="155">
        <f ca="1">_xll.meDateYearFraction(H666,I666,$Q$11,TRUE)</f>
        <v>0.26111111111111113</v>
      </c>
      <c r="R666" s="150">
        <f ca="1">IF(NOW(),_xll.meCurveForwardRatesFromYearFraction(P666,Q666,$Q$11,$Q$9,$Q$10))</f>
        <v>-3.7175485397107962E-3</v>
      </c>
      <c r="S666" s="134" t="s">
        <v>4</v>
      </c>
    </row>
    <row r="667" spans="1:19" x14ac:dyDescent="0.25">
      <c r="A667" s="128">
        <v>651</v>
      </c>
      <c r="B667" s="133"/>
      <c r="C667" s="149">
        <f ca="1">_xll.meDateFromTenor(C666,"1D","FOLLOWING",$D$11,"NORMAL")</f>
        <v>43382</v>
      </c>
      <c r="D667" s="20">
        <f ca="1">_xll.meDateFromTenor(C667,"1D","Following",$D$11,"Normal")</f>
        <v>43383</v>
      </c>
      <c r="E667" s="99">
        <f ca="1"/>
        <v>1.0252667921690809E-2</v>
      </c>
      <c r="F667" s="161">
        <f ca="1">_xll.meCurveForwardRates(C667,$D$9,$D$10)</f>
        <v>1.0305259106901943E-2</v>
      </c>
      <c r="G667" s="7" t="s">
        <v>4</v>
      </c>
      <c r="H667" s="149">
        <f t="shared" ca="1" si="20"/>
        <v>43382</v>
      </c>
      <c r="I667" s="20">
        <f ca="1">_xll.meDateFromTenor(H667,"3M","Following",$I$11,"Normal")</f>
        <v>43474</v>
      </c>
      <c r="J667" s="150">
        <f ca="1"/>
        <v>1.38123790306653E-2</v>
      </c>
      <c r="K667" s="7" t="s">
        <v>4</v>
      </c>
      <c r="L667" s="149" t="e">
        <f ca="1">_xll.meDateFromTenor(L666,"1D","FOLLOWING",#REF!,"NORMAL")</f>
        <v>#VALUE!</v>
      </c>
      <c r="M667" s="155">
        <f ca="1">_xll.meDateYearFraction(C667,D667,$M$11)</f>
        <v>2.7777777777777779E-3</v>
      </c>
      <c r="N667" s="150">
        <f ca="1"/>
        <v>-2.4300000000065936E-3</v>
      </c>
      <c r="O667" s="7" t="s">
        <v>4</v>
      </c>
      <c r="P667" s="149">
        <f t="shared" ca="1" si="21"/>
        <v>43382</v>
      </c>
      <c r="Q667" s="155">
        <f ca="1">_xll.meDateYearFraction(H667,I667,$Q$11,TRUE)</f>
        <v>0.25555555555555554</v>
      </c>
      <c r="R667" s="150">
        <f ca="1">IF(NOW(),_xll.meCurveForwardRatesFromYearFraction(P667,Q667,$Q$11,$Q$9,$Q$10))</f>
        <v>-2.7737869342787727E-3</v>
      </c>
      <c r="S667" s="134" t="s">
        <v>4</v>
      </c>
    </row>
    <row r="668" spans="1:19" x14ac:dyDescent="0.25">
      <c r="A668" s="128">
        <v>652</v>
      </c>
      <c r="B668" s="133"/>
      <c r="C668" s="149">
        <f ca="1">_xll.meDateFromTenor(C667,"1D","FOLLOWING",$D$11,"NORMAL")</f>
        <v>43383</v>
      </c>
      <c r="D668" s="20">
        <f ca="1">_xll.meDateFromTenor(C668,"1D","Following",$D$11,"Normal")</f>
        <v>43384</v>
      </c>
      <c r="E668" s="99">
        <f ca="1"/>
        <v>1.0255691726976971E-2</v>
      </c>
      <c r="F668" s="161">
        <f ca="1">_xll.meCurveForwardRates(C668,$D$9,$D$10)</f>
        <v>1.0308313990888829E-2</v>
      </c>
      <c r="G668" s="7" t="s">
        <v>4</v>
      </c>
      <c r="H668" s="149">
        <f t="shared" ca="1" si="20"/>
        <v>43383</v>
      </c>
      <c r="I668" s="20">
        <f ca="1">_xll.meDateFromTenor(H668,"3M","Following",$I$11,"Normal")</f>
        <v>43475</v>
      </c>
      <c r="J668" s="150">
        <f ca="1"/>
        <v>1.3828434662404415E-2</v>
      </c>
      <c r="K668" s="7" t="s">
        <v>4</v>
      </c>
      <c r="L668" s="149" t="e">
        <f ca="1">_xll.meDateFromTenor(L667,"1D","FOLLOWING",#REF!,"NORMAL")</f>
        <v>#VALUE!</v>
      </c>
      <c r="M668" s="155">
        <f ca="1">_xll.meDateYearFraction(C668,D668,$M$11)</f>
        <v>2.7777777777777779E-3</v>
      </c>
      <c r="N668" s="150">
        <f ca="1"/>
        <v>-2.4300000000065936E-3</v>
      </c>
      <c r="O668" s="7" t="s">
        <v>4</v>
      </c>
      <c r="P668" s="149">
        <f t="shared" ca="1" si="21"/>
        <v>43383</v>
      </c>
      <c r="Q668" s="155">
        <f ca="1">_xll.meDateYearFraction(H668,I668,$Q$11,TRUE)</f>
        <v>0.25555555555555554</v>
      </c>
      <c r="R668" s="150">
        <f ca="1">IF(NOW(),_xll.meCurveForwardRatesFromYearFraction(P668,Q668,$Q$11,$Q$9,$Q$10))</f>
        <v>-3.7175485397107962E-3</v>
      </c>
      <c r="S668" s="134" t="s">
        <v>4</v>
      </c>
    </row>
    <row r="669" spans="1:19" x14ac:dyDescent="0.25">
      <c r="A669" s="128">
        <v>653</v>
      </c>
      <c r="B669" s="133"/>
      <c r="C669" s="149">
        <f ca="1">_xll.meDateFromTenor(C668,"1D","FOLLOWING",$D$11,"NORMAL")</f>
        <v>43384</v>
      </c>
      <c r="D669" s="20">
        <f ca="1">_xll.meDateFromTenor(C669,"1D","Following",$D$11,"Normal")</f>
        <v>43385</v>
      </c>
      <c r="E669" s="99">
        <f ca="1"/>
        <v>1.0258753833225534E-2</v>
      </c>
      <c r="F669" s="161">
        <f ca="1">_xll.meCurveForwardRates(C669,$D$9,$D$10)</f>
        <v>1.0311407578883269E-2</v>
      </c>
      <c r="G669" s="7" t="s">
        <v>4</v>
      </c>
      <c r="H669" s="149">
        <f t="shared" ca="1" si="20"/>
        <v>43384</v>
      </c>
      <c r="I669" s="20">
        <f ca="1">_xll.meDateFromTenor(H669,"3M","Following",$I$11,"Normal")</f>
        <v>43476</v>
      </c>
      <c r="J669" s="150">
        <f ca="1"/>
        <v>1.3844802451363949E-2</v>
      </c>
      <c r="K669" s="7" t="s">
        <v>4</v>
      </c>
      <c r="L669" s="149" t="e">
        <f ca="1">_xll.meDateFromTenor(L668,"1D","FOLLOWING",#REF!,"NORMAL")</f>
        <v>#VALUE!</v>
      </c>
      <c r="M669" s="155">
        <f ca="1">_xll.meDateYearFraction(C669,D669,$M$11)</f>
        <v>2.7777777777777779E-3</v>
      </c>
      <c r="N669" s="150">
        <f ca="1"/>
        <v>-2.4300000000065936E-3</v>
      </c>
      <c r="O669" s="7" t="s">
        <v>4</v>
      </c>
      <c r="P669" s="149">
        <f t="shared" ca="1" si="21"/>
        <v>43384</v>
      </c>
      <c r="Q669" s="155">
        <f ca="1">_xll.meDateYearFraction(H669,I669,$Q$11,TRUE)</f>
        <v>0.25555555555555554</v>
      </c>
      <c r="R669" s="150">
        <f ca="1">IF(NOW(),_xll.meCurveForwardRatesFromYearFraction(P669,Q669,$Q$11,$Q$9,$Q$10))</f>
        <v>-2.76249318456259E-3</v>
      </c>
      <c r="S669" s="134" t="s">
        <v>4</v>
      </c>
    </row>
    <row r="670" spans="1:19" x14ac:dyDescent="0.25">
      <c r="A670" s="128">
        <v>654</v>
      </c>
      <c r="B670" s="133"/>
      <c r="C670" s="149">
        <f ca="1">_xll.meDateFromTenor(C669,"1D","FOLLOWING",$D$11,"NORMAL")</f>
        <v>43385</v>
      </c>
      <c r="D670" s="20">
        <f ca="1">_xll.meDateFromTenor(C670,"1D","Following",$D$11,"Normal")</f>
        <v>43388</v>
      </c>
      <c r="E670" s="99">
        <f ca="1"/>
        <v>1.026529843635109E-2</v>
      </c>
      <c r="F670" s="161">
        <f ca="1">_xll.meCurveForwardRates(C670,$D$9,$D$10)</f>
        <v>1.0314539875923234E-2</v>
      </c>
      <c r="G670" s="7" t="s">
        <v>4</v>
      </c>
      <c r="H670" s="149">
        <f t="shared" ca="1" si="20"/>
        <v>43385</v>
      </c>
      <c r="I670" s="20">
        <f ca="1">_xll.meDateFromTenor(H670,"3M","Following",$I$11,"Normal")</f>
        <v>43479</v>
      </c>
      <c r="J670" s="150">
        <f ca="1"/>
        <v>1.386146921919555E-2</v>
      </c>
      <c r="K670" s="7" t="s">
        <v>4</v>
      </c>
      <c r="L670" s="149" t="e">
        <f ca="1">_xll.meDateFromTenor(L669,"1D","FOLLOWING",#REF!,"NORMAL")</f>
        <v>#VALUE!</v>
      </c>
      <c r="M670" s="155">
        <f ca="1">_xll.meDateYearFraction(C670,D670,$M$11)</f>
        <v>8.3333333333333332E-3</v>
      </c>
      <c r="N670" s="150">
        <f ca="1"/>
        <v>-2.4300000000065936E-3</v>
      </c>
      <c r="O670" s="7" t="s">
        <v>4</v>
      </c>
      <c r="P670" s="149">
        <f t="shared" ca="1" si="21"/>
        <v>43385</v>
      </c>
      <c r="Q670" s="155">
        <f ca="1">_xll.meDateYearFraction(H670,I670,$Q$11,TRUE)</f>
        <v>0.26111111111111113</v>
      </c>
      <c r="R670" s="150">
        <f ca="1">IF(NOW(),_xll.meCurveForwardRatesFromYearFraction(P670,Q670,$Q$11,$Q$9,$Q$10))</f>
        <v>-3.7175485397107962E-3</v>
      </c>
      <c r="S670" s="134" t="s">
        <v>4</v>
      </c>
    </row>
    <row r="671" spans="1:19" x14ac:dyDescent="0.25">
      <c r="A671" s="128">
        <v>655</v>
      </c>
      <c r="B671" s="133"/>
      <c r="C671" s="149">
        <f ca="1">_xll.meDateFromTenor(C670,"1D","FOLLOWING",$D$11,"NORMAL")</f>
        <v>43388</v>
      </c>
      <c r="D671" s="20">
        <f ca="1">_xll.meDateFromTenor(C671,"1D","Following",$D$11,"Normal")</f>
        <v>43389</v>
      </c>
      <c r="E671" s="99">
        <f ca="1"/>
        <v>1.0271385357691934E-2</v>
      </c>
      <c r="F671" s="161">
        <f ca="1">_xll.meCurveForwardRates(C671,$D$9,$D$10)</f>
        <v>1.032416906886291E-2</v>
      </c>
      <c r="G671" s="7" t="s">
        <v>4</v>
      </c>
      <c r="H671" s="149">
        <f t="shared" ca="1" si="20"/>
        <v>43388</v>
      </c>
      <c r="I671" s="20">
        <f ca="1">_xll.meDateFromTenor(H671,"3M","Following",$I$11,"Normal")</f>
        <v>43480</v>
      </c>
      <c r="J671" s="150">
        <f ca="1"/>
        <v>1.3913131612439065E-2</v>
      </c>
      <c r="K671" s="7" t="s">
        <v>4</v>
      </c>
      <c r="L671" s="149" t="e">
        <f ca="1">_xll.meDateFromTenor(L670,"1D","FOLLOWING",#REF!,"NORMAL")</f>
        <v>#VALUE!</v>
      </c>
      <c r="M671" s="155">
        <f ca="1">_xll.meDateYearFraction(C671,D671,$M$11)</f>
        <v>2.7777777777777779E-3</v>
      </c>
      <c r="N671" s="150">
        <f ca="1"/>
        <v>-2.4300000000065936E-3</v>
      </c>
      <c r="O671" s="7" t="s">
        <v>4</v>
      </c>
      <c r="P671" s="149">
        <f t="shared" ca="1" si="21"/>
        <v>43388</v>
      </c>
      <c r="Q671" s="155">
        <f ca="1">_xll.meDateYearFraction(H671,I671,$Q$11,TRUE)</f>
        <v>0.25555555555555554</v>
      </c>
      <c r="R671" s="150">
        <f ca="1">IF(NOW(),_xll.meCurveForwardRatesFromYearFraction(P671,Q671,$Q$11,$Q$9,$Q$10))</f>
        <v>-3.7175485397107962E-3</v>
      </c>
      <c r="S671" s="134" t="s">
        <v>4</v>
      </c>
    </row>
    <row r="672" spans="1:19" x14ac:dyDescent="0.25">
      <c r="A672" s="128">
        <v>656</v>
      </c>
      <c r="B672" s="133"/>
      <c r="C672" s="149">
        <f ca="1">_xll.meDateFromTenor(C671,"1D","FOLLOWING",$D$11,"NORMAL")</f>
        <v>43389</v>
      </c>
      <c r="D672" s="20">
        <f ca="1">_xll.meDateFromTenor(C672,"1D","Following",$D$11,"Normal")</f>
        <v>43390</v>
      </c>
      <c r="E672" s="99">
        <f ca="1"/>
        <v>1.0274639035738923E-2</v>
      </c>
      <c r="F672" s="161">
        <f ca="1">_xll.meCurveForwardRates(C672,$D$9,$D$10)</f>
        <v>1.0327456249976441E-2</v>
      </c>
      <c r="G672" s="7" t="s">
        <v>4</v>
      </c>
      <c r="H672" s="149">
        <f t="shared" ca="1" si="20"/>
        <v>43389</v>
      </c>
      <c r="I672" s="20">
        <f ca="1">_xll.meDateFromTenor(H672,"3M","Following",$I$11,"Normal")</f>
        <v>43481</v>
      </c>
      <c r="J672" s="150">
        <f ca="1"/>
        <v>1.393086251227527E-2</v>
      </c>
      <c r="K672" s="7" t="s">
        <v>4</v>
      </c>
      <c r="L672" s="149" t="e">
        <f ca="1">_xll.meDateFromTenor(L671,"1D","FOLLOWING",#REF!,"NORMAL")</f>
        <v>#VALUE!</v>
      </c>
      <c r="M672" s="155">
        <f ca="1">_xll.meDateYearFraction(C672,D672,$M$11)</f>
        <v>2.7777777777777779E-3</v>
      </c>
      <c r="N672" s="150">
        <f ca="1"/>
        <v>-2.4300000000065936E-3</v>
      </c>
      <c r="O672" s="7" t="s">
        <v>4</v>
      </c>
      <c r="P672" s="149">
        <f t="shared" ca="1" si="21"/>
        <v>43389</v>
      </c>
      <c r="Q672" s="155">
        <f ca="1">_xll.meDateYearFraction(H672,I672,$Q$11,TRUE)</f>
        <v>0.25555555555555554</v>
      </c>
      <c r="R672" s="150">
        <f ca="1">IF(NOW(),_xll.meCurveForwardRatesFromYearFraction(P672,Q672,$Q$11,$Q$9,$Q$10))</f>
        <v>-3.7175485397107962E-3</v>
      </c>
      <c r="S672" s="134" t="s">
        <v>4</v>
      </c>
    </row>
    <row r="673" spans="1:19" x14ac:dyDescent="0.25">
      <c r="A673" s="128">
        <v>657</v>
      </c>
      <c r="B673" s="133"/>
      <c r="C673" s="149">
        <f ca="1">_xll.meDateFromTenor(C672,"1D","FOLLOWING",$D$11,"NORMAL")</f>
        <v>43390</v>
      </c>
      <c r="D673" s="20">
        <f ca="1">_xll.meDateFromTenor(C673,"1D","Following",$D$11,"Normal")</f>
        <v>43391</v>
      </c>
      <c r="E673" s="99">
        <f ca="1"/>
        <v>1.0277931041526892E-2</v>
      </c>
      <c r="F673" s="161">
        <f ca="1">_xll.meCurveForwardRates(C673,$D$9,$D$10)</f>
        <v>1.0330782164345464E-2</v>
      </c>
      <c r="G673" s="7" t="s">
        <v>4</v>
      </c>
      <c r="H673" s="149">
        <f t="shared" ca="1" si="20"/>
        <v>43390</v>
      </c>
      <c r="I673" s="20">
        <f ca="1">_xll.meDateFromTenor(H673,"3M","Following",$I$11,"Normal")</f>
        <v>43482</v>
      </c>
      <c r="J673" s="150">
        <f ca="1"/>
        <v>1.3948826499241715E-2</v>
      </c>
      <c r="K673" s="7" t="s">
        <v>4</v>
      </c>
      <c r="L673" s="149" t="e">
        <f ca="1">_xll.meDateFromTenor(L672,"1D","FOLLOWING",#REF!,"NORMAL")</f>
        <v>#VALUE!</v>
      </c>
      <c r="M673" s="155">
        <f ca="1">_xll.meDateYearFraction(C673,D673,$M$11)</f>
        <v>2.7777777777777779E-3</v>
      </c>
      <c r="N673" s="150">
        <f ca="1"/>
        <v>-2.4300000000065936E-3</v>
      </c>
      <c r="O673" s="7" t="s">
        <v>4</v>
      </c>
      <c r="P673" s="149">
        <f t="shared" ca="1" si="21"/>
        <v>43390</v>
      </c>
      <c r="Q673" s="155">
        <f ca="1">_xll.meDateYearFraction(H673,I673,$Q$11,TRUE)</f>
        <v>0.25555555555555554</v>
      </c>
      <c r="R673" s="150">
        <f ca="1">IF(NOW(),_xll.meCurveForwardRatesFromYearFraction(P673,Q673,$Q$11,$Q$9,$Q$10))</f>
        <v>-2.7285862342644315E-3</v>
      </c>
      <c r="S673" s="134" t="s">
        <v>4</v>
      </c>
    </row>
    <row r="674" spans="1:19" x14ac:dyDescent="0.25">
      <c r="A674" s="128">
        <v>658</v>
      </c>
      <c r="B674" s="133"/>
      <c r="C674" s="149">
        <f ca="1">_xll.meDateFromTenor(C673,"1D","FOLLOWING",$D$11,"NORMAL")</f>
        <v>43391</v>
      </c>
      <c r="D674" s="20">
        <f ca="1">_xll.meDateFromTenor(C674,"1D","Following",$D$11,"Normal")</f>
        <v>43392</v>
      </c>
      <c r="E674" s="99">
        <f ca="1"/>
        <v>1.0281261379452325E-2</v>
      </c>
      <c r="F674" s="161">
        <f ca="1">_xll.meCurveForwardRates(C674,$D$9,$D$10)</f>
        <v>1.0334146816793677E-2</v>
      </c>
      <c r="G674" s="7" t="s">
        <v>4</v>
      </c>
      <c r="H674" s="149">
        <f t="shared" ca="1" si="20"/>
        <v>43391</v>
      </c>
      <c r="I674" s="20">
        <f ca="1">_xll.meDateFromTenor(H674,"3M","Following",$I$11,"Normal")</f>
        <v>43483</v>
      </c>
      <c r="J674" s="150">
        <f ca="1"/>
        <v>1.3967010394990039E-2</v>
      </c>
      <c r="K674" s="7" t="s">
        <v>4</v>
      </c>
      <c r="L674" s="149" t="e">
        <f ca="1">_xll.meDateFromTenor(L673,"1D","FOLLOWING",#REF!,"NORMAL")</f>
        <v>#VALUE!</v>
      </c>
      <c r="M674" s="155">
        <f ca="1">_xll.meDateYearFraction(C674,D674,$M$11)</f>
        <v>2.7777777777777779E-3</v>
      </c>
      <c r="N674" s="150">
        <f ca="1"/>
        <v>-2.4300000000065936E-3</v>
      </c>
      <c r="O674" s="7" t="s">
        <v>4</v>
      </c>
      <c r="P674" s="149">
        <f t="shared" ca="1" si="21"/>
        <v>43391</v>
      </c>
      <c r="Q674" s="155">
        <f ca="1">_xll.meDateYearFraction(H674,I674,$Q$11,TRUE)</f>
        <v>0.25555555555555554</v>
      </c>
      <c r="R674" s="150">
        <f ca="1">IF(NOW(),_xll.meCurveForwardRatesFromYearFraction(P674,Q674,$Q$11,$Q$9,$Q$10))</f>
        <v>-2.7229350365660116E-3</v>
      </c>
      <c r="S674" s="134" t="s">
        <v>4</v>
      </c>
    </row>
    <row r="675" spans="1:19" x14ac:dyDescent="0.25">
      <c r="A675" s="128">
        <v>659</v>
      </c>
      <c r="B675" s="133"/>
      <c r="C675" s="149">
        <f ca="1">_xll.meDateFromTenor(C674,"1D","FOLLOWING",$D$11,"NORMAL")</f>
        <v>43392</v>
      </c>
      <c r="D675" s="20">
        <f ca="1">_xll.meDateFromTenor(C675,"1D","Following",$D$11,"Normal")</f>
        <v>43395</v>
      </c>
      <c r="E675" s="99">
        <f ca="1"/>
        <v>1.0288343865196873E-2</v>
      </c>
      <c r="F675" s="161">
        <f ca="1">_xll.meCurveForwardRates(C675,$D$9,$D$10)</f>
        <v>1.033755021222893E-2</v>
      </c>
      <c r="G675" s="7" t="s">
        <v>4</v>
      </c>
      <c r="H675" s="149">
        <f t="shared" ca="1" si="20"/>
        <v>43392</v>
      </c>
      <c r="I675" s="20">
        <f ca="1">_xll.meDateFromTenor(H675,"3M","Following",$I$11,"Normal")</f>
        <v>43487</v>
      </c>
      <c r="J675" s="150">
        <f ca="1"/>
        <v>1.3985401021171873E-2</v>
      </c>
      <c r="K675" s="7" t="s">
        <v>4</v>
      </c>
      <c r="L675" s="149" t="e">
        <f ca="1">_xll.meDateFromTenor(L674,"1D","FOLLOWING",#REF!,"NORMAL")</f>
        <v>#VALUE!</v>
      </c>
      <c r="M675" s="155">
        <f ca="1">_xll.meDateYearFraction(C675,D675,$M$11)</f>
        <v>8.3333333333333332E-3</v>
      </c>
      <c r="N675" s="150">
        <f ca="1"/>
        <v>-2.4300000000065936E-3</v>
      </c>
      <c r="O675" s="7" t="s">
        <v>4</v>
      </c>
      <c r="P675" s="149">
        <f t="shared" ca="1" si="21"/>
        <v>43392</v>
      </c>
      <c r="Q675" s="155">
        <f ca="1">_xll.meDateYearFraction(H675,I675,$Q$11,TRUE)</f>
        <v>0.2638888888888889</v>
      </c>
      <c r="R675" s="150">
        <f ca="1">IF(NOW(),_xll.meCurveForwardRatesFromYearFraction(P675,Q675,$Q$11,$Q$9,$Q$10))</f>
        <v>-2.717283838867593E-3</v>
      </c>
      <c r="S675" s="134" t="s">
        <v>4</v>
      </c>
    </row>
    <row r="676" spans="1:19" x14ac:dyDescent="0.25">
      <c r="A676" s="128">
        <v>660</v>
      </c>
      <c r="B676" s="133"/>
      <c r="C676" s="149">
        <f ca="1">_xll.meDateFromTenor(C675,"1D","FOLLOWING",$D$11,"NORMAL")</f>
        <v>43395</v>
      </c>
      <c r="D676" s="20">
        <f ca="1">_xll.meDateFromTenor(C676,"1D","Following",$D$11,"Normal")</f>
        <v>43396</v>
      </c>
      <c r="E676" s="99">
        <f ca="1"/>
        <v>1.0294966141737341E-2</v>
      </c>
      <c r="F676" s="161">
        <f ca="1">_xll.meCurveForwardRates(C676,$D$9,$D$10)</f>
        <v>1.0347992905287873E-2</v>
      </c>
      <c r="G676" s="7" t="s">
        <v>4</v>
      </c>
      <c r="H676" s="149">
        <f t="shared" ca="1" si="20"/>
        <v>43395</v>
      </c>
      <c r="I676" s="20">
        <f ca="1">_xll.meDateFromTenor(H676,"3M","Following",$I$11,"Normal")</f>
        <v>43487</v>
      </c>
      <c r="J676" s="150">
        <f ca="1"/>
        <v>1.4041681498834833E-2</v>
      </c>
      <c r="K676" s="7" t="s">
        <v>4</v>
      </c>
      <c r="L676" s="149" t="e">
        <f ca="1">_xll.meDateFromTenor(L675,"1D","FOLLOWING",#REF!,"NORMAL")</f>
        <v>#VALUE!</v>
      </c>
      <c r="M676" s="155">
        <f ca="1">_xll.meDateYearFraction(C676,D676,$M$11)</f>
        <v>2.7777777777777779E-3</v>
      </c>
      <c r="N676" s="150">
        <f ca="1"/>
        <v>-2.4300000000065936E-3</v>
      </c>
      <c r="O676" s="7" t="s">
        <v>4</v>
      </c>
      <c r="P676" s="149">
        <f t="shared" ca="1" si="21"/>
        <v>43395</v>
      </c>
      <c r="Q676" s="155">
        <f ca="1">_xll.meDateYearFraction(H676,I676,$Q$11,TRUE)</f>
        <v>0.25555555555555554</v>
      </c>
      <c r="R676" s="150">
        <f ca="1">IF(NOW(),_xll.meCurveForwardRatesFromYearFraction(P676,Q676,$Q$11,$Q$9,$Q$10))</f>
        <v>-3.7175485397107962E-3</v>
      </c>
      <c r="S676" s="134" t="s">
        <v>4</v>
      </c>
    </row>
    <row r="677" spans="1:19" x14ac:dyDescent="0.25">
      <c r="A677" s="128">
        <v>661</v>
      </c>
      <c r="B677" s="133"/>
      <c r="C677" s="149">
        <f ca="1">_xll.meDateFromTenor(C676,"1D","FOLLOWING",$D$11,"NORMAL")</f>
        <v>43396</v>
      </c>
      <c r="D677" s="20">
        <f ca="1">_xll.meDateFromTenor(C677,"1D","Following",$D$11,"Normal")</f>
        <v>43397</v>
      </c>
      <c r="E677" s="99">
        <f ca="1"/>
        <v>1.0298488207256576E-2</v>
      </c>
      <c r="F677" s="161">
        <f ca="1">_xll.meCurveForwardRates(C677,$D$9,$D$10)</f>
        <v>1.0351551321604591E-2</v>
      </c>
      <c r="G677" s="7" t="s">
        <v>4</v>
      </c>
      <c r="H677" s="149">
        <f t="shared" ca="1" si="20"/>
        <v>43396</v>
      </c>
      <c r="I677" s="20">
        <f ca="1">_xll.meDateFromTenor(H677,"3M","Following",$I$11,"Normal")</f>
        <v>43488</v>
      </c>
      <c r="J677" s="150">
        <f ca="1"/>
        <v>1.4060767263267094E-2</v>
      </c>
      <c r="K677" s="7" t="s">
        <v>4</v>
      </c>
      <c r="L677" s="149" t="e">
        <f ca="1">_xll.meDateFromTenor(L676,"1D","FOLLOWING",#REF!,"NORMAL")</f>
        <v>#VALUE!</v>
      </c>
      <c r="M677" s="155">
        <f ca="1">_xll.meDateYearFraction(C677,D677,$M$11)</f>
        <v>2.7777777777777779E-3</v>
      </c>
      <c r="N677" s="150">
        <f ca="1"/>
        <v>-2.4300000000065936E-3</v>
      </c>
      <c r="O677" s="7" t="s">
        <v>4</v>
      </c>
      <c r="P677" s="149">
        <f t="shared" ca="1" si="21"/>
        <v>43396</v>
      </c>
      <c r="Q677" s="155">
        <f ca="1">_xll.meDateYearFraction(H677,I677,$Q$11,TRUE)</f>
        <v>0.25555555555555554</v>
      </c>
      <c r="R677" s="150">
        <f ca="1">IF(NOW(),_xll.meCurveForwardRatesFromYearFraction(P677,Q677,$Q$11,$Q$9,$Q$10))</f>
        <v>-2.6946790480739139E-3</v>
      </c>
      <c r="S677" s="134" t="s">
        <v>4</v>
      </c>
    </row>
    <row r="678" spans="1:19" x14ac:dyDescent="0.25">
      <c r="A678" s="128">
        <v>662</v>
      </c>
      <c r="B678" s="133"/>
      <c r="C678" s="149">
        <f ca="1">_xll.meDateFromTenor(C677,"1D","FOLLOWING",$D$11,"NORMAL")</f>
        <v>43397</v>
      </c>
      <c r="D678" s="20">
        <f ca="1">_xll.meDateFromTenor(C678,"1D","Following",$D$11,"Normal")</f>
        <v>43398</v>
      </c>
      <c r="E678" s="99">
        <f ca="1"/>
        <v>1.0302048631771791E-2</v>
      </c>
      <c r="F678" s="161">
        <f ca="1">_xll.meCurveForwardRates(C678,$D$9,$D$10)</f>
        <v>1.0355148505518441E-2</v>
      </c>
      <c r="G678" s="7" t="s">
        <v>4</v>
      </c>
      <c r="H678" s="149">
        <f t="shared" ca="1" si="20"/>
        <v>43397</v>
      </c>
      <c r="I678" s="20">
        <f ca="1">_xll.meDateFromTenor(H678,"3M","Following",$I$11,"Normal")</f>
        <v>43489</v>
      </c>
      <c r="J678" s="150">
        <f ca="1"/>
        <v>1.407999386639105E-2</v>
      </c>
      <c r="K678" s="7" t="s">
        <v>4</v>
      </c>
      <c r="L678" s="149" t="e">
        <f ca="1">_xll.meDateFromTenor(L677,"1D","FOLLOWING",#REF!,"NORMAL")</f>
        <v>#VALUE!</v>
      </c>
      <c r="M678" s="155">
        <f ca="1">_xll.meDateYearFraction(C678,D678,$M$11)</f>
        <v>2.7777777777777779E-3</v>
      </c>
      <c r="N678" s="150">
        <f ca="1"/>
        <v>-2.4300000000065936E-3</v>
      </c>
      <c r="O678" s="7" t="s">
        <v>4</v>
      </c>
      <c r="P678" s="149">
        <f t="shared" ca="1" si="21"/>
        <v>43397</v>
      </c>
      <c r="Q678" s="155">
        <f ca="1">_xll.meDateYearFraction(H678,I678,$Q$11,TRUE)</f>
        <v>0.25555555555555554</v>
      </c>
      <c r="R678" s="150">
        <f ca="1">IF(NOW(),_xll.meCurveForwardRatesFromYearFraction(P678,Q678,$Q$11,$Q$9,$Q$10))</f>
        <v>-3.7175485397107962E-3</v>
      </c>
      <c r="S678" s="134" t="s">
        <v>4</v>
      </c>
    </row>
    <row r="679" spans="1:19" x14ac:dyDescent="0.25">
      <c r="A679" s="128">
        <v>663</v>
      </c>
      <c r="B679" s="133"/>
      <c r="C679" s="149">
        <f ca="1">_xll.meDateFromTenor(C678,"1D","FOLLOWING",$D$11,"NORMAL")</f>
        <v>43398</v>
      </c>
      <c r="D679" s="20">
        <f ca="1">_xll.meDateFromTenor(C679,"1D","Following",$D$11,"Normal")</f>
        <v>43399</v>
      </c>
      <c r="E679" s="99">
        <f ca="1"/>
        <v>1.0305647419679468E-2</v>
      </c>
      <c r="F679" s="161">
        <f ca="1">_xll.meCurveForwardRates(C679,$D$9,$D$10)</f>
        <v>1.0358784461884429E-2</v>
      </c>
      <c r="G679" s="7" t="s">
        <v>4</v>
      </c>
      <c r="H679" s="149">
        <f t="shared" ca="1" si="20"/>
        <v>43398</v>
      </c>
      <c r="I679" s="20">
        <f ca="1">_xll.meDateFromTenor(H679,"3M","Following",$I$11,"Normal")</f>
        <v>43490</v>
      </c>
      <c r="J679" s="150">
        <f ca="1"/>
        <v>1.4099348129858339E-2</v>
      </c>
      <c r="K679" s="7" t="s">
        <v>4</v>
      </c>
      <c r="L679" s="149" t="e">
        <f ca="1">_xll.meDateFromTenor(L678,"1D","FOLLOWING",#REF!,"NORMAL")</f>
        <v>#VALUE!</v>
      </c>
      <c r="M679" s="155">
        <f ca="1">_xll.meDateYearFraction(C679,D679,$M$11)</f>
        <v>2.7777777777777779E-3</v>
      </c>
      <c r="N679" s="150">
        <f ca="1"/>
        <v>-2.4300000000065936E-3</v>
      </c>
      <c r="O679" s="7" t="s">
        <v>4</v>
      </c>
      <c r="P679" s="149">
        <f t="shared" ca="1" si="21"/>
        <v>43398</v>
      </c>
      <c r="Q679" s="155">
        <f ca="1">_xll.meDateYearFraction(H679,I679,$Q$11,TRUE)</f>
        <v>0.25555555555555554</v>
      </c>
      <c r="R679" s="150">
        <f ca="1">IF(NOW(),_xll.meCurveForwardRatesFromYearFraction(P679,Q679,$Q$11,$Q$9,$Q$10))</f>
        <v>-3.7175485397107962E-3</v>
      </c>
      <c r="S679" s="134" t="s">
        <v>4</v>
      </c>
    </row>
    <row r="680" spans="1:19" x14ac:dyDescent="0.25">
      <c r="A680" s="128">
        <v>664</v>
      </c>
      <c r="B680" s="133"/>
      <c r="C680" s="149">
        <f ca="1">_xll.meDateFromTenor(C679,"1D","FOLLOWING",$D$11,"NORMAL")</f>
        <v>43399</v>
      </c>
      <c r="D680" s="20">
        <f ca="1">_xll.meDateFromTenor(C680,"1D","Following",$D$11,"Normal")</f>
        <v>43402</v>
      </c>
      <c r="E680" s="99">
        <f ca="1"/>
        <v>1.0313268335977491E-2</v>
      </c>
      <c r="F680" s="161">
        <f ca="1">_xll.meCurveForwardRates(C680,$D$9,$D$10)</f>
        <v>1.0362459195641938E-2</v>
      </c>
      <c r="G680" s="7" t="s">
        <v>4</v>
      </c>
      <c r="H680" s="149">
        <f t="shared" ca="1" si="20"/>
        <v>43399</v>
      </c>
      <c r="I680" s="20">
        <f ca="1">_xll.meDateFromTenor(H680,"3M","Following",$I$11,"Normal")</f>
        <v>43493</v>
      </c>
      <c r="J680" s="150">
        <f ca="1"/>
        <v>1.4118816875320597E-2</v>
      </c>
      <c r="K680" s="7" t="s">
        <v>4</v>
      </c>
      <c r="L680" s="149" t="e">
        <f ca="1">_xll.meDateFromTenor(L679,"1D","FOLLOWING",#REF!,"NORMAL")</f>
        <v>#VALUE!</v>
      </c>
      <c r="M680" s="155">
        <f ca="1">_xll.meDateYearFraction(C680,D680,$M$11)</f>
        <v>8.3333333333333332E-3</v>
      </c>
      <c r="N680" s="150">
        <f ca="1"/>
        <v>-2.4300000000065936E-3</v>
      </c>
      <c r="O680" s="7" t="s">
        <v>4</v>
      </c>
      <c r="P680" s="149">
        <f t="shared" ca="1" si="21"/>
        <v>43399</v>
      </c>
      <c r="Q680" s="155">
        <f ca="1">_xll.meDateYearFraction(H680,I680,$Q$11,TRUE)</f>
        <v>0.26111111111111113</v>
      </c>
      <c r="R680" s="150">
        <f ca="1">IF(NOW(),_xll.meCurveForwardRatesFromYearFraction(P680,Q680,$Q$11,$Q$9,$Q$10))</f>
        <v>-3.7175485397107962E-3</v>
      </c>
      <c r="S680" s="134" t="s">
        <v>4</v>
      </c>
    </row>
    <row r="681" spans="1:19" x14ac:dyDescent="0.25">
      <c r="A681" s="128">
        <v>665</v>
      </c>
      <c r="B681" s="133"/>
      <c r="C681" s="149">
        <f ca="1">_xll.meDateFromTenor(C680,"1D","FOLLOWING",$D$11,"NORMAL")</f>
        <v>43402</v>
      </c>
      <c r="D681" s="20">
        <f ca="1">_xll.meDateFromTenor(C681,"1D","Following",$D$11,"Normal")</f>
        <v>43403</v>
      </c>
      <c r="E681" s="99">
        <f ca="1"/>
        <v>1.0320426295082933E-2</v>
      </c>
      <c r="F681" s="161">
        <f ca="1">_xll.meCurveForwardRates(C681,$D$9,$D$10)</f>
        <v>1.0373716111057085E-2</v>
      </c>
      <c r="G681" s="7" t="s">
        <v>4</v>
      </c>
      <c r="H681" s="149">
        <f t="shared" ca="1" si="20"/>
        <v>43402</v>
      </c>
      <c r="I681" s="20">
        <f ca="1">_xll.meDateFromTenor(H681,"3M","Following",$I$11,"Normal")</f>
        <v>43494</v>
      </c>
      <c r="J681" s="150">
        <f ca="1"/>
        <v>1.4177778220193544E-2</v>
      </c>
      <c r="K681" s="7" t="s">
        <v>4</v>
      </c>
      <c r="L681" s="149" t="e">
        <f ca="1">_xll.meDateFromTenor(L680,"1D","FOLLOWING",#REF!,"NORMAL")</f>
        <v>#VALUE!</v>
      </c>
      <c r="M681" s="155">
        <f ca="1">_xll.meDateYearFraction(C681,D681,$M$11)</f>
        <v>2.7777777777777779E-3</v>
      </c>
      <c r="N681" s="150">
        <f ca="1"/>
        <v>-2.4300000000065936E-3</v>
      </c>
      <c r="O681" s="7" t="s">
        <v>4</v>
      </c>
      <c r="P681" s="149">
        <f t="shared" ca="1" si="21"/>
        <v>43402</v>
      </c>
      <c r="Q681" s="155">
        <f ca="1">_xll.meDateYearFraction(H681,I681,$Q$11,TRUE)</f>
        <v>0.25555555555555554</v>
      </c>
      <c r="R681" s="150">
        <f ca="1">IF(NOW(),_xll.meCurveForwardRatesFromYearFraction(P681,Q681,$Q$11,$Q$9,$Q$10))</f>
        <v>-2.6607718618833955E-3</v>
      </c>
      <c r="S681" s="134" t="s">
        <v>4</v>
      </c>
    </row>
    <row r="682" spans="1:19" x14ac:dyDescent="0.25">
      <c r="A682" s="128">
        <v>666</v>
      </c>
      <c r="B682" s="133"/>
      <c r="C682" s="149">
        <f ca="1">_xll.meDateFromTenor(C681,"1D","FOLLOWING",$D$11,"NORMAL")</f>
        <v>43403</v>
      </c>
      <c r="D682" s="20">
        <f ca="1">_xll.meDateFromTenor(C682,"1D","Following",$D$11,"Normal")</f>
        <v>43404</v>
      </c>
      <c r="E682" s="99">
        <f ca="1"/>
        <v>1.0324216967418956E-2</v>
      </c>
      <c r="F682" s="161">
        <f ca="1">_xll.meCurveForwardRates(C682,$D$9,$D$10)</f>
        <v>1.0377546004195715E-2</v>
      </c>
      <c r="G682" s="7" t="s">
        <v>4</v>
      </c>
      <c r="H682" s="149">
        <f t="shared" ca="1" si="20"/>
        <v>43403</v>
      </c>
      <c r="I682" s="20">
        <f ca="1">_xll.meDateFromTenor(H682,"3M","Following",$I$11,"Normal")</f>
        <v>43495</v>
      </c>
      <c r="J682" s="150">
        <f ca="1"/>
        <v>1.419757311015204E-2</v>
      </c>
      <c r="K682" s="7" t="s">
        <v>4</v>
      </c>
      <c r="L682" s="149" t="e">
        <f ca="1">_xll.meDateFromTenor(L681,"1D","FOLLOWING",#REF!,"NORMAL")</f>
        <v>#VALUE!</v>
      </c>
      <c r="M682" s="155">
        <f ca="1">_xll.meDateYearFraction(C682,D682,$M$11)</f>
        <v>2.7777777777777779E-3</v>
      </c>
      <c r="N682" s="150">
        <f ca="1"/>
        <v>-2.4300000000065936E-3</v>
      </c>
      <c r="O682" s="7" t="s">
        <v>4</v>
      </c>
      <c r="P682" s="149">
        <f t="shared" ca="1" si="21"/>
        <v>43403</v>
      </c>
      <c r="Q682" s="155">
        <f ca="1">_xll.meDateYearFraction(H682,I682,$Q$11,TRUE)</f>
        <v>0.25555555555555554</v>
      </c>
      <c r="R682" s="150">
        <f ca="1">IF(NOW(),_xll.meCurveForwardRatesFromYearFraction(P682,Q682,$Q$11,$Q$9,$Q$10))</f>
        <v>-3.7175485397107962E-3</v>
      </c>
      <c r="S682" s="134" t="s">
        <v>4</v>
      </c>
    </row>
    <row r="683" spans="1:19" x14ac:dyDescent="0.25">
      <c r="A683" s="128">
        <v>667</v>
      </c>
      <c r="B683" s="133"/>
      <c r="C683" s="149">
        <f ca="1">_xll.meDateFromTenor(C682,"1D","FOLLOWING",$D$11,"NORMAL")</f>
        <v>43404</v>
      </c>
      <c r="D683" s="20">
        <f ca="1">_xll.meDateFromTenor(C683,"1D","Following",$D$11,"Normal")</f>
        <v>43405</v>
      </c>
      <c r="E683" s="99">
        <f ca="1"/>
        <v>1.032804603016583E-2</v>
      </c>
      <c r="F683" s="161">
        <f ca="1">_xll.meCurveForwardRates(C683,$D$9,$D$10)</f>
        <v>1.03814146996557E-2</v>
      </c>
      <c r="G683" s="7" t="s">
        <v>4</v>
      </c>
      <c r="H683" s="149">
        <f t="shared" ca="1" si="20"/>
        <v>43404</v>
      </c>
      <c r="I683" s="20">
        <f ca="1">_xll.meDateFromTenor(H683,"3M","Following",$I$11,"Normal")</f>
        <v>43496</v>
      </c>
      <c r="J683" s="150">
        <f ca="1"/>
        <v>1.4217416590363683E-2</v>
      </c>
      <c r="K683" s="7" t="s">
        <v>4</v>
      </c>
      <c r="L683" s="149" t="e">
        <f ca="1">_xll.meDateFromTenor(L682,"1D","FOLLOWING",#REF!,"NORMAL")</f>
        <v>#VALUE!</v>
      </c>
      <c r="M683" s="155">
        <f ca="1">_xll.meDateYearFraction(C683,D683,$M$11)</f>
        <v>2.7777777777777779E-3</v>
      </c>
      <c r="N683" s="150">
        <f ca="1"/>
        <v>-2.4300000000065936E-3</v>
      </c>
      <c r="O683" s="7" t="s">
        <v>4</v>
      </c>
      <c r="P683" s="149">
        <f t="shared" ca="1" si="21"/>
        <v>43404</v>
      </c>
      <c r="Q683" s="155">
        <f ca="1">_xll.meDateYearFraction(H683,I683,$Q$11,TRUE)</f>
        <v>0.25555555555555554</v>
      </c>
      <c r="R683" s="150">
        <f ca="1">IF(NOW(),_xll.meCurveForwardRatesFromYearFraction(P683,Q683,$Q$11,$Q$9,$Q$10))</f>
        <v>-2.6494694664865571E-3</v>
      </c>
      <c r="S683" s="134" t="s">
        <v>4</v>
      </c>
    </row>
    <row r="684" spans="1:19" x14ac:dyDescent="0.25">
      <c r="A684" s="128">
        <v>668</v>
      </c>
      <c r="B684" s="133"/>
      <c r="C684" s="149">
        <f ca="1">_xll.meDateFromTenor(C683,"1D","FOLLOWING",$D$11,"NORMAL")</f>
        <v>43405</v>
      </c>
      <c r="D684" s="20">
        <f ca="1">_xll.meDateFromTenor(C684,"1D","Following",$D$11,"Normal")</f>
        <v>43406</v>
      </c>
      <c r="E684" s="99">
        <f ca="1"/>
        <v>1.0331913487640102E-2</v>
      </c>
      <c r="F684" s="161">
        <f ca="1">_xll.meCurveForwardRates(C684,$D$9,$D$10)</f>
        <v>1.0385322202242531E-2</v>
      </c>
      <c r="G684" s="7" t="s">
        <v>4</v>
      </c>
      <c r="H684" s="149">
        <f t="shared" ca="1" si="20"/>
        <v>43405</v>
      </c>
      <c r="I684" s="20">
        <f ca="1">_xll.meDateFromTenor(H684,"3M","Following",$I$11,"Normal")</f>
        <v>43497</v>
      </c>
      <c r="J684" s="150">
        <f ca="1"/>
        <v>1.4237295482480119E-2</v>
      </c>
      <c r="K684" s="7" t="s">
        <v>4</v>
      </c>
      <c r="L684" s="149" t="e">
        <f ca="1">_xll.meDateFromTenor(L683,"1D","FOLLOWING",#REF!,"NORMAL")</f>
        <v>#VALUE!</v>
      </c>
      <c r="M684" s="155">
        <f ca="1">_xll.meDateYearFraction(C684,D684,$M$11)</f>
        <v>2.7777777777777779E-3</v>
      </c>
      <c r="N684" s="150">
        <f ca="1"/>
        <v>-2.4300000000065936E-3</v>
      </c>
      <c r="O684" s="7" t="s">
        <v>4</v>
      </c>
      <c r="P684" s="149">
        <f t="shared" ca="1" si="21"/>
        <v>43405</v>
      </c>
      <c r="Q684" s="155">
        <f ca="1">_xll.meDateYearFraction(H684,I684,$Q$11,TRUE)</f>
        <v>0.25555555555555554</v>
      </c>
      <c r="R684" s="150">
        <f ca="1">IF(NOW(),_xll.meCurveForwardRatesFromYearFraction(P684,Q684,$Q$11,$Q$9,$Q$10))</f>
        <v>-3.7175485397107962E-3</v>
      </c>
      <c r="S684" s="134" t="s">
        <v>4</v>
      </c>
    </row>
    <row r="685" spans="1:19" x14ac:dyDescent="0.25">
      <c r="A685" s="128">
        <v>669</v>
      </c>
      <c r="B685" s="133"/>
      <c r="C685" s="149">
        <f ca="1">_xll.meDateFromTenor(C684,"1D","FOLLOWING",$D$11,"NORMAL")</f>
        <v>43406</v>
      </c>
      <c r="D685" s="20">
        <f ca="1">_xll.meDateFromTenor(C685,"1D","Following",$D$11,"Normal")</f>
        <v>43409</v>
      </c>
      <c r="E685" s="99">
        <f ca="1"/>
        <v>1.0340073386156981E-2</v>
      </c>
      <c r="F685" s="161">
        <f ca="1">_xll.meCurveForwardRates(C685,$D$9,$D$10)</f>
        <v>1.038926851725086E-2</v>
      </c>
      <c r="G685" s="7" t="s">
        <v>4</v>
      </c>
      <c r="H685" s="149">
        <f t="shared" ca="1" si="20"/>
        <v>43406</v>
      </c>
      <c r="I685" s="20">
        <f ca="1">_xll.meDateFromTenor(H685,"3M","Following",$I$11,"Normal")</f>
        <v>43500</v>
      </c>
      <c r="J685" s="150">
        <f ca="1"/>
        <v>1.4257196608152976E-2</v>
      </c>
      <c r="K685" s="7" t="s">
        <v>4</v>
      </c>
      <c r="L685" s="149" t="e">
        <f ca="1">_xll.meDateFromTenor(L684,"1D","FOLLOWING",#REF!,"NORMAL")</f>
        <v>#VALUE!</v>
      </c>
      <c r="M685" s="155">
        <f ca="1">_xll.meDateYearFraction(C685,D685,$M$11)</f>
        <v>8.3333333333333332E-3</v>
      </c>
      <c r="N685" s="150">
        <f ca="1"/>
        <v>-2.4300000000065936E-3</v>
      </c>
      <c r="O685" s="7" t="s">
        <v>4</v>
      </c>
      <c r="P685" s="149">
        <f t="shared" ca="1" si="21"/>
        <v>43406</v>
      </c>
      <c r="Q685" s="155">
        <f ca="1">_xll.meDateYearFraction(H685,I685,$Q$11,TRUE)</f>
        <v>0.26111111111111113</v>
      </c>
      <c r="R685" s="150">
        <f ca="1">IF(NOW(),_xll.meCurveForwardRatesFromYearFraction(P685,Q685,$Q$11,$Q$9,$Q$10))</f>
        <v>-2.6381670710897173E-3</v>
      </c>
      <c r="S685" s="134" t="s">
        <v>4</v>
      </c>
    </row>
    <row r="686" spans="1:19" x14ac:dyDescent="0.25">
      <c r="A686" s="128">
        <v>670</v>
      </c>
      <c r="B686" s="133"/>
      <c r="C686" s="149">
        <f ca="1">_xll.meDateFromTenor(C685,"1D","FOLLOWING",$D$11,"NORMAL")</f>
        <v>43409</v>
      </c>
      <c r="D686" s="20">
        <f ca="1">_xll.meDateFromTenor(C686,"1D","Following",$D$11,"Normal")</f>
        <v>43410</v>
      </c>
      <c r="E686" s="99">
        <f ca="1"/>
        <v>1.034776735729718E-2</v>
      </c>
      <c r="F686" s="161">
        <f ca="1">_xll.meCurveForwardRates(C686,$D$9,$D$10)</f>
        <v>1.0401340386348101E-2</v>
      </c>
      <c r="G686" s="7" t="s">
        <v>4</v>
      </c>
      <c r="H686" s="149">
        <f t="shared" ca="1" si="20"/>
        <v>43409</v>
      </c>
      <c r="I686" s="20">
        <f ca="1">_xll.meDateFromTenor(H686,"3M","Following",$I$11,"Normal")</f>
        <v>43501</v>
      </c>
      <c r="J686" s="150">
        <f ca="1"/>
        <v>1.4316703739178182E-2</v>
      </c>
      <c r="K686" s="7" t="s">
        <v>4</v>
      </c>
      <c r="L686" s="149" t="e">
        <f ca="1">_xll.meDateFromTenor(L685,"1D","FOLLOWING",#REF!,"NORMAL")</f>
        <v>#VALUE!</v>
      </c>
      <c r="M686" s="155">
        <f ca="1">_xll.meDateYearFraction(C686,D686,$M$11)</f>
        <v>2.7777777777777779E-3</v>
      </c>
      <c r="N686" s="150">
        <f ca="1"/>
        <v>-2.4300000000065936E-3</v>
      </c>
      <c r="O686" s="7" t="s">
        <v>4</v>
      </c>
      <c r="P686" s="149">
        <f t="shared" ca="1" si="21"/>
        <v>43409</v>
      </c>
      <c r="Q686" s="155">
        <f ca="1">_xll.meDateYearFraction(H686,I686,$Q$11,TRUE)</f>
        <v>0.25555555555555554</v>
      </c>
      <c r="R686" s="150">
        <f ca="1">IF(NOW(),_xll.meCurveForwardRatesFromYearFraction(P686,Q686,$Q$11,$Q$9,$Q$10))</f>
        <v>-3.7175485397107962E-3</v>
      </c>
      <c r="S686" s="134" t="s">
        <v>4</v>
      </c>
    </row>
    <row r="687" spans="1:19" x14ac:dyDescent="0.25">
      <c r="A687" s="128">
        <v>671</v>
      </c>
      <c r="B687" s="133"/>
      <c r="C687" s="149">
        <f ca="1">_xll.meDateFromTenor(C686,"1D","FOLLOWING",$D$11,"NORMAL")</f>
        <v>43410</v>
      </c>
      <c r="D687" s="20">
        <f ca="1">_xll.meDateFromTenor(C687,"1D","Following",$D$11,"Normal")</f>
        <v>43411</v>
      </c>
      <c r="E687" s="99">
        <f ca="1"/>
        <v>1.0351826857073513E-2</v>
      </c>
      <c r="F687" s="161">
        <f ca="1">_xll.meCurveForwardRates(C687,$D$9,$D$10)</f>
        <v>1.0405442000769538E-2</v>
      </c>
      <c r="G687" s="7" t="s">
        <v>4</v>
      </c>
      <c r="H687" s="149">
        <f t="shared" ca="1" si="20"/>
        <v>43410</v>
      </c>
      <c r="I687" s="20">
        <f ca="1">_xll.meDateFromTenor(H687,"3M","Following",$I$11,"Normal")</f>
        <v>43502</v>
      </c>
      <c r="J687" s="150">
        <f ca="1"/>
        <v>1.433617841177231E-2</v>
      </c>
      <c r="K687" s="7" t="s">
        <v>4</v>
      </c>
      <c r="L687" s="149" t="e">
        <f ca="1">_xll.meDateFromTenor(L686,"1D","FOLLOWING",#REF!,"NORMAL")</f>
        <v>#VALUE!</v>
      </c>
      <c r="M687" s="155">
        <f ca="1">_xll.meDateYearFraction(C687,D687,$M$11)</f>
        <v>2.7777777777777779E-3</v>
      </c>
      <c r="N687" s="150">
        <f ca="1"/>
        <v>-2.4300000000065936E-3</v>
      </c>
      <c r="O687" s="7" t="s">
        <v>4</v>
      </c>
      <c r="P687" s="149">
        <f t="shared" ca="1" si="21"/>
        <v>43410</v>
      </c>
      <c r="Q687" s="155">
        <f ca="1">_xll.meDateYearFraction(H687,I687,$Q$11,TRUE)</f>
        <v>0.25555555555555554</v>
      </c>
      <c r="R687" s="150">
        <f ca="1">IF(NOW(),_xll.meCurveForwardRatesFromYearFraction(P687,Q687,$Q$11,$Q$9,$Q$10))</f>
        <v>-2.6155622802960391E-3</v>
      </c>
      <c r="S687" s="134" t="s">
        <v>4</v>
      </c>
    </row>
    <row r="688" spans="1:19" x14ac:dyDescent="0.25">
      <c r="A688" s="128">
        <v>672</v>
      </c>
      <c r="B688" s="133"/>
      <c r="C688" s="149">
        <f ca="1">_xll.meDateFromTenor(C687,"1D","FOLLOWING",$D$11,"NORMAL")</f>
        <v>43411</v>
      </c>
      <c r="D688" s="20">
        <f ca="1">_xll.meDateFromTenor(C688,"1D","Following",$D$11,"Normal")</f>
        <v>43412</v>
      </c>
      <c r="E688" s="99">
        <f ca="1"/>
        <v>1.035592477899531E-2</v>
      </c>
      <c r="F688" s="161">
        <f ca="1">_xll.meCurveForwardRates(C688,$D$9,$D$10)</f>
        <v>1.040958245278123E-2</v>
      </c>
      <c r="G688" s="7" t="s">
        <v>4</v>
      </c>
      <c r="H688" s="149">
        <f t="shared" ca="1" si="20"/>
        <v>43411</v>
      </c>
      <c r="I688" s="20">
        <f ca="1">_xll.meDateFromTenor(H688,"3M","Following",$I$11,"Normal")</f>
        <v>43503</v>
      </c>
      <c r="J688" s="150">
        <f ca="1"/>
        <v>1.4355291543089344E-2</v>
      </c>
      <c r="K688" s="7" t="s">
        <v>4</v>
      </c>
      <c r="L688" s="149" t="e">
        <f ca="1">_xll.meDateFromTenor(L687,"1D","FOLLOWING",#REF!,"NORMAL")</f>
        <v>#VALUE!</v>
      </c>
      <c r="M688" s="155">
        <f ca="1">_xll.meDateYearFraction(C688,D688,$M$11)</f>
        <v>2.7777777777777779E-3</v>
      </c>
      <c r="N688" s="150">
        <f ca="1"/>
        <v>-2.4300000000065936E-3</v>
      </c>
      <c r="O688" s="7" t="s">
        <v>4</v>
      </c>
      <c r="P688" s="149">
        <f t="shared" ca="1" si="21"/>
        <v>43411</v>
      </c>
      <c r="Q688" s="155">
        <f ca="1">_xll.meDateYearFraction(H688,I688,$Q$11,TRUE)</f>
        <v>0.25555555555555554</v>
      </c>
      <c r="R688" s="150">
        <f ca="1">IF(NOW(),_xll.meCurveForwardRatesFromYearFraction(P688,Q688,$Q$11,$Q$9,$Q$10))</f>
        <v>-3.7175485397107962E-3</v>
      </c>
      <c r="S688" s="134" t="s">
        <v>4</v>
      </c>
    </row>
    <row r="689" spans="1:19" x14ac:dyDescent="0.25">
      <c r="A689" s="128">
        <v>673</v>
      </c>
      <c r="B689" s="133"/>
      <c r="C689" s="149">
        <f ca="1">_xll.meDateFromTenor(C688,"1D","FOLLOWING",$D$11,"NORMAL")</f>
        <v>43412</v>
      </c>
      <c r="D689" s="20">
        <f ca="1">_xll.meDateFromTenor(C689,"1D","Following",$D$11,"Normal")</f>
        <v>43413</v>
      </c>
      <c r="E689" s="99">
        <f ca="1"/>
        <v>1.0360061127459056E-2</v>
      </c>
      <c r="F689" s="161">
        <f ca="1">_xll.meCurveForwardRates(C689,$D$9,$D$10)</f>
        <v>1.0413761747301464E-2</v>
      </c>
      <c r="G689" s="7" t="s">
        <v>4</v>
      </c>
      <c r="H689" s="149">
        <f t="shared" ca="1" si="20"/>
        <v>43412</v>
      </c>
      <c r="I689" s="20">
        <f ca="1">_xll.meDateFromTenor(H689,"3M","Following",$I$11,"Normal")</f>
        <v>43504</v>
      </c>
      <c r="J689" s="150">
        <f ca="1"/>
        <v>1.4373934000858783E-2</v>
      </c>
      <c r="K689" s="7" t="s">
        <v>4</v>
      </c>
      <c r="L689" s="149" t="e">
        <f ca="1">_xll.meDateFromTenor(L688,"1D","FOLLOWING",#REF!,"NORMAL")</f>
        <v>#VALUE!</v>
      </c>
      <c r="M689" s="155">
        <f ca="1">_xll.meDateYearFraction(C689,D689,$M$11)</f>
        <v>2.7777777777777779E-3</v>
      </c>
      <c r="N689" s="150">
        <f ca="1"/>
        <v>-2.4300000000065936E-3</v>
      </c>
      <c r="O689" s="7" t="s">
        <v>4</v>
      </c>
      <c r="P689" s="149">
        <f t="shared" ca="1" si="21"/>
        <v>43412</v>
      </c>
      <c r="Q689" s="155">
        <f ca="1">_xll.meDateYearFraction(H689,I689,$Q$11,TRUE)</f>
        <v>0.25555555555555554</v>
      </c>
      <c r="R689" s="150">
        <f ca="1">IF(NOW(),_xll.meCurveForwardRatesFromYearFraction(P689,Q689,$Q$11,$Q$9,$Q$10))</f>
        <v>-2.6042598848991997E-3</v>
      </c>
      <c r="S689" s="134" t="s">
        <v>4</v>
      </c>
    </row>
    <row r="690" spans="1:19" x14ac:dyDescent="0.25">
      <c r="A690" s="128">
        <v>674</v>
      </c>
      <c r="B690" s="133"/>
      <c r="C690" s="149">
        <f ca="1">_xll.meDateFromTenor(C689,"1D","FOLLOWING",$D$11,"NORMAL")</f>
        <v>43413</v>
      </c>
      <c r="D690" s="20">
        <f ca="1">_xll.meDateFromTenor(C690,"1D","Following",$D$11,"Normal")</f>
        <v>43417</v>
      </c>
      <c r="E690" s="99">
        <f ca="1"/>
        <v>1.0371042301728953E-2</v>
      </c>
      <c r="F690" s="161">
        <f ca="1">_xll.meCurveForwardRates(C690,$D$9,$D$10)</f>
        <v>1.0417979889414175E-2</v>
      </c>
      <c r="G690" s="7" t="s">
        <v>4</v>
      </c>
      <c r="H690" s="149">
        <f t="shared" ca="1" si="20"/>
        <v>43413</v>
      </c>
      <c r="I690" s="20">
        <f ca="1">_xll.meDateFromTenor(H690,"3M","Following",$I$11,"Normal")</f>
        <v>43507</v>
      </c>
      <c r="J690" s="150">
        <f ca="1"/>
        <v>1.439199665281015E-2</v>
      </c>
      <c r="K690" s="7" t="s">
        <v>4</v>
      </c>
      <c r="L690" s="149" t="e">
        <f ca="1">_xll.meDateFromTenor(L689,"1D","FOLLOWING",#REF!,"NORMAL")</f>
        <v>#VALUE!</v>
      </c>
      <c r="M690" s="155">
        <f ca="1">_xll.meDateYearFraction(C690,D690,$M$11)</f>
        <v>1.1111111111111112E-2</v>
      </c>
      <c r="N690" s="150">
        <f ca="1"/>
        <v>-2.4300000000065936E-3</v>
      </c>
      <c r="O690" s="7" t="s">
        <v>4</v>
      </c>
      <c r="P690" s="149">
        <f t="shared" ca="1" si="21"/>
        <v>43413</v>
      </c>
      <c r="Q690" s="155">
        <f ca="1">_xll.meDateYearFraction(H690,I690,$Q$11,TRUE)</f>
        <v>0.26111111111111113</v>
      </c>
      <c r="R690" s="150">
        <f ca="1">IF(NOW(),_xll.meCurveForwardRatesFromYearFraction(P690,Q690,$Q$11,$Q$9,$Q$10))</f>
        <v>-2.5986086872007803E-3</v>
      </c>
      <c r="S690" s="134" t="s">
        <v>4</v>
      </c>
    </row>
    <row r="691" spans="1:19" x14ac:dyDescent="0.25">
      <c r="A691" s="128">
        <v>675</v>
      </c>
      <c r="B691" s="133"/>
      <c r="C691" s="149">
        <f ca="1">_xll.meDateFromTenor(C690,"1D","FOLLOWING",$D$11,"NORMAL")</f>
        <v>43417</v>
      </c>
      <c r="D691" s="20">
        <f ca="1">_xll.meDateFromTenor(C691,"1D","Following",$D$11,"Normal")</f>
        <v>43418</v>
      </c>
      <c r="E691" s="99">
        <f ca="1"/>
        <v>1.0381319427938998E-2</v>
      </c>
      <c r="F691" s="161">
        <f ca="1">_xll.meCurveForwardRates(C691,$D$9,$D$10)</f>
        <v>1.0435241036199416E-2</v>
      </c>
      <c r="G691" s="7" t="s">
        <v>4</v>
      </c>
      <c r="H691" s="149">
        <f t="shared" ca="1" si="20"/>
        <v>43417</v>
      </c>
      <c r="I691" s="20">
        <f ca="1">_xll.meDateFromTenor(H691,"3M","Following",$I$11,"Normal")</f>
        <v>43509</v>
      </c>
      <c r="J691" s="150">
        <f ca="1"/>
        <v>1.4456266557025145E-2</v>
      </c>
      <c r="K691" s="7" t="s">
        <v>4</v>
      </c>
      <c r="L691" s="149" t="e">
        <f ca="1">_xll.meDateFromTenor(L690,"1D","FOLLOWING",#REF!,"NORMAL")</f>
        <v>#VALUE!</v>
      </c>
      <c r="M691" s="155">
        <f ca="1">_xll.meDateYearFraction(C691,D691,$M$11)</f>
        <v>2.7777777777777779E-3</v>
      </c>
      <c r="N691" s="150">
        <f ca="1"/>
        <v>-2.4300000000065936E-3</v>
      </c>
      <c r="O691" s="7" t="s">
        <v>4</v>
      </c>
      <c r="P691" s="149">
        <f t="shared" ca="1" si="21"/>
        <v>43417</v>
      </c>
      <c r="Q691" s="155">
        <f ca="1">_xll.meDateYearFraction(H691,I691,$Q$11,TRUE)</f>
        <v>0.25555555555555554</v>
      </c>
      <c r="R691" s="150">
        <f ca="1">IF(NOW(),_xll.meCurveForwardRatesFromYearFraction(P691,Q691,$Q$11,$Q$9,$Q$10))</f>
        <v>-3.7175485397107962E-3</v>
      </c>
      <c r="S691" s="134" t="s">
        <v>4</v>
      </c>
    </row>
    <row r="692" spans="1:19" x14ac:dyDescent="0.25">
      <c r="A692" s="128">
        <v>676</v>
      </c>
      <c r="B692" s="133"/>
      <c r="C692" s="149">
        <f ca="1">_xll.meDateFromTenor(C691,"1D","FOLLOWING",$D$11,"NORMAL")</f>
        <v>43418</v>
      </c>
      <c r="D692" s="20">
        <f ca="1">_xll.meDateFromTenor(C692,"1D","Following",$D$11,"Normal")</f>
        <v>43419</v>
      </c>
      <c r="E692" s="99">
        <f ca="1"/>
        <v>1.0385686431497768E-2</v>
      </c>
      <c r="F692" s="161">
        <f ca="1">_xll.meCurveForwardRates(C692,$D$9,$D$10)</f>
        <v>1.0439653492858803E-2</v>
      </c>
      <c r="G692" s="7" t="s">
        <v>4</v>
      </c>
      <c r="H692" s="149">
        <f t="shared" ca="1" si="20"/>
        <v>43418</v>
      </c>
      <c r="I692" s="20">
        <f ca="1">_xll.meDateFromTenor(H692,"3M","Following",$I$11,"Normal")</f>
        <v>43510</v>
      </c>
      <c r="J692" s="150">
        <f ca="1"/>
        <v>1.4469793195828841E-2</v>
      </c>
      <c r="K692" s="7" t="s">
        <v>4</v>
      </c>
      <c r="L692" s="149" t="e">
        <f ca="1">_xll.meDateFromTenor(L691,"1D","FOLLOWING",#REF!,"NORMAL")</f>
        <v>#VALUE!</v>
      </c>
      <c r="M692" s="155">
        <f ca="1">_xll.meDateYearFraction(C692,D692,$M$11)</f>
        <v>2.7777777777777779E-3</v>
      </c>
      <c r="N692" s="150">
        <f ca="1"/>
        <v>-2.4300000000065936E-3</v>
      </c>
      <c r="O692" s="7" t="s">
        <v>4</v>
      </c>
      <c r="P692" s="149">
        <f t="shared" ca="1" si="21"/>
        <v>43418</v>
      </c>
      <c r="Q692" s="155">
        <f ca="1">_xll.meDateYearFraction(H692,I692,$Q$11,TRUE)</f>
        <v>0.25555555555555554</v>
      </c>
      <c r="R692" s="150">
        <f ca="1">IF(NOW(),_xll.meCurveForwardRatesFromYearFraction(P692,Q692,$Q$11,$Q$9,$Q$10))</f>
        <v>-2.5703526987086805E-3</v>
      </c>
      <c r="S692" s="134" t="s">
        <v>4</v>
      </c>
    </row>
    <row r="693" spans="1:19" x14ac:dyDescent="0.25">
      <c r="A693" s="128">
        <v>677</v>
      </c>
      <c r="B693" s="133"/>
      <c r="C693" s="149">
        <f ca="1">_xll.meDateFromTenor(C692,"1D","FOLLOWING",$D$11,"NORMAL")</f>
        <v>43419</v>
      </c>
      <c r="D693" s="20">
        <f ca="1">_xll.meDateFromTenor(C693,"1D","Following",$D$11,"Normal")</f>
        <v>43420</v>
      </c>
      <c r="E693" s="99">
        <f ca="1"/>
        <v>1.0390091893732781E-2</v>
      </c>
      <c r="F693" s="161">
        <f ca="1">_xll.meCurveForwardRates(C693,$D$9,$D$10)</f>
        <v>1.0444104827953771E-2</v>
      </c>
      <c r="G693" s="7" t="s">
        <v>4</v>
      </c>
      <c r="H693" s="149">
        <f t="shared" ca="1" si="20"/>
        <v>43419</v>
      </c>
      <c r="I693" s="20">
        <f ca="1">_xll.meDateFromTenor(H693,"3M","Following",$I$11,"Normal")</f>
        <v>43511</v>
      </c>
      <c r="J693" s="150">
        <f ca="1"/>
        <v>1.448208523519154E-2</v>
      </c>
      <c r="K693" s="7" t="s">
        <v>4</v>
      </c>
      <c r="L693" s="149" t="e">
        <f ca="1">_xll.meDateFromTenor(L692,"1D","FOLLOWING",#REF!,"NORMAL")</f>
        <v>#VALUE!</v>
      </c>
      <c r="M693" s="155">
        <f ca="1">_xll.meDateYearFraction(C693,D693,$M$11)</f>
        <v>2.7777777777777779E-3</v>
      </c>
      <c r="N693" s="150">
        <f ca="1"/>
        <v>-2.4300000000065936E-3</v>
      </c>
      <c r="O693" s="7" t="s">
        <v>4</v>
      </c>
      <c r="P693" s="149">
        <f t="shared" ca="1" si="21"/>
        <v>43419</v>
      </c>
      <c r="Q693" s="155">
        <f ca="1">_xll.meDateYearFraction(H693,I693,$Q$11,TRUE)</f>
        <v>0.25555555555555554</v>
      </c>
      <c r="R693" s="150">
        <f ca="1">IF(NOW(),_xll.meCurveForwardRatesFromYearFraction(P693,Q693,$Q$11,$Q$9,$Q$10))</f>
        <v>-2.5647015010102619E-3</v>
      </c>
      <c r="S693" s="134" t="s">
        <v>4</v>
      </c>
    </row>
    <row r="694" spans="1:19" x14ac:dyDescent="0.25">
      <c r="A694" s="128">
        <v>678</v>
      </c>
      <c r="B694" s="133"/>
      <c r="C694" s="149">
        <f ca="1">_xll.meDateFromTenor(C693,"1D","FOLLOWING",$D$11,"NORMAL")</f>
        <v>43420</v>
      </c>
      <c r="D694" s="20">
        <f ca="1">_xll.meDateFromTenor(C694,"1D","Following",$D$11,"Normal")</f>
        <v>43423</v>
      </c>
      <c r="E694" s="99">
        <f ca="1"/>
        <v>1.0399331427217754E-2</v>
      </c>
      <c r="F694" s="161">
        <f ca="1">_xll.meCurveForwardRates(C694,$D$9,$D$10)</f>
        <v>1.0448595046277376E-2</v>
      </c>
      <c r="G694" s="7" t="s">
        <v>4</v>
      </c>
      <c r="H694" s="149">
        <f t="shared" ca="1" si="20"/>
        <v>43420</v>
      </c>
      <c r="I694" s="20">
        <f ca="1">_xll.meDateFromTenor(H694,"3M","Following",$I$11,"Normal")</f>
        <v>43515</v>
      </c>
      <c r="J694" s="150">
        <f ca="1"/>
        <v>1.4493033542842763E-2</v>
      </c>
      <c r="K694" s="7" t="s">
        <v>4</v>
      </c>
      <c r="L694" s="149" t="e">
        <f ca="1">_xll.meDateFromTenor(L693,"1D","FOLLOWING",#REF!,"NORMAL")</f>
        <v>#VALUE!</v>
      </c>
      <c r="M694" s="155">
        <f ca="1">_xll.meDateYearFraction(C694,D694,$M$11)</f>
        <v>8.3333333333333332E-3</v>
      </c>
      <c r="N694" s="150">
        <f ca="1"/>
        <v>-2.4300000000065936E-3</v>
      </c>
      <c r="O694" s="7" t="s">
        <v>4</v>
      </c>
      <c r="P694" s="149">
        <f t="shared" ca="1" si="21"/>
        <v>43420</v>
      </c>
      <c r="Q694" s="155">
        <f ca="1">_xll.meDateYearFraction(H694,I694,$Q$11,TRUE)</f>
        <v>0.2638888888888889</v>
      </c>
      <c r="R694" s="150">
        <f ca="1">IF(NOW(),_xll.meCurveForwardRatesFromYearFraction(P694,Q694,$Q$11,$Q$9,$Q$10))</f>
        <v>-3.7175485397107962E-3</v>
      </c>
      <c r="S694" s="134" t="s">
        <v>4</v>
      </c>
    </row>
    <row r="695" spans="1:19" x14ac:dyDescent="0.25">
      <c r="A695" s="128">
        <v>679</v>
      </c>
      <c r="B695" s="133"/>
      <c r="C695" s="149">
        <f ca="1">_xll.meDateFromTenor(C694,"1D","FOLLOWING",$D$11,"NORMAL")</f>
        <v>43423</v>
      </c>
      <c r="D695" s="20">
        <f ca="1">_xll.meDateFromTenor(C695,"1D","Following",$D$11,"Normal")</f>
        <v>43424</v>
      </c>
      <c r="E695" s="99">
        <f ca="1"/>
        <v>1.0408098418963655E-2</v>
      </c>
      <c r="F695" s="161">
        <f ca="1">_xll.meCurveForwardRates(C695,$D$9,$D$10)</f>
        <v>1.046229905346352E-2</v>
      </c>
      <c r="G695" s="7" t="s">
        <v>4</v>
      </c>
      <c r="H695" s="149">
        <f t="shared" ca="1" si="20"/>
        <v>43423</v>
      </c>
      <c r="I695" s="20">
        <f ca="1">_xll.meDateFromTenor(H695,"3M","Following",$I$11,"Normal")</f>
        <v>43515</v>
      </c>
      <c r="J695" s="150">
        <f ca="1"/>
        <v>1.4516724752822674E-2</v>
      </c>
      <c r="K695" s="7" t="s">
        <v>4</v>
      </c>
      <c r="L695" s="149" t="e">
        <f ca="1">_xll.meDateFromTenor(L694,"1D","FOLLOWING",#REF!,"NORMAL")</f>
        <v>#VALUE!</v>
      </c>
      <c r="M695" s="155">
        <f ca="1">_xll.meDateYearFraction(C695,D695,$M$11)</f>
        <v>2.7777777777777779E-3</v>
      </c>
      <c r="N695" s="150">
        <f ca="1"/>
        <v>-2.4300000000065936E-3</v>
      </c>
      <c r="O695" s="7" t="s">
        <v>4</v>
      </c>
      <c r="P695" s="149">
        <f t="shared" ca="1" si="21"/>
        <v>43423</v>
      </c>
      <c r="Q695" s="155">
        <f ca="1">_xll.meDateYearFraction(H695,I695,$Q$11,TRUE)</f>
        <v>0.25555555555555554</v>
      </c>
      <c r="R695" s="150">
        <f ca="1">IF(NOW(),_xll.meCurveForwardRatesFromYearFraction(P695,Q695,$Q$11,$Q$9,$Q$10))</f>
        <v>-3.7175485397107962E-3</v>
      </c>
      <c r="S695" s="134" t="s">
        <v>4</v>
      </c>
    </row>
    <row r="696" spans="1:19" x14ac:dyDescent="0.25">
      <c r="A696" s="128">
        <v>680</v>
      </c>
      <c r="B696" s="133"/>
      <c r="C696" s="149">
        <f ca="1">_xll.meDateFromTenor(C695,"1D","FOLLOWING",$D$11,"NORMAL")</f>
        <v>43424</v>
      </c>
      <c r="D696" s="20">
        <f ca="1">_xll.meDateFromTenor(C696,"1D","Following",$D$11,"Normal")</f>
        <v>43425</v>
      </c>
      <c r="E696" s="99">
        <f ca="1"/>
        <v>1.0412696242525535E-2</v>
      </c>
      <c r="F696" s="161">
        <f ca="1">_xll.meCurveForwardRates(C696,$D$9,$D$10)</f>
        <v>1.0466944857164373E-2</v>
      </c>
      <c r="G696" s="7" t="s">
        <v>4</v>
      </c>
      <c r="H696" s="149">
        <f t="shared" ca="1" si="20"/>
        <v>43424</v>
      </c>
      <c r="I696" s="20">
        <f ca="1">_xll.meDateFromTenor(H696,"3M","Following",$I$11,"Normal")</f>
        <v>43516</v>
      </c>
      <c r="J696" s="150">
        <f ca="1"/>
        <v>1.4521206810923106E-2</v>
      </c>
      <c r="K696" s="7" t="s">
        <v>4</v>
      </c>
      <c r="L696" s="149" t="e">
        <f ca="1">_xll.meDateFromTenor(L695,"1D","FOLLOWING",#REF!,"NORMAL")</f>
        <v>#VALUE!</v>
      </c>
      <c r="M696" s="155">
        <f ca="1">_xll.meDateYearFraction(C696,D696,$M$11)</f>
        <v>2.7777777777777779E-3</v>
      </c>
      <c r="N696" s="150">
        <f ca="1"/>
        <v>-2.4300000000065936E-3</v>
      </c>
      <c r="O696" s="7" t="s">
        <v>4</v>
      </c>
      <c r="P696" s="149">
        <f t="shared" ca="1" si="21"/>
        <v>43424</v>
      </c>
      <c r="Q696" s="155">
        <f ca="1">_xll.meDateYearFraction(H696,I696,$Q$11,TRUE)</f>
        <v>0.25555555555555554</v>
      </c>
      <c r="R696" s="150">
        <f ca="1">IF(NOW(),_xll.meCurveForwardRatesFromYearFraction(P696,Q696,$Q$11,$Q$9,$Q$10))</f>
        <v>-3.7175485397107962E-3</v>
      </c>
      <c r="S696" s="134" t="s">
        <v>4</v>
      </c>
    </row>
    <row r="697" spans="1:19" x14ac:dyDescent="0.25">
      <c r="A697" s="128">
        <v>681</v>
      </c>
      <c r="B697" s="133"/>
      <c r="C697" s="149">
        <f ca="1">_xll.meDateFromTenor(C696,"1D","FOLLOWING",$D$11,"NORMAL")</f>
        <v>43425</v>
      </c>
      <c r="D697" s="20">
        <f ca="1">_xll.meDateFromTenor(C697,"1D","Following",$D$11,"Normal")</f>
        <v>43427</v>
      </c>
      <c r="E697" s="99">
        <f ca="1"/>
        <v>1.0419820743194955E-2</v>
      </c>
      <c r="F697" s="161">
        <f ca="1">_xll.meCurveForwardRates(C697,$D$9,$D$10)</f>
        <v>1.0471629570065755E-2</v>
      </c>
      <c r="G697" s="7" t="s">
        <v>4</v>
      </c>
      <c r="H697" s="149">
        <f t="shared" ca="1" si="20"/>
        <v>43425</v>
      </c>
      <c r="I697" s="20">
        <f ca="1">_xll.meDateFromTenor(H697,"3M","Following",$I$11,"Normal")</f>
        <v>43517</v>
      </c>
      <c r="J697" s="150">
        <f ca="1"/>
        <v>1.4523799475959623E-2</v>
      </c>
      <c r="K697" s="7" t="s">
        <v>4</v>
      </c>
      <c r="L697" s="149" t="e">
        <f ca="1">_xll.meDateFromTenor(L696,"1D","FOLLOWING",#REF!,"NORMAL")</f>
        <v>#VALUE!</v>
      </c>
      <c r="M697" s="155">
        <f ca="1">_xll.meDateYearFraction(C697,D697,$M$11)</f>
        <v>5.5555555555555558E-3</v>
      </c>
      <c r="N697" s="150">
        <f ca="1"/>
        <v>-2.4300000000065936E-3</v>
      </c>
      <c r="O697" s="7" t="s">
        <v>4</v>
      </c>
      <c r="P697" s="149">
        <f t="shared" ca="1" si="21"/>
        <v>43425</v>
      </c>
      <c r="Q697" s="155">
        <f ca="1">_xll.meDateYearFraction(H697,I697,$Q$11,TRUE)</f>
        <v>0.25555555555555554</v>
      </c>
      <c r="R697" s="150">
        <f ca="1">IF(NOW(),_xll.meCurveForwardRatesFromYearFraction(P697,Q697,$Q$11,$Q$9,$Q$10))</f>
        <v>-2.5307943148197435E-3</v>
      </c>
      <c r="S697" s="134" t="s">
        <v>4</v>
      </c>
    </row>
    <row r="698" spans="1:19" x14ac:dyDescent="0.25">
      <c r="A698" s="128">
        <v>682</v>
      </c>
      <c r="B698" s="133"/>
      <c r="C698" s="149">
        <f ca="1">_xll.meDateFromTenor(C697,"1D","FOLLOWING",$D$11,"NORMAL")</f>
        <v>43427</v>
      </c>
      <c r="D698" s="20">
        <f ca="1">_xll.meDateFromTenor(C698,"1D","Following",$D$11,"Normal")</f>
        <v>43430</v>
      </c>
      <c r="E698" s="99">
        <f ca="1"/>
        <v>1.0426510085208599E-2</v>
      </c>
      <c r="F698" s="161">
        <f ca="1">_xll.meCurveForwardRates(C698,$D$9,$D$10)</f>
        <v>1.0479325577289478E-2</v>
      </c>
      <c r="G698" s="7" t="s">
        <v>4</v>
      </c>
      <c r="H698" s="149">
        <f t="shared" ca="1" si="20"/>
        <v>43427</v>
      </c>
      <c r="I698" s="20">
        <f ca="1">_xll.meDateFromTenor(H698,"3M","Following",$I$11,"Normal")</f>
        <v>43521</v>
      </c>
      <c r="J698" s="150">
        <f ca="1"/>
        <v>1.4522880097758973E-2</v>
      </c>
      <c r="K698" s="7" t="s">
        <v>4</v>
      </c>
      <c r="L698" s="149" t="e">
        <f ca="1">_xll.meDateFromTenor(L697,"1D","FOLLOWING",#REF!,"NORMAL")</f>
        <v>#VALUE!</v>
      </c>
      <c r="M698" s="155">
        <f ca="1">_xll.meDateYearFraction(C698,D698,$M$11)</f>
        <v>8.3333333333333332E-3</v>
      </c>
      <c r="N698" s="150">
        <f ca="1"/>
        <v>-2.4300000000065936E-3</v>
      </c>
      <c r="O698" s="7" t="s">
        <v>4</v>
      </c>
      <c r="P698" s="149">
        <f t="shared" ca="1" si="21"/>
        <v>43427</v>
      </c>
      <c r="Q698" s="155">
        <f ca="1">_xll.meDateYearFraction(H698,I698,$Q$11,TRUE)</f>
        <v>0.26111111111111113</v>
      </c>
      <c r="R698" s="150">
        <f ca="1">IF(NOW(),_xll.meCurveForwardRatesFromYearFraction(P698,Q698,$Q$11,$Q$9,$Q$10))</f>
        <v>-3.7175485397107962E-3</v>
      </c>
      <c r="S698" s="134" t="s">
        <v>4</v>
      </c>
    </row>
    <row r="699" spans="1:19" x14ac:dyDescent="0.25">
      <c r="A699" s="128">
        <v>683</v>
      </c>
      <c r="B699" s="133"/>
      <c r="C699" s="149">
        <f ca="1">_xll.meDateFromTenor(C698,"1D","FOLLOWING",$D$11,"NORMAL")</f>
        <v>43430</v>
      </c>
      <c r="D699" s="20">
        <f ca="1">_xll.meDateFromTenor(C699,"1D","Following",$D$11,"Normal")</f>
        <v>43431</v>
      </c>
      <c r="E699" s="99">
        <f ca="1"/>
        <v>1.0428878991426452E-2</v>
      </c>
      <c r="F699" s="161">
        <f ca="1">_xll.meCurveForwardRates(C699,$D$9,$D$10)</f>
        <v>1.0483296648984508E-2</v>
      </c>
      <c r="G699" s="7" t="s">
        <v>4</v>
      </c>
      <c r="H699" s="149">
        <f t="shared" ca="1" si="20"/>
        <v>43430</v>
      </c>
      <c r="I699" s="20">
        <f ca="1">_xll.meDateFromTenor(H699,"3M","Following",$I$11,"Normal")</f>
        <v>43522</v>
      </c>
      <c r="J699" s="150">
        <f ca="1"/>
        <v>1.4507153867724134E-2</v>
      </c>
      <c r="K699" s="7" t="s">
        <v>4</v>
      </c>
      <c r="L699" s="149" t="e">
        <f ca="1">_xll.meDateFromTenor(L698,"1D","FOLLOWING",#REF!,"NORMAL")</f>
        <v>#VALUE!</v>
      </c>
      <c r="M699" s="155">
        <f ca="1">_xll.meDateYearFraction(C699,D699,$M$11)</f>
        <v>2.7777777777777779E-3</v>
      </c>
      <c r="N699" s="150">
        <f ca="1"/>
        <v>-2.4300000000065936E-3</v>
      </c>
      <c r="O699" s="7" t="s">
        <v>4</v>
      </c>
      <c r="P699" s="149">
        <f t="shared" ca="1" si="21"/>
        <v>43430</v>
      </c>
      <c r="Q699" s="155">
        <f ca="1">_xll.meDateYearFraction(H699,I699,$Q$11,TRUE)</f>
        <v>0.25555555555555554</v>
      </c>
      <c r="R699" s="150">
        <f ca="1">IF(NOW(),_xll.meCurveForwardRatesFromYearFraction(P699,Q699,$Q$11,$Q$9,$Q$10))</f>
        <v>-2.5024151044406775E-3</v>
      </c>
      <c r="S699" s="134" t="s">
        <v>4</v>
      </c>
    </row>
    <row r="700" spans="1:19" x14ac:dyDescent="0.25">
      <c r="A700" s="128">
        <v>684</v>
      </c>
      <c r="B700" s="133"/>
      <c r="C700" s="149">
        <f ca="1">_xll.meDateFromTenor(C699,"1D","FOLLOWING",$D$11,"NORMAL")</f>
        <v>43431</v>
      </c>
      <c r="D700" s="20">
        <f ca="1">_xll.meDateFromTenor(C700,"1D","Following",$D$11,"Normal")</f>
        <v>43432</v>
      </c>
      <c r="E700" s="99">
        <f ca="1"/>
        <v>1.0430341623520224E-2</v>
      </c>
      <c r="F700" s="161">
        <f ca="1">_xll.meCurveForwardRates(C700,$D$9,$D$10)</f>
        <v>1.0484774572548039E-2</v>
      </c>
      <c r="G700" s="7" t="s">
        <v>4</v>
      </c>
      <c r="H700" s="149">
        <f t="shared" ca="1" si="20"/>
        <v>43431</v>
      </c>
      <c r="I700" s="20">
        <f ca="1">_xll.meDateFromTenor(H700,"3M","Following",$I$11,"Normal")</f>
        <v>43523</v>
      </c>
      <c r="J700" s="150">
        <f ca="1"/>
        <v>1.4498942484082509E-2</v>
      </c>
      <c r="K700" s="7" t="s">
        <v>4</v>
      </c>
      <c r="L700" s="149" t="e">
        <f ca="1">_xll.meDateFromTenor(L699,"1D","FOLLOWING",#REF!,"NORMAL")</f>
        <v>#VALUE!</v>
      </c>
      <c r="M700" s="155">
        <f ca="1">_xll.meDateYearFraction(C700,D700,$M$11)</f>
        <v>2.7777777777777779E-3</v>
      </c>
      <c r="N700" s="150">
        <f ca="1"/>
        <v>-2.4300000000065936E-3</v>
      </c>
      <c r="O700" s="7" t="s">
        <v>4</v>
      </c>
      <c r="P700" s="149">
        <f t="shared" ca="1" si="21"/>
        <v>43431</v>
      </c>
      <c r="Q700" s="155">
        <f ca="1">_xll.meDateYearFraction(H700,I700,$Q$11,TRUE)</f>
        <v>0.25555555555555554</v>
      </c>
      <c r="R700" s="150">
        <f ca="1">IF(NOW(),_xll.meCurveForwardRatesFromYearFraction(P700,Q700,$Q$11,$Q$9,$Q$10))</f>
        <v>-3.7175485397107962E-3</v>
      </c>
      <c r="S700" s="134" t="s">
        <v>4</v>
      </c>
    </row>
    <row r="701" spans="1:19" x14ac:dyDescent="0.25">
      <c r="A701" s="128">
        <v>685</v>
      </c>
      <c r="B701" s="133"/>
      <c r="C701" s="149">
        <f ca="1">_xll.meDateFromTenor(C700,"1D","FOLLOWING",$D$11,"NORMAL")</f>
        <v>43432</v>
      </c>
      <c r="D701" s="20">
        <f ca="1">_xll.meDateFromTenor(C701,"1D","Following",$D$11,"Normal")</f>
        <v>43433</v>
      </c>
      <c r="E701" s="99">
        <f ca="1"/>
        <v>1.0431880587038514E-2</v>
      </c>
      <c r="F701" s="161">
        <f ca="1">_xll.meCurveForwardRates(C701,$D$9,$D$10)</f>
        <v>1.0486329627890312E-2</v>
      </c>
      <c r="G701" s="7" t="s">
        <v>4</v>
      </c>
      <c r="H701" s="149">
        <f t="shared" ca="1" si="20"/>
        <v>43432</v>
      </c>
      <c r="I701" s="20">
        <f ca="1">_xll.meDateFromTenor(H701,"3M","Following",$I$11,"Normal")</f>
        <v>43524</v>
      </c>
      <c r="J701" s="150">
        <f ca="1"/>
        <v>1.4489589257231761E-2</v>
      </c>
      <c r="K701" s="7" t="s">
        <v>4</v>
      </c>
      <c r="L701" s="149" t="e">
        <f ca="1">_xll.meDateFromTenor(L700,"1D","FOLLOWING",#REF!,"NORMAL")</f>
        <v>#VALUE!</v>
      </c>
      <c r="M701" s="155">
        <f ca="1">_xll.meDateYearFraction(C701,D701,$M$11)</f>
        <v>2.7777777777777779E-3</v>
      </c>
      <c r="N701" s="150">
        <f ca="1"/>
        <v>-2.4300000000065936E-3</v>
      </c>
      <c r="O701" s="7" t="s">
        <v>4</v>
      </c>
      <c r="P701" s="149">
        <f t="shared" ca="1" si="21"/>
        <v>43432</v>
      </c>
      <c r="Q701" s="155">
        <f ca="1">_xll.meDateYearFraction(H701,I701,$Q$11,TRUE)</f>
        <v>0.25555555555555554</v>
      </c>
      <c r="R701" s="150">
        <f ca="1">IF(NOW(),_xll.meCurveForwardRatesFromYearFraction(P701,Q701,$Q$11,$Q$9,$Q$10))</f>
        <v>-2.4908972939061825E-3</v>
      </c>
      <c r="S701" s="134" t="s">
        <v>4</v>
      </c>
    </row>
    <row r="702" spans="1:19" x14ac:dyDescent="0.25">
      <c r="A702" s="128">
        <v>686</v>
      </c>
      <c r="B702" s="133"/>
      <c r="C702" s="149">
        <f ca="1">_xll.meDateFromTenor(C701,"1D","FOLLOWING",$D$11,"NORMAL")</f>
        <v>43433</v>
      </c>
      <c r="D702" s="20">
        <f ca="1">_xll.meDateFromTenor(C702,"1D","Following",$D$11,"Normal")</f>
        <v>43434</v>
      </c>
      <c r="E702" s="99">
        <f ca="1"/>
        <v>1.0433495891089032E-2</v>
      </c>
      <c r="F702" s="161">
        <f ca="1">_xll.meCurveForwardRates(C702,$D$9,$D$10)</f>
        <v>1.0487961824569236E-2</v>
      </c>
      <c r="G702" s="7" t="s">
        <v>4</v>
      </c>
      <c r="H702" s="149">
        <f t="shared" ca="1" si="20"/>
        <v>43433</v>
      </c>
      <c r="I702" s="20">
        <f ca="1">_xll.meDateFromTenor(H702,"3M","Following",$I$11,"Normal")</f>
        <v>43524</v>
      </c>
      <c r="J702" s="150">
        <f ca="1"/>
        <v>1.4479299873335422E-2</v>
      </c>
      <c r="K702" s="7" t="s">
        <v>4</v>
      </c>
      <c r="L702" s="149" t="e">
        <f ca="1">_xll.meDateFromTenor(L701,"1D","FOLLOWING",#REF!,"NORMAL")</f>
        <v>#VALUE!</v>
      </c>
      <c r="M702" s="155">
        <f ca="1">_xll.meDateYearFraction(C702,D702,$M$11)</f>
        <v>2.7777777777777779E-3</v>
      </c>
      <c r="N702" s="150">
        <f ca="1"/>
        <v>-2.4300000000065936E-3</v>
      </c>
      <c r="O702" s="7" t="s">
        <v>4</v>
      </c>
      <c r="P702" s="149">
        <f t="shared" ca="1" si="21"/>
        <v>43433</v>
      </c>
      <c r="Q702" s="155">
        <f ca="1">_xll.meDateYearFraction(H702,I702,$Q$11,TRUE)</f>
        <v>0.25277777777777777</v>
      </c>
      <c r="R702" s="150">
        <f ca="1">IF(NOW(),_xll.meCurveForwardRatesFromYearFraction(P702,Q702,$Q$11,$Q$9,$Q$10))</f>
        <v>-3.7175485397107962E-3</v>
      </c>
      <c r="S702" s="134" t="s">
        <v>4</v>
      </c>
    </row>
    <row r="703" spans="1:19" x14ac:dyDescent="0.25">
      <c r="A703" s="128">
        <v>687</v>
      </c>
      <c r="B703" s="133"/>
      <c r="C703" s="149">
        <f ca="1">_xll.meDateFromTenor(C702,"1D","FOLLOWING",$D$11,"NORMAL")</f>
        <v>43434</v>
      </c>
      <c r="D703" s="20">
        <f ca="1">_xll.meDateFromTenor(C703,"1D","Following",$D$11,"Normal")</f>
        <v>43437</v>
      </c>
      <c r="E703" s="99">
        <f ca="1"/>
        <v>1.0437283599475969E-2</v>
      </c>
      <c r="F703" s="161">
        <f ca="1">_xll.meCurveForwardRates(C703,$D$9,$D$10)</f>
        <v>1.0489671171844295E-2</v>
      </c>
      <c r="G703" s="7" t="s">
        <v>4</v>
      </c>
      <c r="H703" s="149">
        <f t="shared" ca="1" si="20"/>
        <v>43434</v>
      </c>
      <c r="I703" s="20">
        <f ca="1">_xll.meDateFromTenor(H703,"3M","Following",$I$11,"Normal")</f>
        <v>43524</v>
      </c>
      <c r="J703" s="150">
        <f ca="1"/>
        <v>1.4468280018557024E-2</v>
      </c>
      <c r="K703" s="7" t="s">
        <v>4</v>
      </c>
      <c r="L703" s="149" t="e">
        <f ca="1">_xll.meDateFromTenor(L702,"1D","FOLLOWING",#REF!,"NORMAL")</f>
        <v>#VALUE!</v>
      </c>
      <c r="M703" s="155">
        <f ca="1">_xll.meDateYearFraction(C703,D703,$M$11)</f>
        <v>8.3333333333333332E-3</v>
      </c>
      <c r="N703" s="150">
        <f ca="1"/>
        <v>-2.4300000000065936E-3</v>
      </c>
      <c r="O703" s="7" t="s">
        <v>4</v>
      </c>
      <c r="P703" s="149">
        <f t="shared" ca="1" si="21"/>
        <v>43434</v>
      </c>
      <c r="Q703" s="155">
        <f ca="1">_xll.meDateYearFraction(H703,I703,$Q$11,TRUE)</f>
        <v>0.25</v>
      </c>
      <c r="R703" s="150">
        <f ca="1">IF(NOW(),_xll.meCurveForwardRatesFromYearFraction(P703,Q703,$Q$11,$Q$9,$Q$10))</f>
        <v>-2.4792769531153812E-3</v>
      </c>
      <c r="S703" s="134" t="s">
        <v>4</v>
      </c>
    </row>
    <row r="704" spans="1:19" x14ac:dyDescent="0.25">
      <c r="A704" s="128">
        <v>688</v>
      </c>
      <c r="B704" s="133"/>
      <c r="C704" s="149">
        <f ca="1">_xll.meDateFromTenor(C703,"1D","FOLLOWING",$D$11,"NORMAL")</f>
        <v>43437</v>
      </c>
      <c r="D704" s="20">
        <f ca="1">_xll.meDateFromTenor(C704,"1D","Following",$D$11,"Normal")</f>
        <v>43438</v>
      </c>
      <c r="E704" s="99">
        <f ca="1"/>
        <v>1.0440720688968988E-2</v>
      </c>
      <c r="F704" s="161">
        <f ca="1">_xll.meCurveForwardRates(C704,$D$9,$D$10)</f>
        <v>1.0495262210572953E-2</v>
      </c>
      <c r="G704" s="7" t="s">
        <v>4</v>
      </c>
      <c r="H704" s="149">
        <f t="shared" ca="1" si="20"/>
        <v>43437</v>
      </c>
      <c r="I704" s="20">
        <f ca="1">_xll.meDateFromTenor(H704,"3M","Following",$I$11,"Normal")</f>
        <v>43528</v>
      </c>
      <c r="J704" s="150">
        <f ca="1"/>
        <v>1.4432892119062192E-2</v>
      </c>
      <c r="K704" s="7" t="s">
        <v>4</v>
      </c>
      <c r="L704" s="149" t="e">
        <f ca="1">_xll.meDateFromTenor(L703,"1D","FOLLOWING",#REF!,"NORMAL")</f>
        <v>#VALUE!</v>
      </c>
      <c r="M704" s="155">
        <f ca="1">_xll.meDateYearFraction(C704,D704,$M$11)</f>
        <v>2.7777777777777779E-3</v>
      </c>
      <c r="N704" s="150">
        <f ca="1"/>
        <v>-2.4300000000065936E-3</v>
      </c>
      <c r="O704" s="7" t="s">
        <v>4</v>
      </c>
      <c r="P704" s="149">
        <f t="shared" ca="1" si="21"/>
        <v>43437</v>
      </c>
      <c r="Q704" s="155">
        <f ca="1">_xll.meDateYearFraction(H704,I704,$Q$11,TRUE)</f>
        <v>0.25277777777777777</v>
      </c>
      <c r="R704" s="150">
        <f ca="1">IF(NOW(),_xll.meCurveForwardRatesFromYearFraction(P704,Q704,$Q$11,$Q$9,$Q$10))</f>
        <v>-2.4616618542875448E-3</v>
      </c>
      <c r="S704" s="134" t="s">
        <v>4</v>
      </c>
    </row>
    <row r="705" spans="1:19" x14ac:dyDescent="0.25">
      <c r="A705" s="128">
        <v>689</v>
      </c>
      <c r="B705" s="133"/>
      <c r="C705" s="149">
        <f ca="1">_xll.meDateFromTenor(C704,"1D","FOLLOWING",$D$11,"NORMAL")</f>
        <v>43438</v>
      </c>
      <c r="D705" s="20">
        <f ca="1">_xll.meDateFromTenor(C705,"1D","Following",$D$11,"Normal")</f>
        <v>43439</v>
      </c>
      <c r="E705" s="99">
        <f ca="1"/>
        <v>1.0442717828222961E-2</v>
      </c>
      <c r="F705" s="161">
        <f ca="1">_xll.meCurveForwardRates(C705,$D$9,$D$10)</f>
        <v>1.0497280253809249E-2</v>
      </c>
      <c r="G705" s="7" t="s">
        <v>4</v>
      </c>
      <c r="H705" s="149">
        <f t="shared" ca="1" si="20"/>
        <v>43438</v>
      </c>
      <c r="I705" s="20">
        <f ca="1">_xll.meDateFromTenor(H705,"3M","Following",$I$11,"Normal")</f>
        <v>43528</v>
      </c>
      <c r="J705" s="150">
        <f ca="1"/>
        <v>1.4420929766196468E-2</v>
      </c>
      <c r="K705" s="7" t="s">
        <v>4</v>
      </c>
      <c r="L705" s="149" t="e">
        <f ca="1">_xll.meDateFromTenor(L704,"1D","FOLLOWING",#REF!,"NORMAL")</f>
        <v>#VALUE!</v>
      </c>
      <c r="M705" s="155">
        <f ca="1">_xll.meDateYearFraction(C705,D705,$M$11)</f>
        <v>2.7777777777777779E-3</v>
      </c>
      <c r="N705" s="150">
        <f ca="1"/>
        <v>-2.4300000000065936E-3</v>
      </c>
      <c r="O705" s="7" t="s">
        <v>4</v>
      </c>
      <c r="P705" s="149">
        <f t="shared" ca="1" si="21"/>
        <v>43438</v>
      </c>
      <c r="Q705" s="155">
        <f ca="1">_xll.meDateYearFraction(H705,I705,$Q$11,TRUE)</f>
        <v>0.25</v>
      </c>
      <c r="R705" s="150">
        <f ca="1">IF(NOW(),_xll.meCurveForwardRatesFromYearFraction(P705,Q705,$Q$11,$Q$9,$Q$10))</f>
        <v>-2.4557426813846344E-3</v>
      </c>
      <c r="S705" s="134" t="s">
        <v>4</v>
      </c>
    </row>
    <row r="706" spans="1:19" x14ac:dyDescent="0.25">
      <c r="A706" s="128">
        <v>690</v>
      </c>
      <c r="B706" s="133"/>
      <c r="C706" s="149">
        <f ca="1">_xll.meDateFromTenor(C705,"1D","FOLLOWING",$D$11,"NORMAL")</f>
        <v>43439</v>
      </c>
      <c r="D706" s="20">
        <f ca="1">_xll.meDateFromTenor(C706,"1D","Following",$D$11,"Normal")</f>
        <v>43440</v>
      </c>
      <c r="E706" s="99">
        <f ca="1"/>
        <v>1.0444791361248243E-2</v>
      </c>
      <c r="F706" s="161">
        <f ca="1">_xll.meCurveForwardRates(C706,$D$9,$D$10)</f>
        <v>1.0499375494680274E-2</v>
      </c>
      <c r="G706" s="7" t="s">
        <v>4</v>
      </c>
      <c r="H706" s="149">
        <f t="shared" ca="1" si="20"/>
        <v>43439</v>
      </c>
      <c r="I706" s="20">
        <f ca="1">_xll.meDateFromTenor(H706,"3M","Following",$I$11,"Normal")</f>
        <v>43529</v>
      </c>
      <c r="J706" s="150">
        <f ca="1"/>
        <v>1.4409037072138533E-2</v>
      </c>
      <c r="K706" s="7" t="s">
        <v>4</v>
      </c>
      <c r="L706" s="149" t="e">
        <f ca="1">_xll.meDateFromTenor(L705,"1D","FOLLOWING",#REF!,"NORMAL")</f>
        <v>#VALUE!</v>
      </c>
      <c r="M706" s="155">
        <f ca="1">_xll.meDateYearFraction(C706,D706,$M$11)</f>
        <v>2.7777777777777779E-3</v>
      </c>
      <c r="N706" s="150">
        <f ca="1"/>
        <v>-2.4300000000065936E-3</v>
      </c>
      <c r="O706" s="7" t="s">
        <v>4</v>
      </c>
      <c r="P706" s="149">
        <f t="shared" ca="1" si="21"/>
        <v>43439</v>
      </c>
      <c r="Q706" s="155">
        <f ca="1">_xll.meDateYearFraction(H706,I706,$Q$11,TRUE)</f>
        <v>0.25</v>
      </c>
      <c r="R706" s="150">
        <f ca="1">IF(NOW(),_xll.meCurveForwardRatesFromYearFraction(P706,Q706,$Q$11,$Q$9,$Q$10))</f>
        <v>-3.7175485397107962E-3</v>
      </c>
      <c r="S706" s="134" t="s">
        <v>4</v>
      </c>
    </row>
    <row r="707" spans="1:19" x14ac:dyDescent="0.25">
      <c r="A707" s="128">
        <v>691</v>
      </c>
      <c r="B707" s="133"/>
      <c r="C707" s="149">
        <f ca="1">_xll.meDateFromTenor(C706,"1D","FOLLOWING",$D$11,"NORMAL")</f>
        <v>43440</v>
      </c>
      <c r="D707" s="20">
        <f ca="1">_xll.meDateFromTenor(C707,"1D","Following",$D$11,"Normal")</f>
        <v>43441</v>
      </c>
      <c r="E707" s="99">
        <f ca="1"/>
        <v>1.0446941296677928E-2</v>
      </c>
      <c r="F707" s="161">
        <f ca="1">_xll.meCurveForwardRates(C707,$D$9,$D$10)</f>
        <v>1.0501547942388223E-2</v>
      </c>
      <c r="G707" s="7" t="s">
        <v>4</v>
      </c>
      <c r="H707" s="149">
        <f t="shared" ca="1" si="20"/>
        <v>43440</v>
      </c>
      <c r="I707" s="20">
        <f ca="1">_xll.meDateFromTenor(H707,"3M","Following",$I$11,"Normal")</f>
        <v>43530</v>
      </c>
      <c r="J707" s="150">
        <f ca="1"/>
        <v>1.4397262123396717E-2</v>
      </c>
      <c r="K707" s="7" t="s">
        <v>4</v>
      </c>
      <c r="L707" s="149" t="e">
        <f ca="1">_xll.meDateFromTenor(L706,"1D","FOLLOWING",#REF!,"NORMAL")</f>
        <v>#VALUE!</v>
      </c>
      <c r="M707" s="155">
        <f ca="1">_xll.meDateYearFraction(C707,D707,$M$11)</f>
        <v>2.7777777777777779E-3</v>
      </c>
      <c r="N707" s="150">
        <f ca="1"/>
        <v>-2.4300000000065936E-3</v>
      </c>
      <c r="O707" s="7" t="s">
        <v>4</v>
      </c>
      <c r="P707" s="149">
        <f t="shared" ca="1" si="21"/>
        <v>43440</v>
      </c>
      <c r="Q707" s="155">
        <f ca="1">_xll.meDateYearFraction(H707,I707,$Q$11,TRUE)</f>
        <v>0.25</v>
      </c>
      <c r="R707" s="150">
        <f ca="1">IF(NOW(),_xll.meCurveForwardRatesFromYearFraction(P707,Q707,$Q$11,$Q$9,$Q$10))</f>
        <v>-2.4438357507545771E-3</v>
      </c>
      <c r="S707" s="134" t="s">
        <v>4</v>
      </c>
    </row>
    <row r="708" spans="1:19" x14ac:dyDescent="0.25">
      <c r="A708" s="128">
        <v>692</v>
      </c>
      <c r="B708" s="133"/>
      <c r="C708" s="149">
        <f ca="1">_xll.meDateFromTenor(C707,"1D","FOLLOWING",$D$11,"NORMAL")</f>
        <v>43441</v>
      </c>
      <c r="D708" s="20">
        <f ca="1">_xll.meDateFromTenor(C708,"1D","Following",$D$11,"Normal")</f>
        <v>43444</v>
      </c>
      <c r="E708" s="99">
        <f ca="1"/>
        <v>1.0451799317623448E-2</v>
      </c>
      <c r="F708" s="161">
        <f ca="1">_xll.meCurveForwardRates(C708,$D$9,$D$10)</f>
        <v>1.0503797606799425E-2</v>
      </c>
      <c r="G708" s="7" t="s">
        <v>4</v>
      </c>
      <c r="H708" s="149">
        <f t="shared" ca="1" si="20"/>
        <v>43441</v>
      </c>
      <c r="I708" s="20">
        <f ca="1">_xll.meDateFromTenor(H708,"3M","Following",$I$11,"Normal")</f>
        <v>43531</v>
      </c>
      <c r="J708" s="150">
        <f ca="1"/>
        <v>1.4385653006479374E-2</v>
      </c>
      <c r="K708" s="7" t="s">
        <v>4</v>
      </c>
      <c r="L708" s="149" t="e">
        <f ca="1">_xll.meDateFromTenor(L707,"1D","FOLLOWING",#REF!,"NORMAL")</f>
        <v>#VALUE!</v>
      </c>
      <c r="M708" s="155">
        <f ca="1">_xll.meDateYearFraction(C708,D708,$M$11)</f>
        <v>8.3333333333333332E-3</v>
      </c>
      <c r="N708" s="150">
        <f ca="1"/>
        <v>-2.4300000000065936E-3</v>
      </c>
      <c r="O708" s="7" t="s">
        <v>4</v>
      </c>
      <c r="P708" s="149">
        <f t="shared" ca="1" si="21"/>
        <v>43441</v>
      </c>
      <c r="Q708" s="155">
        <f ca="1">_xll.meDateYearFraction(H708,I708,$Q$11,TRUE)</f>
        <v>0.25</v>
      </c>
      <c r="R708" s="150">
        <f ca="1">IF(NOW(),_xll.meCurveForwardRatesFromYearFraction(P708,Q708,$Q$11,$Q$9,$Q$10))</f>
        <v>-3.7175485397107962E-3</v>
      </c>
      <c r="S708" s="134" t="s">
        <v>4</v>
      </c>
    </row>
    <row r="709" spans="1:19" x14ac:dyDescent="0.25">
      <c r="A709" s="128">
        <v>693</v>
      </c>
      <c r="B709" s="133"/>
      <c r="C709" s="149">
        <f ca="1">_xll.meDateFromTenor(C708,"1D","FOLLOWING",$D$11,"NORMAL")</f>
        <v>43444</v>
      </c>
      <c r="D709" s="20">
        <f ca="1">_xll.meDateFromTenor(C709,"1D","Following",$D$11,"Normal")</f>
        <v>43445</v>
      </c>
      <c r="E709" s="99">
        <f ca="1"/>
        <v>1.045630524269651E-2</v>
      </c>
      <c r="F709" s="161">
        <f ca="1">_xll.meCurveForwardRates(C709,$D$9,$D$10)</f>
        <v>1.0511009993930953E-2</v>
      </c>
      <c r="G709" s="7" t="s">
        <v>4</v>
      </c>
      <c r="H709" s="149">
        <f t="shared" ca="1" si="20"/>
        <v>43444</v>
      </c>
      <c r="I709" s="20">
        <f ca="1">_xll.meDateFromTenor(H709,"3M","Following",$I$11,"Normal")</f>
        <v>43535</v>
      </c>
      <c r="J709" s="150">
        <f ca="1"/>
        <v>1.4352301511757596E-2</v>
      </c>
      <c r="K709" s="7" t="s">
        <v>4</v>
      </c>
      <c r="L709" s="149" t="e">
        <f ca="1">_xll.meDateFromTenor(L708,"1D","FOLLOWING",#REF!,"NORMAL")</f>
        <v>#VALUE!</v>
      </c>
      <c r="M709" s="155">
        <f ca="1">_xll.meDateYearFraction(C709,D709,$M$11)</f>
        <v>2.7777777777777779E-3</v>
      </c>
      <c r="N709" s="150">
        <f ca="1"/>
        <v>-2.4300000000065936E-3</v>
      </c>
      <c r="O709" s="7" t="s">
        <v>4</v>
      </c>
      <c r="P709" s="149">
        <f t="shared" ca="1" si="21"/>
        <v>43444</v>
      </c>
      <c r="Q709" s="155">
        <f ca="1">_xll.meDateYearFraction(H709,I709,$Q$11,TRUE)</f>
        <v>0.25277777777777777</v>
      </c>
      <c r="R709" s="150">
        <f ca="1">IF(NOW(),_xll.meCurveForwardRatesFromYearFraction(P709,Q709,$Q$11,$Q$9,$Q$10))</f>
        <v>-2.4197598007398092E-3</v>
      </c>
      <c r="S709" s="134" t="s">
        <v>4</v>
      </c>
    </row>
    <row r="710" spans="1:19" x14ac:dyDescent="0.25">
      <c r="A710" s="128">
        <v>694</v>
      </c>
      <c r="B710" s="133"/>
      <c r="C710" s="149">
        <f ca="1">_xll.meDateFromTenor(C709,"1D","FOLLOWING",$D$11,"NORMAL")</f>
        <v>43445</v>
      </c>
      <c r="D710" s="20">
        <f ca="1">_xll.meDateFromTenor(C710,"1D","Following",$D$11,"Normal")</f>
        <v>43446</v>
      </c>
      <c r="E710" s="99">
        <f ca="1"/>
        <v>1.0458837324680595E-2</v>
      </c>
      <c r="F710" s="161">
        <f ca="1">_xll.meCurveForwardRates(C710,$D$9,$D$10)</f>
        <v>1.0513568619568314E-2</v>
      </c>
      <c r="G710" s="7" t="s">
        <v>4</v>
      </c>
      <c r="H710" s="149">
        <f t="shared" ca="1" si="20"/>
        <v>43445</v>
      </c>
      <c r="I710" s="20">
        <f ca="1">_xll.meDateFromTenor(H710,"3M","Following",$I$11,"Normal")</f>
        <v>43535</v>
      </c>
      <c r="J710" s="150">
        <f ca="1"/>
        <v>1.4341836587221565E-2</v>
      </c>
      <c r="K710" s="7" t="s">
        <v>4</v>
      </c>
      <c r="L710" s="149" t="e">
        <f ca="1">_xll.meDateFromTenor(L709,"1D","FOLLOWING",#REF!,"NORMAL")</f>
        <v>#VALUE!</v>
      </c>
      <c r="M710" s="155">
        <f ca="1">_xll.meDateYearFraction(C710,D710,$M$11)</f>
        <v>2.7777777777777779E-3</v>
      </c>
      <c r="N710" s="150">
        <f ca="1"/>
        <v>-2.4300000000065936E-3</v>
      </c>
      <c r="O710" s="7" t="s">
        <v>4</v>
      </c>
      <c r="P710" s="149">
        <f t="shared" ca="1" si="21"/>
        <v>43445</v>
      </c>
      <c r="Q710" s="155">
        <f ca="1">_xll.meDateYearFraction(H710,I710,$Q$11,TRUE)</f>
        <v>0.25</v>
      </c>
      <c r="R710" s="150">
        <f ca="1">IF(NOW(),_xll.meCurveForwardRatesFromYearFraction(P710,Q710,$Q$11,$Q$9,$Q$10))</f>
        <v>-3.7175485397107962E-3</v>
      </c>
      <c r="S710" s="134" t="s">
        <v>4</v>
      </c>
    </row>
    <row r="711" spans="1:19" x14ac:dyDescent="0.25">
      <c r="A711" s="128">
        <v>695</v>
      </c>
      <c r="B711" s="133"/>
      <c r="C711" s="149">
        <f ca="1">_xll.meDateFromTenor(C710,"1D","FOLLOWING",$D$11,"NORMAL")</f>
        <v>43446</v>
      </c>
      <c r="D711" s="20">
        <f ca="1">_xll.meDateFromTenor(C711,"1D","Following",$D$11,"Normal")</f>
        <v>43447</v>
      </c>
      <c r="E711" s="99">
        <f ca="1"/>
        <v>1.0461445862786115E-2</v>
      </c>
      <c r="F711" s="161">
        <f ca="1">_xll.meCurveForwardRates(C711,$D$9,$D$10)</f>
        <v>1.0516204509567917E-2</v>
      </c>
      <c r="G711" s="7" t="s">
        <v>4</v>
      </c>
      <c r="H711" s="149">
        <f t="shared" ca="1" si="20"/>
        <v>43446</v>
      </c>
      <c r="I711" s="20">
        <f ca="1">_xll.meDateFromTenor(H711,"3M","Following",$I$11,"Normal")</f>
        <v>43536</v>
      </c>
      <c r="J711" s="150">
        <f ca="1"/>
        <v>1.4331777927051724E-2</v>
      </c>
      <c r="K711" s="7" t="s">
        <v>4</v>
      </c>
      <c r="L711" s="149" t="e">
        <f ca="1">_xll.meDateFromTenor(L710,"1D","FOLLOWING",#REF!,"NORMAL")</f>
        <v>#VALUE!</v>
      </c>
      <c r="M711" s="155">
        <f ca="1">_xll.meDateYearFraction(C711,D711,$M$11)</f>
        <v>2.7777777777777779E-3</v>
      </c>
      <c r="N711" s="150">
        <f ca="1"/>
        <v>-2.4300000000065936E-3</v>
      </c>
      <c r="O711" s="7" t="s">
        <v>4</v>
      </c>
      <c r="P711" s="149">
        <f t="shared" ca="1" si="21"/>
        <v>43446</v>
      </c>
      <c r="Q711" s="155">
        <f ca="1">_xll.meDateYearFraction(H711,I711,$Q$11,TRUE)</f>
        <v>0.25</v>
      </c>
      <c r="R711" s="150">
        <f ca="1">IF(NOW(),_xll.meCurveForwardRatesFromYearFraction(P711,Q711,$Q$11,$Q$9,$Q$10))</f>
        <v>-2.4075977816649888E-3</v>
      </c>
      <c r="S711" s="134" t="s">
        <v>4</v>
      </c>
    </row>
    <row r="712" spans="1:19" x14ac:dyDescent="0.25">
      <c r="A712" s="128">
        <v>696</v>
      </c>
      <c r="B712" s="133"/>
      <c r="C712" s="149">
        <f ca="1">_xll.meDateFromTenor(C711,"1D","FOLLOWING",$D$11,"NORMAL")</f>
        <v>43447</v>
      </c>
      <c r="D712" s="20">
        <f ca="1">_xll.meDateFromTenor(C712,"1D","Following",$D$11,"Normal")</f>
        <v>43448</v>
      </c>
      <c r="E712" s="99">
        <f ca="1"/>
        <v>1.0464130865806035E-2</v>
      </c>
      <c r="F712" s="161">
        <f ca="1">_xll.meCurveForwardRates(C712,$D$9,$D$10)</f>
        <v>1.0518917673417505E-2</v>
      </c>
      <c r="G712" s="7" t="s">
        <v>4</v>
      </c>
      <c r="H712" s="149">
        <f t="shared" ca="1" si="20"/>
        <v>43447</v>
      </c>
      <c r="I712" s="20">
        <f ca="1">_xll.meDateFromTenor(H712,"3M","Following",$I$11,"Normal")</f>
        <v>43537</v>
      </c>
      <c r="J712" s="150">
        <f ca="1"/>
        <v>1.4322173617756411E-2</v>
      </c>
      <c r="K712" s="7" t="s">
        <v>4</v>
      </c>
      <c r="L712" s="149" t="e">
        <f ca="1">_xll.meDateFromTenor(L711,"1D","FOLLOWING",#REF!,"NORMAL")</f>
        <v>#VALUE!</v>
      </c>
      <c r="M712" s="155">
        <f ca="1">_xll.meDateYearFraction(C712,D712,$M$11)</f>
        <v>2.7777777777777779E-3</v>
      </c>
      <c r="N712" s="150">
        <f ca="1"/>
        <v>-2.4300000000065936E-3</v>
      </c>
      <c r="O712" s="7" t="s">
        <v>4</v>
      </c>
      <c r="P712" s="149">
        <f t="shared" ca="1" si="21"/>
        <v>43447</v>
      </c>
      <c r="Q712" s="155">
        <f ca="1">_xll.meDateYearFraction(H712,I712,$Q$11,TRUE)</f>
        <v>0.25</v>
      </c>
      <c r="R712" s="150">
        <f ca="1">IF(NOW(),_xll.meCurveForwardRatesFromYearFraction(P712,Q712,$Q$11,$Q$9,$Q$10))</f>
        <v>-2.4014872924285066E-3</v>
      </c>
      <c r="S712" s="134" t="s">
        <v>4</v>
      </c>
    </row>
    <row r="713" spans="1:19" x14ac:dyDescent="0.25">
      <c r="A713" s="128">
        <v>697</v>
      </c>
      <c r="B713" s="133"/>
      <c r="C713" s="149">
        <f ca="1">_xll.meDateFromTenor(C712,"1D","FOLLOWING",$D$11,"NORMAL")</f>
        <v>43448</v>
      </c>
      <c r="D713" s="20">
        <f ca="1">_xll.meDateFromTenor(C713,"1D","Following",$D$11,"Normal")</f>
        <v>43451</v>
      </c>
      <c r="E713" s="99">
        <f ca="1"/>
        <v>1.0470060291076813E-2</v>
      </c>
      <c r="F713" s="161">
        <f ca="1">_xll.meCurveForwardRates(C713,$D$9,$D$10)</f>
        <v>1.0521708120784901E-2</v>
      </c>
      <c r="G713" s="7" t="s">
        <v>4</v>
      </c>
      <c r="H713" s="149">
        <f t="shared" ca="1" si="20"/>
        <v>43448</v>
      </c>
      <c r="I713" s="20">
        <f ca="1">_xll.meDateFromTenor(H713,"3M","Following",$I$11,"Normal")</f>
        <v>43538</v>
      </c>
      <c r="J713" s="150">
        <f ca="1"/>
        <v>1.4313071745843974E-2</v>
      </c>
      <c r="K713" s="7" t="s">
        <v>4</v>
      </c>
      <c r="L713" s="149" t="e">
        <f ca="1">_xll.meDateFromTenor(L712,"1D","FOLLOWING",#REF!,"NORMAL")</f>
        <v>#VALUE!</v>
      </c>
      <c r="M713" s="155">
        <f ca="1">_xll.meDateYearFraction(C713,D713,$M$11)</f>
        <v>8.3333333333333332E-3</v>
      </c>
      <c r="N713" s="150">
        <f ca="1"/>
        <v>-2.4300000000065936E-3</v>
      </c>
      <c r="O713" s="7" t="s">
        <v>4</v>
      </c>
      <c r="P713" s="149">
        <f t="shared" ca="1" si="21"/>
        <v>43448</v>
      </c>
      <c r="Q713" s="155">
        <f ca="1">_xll.meDateYearFraction(H713,I713,$Q$11,TRUE)</f>
        <v>0.25</v>
      </c>
      <c r="R713" s="150">
        <f ca="1">IF(NOW(),_xll.meCurveForwardRatesFromYearFraction(P713,Q713,$Q$11,$Q$9,$Q$10))</f>
        <v>-2.3953577334184678E-3</v>
      </c>
      <c r="S713" s="134" t="s">
        <v>4</v>
      </c>
    </row>
    <row r="714" spans="1:19" x14ac:dyDescent="0.25">
      <c r="A714" s="128">
        <v>698</v>
      </c>
      <c r="B714" s="133"/>
      <c r="C714" s="149">
        <f ca="1">_xll.meDateFromTenor(C713,"1D","FOLLOWING",$D$11,"NORMAL")</f>
        <v>43451</v>
      </c>
      <c r="D714" s="20">
        <f ca="1">_xll.meDateFromTenor(C714,"1D","Following",$D$11,"Normal")</f>
        <v>43452</v>
      </c>
      <c r="E714" s="99">
        <f ca="1"/>
        <v>1.0475635706566103E-2</v>
      </c>
      <c r="F714" s="161">
        <f ca="1">_xll.meCurveForwardRates(C714,$D$9,$D$10)</f>
        <v>1.0530543261418446E-2</v>
      </c>
      <c r="G714" s="7" t="s">
        <v>4</v>
      </c>
      <c r="H714" s="149">
        <f t="shared" ca="1" si="20"/>
        <v>43451</v>
      </c>
      <c r="I714" s="20">
        <f ca="1">_xll.meDateFromTenor(H714,"3M","Following",$I$11,"Normal")</f>
        <v>43542</v>
      </c>
      <c r="J714" s="150">
        <f ca="1"/>
        <v>1.4289261619487332E-2</v>
      </c>
      <c r="K714" s="7" t="s">
        <v>4</v>
      </c>
      <c r="L714" s="149" t="e">
        <f ca="1">_xll.meDateFromTenor(L713,"1D","FOLLOWING",#REF!,"NORMAL")</f>
        <v>#VALUE!</v>
      </c>
      <c r="M714" s="155">
        <f ca="1">_xll.meDateYearFraction(C714,D714,$M$11)</f>
        <v>2.7777777777777779E-3</v>
      </c>
      <c r="N714" s="150">
        <f ca="1"/>
        <v>-2.4300000000065936E-3</v>
      </c>
      <c r="O714" s="7" t="s">
        <v>4</v>
      </c>
      <c r="P714" s="149">
        <f t="shared" ca="1" si="21"/>
        <v>43451</v>
      </c>
      <c r="Q714" s="155">
        <f ca="1">_xll.meDateYearFraction(H714,I714,$Q$11,TRUE)</f>
        <v>0.25277777777777777</v>
      </c>
      <c r="R714" s="150">
        <f ca="1">IF(NOW(),_xll.meCurveForwardRatesFromYearFraction(P714,Q714,$Q$11,$Q$9,$Q$10))</f>
        <v>-3.7175485397107962E-3</v>
      </c>
      <c r="S714" s="134" t="s">
        <v>4</v>
      </c>
    </row>
    <row r="715" spans="1:19" x14ac:dyDescent="0.25">
      <c r="A715" s="128">
        <v>699</v>
      </c>
      <c r="B715" s="133"/>
      <c r="C715" s="149">
        <f ca="1">_xll.meDateFromTenor(C714,"1D","FOLLOWING",$D$11,"NORMAL")</f>
        <v>43452</v>
      </c>
      <c r="D715" s="20">
        <f ca="1">_xll.meDateFromTenor(C715,"1D","Following",$D$11,"Normal")</f>
        <v>43453</v>
      </c>
      <c r="E715" s="99">
        <f ca="1"/>
        <v>1.0478703168770346E-2</v>
      </c>
      <c r="F715" s="161">
        <f ca="1">_xll.meCurveForwardRates(C715,$D$9,$D$10)</f>
        <v>1.053364294020942E-2</v>
      </c>
      <c r="G715" s="7" t="s">
        <v>4</v>
      </c>
      <c r="H715" s="149">
        <f t="shared" ca="1" si="20"/>
        <v>43452</v>
      </c>
      <c r="I715" s="20">
        <f ca="1">_xll.meDateFromTenor(H715,"3M","Following",$I$11,"Normal")</f>
        <v>43542</v>
      </c>
      <c r="J715" s="150">
        <f ca="1"/>
        <v>1.4282650362189824E-2</v>
      </c>
      <c r="K715" s="7" t="s">
        <v>4</v>
      </c>
      <c r="L715" s="149" t="e">
        <f ca="1">_xll.meDateFromTenor(L714,"1D","FOLLOWING",#REF!,"NORMAL")</f>
        <v>#VALUE!</v>
      </c>
      <c r="M715" s="155">
        <f ca="1">_xll.meDateYearFraction(C715,D715,$M$11)</f>
        <v>2.7777777777777779E-3</v>
      </c>
      <c r="N715" s="150">
        <f ca="1"/>
        <v>-2.4300000000065936E-3</v>
      </c>
      <c r="O715" s="7" t="s">
        <v>4</v>
      </c>
      <c r="P715" s="149">
        <f t="shared" ca="1" si="21"/>
        <v>43452</v>
      </c>
      <c r="Q715" s="155">
        <f ca="1">_xll.meDateYearFraction(H715,I715,$Q$11,TRUE)</f>
        <v>0.25</v>
      </c>
      <c r="R715" s="150">
        <f ca="1">IF(NOW(),_xll.meCurveForwardRatesFromYearFraction(P715,Q715,$Q$11,$Q$9,$Q$10))</f>
        <v>-3.7175485397107962E-3</v>
      </c>
      <c r="S715" s="134" t="s">
        <v>4</v>
      </c>
    </row>
    <row r="716" spans="1:19" x14ac:dyDescent="0.25">
      <c r="A716" s="128">
        <v>700</v>
      </c>
      <c r="B716" s="133"/>
      <c r="C716" s="149">
        <f ca="1">_xll.meDateFromTenor(C715,"1D","FOLLOWING",$D$11,"NORMAL")</f>
        <v>43453</v>
      </c>
      <c r="D716" s="20">
        <f ca="1">_xll.meDateFromTenor(C716,"1D","Following",$D$11,"Normal")</f>
        <v>43454</v>
      </c>
      <c r="E716" s="99">
        <f ca="1"/>
        <v>1.0481847149606019E-2</v>
      </c>
      <c r="F716" s="161">
        <f ca="1">_xll.meCurveForwardRates(C716,$D$9,$D$10)</f>
        <v>1.0536819951122212E-2</v>
      </c>
      <c r="G716" s="7" t="s">
        <v>4</v>
      </c>
      <c r="H716" s="149">
        <f t="shared" ca="1" si="20"/>
        <v>43453</v>
      </c>
      <c r="I716" s="20">
        <f ca="1">_xll.meDateFromTenor(H716,"3M","Following",$I$11,"Normal")</f>
        <v>43543</v>
      </c>
      <c r="J716" s="150">
        <f ca="1"/>
        <v>1.4276781974816905E-2</v>
      </c>
      <c r="K716" s="7" t="s">
        <v>4</v>
      </c>
      <c r="L716" s="149" t="e">
        <f ca="1">_xll.meDateFromTenor(L715,"1D","FOLLOWING",#REF!,"NORMAL")</f>
        <v>#VALUE!</v>
      </c>
      <c r="M716" s="155">
        <f ca="1">_xll.meDateYearFraction(C716,D716,$M$11)</f>
        <v>2.7777777777777779E-3</v>
      </c>
      <c r="N716" s="150">
        <f ca="1"/>
        <v>-2.4300000000065936E-3</v>
      </c>
      <c r="O716" s="7" t="s">
        <v>4</v>
      </c>
      <c r="P716" s="149">
        <f t="shared" ca="1" si="21"/>
        <v>43453</v>
      </c>
      <c r="Q716" s="155">
        <f ca="1">_xll.meDateYearFraction(H716,I716,$Q$11,TRUE)</f>
        <v>0.25</v>
      </c>
      <c r="R716" s="150">
        <f ca="1">IF(NOW(),_xll.meCurveForwardRatesFromYearFraction(P716,Q716,$Q$11,$Q$9,$Q$10))</f>
        <v>-3.7175485397107962E-3</v>
      </c>
      <c r="S716" s="134" t="s">
        <v>4</v>
      </c>
    </row>
    <row r="717" spans="1:19" x14ac:dyDescent="0.25">
      <c r="A717" s="128">
        <v>701</v>
      </c>
      <c r="B717" s="133"/>
      <c r="C717" s="149">
        <f ca="1">_xll.meDateFromTenor(C716,"1D","FOLLOWING",$D$11,"NORMAL")</f>
        <v>43454</v>
      </c>
      <c r="D717" s="20">
        <f ca="1">_xll.meDateFromTenor(C717,"1D","Following",$D$11,"Normal")</f>
        <v>43455</v>
      </c>
      <c r="E717" s="99">
        <f ca="1"/>
        <v>1.0485067658105899E-2</v>
      </c>
      <c r="F717" s="161">
        <f ca="1">_xll.meCurveForwardRates(C717,$D$9,$D$10)</f>
        <v>1.0540074304011604E-2</v>
      </c>
      <c r="G717" s="7" t="s">
        <v>4</v>
      </c>
      <c r="H717" s="149">
        <f t="shared" ca="1" si="20"/>
        <v>43454</v>
      </c>
      <c r="I717" s="20">
        <f ca="1">_xll.meDateFromTenor(H717,"3M","Following",$I$11,"Normal")</f>
        <v>43544</v>
      </c>
      <c r="J717" s="150">
        <f ca="1"/>
        <v>1.4271758300771457E-2</v>
      </c>
      <c r="K717" s="7" t="s">
        <v>4</v>
      </c>
      <c r="L717" s="149" t="e">
        <f ca="1">_xll.meDateFromTenor(L716,"1D","FOLLOWING",#REF!,"NORMAL")</f>
        <v>#VALUE!</v>
      </c>
      <c r="M717" s="155">
        <f ca="1">_xll.meDateYearFraction(C717,D717,$M$11)</f>
        <v>2.7777777777777779E-3</v>
      </c>
      <c r="N717" s="150">
        <f ca="1"/>
        <v>-2.4300000000065936E-3</v>
      </c>
      <c r="O717" s="7" t="s">
        <v>4</v>
      </c>
      <c r="P717" s="149">
        <f t="shared" ca="1" si="21"/>
        <v>43454</v>
      </c>
      <c r="Q717" s="155">
        <f ca="1">_xll.meDateYearFraction(H717,I717,$Q$11,TRUE)</f>
        <v>0.25</v>
      </c>
      <c r="R717" s="150">
        <f ca="1">IF(NOW(),_xll.meCurveForwardRatesFromYearFraction(P717,Q717,$Q$11,$Q$9,$Q$10))</f>
        <v>-2.3582044151981385E-3</v>
      </c>
      <c r="S717" s="134" t="s">
        <v>4</v>
      </c>
    </row>
    <row r="718" spans="1:19" x14ac:dyDescent="0.25">
      <c r="A718" s="128">
        <v>702</v>
      </c>
      <c r="B718" s="133"/>
      <c r="C718" s="149">
        <f ca="1">_xll.meDateFromTenor(C717,"1D","FOLLOWING",$D$11,"NORMAL")</f>
        <v>43455</v>
      </c>
      <c r="D718" s="20">
        <f ca="1">_xll.meDateFromTenor(C718,"1D","Following",$D$11,"Normal")</f>
        <v>43458</v>
      </c>
      <c r="E718" s="99">
        <f ca="1"/>
        <v>1.0492069585170719E-2</v>
      </c>
      <c r="F718" s="161">
        <f ca="1">_xll.meCurveForwardRates(C718,$D$9,$D$10)</f>
        <v>1.0543406008831191E-2</v>
      </c>
      <c r="G718" s="7" t="s">
        <v>4</v>
      </c>
      <c r="H718" s="149">
        <f t="shared" ca="1" si="20"/>
        <v>43455</v>
      </c>
      <c r="I718" s="20">
        <f ca="1">_xll.meDateFromTenor(H718,"3M","Following",$I$11,"Normal")</f>
        <v>43545</v>
      </c>
      <c r="J718" s="150">
        <f ca="1"/>
        <v>1.4267625132863148E-2</v>
      </c>
      <c r="K718" s="7" t="s">
        <v>4</v>
      </c>
      <c r="L718" s="149" t="e">
        <f ca="1">_xll.meDateFromTenor(L717,"1D","FOLLOWING",#REF!,"NORMAL")</f>
        <v>#VALUE!</v>
      </c>
      <c r="M718" s="155">
        <f ca="1">_xll.meDateYearFraction(C718,D718,$M$11)</f>
        <v>8.3333333333333332E-3</v>
      </c>
      <c r="N718" s="150">
        <f ca="1"/>
        <v>-2.4300000000065936E-3</v>
      </c>
      <c r="O718" s="7" t="s">
        <v>4</v>
      </c>
      <c r="P718" s="149">
        <f t="shared" ca="1" si="21"/>
        <v>43455</v>
      </c>
      <c r="Q718" s="155">
        <f ca="1">_xll.meDateYearFraction(H718,I718,$Q$11,TRUE)</f>
        <v>0.25</v>
      </c>
      <c r="R718" s="150">
        <f ca="1">IF(NOW(),_xll.meCurveForwardRatesFromYearFraction(P718,Q718,$Q$11,$Q$9,$Q$10))</f>
        <v>-3.7175485397107962E-3</v>
      </c>
      <c r="S718" s="134" t="s">
        <v>4</v>
      </c>
    </row>
    <row r="719" spans="1:19" x14ac:dyDescent="0.25">
      <c r="A719" s="128">
        <v>703</v>
      </c>
      <c r="B719" s="133"/>
      <c r="C719" s="149">
        <f ca="1">_xll.meDateFromTenor(C718,"1D","FOLLOWING",$D$11,"NORMAL")</f>
        <v>43458</v>
      </c>
      <c r="D719" s="20">
        <f ca="1">_xll.meDateFromTenor(C719,"1D","Following",$D$11,"Normal")</f>
        <v>43461</v>
      </c>
      <c r="E719" s="99">
        <f ca="1"/>
        <v>1.050265034791668E-2</v>
      </c>
      <c r="F719" s="161">
        <f ca="1">_xll.meCurveForwardRates(C719,$D$9,$D$10)</f>
        <v>1.0553865332655565E-2</v>
      </c>
      <c r="G719" s="7" t="s">
        <v>4</v>
      </c>
      <c r="H719" s="149">
        <f t="shared" ca="1" si="20"/>
        <v>43458</v>
      </c>
      <c r="I719" s="20">
        <f ca="1">_xll.meDateFromTenor(H719,"3M","Following",$I$11,"Normal")</f>
        <v>43549</v>
      </c>
      <c r="J719" s="150">
        <f ca="1"/>
        <v>1.4260208772146241E-2</v>
      </c>
      <c r="K719" s="7" t="s">
        <v>4</v>
      </c>
      <c r="L719" s="149" t="e">
        <f ca="1">_xll.meDateFromTenor(L718,"1D","FOLLOWING",#REF!,"NORMAL")</f>
        <v>#VALUE!</v>
      </c>
      <c r="M719" s="155">
        <f ca="1">_xll.meDateYearFraction(C719,D719,$M$11)</f>
        <v>8.3333333333333332E-3</v>
      </c>
      <c r="N719" s="150">
        <f ca="1"/>
        <v>-2.4300000000065936E-3</v>
      </c>
      <c r="O719" s="7" t="s">
        <v>4</v>
      </c>
      <c r="P719" s="149">
        <f t="shared" ca="1" si="21"/>
        <v>43458</v>
      </c>
      <c r="Q719" s="155">
        <f ca="1">_xll.meDateYearFraction(H719,I719,$Q$11,TRUE)</f>
        <v>0.25277777777777777</v>
      </c>
      <c r="R719" s="150">
        <f ca="1">IF(NOW(),_xll.meCurveForwardRatesFromYearFraction(P719,Q719,$Q$11,$Q$9,$Q$10))</f>
        <v>-3.7175485397107962E-3</v>
      </c>
      <c r="S719" s="134" t="s">
        <v>4</v>
      </c>
    </row>
    <row r="720" spans="1:19" x14ac:dyDescent="0.25">
      <c r="A720" s="128">
        <v>704</v>
      </c>
      <c r="B720" s="133"/>
      <c r="C720" s="149">
        <f ca="1">_xll.meDateFromTenor(C719,"1D","FOLLOWING",$D$11,"NORMAL")</f>
        <v>43461</v>
      </c>
      <c r="D720" s="20">
        <f ca="1">_xll.meDateFromTenor(C720,"1D","Following",$D$11,"Normal")</f>
        <v>43462</v>
      </c>
      <c r="E720" s="99">
        <f ca="1"/>
        <v>1.0509754749037408E-2</v>
      </c>
      <c r="F720" s="161">
        <f ca="1">_xll.meCurveForwardRates(C720,$D$9,$D$10)</f>
        <v>1.0565021179209655E-2</v>
      </c>
      <c r="G720" s="7" t="s">
        <v>4</v>
      </c>
      <c r="H720" s="149">
        <f t="shared" ca="1" si="20"/>
        <v>43461</v>
      </c>
      <c r="I720" s="20">
        <f ca="1">_xll.meDateFromTenor(H720,"3M","Following",$I$11,"Normal")</f>
        <v>43551</v>
      </c>
      <c r="J720" s="150">
        <f ca="1"/>
        <v>1.4259511348930319E-2</v>
      </c>
      <c r="K720" s="7" t="s">
        <v>4</v>
      </c>
      <c r="L720" s="149" t="e">
        <f ca="1">_xll.meDateFromTenor(L719,"1D","FOLLOWING",#REF!,"NORMAL")</f>
        <v>#VALUE!</v>
      </c>
      <c r="M720" s="155">
        <f ca="1">_xll.meDateYearFraction(C720,D720,$M$11)</f>
        <v>2.7777777777777779E-3</v>
      </c>
      <c r="N720" s="150">
        <f ca="1"/>
        <v>-2.4300000000065936E-3</v>
      </c>
      <c r="O720" s="7" t="s">
        <v>4</v>
      </c>
      <c r="P720" s="149">
        <f t="shared" ca="1" si="21"/>
        <v>43461</v>
      </c>
      <c r="Q720" s="155">
        <f ca="1">_xll.meDateYearFraction(H720,I720,$Q$11,TRUE)</f>
        <v>0.25</v>
      </c>
      <c r="R720" s="150">
        <f ca="1">IF(NOW(),_xll.meCurveForwardRatesFromYearFraction(P720,Q720,$Q$11,$Q$9,$Q$10))</f>
        <v>-3.7175485397107962E-3</v>
      </c>
      <c r="S720" s="134" t="s">
        <v>4</v>
      </c>
    </row>
    <row r="721" spans="1:19" x14ac:dyDescent="0.25">
      <c r="A721" s="128">
        <v>705</v>
      </c>
      <c r="B721" s="133"/>
      <c r="C721" s="149">
        <f ca="1">_xll.meDateFromTenor(C720,"1D","FOLLOWING",$D$11,"NORMAL")</f>
        <v>43462</v>
      </c>
      <c r="D721" s="20">
        <f ca="1">_xll.meDateFromTenor(C721,"1D","Following",$D$11,"Normal")</f>
        <v>43465</v>
      </c>
      <c r="E721" s="99">
        <f ca="1"/>
        <v>1.0517830281706646E-2</v>
      </c>
      <c r="F721" s="161">
        <f ca="1">_xll.meCurveForwardRates(C721,$D$9,$D$10)</f>
        <v>1.0568894624024994E-2</v>
      </c>
      <c r="G721" s="7" t="s">
        <v>4</v>
      </c>
      <c r="H721" s="149">
        <f t="shared" ref="H721:H784" ca="1" si="22">$C721</f>
        <v>43462</v>
      </c>
      <c r="I721" s="20">
        <f ca="1">_xll.meDateFromTenor(H721,"3M","Following",$I$11,"Normal")</f>
        <v>43552</v>
      </c>
      <c r="J721" s="150">
        <f ca="1"/>
        <v>1.4260604021300553E-2</v>
      </c>
      <c r="K721" s="7" t="s">
        <v>4</v>
      </c>
      <c r="L721" s="149" t="e">
        <f ca="1">_xll.meDateFromTenor(L720,"1D","FOLLOWING",#REF!,"NORMAL")</f>
        <v>#VALUE!</v>
      </c>
      <c r="M721" s="155">
        <f ca="1">_xll.meDateYearFraction(C721,D721,$M$11)</f>
        <v>8.3333333333333332E-3</v>
      </c>
      <c r="N721" s="150">
        <f ca="1"/>
        <v>-2.4300000000065936E-3</v>
      </c>
      <c r="O721" s="7" t="s">
        <v>4</v>
      </c>
      <c r="P721" s="149">
        <f t="shared" ref="P721:P784" ca="1" si="23">$C721</f>
        <v>43462</v>
      </c>
      <c r="Q721" s="155">
        <f ca="1">_xll.meDateYearFraction(H721,I721,$Q$11,TRUE)</f>
        <v>0.25</v>
      </c>
      <c r="R721" s="150">
        <f ca="1">IF(NOW(),_xll.meCurveForwardRatesFromYearFraction(P721,Q721,$Q$11,$Q$9,$Q$10))</f>
        <v>-2.3077865919004879E-3</v>
      </c>
      <c r="S721" s="134" t="s">
        <v>4</v>
      </c>
    </row>
    <row r="722" spans="1:19" x14ac:dyDescent="0.25">
      <c r="A722" s="128">
        <v>706</v>
      </c>
      <c r="B722" s="133"/>
      <c r="C722" s="149">
        <f ca="1">_xll.meDateFromTenor(C721,"1D","FOLLOWING",$D$11,"NORMAL")</f>
        <v>43465</v>
      </c>
      <c r="D722" s="20">
        <f ca="1">_xll.meDateFromTenor(C722,"1D","Following",$D$11,"Normal")</f>
        <v>43467</v>
      </c>
      <c r="E722" s="99">
        <f ca="1"/>
        <v>1.052777035896128E-2</v>
      </c>
      <c r="F722" s="161">
        <f ca="1">_xll.meCurveForwardRates(C722,$D$9,$D$10)</f>
        <v>1.0580979587147654E-2</v>
      </c>
      <c r="G722" s="7" t="s">
        <v>4</v>
      </c>
      <c r="H722" s="149">
        <f t="shared" ca="1" si="22"/>
        <v>43465</v>
      </c>
      <c r="I722" s="20">
        <f ca="1">_xll.meDateFromTenor(H722,"3M","Following",$I$11,"Normal")</f>
        <v>43556</v>
      </c>
      <c r="J722" s="150">
        <f ca="1"/>
        <v>1.4267353627397165E-2</v>
      </c>
      <c r="K722" s="7" t="s">
        <v>4</v>
      </c>
      <c r="L722" s="149" t="e">
        <f ca="1">_xll.meDateFromTenor(L721,"1D","FOLLOWING",#REF!,"NORMAL")</f>
        <v>#VALUE!</v>
      </c>
      <c r="M722" s="155">
        <f ca="1">_xll.meDateYearFraction(C722,D722,$M$11)</f>
        <v>5.5555555555555558E-3</v>
      </c>
      <c r="N722" s="150">
        <f ca="1"/>
        <v>-2.4300000000065936E-3</v>
      </c>
      <c r="O722" s="7" t="s">
        <v>4</v>
      </c>
      <c r="P722" s="149">
        <f t="shared" ca="1" si="23"/>
        <v>43465</v>
      </c>
      <c r="Q722" s="155">
        <f ca="1">_xll.meDateYearFraction(H722,I722,$Q$11,TRUE)</f>
        <v>0.25277777777777777</v>
      </c>
      <c r="R722" s="150">
        <f ca="1">IF(NOW(),_xll.meCurveForwardRatesFromYearFraction(P722,Q722,$Q$11,$Q$9,$Q$10))</f>
        <v>-3.7175485397107962E-3</v>
      </c>
      <c r="S722" s="134" t="s">
        <v>4</v>
      </c>
    </row>
    <row r="723" spans="1:19" x14ac:dyDescent="0.25">
      <c r="A723" s="128">
        <v>707</v>
      </c>
      <c r="B723" s="133"/>
      <c r="C723" s="149">
        <f ca="1">_xll.meDateFromTenor(C722,"1D","FOLLOWING",$D$11,"NORMAL")</f>
        <v>43467</v>
      </c>
      <c r="D723" s="20">
        <f ca="1">_xll.meDateFromTenor(C723,"1D","Following",$D$11,"Normal")</f>
        <v>43468</v>
      </c>
      <c r="E723" s="99">
        <f ca="1"/>
        <v>1.0533902388685273E-2</v>
      </c>
      <c r="F723" s="161">
        <f ca="1">_xll.meCurveForwardRates(C723,$D$9,$D$10)</f>
        <v>1.0589423520595442E-2</v>
      </c>
      <c r="G723" s="7" t="s">
        <v>4</v>
      </c>
      <c r="H723" s="149">
        <f t="shared" ca="1" si="22"/>
        <v>43467</v>
      </c>
      <c r="I723" s="20">
        <f ca="1">_xll.meDateFromTenor(H723,"3M","Following",$I$11,"Normal")</f>
        <v>43557</v>
      </c>
      <c r="J723" s="150">
        <f ca="1"/>
        <v>1.4274386461801715E-2</v>
      </c>
      <c r="K723" s="7" t="s">
        <v>4</v>
      </c>
      <c r="L723" s="149" t="e">
        <f ca="1">_xll.meDateFromTenor(L722,"1D","FOLLOWING",#REF!,"NORMAL")</f>
        <v>#VALUE!</v>
      </c>
      <c r="M723" s="155">
        <f ca="1">_xll.meDateYearFraction(C723,D723,$M$11)</f>
        <v>2.7777777777777779E-3</v>
      </c>
      <c r="N723" s="150">
        <f ca="1"/>
        <v>-2.4300000000065936E-3</v>
      </c>
      <c r="O723" s="7" t="s">
        <v>4</v>
      </c>
      <c r="P723" s="149">
        <f t="shared" ca="1" si="23"/>
        <v>43467</v>
      </c>
      <c r="Q723" s="155">
        <f ca="1">_xll.meDateYearFraction(H723,I723,$Q$11,TRUE)</f>
        <v>0.25</v>
      </c>
      <c r="R723" s="150">
        <f ca="1">IF(NOW(),_xll.meCurveForwardRatesFromYearFraction(P723,Q723,$Q$11,$Q$9,$Q$10))</f>
        <v>-2.2758547560112787E-3</v>
      </c>
      <c r="S723" s="134" t="s">
        <v>4</v>
      </c>
    </row>
    <row r="724" spans="1:19" x14ac:dyDescent="0.25">
      <c r="A724" s="128">
        <v>708</v>
      </c>
      <c r="B724" s="133"/>
      <c r="C724" s="149">
        <f ca="1">_xll.meDateFromTenor(C723,"1D","FOLLOWING",$D$11,"NORMAL")</f>
        <v>43468</v>
      </c>
      <c r="D724" s="20">
        <f ca="1">_xll.meDateFromTenor(C724,"1D","Following",$D$11,"Normal")</f>
        <v>43469</v>
      </c>
      <c r="E724" s="99">
        <f ca="1"/>
        <v>1.0538195232285868E-2</v>
      </c>
      <c r="F724" s="161">
        <f ca="1">_xll.meCurveForwardRates(C724,$D$9,$D$10)</f>
        <v>1.0593761705281812E-2</v>
      </c>
      <c r="G724" s="7" t="s">
        <v>4</v>
      </c>
      <c r="H724" s="149">
        <f t="shared" ca="1" si="22"/>
        <v>43468</v>
      </c>
      <c r="I724" s="20">
        <f ca="1">_xll.meDateFromTenor(H724,"3M","Following",$I$11,"Normal")</f>
        <v>43558</v>
      </c>
      <c r="J724" s="150">
        <f ca="1"/>
        <v>1.4278554839961594E-2</v>
      </c>
      <c r="K724" s="7" t="s">
        <v>4</v>
      </c>
      <c r="L724" s="149" t="e">
        <f ca="1">_xll.meDateFromTenor(L723,"1D","FOLLOWING",#REF!,"NORMAL")</f>
        <v>#VALUE!</v>
      </c>
      <c r="M724" s="155">
        <f ca="1">_xll.meDateYearFraction(C724,D724,$M$11)</f>
        <v>2.7777777777777779E-3</v>
      </c>
      <c r="N724" s="150">
        <f ca="1"/>
        <v>-2.4300000000065936E-3</v>
      </c>
      <c r="O724" s="7" t="s">
        <v>4</v>
      </c>
      <c r="P724" s="149">
        <f t="shared" ca="1" si="23"/>
        <v>43468</v>
      </c>
      <c r="Q724" s="155">
        <f ca="1">_xll.meDateYearFraction(H724,I724,$Q$11,TRUE)</f>
        <v>0.25</v>
      </c>
      <c r="R724" s="150">
        <f ca="1">IF(NOW(),_xll.meCurveForwardRatesFromYearFraction(P724,Q724,$Q$11,$Q$9,$Q$10))</f>
        <v>-2.2694356805973716E-3</v>
      </c>
      <c r="S724" s="134" t="s">
        <v>4</v>
      </c>
    </row>
    <row r="725" spans="1:19" x14ac:dyDescent="0.25">
      <c r="A725" s="128">
        <v>709</v>
      </c>
      <c r="B725" s="133"/>
      <c r="C725" s="149">
        <f ca="1">_xll.meDateFromTenor(C724,"1D","FOLLOWING",$D$11,"NORMAL")</f>
        <v>43469</v>
      </c>
      <c r="D725" s="20">
        <f ca="1">_xll.meDateFromTenor(C725,"1D","Following",$D$11,"Normal")</f>
        <v>43472</v>
      </c>
      <c r="E725" s="99">
        <f ca="1"/>
        <v>1.0547345481910535E-2</v>
      </c>
      <c r="F725" s="161">
        <f ca="1">_xll.meCurveForwardRates(C725,$D$9,$D$10)</f>
        <v>1.0598177381912821E-2</v>
      </c>
      <c r="G725" s="7" t="s">
        <v>4</v>
      </c>
      <c r="H725" s="149">
        <f t="shared" ca="1" si="22"/>
        <v>43469</v>
      </c>
      <c r="I725" s="20">
        <f ca="1">_xll.meDateFromTenor(H725,"3M","Following",$I$11,"Normal")</f>
        <v>43559</v>
      </c>
      <c r="J725" s="150">
        <f ca="1"/>
        <v>1.4283109872917905E-2</v>
      </c>
      <c r="K725" s="7" t="s">
        <v>4</v>
      </c>
      <c r="L725" s="149" t="e">
        <f ca="1">_xll.meDateFromTenor(L724,"1D","FOLLOWING",#REF!,"NORMAL")</f>
        <v>#VALUE!</v>
      </c>
      <c r="M725" s="155">
        <f ca="1">_xll.meDateYearFraction(C725,D725,$M$11)</f>
        <v>8.3333333333333332E-3</v>
      </c>
      <c r="N725" s="150">
        <f ca="1"/>
        <v>-2.4300000000065936E-3</v>
      </c>
      <c r="O725" s="7" t="s">
        <v>4</v>
      </c>
      <c r="P725" s="149">
        <f t="shared" ca="1" si="23"/>
        <v>43469</v>
      </c>
      <c r="Q725" s="155">
        <f ca="1">_xll.meDateYearFraction(H725,I725,$Q$11,TRUE)</f>
        <v>0.25</v>
      </c>
      <c r="R725" s="150">
        <f ca="1">IF(NOW(),_xll.meCurveForwardRatesFromYearFraction(P725,Q725,$Q$11,$Q$9,$Q$10))</f>
        <v>-2.263006723316635E-3</v>
      </c>
      <c r="S725" s="134" t="s">
        <v>4</v>
      </c>
    </row>
    <row r="726" spans="1:19" x14ac:dyDescent="0.25">
      <c r="A726" s="128">
        <v>710</v>
      </c>
      <c r="B726" s="133"/>
      <c r="C726" s="149">
        <f ca="1">_xll.meDateFromTenor(C725,"1D","FOLLOWING",$D$11,"NORMAL")</f>
        <v>43472</v>
      </c>
      <c r="D726" s="20">
        <f ca="1">_xll.meDateFromTenor(C726,"1D","Following",$D$11,"Normal")</f>
        <v>43473</v>
      </c>
      <c r="E726" s="99">
        <f ca="1"/>
        <v>1.0556133331052247E-2</v>
      </c>
      <c r="F726" s="161">
        <f ca="1">_xll.meCurveForwardRates(C726,$D$9,$D$10)</f>
        <v>1.061188946747893E-2</v>
      </c>
      <c r="G726" s="7" t="s">
        <v>4</v>
      </c>
      <c r="H726" s="149">
        <f t="shared" ca="1" si="22"/>
        <v>43472</v>
      </c>
      <c r="I726" s="20">
        <f ca="1">_xll.meDateFromTenor(H726,"3M","Following",$I$11,"Normal")</f>
        <v>43563</v>
      </c>
      <c r="J726" s="150">
        <f ca="1"/>
        <v>1.4298735006750645E-2</v>
      </c>
      <c r="K726" s="7" t="s">
        <v>4</v>
      </c>
      <c r="L726" s="149" t="e">
        <f ca="1">_xll.meDateFromTenor(L725,"1D","FOLLOWING",#REF!,"NORMAL")</f>
        <v>#VALUE!</v>
      </c>
      <c r="M726" s="155">
        <f ca="1">_xll.meDateYearFraction(C726,D726,$M$11)</f>
        <v>2.7777777777777779E-3</v>
      </c>
      <c r="N726" s="150">
        <f ca="1"/>
        <v>-2.4300000000065936E-3</v>
      </c>
      <c r="O726" s="7" t="s">
        <v>4</v>
      </c>
      <c r="P726" s="149">
        <f t="shared" ca="1" si="23"/>
        <v>43472</v>
      </c>
      <c r="Q726" s="155">
        <f ca="1">_xll.meDateYearFraction(H726,I726,$Q$11,TRUE)</f>
        <v>0.25277777777777777</v>
      </c>
      <c r="R726" s="150">
        <f ca="1">IF(NOW(),_xll.meCurveForwardRatesFromYearFraction(P726,Q726,$Q$11,$Q$9,$Q$10))</f>
        <v>-3.7175485397107962E-3</v>
      </c>
      <c r="S726" s="134" t="s">
        <v>4</v>
      </c>
    </row>
    <row r="727" spans="1:19" x14ac:dyDescent="0.25">
      <c r="A727" s="128">
        <v>711</v>
      </c>
      <c r="B727" s="133"/>
      <c r="C727" s="149">
        <f ca="1">_xll.meDateFromTenor(C726,"1D","FOLLOWING",$D$11,"NORMAL")</f>
        <v>43473</v>
      </c>
      <c r="D727" s="20">
        <f ca="1">_xll.meDateFromTenor(C727,"1D","Following",$D$11,"Normal")</f>
        <v>43474</v>
      </c>
      <c r="E727" s="99">
        <f ca="1"/>
        <v>1.056080958267817E-2</v>
      </c>
      <c r="F727" s="161">
        <f ca="1">_xll.meCurveForwardRates(C727,$D$9,$D$10)</f>
        <v>1.061661521541768E-2</v>
      </c>
      <c r="G727" s="7" t="s">
        <v>4</v>
      </c>
      <c r="H727" s="149">
        <f t="shared" ca="1" si="22"/>
        <v>43473</v>
      </c>
      <c r="I727" s="20">
        <f ca="1">_xll.meDateFromTenor(H727,"3M","Following",$I$11,"Normal")</f>
        <v>43563</v>
      </c>
      <c r="J727" s="150">
        <f ca="1"/>
        <v>1.4304476765077895E-2</v>
      </c>
      <c r="K727" s="7" t="s">
        <v>4</v>
      </c>
      <c r="L727" s="149" t="e">
        <f ca="1">_xll.meDateFromTenor(L726,"1D","FOLLOWING",#REF!,"NORMAL")</f>
        <v>#VALUE!</v>
      </c>
      <c r="M727" s="155">
        <f ca="1">_xll.meDateYearFraction(C727,D727,$M$11)</f>
        <v>2.7777777777777779E-3</v>
      </c>
      <c r="N727" s="150">
        <f ca="1"/>
        <v>-2.4300000000065936E-3</v>
      </c>
      <c r="O727" s="7" t="s">
        <v>4</v>
      </c>
      <c r="P727" s="149">
        <f t="shared" ca="1" si="23"/>
        <v>43473</v>
      </c>
      <c r="Q727" s="155">
        <f ca="1">_xll.meDateYearFraction(H727,I727,$Q$11,TRUE)</f>
        <v>0.25</v>
      </c>
      <c r="R727" s="150">
        <f ca="1">IF(NOW(),_xll.meCurveForwardRatesFromYearFraction(P727,Q727,$Q$11,$Q$9,$Q$10))</f>
        <v>-2.2372008259127513E-3</v>
      </c>
      <c r="S727" s="134" t="s">
        <v>4</v>
      </c>
    </row>
    <row r="728" spans="1:19" x14ac:dyDescent="0.25">
      <c r="A728" s="128">
        <v>712</v>
      </c>
      <c r="B728" s="133"/>
      <c r="C728" s="149">
        <f ca="1">_xll.meDateFromTenor(C727,"1D","FOLLOWING",$D$11,"NORMAL")</f>
        <v>43474</v>
      </c>
      <c r="D728" s="20">
        <f ca="1">_xll.meDateFromTenor(C728,"1D","Following",$D$11,"Normal")</f>
        <v>43475</v>
      </c>
      <c r="E728" s="99">
        <f ca="1"/>
        <v>1.0565562543503087E-2</v>
      </c>
      <c r="F728" s="161">
        <f ca="1">_xll.meCurveForwardRates(C728,$D$9,$D$10)</f>
        <v>1.0621418507074765E-2</v>
      </c>
      <c r="G728" s="7" t="s">
        <v>4</v>
      </c>
      <c r="H728" s="149">
        <f t="shared" ca="1" si="22"/>
        <v>43474</v>
      </c>
      <c r="I728" s="20">
        <f ca="1">_xll.meDateFromTenor(H728,"3M","Following",$I$11,"Normal")</f>
        <v>43564</v>
      </c>
      <c r="J728" s="150">
        <f ca="1"/>
        <v>1.4310425231294185E-2</v>
      </c>
      <c r="K728" s="7" t="s">
        <v>4</v>
      </c>
      <c r="L728" s="149" t="e">
        <f ca="1">_xll.meDateFromTenor(L727,"1D","FOLLOWING",#REF!,"NORMAL")</f>
        <v>#VALUE!</v>
      </c>
      <c r="M728" s="155">
        <f ca="1">_xll.meDateYearFraction(C728,D728,$M$11)</f>
        <v>2.7777777777777779E-3</v>
      </c>
      <c r="N728" s="150">
        <f ca="1"/>
        <v>-2.4300000000065936E-3</v>
      </c>
      <c r="O728" s="7" t="s">
        <v>4</v>
      </c>
      <c r="P728" s="149">
        <f t="shared" ca="1" si="23"/>
        <v>43474</v>
      </c>
      <c r="Q728" s="155">
        <f ca="1">_xll.meDateYearFraction(H728,I728,$Q$11,TRUE)</f>
        <v>0.25</v>
      </c>
      <c r="R728" s="150">
        <f ca="1">IF(NOW(),_xll.meCurveForwardRatesFromYearFraction(P728,Q728,$Q$11,$Q$9,$Q$10))</f>
        <v>-3.7175485397107962E-3</v>
      </c>
      <c r="S728" s="134" t="s">
        <v>4</v>
      </c>
    </row>
    <row r="729" spans="1:19" x14ac:dyDescent="0.25">
      <c r="A729" s="128">
        <v>713</v>
      </c>
      <c r="B729" s="133"/>
      <c r="C729" s="149">
        <f ca="1">_xll.meDateFromTenor(C728,"1D","FOLLOWING",$D$11,"NORMAL")</f>
        <v>43475</v>
      </c>
      <c r="D729" s="20">
        <f ca="1">_xll.meDateFromTenor(C729,"1D","Following",$D$11,"Normal")</f>
        <v>43476</v>
      </c>
      <c r="E729" s="99">
        <f ca="1"/>
        <v>1.0570392222319962E-2</v>
      </c>
      <c r="F729" s="161">
        <f ca="1">_xll.meCurveForwardRates(C729,$D$9,$D$10)</f>
        <v>1.0626299352438418E-2</v>
      </c>
      <c r="G729" s="7" t="s">
        <v>4</v>
      </c>
      <c r="H729" s="149">
        <f t="shared" ca="1" si="22"/>
        <v>43475</v>
      </c>
      <c r="I729" s="20">
        <f ca="1">_xll.meDateFromTenor(H729,"3M","Following",$I$11,"Normal")</f>
        <v>43565</v>
      </c>
      <c r="J729" s="150">
        <f ca="1"/>
        <v>1.4316544416018031E-2</v>
      </c>
      <c r="K729" s="7" t="s">
        <v>4</v>
      </c>
      <c r="L729" s="149" t="e">
        <f ca="1">_xll.meDateFromTenor(L728,"1D","FOLLOWING",#REF!,"NORMAL")</f>
        <v>#VALUE!</v>
      </c>
      <c r="M729" s="155">
        <f ca="1">_xll.meDateYearFraction(C729,D729,$M$11)</f>
        <v>2.7777777777777779E-3</v>
      </c>
      <c r="N729" s="150">
        <f ca="1"/>
        <v>-2.4300000000065936E-3</v>
      </c>
      <c r="O729" s="7" t="s">
        <v>4</v>
      </c>
      <c r="P729" s="149">
        <f t="shared" ca="1" si="23"/>
        <v>43475</v>
      </c>
      <c r="Q729" s="155">
        <f ca="1">_xll.meDateYearFraction(H729,I729,$Q$11,TRUE)</f>
        <v>0.25</v>
      </c>
      <c r="R729" s="150">
        <f ca="1">IF(NOW(),_xll.meCurveForwardRatesFromYearFraction(P729,Q729,$Q$11,$Q$9,$Q$10))</f>
        <v>-2.224249961513399E-3</v>
      </c>
      <c r="S729" s="134" t="s">
        <v>4</v>
      </c>
    </row>
    <row r="730" spans="1:19" x14ac:dyDescent="0.25">
      <c r="A730" s="128">
        <v>714</v>
      </c>
      <c r="B730" s="133"/>
      <c r="C730" s="149">
        <f ca="1">_xll.meDateFromTenor(C729,"1D","FOLLOWING",$D$11,"NORMAL")</f>
        <v>43476</v>
      </c>
      <c r="D730" s="20">
        <f ca="1">_xll.meDateFromTenor(C730,"1D","Following",$D$11,"Normal")</f>
        <v>43479</v>
      </c>
      <c r="E730" s="99">
        <f ca="1"/>
        <v>1.0580618309096764E-2</v>
      </c>
      <c r="F730" s="161">
        <f ca="1">_xll.meCurveForwardRates(C730,$D$9,$D$10)</f>
        <v>1.0631257762321322E-2</v>
      </c>
      <c r="G730" s="7" t="s">
        <v>4</v>
      </c>
      <c r="H730" s="149">
        <f t="shared" ca="1" si="22"/>
        <v>43476</v>
      </c>
      <c r="I730" s="20">
        <f ca="1">_xll.meDateFromTenor(H730,"3M","Following",$I$11,"Normal")</f>
        <v>43566</v>
      </c>
      <c r="J730" s="150">
        <f ca="1"/>
        <v>1.4322798329867959E-2</v>
      </c>
      <c r="K730" s="7" t="s">
        <v>4</v>
      </c>
      <c r="L730" s="149" t="e">
        <f ca="1">_xll.meDateFromTenor(L729,"1D","FOLLOWING",#REF!,"NORMAL")</f>
        <v>#VALUE!</v>
      </c>
      <c r="M730" s="155">
        <f ca="1">_xll.meDateYearFraction(C730,D730,$M$11)</f>
        <v>8.3333333333333332E-3</v>
      </c>
      <c r="N730" s="150">
        <f ca="1"/>
        <v>-2.4300000000065936E-3</v>
      </c>
      <c r="O730" s="7" t="s">
        <v>4</v>
      </c>
      <c r="P730" s="149">
        <f t="shared" ca="1" si="23"/>
        <v>43476</v>
      </c>
      <c r="Q730" s="155">
        <f ca="1">_xll.meDateYearFraction(H730,I730,$Q$11,TRUE)</f>
        <v>0.25</v>
      </c>
      <c r="R730" s="150">
        <f ca="1">IF(NOW(),_xll.meCurveForwardRatesFromYearFraction(P730,Q730,$Q$11,$Q$9,$Q$10))</f>
        <v>-3.7175485397107962E-3</v>
      </c>
      <c r="S730" s="134" t="s">
        <v>4</v>
      </c>
    </row>
    <row r="731" spans="1:19" x14ac:dyDescent="0.25">
      <c r="A731" s="128">
        <v>715</v>
      </c>
      <c r="B731" s="133"/>
      <c r="C731" s="149">
        <f ca="1">_xll.meDateFromTenor(C730,"1D","FOLLOWING",$D$11,"NORMAL")</f>
        <v>43479</v>
      </c>
      <c r="D731" s="20">
        <f ca="1">_xll.meDateFromTenor(C731,"1D","Following",$D$11,"Normal")</f>
        <v>43480</v>
      </c>
      <c r="E731" s="99">
        <f ca="1"/>
        <v>1.0590478304157751E-2</v>
      </c>
      <c r="F731" s="161">
        <f ca="1">_xll.meCurveForwardRates(C731,$D$9,$D$10)</f>
        <v>1.0646598482265457E-2</v>
      </c>
      <c r="G731" s="7" t="s">
        <v>4</v>
      </c>
      <c r="H731" s="149">
        <f t="shared" ca="1" si="22"/>
        <v>43479</v>
      </c>
      <c r="I731" s="20">
        <f ca="1">_xll.meDateFromTenor(H731,"3M","Following",$I$11,"Normal")</f>
        <v>43570</v>
      </c>
      <c r="J731" s="150">
        <f ca="1"/>
        <v>1.434200865348924E-2</v>
      </c>
      <c r="K731" s="7" t="s">
        <v>4</v>
      </c>
      <c r="L731" s="149" t="e">
        <f ca="1">_xll.meDateFromTenor(L730,"1D","FOLLOWING",#REF!,"NORMAL")</f>
        <v>#VALUE!</v>
      </c>
      <c r="M731" s="155">
        <f ca="1">_xll.meDateYearFraction(C731,D731,$M$11)</f>
        <v>2.7777777777777779E-3</v>
      </c>
      <c r="N731" s="150">
        <f ca="1"/>
        <v>-2.4300000000065936E-3</v>
      </c>
      <c r="O731" s="7" t="s">
        <v>4</v>
      </c>
      <c r="P731" s="149">
        <f t="shared" ca="1" si="23"/>
        <v>43479</v>
      </c>
      <c r="Q731" s="155">
        <f ca="1">_xll.meDateYearFraction(H731,I731,$Q$11,TRUE)</f>
        <v>0.25277777777777777</v>
      </c>
      <c r="R731" s="150">
        <f ca="1">IF(NOW(),_xll.meCurveForwardRatesFromYearFraction(P731,Q731,$Q$11,$Q$9,$Q$10))</f>
        <v>-3.7175485397107962E-3</v>
      </c>
      <c r="S731" s="134" t="s">
        <v>4</v>
      </c>
    </row>
    <row r="732" spans="1:19" x14ac:dyDescent="0.25">
      <c r="A732" s="128">
        <v>716</v>
      </c>
      <c r="B732" s="133"/>
      <c r="C732" s="149">
        <f ca="1">_xll.meDateFromTenor(C731,"1D","FOLLOWING",$D$11,"NORMAL")</f>
        <v>43480</v>
      </c>
      <c r="D732" s="20">
        <f ca="1">_xll.meDateFromTenor(C732,"1D","Following",$D$11,"Normal")</f>
        <v>43481</v>
      </c>
      <c r="E732" s="99">
        <f ca="1"/>
        <v>1.0595691712183036E-2</v>
      </c>
      <c r="F732" s="161">
        <f ca="1">_xll.meCurveForwardRates(C732,$D$9,$D$10)</f>
        <v>1.0651867254052094E-2</v>
      </c>
      <c r="G732" s="7" t="s">
        <v>4</v>
      </c>
      <c r="H732" s="149">
        <f t="shared" ca="1" si="22"/>
        <v>43480</v>
      </c>
      <c r="I732" s="20">
        <f ca="1">_xll.meDateFromTenor(H732,"3M","Following",$I$11,"Normal")</f>
        <v>43570</v>
      </c>
      <c r="J732" s="150">
        <f ca="1"/>
        <v>1.4348453385632344E-2</v>
      </c>
      <c r="K732" s="7" t="s">
        <v>4</v>
      </c>
      <c r="L732" s="149" t="e">
        <f ca="1">_xll.meDateFromTenor(L731,"1D","FOLLOWING",#REF!,"NORMAL")</f>
        <v>#VALUE!</v>
      </c>
      <c r="M732" s="155">
        <f ca="1">_xll.meDateYearFraction(C732,D732,$M$11)</f>
        <v>2.7777777777777779E-3</v>
      </c>
      <c r="N732" s="150">
        <f ca="1"/>
        <v>-2.4300000000065936E-3</v>
      </c>
      <c r="O732" s="7" t="s">
        <v>4</v>
      </c>
      <c r="P732" s="149">
        <f t="shared" ca="1" si="23"/>
        <v>43480</v>
      </c>
      <c r="Q732" s="155">
        <f ca="1">_xll.meDateYearFraction(H732,I732,$Q$11,TRUE)</f>
        <v>0.25</v>
      </c>
      <c r="R732" s="150">
        <f ca="1">IF(NOW(),_xll.meCurveForwardRatesFromYearFraction(P732,Q732,$Q$11,$Q$9,$Q$10))</f>
        <v>-3.7175485397107962E-3</v>
      </c>
      <c r="S732" s="134" t="s">
        <v>4</v>
      </c>
    </row>
    <row r="733" spans="1:19" x14ac:dyDescent="0.25">
      <c r="A733" s="128">
        <v>717</v>
      </c>
      <c r="B733" s="133"/>
      <c r="C733" s="149">
        <f ca="1">_xll.meDateFromTenor(C732,"1D","FOLLOWING",$D$11,"NORMAL")</f>
        <v>43481</v>
      </c>
      <c r="D733" s="20">
        <f ca="1">_xll.meDateFromTenor(C733,"1D","Following",$D$11,"Normal")</f>
        <v>43482</v>
      </c>
      <c r="E733" s="99">
        <f ca="1"/>
        <v>1.0600981893675903E-2</v>
      </c>
      <c r="F733" s="161">
        <f ca="1">_xll.meCurveForwardRates(C733,$D$9,$D$10)</f>
        <v>1.065721364260086E-2</v>
      </c>
      <c r="G733" s="7" t="s">
        <v>4</v>
      </c>
      <c r="H733" s="149">
        <f t="shared" ca="1" si="22"/>
        <v>43481</v>
      </c>
      <c r="I733" s="20">
        <f ca="1">_xll.meDateFromTenor(H733,"3M","Following",$I$11,"Normal")</f>
        <v>43571</v>
      </c>
      <c r="J733" s="150">
        <f ca="1"/>
        <v>1.4354898117775447E-2</v>
      </c>
      <c r="K733" s="7" t="s">
        <v>4</v>
      </c>
      <c r="L733" s="149" t="e">
        <f ca="1">_xll.meDateFromTenor(L732,"1D","FOLLOWING",#REF!,"NORMAL")</f>
        <v>#VALUE!</v>
      </c>
      <c r="M733" s="155">
        <f ca="1">_xll.meDateYearFraction(C733,D733,$M$11)</f>
        <v>2.7777777777777779E-3</v>
      </c>
      <c r="N733" s="150">
        <f ca="1"/>
        <v>-2.4300000000065936E-3</v>
      </c>
      <c r="O733" s="7" t="s">
        <v>4</v>
      </c>
      <c r="P733" s="149">
        <f t="shared" ca="1" si="23"/>
        <v>43481</v>
      </c>
      <c r="Q733" s="155">
        <f ca="1">_xll.meDateYearFraction(H733,I733,$Q$11,TRUE)</f>
        <v>0.25</v>
      </c>
      <c r="R733" s="150">
        <f ca="1">IF(NOW(),_xll.meCurveForwardRatesFromYearFraction(P733,Q733,$Q$11,$Q$9,$Q$10))</f>
        <v>-2.1852477073850225E-3</v>
      </c>
      <c r="S733" s="134" t="s">
        <v>4</v>
      </c>
    </row>
    <row r="734" spans="1:19" x14ac:dyDescent="0.25">
      <c r="A734" s="128">
        <v>718</v>
      </c>
      <c r="B734" s="133"/>
      <c r="C734" s="149">
        <f ca="1">_xll.meDateFromTenor(C733,"1D","FOLLOWING",$D$11,"NORMAL")</f>
        <v>43482</v>
      </c>
      <c r="D734" s="20">
        <f ca="1">_xll.meDateFromTenor(C734,"1D","Following",$D$11,"Normal")</f>
        <v>43483</v>
      </c>
      <c r="E734" s="99">
        <f ca="1"/>
        <v>1.0606348858068809E-2</v>
      </c>
      <c r="F734" s="161">
        <f ca="1">_xll.meCurveForwardRates(C734,$D$9,$D$10)</f>
        <v>1.0662637658672702E-2</v>
      </c>
      <c r="G734" s="7" t="s">
        <v>4</v>
      </c>
      <c r="H734" s="149">
        <f t="shared" ca="1" si="22"/>
        <v>43482</v>
      </c>
      <c r="I734" s="20">
        <f ca="1">_xll.meDateFromTenor(H734,"3M","Following",$I$11,"Normal")</f>
        <v>43572</v>
      </c>
      <c r="J734" s="150">
        <f ca="1"/>
        <v>1.436134284991855E-2</v>
      </c>
      <c r="K734" s="7" t="s">
        <v>4</v>
      </c>
      <c r="L734" s="149" t="e">
        <f ca="1">_xll.meDateFromTenor(L733,"1D","FOLLOWING",#REF!,"NORMAL")</f>
        <v>#VALUE!</v>
      </c>
      <c r="M734" s="155">
        <f ca="1">_xll.meDateYearFraction(C734,D734,$M$11)</f>
        <v>2.7777777777777779E-3</v>
      </c>
      <c r="N734" s="150">
        <f ca="1"/>
        <v>-2.4300000000065936E-3</v>
      </c>
      <c r="O734" s="7" t="s">
        <v>4</v>
      </c>
      <c r="P734" s="149">
        <f t="shared" ca="1" si="23"/>
        <v>43482</v>
      </c>
      <c r="Q734" s="155">
        <f ca="1">_xll.meDateYearFraction(H734,I734,$Q$11,TRUE)</f>
        <v>0.25</v>
      </c>
      <c r="R734" s="150">
        <f ca="1">IF(NOW(),_xll.meCurveForwardRatesFromYearFraction(P734,Q734,$Q$11,$Q$9,$Q$10))</f>
        <v>-3.7175485397107962E-3</v>
      </c>
      <c r="S734" s="134" t="s">
        <v>4</v>
      </c>
    </row>
    <row r="735" spans="1:19" x14ac:dyDescent="0.25">
      <c r="A735" s="128">
        <v>719</v>
      </c>
      <c r="B735" s="133"/>
      <c r="C735" s="149">
        <f ca="1">_xll.meDateFromTenor(C734,"1D","FOLLOWING",$D$11,"NORMAL")</f>
        <v>43483</v>
      </c>
      <c r="D735" s="20">
        <f ca="1">_xll.meDateFromTenor(C735,"1D","Following",$D$11,"Normal")</f>
        <v>43487</v>
      </c>
      <c r="E735" s="99">
        <f ca="1"/>
        <v>1.0620620221000226E-2</v>
      </c>
      <c r="F735" s="161">
        <f ca="1">_xll.meCurveForwardRates(C735,$D$9,$D$10)</f>
        <v>1.0668139312562053E-2</v>
      </c>
      <c r="G735" s="7" t="s">
        <v>4</v>
      </c>
      <c r="H735" s="149">
        <f t="shared" ca="1" si="22"/>
        <v>43483</v>
      </c>
      <c r="I735" s="20">
        <f ca="1">_xll.meDateFromTenor(H735,"3M","Following",$I$11,"Normal")</f>
        <v>43573</v>
      </c>
      <c r="J735" s="150">
        <f ca="1"/>
        <v>1.4367787582061654E-2</v>
      </c>
      <c r="K735" s="7" t="s">
        <v>4</v>
      </c>
      <c r="L735" s="149" t="e">
        <f ca="1">_xll.meDateFromTenor(L734,"1D","FOLLOWING",#REF!,"NORMAL")</f>
        <v>#VALUE!</v>
      </c>
      <c r="M735" s="155">
        <f ca="1">_xll.meDateYearFraction(C735,D735,$M$11)</f>
        <v>1.1111111111111112E-2</v>
      </c>
      <c r="N735" s="150">
        <f ca="1"/>
        <v>-2.4300000000065936E-3</v>
      </c>
      <c r="O735" s="7" t="s">
        <v>4</v>
      </c>
      <c r="P735" s="149">
        <f t="shared" ca="1" si="23"/>
        <v>43483</v>
      </c>
      <c r="Q735" s="155">
        <f ca="1">_xll.meDateYearFraction(H735,I735,$Q$11,TRUE)</f>
        <v>0.25</v>
      </c>
      <c r="R735" s="150">
        <f ca="1">IF(NOW(),_xll.meCurveForwardRatesFromYearFraction(P735,Q735,$Q$11,$Q$9,$Q$10))</f>
        <v>-3.7175485397107962E-3</v>
      </c>
      <c r="S735" s="134" t="s">
        <v>4</v>
      </c>
    </row>
    <row r="736" spans="1:19" x14ac:dyDescent="0.25">
      <c r="A736" s="128">
        <v>720</v>
      </c>
      <c r="B736" s="133"/>
      <c r="C736" s="149">
        <f ca="1">_xll.meDateFromTenor(C735,"1D","FOLLOWING",$D$11,"NORMAL")</f>
        <v>43487</v>
      </c>
      <c r="D736" s="20">
        <f ca="1">_xll.meDateFromTenor(C736,"1D","Following",$D$11,"Normal")</f>
        <v>43488</v>
      </c>
      <c r="E736" s="99">
        <f ca="1"/>
        <v>1.0634335745196604E-2</v>
      </c>
      <c r="F736" s="161">
        <f ca="1">_xll.meCurveForwardRates(C736,$D$9,$D$10)</f>
        <v>1.0690922521207735E-2</v>
      </c>
      <c r="G736" s="7" t="s">
        <v>4</v>
      </c>
      <c r="H736" s="149">
        <f t="shared" ca="1" si="22"/>
        <v>43487</v>
      </c>
      <c r="I736" s="20">
        <f ca="1">_xll.meDateFromTenor(H736,"3M","Following",$I$11,"Normal")</f>
        <v>43578</v>
      </c>
      <c r="J736" s="150">
        <f ca="1"/>
        <v>1.4393566510634066E-2</v>
      </c>
      <c r="K736" s="7" t="s">
        <v>4</v>
      </c>
      <c r="L736" s="149" t="e">
        <f ca="1">_xll.meDateFromTenor(L735,"1D","FOLLOWING",#REF!,"NORMAL")</f>
        <v>#VALUE!</v>
      </c>
      <c r="M736" s="155">
        <f ca="1">_xll.meDateYearFraction(C736,D736,$M$11)</f>
        <v>2.7777777777777779E-3</v>
      </c>
      <c r="N736" s="150">
        <f ca="1"/>
        <v>-2.4300000000065936E-3</v>
      </c>
      <c r="O736" s="7" t="s">
        <v>4</v>
      </c>
      <c r="P736" s="149">
        <f t="shared" ca="1" si="23"/>
        <v>43487</v>
      </c>
      <c r="Q736" s="155">
        <f ca="1">_xll.meDateYearFraction(H736,I736,$Q$11,TRUE)</f>
        <v>0.25277777777777777</v>
      </c>
      <c r="R736" s="150">
        <f ca="1">IF(NOW(),_xll.meCurveForwardRatesFromYearFraction(P736,Q736,$Q$11,$Q$9,$Q$10))</f>
        <v>-2.1460944651149876E-3</v>
      </c>
      <c r="S736" s="134" t="s">
        <v>4</v>
      </c>
    </row>
    <row r="737" spans="1:19" x14ac:dyDescent="0.25">
      <c r="A737" s="128">
        <v>721</v>
      </c>
      <c r="B737" s="133"/>
      <c r="C737" s="149">
        <f ca="1">_xll.meDateFromTenor(C736,"1D","FOLLOWING",$D$11,"NORMAL")</f>
        <v>43488</v>
      </c>
      <c r="D737" s="20">
        <f ca="1">_xll.meDateFromTenor(C737,"1D","Following",$D$11,"Normal")</f>
        <v>43489</v>
      </c>
      <c r="E737" s="99">
        <f ca="1"/>
        <v>1.0640163600834678E-2</v>
      </c>
      <c r="F737" s="161">
        <f ca="1">_xll.meCurveForwardRates(C737,$D$9,$D$10)</f>
        <v>1.0696812525124555E-2</v>
      </c>
      <c r="G737" s="7" t="s">
        <v>4</v>
      </c>
      <c r="H737" s="149">
        <f t="shared" ca="1" si="22"/>
        <v>43488</v>
      </c>
      <c r="I737" s="20">
        <f ca="1">_xll.meDateFromTenor(H737,"3M","Following",$I$11,"Normal")</f>
        <v>43578</v>
      </c>
      <c r="J737" s="150">
        <f ca="1"/>
        <v>1.4400011242777169E-2</v>
      </c>
      <c r="K737" s="7" t="s">
        <v>4</v>
      </c>
      <c r="L737" s="149" t="e">
        <f ca="1">_xll.meDateFromTenor(L736,"1D","FOLLOWING",#REF!,"NORMAL")</f>
        <v>#VALUE!</v>
      </c>
      <c r="M737" s="155">
        <f ca="1">_xll.meDateYearFraction(C737,D737,$M$11)</f>
        <v>2.7777777777777779E-3</v>
      </c>
      <c r="N737" s="150">
        <f ca="1"/>
        <v>-2.4300000000065936E-3</v>
      </c>
      <c r="O737" s="7" t="s">
        <v>4</v>
      </c>
      <c r="P737" s="149">
        <f t="shared" ca="1" si="23"/>
        <v>43488</v>
      </c>
      <c r="Q737" s="155">
        <f ca="1">_xll.meDateYearFraction(H737,I737,$Q$11,TRUE)</f>
        <v>0.25</v>
      </c>
      <c r="R737" s="150">
        <f ca="1">IF(NOW(),_xll.meCurveForwardRatesFromYearFraction(P737,Q737,$Q$11,$Q$9,$Q$10))</f>
        <v>-2.1395608810444015E-3</v>
      </c>
      <c r="S737" s="134" t="s">
        <v>4</v>
      </c>
    </row>
    <row r="738" spans="1:19" x14ac:dyDescent="0.25">
      <c r="A738" s="128">
        <v>722</v>
      </c>
      <c r="B738" s="133"/>
      <c r="C738" s="149">
        <f ca="1">_xll.meDateFromTenor(C737,"1D","FOLLOWING",$D$11,"NORMAL")</f>
        <v>43489</v>
      </c>
      <c r="D738" s="20">
        <f ca="1">_xll.meDateFromTenor(C738,"1D","Following",$D$11,"Normal")</f>
        <v>43490</v>
      </c>
      <c r="E738" s="99">
        <f ca="1"/>
        <v>1.0646068304360806E-2</v>
      </c>
      <c r="F738" s="161">
        <f ca="1">_xll.meCurveForwardRates(C738,$D$9,$D$10)</f>
        <v>1.0702780231345521E-2</v>
      </c>
      <c r="G738" s="7" t="s">
        <v>4</v>
      </c>
      <c r="H738" s="149">
        <f t="shared" ca="1" si="22"/>
        <v>43489</v>
      </c>
      <c r="I738" s="20">
        <f ca="1">_xll.meDateFromTenor(H738,"3M","Following",$I$11,"Normal")</f>
        <v>43579</v>
      </c>
      <c r="J738" s="150">
        <f ca="1"/>
        <v>1.4406455974920273E-2</v>
      </c>
      <c r="K738" s="7" t="s">
        <v>4</v>
      </c>
      <c r="L738" s="149" t="e">
        <f ca="1">_xll.meDateFromTenor(L737,"1D","FOLLOWING",#REF!,"NORMAL")</f>
        <v>#VALUE!</v>
      </c>
      <c r="M738" s="155">
        <f ca="1">_xll.meDateYearFraction(C738,D738,$M$11)</f>
        <v>2.7777777777777779E-3</v>
      </c>
      <c r="N738" s="150">
        <f ca="1"/>
        <v>-2.4300000000065936E-3</v>
      </c>
      <c r="O738" s="7" t="s">
        <v>4</v>
      </c>
      <c r="P738" s="149">
        <f t="shared" ca="1" si="23"/>
        <v>43489</v>
      </c>
      <c r="Q738" s="155">
        <f ca="1">_xll.meDateYearFraction(H738,I738,$Q$11,TRUE)</f>
        <v>0.25</v>
      </c>
      <c r="R738" s="150">
        <f ca="1">IF(NOW(),_xll.meCurveForwardRatesFromYearFraction(P738,Q738,$Q$11,$Q$9,$Q$10))</f>
        <v>-3.7175485397107962E-3</v>
      </c>
      <c r="S738" s="134" t="s">
        <v>4</v>
      </c>
    </row>
    <row r="739" spans="1:19" x14ac:dyDescent="0.25">
      <c r="A739" s="128">
        <v>723</v>
      </c>
      <c r="B739" s="133"/>
      <c r="C739" s="149">
        <f ca="1">_xll.meDateFromTenor(C738,"1D","FOLLOWING",$D$11,"NORMAL")</f>
        <v>43490</v>
      </c>
      <c r="D739" s="20">
        <f ca="1">_xll.meDateFromTenor(C739,"1D","Following",$D$11,"Normal")</f>
        <v>43493</v>
      </c>
      <c r="E739" s="99">
        <f ca="1"/>
        <v>1.0658449464724423E-2</v>
      </c>
      <c r="F739" s="161">
        <f ca="1">_xll.meCurveForwardRates(C739,$D$9,$D$10)</f>
        <v>1.0708825650695086E-2</v>
      </c>
      <c r="G739" s="7" t="s">
        <v>4</v>
      </c>
      <c r="H739" s="149">
        <f t="shared" ca="1" si="22"/>
        <v>43490</v>
      </c>
      <c r="I739" s="20">
        <f ca="1">_xll.meDateFromTenor(H739,"3M","Following",$I$11,"Normal")</f>
        <v>43580</v>
      </c>
      <c r="J739" s="150">
        <f ca="1"/>
        <v>1.4412900707063376E-2</v>
      </c>
      <c r="K739" s="7" t="s">
        <v>4</v>
      </c>
      <c r="L739" s="149" t="e">
        <f ca="1">_xll.meDateFromTenor(L738,"1D","FOLLOWING",#REF!,"NORMAL")</f>
        <v>#VALUE!</v>
      </c>
      <c r="M739" s="155">
        <f ca="1">_xll.meDateYearFraction(C739,D739,$M$11)</f>
        <v>8.3333333333333332E-3</v>
      </c>
      <c r="N739" s="150">
        <f ca="1"/>
        <v>-2.4300000000065936E-3</v>
      </c>
      <c r="O739" s="7" t="s">
        <v>4</v>
      </c>
      <c r="P739" s="149">
        <f t="shared" ca="1" si="23"/>
        <v>43490</v>
      </c>
      <c r="Q739" s="155">
        <f ca="1">_xll.meDateYearFraction(H739,I739,$Q$11,TRUE)</f>
        <v>0.25</v>
      </c>
      <c r="R739" s="150">
        <f ca="1">IF(NOW(),_xll.meCurveForwardRatesFromYearFraction(P739,Q739,$Q$11,$Q$9,$Q$10))</f>
        <v>-3.7175485397107962E-3</v>
      </c>
      <c r="S739" s="134" t="s">
        <v>4</v>
      </c>
    </row>
    <row r="740" spans="1:19" x14ac:dyDescent="0.25">
      <c r="A740" s="128">
        <v>724</v>
      </c>
      <c r="B740" s="133"/>
      <c r="C740" s="149">
        <f ca="1">_xll.meDateFromTenor(C739,"1D","FOLLOWING",$D$11,"NORMAL")</f>
        <v>43493</v>
      </c>
      <c r="D740" s="20">
        <f ca="1">_xll.meDateFromTenor(C740,"1D","Following",$D$11,"Normal")</f>
        <v>43494</v>
      </c>
      <c r="E740" s="99">
        <f ca="1"/>
        <v>1.0670455784156412E-2</v>
      </c>
      <c r="F740" s="161">
        <f ca="1">_xll.meCurveForwardRates(C740,$D$9,$D$10)</f>
        <v>1.0727428295790986E-2</v>
      </c>
      <c r="G740" s="7" t="s">
        <v>4</v>
      </c>
      <c r="H740" s="149">
        <f t="shared" ca="1" si="22"/>
        <v>43493</v>
      </c>
      <c r="I740" s="20">
        <f ca="1">_xll.meDateFromTenor(H740,"3M","Following",$I$11,"Normal")</f>
        <v>43584</v>
      </c>
      <c r="J740" s="150">
        <f ca="1"/>
        <v>1.4432234903492687E-2</v>
      </c>
      <c r="K740" s="7" t="s">
        <v>4</v>
      </c>
      <c r="L740" s="149" t="e">
        <f ca="1">_xll.meDateFromTenor(L739,"1D","FOLLOWING",#REF!,"NORMAL")</f>
        <v>#VALUE!</v>
      </c>
      <c r="M740" s="155">
        <f ca="1">_xll.meDateYearFraction(C740,D740,$M$11)</f>
        <v>2.7777777777777779E-3</v>
      </c>
      <c r="N740" s="150">
        <f ca="1"/>
        <v>-2.4300000000065936E-3</v>
      </c>
      <c r="O740" s="7" t="s">
        <v>4</v>
      </c>
      <c r="P740" s="149">
        <f t="shared" ca="1" si="23"/>
        <v>43493</v>
      </c>
      <c r="Q740" s="155">
        <f ca="1">_xll.meDateYearFraction(H740,I740,$Q$11,TRUE)</f>
        <v>0.25277777777777777</v>
      </c>
      <c r="R740" s="150">
        <f ca="1">IF(NOW(),_xll.meCurveForwardRatesFromYearFraction(P740,Q740,$Q$11,$Q$9,$Q$10))</f>
        <v>-3.7175485397107962E-3</v>
      </c>
      <c r="S740" s="134" t="s">
        <v>4</v>
      </c>
    </row>
    <row r="741" spans="1:19" x14ac:dyDescent="0.25">
      <c r="A741" s="128">
        <v>725</v>
      </c>
      <c r="B741" s="133"/>
      <c r="C741" s="149">
        <f ca="1">_xll.meDateFromTenor(C740,"1D","FOLLOWING",$D$11,"NORMAL")</f>
        <v>43494</v>
      </c>
      <c r="D741" s="20">
        <f ca="1">_xll.meDateFromTenor(C741,"1D","Following",$D$11,"Normal")</f>
        <v>43495</v>
      </c>
      <c r="E741" s="99">
        <f ca="1"/>
        <v>1.0676744867490522E-2</v>
      </c>
      <c r="F741" s="161">
        <f ca="1">_xll.meCurveForwardRates(C741,$D$9,$D$10)</f>
        <v>1.0733784676344005E-2</v>
      </c>
      <c r="G741" s="7" t="s">
        <v>4</v>
      </c>
      <c r="H741" s="149">
        <f t="shared" ca="1" si="22"/>
        <v>43494</v>
      </c>
      <c r="I741" s="20">
        <f ca="1">_xll.meDateFromTenor(H741,"3M","Following",$I$11,"Normal")</f>
        <v>43584</v>
      </c>
      <c r="J741" s="150">
        <f ca="1"/>
        <v>1.443867963563579E-2</v>
      </c>
      <c r="K741" s="7" t="s">
        <v>4</v>
      </c>
      <c r="L741" s="149" t="e">
        <f ca="1">_xll.meDateFromTenor(L740,"1D","FOLLOWING",#REF!,"NORMAL")</f>
        <v>#VALUE!</v>
      </c>
      <c r="M741" s="155">
        <f ca="1">_xll.meDateYearFraction(C741,D741,$M$11)</f>
        <v>2.7777777777777779E-3</v>
      </c>
      <c r="N741" s="150">
        <f ca="1"/>
        <v>-2.4300000000065936E-3</v>
      </c>
      <c r="O741" s="7" t="s">
        <v>4</v>
      </c>
      <c r="P741" s="149">
        <f t="shared" ca="1" si="23"/>
        <v>43494</v>
      </c>
      <c r="Q741" s="155">
        <f ca="1">_xll.meDateYearFraction(H741,I741,$Q$11,TRUE)</f>
        <v>0.25</v>
      </c>
      <c r="R741" s="150">
        <f ca="1">IF(NOW(),_xll.meCurveForwardRatesFromYearFraction(P741,Q741,$Q$11,$Q$9,$Q$10))</f>
        <v>-2.1003689595027485E-3</v>
      </c>
      <c r="S741" s="134" t="s">
        <v>4</v>
      </c>
    </row>
    <row r="742" spans="1:19" x14ac:dyDescent="0.25">
      <c r="A742" s="128">
        <v>726</v>
      </c>
      <c r="B742" s="133"/>
      <c r="C742" s="149">
        <f ca="1">_xll.meDateFromTenor(C741,"1D","FOLLOWING",$D$11,"NORMAL")</f>
        <v>43495</v>
      </c>
      <c r="D742" s="20">
        <f ca="1">_xll.meDateFromTenor(C742,"1D","Following",$D$11,"Normal")</f>
        <v>43496</v>
      </c>
      <c r="E742" s="99">
        <f ca="1"/>
        <v>1.0683110854907734E-2</v>
      </c>
      <c r="F742" s="161">
        <f ca="1">_xll.meCurveForwardRates(C742,$D$9,$D$10)</f>
        <v>1.0740218824500714E-2</v>
      </c>
      <c r="G742" s="7" t="s">
        <v>4</v>
      </c>
      <c r="H742" s="149">
        <f t="shared" ca="1" si="22"/>
        <v>43495</v>
      </c>
      <c r="I742" s="20">
        <f ca="1">_xll.meDateFromTenor(H742,"3M","Following",$I$11,"Normal")</f>
        <v>43585</v>
      </c>
      <c r="J742" s="150">
        <f ca="1"/>
        <v>1.4445124367778894E-2</v>
      </c>
      <c r="K742" s="7" t="s">
        <v>4</v>
      </c>
      <c r="L742" s="149" t="e">
        <f ca="1">_xll.meDateFromTenor(L741,"1D","FOLLOWING",#REF!,"NORMAL")</f>
        <v>#VALUE!</v>
      </c>
      <c r="M742" s="155">
        <f ca="1">_xll.meDateYearFraction(C742,D742,$M$11)</f>
        <v>2.7777777777777779E-3</v>
      </c>
      <c r="N742" s="150">
        <f ca="1"/>
        <v>-2.4300000000065936E-3</v>
      </c>
      <c r="O742" s="7" t="s">
        <v>4</v>
      </c>
      <c r="P742" s="149">
        <f t="shared" ca="1" si="23"/>
        <v>43495</v>
      </c>
      <c r="Q742" s="155">
        <f ca="1">_xll.meDateYearFraction(H742,I742,$Q$11,TRUE)</f>
        <v>0.25</v>
      </c>
      <c r="R742" s="150">
        <f ca="1">IF(NOW(),_xll.meCurveForwardRatesFromYearFraction(P742,Q742,$Q$11,$Q$9,$Q$10))</f>
        <v>-3.7175485397107962E-3</v>
      </c>
      <c r="S742" s="134" t="s">
        <v>4</v>
      </c>
    </row>
    <row r="743" spans="1:19" x14ac:dyDescent="0.25">
      <c r="A743" s="128">
        <v>727</v>
      </c>
      <c r="B743" s="133"/>
      <c r="C743" s="149">
        <f ca="1">_xll.meDateFromTenor(C742,"1D","FOLLOWING",$D$11,"NORMAL")</f>
        <v>43496</v>
      </c>
      <c r="D743" s="20">
        <f ca="1">_xll.meDateFromTenor(C743,"1D","Following",$D$11,"Normal")</f>
        <v>43497</v>
      </c>
      <c r="E743" s="99">
        <f ca="1"/>
        <v>1.0689553755920438E-2</v>
      </c>
      <c r="F743" s="161">
        <f ca="1">_xll.meCurveForwardRates(C743,$D$9,$D$10)</f>
        <v>1.0746730751356237E-2</v>
      </c>
      <c r="G743" s="7" t="s">
        <v>4</v>
      </c>
      <c r="H743" s="149">
        <f t="shared" ca="1" si="22"/>
        <v>43496</v>
      </c>
      <c r="I743" s="20">
        <f ca="1">_xll.meDateFromTenor(H743,"3M","Following",$I$11,"Normal")</f>
        <v>43585</v>
      </c>
      <c r="J743" s="150">
        <f ca="1"/>
        <v>1.4451569099921997E-2</v>
      </c>
      <c r="K743" s="7" t="s">
        <v>4</v>
      </c>
      <c r="L743" s="149" t="e">
        <f ca="1">_xll.meDateFromTenor(L742,"1D","FOLLOWING",#REF!,"NORMAL")</f>
        <v>#VALUE!</v>
      </c>
      <c r="M743" s="155">
        <f ca="1">_xll.meDateYearFraction(C743,D743,$M$11)</f>
        <v>2.7777777777777779E-3</v>
      </c>
      <c r="N743" s="150">
        <f ca="1"/>
        <v>-2.4300000000065936E-3</v>
      </c>
      <c r="O743" s="7" t="s">
        <v>4</v>
      </c>
      <c r="P743" s="149">
        <f t="shared" ca="1" si="23"/>
        <v>43496</v>
      </c>
      <c r="Q743" s="155">
        <f ca="1">_xll.meDateYearFraction(H743,I743,$Q$11,TRUE)</f>
        <v>0.24722222222222223</v>
      </c>
      <c r="R743" s="150">
        <f ca="1">IF(NOW(),_xll.meCurveForwardRatesFromYearFraction(P743,Q743,$Q$11,$Q$9,$Q$10))</f>
        <v>-3.7175485397107962E-3</v>
      </c>
      <c r="S743" s="134" t="s">
        <v>4</v>
      </c>
    </row>
    <row r="744" spans="1:19" x14ac:dyDescent="0.25">
      <c r="A744" s="128">
        <v>728</v>
      </c>
      <c r="B744" s="133"/>
      <c r="C744" s="149">
        <f ca="1">_xll.meDateFromTenor(C743,"1D","FOLLOWING",$D$11,"NORMAL")</f>
        <v>43497</v>
      </c>
      <c r="D744" s="20">
        <f ca="1">_xll.meDateFromTenor(C744,"1D","Following",$D$11,"Normal")</f>
        <v>43500</v>
      </c>
      <c r="E744" s="99">
        <f ca="1"/>
        <v>1.0703014175179642E-2</v>
      </c>
      <c r="F744" s="161">
        <f ca="1">_xll.meCurveForwardRates(C744,$D$9,$D$10)</f>
        <v>1.0753320468023686E-2</v>
      </c>
      <c r="G744" s="7" t="s">
        <v>4</v>
      </c>
      <c r="H744" s="149">
        <f t="shared" ca="1" si="22"/>
        <v>43497</v>
      </c>
      <c r="I744" s="20">
        <f ca="1">_xll.meDateFromTenor(H744,"3M","Following",$I$11,"Normal")</f>
        <v>43586</v>
      </c>
      <c r="J744" s="150">
        <f ca="1"/>
        <v>1.4458013832065101E-2</v>
      </c>
      <c r="K744" s="7" t="s">
        <v>4</v>
      </c>
      <c r="L744" s="149" t="e">
        <f ca="1">_xll.meDateFromTenor(L743,"1D","FOLLOWING",#REF!,"NORMAL")</f>
        <v>#VALUE!</v>
      </c>
      <c r="M744" s="155">
        <f ca="1">_xll.meDateYearFraction(C744,D744,$M$11)</f>
        <v>8.3333333333333332E-3</v>
      </c>
      <c r="N744" s="150">
        <f ca="1"/>
        <v>-2.4300000000065936E-3</v>
      </c>
      <c r="O744" s="7" t="s">
        <v>4</v>
      </c>
      <c r="P744" s="149">
        <f t="shared" ca="1" si="23"/>
        <v>43497</v>
      </c>
      <c r="Q744" s="155">
        <f ca="1">_xll.meDateYearFraction(H744,I744,$Q$11,TRUE)</f>
        <v>0.24722222222222223</v>
      </c>
      <c r="R744" s="150">
        <f ca="1">IF(NOW(),_xll.meCurveForwardRatesFromYearFraction(P744,Q744,$Q$11,$Q$9,$Q$10))</f>
        <v>-3.7175485397107962E-3</v>
      </c>
      <c r="S744" s="134" t="s">
        <v>4</v>
      </c>
    </row>
    <row r="745" spans="1:19" x14ac:dyDescent="0.25">
      <c r="A745" s="128">
        <v>729</v>
      </c>
      <c r="B745" s="133"/>
      <c r="C745" s="149">
        <f ca="1">_xll.meDateFromTenor(C744,"1D","FOLLOWING",$D$11,"NORMAL")</f>
        <v>43500</v>
      </c>
      <c r="D745" s="20">
        <f ca="1">_xll.meDateFromTenor(C745,"1D","Following",$D$11,"Normal")</f>
        <v>43501</v>
      </c>
      <c r="E745" s="99">
        <f ca="1"/>
        <v>1.0716094685374638E-2</v>
      </c>
      <c r="F745" s="161">
        <f ca="1">_xll.meCurveForwardRates(C745,$D$9,$D$10)</f>
        <v>1.0773556467491119E-2</v>
      </c>
      <c r="G745" s="7" t="s">
        <v>4</v>
      </c>
      <c r="H745" s="149">
        <f t="shared" ca="1" si="22"/>
        <v>43500</v>
      </c>
      <c r="I745" s="20">
        <f ca="1">_xll.meDateFromTenor(H745,"3M","Following",$I$11,"Normal")</f>
        <v>43592</v>
      </c>
      <c r="J745" s="150">
        <f ca="1"/>
        <v>1.4477348028494409E-2</v>
      </c>
      <c r="K745" s="7" t="s">
        <v>4</v>
      </c>
      <c r="L745" s="149" t="e">
        <f ca="1">_xll.meDateFromTenor(L744,"1D","FOLLOWING",#REF!,"NORMAL")</f>
        <v>#VALUE!</v>
      </c>
      <c r="M745" s="155">
        <f ca="1">_xll.meDateYearFraction(C745,D745,$M$11)</f>
        <v>2.7777777777777779E-3</v>
      </c>
      <c r="N745" s="150">
        <f ca="1"/>
        <v>-2.4300000000065936E-3</v>
      </c>
      <c r="O745" s="7" t="s">
        <v>4</v>
      </c>
      <c r="P745" s="149">
        <f t="shared" ca="1" si="23"/>
        <v>43500</v>
      </c>
      <c r="Q745" s="155">
        <f ca="1">_xll.meDateYearFraction(H745,I745,$Q$11,TRUE)</f>
        <v>0.25555555555555554</v>
      </c>
      <c r="R745" s="150">
        <f ca="1">IF(NOW(),_xll.meCurveForwardRatesFromYearFraction(P745,Q745,$Q$11,$Q$9,$Q$10))</f>
        <v>-2.0615728211610699E-3</v>
      </c>
      <c r="S745" s="134" t="s">
        <v>4</v>
      </c>
    </row>
    <row r="746" spans="1:19" x14ac:dyDescent="0.25">
      <c r="A746" s="128">
        <v>730</v>
      </c>
      <c r="B746" s="133"/>
      <c r="C746" s="149">
        <f ca="1">_xll.meDateFromTenor(C745,"1D","FOLLOWING",$D$11,"NORMAL")</f>
        <v>43501</v>
      </c>
      <c r="D746" s="20">
        <f ca="1">_xll.meDateFromTenor(C746,"1D","Following",$D$11,"Normal")</f>
        <v>43502</v>
      </c>
      <c r="E746" s="99">
        <f ca="1"/>
        <v>1.072292229641118E-2</v>
      </c>
      <c r="F746" s="161">
        <f ca="1">_xll.meCurveForwardRates(C746,$D$9,$D$10)</f>
        <v>1.078045745425249E-2</v>
      </c>
      <c r="G746" s="7" t="s">
        <v>4</v>
      </c>
      <c r="H746" s="149">
        <f t="shared" ca="1" si="22"/>
        <v>43501</v>
      </c>
      <c r="I746" s="20">
        <f ca="1">_xll.meDateFromTenor(H746,"3M","Following",$I$11,"Normal")</f>
        <v>43592</v>
      </c>
      <c r="J746" s="150">
        <f ca="1"/>
        <v>1.4483792760637512E-2</v>
      </c>
      <c r="K746" s="7" t="s">
        <v>4</v>
      </c>
      <c r="L746" s="149" t="e">
        <f ca="1">_xll.meDateFromTenor(L745,"1D","FOLLOWING",#REF!,"NORMAL")</f>
        <v>#VALUE!</v>
      </c>
      <c r="M746" s="155">
        <f ca="1">_xll.meDateYearFraction(C746,D746,$M$11)</f>
        <v>2.7777777777777779E-3</v>
      </c>
      <c r="N746" s="150">
        <f ca="1"/>
        <v>-2.4300000000065936E-3</v>
      </c>
      <c r="O746" s="7" t="s">
        <v>4</v>
      </c>
      <c r="P746" s="149">
        <f t="shared" ca="1" si="23"/>
        <v>43501</v>
      </c>
      <c r="Q746" s="155">
        <f ca="1">_xll.meDateYearFraction(H746,I746,$Q$11,TRUE)</f>
        <v>0.25277777777777777</v>
      </c>
      <c r="R746" s="150">
        <f ca="1">IF(NOW(),_xll.meCurveForwardRatesFromYearFraction(P746,Q746,$Q$11,$Q$9,$Q$10))</f>
        <v>-3.7175485397107962E-3</v>
      </c>
      <c r="S746" s="134" t="s">
        <v>4</v>
      </c>
    </row>
    <row r="747" spans="1:19" x14ac:dyDescent="0.25">
      <c r="A747" s="128">
        <v>731</v>
      </c>
      <c r="B747" s="133"/>
      <c r="C747" s="149">
        <f ca="1">_xll.meDateFromTenor(C746,"1D","FOLLOWING",$D$11,"NORMAL")</f>
        <v>43502</v>
      </c>
      <c r="D747" s="20">
        <f ca="1">_xll.meDateFromTenor(C747,"1D","Following",$D$11,"Normal")</f>
        <v>43503</v>
      </c>
      <c r="E747" s="99">
        <f ca="1"/>
        <v>1.0729826878037623E-2</v>
      </c>
      <c r="F747" s="161">
        <f ca="1">_xll.meCurveForwardRates(C747,$D$9,$D$10)</f>
        <v>1.0787436286582741E-2</v>
      </c>
      <c r="G747" s="7" t="s">
        <v>4</v>
      </c>
      <c r="H747" s="149">
        <f t="shared" ca="1" si="22"/>
        <v>43502</v>
      </c>
      <c r="I747" s="20">
        <f ca="1">_xll.meDateFromTenor(H747,"3M","Following",$I$11,"Normal")</f>
        <v>43592</v>
      </c>
      <c r="J747" s="150">
        <f ca="1"/>
        <v>1.4490237492780616E-2</v>
      </c>
      <c r="K747" s="7" t="s">
        <v>4</v>
      </c>
      <c r="L747" s="149" t="e">
        <f ca="1">_xll.meDateFromTenor(L746,"1D","FOLLOWING",#REF!,"NORMAL")</f>
        <v>#VALUE!</v>
      </c>
      <c r="M747" s="155">
        <f ca="1">_xll.meDateYearFraction(C747,D747,$M$11)</f>
        <v>2.7777777777777779E-3</v>
      </c>
      <c r="N747" s="150">
        <f ca="1"/>
        <v>-2.4300000000065936E-3</v>
      </c>
      <c r="O747" s="7" t="s">
        <v>4</v>
      </c>
      <c r="P747" s="149">
        <f t="shared" ca="1" si="23"/>
        <v>43502</v>
      </c>
      <c r="Q747" s="155">
        <f ca="1">_xll.meDateYearFraction(H747,I747,$Q$11,TRUE)</f>
        <v>0.25</v>
      </c>
      <c r="R747" s="150">
        <f ca="1">IF(NOW(),_xll.meCurveForwardRatesFromYearFraction(P747,Q747,$Q$11,$Q$9,$Q$10))</f>
        <v>-3.7175485397107962E-3</v>
      </c>
      <c r="S747" s="134" t="s">
        <v>4</v>
      </c>
    </row>
    <row r="748" spans="1:19" x14ac:dyDescent="0.25">
      <c r="A748" s="128">
        <v>732</v>
      </c>
      <c r="B748" s="133"/>
      <c r="C748" s="149">
        <f ca="1">_xll.meDateFromTenor(C747,"1D","FOLLOWING",$D$11,"NORMAL")</f>
        <v>43503</v>
      </c>
      <c r="D748" s="20">
        <f ca="1">_xll.meDateFromTenor(C748,"1D","Following",$D$11,"Normal")</f>
        <v>43504</v>
      </c>
      <c r="E748" s="99">
        <f ca="1"/>
        <v>1.0736808439686423E-2</v>
      </c>
      <c r="F748" s="161">
        <f ca="1">_xll.meCurveForwardRates(C748,$D$9,$D$10)</f>
        <v>1.0794492975622738E-2</v>
      </c>
      <c r="G748" s="7" t="s">
        <v>4</v>
      </c>
      <c r="H748" s="149">
        <f t="shared" ca="1" si="22"/>
        <v>43503</v>
      </c>
      <c r="I748" s="20">
        <f ca="1">_xll.meDateFromTenor(H748,"3M","Following",$I$11,"Normal")</f>
        <v>43592</v>
      </c>
      <c r="J748" s="150">
        <f ca="1"/>
        <v>1.4496682224923719E-2</v>
      </c>
      <c r="K748" s="7" t="s">
        <v>4</v>
      </c>
      <c r="L748" s="149" t="e">
        <f ca="1">_xll.meDateFromTenor(L747,"1D","FOLLOWING",#REF!,"NORMAL")</f>
        <v>#VALUE!</v>
      </c>
      <c r="M748" s="155">
        <f ca="1">_xll.meDateYearFraction(C748,D748,$M$11)</f>
        <v>2.7777777777777779E-3</v>
      </c>
      <c r="N748" s="150">
        <f ca="1"/>
        <v>-2.4300000000065936E-3</v>
      </c>
      <c r="O748" s="7" t="s">
        <v>4</v>
      </c>
      <c r="P748" s="149">
        <f t="shared" ca="1" si="23"/>
        <v>43503</v>
      </c>
      <c r="Q748" s="155">
        <f ca="1">_xll.meDateYearFraction(H748,I748,$Q$11,TRUE)</f>
        <v>0.24722222222222223</v>
      </c>
      <c r="R748" s="150">
        <f ca="1">IF(NOW(),_xll.meCurveForwardRatesFromYearFraction(P748,Q748,$Q$11,$Q$9,$Q$10))</f>
        <v>-3.7175485397107962E-3</v>
      </c>
      <c r="S748" s="134" t="s">
        <v>4</v>
      </c>
    </row>
    <row r="749" spans="1:19" x14ac:dyDescent="0.25">
      <c r="A749" s="128">
        <v>733</v>
      </c>
      <c r="B749" s="133"/>
      <c r="C749" s="149">
        <f ca="1">_xll.meDateFromTenor(C748,"1D","FOLLOWING",$D$11,"NORMAL")</f>
        <v>43504</v>
      </c>
      <c r="D749" s="20">
        <f ca="1">_xll.meDateFromTenor(C749,"1D","Following",$D$11,"Normal")</f>
        <v>43507</v>
      </c>
      <c r="E749" s="99">
        <f ca="1"/>
        <v>1.0751349282349703E-2</v>
      </c>
      <c r="F749" s="161">
        <f ca="1">_xll.meCurveForwardRates(C749,$D$9,$D$10)</f>
        <v>1.0801627532613045E-2</v>
      </c>
      <c r="G749" s="7" t="s">
        <v>4</v>
      </c>
      <c r="H749" s="149">
        <f t="shared" ca="1" si="22"/>
        <v>43504</v>
      </c>
      <c r="I749" s="20">
        <f ca="1">_xll.meDateFromTenor(H749,"3M","Following",$I$11,"Normal")</f>
        <v>43593</v>
      </c>
      <c r="J749" s="150">
        <f ca="1"/>
        <v>1.4503126957066823E-2</v>
      </c>
      <c r="K749" s="7" t="s">
        <v>4</v>
      </c>
      <c r="L749" s="149" t="e">
        <f ca="1">_xll.meDateFromTenor(L748,"1D","FOLLOWING",#REF!,"NORMAL")</f>
        <v>#VALUE!</v>
      </c>
      <c r="M749" s="155">
        <f ca="1">_xll.meDateYearFraction(C749,D749,$M$11)</f>
        <v>8.3333333333333332E-3</v>
      </c>
      <c r="N749" s="150">
        <f ca="1"/>
        <v>-2.4300000000065936E-3</v>
      </c>
      <c r="O749" s="7" t="s">
        <v>4</v>
      </c>
      <c r="P749" s="149">
        <f t="shared" ca="1" si="23"/>
        <v>43504</v>
      </c>
      <c r="Q749" s="155">
        <f ca="1">_xll.meDateYearFraction(H749,I749,$Q$11,TRUE)</f>
        <v>0.24722222222222223</v>
      </c>
      <c r="R749" s="150">
        <f ca="1">IF(NOW(),_xll.meCurveForwardRatesFromYearFraction(P749,Q749,$Q$11,$Q$9,$Q$10))</f>
        <v>-2.0362609581658238E-3</v>
      </c>
      <c r="S749" s="134" t="s">
        <v>4</v>
      </c>
    </row>
    <row r="750" spans="1:19" x14ac:dyDescent="0.25">
      <c r="A750" s="128">
        <v>734</v>
      </c>
      <c r="B750" s="133"/>
      <c r="C750" s="149">
        <f ca="1">_xll.meDateFromTenor(C749,"1D","FOLLOWING",$D$11,"NORMAL")</f>
        <v>43507</v>
      </c>
      <c r="D750" s="20">
        <f ca="1">_xll.meDateFromTenor(C750,"1D","Following",$D$11,"Normal")</f>
        <v>43508</v>
      </c>
      <c r="E750" s="99">
        <f ca="1"/>
        <v>1.0765504677952047E-2</v>
      </c>
      <c r="F750" s="161">
        <f ca="1">_xll.meCurveForwardRates(C750,$D$9,$D$10)</f>
        <v>1.0823498525172726E-2</v>
      </c>
      <c r="G750" s="7" t="s">
        <v>4</v>
      </c>
      <c r="H750" s="149">
        <f t="shared" ca="1" si="22"/>
        <v>43507</v>
      </c>
      <c r="I750" s="20">
        <f ca="1">_xll.meDateFromTenor(H750,"3M","Following",$I$11,"Normal")</f>
        <v>43598</v>
      </c>
      <c r="J750" s="150">
        <f ca="1"/>
        <v>1.4522461153496131E-2</v>
      </c>
      <c r="K750" s="7" t="s">
        <v>4</v>
      </c>
      <c r="L750" s="149" t="e">
        <f ca="1">_xll.meDateFromTenor(L749,"1D","FOLLOWING",#REF!,"NORMAL")</f>
        <v>#VALUE!</v>
      </c>
      <c r="M750" s="155">
        <f ca="1">_xll.meDateYearFraction(C750,D750,$M$11)</f>
        <v>2.7777777777777779E-3</v>
      </c>
      <c r="N750" s="150">
        <f ca="1"/>
        <v>-2.4300000000065936E-3</v>
      </c>
      <c r="O750" s="7" t="s">
        <v>4</v>
      </c>
      <c r="P750" s="149">
        <f t="shared" ca="1" si="23"/>
        <v>43507</v>
      </c>
      <c r="Q750" s="155">
        <f ca="1">_xll.meDateYearFraction(H750,I750,$Q$11,TRUE)</f>
        <v>0.25277777777777777</v>
      </c>
      <c r="R750" s="150">
        <f ca="1">IF(NOW(),_xll.meCurveForwardRatesFromYearFraction(P750,Q750,$Q$11,$Q$9,$Q$10))</f>
        <v>-3.7175485397107962E-3</v>
      </c>
      <c r="S750" s="134" t="s">
        <v>4</v>
      </c>
    </row>
    <row r="751" spans="1:19" x14ac:dyDescent="0.25">
      <c r="A751" s="128">
        <v>735</v>
      </c>
      <c r="B751" s="133"/>
      <c r="C751" s="149">
        <f ca="1">_xll.meDateFromTenor(C750,"1D","FOLLOWING",$D$11,"NORMAL")</f>
        <v>43508</v>
      </c>
      <c r="D751" s="20">
        <f ca="1">_xll.meDateFromTenor(C751,"1D","Following",$D$11,"Normal")</f>
        <v>43509</v>
      </c>
      <c r="E751" s="99">
        <f ca="1"/>
        <v>1.0772871283517598E-2</v>
      </c>
      <c r="F751" s="161">
        <f ca="1">_xll.meCurveForwardRates(C751,$D$9,$D$10)</f>
        <v>1.0830944667862052E-2</v>
      </c>
      <c r="G751" s="7" t="s">
        <v>4</v>
      </c>
      <c r="H751" s="149">
        <f t="shared" ca="1" si="22"/>
        <v>43508</v>
      </c>
      <c r="I751" s="20">
        <f ca="1">_xll.meDateFromTenor(H751,"3M","Following",$I$11,"Normal")</f>
        <v>43598</v>
      </c>
      <c r="J751" s="150">
        <f ca="1"/>
        <v>1.4528905885639236E-2</v>
      </c>
      <c r="K751" s="7" t="s">
        <v>4</v>
      </c>
      <c r="L751" s="149" t="e">
        <f ca="1">_xll.meDateFromTenor(L750,"1D","FOLLOWING",#REF!,"NORMAL")</f>
        <v>#VALUE!</v>
      </c>
      <c r="M751" s="155">
        <f ca="1">_xll.meDateYearFraction(C751,D751,$M$11)</f>
        <v>2.7777777777777779E-3</v>
      </c>
      <c r="N751" s="150">
        <f ca="1"/>
        <v>-2.4300000000065936E-3</v>
      </c>
      <c r="O751" s="7" t="s">
        <v>4</v>
      </c>
      <c r="P751" s="149">
        <f t="shared" ca="1" si="23"/>
        <v>43508</v>
      </c>
      <c r="Q751" s="155">
        <f ca="1">_xll.meDateYearFraction(H751,I751,$Q$11,TRUE)</f>
        <v>0.25</v>
      </c>
      <c r="R751" s="150">
        <f ca="1">IF(NOW(),_xll.meCurveForwardRatesFromYearFraction(P751,Q751,$Q$11,$Q$9,$Q$10))</f>
        <v>-3.7175485397107962E-3</v>
      </c>
      <c r="S751" s="134" t="s">
        <v>4</v>
      </c>
    </row>
    <row r="752" spans="1:19" x14ac:dyDescent="0.25">
      <c r="A752" s="128">
        <v>736</v>
      </c>
      <c r="B752" s="133"/>
      <c r="C752" s="149">
        <f ca="1">_xll.meDateFromTenor(C751,"1D","FOLLOWING",$D$11,"NORMAL")</f>
        <v>43509</v>
      </c>
      <c r="D752" s="20">
        <f ca="1">_xll.meDateFromTenor(C752,"1D","Following",$D$11,"Normal")</f>
        <v>43510</v>
      </c>
      <c r="E752" s="99">
        <f ca="1"/>
        <v>1.0780314926659467E-2</v>
      </c>
      <c r="F752" s="161">
        <f ca="1">_xll.meCurveForwardRates(C752,$D$9,$D$10)</f>
        <v>1.083846873546146E-2</v>
      </c>
      <c r="G752" s="7" t="s">
        <v>4</v>
      </c>
      <c r="H752" s="149">
        <f t="shared" ca="1" si="22"/>
        <v>43509</v>
      </c>
      <c r="I752" s="20">
        <f ca="1">_xll.meDateFromTenor(H752,"3M","Following",$I$11,"Normal")</f>
        <v>43598</v>
      </c>
      <c r="J752" s="150">
        <f ca="1"/>
        <v>1.4535350617782338E-2</v>
      </c>
      <c r="K752" s="7" t="s">
        <v>4</v>
      </c>
      <c r="L752" s="149" t="e">
        <f ca="1">_xll.meDateFromTenor(L751,"1D","FOLLOWING",#REF!,"NORMAL")</f>
        <v>#VALUE!</v>
      </c>
      <c r="M752" s="155">
        <f ca="1">_xll.meDateYearFraction(C752,D752,$M$11)</f>
        <v>2.7777777777777779E-3</v>
      </c>
      <c r="N752" s="150">
        <f ca="1"/>
        <v>-2.4300000000065936E-3</v>
      </c>
      <c r="O752" s="7" t="s">
        <v>4</v>
      </c>
      <c r="P752" s="149">
        <f t="shared" ca="1" si="23"/>
        <v>43509</v>
      </c>
      <c r="Q752" s="155">
        <f ca="1">_xll.meDateYearFraction(H752,I752,$Q$11,TRUE)</f>
        <v>0.24722222222222223</v>
      </c>
      <c r="R752" s="150">
        <f ca="1">IF(NOW(),_xll.meCurveForwardRatesFromYearFraction(P752,Q752,$Q$11,$Q$9,$Q$10))</f>
        <v>-3.7175485397107962E-3</v>
      </c>
      <c r="S752" s="134" t="s">
        <v>4</v>
      </c>
    </row>
    <row r="753" spans="1:19" x14ac:dyDescent="0.25">
      <c r="A753" s="128">
        <v>737</v>
      </c>
      <c r="B753" s="133"/>
      <c r="C753" s="149">
        <f ca="1">_xll.meDateFromTenor(C752,"1D","FOLLOWING",$D$11,"NORMAL")</f>
        <v>43510</v>
      </c>
      <c r="D753" s="20">
        <f ca="1">_xll.meDateFromTenor(C753,"1D","Following",$D$11,"Normal")</f>
        <v>43511</v>
      </c>
      <c r="E753" s="99">
        <f ca="1"/>
        <v>1.0787835617049917E-2</v>
      </c>
      <c r="F753" s="161">
        <f ca="1">_xll.meCurveForwardRates(C753,$D$9,$D$10)</f>
        <v>1.0846070739481739E-2</v>
      </c>
      <c r="G753" s="7" t="s">
        <v>4</v>
      </c>
      <c r="H753" s="149">
        <f t="shared" ca="1" si="22"/>
        <v>43510</v>
      </c>
      <c r="I753" s="20">
        <f ca="1">_xll.meDateFromTenor(H753,"3M","Following",$I$11,"Normal")</f>
        <v>43599</v>
      </c>
      <c r="J753" s="150">
        <f ca="1"/>
        <v>1.4541795349925443E-2</v>
      </c>
      <c r="K753" s="7" t="s">
        <v>4</v>
      </c>
      <c r="L753" s="149" t="e">
        <f ca="1">_xll.meDateFromTenor(L752,"1D","FOLLOWING",#REF!,"NORMAL")</f>
        <v>#VALUE!</v>
      </c>
      <c r="M753" s="155">
        <f ca="1">_xll.meDateYearFraction(C753,D753,$M$11)</f>
        <v>2.7777777777777779E-3</v>
      </c>
      <c r="N753" s="150">
        <f ca="1"/>
        <v>-2.4300000000065936E-3</v>
      </c>
      <c r="O753" s="7" t="s">
        <v>4</v>
      </c>
      <c r="P753" s="149">
        <f t="shared" ca="1" si="23"/>
        <v>43510</v>
      </c>
      <c r="Q753" s="155">
        <f ca="1">_xll.meDateYearFraction(H753,I753,$Q$11,TRUE)</f>
        <v>0.24722222222222223</v>
      </c>
      <c r="R753" s="150">
        <f ca="1">IF(NOW(),_xll.meCurveForwardRatesFromYearFraction(P753,Q753,$Q$11,$Q$9,$Q$10))</f>
        <v>-1.9996265639168577E-3</v>
      </c>
      <c r="S753" s="134" t="s">
        <v>4</v>
      </c>
    </row>
    <row r="754" spans="1:19" x14ac:dyDescent="0.25">
      <c r="A754" s="128">
        <v>738</v>
      </c>
      <c r="B754" s="133"/>
      <c r="C754" s="149">
        <f ca="1">_xll.meDateFromTenor(C753,"1D","FOLLOWING",$D$11,"NORMAL")</f>
        <v>43511</v>
      </c>
      <c r="D754" s="20">
        <f ca="1">_xll.meDateFromTenor(C754,"1D","Following",$D$11,"Normal")</f>
        <v>43515</v>
      </c>
      <c r="E754" s="99">
        <f ca="1"/>
        <v>1.0807509305987877E-2</v>
      </c>
      <c r="F754" s="161">
        <f ca="1">_xll.meCurveForwardRates(C754,$D$9,$D$10)</f>
        <v>1.0853750691453001E-2</v>
      </c>
      <c r="G754" s="7" t="s">
        <v>4</v>
      </c>
      <c r="H754" s="149">
        <f t="shared" ca="1" si="22"/>
        <v>43511</v>
      </c>
      <c r="I754" s="20">
        <f ca="1">_xll.meDateFromTenor(H754,"3M","Following",$I$11,"Normal")</f>
        <v>43600</v>
      </c>
      <c r="J754" s="150">
        <f ca="1"/>
        <v>1.4548240082068545E-2</v>
      </c>
      <c r="K754" s="7" t="s">
        <v>4</v>
      </c>
      <c r="L754" s="149" t="e">
        <f ca="1">_xll.meDateFromTenor(L753,"1D","FOLLOWING",#REF!,"NORMAL")</f>
        <v>#VALUE!</v>
      </c>
      <c r="M754" s="155">
        <f ca="1">_xll.meDateYearFraction(C754,D754,$M$11)</f>
        <v>1.1111111111111112E-2</v>
      </c>
      <c r="N754" s="150">
        <f ca="1"/>
        <v>-2.4300000000065936E-3</v>
      </c>
      <c r="O754" s="7" t="s">
        <v>4</v>
      </c>
      <c r="P754" s="149">
        <f t="shared" ca="1" si="23"/>
        <v>43511</v>
      </c>
      <c r="Q754" s="155">
        <f ca="1">_xll.meDateYearFraction(H754,I754,$Q$11,TRUE)</f>
        <v>0.24722222222222223</v>
      </c>
      <c r="R754" s="150">
        <f ca="1">IF(NOW(),_xll.meCurveForwardRatesFromYearFraction(P754,Q754,$Q$11,$Q$9,$Q$10))</f>
        <v>-3.7175485397107962E-3</v>
      </c>
      <c r="S754" s="134" t="s">
        <v>4</v>
      </c>
    </row>
    <row r="755" spans="1:19" x14ac:dyDescent="0.25">
      <c r="A755" s="128">
        <v>739</v>
      </c>
      <c r="B755" s="133"/>
      <c r="C755" s="149">
        <f ca="1">_xll.meDateFromTenor(C754,"1D","FOLLOWING",$D$11,"NORMAL")</f>
        <v>43515</v>
      </c>
      <c r="D755" s="20">
        <f ca="1">_xll.meDateFromTenor(C755,"1D","Following",$D$11,"Normal")</f>
        <v>43516</v>
      </c>
      <c r="E755" s="99">
        <f ca="1"/>
        <v>1.0826595117139386E-2</v>
      </c>
      <c r="F755" s="161">
        <f ca="1">_xll.meCurveForwardRates(C755,$D$9,$D$10)</f>
        <v>1.0885250210965092E-2</v>
      </c>
      <c r="G755" s="7" t="s">
        <v>4</v>
      </c>
      <c r="H755" s="149">
        <f t="shared" ca="1" si="22"/>
        <v>43515</v>
      </c>
      <c r="I755" s="20">
        <f ca="1">_xll.meDateFromTenor(H755,"3M","Following",$I$11,"Normal")</f>
        <v>43605</v>
      </c>
      <c r="J755" s="150">
        <f ca="1"/>
        <v>1.4574019010640959E-2</v>
      </c>
      <c r="K755" s="7" t="s">
        <v>4</v>
      </c>
      <c r="L755" s="149" t="e">
        <f ca="1">_xll.meDateFromTenor(L754,"1D","FOLLOWING",#REF!,"NORMAL")</f>
        <v>#VALUE!</v>
      </c>
      <c r="M755" s="155">
        <f ca="1">_xll.meDateYearFraction(C755,D755,$M$11)</f>
        <v>2.7777777777777779E-3</v>
      </c>
      <c r="N755" s="150">
        <f ca="1"/>
        <v>-2.4300000000065936E-3</v>
      </c>
      <c r="O755" s="7" t="s">
        <v>4</v>
      </c>
      <c r="P755" s="149">
        <f t="shared" ca="1" si="23"/>
        <v>43515</v>
      </c>
      <c r="Q755" s="155">
        <f ca="1">_xll.meDateYearFraction(H755,I755,$Q$11,TRUE)</f>
        <v>0.25</v>
      </c>
      <c r="R755" s="150">
        <f ca="1">IF(NOW(),_xll.meCurveForwardRatesFromYearFraction(P755,Q755,$Q$11,$Q$9,$Q$10))</f>
        <v>-1.9707542184391642E-3</v>
      </c>
      <c r="S755" s="134" t="s">
        <v>4</v>
      </c>
    </row>
    <row r="756" spans="1:19" x14ac:dyDescent="0.25">
      <c r="A756" s="128">
        <v>740</v>
      </c>
      <c r="B756" s="133"/>
      <c r="C756" s="149">
        <f ca="1">_xll.meDateFromTenor(C755,"1D","FOLLOWING",$D$11,"NORMAL")</f>
        <v>43516</v>
      </c>
      <c r="D756" s="20">
        <f ca="1">_xll.meDateFromTenor(C756,"1D","Following",$D$11,"Normal")</f>
        <v>43517</v>
      </c>
      <c r="E756" s="99">
        <f ca="1"/>
        <v>1.0834578294778335E-2</v>
      </c>
      <c r="F756" s="161">
        <f ca="1">_xll.meCurveForwardRates(C756,$D$9,$D$10)</f>
        <v>1.0893320076920121E-2</v>
      </c>
      <c r="G756" s="7" t="s">
        <v>4</v>
      </c>
      <c r="H756" s="149">
        <f t="shared" ca="1" si="22"/>
        <v>43516</v>
      </c>
      <c r="I756" s="20">
        <f ca="1">_xll.meDateFromTenor(H756,"3M","Following",$I$11,"Normal")</f>
        <v>43605</v>
      </c>
      <c r="J756" s="150">
        <f ca="1"/>
        <v>1.4580463742784064E-2</v>
      </c>
      <c r="K756" s="7" t="s">
        <v>4</v>
      </c>
      <c r="L756" s="149" t="e">
        <f ca="1">_xll.meDateFromTenor(L755,"1D","FOLLOWING",#REF!,"NORMAL")</f>
        <v>#VALUE!</v>
      </c>
      <c r="M756" s="155">
        <f ca="1">_xll.meDateYearFraction(C756,D756,$M$11)</f>
        <v>2.7777777777777779E-3</v>
      </c>
      <c r="N756" s="150">
        <f ca="1"/>
        <v>-2.4300000000065936E-3</v>
      </c>
      <c r="O756" s="7" t="s">
        <v>4</v>
      </c>
      <c r="P756" s="149">
        <f t="shared" ca="1" si="23"/>
        <v>43516</v>
      </c>
      <c r="Q756" s="155">
        <f ca="1">_xll.meDateYearFraction(H756,I756,$Q$11,TRUE)</f>
        <v>0.24722222222222223</v>
      </c>
      <c r="R756" s="150">
        <f ca="1">IF(NOW(),_xll.meCurveForwardRatesFromYearFraction(P756,Q756,$Q$11,$Q$9,$Q$10))</f>
        <v>-3.7175485397107962E-3</v>
      </c>
      <c r="S756" s="134" t="s">
        <v>4</v>
      </c>
    </row>
    <row r="757" spans="1:19" x14ac:dyDescent="0.25">
      <c r="A757" s="128">
        <v>741</v>
      </c>
      <c r="B757" s="133"/>
      <c r="C757" s="149">
        <f ca="1">_xll.meDateFromTenor(C756,"1D","FOLLOWING",$D$11,"NORMAL")</f>
        <v>43517</v>
      </c>
      <c r="D757" s="20">
        <f ca="1">_xll.meDateFromTenor(C757,"1D","Following",$D$11,"Normal")</f>
        <v>43518</v>
      </c>
      <c r="E757" s="99">
        <f ca="1"/>
        <v>1.0842638587851321E-2</v>
      </c>
      <c r="F757" s="161">
        <f ca="1">_xll.meCurveForwardRates(C757,$D$9,$D$10)</f>
        <v>1.0901467960872102E-2</v>
      </c>
      <c r="G757" s="7" t="s">
        <v>4</v>
      </c>
      <c r="H757" s="149">
        <f t="shared" ca="1" si="22"/>
        <v>43517</v>
      </c>
      <c r="I757" s="20">
        <f ca="1">_xll.meDateFromTenor(H757,"3M","Following",$I$11,"Normal")</f>
        <v>43606</v>
      </c>
      <c r="J757" s="150">
        <f ca="1"/>
        <v>1.4586908474927164E-2</v>
      </c>
      <c r="K757" s="7" t="s">
        <v>4</v>
      </c>
      <c r="L757" s="149" t="e">
        <f ca="1">_xll.meDateFromTenor(L756,"1D","FOLLOWING",#REF!,"NORMAL")</f>
        <v>#VALUE!</v>
      </c>
      <c r="M757" s="155">
        <f ca="1">_xll.meDateYearFraction(C757,D757,$M$11)</f>
        <v>2.7777777777777779E-3</v>
      </c>
      <c r="N757" s="150">
        <f ca="1"/>
        <v>-2.4300000000065936E-3</v>
      </c>
      <c r="O757" s="7" t="s">
        <v>4</v>
      </c>
      <c r="P757" s="149">
        <f t="shared" ca="1" si="23"/>
        <v>43517</v>
      </c>
      <c r="Q757" s="155">
        <f ca="1">_xll.meDateYearFraction(H757,I757,$Q$11,TRUE)</f>
        <v>0.24722222222222223</v>
      </c>
      <c r="R757" s="150">
        <f ca="1">IF(NOW(),_xll.meCurveForwardRatesFromYearFraction(P757,Q757,$Q$11,$Q$9,$Q$10))</f>
        <v>-1.9597226383329951E-3</v>
      </c>
      <c r="S757" s="134" t="s">
        <v>4</v>
      </c>
    </row>
    <row r="758" spans="1:19" x14ac:dyDescent="0.25">
      <c r="A758" s="128">
        <v>742</v>
      </c>
      <c r="B758" s="133"/>
      <c r="C758" s="149">
        <f ca="1">_xll.meDateFromTenor(C757,"1D","FOLLOWING",$D$11,"NORMAL")</f>
        <v>43518</v>
      </c>
      <c r="D758" s="20">
        <f ca="1">_xll.meDateFromTenor(C758,"1D","Following",$D$11,"Normal")</f>
        <v>43521</v>
      </c>
      <c r="E758" s="99">
        <f ca="1"/>
        <v>1.0859343827656114E-2</v>
      </c>
      <c r="F758" s="161">
        <f ca="1">_xll.meCurveForwardRates(C758,$D$9,$D$10)</f>
        <v>1.0909693874236792E-2</v>
      </c>
      <c r="G758" s="7" t="s">
        <v>4</v>
      </c>
      <c r="H758" s="149">
        <f t="shared" ca="1" si="22"/>
        <v>43518</v>
      </c>
      <c r="I758" s="20">
        <f ca="1">_xll.meDateFromTenor(H758,"3M","Following",$I$11,"Normal")</f>
        <v>43607</v>
      </c>
      <c r="J758" s="150">
        <f ca="1"/>
        <v>1.4593353207070267E-2</v>
      </c>
      <c r="K758" s="7" t="s">
        <v>4</v>
      </c>
      <c r="L758" s="149" t="e">
        <f ca="1">_xll.meDateFromTenor(L757,"1D","FOLLOWING",#REF!,"NORMAL")</f>
        <v>#VALUE!</v>
      </c>
      <c r="M758" s="155">
        <f ca="1">_xll.meDateYearFraction(C758,D758,$M$11)</f>
        <v>8.3333333333333332E-3</v>
      </c>
      <c r="N758" s="150">
        <f ca="1"/>
        <v>-2.4300000000065936E-3</v>
      </c>
      <c r="O758" s="7" t="s">
        <v>4</v>
      </c>
      <c r="P758" s="149">
        <f t="shared" ca="1" si="23"/>
        <v>43518</v>
      </c>
      <c r="Q758" s="155">
        <f ca="1">_xll.meDateYearFraction(H758,I758,$Q$11,TRUE)</f>
        <v>0.24722222222222223</v>
      </c>
      <c r="R758" s="150">
        <f ca="1">IF(NOW(),_xll.meCurveForwardRatesFromYearFraction(P758,Q758,$Q$11,$Q$9,$Q$10))</f>
        <v>-3.7175485397107962E-3</v>
      </c>
      <c r="S758" s="134" t="s">
        <v>4</v>
      </c>
    </row>
    <row r="759" spans="1:19" x14ac:dyDescent="0.25">
      <c r="A759" s="128">
        <v>743</v>
      </c>
      <c r="B759" s="133"/>
      <c r="C759" s="149">
        <f ca="1">_xll.meDateFromTenor(C758,"1D","FOLLOWING",$D$11,"NORMAL")</f>
        <v>43521</v>
      </c>
      <c r="D759" s="20">
        <f ca="1">_xll.meDateFromTenor(C759,"1D","Following",$D$11,"Normal")</f>
        <v>43522</v>
      </c>
      <c r="E759" s="99">
        <f ca="1"/>
        <v>1.087442864683482E-2</v>
      </c>
      <c r="F759" s="161">
        <f ca="1">_xll.meCurveForwardRates(C759,$D$9,$D$10)</f>
        <v>1.0933604119657714E-2</v>
      </c>
      <c r="G759" s="7" t="s">
        <v>4</v>
      </c>
      <c r="H759" s="149">
        <f t="shared" ca="1" si="22"/>
        <v>43521</v>
      </c>
      <c r="I759" s="20">
        <f ca="1">_xll.meDateFromTenor(H759,"3M","Following",$I$11,"Normal")</f>
        <v>43613</v>
      </c>
      <c r="J759" s="150">
        <f ca="1"/>
        <v>1.4612687403499578E-2</v>
      </c>
      <c r="K759" s="7" t="s">
        <v>4</v>
      </c>
      <c r="L759" s="149" t="e">
        <f ca="1">_xll.meDateFromTenor(L758,"1D","FOLLOWING",#REF!,"NORMAL")</f>
        <v>#VALUE!</v>
      </c>
      <c r="M759" s="155">
        <f ca="1">_xll.meDateYearFraction(C759,D759,$M$11)</f>
        <v>2.7777777777777779E-3</v>
      </c>
      <c r="N759" s="150">
        <f ca="1"/>
        <v>-2.4300000000065936E-3</v>
      </c>
      <c r="O759" s="7" t="s">
        <v>4</v>
      </c>
      <c r="P759" s="149">
        <f t="shared" ca="1" si="23"/>
        <v>43521</v>
      </c>
      <c r="Q759" s="155">
        <f ca="1">_xll.meDateYearFraction(H759,I759,$Q$11,TRUE)</f>
        <v>0.25555555555555554</v>
      </c>
      <c r="R759" s="150">
        <f ca="1">IF(NOW(),_xll.meCurveForwardRatesFromYearFraction(P759,Q759,$Q$11,$Q$9,$Q$10))</f>
        <v>-3.7175485397107962E-3</v>
      </c>
      <c r="S759" s="134" t="s">
        <v>4</v>
      </c>
    </row>
    <row r="760" spans="1:19" x14ac:dyDescent="0.25">
      <c r="A760" s="128">
        <v>744</v>
      </c>
      <c r="B760" s="133"/>
      <c r="C760" s="149">
        <f ca="1">_xll.meDateFromTenor(C759,"1D","FOLLOWING",$D$11,"NORMAL")</f>
        <v>43522</v>
      </c>
      <c r="D760" s="20">
        <f ca="1">_xll.meDateFromTenor(C760,"1D","Following",$D$11,"Normal")</f>
        <v>43523</v>
      </c>
      <c r="E760" s="99">
        <f ca="1"/>
        <v>1.0880379233100295E-2</v>
      </c>
      <c r="F760" s="161">
        <f ca="1">_xll.meCurveForwardRates(C760,$D$9,$D$10)</f>
        <v>1.0939619603417716E-2</v>
      </c>
      <c r="G760" s="7" t="s">
        <v>4</v>
      </c>
      <c r="H760" s="149">
        <f t="shared" ca="1" si="22"/>
        <v>43522</v>
      </c>
      <c r="I760" s="20">
        <f ca="1">_xll.meDateFromTenor(H760,"3M","Following",$I$11,"Normal")</f>
        <v>43613</v>
      </c>
      <c r="J760" s="150">
        <f ca="1"/>
        <v>1.4619182115079904E-2</v>
      </c>
      <c r="K760" s="7" t="s">
        <v>4</v>
      </c>
      <c r="L760" s="149" t="e">
        <f ca="1">_xll.meDateFromTenor(L759,"1D","FOLLOWING",#REF!,"NORMAL")</f>
        <v>#VALUE!</v>
      </c>
      <c r="M760" s="155">
        <f ca="1">_xll.meDateYearFraction(C760,D760,$M$11)</f>
        <v>2.7777777777777779E-3</v>
      </c>
      <c r="N760" s="150">
        <f ca="1"/>
        <v>-2.4300000000065936E-3</v>
      </c>
      <c r="O760" s="7" t="s">
        <v>4</v>
      </c>
      <c r="P760" s="149">
        <f t="shared" ca="1" si="23"/>
        <v>43522</v>
      </c>
      <c r="Q760" s="155">
        <f ca="1">_xll.meDateYearFraction(H760,I760,$Q$11,TRUE)</f>
        <v>0.25277777777777777</v>
      </c>
      <c r="R760" s="150">
        <f ca="1">IF(NOW(),_xll.meCurveForwardRatesFromYearFraction(P760,Q760,$Q$11,$Q$9,$Q$10))</f>
        <v>-3.7175485397107962E-3</v>
      </c>
      <c r="S760" s="134" t="s">
        <v>4</v>
      </c>
    </row>
    <row r="761" spans="1:19" x14ac:dyDescent="0.25">
      <c r="A761" s="128">
        <v>745</v>
      </c>
      <c r="B761" s="133"/>
      <c r="C761" s="149">
        <f ca="1">_xll.meDateFromTenor(C760,"1D","FOLLOWING",$D$11,"NORMAL")</f>
        <v>43523</v>
      </c>
      <c r="D761" s="20">
        <f ca="1">_xll.meDateFromTenor(C761,"1D","Following",$D$11,"Normal")</f>
        <v>43524</v>
      </c>
      <c r="E761" s="99">
        <f ca="1"/>
        <v>1.0886331227038009E-2</v>
      </c>
      <c r="F761" s="161">
        <f ca="1">_xll.meCurveForwardRates(C761,$D$9,$D$10)</f>
        <v>1.0945636545909965E-2</v>
      </c>
      <c r="G761" s="7" t="s">
        <v>4</v>
      </c>
      <c r="H761" s="149">
        <f t="shared" ca="1" si="22"/>
        <v>43523</v>
      </c>
      <c r="I761" s="20">
        <f ca="1">_xll.meDateFromTenor(H761,"3M","Following",$I$11,"Normal")</f>
        <v>43613</v>
      </c>
      <c r="J761" s="150">
        <f ca="1"/>
        <v>1.4625771064831419E-2</v>
      </c>
      <c r="K761" s="7" t="s">
        <v>4</v>
      </c>
      <c r="L761" s="149" t="e">
        <f ca="1">_xll.meDateFromTenor(L760,"1D","FOLLOWING",#REF!,"NORMAL")</f>
        <v>#VALUE!</v>
      </c>
      <c r="M761" s="155">
        <f ca="1">_xll.meDateYearFraction(C761,D761,$M$11)</f>
        <v>2.7777777777777779E-3</v>
      </c>
      <c r="N761" s="150">
        <f ca="1"/>
        <v>-2.4300000000065936E-3</v>
      </c>
      <c r="O761" s="7" t="s">
        <v>4</v>
      </c>
      <c r="P761" s="149">
        <f t="shared" ca="1" si="23"/>
        <v>43523</v>
      </c>
      <c r="Q761" s="155">
        <f ca="1">_xll.meDateYearFraction(H761,I761,$Q$11,TRUE)</f>
        <v>0.25</v>
      </c>
      <c r="R761" s="150">
        <f ca="1">IF(NOW(),_xll.meCurveForwardRatesFromYearFraction(P761,Q761,$Q$11,$Q$9,$Q$10))</f>
        <v>-1.9286901098432914E-3</v>
      </c>
      <c r="S761" s="134" t="s">
        <v>4</v>
      </c>
    </row>
    <row r="762" spans="1:19" x14ac:dyDescent="0.25">
      <c r="A762" s="128">
        <v>746</v>
      </c>
      <c r="B762" s="133"/>
      <c r="C762" s="149">
        <f ca="1">_xll.meDateFromTenor(C761,"1D","FOLLOWING",$D$11,"NORMAL")</f>
        <v>43524</v>
      </c>
      <c r="D762" s="20">
        <f ca="1">_xll.meDateFromTenor(C762,"1D","Following",$D$11,"Normal")</f>
        <v>43525</v>
      </c>
      <c r="E762" s="99">
        <f ca="1"/>
        <v>1.0892284629129317E-2</v>
      </c>
      <c r="F762" s="161">
        <f ca="1">_xll.meCurveForwardRates(C762,$D$9,$D$10)</f>
        <v>1.0951654947646494E-2</v>
      </c>
      <c r="G762" s="7" t="s">
        <v>4</v>
      </c>
      <c r="H762" s="149">
        <f t="shared" ca="1" si="22"/>
        <v>43524</v>
      </c>
      <c r="I762" s="20">
        <f ca="1">_xll.meDateFromTenor(H762,"3M","Following",$I$11,"Normal")</f>
        <v>43613</v>
      </c>
      <c r="J762" s="150">
        <f ca="1"/>
        <v>1.463244567169924E-2</v>
      </c>
      <c r="K762" s="7" t="s">
        <v>4</v>
      </c>
      <c r="L762" s="149" t="e">
        <f ca="1">_xll.meDateFromTenor(L761,"1D","FOLLOWING",#REF!,"NORMAL")</f>
        <v>#VALUE!</v>
      </c>
      <c r="M762" s="155">
        <f ca="1">_xll.meDateYearFraction(C762,D762,$M$11)</f>
        <v>2.7777777777777779E-3</v>
      </c>
      <c r="N762" s="150">
        <f ca="1"/>
        <v>-2.4300000000065936E-3</v>
      </c>
      <c r="O762" s="7" t="s">
        <v>4</v>
      </c>
      <c r="P762" s="149">
        <f t="shared" ca="1" si="23"/>
        <v>43524</v>
      </c>
      <c r="Q762" s="155">
        <f ca="1">_xll.meDateYearFraction(H762,I762,$Q$11,TRUE)</f>
        <v>0.24722222222222223</v>
      </c>
      <c r="R762" s="150">
        <f ca="1">IF(NOW(),_xll.meCurveForwardRatesFromYearFraction(P762,Q762,$Q$11,$Q$9,$Q$10))</f>
        <v>-3.7175485397107962E-3</v>
      </c>
      <c r="S762" s="134" t="s">
        <v>4</v>
      </c>
    </row>
    <row r="763" spans="1:19" x14ac:dyDescent="0.25">
      <c r="A763" s="128">
        <v>747</v>
      </c>
      <c r="B763" s="133"/>
      <c r="C763" s="149">
        <f ca="1">_xll.meDateFromTenor(C762,"1D","FOLLOWING",$D$11,"NORMAL")</f>
        <v>43525</v>
      </c>
      <c r="D763" s="20">
        <f ca="1">_xll.meDateFromTenor(C763,"1D","Following",$D$11,"Normal")</f>
        <v>43528</v>
      </c>
      <c r="E763" s="99">
        <f ca="1"/>
        <v>1.0904526414528031E-2</v>
      </c>
      <c r="F763" s="161">
        <f ca="1">_xll.meCurveForwardRates(C763,$D$9,$D$10)</f>
        <v>1.0957674809138229E-2</v>
      </c>
      <c r="G763" s="7" t="s">
        <v>4</v>
      </c>
      <c r="H763" s="149">
        <f t="shared" ca="1" si="22"/>
        <v>43525</v>
      </c>
      <c r="I763" s="20">
        <f ca="1">_xll.meDateFromTenor(H763,"3M","Following",$I$11,"Normal")</f>
        <v>43619</v>
      </c>
      <c r="J763" s="150">
        <f ca="1"/>
        <v>1.4639197354628481E-2</v>
      </c>
      <c r="K763" s="7" t="s">
        <v>4</v>
      </c>
      <c r="L763" s="149" t="e">
        <f ca="1">_xll.meDateFromTenor(L762,"1D","FOLLOWING",#REF!,"NORMAL")</f>
        <v>#VALUE!</v>
      </c>
      <c r="M763" s="155">
        <f ca="1">_xll.meDateYearFraction(C763,D763,$M$11)</f>
        <v>8.3333333333333332E-3</v>
      </c>
      <c r="N763" s="150">
        <f ca="1"/>
        <v>-2.4300000000065936E-3</v>
      </c>
      <c r="O763" s="7" t="s">
        <v>4</v>
      </c>
      <c r="P763" s="149">
        <f t="shared" ca="1" si="23"/>
        <v>43525</v>
      </c>
      <c r="Q763" s="155">
        <f ca="1">_xll.meDateYearFraction(H763,I763,$Q$11,TRUE)</f>
        <v>0.26111111111111113</v>
      </c>
      <c r="R763" s="150">
        <f ca="1">IF(NOW(),_xll.meCurveForwardRatesFromYearFraction(P763,Q763,$Q$11,$Q$9,$Q$10))</f>
        <v>-1.9189959569743625E-3</v>
      </c>
      <c r="S763" s="134" t="s">
        <v>4</v>
      </c>
    </row>
    <row r="764" spans="1:19" x14ac:dyDescent="0.25">
      <c r="A764" s="128">
        <v>748</v>
      </c>
      <c r="B764" s="133"/>
      <c r="C764" s="149">
        <f ca="1">_xll.meDateFromTenor(C763,"1D","FOLLOWING",$D$11,"NORMAL")</f>
        <v>43528</v>
      </c>
      <c r="D764" s="20">
        <f ca="1">_xll.meDateFromTenor(C764,"1D","Following",$D$11,"Normal")</f>
        <v>43529</v>
      </c>
      <c r="E764" s="99">
        <f ca="1"/>
        <v>1.0916112327503707E-2</v>
      </c>
      <c r="F764" s="161">
        <f ca="1">_xll.meCurveForwardRates(C764,$D$9,$D$10)</f>
        <v>1.0975743156115492E-2</v>
      </c>
      <c r="G764" s="7" t="s">
        <v>4</v>
      </c>
      <c r="H764" s="149">
        <f t="shared" ca="1" si="22"/>
        <v>43528</v>
      </c>
      <c r="I764" s="20">
        <f ca="1">_xll.meDateFromTenor(H764,"3M","Following",$I$11,"Normal")</f>
        <v>43620</v>
      </c>
      <c r="J764" s="150">
        <f ca="1"/>
        <v>1.4659829049235877E-2</v>
      </c>
      <c r="K764" s="7" t="s">
        <v>4</v>
      </c>
      <c r="L764" s="149" t="e">
        <f ca="1">_xll.meDateFromTenor(L763,"1D","FOLLOWING",#REF!,"NORMAL")</f>
        <v>#VALUE!</v>
      </c>
      <c r="M764" s="155">
        <f ca="1">_xll.meDateYearFraction(C764,D764,$M$11)</f>
        <v>2.7777777777777779E-3</v>
      </c>
      <c r="N764" s="150">
        <f ca="1"/>
        <v>-2.4300000000065936E-3</v>
      </c>
      <c r="O764" s="7" t="s">
        <v>4</v>
      </c>
      <c r="P764" s="149">
        <f t="shared" ca="1" si="23"/>
        <v>43528</v>
      </c>
      <c r="Q764" s="155">
        <f ca="1">_xll.meDateYearFraction(H764,I764,$Q$11,TRUE)</f>
        <v>0.25555555555555554</v>
      </c>
      <c r="R764" s="150">
        <f ca="1">IF(NOW(),_xll.meCurveForwardRatesFromYearFraction(P764,Q764,$Q$11,$Q$9,$Q$10))</f>
        <v>-3.7175485397107962E-3</v>
      </c>
      <c r="S764" s="134" t="s">
        <v>4</v>
      </c>
    </row>
    <row r="765" spans="1:19" x14ac:dyDescent="0.25">
      <c r="A765" s="128">
        <v>749</v>
      </c>
      <c r="B765" s="133"/>
      <c r="C765" s="149">
        <f ca="1">_xll.meDateFromTenor(C764,"1D","FOLLOWING",$D$11,"NORMAL")</f>
        <v>43529</v>
      </c>
      <c r="D765" s="20">
        <f ca="1">_xll.meDateFromTenor(C765,"1D","Following",$D$11,"Normal")</f>
        <v>43530</v>
      </c>
      <c r="E765" s="99">
        <f ca="1"/>
        <v>1.0922072776757868E-2</v>
      </c>
      <c r="F765" s="161">
        <f ca="1">_xll.meCurveForwardRates(C765,$D$9,$D$10)</f>
        <v>1.098176886092328E-2</v>
      </c>
      <c r="G765" s="7" t="s">
        <v>4</v>
      </c>
      <c r="H765" s="149">
        <f t="shared" ca="1" si="22"/>
        <v>43529</v>
      </c>
      <c r="I765" s="20">
        <f ca="1">_xll.meDateFromTenor(H765,"3M","Following",$I$11,"Normal")</f>
        <v>43621</v>
      </c>
      <c r="J765" s="150">
        <f ca="1"/>
        <v>1.4666803225861955E-2</v>
      </c>
      <c r="K765" s="7" t="s">
        <v>4</v>
      </c>
      <c r="L765" s="149" t="e">
        <f ca="1">_xll.meDateFromTenor(L764,"1D","FOLLOWING",#REF!,"NORMAL")</f>
        <v>#VALUE!</v>
      </c>
      <c r="M765" s="155">
        <f ca="1">_xll.meDateYearFraction(C765,D765,$M$11)</f>
        <v>2.7777777777777779E-3</v>
      </c>
      <c r="N765" s="150">
        <f ca="1"/>
        <v>-2.4300000000065936E-3</v>
      </c>
      <c r="O765" s="7" t="s">
        <v>4</v>
      </c>
      <c r="P765" s="149">
        <f t="shared" ca="1" si="23"/>
        <v>43529</v>
      </c>
      <c r="Q765" s="155">
        <f ca="1">_xll.meDateYearFraction(H765,I765,$Q$11,TRUE)</f>
        <v>0.25555555555555554</v>
      </c>
      <c r="R765" s="150">
        <f ca="1">IF(NOW(),_xll.meCurveForwardRatesFromYearFraction(P765,Q765,$Q$11,$Q$9,$Q$10))</f>
        <v>-1.9004405743699192E-3</v>
      </c>
      <c r="S765" s="134" t="s">
        <v>4</v>
      </c>
    </row>
    <row r="766" spans="1:19" x14ac:dyDescent="0.25">
      <c r="A766" s="128">
        <v>750</v>
      </c>
      <c r="B766" s="133"/>
      <c r="C766" s="149">
        <f ca="1">_xll.meDateFromTenor(C765,"1D","FOLLOWING",$D$11,"NORMAL")</f>
        <v>43530</v>
      </c>
      <c r="D766" s="20">
        <f ca="1">_xll.meDateFromTenor(C766,"1D","Following",$D$11,"Normal")</f>
        <v>43531</v>
      </c>
      <c r="E766" s="99">
        <f ca="1"/>
        <v>1.0928034636883448E-2</v>
      </c>
      <c r="F766" s="161">
        <f ca="1">_xll.meCurveForwardRates(C766,$D$9,$D$10)</f>
        <v>1.0987796027876584E-2</v>
      </c>
      <c r="G766" s="7" t="s">
        <v>4</v>
      </c>
      <c r="H766" s="149">
        <f t="shared" ca="1" si="22"/>
        <v>43530</v>
      </c>
      <c r="I766" s="20">
        <f ca="1">_xll.meDateFromTenor(H766,"3M","Following",$I$11,"Normal")</f>
        <v>43622</v>
      </c>
      <c r="J766" s="150">
        <f ca="1"/>
        <v>1.467381157327503E-2</v>
      </c>
      <c r="K766" s="7" t="s">
        <v>4</v>
      </c>
      <c r="L766" s="149" t="e">
        <f ca="1">_xll.meDateFromTenor(L765,"1D","FOLLOWING",#REF!,"NORMAL")</f>
        <v>#VALUE!</v>
      </c>
      <c r="M766" s="155">
        <f ca="1">_xll.meDateYearFraction(C766,D766,$M$11)</f>
        <v>2.7777777777777779E-3</v>
      </c>
      <c r="N766" s="150">
        <f ca="1"/>
        <v>-2.4300000000065936E-3</v>
      </c>
      <c r="O766" s="7" t="s">
        <v>4</v>
      </c>
      <c r="P766" s="149">
        <f t="shared" ca="1" si="23"/>
        <v>43530</v>
      </c>
      <c r="Q766" s="155">
        <f ca="1">_xll.meDateYearFraction(H766,I766,$Q$11,TRUE)</f>
        <v>0.25555555555555554</v>
      </c>
      <c r="R766" s="150">
        <f ca="1">IF(NOW(),_xll.meCurveForwardRatesFromYearFraction(P766,Q766,$Q$11,$Q$9,$Q$10))</f>
        <v>-3.7175485397107962E-3</v>
      </c>
      <c r="S766" s="134" t="s">
        <v>4</v>
      </c>
    </row>
    <row r="767" spans="1:19" x14ac:dyDescent="0.25">
      <c r="A767" s="128">
        <v>751</v>
      </c>
      <c r="B767" s="133"/>
      <c r="C767" s="149">
        <f ca="1">_xll.meDateFromTenor(C766,"1D","FOLLOWING",$D$11,"NORMAL")</f>
        <v>43531</v>
      </c>
      <c r="D767" s="20">
        <f ca="1">_xll.meDateFromTenor(C767,"1D","Following",$D$11,"Normal")</f>
        <v>43532</v>
      </c>
      <c r="E767" s="99">
        <f ca="1"/>
        <v>1.0933997908040321E-2</v>
      </c>
      <c r="F767" s="161">
        <f ca="1">_xll.meCurveForwardRates(C767,$D$9,$D$10)</f>
        <v>1.099382465716281E-2</v>
      </c>
      <c r="G767" s="7" t="s">
        <v>4</v>
      </c>
      <c r="H767" s="149">
        <f t="shared" ca="1" si="22"/>
        <v>43531</v>
      </c>
      <c r="I767" s="20">
        <f ca="1">_xll.meDateFromTenor(H767,"3M","Following",$I$11,"Normal")</f>
        <v>43623</v>
      </c>
      <c r="J767" s="150">
        <f ca="1"/>
        <v>1.468084551042022E-2</v>
      </c>
      <c r="K767" s="7" t="s">
        <v>4</v>
      </c>
      <c r="L767" s="149" t="e">
        <f ca="1">_xll.meDateFromTenor(L766,"1D","FOLLOWING",#REF!,"NORMAL")</f>
        <v>#VALUE!</v>
      </c>
      <c r="M767" s="155">
        <f ca="1">_xll.meDateYearFraction(C767,D767,$M$11)</f>
        <v>2.7777777777777779E-3</v>
      </c>
      <c r="N767" s="150">
        <f ca="1"/>
        <v>-2.4300000000065936E-3</v>
      </c>
      <c r="O767" s="7" t="s">
        <v>4</v>
      </c>
      <c r="P767" s="149">
        <f t="shared" ca="1" si="23"/>
        <v>43531</v>
      </c>
      <c r="Q767" s="155">
        <f ca="1">_xll.meDateYearFraction(H767,I767,$Q$11,TRUE)</f>
        <v>0.25555555555555554</v>
      </c>
      <c r="R767" s="150">
        <f ca="1">IF(NOW(),_xll.meCurveForwardRatesFromYearFraction(P767,Q767,$Q$11,$Q$9,$Q$10))</f>
        <v>-3.7175485397107962E-3</v>
      </c>
      <c r="S767" s="134" t="s">
        <v>4</v>
      </c>
    </row>
    <row r="768" spans="1:19" x14ac:dyDescent="0.25">
      <c r="A768" s="128">
        <v>752</v>
      </c>
      <c r="B768" s="133"/>
      <c r="C768" s="149">
        <f ca="1">_xll.meDateFromTenor(C767,"1D","FOLLOWING",$D$11,"NORMAL")</f>
        <v>43532</v>
      </c>
      <c r="D768" s="20">
        <f ca="1">_xll.meDateFromTenor(C768,"1D","Following",$D$11,"Normal")</f>
        <v>43535</v>
      </c>
      <c r="E768" s="99">
        <f ca="1"/>
        <v>1.0946261974762488E-2</v>
      </c>
      <c r="F768" s="161">
        <f ca="1">_xll.meCurveForwardRates(C768,$D$9,$D$10)</f>
        <v>1.0999854749454085E-2</v>
      </c>
      <c r="G768" s="7" t="s">
        <v>4</v>
      </c>
      <c r="H768" s="149">
        <f t="shared" ca="1" si="22"/>
        <v>43532</v>
      </c>
      <c r="I768" s="20">
        <f ca="1">_xll.meDateFromTenor(H768,"3M","Following",$I$11,"Normal")</f>
        <v>43626</v>
      </c>
      <c r="J768" s="150">
        <f ca="1"/>
        <v>1.4687896456242636E-2</v>
      </c>
      <c r="K768" s="7" t="s">
        <v>4</v>
      </c>
      <c r="L768" s="149" t="e">
        <f ca="1">_xll.meDateFromTenor(L767,"1D","FOLLOWING",#REF!,"NORMAL")</f>
        <v>#VALUE!</v>
      </c>
      <c r="M768" s="155">
        <f ca="1">_xll.meDateYearFraction(C768,D768,$M$11)</f>
        <v>8.3333333333333332E-3</v>
      </c>
      <c r="N768" s="150">
        <f ca="1"/>
        <v>-2.4300000000065936E-3</v>
      </c>
      <c r="O768" s="7" t="s">
        <v>4</v>
      </c>
      <c r="P768" s="149">
        <f t="shared" ca="1" si="23"/>
        <v>43532</v>
      </c>
      <c r="Q768" s="155">
        <f ca="1">_xll.meDateYearFraction(H768,I768,$Q$11,TRUE)</f>
        <v>0.26111111111111113</v>
      </c>
      <c r="R768" s="150">
        <f ca="1">IF(NOW(),_xll.meCurveForwardRatesFromYearFraction(P768,Q768,$Q$11,$Q$9,$Q$10))</f>
        <v>-3.7175485397107962E-3</v>
      </c>
      <c r="S768" s="134" t="s">
        <v>4</v>
      </c>
    </row>
    <row r="769" spans="1:19" x14ac:dyDescent="0.25">
      <c r="A769" s="128">
        <v>753</v>
      </c>
      <c r="B769" s="133"/>
      <c r="C769" s="149">
        <f ca="1">_xll.meDateFromTenor(C768,"1D","FOLLOWING",$D$11,"NORMAL")</f>
        <v>43535</v>
      </c>
      <c r="D769" s="20">
        <f ca="1">_xll.meDateFromTenor(C769,"1D","Following",$D$11,"Normal")</f>
        <v>43536</v>
      </c>
      <c r="E769" s="99">
        <f ca="1"/>
        <v>1.0957865113212544E-2</v>
      </c>
      <c r="F769" s="161">
        <f ca="1">_xll.meCurveForwardRates(C769,$D$9,$D$10)</f>
        <v>1.1017953808494685E-2</v>
      </c>
      <c r="G769" s="7" t="s">
        <v>4</v>
      </c>
      <c r="H769" s="149">
        <f t="shared" ca="1" si="22"/>
        <v>43535</v>
      </c>
      <c r="I769" s="20">
        <f ca="1">_xll.meDateFromTenor(H769,"3M","Following",$I$11,"Normal")</f>
        <v>43627</v>
      </c>
      <c r="J769" s="150">
        <f ca="1"/>
        <v>1.470907728624762E-2</v>
      </c>
      <c r="K769" s="7" t="s">
        <v>4</v>
      </c>
      <c r="L769" s="149" t="e">
        <f ca="1">_xll.meDateFromTenor(L768,"1D","FOLLOWING",#REF!,"NORMAL")</f>
        <v>#VALUE!</v>
      </c>
      <c r="M769" s="155">
        <f ca="1">_xll.meDateYearFraction(C769,D769,$M$11)</f>
        <v>2.7777777777777779E-3</v>
      </c>
      <c r="N769" s="150">
        <f ca="1"/>
        <v>-2.4300000000065936E-3</v>
      </c>
      <c r="O769" s="7" t="s">
        <v>4</v>
      </c>
      <c r="P769" s="149">
        <f t="shared" ca="1" si="23"/>
        <v>43535</v>
      </c>
      <c r="Q769" s="155">
        <f ca="1">_xll.meDateYearFraction(H769,I769,$Q$11,TRUE)</f>
        <v>0.25555555555555554</v>
      </c>
      <c r="R769" s="150">
        <f ca="1">IF(NOW(),_xll.meCurveForwardRatesFromYearFraction(P769,Q769,$Q$11,$Q$9,$Q$10))</f>
        <v>-1.8744269582709357E-3</v>
      </c>
      <c r="S769" s="134" t="s">
        <v>4</v>
      </c>
    </row>
    <row r="770" spans="1:19" x14ac:dyDescent="0.25">
      <c r="A770" s="128">
        <v>754</v>
      </c>
      <c r="B770" s="133"/>
      <c r="C770" s="149">
        <f ca="1">_xll.meDateFromTenor(C769,"1D","FOLLOWING",$D$11,"NORMAL")</f>
        <v>43536</v>
      </c>
      <c r="D770" s="20">
        <f ca="1">_xll.meDateFromTenor(C770,"1D","Following",$D$11,"Normal")</f>
        <v>43537</v>
      </c>
      <c r="E770" s="99">
        <f ca="1"/>
        <v>1.0963835446800057E-2</v>
      </c>
      <c r="F770" s="161">
        <f ca="1">_xll.meCurveForwardRates(C770,$D$9,$D$10)</f>
        <v>1.1023989757184882E-2</v>
      </c>
      <c r="G770" s="7" t="s">
        <v>4</v>
      </c>
      <c r="H770" s="149">
        <f t="shared" ca="1" si="22"/>
        <v>43536</v>
      </c>
      <c r="I770" s="20">
        <f ca="1">_xll.meDateFromTenor(H770,"3M","Following",$I$11,"Normal")</f>
        <v>43628</v>
      </c>
      <c r="J770" s="150">
        <f ca="1"/>
        <v>1.4716138014523643E-2</v>
      </c>
      <c r="K770" s="7" t="s">
        <v>4</v>
      </c>
      <c r="L770" s="149" t="e">
        <f ca="1">_xll.meDateFromTenor(L769,"1D","FOLLOWING",#REF!,"NORMAL")</f>
        <v>#VALUE!</v>
      </c>
      <c r="M770" s="155">
        <f ca="1">_xll.meDateYearFraction(C770,D770,$M$11)</f>
        <v>2.7777777777777779E-3</v>
      </c>
      <c r="N770" s="150">
        <f ca="1"/>
        <v>-2.4300000000065936E-3</v>
      </c>
      <c r="O770" s="7" t="s">
        <v>4</v>
      </c>
      <c r="P770" s="149">
        <f t="shared" ca="1" si="23"/>
        <v>43536</v>
      </c>
      <c r="Q770" s="155">
        <f ca="1">_xll.meDateYearFraction(H770,I770,$Q$11,TRUE)</f>
        <v>0.25555555555555554</v>
      </c>
      <c r="R770" s="150">
        <f ca="1">IF(NOW(),_xll.meCurveForwardRatesFromYearFraction(P770,Q770,$Q$11,$Q$9,$Q$10))</f>
        <v>-3.7175485397107962E-3</v>
      </c>
      <c r="S770" s="134" t="s">
        <v>4</v>
      </c>
    </row>
    <row r="771" spans="1:19" x14ac:dyDescent="0.25">
      <c r="A771" s="128">
        <v>755</v>
      </c>
      <c r="B771" s="133"/>
      <c r="C771" s="149">
        <f ca="1">_xll.meDateFromTenor(C770,"1D","FOLLOWING",$D$11,"NORMAL")</f>
        <v>43537</v>
      </c>
      <c r="D771" s="20">
        <f ca="1">_xll.meDateFromTenor(C771,"1D","Following",$D$11,"Normal")</f>
        <v>43538</v>
      </c>
      <c r="E771" s="99">
        <f ca="1"/>
        <v>1.0969807194216624E-2</v>
      </c>
      <c r="F771" s="161">
        <f ca="1">_xll.meCurveForwardRates(C771,$D$9,$D$10)</f>
        <v>1.1030027171190504E-2</v>
      </c>
      <c r="G771" s="7" t="s">
        <v>4</v>
      </c>
      <c r="H771" s="149">
        <f t="shared" ca="1" si="22"/>
        <v>43537</v>
      </c>
      <c r="I771" s="20">
        <f ca="1">_xll.meDateFromTenor(H771,"3M","Following",$I$11,"Normal")</f>
        <v>43629</v>
      </c>
      <c r="J771" s="150">
        <f ca="1"/>
        <v>1.4723198742799664E-2</v>
      </c>
      <c r="K771" s="7" t="s">
        <v>4</v>
      </c>
      <c r="L771" s="149" t="e">
        <f ca="1">_xll.meDateFromTenor(L770,"1D","FOLLOWING",#REF!,"NORMAL")</f>
        <v>#VALUE!</v>
      </c>
      <c r="M771" s="155">
        <f ca="1">_xll.meDateYearFraction(C771,D771,$M$11)</f>
        <v>2.7777777777777779E-3</v>
      </c>
      <c r="N771" s="150">
        <f ca="1"/>
        <v>-2.4300000000065936E-3</v>
      </c>
      <c r="O771" s="7" t="s">
        <v>4</v>
      </c>
      <c r="P771" s="149">
        <f t="shared" ca="1" si="23"/>
        <v>43537</v>
      </c>
      <c r="Q771" s="155">
        <f ca="1">_xll.meDateYearFraction(H771,I771,$Q$11,TRUE)</f>
        <v>0.25555555555555554</v>
      </c>
      <c r="R771" s="150">
        <f ca="1">IF(NOW(),_xll.meCurveForwardRatesFromYearFraction(P771,Q771,$Q$11,$Q$9,$Q$10))</f>
        <v>-1.8661708483130974E-3</v>
      </c>
      <c r="S771" s="134" t="s">
        <v>4</v>
      </c>
    </row>
    <row r="772" spans="1:19" x14ac:dyDescent="0.25">
      <c r="A772" s="128">
        <v>756</v>
      </c>
      <c r="B772" s="133"/>
      <c r="C772" s="149">
        <f ca="1">_xll.meDateFromTenor(C771,"1D","FOLLOWING",$D$11,"NORMAL")</f>
        <v>43538</v>
      </c>
      <c r="D772" s="20">
        <f ca="1">_xll.meDateFromTenor(C772,"1D","Following",$D$11,"Normal")</f>
        <v>43539</v>
      </c>
      <c r="E772" s="99">
        <f ca="1"/>
        <v>1.0975780355781988E-2</v>
      </c>
      <c r="F772" s="161">
        <f ca="1">_xll.meCurveForwardRates(C772,$D$9,$D$10)</f>
        <v>1.1036066050860827E-2</v>
      </c>
      <c r="G772" s="7" t="s">
        <v>4</v>
      </c>
      <c r="H772" s="149">
        <f t="shared" ca="1" si="22"/>
        <v>43538</v>
      </c>
      <c r="I772" s="20">
        <f ca="1">_xll.meDateFromTenor(H772,"3M","Following",$I$11,"Normal")</f>
        <v>43630</v>
      </c>
      <c r="J772" s="150">
        <f ca="1"/>
        <v>1.4730259471075686E-2</v>
      </c>
      <c r="K772" s="7" t="s">
        <v>4</v>
      </c>
      <c r="L772" s="149" t="e">
        <f ca="1">_xll.meDateFromTenor(L771,"1D","FOLLOWING",#REF!,"NORMAL")</f>
        <v>#VALUE!</v>
      </c>
      <c r="M772" s="155">
        <f ca="1">_xll.meDateYearFraction(C772,D772,$M$11)</f>
        <v>2.7777777777777779E-3</v>
      </c>
      <c r="N772" s="150">
        <f ca="1"/>
        <v>-2.4300000000065936E-3</v>
      </c>
      <c r="O772" s="7" t="s">
        <v>4</v>
      </c>
      <c r="P772" s="149">
        <f t="shared" ca="1" si="23"/>
        <v>43538</v>
      </c>
      <c r="Q772" s="155">
        <f ca="1">_xll.meDateYearFraction(H772,I772,$Q$11,TRUE)</f>
        <v>0.25555555555555554</v>
      </c>
      <c r="R772" s="150">
        <f ca="1">IF(NOW(),_xll.meCurveForwardRatesFromYearFraction(P772,Q772,$Q$11,$Q$9,$Q$10))</f>
        <v>-1.8621107668473007E-3</v>
      </c>
      <c r="S772" s="134" t="s">
        <v>4</v>
      </c>
    </row>
    <row r="773" spans="1:19" x14ac:dyDescent="0.25">
      <c r="A773" s="128">
        <v>757</v>
      </c>
      <c r="B773" s="133"/>
      <c r="C773" s="149">
        <f ca="1">_xll.meDateFromTenor(C772,"1D","FOLLOWING",$D$11,"NORMAL")</f>
        <v>43539</v>
      </c>
      <c r="D773" s="20">
        <f ca="1">_xll.meDateFromTenor(C773,"1D","Following",$D$11,"Normal")</f>
        <v>43542</v>
      </c>
      <c r="E773" s="99">
        <f ca="1"/>
        <v>1.0988066760422339E-2</v>
      </c>
      <c r="F773" s="161">
        <f ca="1">_xll.meCurveForwardRates(C773,$D$9,$D$10)</f>
        <v>1.1042106396787377E-2</v>
      </c>
      <c r="G773" s="7" t="s">
        <v>4</v>
      </c>
      <c r="H773" s="149">
        <f t="shared" ca="1" si="22"/>
        <v>43539</v>
      </c>
      <c r="I773" s="20">
        <f ca="1">_xll.meDateFromTenor(H773,"3M","Following",$I$11,"Normal")</f>
        <v>43633</v>
      </c>
      <c r="J773" s="150">
        <f ca="1"/>
        <v>1.4737320199351709E-2</v>
      </c>
      <c r="K773" s="7" t="s">
        <v>4</v>
      </c>
      <c r="L773" s="149" t="e">
        <f ca="1">_xll.meDateFromTenor(L772,"1D","FOLLOWING",#REF!,"NORMAL")</f>
        <v>#VALUE!</v>
      </c>
      <c r="M773" s="155">
        <f ca="1">_xll.meDateYearFraction(C773,D773,$M$11)</f>
        <v>8.3333333333333332E-3</v>
      </c>
      <c r="N773" s="150">
        <f ca="1"/>
        <v>-2.4300000000065936E-3</v>
      </c>
      <c r="O773" s="7" t="s">
        <v>4</v>
      </c>
      <c r="P773" s="149">
        <f t="shared" ca="1" si="23"/>
        <v>43539</v>
      </c>
      <c r="Q773" s="155">
        <f ca="1">_xll.meDateYearFraction(H773,I773,$Q$11,TRUE)</f>
        <v>0.26111111111111113</v>
      </c>
      <c r="R773" s="150">
        <f ca="1">IF(NOW(),_xll.meCurveForwardRatesFromYearFraction(P773,Q773,$Q$11,$Q$9,$Q$10))</f>
        <v>-1.8580930805010758E-3</v>
      </c>
      <c r="S773" s="134" t="s">
        <v>4</v>
      </c>
    </row>
    <row r="774" spans="1:19" x14ac:dyDescent="0.25">
      <c r="A774" s="128">
        <v>758</v>
      </c>
      <c r="B774" s="133"/>
      <c r="C774" s="149">
        <f ca="1">_xll.meDateFromTenor(C773,"1D","FOLLOWING",$D$11,"NORMAL")</f>
        <v>43542</v>
      </c>
      <c r="D774" s="20">
        <f ca="1">_xll.meDateFromTenor(C774,"1D","Following",$D$11,"Normal")</f>
        <v>43543</v>
      </c>
      <c r="E774" s="99">
        <f ca="1"/>
        <v>1.0999687153283628E-2</v>
      </c>
      <c r="F774" s="161">
        <f ca="1">_xll.meCurveForwardRates(C774,$D$9,$D$10)</f>
        <v>1.1060236236563714E-2</v>
      </c>
      <c r="G774" s="7" t="s">
        <v>4</v>
      </c>
      <c r="H774" s="149">
        <f t="shared" ca="1" si="22"/>
        <v>43542</v>
      </c>
      <c r="I774" s="20">
        <f ca="1">_xll.meDateFromTenor(H774,"3M","Following",$I$11,"Normal")</f>
        <v>43634</v>
      </c>
      <c r="J774" s="150">
        <f ca="1"/>
        <v>1.4758502384179778E-2</v>
      </c>
      <c r="K774" s="7" t="s">
        <v>4</v>
      </c>
      <c r="L774" s="149" t="e">
        <f ca="1">_xll.meDateFromTenor(L773,"1D","FOLLOWING",#REF!,"NORMAL")</f>
        <v>#VALUE!</v>
      </c>
      <c r="M774" s="155">
        <f ca="1">_xll.meDateYearFraction(C774,D774,$M$11)</f>
        <v>2.7777777777777779E-3</v>
      </c>
      <c r="N774" s="150">
        <f ca="1"/>
        <v>-2.4300000000065936E-3</v>
      </c>
      <c r="O774" s="7" t="s">
        <v>4</v>
      </c>
      <c r="P774" s="149">
        <f t="shared" ca="1" si="23"/>
        <v>43542</v>
      </c>
      <c r="Q774" s="155">
        <f ca="1">_xll.meDateYearFraction(H774,I774,$Q$11,TRUE)</f>
        <v>0.25555555555555554</v>
      </c>
      <c r="R774" s="150">
        <f ca="1">IF(NOW(),_xll.meCurveForwardRatesFromYearFraction(P774,Q774,$Q$11,$Q$9,$Q$10))</f>
        <v>-3.7175485397107962E-3</v>
      </c>
      <c r="S774" s="134" t="s">
        <v>4</v>
      </c>
    </row>
    <row r="775" spans="1:19" x14ac:dyDescent="0.25">
      <c r="A775" s="128">
        <v>759</v>
      </c>
      <c r="B775" s="133"/>
      <c r="C775" s="149">
        <f ca="1">_xll.meDateFromTenor(C774,"1D","FOLLOWING",$D$11,"NORMAL")</f>
        <v>43543</v>
      </c>
      <c r="D775" s="20">
        <f ca="1">_xll.meDateFromTenor(C775,"1D","Following",$D$11,"Normal")</f>
        <v>43544</v>
      </c>
      <c r="E775" s="99">
        <f ca="1"/>
        <v>1.1005667392467484E-2</v>
      </c>
      <c r="F775" s="161">
        <f ca="1">_xll.meCurveForwardRates(C775,$D$9,$D$10)</f>
        <v>1.1066282451894116E-2</v>
      </c>
      <c r="G775" s="7" t="s">
        <v>4</v>
      </c>
      <c r="H775" s="149">
        <f t="shared" ca="1" si="22"/>
        <v>43543</v>
      </c>
      <c r="I775" s="20">
        <f ca="1">_xll.meDateFromTenor(H775,"3M","Following",$I$11,"Normal")</f>
        <v>43635</v>
      </c>
      <c r="J775" s="150">
        <f ca="1"/>
        <v>1.4765563112455799E-2</v>
      </c>
      <c r="K775" s="7" t="s">
        <v>4</v>
      </c>
      <c r="L775" s="149" t="e">
        <f ca="1">_xll.meDateFromTenor(L774,"1D","FOLLOWING",#REF!,"NORMAL")</f>
        <v>#VALUE!</v>
      </c>
      <c r="M775" s="155">
        <f ca="1">_xll.meDateYearFraction(C775,D775,$M$11)</f>
        <v>2.7777777777777779E-3</v>
      </c>
      <c r="N775" s="150">
        <f ca="1"/>
        <v>-2.4300000000065936E-3</v>
      </c>
      <c r="O775" s="7" t="s">
        <v>4</v>
      </c>
      <c r="P775" s="149">
        <f t="shared" ca="1" si="23"/>
        <v>43543</v>
      </c>
      <c r="Q775" s="155">
        <f ca="1">_xll.meDateYearFraction(H775,I775,$Q$11,TRUE)</f>
        <v>0.25555555555555554</v>
      </c>
      <c r="R775" s="150">
        <f ca="1">IF(NOW(),_xll.meCurveForwardRatesFromYearFraction(P775,Q775,$Q$11,$Q$9,$Q$10))</f>
        <v>-1.8424024779742571E-3</v>
      </c>
      <c r="S775" s="134" t="s">
        <v>4</v>
      </c>
    </row>
    <row r="776" spans="1:19" x14ac:dyDescent="0.25">
      <c r="A776" s="128">
        <v>760</v>
      </c>
      <c r="B776" s="133"/>
      <c r="C776" s="149">
        <f ca="1">_xll.meDateFromTenor(C775,"1D","FOLLOWING",$D$11,"NORMAL")</f>
        <v>43544</v>
      </c>
      <c r="D776" s="20">
        <f ca="1">_xll.meDateFromTenor(C776,"1D","Following",$D$11,"Normal")</f>
        <v>43545</v>
      </c>
      <c r="E776" s="99">
        <f ca="1"/>
        <v>1.1011649048677836E-2</v>
      </c>
      <c r="F776" s="161">
        <f ca="1">_xll.meCurveForwardRates(C776,$D$9,$D$10)</f>
        <v>1.1072330135953434E-2</v>
      </c>
      <c r="G776" s="7" t="s">
        <v>4</v>
      </c>
      <c r="H776" s="149">
        <f t="shared" ca="1" si="22"/>
        <v>43544</v>
      </c>
      <c r="I776" s="20">
        <f ca="1">_xll.meDateFromTenor(H776,"3M","Following",$I$11,"Normal")</f>
        <v>43636</v>
      </c>
      <c r="J776" s="150">
        <f ca="1"/>
        <v>1.4772623840731821E-2</v>
      </c>
      <c r="K776" s="7" t="s">
        <v>4</v>
      </c>
      <c r="L776" s="149" t="e">
        <f ca="1">_xll.meDateFromTenor(L775,"1D","FOLLOWING",#REF!,"NORMAL")</f>
        <v>#VALUE!</v>
      </c>
      <c r="M776" s="155">
        <f ca="1">_xll.meDateYearFraction(C776,D776,$M$11)</f>
        <v>2.7777777777777779E-3</v>
      </c>
      <c r="N776" s="150">
        <f ca="1"/>
        <v>-2.4300000000065936E-3</v>
      </c>
      <c r="O776" s="7" t="s">
        <v>4</v>
      </c>
      <c r="P776" s="149">
        <f t="shared" ca="1" si="23"/>
        <v>43544</v>
      </c>
      <c r="Q776" s="155">
        <f ca="1">_xll.meDateYearFraction(H776,I776,$Q$11,TRUE)</f>
        <v>0.25555555555555554</v>
      </c>
      <c r="R776" s="150">
        <f ca="1">IF(NOW(),_xll.meCurveForwardRatesFromYearFraction(P776,Q776,$Q$11,$Q$9,$Q$10))</f>
        <v>-3.7175485397107962E-3</v>
      </c>
      <c r="S776" s="134" t="s">
        <v>4</v>
      </c>
    </row>
    <row r="777" spans="1:19" x14ac:dyDescent="0.25">
      <c r="A777" s="128">
        <v>761</v>
      </c>
      <c r="B777" s="133"/>
      <c r="C777" s="149">
        <f ca="1">_xll.meDateFromTenor(C776,"1D","FOLLOWING",$D$11,"NORMAL")</f>
        <v>43545</v>
      </c>
      <c r="D777" s="20">
        <f ca="1">_xll.meDateFromTenor(C777,"1D","Following",$D$11,"Normal")</f>
        <v>43546</v>
      </c>
      <c r="E777" s="99">
        <f ca="1"/>
        <v>1.101763212199462E-2</v>
      </c>
      <c r="F777" s="161">
        <f ca="1">_xll.meCurveForwardRates(C777,$D$9,$D$10)</f>
        <v>1.1078379288848028E-2</v>
      </c>
      <c r="G777" s="7" t="s">
        <v>4</v>
      </c>
      <c r="H777" s="149">
        <f t="shared" ca="1" si="22"/>
        <v>43545</v>
      </c>
      <c r="I777" s="20">
        <f ca="1">_xll.meDateFromTenor(H777,"3M","Following",$I$11,"Normal")</f>
        <v>43637</v>
      </c>
      <c r="J777" s="150">
        <f ca="1"/>
        <v>1.477968841060515E-2</v>
      </c>
      <c r="K777" s="7" t="s">
        <v>4</v>
      </c>
      <c r="L777" s="149" t="e">
        <f ca="1">_xll.meDateFromTenor(L776,"1D","FOLLOWING",#REF!,"NORMAL")</f>
        <v>#VALUE!</v>
      </c>
      <c r="M777" s="155">
        <f ca="1">_xll.meDateYearFraction(C777,D777,$M$11)</f>
        <v>2.7777777777777779E-3</v>
      </c>
      <c r="N777" s="150">
        <f ca="1"/>
        <v>-2.4300000000065936E-3</v>
      </c>
      <c r="O777" s="7" t="s">
        <v>4</v>
      </c>
      <c r="P777" s="149">
        <f t="shared" ca="1" si="23"/>
        <v>43545</v>
      </c>
      <c r="Q777" s="155">
        <f ca="1">_xll.meDateYearFraction(H777,I777,$Q$11,TRUE)</f>
        <v>0.25555555555555554</v>
      </c>
      <c r="R777" s="150">
        <f ca="1">IF(NOW(),_xll.meCurveForwardRatesFromYearFraction(P777,Q777,$Q$11,$Q$9,$Q$10))</f>
        <v>-1.8347545965893479E-3</v>
      </c>
      <c r="S777" s="134" t="s">
        <v>4</v>
      </c>
    </row>
    <row r="778" spans="1:19" x14ac:dyDescent="0.25">
      <c r="A778" s="128">
        <v>762</v>
      </c>
      <c r="B778" s="133"/>
      <c r="C778" s="149">
        <f ca="1">_xll.meDateFromTenor(C777,"1D","FOLLOWING",$D$11,"NORMAL")</f>
        <v>43546</v>
      </c>
      <c r="D778" s="20">
        <f ca="1">_xll.meDateFromTenor(C778,"1D","Following",$D$11,"Normal")</f>
        <v>43549</v>
      </c>
      <c r="E778" s="99">
        <f ca="1"/>
        <v>1.1029940921387689E-2</v>
      </c>
      <c r="F778" s="161">
        <f ca="1">_xll.meCurveForwardRates(C778,$D$9,$D$10)</f>
        <v>1.1084429911331739E-2</v>
      </c>
      <c r="G778" s="7" t="s">
        <v>4</v>
      </c>
      <c r="H778" s="149">
        <f t="shared" ca="1" si="22"/>
        <v>43546</v>
      </c>
      <c r="I778" s="20">
        <f ca="1">_xll.meDateFromTenor(H778,"3M","Following",$I$11,"Normal")</f>
        <v>43640</v>
      </c>
      <c r="J778" s="150">
        <f ca="1"/>
        <v>1.4786760715055833E-2</v>
      </c>
      <c r="K778" s="7" t="s">
        <v>4</v>
      </c>
      <c r="L778" s="149" t="e">
        <f ca="1">_xll.meDateFromTenor(L777,"1D","FOLLOWING",#REF!,"NORMAL")</f>
        <v>#VALUE!</v>
      </c>
      <c r="M778" s="155">
        <f ca="1">_xll.meDateYearFraction(C778,D778,$M$11)</f>
        <v>8.3333333333333332E-3</v>
      </c>
      <c r="N778" s="150">
        <f ca="1"/>
        <v>-2.4300000000065936E-3</v>
      </c>
      <c r="O778" s="7" t="s">
        <v>4</v>
      </c>
      <c r="P778" s="149">
        <f t="shared" ca="1" si="23"/>
        <v>43546</v>
      </c>
      <c r="Q778" s="155">
        <f ca="1">_xll.meDateYearFraction(H778,I778,$Q$11,TRUE)</f>
        <v>0.26111111111111113</v>
      </c>
      <c r="R778" s="150">
        <f ca="1">IF(NOW(),_xll.meCurveForwardRatesFromYearFraction(P778,Q778,$Q$11,$Q$9,$Q$10))</f>
        <v>-3.7175485397107962E-3</v>
      </c>
      <c r="S778" s="134" t="s">
        <v>4</v>
      </c>
    </row>
    <row r="779" spans="1:19" x14ac:dyDescent="0.25">
      <c r="A779" s="128">
        <v>763</v>
      </c>
      <c r="B779" s="133"/>
      <c r="C779" s="149">
        <f ca="1">_xll.meDateFromTenor(C778,"1D","FOLLOWING",$D$11,"NORMAL")</f>
        <v>43549</v>
      </c>
      <c r="D779" s="20">
        <f ca="1">_xll.meDateFromTenor(C779,"1D","Following",$D$11,"Normal")</f>
        <v>43550</v>
      </c>
      <c r="E779" s="99">
        <f ca="1"/>
        <v>1.1041578597357255E-2</v>
      </c>
      <c r="F779" s="161">
        <f ca="1">_xll.meCurveForwardRates(C779,$D$9,$D$10)</f>
        <v>1.1102590600452933E-2</v>
      </c>
      <c r="G779" s="7" t="s">
        <v>4</v>
      </c>
      <c r="H779" s="149">
        <f t="shared" ca="1" si="22"/>
        <v>43549</v>
      </c>
      <c r="I779" s="20">
        <f ca="1">_xll.meDateFromTenor(H779,"3M","Following",$I$11,"Normal")</f>
        <v>43641</v>
      </c>
      <c r="J779" s="150">
        <f ca="1"/>
        <v>1.4808024806613109E-2</v>
      </c>
      <c r="K779" s="7" t="s">
        <v>4</v>
      </c>
      <c r="L779" s="149" t="e">
        <f ca="1">_xll.meDateFromTenor(L778,"1D","FOLLOWING",#REF!,"NORMAL")</f>
        <v>#VALUE!</v>
      </c>
      <c r="M779" s="155">
        <f ca="1">_xll.meDateYearFraction(C779,D779,$M$11)</f>
        <v>2.7777777777777779E-3</v>
      </c>
      <c r="N779" s="150">
        <f ca="1"/>
        <v>-2.4300000000065936E-3</v>
      </c>
      <c r="O779" s="7" t="s">
        <v>4</v>
      </c>
      <c r="P779" s="149">
        <f t="shared" ca="1" si="23"/>
        <v>43549</v>
      </c>
      <c r="Q779" s="155">
        <f ca="1">_xll.meDateYearFraction(H779,I779,$Q$11,TRUE)</f>
        <v>0.25555555555555554</v>
      </c>
      <c r="R779" s="150">
        <f ca="1">IF(NOW(),_xll.meCurveForwardRatesFromYearFraction(P779,Q779,$Q$11,$Q$9,$Q$10))</f>
        <v>-3.7175485397107962E-3</v>
      </c>
      <c r="S779" s="134" t="s">
        <v>4</v>
      </c>
    </row>
    <row r="780" spans="1:19" x14ac:dyDescent="0.25">
      <c r="A780" s="128">
        <v>764</v>
      </c>
      <c r="B780" s="133"/>
      <c r="C780" s="149">
        <f ca="1">_xll.meDateFromTenor(C779,"1D","FOLLOWING",$D$11,"NORMAL")</f>
        <v>43550</v>
      </c>
      <c r="D780" s="20">
        <f ca="1">_xll.meDateFromTenor(C780,"1D","Following",$D$11,"Normal")</f>
        <v>43551</v>
      </c>
      <c r="E780" s="99">
        <f ca="1"/>
        <v>1.1047568763800126E-2</v>
      </c>
      <c r="F780" s="161">
        <f ca="1">_xll.meCurveForwardRates(C780,$D$9,$D$10)</f>
        <v>1.1108647105591452E-2</v>
      </c>
      <c r="G780" s="7" t="s">
        <v>4</v>
      </c>
      <c r="H780" s="149">
        <f t="shared" ca="1" si="22"/>
        <v>43550</v>
      </c>
      <c r="I780" s="20">
        <f ca="1">_xll.meDateFromTenor(H780,"3M","Following",$I$11,"Normal")</f>
        <v>43642</v>
      </c>
      <c r="J780" s="150">
        <f ca="1"/>
        <v>1.4815128820114305E-2</v>
      </c>
      <c r="K780" s="7" t="s">
        <v>4</v>
      </c>
      <c r="L780" s="149" t="e">
        <f ca="1">_xll.meDateFromTenor(L779,"1D","FOLLOWING",#REF!,"NORMAL")</f>
        <v>#VALUE!</v>
      </c>
      <c r="M780" s="155">
        <f ca="1">_xll.meDateYearFraction(C780,D780,$M$11)</f>
        <v>2.7777777777777779E-3</v>
      </c>
      <c r="N780" s="150">
        <f ca="1"/>
        <v>-2.4300000000065936E-3</v>
      </c>
      <c r="O780" s="7" t="s">
        <v>4</v>
      </c>
      <c r="P780" s="149">
        <f t="shared" ca="1" si="23"/>
        <v>43550</v>
      </c>
      <c r="Q780" s="155">
        <f ca="1">_xll.meDateYearFraction(H780,I780,$Q$11,TRUE)</f>
        <v>0.25555555555555554</v>
      </c>
      <c r="R780" s="150">
        <f ca="1">IF(NOW(),_xll.meCurveForwardRatesFromYearFraction(P780,Q780,$Q$11,$Q$9,$Q$10))</f>
        <v>-3.7175485397107962E-3</v>
      </c>
      <c r="S780" s="134" t="s">
        <v>4</v>
      </c>
    </row>
    <row r="781" spans="1:19" x14ac:dyDescent="0.25">
      <c r="A781" s="128">
        <v>765</v>
      </c>
      <c r="B781" s="133"/>
      <c r="C781" s="149">
        <f ca="1">_xll.meDateFromTenor(C780,"1D","FOLLOWING",$D$11,"NORMAL")</f>
        <v>43551</v>
      </c>
      <c r="D781" s="20">
        <f ca="1">_xll.meDateFromTenor(C781,"1D","Following",$D$11,"Normal")</f>
        <v>43552</v>
      </c>
      <c r="E781" s="99">
        <f ca="1"/>
        <v>1.1053560350227127E-2</v>
      </c>
      <c r="F781" s="161">
        <f ca="1">_xll.meCurveForwardRates(C781,$D$9,$D$10)</f>
        <v>1.111470508263035E-2</v>
      </c>
      <c r="G781" s="7" t="s">
        <v>4</v>
      </c>
      <c r="H781" s="149">
        <f t="shared" ca="1" si="22"/>
        <v>43551</v>
      </c>
      <c r="I781" s="20">
        <f ca="1">_xll.meDateFromTenor(H781,"3M","Following",$I$11,"Normal")</f>
        <v>43643</v>
      </c>
      <c r="J781" s="150">
        <f ca="1"/>
        <v>1.4822240953563402E-2</v>
      </c>
      <c r="K781" s="7" t="s">
        <v>4</v>
      </c>
      <c r="L781" s="149" t="e">
        <f ca="1">_xll.meDateFromTenor(L780,"1D","FOLLOWING",#REF!,"NORMAL")</f>
        <v>#VALUE!</v>
      </c>
      <c r="M781" s="155">
        <f ca="1">_xll.meDateYearFraction(C781,D781,$M$11)</f>
        <v>2.7777777777777779E-3</v>
      </c>
      <c r="N781" s="150">
        <f ca="1"/>
        <v>-2.4300000000065936E-3</v>
      </c>
      <c r="O781" s="7" t="s">
        <v>4</v>
      </c>
      <c r="P781" s="149">
        <f t="shared" ca="1" si="23"/>
        <v>43551</v>
      </c>
      <c r="Q781" s="155">
        <f ca="1">_xll.meDateYearFraction(H781,I781,$Q$11,TRUE)</f>
        <v>0.25555555555555554</v>
      </c>
      <c r="R781" s="150">
        <f ca="1">IF(NOW(),_xll.meCurveForwardRatesFromYearFraction(P781,Q781,$Q$11,$Q$9,$Q$10))</f>
        <v>-1.8123903519279372E-3</v>
      </c>
      <c r="S781" s="134" t="s">
        <v>4</v>
      </c>
    </row>
    <row r="782" spans="1:19" x14ac:dyDescent="0.25">
      <c r="A782" s="128">
        <v>766</v>
      </c>
      <c r="B782" s="133"/>
      <c r="C782" s="149">
        <f ca="1">_xll.meDateFromTenor(C781,"1D","FOLLOWING",$D$11,"NORMAL")</f>
        <v>43552</v>
      </c>
      <c r="D782" s="20">
        <f ca="1">_xll.meDateFromTenor(C782,"1D","Following",$D$11,"Normal")</f>
        <v>43553</v>
      </c>
      <c r="E782" s="99">
        <f ca="1"/>
        <v>1.1059553356958003E-2</v>
      </c>
      <c r="F782" s="161">
        <f ca="1">_xll.meCurveForwardRates(C782,$D$9,$D$10)</f>
        <v>1.1120764531918903E-2</v>
      </c>
      <c r="G782" s="7" t="s">
        <v>4</v>
      </c>
      <c r="H782" s="149">
        <f t="shared" ca="1" si="22"/>
        <v>43552</v>
      </c>
      <c r="I782" s="20">
        <f ca="1">_xll.meDateFromTenor(H782,"3M","Following",$I$11,"Normal")</f>
        <v>43644</v>
      </c>
      <c r="J782" s="150">
        <f ca="1"/>
        <v>1.482936128403451E-2</v>
      </c>
      <c r="K782" s="7" t="s">
        <v>4</v>
      </c>
      <c r="L782" s="149" t="e">
        <f ca="1">_xll.meDateFromTenor(L781,"1D","FOLLOWING",#REF!,"NORMAL")</f>
        <v>#VALUE!</v>
      </c>
      <c r="M782" s="155">
        <f ca="1">_xll.meDateYearFraction(C782,D782,$M$11)</f>
        <v>2.7777777777777779E-3</v>
      </c>
      <c r="N782" s="150">
        <f ca="1"/>
        <v>-2.4300000000065936E-3</v>
      </c>
      <c r="O782" s="7" t="s">
        <v>4</v>
      </c>
      <c r="P782" s="149">
        <f t="shared" ca="1" si="23"/>
        <v>43552</v>
      </c>
      <c r="Q782" s="155">
        <f ca="1">_xll.meDateYearFraction(H782,I782,$Q$11,TRUE)</f>
        <v>0.25555555555555554</v>
      </c>
      <c r="R782" s="150">
        <f ca="1">IF(NOW(),_xll.meCurveForwardRatesFromYearFraction(P782,Q782,$Q$11,$Q$9,$Q$10))</f>
        <v>-3.7175485397107962E-3</v>
      </c>
      <c r="S782" s="134" t="s">
        <v>4</v>
      </c>
    </row>
    <row r="783" spans="1:19" x14ac:dyDescent="0.25">
      <c r="A783" s="128">
        <v>767</v>
      </c>
      <c r="B783" s="133"/>
      <c r="C783" s="149">
        <f ca="1">_xll.meDateFromTenor(C782,"1D","FOLLOWING",$D$11,"NORMAL")</f>
        <v>43553</v>
      </c>
      <c r="D783" s="20">
        <f ca="1">_xll.meDateFromTenor(C783,"1D","Following",$D$11,"Normal")</f>
        <v>43556</v>
      </c>
      <c r="E783" s="99">
        <f ca="1"/>
        <v>1.1071884608044908E-2</v>
      </c>
      <c r="F783" s="161">
        <f ca="1">_xll.meCurveForwardRates(C783,$D$9,$D$10)</f>
        <v>1.1126825453968037E-2</v>
      </c>
      <c r="G783" s="7" t="s">
        <v>4</v>
      </c>
      <c r="H783" s="149">
        <f t="shared" ca="1" si="22"/>
        <v>43553</v>
      </c>
      <c r="I783" s="20">
        <f ca="1">_xll.meDateFromTenor(H783,"3M","Following",$I$11,"Normal")</f>
        <v>43647</v>
      </c>
      <c r="J783" s="150">
        <f ca="1"/>
        <v>1.4836489888601739E-2</v>
      </c>
      <c r="K783" s="7" t="s">
        <v>4</v>
      </c>
      <c r="L783" s="149" t="e">
        <f ca="1">_xll.meDateFromTenor(L782,"1D","FOLLOWING",#REF!,"NORMAL")</f>
        <v>#VALUE!</v>
      </c>
      <c r="M783" s="155">
        <f ca="1">_xll.meDateYearFraction(C783,D783,$M$11)</f>
        <v>8.3333333333333332E-3</v>
      </c>
      <c r="N783" s="150">
        <f ca="1"/>
        <v>-2.4300000000065936E-3</v>
      </c>
      <c r="O783" s="7" t="s">
        <v>4</v>
      </c>
      <c r="P783" s="149">
        <f t="shared" ca="1" si="23"/>
        <v>43553</v>
      </c>
      <c r="Q783" s="155">
        <f ca="1">_xll.meDateYearFraction(H783,I783,$Q$11,TRUE)</f>
        <v>0.26111111111111113</v>
      </c>
      <c r="R783" s="150">
        <f ca="1">IF(NOW(),_xll.meCurveForwardRatesFromYearFraction(P783,Q783,$Q$11,$Q$9,$Q$10))</f>
        <v>-1.8050703257550518E-3</v>
      </c>
      <c r="S783" s="134" t="s">
        <v>4</v>
      </c>
    </row>
    <row r="784" spans="1:19" x14ac:dyDescent="0.25">
      <c r="A784" s="128">
        <v>768</v>
      </c>
      <c r="B784" s="133"/>
      <c r="C784" s="149">
        <f ca="1">_xll.meDateFromTenor(C783,"1D","FOLLOWING",$D$11,"NORMAL")</f>
        <v>43556</v>
      </c>
      <c r="D784" s="20">
        <f ca="1">_xll.meDateFromTenor(C784,"1D","Following",$D$11,"Normal")</f>
        <v>43557</v>
      </c>
      <c r="E784" s="99">
        <f ca="1"/>
        <v>1.1083539596272769E-2</v>
      </c>
      <c r="F784" s="161">
        <f ca="1">_xll.meCurveForwardRates(C784,$D$9,$D$10)</f>
        <v>1.1145017061545914E-2</v>
      </c>
      <c r="G784" s="7" t="s">
        <v>4</v>
      </c>
      <c r="H784" s="149">
        <f t="shared" ca="1" si="22"/>
        <v>43556</v>
      </c>
      <c r="I784" s="20">
        <f ca="1">_xll.meDateFromTenor(H784,"3M","Following",$I$11,"Normal")</f>
        <v>43647</v>
      </c>
      <c r="J784" s="150">
        <f ca="1"/>
        <v>1.4857926117621238E-2</v>
      </c>
      <c r="K784" s="7" t="s">
        <v>4</v>
      </c>
      <c r="L784" s="149" t="e">
        <f ca="1">_xll.meDateFromTenor(L783,"1D","FOLLOWING",#REF!,"NORMAL")</f>
        <v>#VALUE!</v>
      </c>
      <c r="M784" s="155">
        <f ca="1">_xll.meDateYearFraction(C784,D784,$M$11)</f>
        <v>2.7777777777777779E-3</v>
      </c>
      <c r="N784" s="150">
        <f ca="1"/>
        <v>-2.4300000000065936E-3</v>
      </c>
      <c r="O784" s="7" t="s">
        <v>4</v>
      </c>
      <c r="P784" s="149">
        <f t="shared" ca="1" si="23"/>
        <v>43556</v>
      </c>
      <c r="Q784" s="155">
        <f ca="1">_xll.meDateYearFraction(H784,I784,$Q$11,TRUE)</f>
        <v>0.25277777777777777</v>
      </c>
      <c r="R784" s="150">
        <f ca="1">IF(NOW(),_xll.meCurveForwardRatesFromYearFraction(P784,Q784,$Q$11,$Q$9,$Q$10))</f>
        <v>-3.7175485397107962E-3</v>
      </c>
      <c r="S784" s="134" t="s">
        <v>4</v>
      </c>
    </row>
    <row r="785" spans="1:19" x14ac:dyDescent="0.25">
      <c r="A785" s="128">
        <v>769</v>
      </c>
      <c r="B785" s="133"/>
      <c r="C785" s="149">
        <f ca="1">_xll.meDateFromTenor(C784,"1D","FOLLOWING",$D$11,"NORMAL")</f>
        <v>43557</v>
      </c>
      <c r="D785" s="20">
        <f ca="1">_xll.meDateFromTenor(C785,"1D","Following",$D$11,"Normal")</f>
        <v>43558</v>
      </c>
      <c r="E785" s="99">
        <f ca="1"/>
        <v>1.1089539711477454E-2</v>
      </c>
      <c r="F785" s="161">
        <f ca="1">_xll.meCurveForwardRates(C785,$D$9,$D$10)</f>
        <v>1.1151083879504364E-2</v>
      </c>
      <c r="G785" s="7" t="s">
        <v>4</v>
      </c>
      <c r="H785" s="149">
        <f t="shared" ref="H785:H848" ca="1" si="24">$C785</f>
        <v>43557</v>
      </c>
      <c r="I785" s="20">
        <f ca="1">_xll.meDateFromTenor(H785,"3M","Following",$I$11,"Normal")</f>
        <v>43648</v>
      </c>
      <c r="J785" s="150">
        <f ca="1"/>
        <v>1.4865088589314041E-2</v>
      </c>
      <c r="K785" s="7" t="s">
        <v>4</v>
      </c>
      <c r="L785" s="149" t="e">
        <f ca="1">_xll.meDateFromTenor(L784,"1D","FOLLOWING",#REF!,"NORMAL")</f>
        <v>#VALUE!</v>
      </c>
      <c r="M785" s="155">
        <f ca="1">_xll.meDateYearFraction(C785,D785,$M$11)</f>
        <v>2.7777777777777779E-3</v>
      </c>
      <c r="N785" s="150">
        <f ca="1"/>
        <v>-2.4300000000065936E-3</v>
      </c>
      <c r="O785" s="7" t="s">
        <v>4</v>
      </c>
      <c r="P785" s="149">
        <f t="shared" ref="P785:P848" ca="1" si="25">$C785</f>
        <v>43557</v>
      </c>
      <c r="Q785" s="155">
        <f ca="1">_xll.meDateYearFraction(H785,I785,$Q$11,TRUE)</f>
        <v>0.25277777777777777</v>
      </c>
      <c r="R785" s="150">
        <f ca="1">IF(NOW(),_xll.meCurveForwardRatesFromYearFraction(P785,Q785,$Q$11,$Q$9,$Q$10))</f>
        <v>-1.7905272164703175E-3</v>
      </c>
      <c r="S785" s="134" t="s">
        <v>4</v>
      </c>
    </row>
    <row r="786" spans="1:19" x14ac:dyDescent="0.25">
      <c r="A786" s="128">
        <v>770</v>
      </c>
      <c r="B786" s="133"/>
      <c r="C786" s="149">
        <f ca="1">_xll.meDateFromTenor(C785,"1D","FOLLOWING",$D$11,"NORMAL")</f>
        <v>43558</v>
      </c>
      <c r="D786" s="20">
        <f ca="1">_xll.meDateFromTenor(C786,"1D","Following",$D$11,"Normal")</f>
        <v>43559</v>
      </c>
      <c r="E786" s="99">
        <f ca="1"/>
        <v>1.1095541249543968E-2</v>
      </c>
      <c r="F786" s="161">
        <f ca="1">_xll.meCurveForwardRates(C786,$D$9,$D$10)</f>
        <v>1.1157152172454943E-2</v>
      </c>
      <c r="G786" s="7" t="s">
        <v>4</v>
      </c>
      <c r="H786" s="149">
        <f t="shared" ca="1" si="24"/>
        <v>43558</v>
      </c>
      <c r="I786" s="20">
        <f ca="1">_xll.meDateFromTenor(H786,"3M","Following",$I$11,"Normal")</f>
        <v>43649</v>
      </c>
      <c r="J786" s="150">
        <f ca="1"/>
        <v>1.4872259720473511E-2</v>
      </c>
      <c r="K786" s="7" t="s">
        <v>4</v>
      </c>
      <c r="L786" s="149" t="e">
        <f ca="1">_xll.meDateFromTenor(L785,"1D","FOLLOWING",#REF!,"NORMAL")</f>
        <v>#VALUE!</v>
      </c>
      <c r="M786" s="155">
        <f ca="1">_xll.meDateYearFraction(C786,D786,$M$11)</f>
        <v>2.7777777777777779E-3</v>
      </c>
      <c r="N786" s="150">
        <f ca="1"/>
        <v>-2.4300000000065936E-3</v>
      </c>
      <c r="O786" s="7" t="s">
        <v>4</v>
      </c>
      <c r="P786" s="149">
        <f t="shared" ca="1" si="25"/>
        <v>43558</v>
      </c>
      <c r="Q786" s="155">
        <f ca="1">_xll.meDateYearFraction(H786,I786,$Q$11,TRUE)</f>
        <v>0.25277777777777777</v>
      </c>
      <c r="R786" s="150">
        <f ca="1">IF(NOW(),_xll.meCurveForwardRatesFromYearFraction(P786,Q786,$Q$11,$Q$9,$Q$10))</f>
        <v>-3.7175485397107962E-3</v>
      </c>
      <c r="S786" s="134" t="s">
        <v>4</v>
      </c>
    </row>
    <row r="787" spans="1:19" x14ac:dyDescent="0.25">
      <c r="A787" s="128">
        <v>771</v>
      </c>
      <c r="B787" s="133"/>
      <c r="C787" s="149">
        <f ca="1">_xll.meDateFromTenor(C786,"1D","FOLLOWING",$D$11,"NORMAL")</f>
        <v>43559</v>
      </c>
      <c r="D787" s="20">
        <f ca="1">_xll.meDateFromTenor(C787,"1D","Following",$D$11,"Normal")</f>
        <v>43560</v>
      </c>
      <c r="E787" s="99">
        <f ca="1"/>
        <v>1.1101544211191734E-2</v>
      </c>
      <c r="F787" s="161">
        <f ca="1">_xll.meCurveForwardRates(C787,$D$9,$D$10)</f>
        <v>1.1163221941150825E-2</v>
      </c>
      <c r="G787" s="7" t="s">
        <v>4</v>
      </c>
      <c r="H787" s="149">
        <f t="shared" ca="1" si="24"/>
        <v>43559</v>
      </c>
      <c r="I787" s="20">
        <f ca="1">_xll.meDateFromTenor(H787,"3M","Following",$I$11,"Normal")</f>
        <v>43651</v>
      </c>
      <c r="J787" s="150">
        <f ca="1"/>
        <v>1.4879439588173757E-2</v>
      </c>
      <c r="K787" s="7" t="s">
        <v>4</v>
      </c>
      <c r="L787" s="149" t="e">
        <f ca="1">_xll.meDateFromTenor(L786,"1D","FOLLOWING",#REF!,"NORMAL")</f>
        <v>#VALUE!</v>
      </c>
      <c r="M787" s="155">
        <f ca="1">_xll.meDateYearFraction(C787,D787,$M$11)</f>
        <v>2.7777777777777779E-3</v>
      </c>
      <c r="N787" s="150">
        <f ca="1"/>
        <v>-2.4300000000065936E-3</v>
      </c>
      <c r="O787" s="7" t="s">
        <v>4</v>
      </c>
      <c r="P787" s="149">
        <f t="shared" ca="1" si="25"/>
        <v>43559</v>
      </c>
      <c r="Q787" s="155">
        <f ca="1">_xll.meDateYearFraction(H787,I787,$Q$11,TRUE)</f>
        <v>0.25555555555555554</v>
      </c>
      <c r="R787" s="150">
        <f ca="1">IF(NOW(),_xll.meCurveForwardRatesFromYearFraction(P787,Q787,$Q$11,$Q$9,$Q$10))</f>
        <v>-3.7175485397107962E-3</v>
      </c>
      <c r="S787" s="134" t="s">
        <v>4</v>
      </c>
    </row>
    <row r="788" spans="1:19" x14ac:dyDescent="0.25">
      <c r="A788" s="128">
        <v>772</v>
      </c>
      <c r="B788" s="133"/>
      <c r="C788" s="149">
        <f ca="1">_xll.meDateFromTenor(C787,"1D","FOLLOWING",$D$11,"NORMAL")</f>
        <v>43560</v>
      </c>
      <c r="D788" s="20">
        <f ca="1">_xll.meDateFromTenor(C788,"1D","Following",$D$11,"Normal")</f>
        <v>43563</v>
      </c>
      <c r="E788" s="99">
        <f ca="1"/>
        <v>1.1113897971366566E-2</v>
      </c>
      <c r="F788" s="161">
        <f ca="1">_xll.meCurveForwardRates(C788,$D$9,$D$10)</f>
        <v>1.1169293185941731E-2</v>
      </c>
      <c r="G788" s="7" t="s">
        <v>4</v>
      </c>
      <c r="H788" s="149">
        <f t="shared" ca="1" si="24"/>
        <v>43560</v>
      </c>
      <c r="I788" s="20">
        <f ca="1">_xll.meDateFromTenor(H788,"3M","Following",$I$11,"Normal")</f>
        <v>43651</v>
      </c>
      <c r="J788" s="150">
        <f ca="1"/>
        <v>1.4886628269488892E-2</v>
      </c>
      <c r="K788" s="7" t="s">
        <v>4</v>
      </c>
      <c r="L788" s="149" t="e">
        <f ca="1">_xll.meDateFromTenor(L787,"1D","FOLLOWING",#REF!,"NORMAL")</f>
        <v>#VALUE!</v>
      </c>
      <c r="M788" s="155">
        <f ca="1">_xll.meDateYearFraction(C788,D788,$M$11)</f>
        <v>8.3333333333333332E-3</v>
      </c>
      <c r="N788" s="150">
        <f ca="1"/>
        <v>-2.4300000000065936E-3</v>
      </c>
      <c r="O788" s="7" t="s">
        <v>4</v>
      </c>
      <c r="P788" s="149">
        <f t="shared" ca="1" si="25"/>
        <v>43560</v>
      </c>
      <c r="Q788" s="155">
        <f ca="1">_xll.meDateYearFraction(H788,I788,$Q$11,TRUE)</f>
        <v>0.25277777777777777</v>
      </c>
      <c r="R788" s="150">
        <f ca="1">IF(NOW(),_xll.meCurveForwardRatesFromYearFraction(P788,Q788,$Q$11,$Q$9,$Q$10))</f>
        <v>-1.7796396795642722E-3</v>
      </c>
      <c r="S788" s="134" t="s">
        <v>4</v>
      </c>
    </row>
    <row r="789" spans="1:19" x14ac:dyDescent="0.25">
      <c r="A789" s="128">
        <v>773</v>
      </c>
      <c r="B789" s="133"/>
      <c r="C789" s="149">
        <f ca="1">_xll.meDateFromTenor(C788,"1D","FOLLOWING",$D$11,"NORMAL")</f>
        <v>43563</v>
      </c>
      <c r="D789" s="20">
        <f ca="1">_xll.meDateFromTenor(C789,"1D","Following",$D$11,"Normal")</f>
        <v>43564</v>
      </c>
      <c r="E789" s="99">
        <f ca="1"/>
        <v>1.1125570300949445E-2</v>
      </c>
      <c r="F789" s="161">
        <f ca="1">_xll.meCurveForwardRates(C789,$D$9,$D$10)</f>
        <v>1.118751578134769E-2</v>
      </c>
      <c r="G789" s="7" t="s">
        <v>4</v>
      </c>
      <c r="H789" s="149">
        <f t="shared" ca="1" si="24"/>
        <v>43563</v>
      </c>
      <c r="I789" s="20">
        <f ca="1">_xll.meDateFromTenor(H789,"3M","Following",$I$11,"Normal")</f>
        <v>43654</v>
      </c>
      <c r="J789" s="150">
        <f ca="1"/>
        <v>1.4908247965864698E-2</v>
      </c>
      <c r="K789" s="7" t="s">
        <v>4</v>
      </c>
      <c r="L789" s="149" t="e">
        <f ca="1">_xll.meDateFromTenor(L788,"1D","FOLLOWING",#REF!,"NORMAL")</f>
        <v>#VALUE!</v>
      </c>
      <c r="M789" s="155">
        <f ca="1">_xll.meDateYearFraction(C789,D789,$M$11)</f>
        <v>2.7777777777777779E-3</v>
      </c>
      <c r="N789" s="150">
        <f ca="1"/>
        <v>-2.4300000000065936E-3</v>
      </c>
      <c r="O789" s="7" t="s">
        <v>4</v>
      </c>
      <c r="P789" s="149">
        <f t="shared" ca="1" si="25"/>
        <v>43563</v>
      </c>
      <c r="Q789" s="155">
        <f ca="1">_xll.meDateYearFraction(H789,I789,$Q$11,TRUE)</f>
        <v>0.25277777777777777</v>
      </c>
      <c r="R789" s="150">
        <f ca="1">IF(NOW(),_xll.meCurveForwardRatesFromYearFraction(P789,Q789,$Q$11,$Q$9,$Q$10))</f>
        <v>-1.768730629310387E-3</v>
      </c>
      <c r="S789" s="134" t="s">
        <v>4</v>
      </c>
    </row>
    <row r="790" spans="1:19" x14ac:dyDescent="0.25">
      <c r="A790" s="128">
        <v>774</v>
      </c>
      <c r="B790" s="133"/>
      <c r="C790" s="149">
        <f ca="1">_xll.meDateFromTenor(C789,"1D","FOLLOWING",$D$11,"NORMAL")</f>
        <v>43564</v>
      </c>
      <c r="D790" s="20">
        <f ca="1">_xll.meDateFromTenor(C790,"1D","Following",$D$11,"Normal")</f>
        <v>43565</v>
      </c>
      <c r="E790" s="99">
        <f ca="1"/>
        <v>1.1131580386498681E-2</v>
      </c>
      <c r="F790" s="161">
        <f ca="1">_xll.meCurveForwardRates(C790,$D$9,$D$10)</f>
        <v>1.1193592935224705E-2</v>
      </c>
      <c r="G790" s="7" t="s">
        <v>4</v>
      </c>
      <c r="H790" s="149">
        <f t="shared" ca="1" si="24"/>
        <v>43564</v>
      </c>
      <c r="I790" s="20">
        <f ca="1">_xll.meDateFromTenor(H790,"3M","Following",$I$11,"Normal")</f>
        <v>43655</v>
      </c>
      <c r="J790" s="150">
        <f ca="1"/>
        <v>1.4915472672380468E-2</v>
      </c>
      <c r="K790" s="7" t="s">
        <v>4</v>
      </c>
      <c r="L790" s="149" t="e">
        <f ca="1">_xll.meDateFromTenor(L789,"1D","FOLLOWING",#REF!,"NORMAL")</f>
        <v>#VALUE!</v>
      </c>
      <c r="M790" s="155">
        <f ca="1">_xll.meDateYearFraction(C790,D790,$M$11)</f>
        <v>2.7777777777777779E-3</v>
      </c>
      <c r="N790" s="150">
        <f ca="1"/>
        <v>-2.4300000000065936E-3</v>
      </c>
      <c r="O790" s="7" t="s">
        <v>4</v>
      </c>
      <c r="P790" s="149">
        <f t="shared" ca="1" si="25"/>
        <v>43564</v>
      </c>
      <c r="Q790" s="155">
        <f ca="1">_xll.meDateYearFraction(H790,I790,$Q$11,TRUE)</f>
        <v>0.25277777777777777</v>
      </c>
      <c r="R790" s="150">
        <f ca="1">IF(NOW(),_xll.meCurveForwardRatesFromYearFraction(P790,Q790,$Q$11,$Q$9,$Q$10))</f>
        <v>-3.7175485397107962E-3</v>
      </c>
      <c r="S790" s="134" t="s">
        <v>4</v>
      </c>
    </row>
    <row r="791" spans="1:19" x14ac:dyDescent="0.25">
      <c r="A791" s="128">
        <v>775</v>
      </c>
      <c r="B791" s="133"/>
      <c r="C791" s="149">
        <f ca="1">_xll.meDateFromTenor(C790,"1D","FOLLOWING",$D$11,"NORMAL")</f>
        <v>43565</v>
      </c>
      <c r="D791" s="20">
        <f ca="1">_xll.meDateFromTenor(C791,"1D","Following",$D$11,"Normal")</f>
        <v>43566</v>
      </c>
      <c r="E791" s="99">
        <f ca="1"/>
        <v>1.1137591898107186E-2</v>
      </c>
      <c r="F791" s="161">
        <f ca="1">_xll.meCurveForwardRates(C791,$D$9,$D$10)</f>
        <v>1.1199671567509561E-2</v>
      </c>
      <c r="G791" s="7" t="s">
        <v>4</v>
      </c>
      <c r="H791" s="149">
        <f t="shared" ca="1" si="24"/>
        <v>43565</v>
      </c>
      <c r="I791" s="20">
        <f ca="1">_xll.meDateFromTenor(H791,"3M","Following",$I$11,"Normal")</f>
        <v>43656</v>
      </c>
      <c r="J791" s="150">
        <f ca="1"/>
        <v>1.4922706577881674E-2</v>
      </c>
      <c r="K791" s="7" t="s">
        <v>4</v>
      </c>
      <c r="L791" s="149" t="e">
        <f ca="1">_xll.meDateFromTenor(L790,"1D","FOLLOWING",#REF!,"NORMAL")</f>
        <v>#VALUE!</v>
      </c>
      <c r="M791" s="155">
        <f ca="1">_xll.meDateYearFraction(C791,D791,$M$11)</f>
        <v>2.7777777777777779E-3</v>
      </c>
      <c r="N791" s="150">
        <f ca="1"/>
        <v>-2.4300000000065936E-3</v>
      </c>
      <c r="O791" s="7" t="s">
        <v>4</v>
      </c>
      <c r="P791" s="149">
        <f t="shared" ca="1" si="25"/>
        <v>43565</v>
      </c>
      <c r="Q791" s="155">
        <f ca="1">_xll.meDateYearFraction(H791,I791,$Q$11,TRUE)</f>
        <v>0.25277777777777777</v>
      </c>
      <c r="R791" s="150">
        <f ca="1">IF(NOW(),_xll.meCurveForwardRatesFromYearFraction(P791,Q791,$Q$11,$Q$9,$Q$10))</f>
        <v>-3.7175485397107962E-3</v>
      </c>
      <c r="S791" s="134" t="s">
        <v>4</v>
      </c>
    </row>
    <row r="792" spans="1:19" x14ac:dyDescent="0.25">
      <c r="A792" s="128">
        <v>776</v>
      </c>
      <c r="B792" s="133"/>
      <c r="C792" s="149">
        <f ca="1">_xll.meDateFromTenor(C791,"1D","FOLLOWING",$D$11,"NORMAL")</f>
        <v>43566</v>
      </c>
      <c r="D792" s="20">
        <f ca="1">_xll.meDateFromTenor(C792,"1D","Following",$D$11,"Normal")</f>
        <v>43567</v>
      </c>
      <c r="E792" s="99">
        <f ca="1"/>
        <v>1.1143604836252798E-2</v>
      </c>
      <c r="F792" s="161">
        <f ca="1">_xll.meCurveForwardRates(C792,$D$9,$D$10)</f>
        <v>1.1205751678711406E-2</v>
      </c>
      <c r="G792" s="7" t="s">
        <v>4</v>
      </c>
      <c r="H792" s="149">
        <f t="shared" ca="1" si="24"/>
        <v>43566</v>
      </c>
      <c r="I792" s="20">
        <f ca="1">_xll.meDateFromTenor(H792,"3M","Following",$I$11,"Normal")</f>
        <v>43657</v>
      </c>
      <c r="J792" s="150">
        <f ca="1"/>
        <v>1.4929949759442418E-2</v>
      </c>
      <c r="K792" s="7" t="s">
        <v>4</v>
      </c>
      <c r="L792" s="149" t="e">
        <f ca="1">_xll.meDateFromTenor(L791,"1D","FOLLOWING",#REF!,"NORMAL")</f>
        <v>#VALUE!</v>
      </c>
      <c r="M792" s="155">
        <f ca="1">_xll.meDateYearFraction(C792,D792,$M$11)</f>
        <v>2.7777777777777779E-3</v>
      </c>
      <c r="N792" s="150">
        <f ca="1"/>
        <v>-2.4300000000065936E-3</v>
      </c>
      <c r="O792" s="7" t="s">
        <v>4</v>
      </c>
      <c r="P792" s="149">
        <f t="shared" ca="1" si="25"/>
        <v>43566</v>
      </c>
      <c r="Q792" s="155">
        <f ca="1">_xll.meDateYearFraction(H792,I792,$Q$11,TRUE)</f>
        <v>0.25277777777777777</v>
      </c>
      <c r="R792" s="150">
        <f ca="1">IF(NOW(),_xll.meCurveForwardRatesFromYearFraction(P792,Q792,$Q$11,$Q$9,$Q$10))</f>
        <v>-1.7577756461788642E-3</v>
      </c>
      <c r="S792" s="134" t="s">
        <v>4</v>
      </c>
    </row>
    <row r="793" spans="1:19" x14ac:dyDescent="0.25">
      <c r="A793" s="128">
        <v>777</v>
      </c>
      <c r="B793" s="133"/>
      <c r="C793" s="149">
        <f ca="1">_xll.meDateFromTenor(C792,"1D","FOLLOWING",$D$11,"NORMAL")</f>
        <v>43567</v>
      </c>
      <c r="D793" s="20">
        <f ca="1">_xll.meDateFromTenor(C793,"1D","Following",$D$11,"Normal")</f>
        <v>43570</v>
      </c>
      <c r="E793" s="99">
        <f ca="1"/>
        <v>1.1155981162911428E-2</v>
      </c>
      <c r="F793" s="161">
        <f ca="1">_xll.meCurveForwardRates(C793,$D$9,$D$10)</f>
        <v>1.1211833269266114E-2</v>
      </c>
      <c r="G793" s="7" t="s">
        <v>4</v>
      </c>
      <c r="H793" s="149">
        <f t="shared" ca="1" si="24"/>
        <v>43567</v>
      </c>
      <c r="I793" s="20">
        <f ca="1">_xll.meDateFromTenor(H793,"3M","Following",$I$11,"Normal")</f>
        <v>43658</v>
      </c>
      <c r="J793" s="150">
        <f ca="1"/>
        <v>1.4937202294136817E-2</v>
      </c>
      <c r="K793" s="7" t="s">
        <v>4</v>
      </c>
      <c r="L793" s="149" t="e">
        <f ca="1">_xll.meDateFromTenor(L792,"1D","FOLLOWING",#REF!,"NORMAL")</f>
        <v>#VALUE!</v>
      </c>
      <c r="M793" s="155">
        <f ca="1">_xll.meDateYearFraction(C793,D793,$M$11)</f>
        <v>8.3333333333333332E-3</v>
      </c>
      <c r="N793" s="150">
        <f ca="1"/>
        <v>-2.4300000000065936E-3</v>
      </c>
      <c r="O793" s="7" t="s">
        <v>4</v>
      </c>
      <c r="P793" s="149">
        <f t="shared" ca="1" si="25"/>
        <v>43567</v>
      </c>
      <c r="Q793" s="155">
        <f ca="1">_xll.meDateYearFraction(H793,I793,$Q$11,TRUE)</f>
        <v>0.25277777777777777</v>
      </c>
      <c r="R793" s="150">
        <f ca="1">IF(NOW(),_xll.meCurveForwardRatesFromYearFraction(P793,Q793,$Q$11,$Q$9,$Q$10))</f>
        <v>-1.7541095588246662E-3</v>
      </c>
      <c r="S793" s="134" t="s">
        <v>4</v>
      </c>
    </row>
    <row r="794" spans="1:19" x14ac:dyDescent="0.25">
      <c r="A794" s="128">
        <v>778</v>
      </c>
      <c r="B794" s="133"/>
      <c r="C794" s="149">
        <f ca="1">_xll.meDateFromTenor(C793,"1D","FOLLOWING",$D$11,"NORMAL")</f>
        <v>43570</v>
      </c>
      <c r="D794" s="20">
        <f ca="1">_xll.meDateFromTenor(C794,"1D","Following",$D$11,"Normal")</f>
        <v>43571</v>
      </c>
      <c r="E794" s="99">
        <f ca="1"/>
        <v>1.1167670863185859E-2</v>
      </c>
      <c r="F794" s="161">
        <f ca="1">_xll.meCurveForwardRates(C794,$D$9,$D$10)</f>
        <v>1.1230086922293658E-2</v>
      </c>
      <c r="G794" s="7" t="s">
        <v>4</v>
      </c>
      <c r="H794" s="149">
        <f t="shared" ca="1" si="24"/>
        <v>43570</v>
      </c>
      <c r="I794" s="20">
        <f ca="1">_xll.meDateFromTenor(H794,"3M","Following",$I$11,"Normal")</f>
        <v>43661</v>
      </c>
      <c r="J794" s="150">
        <f ca="1"/>
        <v>1.4959016787763017E-2</v>
      </c>
      <c r="K794" s="7" t="s">
        <v>4</v>
      </c>
      <c r="L794" s="149" t="e">
        <f ca="1">_xll.meDateFromTenor(L793,"1D","FOLLOWING",#REF!,"NORMAL")</f>
        <v>#VALUE!</v>
      </c>
      <c r="M794" s="155">
        <f ca="1">_xll.meDateYearFraction(C794,D794,$M$11)</f>
        <v>2.7777777777777779E-3</v>
      </c>
      <c r="N794" s="150">
        <f ca="1"/>
        <v>-2.4300000000065936E-3</v>
      </c>
      <c r="O794" s="7" t="s">
        <v>4</v>
      </c>
      <c r="P794" s="149">
        <f t="shared" ca="1" si="25"/>
        <v>43570</v>
      </c>
      <c r="Q794" s="155">
        <f ca="1">_xll.meDateYearFraction(H794,I794,$Q$11,TRUE)</f>
        <v>0.25277777777777777</v>
      </c>
      <c r="R794" s="150">
        <f ca="1">IF(NOW(),_xll.meCurveForwardRatesFromYearFraction(P794,Q794,$Q$11,$Q$9,$Q$10))</f>
        <v>-3.7175485397107962E-3</v>
      </c>
      <c r="S794" s="134" t="s">
        <v>4</v>
      </c>
    </row>
    <row r="795" spans="1:19" x14ac:dyDescent="0.25">
      <c r="A795" s="128">
        <v>779</v>
      </c>
      <c r="B795" s="133"/>
      <c r="C795" s="149">
        <f ca="1">_xll.meDateFromTenor(C794,"1D","FOLLOWING",$D$11,"NORMAL")</f>
        <v>43571</v>
      </c>
      <c r="D795" s="20">
        <f ca="1">_xll.meDateFromTenor(C795,"1D","Following",$D$11,"Normal")</f>
        <v>43572</v>
      </c>
      <c r="E795" s="99">
        <f ca="1"/>
        <v>1.1173690940742316E-2</v>
      </c>
      <c r="F795" s="161">
        <f ca="1">_xll.meCurveForwardRates(C795,$D$9,$D$10)</f>
        <v>1.1236174435274471E-2</v>
      </c>
      <c r="G795" s="7" t="s">
        <v>4</v>
      </c>
      <c r="H795" s="149">
        <f t="shared" ca="1" si="24"/>
        <v>43571</v>
      </c>
      <c r="I795" s="20">
        <f ca="1">_xll.meDateFromTenor(H795,"3M","Following",$I$11,"Normal")</f>
        <v>43662</v>
      </c>
      <c r="J795" s="150">
        <f ca="1"/>
        <v>1.4966307505733115E-2</v>
      </c>
      <c r="K795" s="7" t="s">
        <v>4</v>
      </c>
      <c r="L795" s="149" t="e">
        <f ca="1">_xll.meDateFromTenor(L794,"1D","FOLLOWING",#REF!,"NORMAL")</f>
        <v>#VALUE!</v>
      </c>
      <c r="M795" s="155">
        <f ca="1">_xll.meDateYearFraction(C795,D795,$M$11)</f>
        <v>2.7777777777777779E-3</v>
      </c>
      <c r="N795" s="150">
        <f ca="1"/>
        <v>-2.4300000000065936E-3</v>
      </c>
      <c r="O795" s="7" t="s">
        <v>4</v>
      </c>
      <c r="P795" s="149">
        <f t="shared" ca="1" si="25"/>
        <v>43571</v>
      </c>
      <c r="Q795" s="155">
        <f ca="1">_xll.meDateYearFraction(H795,I795,$Q$11,TRUE)</f>
        <v>0.25277777777777777</v>
      </c>
      <c r="R795" s="150">
        <f ca="1">IF(NOW(),_xll.meCurveForwardRatesFromYearFraction(P795,Q795,$Q$11,$Q$9,$Q$10))</f>
        <v>-3.7175485397107962E-3</v>
      </c>
      <c r="S795" s="134" t="s">
        <v>4</v>
      </c>
    </row>
    <row r="796" spans="1:19" x14ac:dyDescent="0.25">
      <c r="A796" s="128">
        <v>780</v>
      </c>
      <c r="B796" s="133"/>
      <c r="C796" s="149">
        <f ca="1">_xll.meDateFromTenor(C795,"1D","FOLLOWING",$D$11,"NORMAL")</f>
        <v>43572</v>
      </c>
      <c r="D796" s="20">
        <f ca="1">_xll.meDateFromTenor(C796,"1D","Following",$D$11,"Normal")</f>
        <v>43573</v>
      </c>
      <c r="E796" s="99">
        <f ca="1"/>
        <v>1.1179712447555485E-2</v>
      </c>
      <c r="F796" s="161">
        <f ca="1">_xll.meCurveForwardRates(C796,$D$9,$D$10)</f>
        <v>1.1242263430079502E-2</v>
      </c>
      <c r="G796" s="7" t="s">
        <v>4</v>
      </c>
      <c r="H796" s="149">
        <f t="shared" ca="1" si="24"/>
        <v>43572</v>
      </c>
      <c r="I796" s="20">
        <f ca="1">_xll.meDateFromTenor(H796,"3M","Following",$I$11,"Normal")</f>
        <v>43663</v>
      </c>
      <c r="J796" s="150">
        <f ca="1"/>
        <v>1.4973607962207413E-2</v>
      </c>
      <c r="K796" s="7" t="s">
        <v>4</v>
      </c>
      <c r="L796" s="149" t="e">
        <f ca="1">_xll.meDateFromTenor(L795,"1D","FOLLOWING",#REF!,"NORMAL")</f>
        <v>#VALUE!</v>
      </c>
      <c r="M796" s="155">
        <f ca="1">_xll.meDateYearFraction(C796,D796,$M$11)</f>
        <v>2.7777777777777779E-3</v>
      </c>
      <c r="N796" s="150">
        <f ca="1"/>
        <v>-2.4300000000065936E-3</v>
      </c>
      <c r="O796" s="7" t="s">
        <v>4</v>
      </c>
      <c r="P796" s="149">
        <f t="shared" ca="1" si="25"/>
        <v>43572</v>
      </c>
      <c r="Q796" s="155">
        <f ca="1">_xll.meDateYearFraction(H796,I796,$Q$11,TRUE)</f>
        <v>0.25277777777777777</v>
      </c>
      <c r="R796" s="150">
        <f ca="1">IF(NOW(),_xll.meCurveForwardRatesFromYearFraction(P796,Q796,$Q$11,$Q$9,$Q$10))</f>
        <v>-1.7356302414710673E-3</v>
      </c>
      <c r="S796" s="134" t="s">
        <v>4</v>
      </c>
    </row>
    <row r="797" spans="1:19" x14ac:dyDescent="0.25">
      <c r="A797" s="128">
        <v>781</v>
      </c>
      <c r="B797" s="133"/>
      <c r="C797" s="149">
        <f ca="1">_xll.meDateFromTenor(C796,"1D","FOLLOWING",$D$11,"NORMAL")</f>
        <v>43573</v>
      </c>
      <c r="D797" s="20">
        <f ca="1">_xll.meDateFromTenor(C797,"1D","Following",$D$11,"Normal")</f>
        <v>43578</v>
      </c>
      <c r="E797" s="99">
        <f ca="1"/>
        <v>1.1198483613680961E-2</v>
      </c>
      <c r="F797" s="161">
        <f ca="1">_xll.meCurveForwardRates(C797,$D$9,$D$10)</f>
        <v>1.1248353907058695E-2</v>
      </c>
      <c r="G797" s="7" t="s">
        <v>4</v>
      </c>
      <c r="H797" s="149">
        <f t="shared" ca="1" si="24"/>
        <v>43573</v>
      </c>
      <c r="I797" s="20">
        <f ca="1">_xll.meDateFromTenor(H797,"3M","Following",$I$11,"Normal")</f>
        <v>43664</v>
      </c>
      <c r="J797" s="150">
        <f ca="1"/>
        <v>1.4980918234260017E-2</v>
      </c>
      <c r="K797" s="7" t="s">
        <v>4</v>
      </c>
      <c r="L797" s="149" t="e">
        <f ca="1">_xll.meDateFromTenor(L796,"1D","FOLLOWING",#REF!,"NORMAL")</f>
        <v>#VALUE!</v>
      </c>
      <c r="M797" s="155">
        <f ca="1">_xll.meDateYearFraction(C797,D797,$M$11)</f>
        <v>1.3888888888888888E-2</v>
      </c>
      <c r="N797" s="150">
        <f ca="1"/>
        <v>-2.4300000000065936E-3</v>
      </c>
      <c r="O797" s="7" t="s">
        <v>4</v>
      </c>
      <c r="P797" s="149">
        <f t="shared" ca="1" si="25"/>
        <v>43573</v>
      </c>
      <c r="Q797" s="155">
        <f ca="1">_xll.meDateYearFraction(H797,I797,$Q$11,TRUE)</f>
        <v>0.25277777777777777</v>
      </c>
      <c r="R797" s="150">
        <f ca="1">IF(NOW(),_xll.meCurveForwardRatesFromYearFraction(P797,Q797,$Q$11,$Q$9,$Q$10))</f>
        <v>-1.7318982733775031E-3</v>
      </c>
      <c r="S797" s="134" t="s">
        <v>4</v>
      </c>
    </row>
    <row r="798" spans="1:19" x14ac:dyDescent="0.25">
      <c r="A798" s="128">
        <v>782</v>
      </c>
      <c r="B798" s="133"/>
      <c r="C798" s="149">
        <f ca="1">_xll.meDateFromTenor(C797,"1D","FOLLOWING",$D$11,"NORMAL")</f>
        <v>43578</v>
      </c>
      <c r="D798" s="20">
        <f ca="1">_xll.meDateFromTenor(C798,"1D","Following",$D$11,"Normal")</f>
        <v>43579</v>
      </c>
      <c r="E798" s="99">
        <f ca="1"/>
        <v>1.1215871526646421E-2</v>
      </c>
      <c r="F798" s="161">
        <f ca="1">_xll.meCurveForwardRates(C798,$D$9,$D$10)</f>
        <v>1.1278828542782504E-2</v>
      </c>
      <c r="G798" s="7" t="s">
        <v>4</v>
      </c>
      <c r="H798" s="149">
        <f t="shared" ca="1" si="24"/>
        <v>43578</v>
      </c>
      <c r="I798" s="20">
        <f ca="1">_xll.meDateFromTenor(H798,"3M","Following",$I$11,"Normal")</f>
        <v>43669</v>
      </c>
      <c r="J798" s="150">
        <f ca="1"/>
        <v>1.5017619525791498E-2</v>
      </c>
      <c r="K798" s="7" t="s">
        <v>4</v>
      </c>
      <c r="L798" s="149" t="e">
        <f ca="1">_xll.meDateFromTenor(L797,"1D","FOLLOWING",#REF!,"NORMAL")</f>
        <v>#VALUE!</v>
      </c>
      <c r="M798" s="155">
        <f ca="1">_xll.meDateYearFraction(C798,D798,$M$11)</f>
        <v>2.7777777777777779E-3</v>
      </c>
      <c r="N798" s="150">
        <f ca="1"/>
        <v>-2.4300000000065936E-3</v>
      </c>
      <c r="O798" s="7" t="s">
        <v>4</v>
      </c>
      <c r="P798" s="149">
        <f t="shared" ca="1" si="25"/>
        <v>43578</v>
      </c>
      <c r="Q798" s="155">
        <f ca="1">_xll.meDateYearFraction(H798,I798,$Q$11,TRUE)</f>
        <v>0.25277777777777777</v>
      </c>
      <c r="R798" s="150">
        <f ca="1">IF(NOW(),_xll.meCurveForwardRatesFromYearFraction(P798,Q798,$Q$11,$Q$9,$Q$10))</f>
        <v>-3.7175485397107962E-3</v>
      </c>
      <c r="S798" s="134" t="s">
        <v>4</v>
      </c>
    </row>
    <row r="799" spans="1:19" x14ac:dyDescent="0.25">
      <c r="A799" s="128">
        <v>783</v>
      </c>
      <c r="B799" s="133"/>
      <c r="C799" s="149">
        <f ca="1">_xll.meDateFromTenor(C798,"1D","FOLLOWING",$D$11,"NORMAL")</f>
        <v>43579</v>
      </c>
      <c r="D799" s="20">
        <f ca="1">_xll.meDateFromTenor(C799,"1D","Following",$D$11,"Normal")</f>
        <v>43580</v>
      </c>
      <c r="E799" s="99">
        <f ca="1"/>
        <v>1.1221903050406863E-2</v>
      </c>
      <c r="F799" s="161">
        <f ca="1">_xll.meCurveForwardRates(C799,$D$9,$D$10)</f>
        <v>1.1284927923381094E-2</v>
      </c>
      <c r="G799" s="7" t="s">
        <v>4</v>
      </c>
      <c r="H799" s="149">
        <f t="shared" ca="1" si="24"/>
        <v>43579</v>
      </c>
      <c r="I799" s="20">
        <f ca="1">_xll.meDateFromTenor(H799,"3M","Following",$I$11,"Normal")</f>
        <v>43670</v>
      </c>
      <c r="J799" s="150">
        <f ca="1"/>
        <v>1.5024990309870251E-2</v>
      </c>
      <c r="K799" s="7" t="s">
        <v>4</v>
      </c>
      <c r="L799" s="149" t="e">
        <f ca="1">_xll.meDateFromTenor(L798,"1D","FOLLOWING",#REF!,"NORMAL")</f>
        <v>#VALUE!</v>
      </c>
      <c r="M799" s="155">
        <f ca="1">_xll.meDateYearFraction(C799,D799,$M$11)</f>
        <v>2.7777777777777779E-3</v>
      </c>
      <c r="N799" s="150">
        <f ca="1"/>
        <v>-2.4300000000065936E-3</v>
      </c>
      <c r="O799" s="7" t="s">
        <v>4</v>
      </c>
      <c r="P799" s="149">
        <f t="shared" ca="1" si="25"/>
        <v>43579</v>
      </c>
      <c r="Q799" s="155">
        <f ca="1">_xll.meDateYearFraction(H799,I799,$Q$11,TRUE)</f>
        <v>0.25277777777777777</v>
      </c>
      <c r="R799" s="150">
        <f ca="1">IF(NOW(),_xll.meCurveForwardRatesFromYearFraction(P799,Q799,$Q$11,$Q$9,$Q$10))</f>
        <v>-3.7175485397107962E-3</v>
      </c>
      <c r="S799" s="134" t="s">
        <v>4</v>
      </c>
    </row>
    <row r="800" spans="1:19" x14ac:dyDescent="0.25">
      <c r="A800" s="128">
        <v>784</v>
      </c>
      <c r="B800" s="133"/>
      <c r="C800" s="149">
        <f ca="1">_xll.meDateFromTenor(C799,"1D","FOLLOWING",$D$11,"NORMAL")</f>
        <v>43580</v>
      </c>
      <c r="D800" s="20">
        <f ca="1">_xll.meDateFromTenor(C800,"1D","Following",$D$11,"Normal")</f>
        <v>43581</v>
      </c>
      <c r="E800" s="99">
        <f ca="1"/>
        <v>1.1227936006941204E-2</v>
      </c>
      <c r="F800" s="161">
        <f ca="1">_xll.meCurveForwardRates(C800,$D$9,$D$10)</f>
        <v>1.1291028789571111E-2</v>
      </c>
      <c r="G800" s="7" t="s">
        <v>4</v>
      </c>
      <c r="H800" s="149">
        <f t="shared" ca="1" si="24"/>
        <v>43580</v>
      </c>
      <c r="I800" s="20">
        <f ca="1">_xll.meDateFromTenor(H800,"3M","Following",$I$11,"Normal")</f>
        <v>43671</v>
      </c>
      <c r="J800" s="150">
        <f ca="1"/>
        <v>1.5032371449046077E-2</v>
      </c>
      <c r="K800" s="7" t="s">
        <v>4</v>
      </c>
      <c r="L800" s="149" t="e">
        <f ca="1">_xll.meDateFromTenor(L799,"1D","FOLLOWING",#REF!,"NORMAL")</f>
        <v>#VALUE!</v>
      </c>
      <c r="M800" s="155">
        <f ca="1">_xll.meDateYearFraction(C800,D800,$M$11)</f>
        <v>2.7777777777777779E-3</v>
      </c>
      <c r="N800" s="150">
        <f ca="1"/>
        <v>-2.4300000000065936E-3</v>
      </c>
      <c r="O800" s="7" t="s">
        <v>4</v>
      </c>
      <c r="P800" s="149">
        <f t="shared" ca="1" si="25"/>
        <v>43580</v>
      </c>
      <c r="Q800" s="155">
        <f ca="1">_xll.meDateYearFraction(H800,I800,$Q$11,TRUE)</f>
        <v>0.25277777777777777</v>
      </c>
      <c r="R800" s="150">
        <f ca="1">IF(NOW(),_xll.meCurveForwardRatesFromYearFraction(P800,Q800,$Q$11,$Q$9,$Q$10))</f>
        <v>-3.7175485397107962E-3</v>
      </c>
      <c r="S800" s="134" t="s">
        <v>4</v>
      </c>
    </row>
    <row r="801" spans="1:19" x14ac:dyDescent="0.25">
      <c r="A801" s="128">
        <v>785</v>
      </c>
      <c r="B801" s="133"/>
      <c r="C801" s="149">
        <f ca="1">_xll.meDateFromTenor(C800,"1D","FOLLOWING",$D$11,"NORMAL")</f>
        <v>43581</v>
      </c>
      <c r="D801" s="20">
        <f ca="1">_xll.meDateFromTenor(C801,"1D","Following",$D$11,"Normal")</f>
        <v>43584</v>
      </c>
      <c r="E801" s="99">
        <f ca="1"/>
        <v>1.1240357640023331E-2</v>
      </c>
      <c r="F801" s="161">
        <f ca="1">_xll.meCurveForwardRates(C801,$D$9,$D$10)</f>
        <v>1.1297131141864147E-2</v>
      </c>
      <c r="G801" s="7" t="s">
        <v>4</v>
      </c>
      <c r="H801" s="149">
        <f t="shared" ca="1" si="24"/>
        <v>43581</v>
      </c>
      <c r="I801" s="20">
        <f ca="1">_xll.meDateFromTenor(H801,"3M","Following",$I$11,"Normal")</f>
        <v>43672</v>
      </c>
      <c r="J801" s="150">
        <f ca="1"/>
        <v>1.5039763020393088E-2</v>
      </c>
      <c r="K801" s="7" t="s">
        <v>4</v>
      </c>
      <c r="L801" s="149" t="e">
        <f ca="1">_xll.meDateFromTenor(L800,"1D","FOLLOWING",#REF!,"NORMAL")</f>
        <v>#VALUE!</v>
      </c>
      <c r="M801" s="155">
        <f ca="1">_xll.meDateYearFraction(C801,D801,$M$11)</f>
        <v>8.3333333333333332E-3</v>
      </c>
      <c r="N801" s="150">
        <f ca="1"/>
        <v>-2.4300000000065936E-3</v>
      </c>
      <c r="O801" s="7" t="s">
        <v>4</v>
      </c>
      <c r="P801" s="149">
        <f t="shared" ca="1" si="25"/>
        <v>43581</v>
      </c>
      <c r="Q801" s="155">
        <f ca="1">_xll.meDateYearFraction(H801,I801,$Q$11,TRUE)</f>
        <v>0.25277777777777777</v>
      </c>
      <c r="R801" s="150">
        <f ca="1">IF(NOW(),_xll.meCurveForwardRatesFromYearFraction(P801,Q801,$Q$11,$Q$9,$Q$10))</f>
        <v>-1.7014573890031001E-3</v>
      </c>
      <c r="S801" s="134" t="s">
        <v>4</v>
      </c>
    </row>
    <row r="802" spans="1:19" x14ac:dyDescent="0.25">
      <c r="A802" s="128">
        <v>786</v>
      </c>
      <c r="B802" s="133"/>
      <c r="C802" s="149">
        <f ca="1">_xll.meDateFromTenor(C801,"1D","FOLLOWING",$D$11,"NORMAL")</f>
        <v>43584</v>
      </c>
      <c r="D802" s="20">
        <f ca="1">_xll.meDateFromTenor(C802,"1D","Following",$D$11,"Normal")</f>
        <v>43585</v>
      </c>
      <c r="E802" s="99">
        <f ca="1"/>
        <v>1.1252082169930273E-2</v>
      </c>
      <c r="F802" s="161">
        <f ca="1">_xll.meCurveForwardRates(C802,$D$9,$D$10)</f>
        <v>1.1315447119989663E-2</v>
      </c>
      <c r="G802" s="7" t="s">
        <v>4</v>
      </c>
      <c r="H802" s="149">
        <f t="shared" ca="1" si="24"/>
        <v>43584</v>
      </c>
      <c r="I802" s="20">
        <f ca="1">_xll.meDateFromTenor(H802,"3M","Following",$I$11,"Normal")</f>
        <v>43675</v>
      </c>
      <c r="J802" s="150">
        <f ca="1"/>
        <v>1.5062001098202311E-2</v>
      </c>
      <c r="K802" s="7" t="s">
        <v>4</v>
      </c>
      <c r="L802" s="149" t="e">
        <f ca="1">_xll.meDateFromTenor(L801,"1D","FOLLOWING",#REF!,"NORMAL")</f>
        <v>#VALUE!</v>
      </c>
      <c r="M802" s="155">
        <f ca="1">_xll.meDateYearFraction(C802,D802,$M$11)</f>
        <v>2.7777777777777779E-3</v>
      </c>
      <c r="N802" s="150">
        <f ca="1"/>
        <v>-2.4300000000065936E-3</v>
      </c>
      <c r="O802" s="7" t="s">
        <v>4</v>
      </c>
      <c r="P802" s="149">
        <f t="shared" ca="1" si="25"/>
        <v>43584</v>
      </c>
      <c r="Q802" s="155">
        <f ca="1">_xll.meDateYearFraction(H802,I802,$Q$11,TRUE)</f>
        <v>0.25277777777777777</v>
      </c>
      <c r="R802" s="150">
        <f ca="1">IF(NOW(),_xll.meCurveForwardRatesFromYearFraction(P802,Q802,$Q$11,$Q$9,$Q$10))</f>
        <v>-3.7175485397107962E-3</v>
      </c>
      <c r="S802" s="134" t="s">
        <v>4</v>
      </c>
    </row>
    <row r="803" spans="1:19" x14ac:dyDescent="0.25">
      <c r="A803" s="128">
        <v>787</v>
      </c>
      <c r="B803" s="133"/>
      <c r="C803" s="149">
        <f ca="1">_xll.meDateFromTenor(C802,"1D","FOLLOWING",$D$11,"NORMAL")</f>
        <v>43585</v>
      </c>
      <c r="D803" s="20">
        <f ca="1">_xll.meDateFromTenor(C803,"1D","Following",$D$11,"Normal")</f>
        <v>43586</v>
      </c>
      <c r="E803" s="99">
        <f ca="1"/>
        <v>1.125812229704874E-2</v>
      </c>
      <c r="F803" s="161">
        <f ca="1">_xll.meCurveForwardRates(C803,$D$9,$D$10)</f>
        <v>1.1321555421323737E-2</v>
      </c>
      <c r="G803" s="7" t="s">
        <v>4</v>
      </c>
      <c r="H803" s="149">
        <f t="shared" ca="1" si="24"/>
        <v>43585</v>
      </c>
      <c r="I803" s="20">
        <f ca="1">_xll.meDateFromTenor(H803,"3M","Following",$I$11,"Normal")</f>
        <v>43676</v>
      </c>
      <c r="J803" s="150">
        <f ca="1"/>
        <v>1.5069435168975147E-2</v>
      </c>
      <c r="K803" s="7" t="s">
        <v>4</v>
      </c>
      <c r="L803" s="149" t="e">
        <f ca="1">_xll.meDateFromTenor(L802,"1D","FOLLOWING",#REF!,"NORMAL")</f>
        <v>#VALUE!</v>
      </c>
      <c r="M803" s="155">
        <f ca="1">_xll.meDateYearFraction(C803,D803,$M$11)</f>
        <v>2.7777777777777779E-3</v>
      </c>
      <c r="N803" s="150">
        <f ca="1"/>
        <v>-2.4300000000065936E-3</v>
      </c>
      <c r="O803" s="7" t="s">
        <v>4</v>
      </c>
      <c r="P803" s="149">
        <f t="shared" ca="1" si="25"/>
        <v>43585</v>
      </c>
      <c r="Q803" s="155">
        <f ca="1">_xll.meDateYearFraction(H803,I803,$Q$11,TRUE)</f>
        <v>0.25277777777777777</v>
      </c>
      <c r="R803" s="150">
        <f ca="1">IF(NOW(),_xll.meCurveForwardRatesFromYearFraction(P803,Q803,$Q$11,$Q$9,$Q$10))</f>
        <v>-1.6857528302094635E-3</v>
      </c>
      <c r="S803" s="134" t="s">
        <v>4</v>
      </c>
    </row>
    <row r="804" spans="1:19" x14ac:dyDescent="0.25">
      <c r="A804" s="128">
        <v>788</v>
      </c>
      <c r="B804" s="133"/>
      <c r="C804" s="149">
        <f ca="1">_xll.meDateFromTenor(C803,"1D","FOLLOWING",$D$11,"NORMAL")</f>
        <v>43586</v>
      </c>
      <c r="D804" s="20">
        <f ca="1">_xll.meDateFromTenor(C804,"1D","Following",$D$11,"Normal")</f>
        <v>43587</v>
      </c>
      <c r="E804" s="99">
        <f ca="1"/>
        <v>1.1264163859738869E-2</v>
      </c>
      <c r="F804" s="161">
        <f ca="1">_xll.meCurveForwardRates(C804,$D$9,$D$10)</f>
        <v>1.1327665211236848E-2</v>
      </c>
      <c r="G804" s="7" t="s">
        <v>4</v>
      </c>
      <c r="H804" s="149">
        <f t="shared" ca="1" si="24"/>
        <v>43586</v>
      </c>
      <c r="I804" s="20">
        <f ca="1">_xll.meDateFromTenor(H804,"3M","Following",$I$11,"Normal")</f>
        <v>43678</v>
      </c>
      <c r="J804" s="150">
        <f ca="1"/>
        <v>1.5076880057289715E-2</v>
      </c>
      <c r="K804" s="7" t="s">
        <v>4</v>
      </c>
      <c r="L804" s="149" t="e">
        <f ca="1">_xll.meDateFromTenor(L803,"1D","FOLLOWING",#REF!,"NORMAL")</f>
        <v>#VALUE!</v>
      </c>
      <c r="M804" s="155">
        <f ca="1">_xll.meDateYearFraction(C804,D804,$M$11)</f>
        <v>2.7777777777777779E-3</v>
      </c>
      <c r="N804" s="150">
        <f ca="1"/>
        <v>-2.4300000000065936E-3</v>
      </c>
      <c r="O804" s="7" t="s">
        <v>4</v>
      </c>
      <c r="P804" s="149">
        <f t="shared" ca="1" si="25"/>
        <v>43586</v>
      </c>
      <c r="Q804" s="155">
        <f ca="1">_xll.meDateYearFraction(H804,I804,$Q$11,TRUE)</f>
        <v>0.25555555555555554</v>
      </c>
      <c r="R804" s="150">
        <f ca="1">IF(NOW(),_xll.meCurveForwardRatesFromYearFraction(P804,Q804,$Q$11,$Q$9,$Q$10))</f>
        <v>-3.7175485397107962E-3</v>
      </c>
      <c r="S804" s="134" t="s">
        <v>4</v>
      </c>
    </row>
    <row r="805" spans="1:19" x14ac:dyDescent="0.25">
      <c r="A805" s="128">
        <v>789</v>
      </c>
      <c r="B805" s="133"/>
      <c r="C805" s="149">
        <f ca="1">_xll.meDateFromTenor(C804,"1D","FOLLOWING",$D$11,"NORMAL")</f>
        <v>43587</v>
      </c>
      <c r="D805" s="20">
        <f ca="1">_xll.meDateFromTenor(C805,"1D","Following",$D$11,"Normal")</f>
        <v>43588</v>
      </c>
      <c r="E805" s="99">
        <f ca="1"/>
        <v>1.1270206858320404E-2</v>
      </c>
      <c r="F805" s="161">
        <f ca="1">_xll.meCurveForwardRates(C805,$D$9,$D$10)</f>
        <v>1.1333776490079162E-2</v>
      </c>
      <c r="G805" s="7" t="s">
        <v>4</v>
      </c>
      <c r="H805" s="149">
        <f t="shared" ca="1" si="24"/>
        <v>43587</v>
      </c>
      <c r="I805" s="20">
        <f ca="1">_xll.meDateFromTenor(H805,"3M","Following",$I$11,"Normal")</f>
        <v>43679</v>
      </c>
      <c r="J805" s="150">
        <f ca="1"/>
        <v>1.5084335840220122E-2</v>
      </c>
      <c r="K805" s="7" t="s">
        <v>4</v>
      </c>
      <c r="L805" s="149" t="e">
        <f ca="1">_xll.meDateFromTenor(L804,"1D","FOLLOWING",#REF!,"NORMAL")</f>
        <v>#VALUE!</v>
      </c>
      <c r="M805" s="155">
        <f ca="1">_xll.meDateYearFraction(C805,D805,$M$11)</f>
        <v>2.7777777777777779E-3</v>
      </c>
      <c r="N805" s="150">
        <f ca="1"/>
        <v>-2.4300000000065936E-3</v>
      </c>
      <c r="O805" s="7" t="s">
        <v>4</v>
      </c>
      <c r="P805" s="149">
        <f t="shared" ca="1" si="25"/>
        <v>43587</v>
      </c>
      <c r="Q805" s="155">
        <f ca="1">_xll.meDateYearFraction(H805,I805,$Q$11,TRUE)</f>
        <v>0.25555555555555554</v>
      </c>
      <c r="R805" s="150">
        <f ca="1">IF(NOW(),_xll.meCurveForwardRatesFromYearFraction(P805,Q805,$Q$11,$Q$9,$Q$10))</f>
        <v>-1.6777542076357446E-3</v>
      </c>
      <c r="S805" s="134" t="s">
        <v>4</v>
      </c>
    </row>
    <row r="806" spans="1:19" x14ac:dyDescent="0.25">
      <c r="A806" s="128">
        <v>790</v>
      </c>
      <c r="B806" s="133"/>
      <c r="C806" s="149">
        <f ca="1">_xll.meDateFromTenor(C805,"1D","FOLLOWING",$D$11,"NORMAL")</f>
        <v>43588</v>
      </c>
      <c r="D806" s="20">
        <f ca="1">_xll.meDateFromTenor(C806,"1D","Following",$D$11,"Normal")</f>
        <v>43592</v>
      </c>
      <c r="E806" s="99">
        <f ca="1"/>
        <v>1.1285852209614906E-2</v>
      </c>
      <c r="F806" s="161">
        <f ca="1">_xll.meCurveForwardRates(C806,$D$9,$D$10)</f>
        <v>1.1339889258281444E-2</v>
      </c>
      <c r="G806" s="7" t="s">
        <v>4</v>
      </c>
      <c r="H806" s="149">
        <f t="shared" ca="1" si="24"/>
        <v>43588</v>
      </c>
      <c r="I806" s="20">
        <f ca="1">_xll.meDateFromTenor(H806,"3M","Following",$I$11,"Normal")</f>
        <v>43682</v>
      </c>
      <c r="J806" s="150">
        <f ca="1"/>
        <v>1.5091802594840479E-2</v>
      </c>
      <c r="K806" s="7" t="s">
        <v>4</v>
      </c>
      <c r="L806" s="149" t="e">
        <f ca="1">_xll.meDateFromTenor(L805,"1D","FOLLOWING",#REF!,"NORMAL")</f>
        <v>#VALUE!</v>
      </c>
      <c r="M806" s="155">
        <f ca="1">_xll.meDateYearFraction(C806,D806,$M$11)</f>
        <v>1.1111111111111112E-2</v>
      </c>
      <c r="N806" s="150">
        <f ca="1"/>
        <v>-2.4300000000065936E-3</v>
      </c>
      <c r="O806" s="7" t="s">
        <v>4</v>
      </c>
      <c r="P806" s="149">
        <f t="shared" ca="1" si="25"/>
        <v>43588</v>
      </c>
      <c r="Q806" s="155">
        <f ca="1">_xll.meDateYearFraction(H806,I806,$Q$11,TRUE)</f>
        <v>0.26111111111111113</v>
      </c>
      <c r="R806" s="150">
        <f ca="1">IF(NOW(),_xll.meCurveForwardRatesFromYearFraction(P806,Q806,$Q$11,$Q$9,$Q$10))</f>
        <v>-3.7175485397107962E-3</v>
      </c>
      <c r="S806" s="134" t="s">
        <v>4</v>
      </c>
    </row>
    <row r="807" spans="1:19" x14ac:dyDescent="0.25">
      <c r="A807" s="128">
        <v>791</v>
      </c>
      <c r="B807" s="133"/>
      <c r="C807" s="149">
        <f ca="1">_xll.meDateFromTenor(C806,"1D","FOLLOWING",$D$11,"NORMAL")</f>
        <v>43592</v>
      </c>
      <c r="D807" s="20">
        <f ca="1">_xll.meDateFromTenor(C807,"1D","Following",$D$11,"Normal")</f>
        <v>43593</v>
      </c>
      <c r="E807" s="99">
        <f ca="1"/>
        <v>1.1300443405666312E-2</v>
      </c>
      <c r="F807" s="161">
        <f ca="1">_xll.meCurveForwardRates(C807,$D$9,$D$10)</f>
        <v>1.1364355235403689E-2</v>
      </c>
      <c r="G807" s="7" t="s">
        <v>4</v>
      </c>
      <c r="H807" s="149">
        <f t="shared" ca="1" si="24"/>
        <v>43592</v>
      </c>
      <c r="I807" s="20">
        <f ca="1">_xll.meDateFromTenor(H807,"3M","Following",$I$11,"Normal")</f>
        <v>43684</v>
      </c>
      <c r="J807" s="150">
        <f ca="1"/>
        <v>1.5121780871703582E-2</v>
      </c>
      <c r="K807" s="7" t="s">
        <v>4</v>
      </c>
      <c r="L807" s="149" t="e">
        <f ca="1">_xll.meDateFromTenor(L806,"1D","FOLLOWING",#REF!,"NORMAL")</f>
        <v>#VALUE!</v>
      </c>
      <c r="M807" s="155">
        <f ca="1">_xll.meDateYearFraction(C807,D807,$M$11)</f>
        <v>2.7777777777777779E-3</v>
      </c>
      <c r="N807" s="150">
        <f ca="1"/>
        <v>-2.4300000000065936E-3</v>
      </c>
      <c r="O807" s="7" t="s">
        <v>4</v>
      </c>
      <c r="P807" s="149">
        <f t="shared" ca="1" si="25"/>
        <v>43592</v>
      </c>
      <c r="Q807" s="155">
        <f ca="1">_xll.meDateYearFraction(H807,I807,$Q$11,TRUE)</f>
        <v>0.25555555555555554</v>
      </c>
      <c r="R807" s="150">
        <f ca="1">IF(NOW(),_xll.meCurveForwardRatesFromYearFraction(P807,Q807,$Q$11,$Q$9,$Q$10))</f>
        <v>-3.7175485397107962E-3</v>
      </c>
      <c r="S807" s="134" t="s">
        <v>4</v>
      </c>
    </row>
    <row r="808" spans="1:19" x14ac:dyDescent="0.25">
      <c r="A808" s="128">
        <v>792</v>
      </c>
      <c r="B808" s="133"/>
      <c r="C808" s="149">
        <f ca="1">_xll.meDateFromTenor(C807,"1D","FOLLOWING",$D$11,"NORMAL")</f>
        <v>43593</v>
      </c>
      <c r="D808" s="20">
        <f ca="1">_xll.meDateFromTenor(C808,"1D","Following",$D$11,"Normal")</f>
        <v>43594</v>
      </c>
      <c r="E808" s="99">
        <f ca="1"/>
        <v>1.1306495029188608E-2</v>
      </c>
      <c r="F808" s="161">
        <f ca="1">_xll.meCurveForwardRates(C808,$D$9,$D$10)</f>
        <v>1.1370475458078122E-2</v>
      </c>
      <c r="G808" s="7" t="s">
        <v>4</v>
      </c>
      <c r="H808" s="149">
        <f t="shared" ca="1" si="24"/>
        <v>43593</v>
      </c>
      <c r="I808" s="20">
        <f ca="1">_xll.meDateFromTenor(H808,"3M","Following",$I$11,"Normal")</f>
        <v>43685</v>
      </c>
      <c r="J808" s="150">
        <f ca="1"/>
        <v>1.5129303640885326E-2</v>
      </c>
      <c r="K808" s="7" t="s">
        <v>4</v>
      </c>
      <c r="L808" s="149" t="e">
        <f ca="1">_xll.meDateFromTenor(L807,"1D","FOLLOWING",#REF!,"NORMAL")</f>
        <v>#VALUE!</v>
      </c>
      <c r="M808" s="155">
        <f ca="1">_xll.meDateYearFraction(C808,D808,$M$11)</f>
        <v>2.7777777777777779E-3</v>
      </c>
      <c r="N808" s="150">
        <f ca="1"/>
        <v>-2.4300000000065936E-3</v>
      </c>
      <c r="O808" s="7" t="s">
        <v>4</v>
      </c>
      <c r="P808" s="149">
        <f t="shared" ca="1" si="25"/>
        <v>43593</v>
      </c>
      <c r="Q808" s="155">
        <f ca="1">_xll.meDateYearFraction(H808,I808,$Q$11,TRUE)</f>
        <v>0.25555555555555554</v>
      </c>
      <c r="R808" s="150">
        <f ca="1">IF(NOW(),_xll.meCurveForwardRatesFromYearFraction(P808,Q808,$Q$11,$Q$9,$Q$10))</f>
        <v>-3.7175485397107962E-3</v>
      </c>
      <c r="S808" s="134" t="s">
        <v>4</v>
      </c>
    </row>
    <row r="809" spans="1:19" x14ac:dyDescent="0.25">
      <c r="A809" s="128">
        <v>793</v>
      </c>
      <c r="B809" s="133"/>
      <c r="C809" s="149">
        <f ca="1">_xll.meDateFromTenor(C808,"1D","FOLLOWING",$D$11,"NORMAL")</f>
        <v>43594</v>
      </c>
      <c r="D809" s="20">
        <f ca="1">_xll.meDateFromTenor(C809,"1D","Following",$D$11,"Normal")</f>
        <v>43595</v>
      </c>
      <c r="E809" s="99">
        <f ca="1"/>
        <v>1.1312548091799752E-2</v>
      </c>
      <c r="F809" s="161">
        <f ca="1">_xll.meCurveForwardRates(C809,$D$9,$D$10)</f>
        <v>1.1376597173101022E-2</v>
      </c>
      <c r="G809" s="7" t="s">
        <v>4</v>
      </c>
      <c r="H809" s="149">
        <f t="shared" ca="1" si="24"/>
        <v>43594</v>
      </c>
      <c r="I809" s="20">
        <f ca="1">_xll.meDateFromTenor(H809,"3M","Following",$I$11,"Normal")</f>
        <v>43686</v>
      </c>
      <c r="J809" s="150">
        <f ca="1"/>
        <v>1.5136837844201674E-2</v>
      </c>
      <c r="K809" s="7" t="s">
        <v>4</v>
      </c>
      <c r="L809" s="149" t="e">
        <f ca="1">_xll.meDateFromTenor(L808,"1D","FOLLOWING",#REF!,"NORMAL")</f>
        <v>#VALUE!</v>
      </c>
      <c r="M809" s="155">
        <f ca="1">_xll.meDateYearFraction(C809,D809,$M$11)</f>
        <v>2.7777777777777779E-3</v>
      </c>
      <c r="N809" s="150">
        <f ca="1"/>
        <v>-2.4300000000065936E-3</v>
      </c>
      <c r="O809" s="7" t="s">
        <v>4</v>
      </c>
      <c r="P809" s="149">
        <f t="shared" ca="1" si="25"/>
        <v>43594</v>
      </c>
      <c r="Q809" s="155">
        <f ca="1">_xll.meDateYearFraction(H809,I809,$Q$11,TRUE)</f>
        <v>0.25555555555555554</v>
      </c>
      <c r="R809" s="150">
        <f ca="1">IF(NOW(),_xll.meCurveForwardRatesFromYearFraction(P809,Q809,$Q$11,$Q$9,$Q$10))</f>
        <v>-1.6488673210757075E-3</v>
      </c>
      <c r="S809" s="134" t="s">
        <v>4</v>
      </c>
    </row>
    <row r="810" spans="1:19" x14ac:dyDescent="0.25">
      <c r="A810" s="128">
        <v>794</v>
      </c>
      <c r="B810" s="133"/>
      <c r="C810" s="149">
        <f ca="1">_xll.meDateFromTenor(C809,"1D","FOLLOWING",$D$11,"NORMAL")</f>
        <v>43595</v>
      </c>
      <c r="D810" s="20">
        <f ca="1">_xll.meDateFromTenor(C810,"1D","Following",$D$11,"Normal")</f>
        <v>43598</v>
      </c>
      <c r="E810" s="99">
        <f ca="1"/>
        <v>1.1325015263974376E-2</v>
      </c>
      <c r="F810" s="161">
        <f ca="1">_xll.meCurveForwardRates(C810,$D$9,$D$10)</f>
        <v>1.1382720380902933E-2</v>
      </c>
      <c r="G810" s="7" t="s">
        <v>4</v>
      </c>
      <c r="H810" s="149">
        <f t="shared" ca="1" si="24"/>
        <v>43595</v>
      </c>
      <c r="I810" s="20">
        <f ca="1">_xll.meDateFromTenor(H810,"3M","Following",$I$11,"Normal")</f>
        <v>43689</v>
      </c>
      <c r="J810" s="150">
        <f ca="1"/>
        <v>1.5144383558726739E-2</v>
      </c>
      <c r="K810" s="7" t="s">
        <v>4</v>
      </c>
      <c r="L810" s="149" t="e">
        <f ca="1">_xll.meDateFromTenor(L809,"1D","FOLLOWING",#REF!,"NORMAL")</f>
        <v>#VALUE!</v>
      </c>
      <c r="M810" s="155">
        <f ca="1">_xll.meDateYearFraction(C810,D810,$M$11)</f>
        <v>8.3333333333333332E-3</v>
      </c>
      <c r="N810" s="150">
        <f ca="1"/>
        <v>-2.4300000000065936E-3</v>
      </c>
      <c r="O810" s="7" t="s">
        <v>4</v>
      </c>
      <c r="P810" s="149">
        <f t="shared" ca="1" si="25"/>
        <v>43595</v>
      </c>
      <c r="Q810" s="155">
        <f ca="1">_xll.meDateYearFraction(H810,I810,$Q$11,TRUE)</f>
        <v>0.26111111111111113</v>
      </c>
      <c r="R810" s="150">
        <f ca="1">IF(NOW(),_xll.meCurveForwardRatesFromYearFraction(P810,Q810,$Q$11,$Q$9,$Q$10))</f>
        <v>-3.7175485397107962E-3</v>
      </c>
      <c r="S810" s="134" t="s">
        <v>4</v>
      </c>
    </row>
    <row r="811" spans="1:19" x14ac:dyDescent="0.25">
      <c r="A811" s="128">
        <v>795</v>
      </c>
      <c r="B811" s="133"/>
      <c r="C811" s="149">
        <f ca="1">_xll.meDateFromTenor(C810,"1D","FOLLOWING",$D$11,"NORMAL")</f>
        <v>43598</v>
      </c>
      <c r="D811" s="20">
        <f ca="1">_xll.meDateFromTenor(C811,"1D","Following",$D$11,"Normal")</f>
        <v>43599</v>
      </c>
      <c r="E811" s="99">
        <f ca="1"/>
        <v>1.1336774741845841E-2</v>
      </c>
      <c r="F811" s="161">
        <f ca="1">_xll.meCurveForwardRates(C811,$D$9,$D$10)</f>
        <v>1.140109896602004E-2</v>
      </c>
      <c r="G811" s="7" t="s">
        <v>4</v>
      </c>
      <c r="H811" s="149">
        <f t="shared" ca="1" si="24"/>
        <v>43598</v>
      </c>
      <c r="I811" s="20">
        <f ca="1">_xll.meDateFromTenor(H811,"3M","Following",$I$11,"Normal")</f>
        <v>43690</v>
      </c>
      <c r="J811" s="150">
        <f ca="1"/>
        <v>1.5167090540295313E-2</v>
      </c>
      <c r="K811" s="7" t="s">
        <v>4</v>
      </c>
      <c r="L811" s="149" t="e">
        <f ca="1">_xll.meDateFromTenor(L810,"1D","FOLLOWING",#REF!,"NORMAL")</f>
        <v>#VALUE!</v>
      </c>
      <c r="M811" s="155">
        <f ca="1">_xll.meDateYearFraction(C811,D811,$M$11)</f>
        <v>2.7777777777777779E-3</v>
      </c>
      <c r="N811" s="150">
        <f ca="1"/>
        <v>-2.4300000000065936E-3</v>
      </c>
      <c r="O811" s="7" t="s">
        <v>4</v>
      </c>
      <c r="P811" s="149">
        <f t="shared" ca="1" si="25"/>
        <v>43598</v>
      </c>
      <c r="Q811" s="155">
        <f ca="1">_xll.meDateYearFraction(H811,I811,$Q$11,TRUE)</f>
        <v>0.25555555555555554</v>
      </c>
      <c r="R811" s="150">
        <f ca="1">IF(NOW(),_xll.meCurveForwardRatesFromYearFraction(P811,Q811,$Q$11,$Q$9,$Q$10))</f>
        <v>-1.6316515606491148E-3</v>
      </c>
      <c r="S811" s="134" t="s">
        <v>4</v>
      </c>
    </row>
    <row r="812" spans="1:19" x14ac:dyDescent="0.25">
      <c r="A812" s="128">
        <v>796</v>
      </c>
      <c r="B812" s="133"/>
      <c r="C812" s="149">
        <f ca="1">_xll.meDateFromTenor(C811,"1D","FOLLOWING",$D$11,"NORMAL")</f>
        <v>43599</v>
      </c>
      <c r="D812" s="20">
        <f ca="1">_xll.meDateFromTenor(C812,"1D","Following",$D$11,"Normal")</f>
        <v>43600</v>
      </c>
      <c r="E812" s="99">
        <f ca="1"/>
        <v>1.1342835006535918E-2</v>
      </c>
      <c r="F812" s="161">
        <f ca="1">_xll.meCurveForwardRates(C812,$D$9,$D$10)</f>
        <v>1.1407228149893811E-2</v>
      </c>
      <c r="G812" s="7" t="s">
        <v>4</v>
      </c>
      <c r="H812" s="149">
        <f t="shared" ca="1" si="24"/>
        <v>43599</v>
      </c>
      <c r="I812" s="20">
        <f ca="1">_xll.meDateFromTenor(H812,"3M","Following",$I$11,"Normal")</f>
        <v>43691</v>
      </c>
      <c r="J812" s="150">
        <f ca="1"/>
        <v>1.5174683070396329E-2</v>
      </c>
      <c r="K812" s="7" t="s">
        <v>4</v>
      </c>
      <c r="L812" s="149" t="e">
        <f ca="1">_xll.meDateFromTenor(L811,"1D","FOLLOWING",#REF!,"NORMAL")</f>
        <v>#VALUE!</v>
      </c>
      <c r="M812" s="155">
        <f ca="1">_xll.meDateYearFraction(C812,D812,$M$11)</f>
        <v>2.7777777777777779E-3</v>
      </c>
      <c r="N812" s="150">
        <f ca="1"/>
        <v>-2.4300000000065936E-3</v>
      </c>
      <c r="O812" s="7" t="s">
        <v>4</v>
      </c>
      <c r="P812" s="149">
        <f t="shared" ca="1" si="25"/>
        <v>43599</v>
      </c>
      <c r="Q812" s="155">
        <f ca="1">_xll.meDateYearFraction(H812,I812,$Q$11,TRUE)</f>
        <v>0.25555555555555554</v>
      </c>
      <c r="R812" s="150">
        <f ca="1">IF(NOW(),_xll.meCurveForwardRatesFromYearFraction(P812,Q812,$Q$11,$Q$9,$Q$10))</f>
        <v>-3.7175485397107962E-3</v>
      </c>
      <c r="S812" s="134" t="s">
        <v>4</v>
      </c>
    </row>
    <row r="813" spans="1:19" x14ac:dyDescent="0.25">
      <c r="A813" s="128">
        <v>797</v>
      </c>
      <c r="B813" s="133"/>
      <c r="C813" s="149">
        <f ca="1">_xll.meDateFromTenor(C812,"1D","FOLLOWING",$D$11,"NORMAL")</f>
        <v>43600</v>
      </c>
      <c r="D813" s="20">
        <f ca="1">_xll.meDateFromTenor(C813,"1D","Following",$D$11,"Normal")</f>
        <v>43601</v>
      </c>
      <c r="E813" s="99">
        <f ca="1"/>
        <v>1.134889671303267E-2</v>
      </c>
      <c r="F813" s="161">
        <f ca="1">_xll.meCurveForwardRates(C813,$D$9,$D$10)</f>
        <v>1.1413358829024389E-2</v>
      </c>
      <c r="G813" s="7" t="s">
        <v>4</v>
      </c>
      <c r="H813" s="149">
        <f t="shared" ca="1" si="24"/>
        <v>43600</v>
      </c>
      <c r="I813" s="20">
        <f ca="1">_xll.meDateFromTenor(H813,"3M","Following",$I$11,"Normal")</f>
        <v>43692</v>
      </c>
      <c r="J813" s="150">
        <f ca="1"/>
        <v>1.518228749707661E-2</v>
      </c>
      <c r="K813" s="7" t="s">
        <v>4</v>
      </c>
      <c r="L813" s="149" t="e">
        <f ca="1">_xll.meDateFromTenor(L812,"1D","FOLLOWING",#REF!,"NORMAL")</f>
        <v>#VALUE!</v>
      </c>
      <c r="M813" s="155">
        <f ca="1">_xll.meDateYearFraction(C813,D813,$M$11)</f>
        <v>2.7777777777777779E-3</v>
      </c>
      <c r="N813" s="150">
        <f ca="1"/>
        <v>-2.4300000000065936E-3</v>
      </c>
      <c r="O813" s="7" t="s">
        <v>4</v>
      </c>
      <c r="P813" s="149">
        <f t="shared" ca="1" si="25"/>
        <v>43600</v>
      </c>
      <c r="Q813" s="155">
        <f ca="1">_xll.meDateYearFraction(H813,I813,$Q$11,TRUE)</f>
        <v>0.25555555555555554</v>
      </c>
      <c r="R813" s="150">
        <f ca="1">IF(NOW(),_xll.meCurveForwardRatesFromYearFraction(P813,Q813,$Q$11,$Q$9,$Q$10))</f>
        <v>-1.622826819617035E-3</v>
      </c>
      <c r="S813" s="134" t="s">
        <v>4</v>
      </c>
    </row>
    <row r="814" spans="1:19" x14ac:dyDescent="0.25">
      <c r="A814" s="128">
        <v>798</v>
      </c>
      <c r="B814" s="133"/>
      <c r="C814" s="149">
        <f ca="1">_xll.meDateFromTenor(C813,"1D","FOLLOWING",$D$11,"NORMAL")</f>
        <v>43601</v>
      </c>
      <c r="D814" s="20">
        <f ca="1">_xll.meDateFromTenor(C814,"1D","Following",$D$11,"Normal")</f>
        <v>43602</v>
      </c>
      <c r="E814" s="99">
        <f ca="1"/>
        <v>1.1354959861735776E-2</v>
      </c>
      <c r="F814" s="161">
        <f ca="1">_xll.meCurveForwardRates(C814,$D$9,$D$10)</f>
        <v>1.1419491003842763E-2</v>
      </c>
      <c r="G814" s="7" t="s">
        <v>4</v>
      </c>
      <c r="H814" s="149">
        <f t="shared" ca="1" si="24"/>
        <v>43601</v>
      </c>
      <c r="I814" s="20">
        <f ca="1">_xll.meDateFromTenor(H814,"3M","Following",$I$11,"Normal")</f>
        <v>43693</v>
      </c>
      <c r="J814" s="150">
        <f ca="1"/>
        <v>1.518990389741026E-2</v>
      </c>
      <c r="K814" s="7" t="s">
        <v>4</v>
      </c>
      <c r="L814" s="149" t="e">
        <f ca="1">_xll.meDateFromTenor(L813,"1D","FOLLOWING",#REF!,"NORMAL")</f>
        <v>#VALUE!</v>
      </c>
      <c r="M814" s="155">
        <f ca="1">_xll.meDateYearFraction(C814,D814,$M$11)</f>
        <v>2.7777777777777779E-3</v>
      </c>
      <c r="N814" s="150">
        <f ca="1"/>
        <v>-2.4300000000065936E-3</v>
      </c>
      <c r="O814" s="7" t="s">
        <v>4</v>
      </c>
      <c r="P814" s="149">
        <f t="shared" ca="1" si="25"/>
        <v>43601</v>
      </c>
      <c r="Q814" s="155">
        <f ca="1">_xll.meDateYearFraction(H814,I814,$Q$11,TRUE)</f>
        <v>0.25555555555555554</v>
      </c>
      <c r="R814" s="150">
        <f ca="1">IF(NOW(),_xll.meCurveForwardRatesFromYearFraction(P814,Q814,$Q$11,$Q$9,$Q$10))</f>
        <v>-3.7175485397107962E-3</v>
      </c>
      <c r="S814" s="134" t="s">
        <v>4</v>
      </c>
    </row>
    <row r="815" spans="1:19" x14ac:dyDescent="0.25">
      <c r="A815" s="128">
        <v>799</v>
      </c>
      <c r="B815" s="133"/>
      <c r="C815" s="149">
        <f ca="1">_xll.meDateFromTenor(C814,"1D","FOLLOWING",$D$11,"NORMAL")</f>
        <v>43602</v>
      </c>
      <c r="D815" s="20">
        <f ca="1">_xll.meDateFromTenor(C815,"1D","Following",$D$11,"Normal")</f>
        <v>43605</v>
      </c>
      <c r="E815" s="99">
        <f ca="1"/>
        <v>1.1367449891359667E-2</v>
      </c>
      <c r="F815" s="161">
        <f ca="1">_xll.meCurveForwardRates(C815,$D$9,$D$10)</f>
        <v>1.1425624674860524E-2</v>
      </c>
      <c r="G815" s="7" t="s">
        <v>4</v>
      </c>
      <c r="H815" s="149">
        <f t="shared" ca="1" si="24"/>
        <v>43602</v>
      </c>
      <c r="I815" s="20">
        <f ca="1">_xll.meDateFromTenor(H815,"3M","Following",$I$11,"Normal")</f>
        <v>43696</v>
      </c>
      <c r="J815" s="150">
        <f ca="1"/>
        <v>1.5197532348471392E-2</v>
      </c>
      <c r="K815" s="7" t="s">
        <v>4</v>
      </c>
      <c r="L815" s="149" t="e">
        <f ca="1">_xll.meDateFromTenor(L814,"1D","FOLLOWING",#REF!,"NORMAL")</f>
        <v>#VALUE!</v>
      </c>
      <c r="M815" s="155">
        <f ca="1">_xll.meDateYearFraction(C815,D815,$M$11)</f>
        <v>8.3333333333333332E-3</v>
      </c>
      <c r="N815" s="150">
        <f ca="1"/>
        <v>-2.4300000000065936E-3</v>
      </c>
      <c r="O815" s="7" t="s">
        <v>4</v>
      </c>
      <c r="P815" s="149">
        <f t="shared" ca="1" si="25"/>
        <v>43602</v>
      </c>
      <c r="Q815" s="155">
        <f ca="1">_xll.meDateYearFraction(H815,I815,$Q$11,TRUE)</f>
        <v>0.26111111111111113</v>
      </c>
      <c r="R815" s="150">
        <f ca="1">IF(NOW(),_xll.meCurveForwardRatesFromYearFraction(P815,Q815,$Q$11,$Q$9,$Q$10))</f>
        <v>-3.7175485397107962E-3</v>
      </c>
      <c r="S815" s="134" t="s">
        <v>4</v>
      </c>
    </row>
    <row r="816" spans="1:19" x14ac:dyDescent="0.25">
      <c r="A816" s="128">
        <v>800</v>
      </c>
      <c r="B816" s="133"/>
      <c r="C816" s="149">
        <f ca="1">_xll.meDateFromTenor(C815,"1D","FOLLOWING",$D$11,"NORMAL")</f>
        <v>43605</v>
      </c>
      <c r="D816" s="20">
        <f ca="1">_xll.meDateFromTenor(C816,"1D","Following",$D$11,"Normal")</f>
        <v>43606</v>
      </c>
      <c r="E816" s="99">
        <f ca="1"/>
        <v>1.1379226887884326E-2</v>
      </c>
      <c r="F816" s="161">
        <f ca="1">_xll.meCurveForwardRates(C816,$D$9,$D$10)</f>
        <v>1.1444034669905179E-2</v>
      </c>
      <c r="G816" s="7" t="s">
        <v>4</v>
      </c>
      <c r="H816" s="149">
        <f t="shared" ca="1" si="24"/>
        <v>43605</v>
      </c>
      <c r="I816" s="20">
        <f ca="1">_xll.meDateFromTenor(H816,"3M","Following",$I$11,"Normal")</f>
        <v>43697</v>
      </c>
      <c r="J816" s="150">
        <f ca="1"/>
        <v>1.5220490776760765E-2</v>
      </c>
      <c r="K816" s="7" t="s">
        <v>4</v>
      </c>
      <c r="L816" s="149" t="e">
        <f ca="1">_xll.meDateFromTenor(L815,"1D","FOLLOWING",#REF!,"NORMAL")</f>
        <v>#VALUE!</v>
      </c>
      <c r="M816" s="155">
        <f ca="1">_xll.meDateYearFraction(C816,D816,$M$11)</f>
        <v>2.7777777777777779E-3</v>
      </c>
      <c r="N816" s="150">
        <f ca="1"/>
        <v>-2.4300000000065936E-3</v>
      </c>
      <c r="O816" s="7" t="s">
        <v>4</v>
      </c>
      <c r="P816" s="149">
        <f t="shared" ca="1" si="25"/>
        <v>43605</v>
      </c>
      <c r="Q816" s="155">
        <f ca="1">_xll.meDateYearFraction(H816,I816,$Q$11,TRUE)</f>
        <v>0.25555555555555554</v>
      </c>
      <c r="R816" s="150">
        <f ca="1">IF(NOW(),_xll.meCurveForwardRatesFromYearFraction(P816,Q816,$Q$11,$Q$9,$Q$10))</f>
        <v>-1.6000744450074215E-3</v>
      </c>
      <c r="S816" s="134" t="s">
        <v>4</v>
      </c>
    </row>
    <row r="817" spans="1:19" x14ac:dyDescent="0.25">
      <c r="A817" s="128">
        <v>801</v>
      </c>
      <c r="B817" s="133"/>
      <c r="C817" s="149">
        <f ca="1">_xll.meDateFromTenor(C816,"1D","FOLLOWING",$D$11,"NORMAL")</f>
        <v>43606</v>
      </c>
      <c r="D817" s="20">
        <f ca="1">_xll.meDateFromTenor(C817,"1D","Following",$D$11,"Normal")</f>
        <v>43607</v>
      </c>
      <c r="E817" s="99">
        <f ca="1"/>
        <v>1.1385297254493705E-2</v>
      </c>
      <c r="F817" s="161">
        <f ca="1">_xll.meCurveForwardRates(C817,$D$9,$D$10)</f>
        <v>1.1450174330515317E-2</v>
      </c>
      <c r="G817" s="7" t="s">
        <v>4</v>
      </c>
      <c r="H817" s="149">
        <f t="shared" ca="1" si="24"/>
        <v>43606</v>
      </c>
      <c r="I817" s="20">
        <f ca="1">_xll.meDateFromTenor(H817,"3M","Following",$I$11,"Normal")</f>
        <v>43698</v>
      </c>
      <c r="J817" s="150">
        <f ca="1"/>
        <v>1.5228168201472912E-2</v>
      </c>
      <c r="K817" s="7" t="s">
        <v>4</v>
      </c>
      <c r="L817" s="149" t="e">
        <f ca="1">_xll.meDateFromTenor(L816,"1D","FOLLOWING",#REF!,"NORMAL")</f>
        <v>#VALUE!</v>
      </c>
      <c r="M817" s="155">
        <f ca="1">_xll.meDateYearFraction(C817,D817,$M$11)</f>
        <v>2.7777777777777779E-3</v>
      </c>
      <c r="N817" s="150">
        <f ca="1"/>
        <v>-2.4300000000065936E-3</v>
      </c>
      <c r="O817" s="7" t="s">
        <v>4</v>
      </c>
      <c r="P817" s="149">
        <f t="shared" ca="1" si="25"/>
        <v>43606</v>
      </c>
      <c r="Q817" s="155">
        <f ca="1">_xll.meDateYearFraction(H817,I817,$Q$11,TRUE)</f>
        <v>0.25555555555555554</v>
      </c>
      <c r="R817" s="150">
        <f ca="1">IF(NOW(),_xll.meCurveForwardRatesFromYearFraction(P817,Q817,$Q$11,$Q$9,$Q$10))</f>
        <v>-1.595398362301803E-3</v>
      </c>
      <c r="S817" s="134" t="s">
        <v>4</v>
      </c>
    </row>
    <row r="818" spans="1:19" x14ac:dyDescent="0.25">
      <c r="A818" s="128">
        <v>802</v>
      </c>
      <c r="B818" s="133"/>
      <c r="C818" s="149">
        <f ca="1">_xll.meDateFromTenor(C817,"1D","FOLLOWING",$D$11,"NORMAL")</f>
        <v>43607</v>
      </c>
      <c r="D818" s="20">
        <f ca="1">_xll.meDateFromTenor(C818,"1D","Following",$D$11,"Normal")</f>
        <v>43608</v>
      </c>
      <c r="E818" s="99">
        <f ca="1"/>
        <v>1.13913690661072E-2</v>
      </c>
      <c r="F818" s="161">
        <f ca="1">_xll.meCurveForwardRates(C818,$D$9,$D$10)</f>
        <v>1.1456315489803304E-2</v>
      </c>
      <c r="G818" s="7" t="s">
        <v>4</v>
      </c>
      <c r="H818" s="149">
        <f t="shared" ca="1" si="24"/>
        <v>43607</v>
      </c>
      <c r="I818" s="20">
        <f ca="1">_xll.meDateFromTenor(H818,"3M","Following",$I$11,"Normal")</f>
        <v>43699</v>
      </c>
      <c r="J818" s="150">
        <f ca="1"/>
        <v>1.523585806228309E-2</v>
      </c>
      <c r="K818" s="7" t="s">
        <v>4</v>
      </c>
      <c r="L818" s="149" t="e">
        <f ca="1">_xll.meDateFromTenor(L817,"1D","FOLLOWING",#REF!,"NORMAL")</f>
        <v>#VALUE!</v>
      </c>
      <c r="M818" s="155">
        <f ca="1">_xll.meDateYearFraction(C818,D818,$M$11)</f>
        <v>2.7777777777777779E-3</v>
      </c>
      <c r="N818" s="150">
        <f ca="1"/>
        <v>-2.4300000000065936E-3</v>
      </c>
      <c r="O818" s="7" t="s">
        <v>4</v>
      </c>
      <c r="P818" s="149">
        <f t="shared" ca="1" si="25"/>
        <v>43607</v>
      </c>
      <c r="Q818" s="155">
        <f ca="1">_xll.meDateYearFraction(H818,I818,$Q$11,TRUE)</f>
        <v>0.25555555555555554</v>
      </c>
      <c r="R818" s="150">
        <f ca="1">IF(NOW(),_xll.meCurveForwardRatesFromYearFraction(P818,Q818,$Q$11,$Q$9,$Q$10))</f>
        <v>-3.7175485397107962E-3</v>
      </c>
      <c r="S818" s="134" t="s">
        <v>4</v>
      </c>
    </row>
    <row r="819" spans="1:19" x14ac:dyDescent="0.25">
      <c r="A819" s="128">
        <v>803</v>
      </c>
      <c r="B819" s="133"/>
      <c r="C819" s="149">
        <f ca="1">_xll.meDateFromTenor(C818,"1D","FOLLOWING",$D$11,"NORMAL")</f>
        <v>43608</v>
      </c>
      <c r="D819" s="20">
        <f ca="1">_xll.meDateFromTenor(C819,"1D","Following",$D$11,"Normal")</f>
        <v>43609</v>
      </c>
      <c r="E819" s="99">
        <f ca="1"/>
        <v>1.1397484264374964E-2</v>
      </c>
      <c r="F819" s="161">
        <f ca="1">_xll.meCurveForwardRates(C819,$D$9,$D$10)</f>
        <v>1.1462500568858003E-2</v>
      </c>
      <c r="G819" s="7" t="s">
        <v>4</v>
      </c>
      <c r="H819" s="149">
        <f t="shared" ca="1" si="24"/>
        <v>43608</v>
      </c>
      <c r="I819" s="20">
        <f ca="1">_xll.meDateFromTenor(H819,"3M","Following",$I$11,"Normal")</f>
        <v>43700</v>
      </c>
      <c r="J819" s="150">
        <f ca="1"/>
        <v>1.52435604362654E-2</v>
      </c>
      <c r="K819" s="7" t="s">
        <v>4</v>
      </c>
      <c r="L819" s="149" t="e">
        <f ca="1">_xll.meDateFromTenor(L818,"1D","FOLLOWING",#REF!,"NORMAL")</f>
        <v>#VALUE!</v>
      </c>
      <c r="M819" s="155">
        <f ca="1">_xll.meDateYearFraction(C819,D819,$M$11)</f>
        <v>2.7777777777777779E-3</v>
      </c>
      <c r="N819" s="150">
        <f ca="1"/>
        <v>-2.4300000000065936E-3</v>
      </c>
      <c r="O819" s="7" t="s">
        <v>4</v>
      </c>
      <c r="P819" s="149">
        <f t="shared" ca="1" si="25"/>
        <v>43608</v>
      </c>
      <c r="Q819" s="155">
        <f ca="1">_xll.meDateYearFraction(H819,I819,$Q$11,TRUE)</f>
        <v>0.25555555555555554</v>
      </c>
      <c r="R819" s="150">
        <f ca="1">IF(NOW(),_xll.meCurveForwardRatesFromYearFraction(P819,Q819,$Q$11,$Q$9,$Q$10))</f>
        <v>-3.7175485397107962E-3</v>
      </c>
      <c r="S819" s="134" t="s">
        <v>4</v>
      </c>
    </row>
    <row r="820" spans="1:19" x14ac:dyDescent="0.25">
      <c r="A820" s="128">
        <v>804</v>
      </c>
      <c r="B820" s="133"/>
      <c r="C820" s="149">
        <f ca="1">_xll.meDateFromTenor(C819,"1D","FOLLOWING",$D$11,"NORMAL")</f>
        <v>43609</v>
      </c>
      <c r="D820" s="20">
        <f ca="1">_xll.meDateFromTenor(C820,"1D","Following",$D$11,"Normal")</f>
        <v>43613</v>
      </c>
      <c r="E820" s="99">
        <f ca="1"/>
        <v>1.1413408372186878E-2</v>
      </c>
      <c r="F820" s="161">
        <f ca="1">_xll.meCurveForwardRates(C820,$D$9,$D$10)</f>
        <v>1.1468726542015029E-2</v>
      </c>
      <c r="G820" s="7" t="s">
        <v>4</v>
      </c>
      <c r="H820" s="149">
        <f t="shared" ca="1" si="24"/>
        <v>43609</v>
      </c>
      <c r="I820" s="20">
        <f ca="1">_xll.meDateFromTenor(H820,"3M","Following",$I$11,"Normal")</f>
        <v>43704</v>
      </c>
      <c r="J820" s="150">
        <f ca="1"/>
        <v>1.5251283672399547E-2</v>
      </c>
      <c r="K820" s="7" t="s">
        <v>4</v>
      </c>
      <c r="L820" s="149" t="e">
        <f ca="1">_xll.meDateFromTenor(L819,"1D","FOLLOWING",#REF!,"NORMAL")</f>
        <v>#VALUE!</v>
      </c>
      <c r="M820" s="155">
        <f ca="1">_xll.meDateYearFraction(C820,D820,$M$11)</f>
        <v>1.1111111111111112E-2</v>
      </c>
      <c r="N820" s="150">
        <f ca="1"/>
        <v>-2.4300000000065936E-3</v>
      </c>
      <c r="O820" s="7" t="s">
        <v>4</v>
      </c>
      <c r="P820" s="149">
        <f t="shared" ca="1" si="25"/>
        <v>43609</v>
      </c>
      <c r="Q820" s="155">
        <f ca="1">_xll.meDateYearFraction(H820,I820,$Q$11,TRUE)</f>
        <v>0.2638888888888889</v>
      </c>
      <c r="R820" s="150">
        <f ca="1">IF(NOW(),_xll.meCurveForwardRatesFromYearFraction(P820,Q820,$Q$11,$Q$9,$Q$10))</f>
        <v>-3.7175485397107962E-3</v>
      </c>
      <c r="S820" s="134" t="s">
        <v>4</v>
      </c>
    </row>
    <row r="821" spans="1:19" x14ac:dyDescent="0.25">
      <c r="A821" s="128">
        <v>805</v>
      </c>
      <c r="B821" s="133"/>
      <c r="C821" s="149">
        <f ca="1">_xll.meDateFromTenor(C820,"1D","FOLLOWING",$D$11,"NORMAL")</f>
        <v>43613</v>
      </c>
      <c r="D821" s="20">
        <f ca="1">_xll.meDateFromTenor(C821,"1D","Following",$D$11,"Normal")</f>
        <v>43614</v>
      </c>
      <c r="E821" s="99">
        <f ca="1"/>
        <v>1.1428231794496964E-2</v>
      </c>
      <c r="F821" s="161">
        <f ca="1">_xll.meCurveForwardRates(C821,$D$9,$D$10)</f>
        <v>1.1493600034747864E-2</v>
      </c>
      <c r="G821" s="7" t="s">
        <v>4</v>
      </c>
      <c r="H821" s="149">
        <f t="shared" ca="1" si="24"/>
        <v>43613</v>
      </c>
      <c r="I821" s="20">
        <f ca="1">_xll.meDateFromTenor(H821,"3M","Following",$I$11,"Normal")</f>
        <v>43705</v>
      </c>
      <c r="J821" s="150">
        <f ca="1"/>
        <v>1.5282459283860487E-2</v>
      </c>
      <c r="K821" s="7" t="s">
        <v>4</v>
      </c>
      <c r="L821" s="149" t="e">
        <f ca="1">_xll.meDateFromTenor(L820,"1D","FOLLOWING",#REF!,"NORMAL")</f>
        <v>#VALUE!</v>
      </c>
      <c r="M821" s="155">
        <f ca="1">_xll.meDateYearFraction(C821,D821,$M$11)</f>
        <v>2.7777777777777779E-3</v>
      </c>
      <c r="N821" s="150">
        <f ca="1"/>
        <v>-2.4300000000065936E-3</v>
      </c>
      <c r="O821" s="7" t="s">
        <v>4</v>
      </c>
      <c r="P821" s="149">
        <f t="shared" ca="1" si="25"/>
        <v>43613</v>
      </c>
      <c r="Q821" s="155">
        <f ca="1">_xll.meDateYearFraction(H821,I821,$Q$11,TRUE)</f>
        <v>0.25555555555555554</v>
      </c>
      <c r="R821" s="150">
        <f ca="1">IF(NOW(),_xll.meCurveForwardRatesFromYearFraction(P821,Q821,$Q$11,$Q$9,$Q$10))</f>
        <v>-1.5617447747355306E-3</v>
      </c>
      <c r="S821" s="134" t="s">
        <v>4</v>
      </c>
    </row>
    <row r="822" spans="1:19" x14ac:dyDescent="0.25">
      <c r="A822" s="128">
        <v>806</v>
      </c>
      <c r="B822" s="133"/>
      <c r="C822" s="149">
        <f ca="1">_xll.meDateFromTenor(C821,"1D","FOLLOWING",$D$11,"NORMAL")</f>
        <v>43614</v>
      </c>
      <c r="D822" s="20">
        <f ca="1">_xll.meDateFromTenor(C822,"1D","Following",$D$11,"Normal")</f>
        <v>43615</v>
      </c>
      <c r="E822" s="99">
        <f ca="1"/>
        <v>1.14343721699051E-2</v>
      </c>
      <c r="F822" s="161">
        <f ca="1">_xll.meCurveForwardRates(C822,$D$9,$D$10)</f>
        <v>1.1499810807028776E-2</v>
      </c>
      <c r="G822" s="7" t="s">
        <v>4</v>
      </c>
      <c r="H822" s="149">
        <f t="shared" ca="1" si="24"/>
        <v>43614</v>
      </c>
      <c r="I822" s="20">
        <f ca="1">_xll.meDateFromTenor(H822,"3M","Following",$I$11,"Normal")</f>
        <v>43706</v>
      </c>
      <c r="J822" s="150">
        <f ca="1"/>
        <v>1.5290321174287764E-2</v>
      </c>
      <c r="K822" s="7" t="s">
        <v>4</v>
      </c>
      <c r="L822" s="149" t="e">
        <f ca="1">_xll.meDateFromTenor(L821,"1D","FOLLOWING",#REF!,"NORMAL")</f>
        <v>#VALUE!</v>
      </c>
      <c r="M822" s="155">
        <f ca="1">_xll.meDateYearFraction(C822,D822,$M$11)</f>
        <v>2.7777777777777779E-3</v>
      </c>
      <c r="N822" s="150">
        <f ca="1"/>
        <v>-2.4300000000065936E-3</v>
      </c>
      <c r="O822" s="7" t="s">
        <v>4</v>
      </c>
      <c r="P822" s="149">
        <f t="shared" ca="1" si="25"/>
        <v>43614</v>
      </c>
      <c r="Q822" s="155">
        <f ca="1">_xll.meDateYearFraction(H822,I822,$Q$11,TRUE)</f>
        <v>0.25555555555555554</v>
      </c>
      <c r="R822" s="150">
        <f ca="1">IF(NOW(),_xll.meCurveForwardRatesFromYearFraction(P822,Q822,$Q$11,$Q$9,$Q$10))</f>
        <v>-3.7175485397107962E-3</v>
      </c>
      <c r="S822" s="134" t="s">
        <v>4</v>
      </c>
    </row>
    <row r="823" spans="1:19" x14ac:dyDescent="0.25">
      <c r="A823" s="128">
        <v>807</v>
      </c>
      <c r="B823" s="133"/>
      <c r="C823" s="149">
        <f ca="1">_xll.meDateFromTenor(C822,"1D","FOLLOWING",$D$11,"NORMAL")</f>
        <v>43615</v>
      </c>
      <c r="D823" s="20">
        <f ca="1">_xll.meDateFromTenor(C823,"1D","Following",$D$11,"Normal")</f>
        <v>43616</v>
      </c>
      <c r="E823" s="99">
        <f ca="1"/>
        <v>1.1440509501667901E-2</v>
      </c>
      <c r="F823" s="161">
        <f ca="1">_xll.meCurveForwardRates(C823,$D$9,$D$10)</f>
        <v>1.1506018538771201E-2</v>
      </c>
      <c r="G823" s="7" t="s">
        <v>4</v>
      </c>
      <c r="H823" s="149">
        <f t="shared" ca="1" si="24"/>
        <v>43615</v>
      </c>
      <c r="I823" s="20">
        <f ca="1">_xll.meDateFromTenor(H823,"3M","Following",$I$11,"Normal")</f>
        <v>43707</v>
      </c>
      <c r="J823" s="150">
        <f ca="1"/>
        <v>1.5298209188072233E-2</v>
      </c>
      <c r="K823" s="7" t="s">
        <v>4</v>
      </c>
      <c r="L823" s="149" t="e">
        <f ca="1">_xll.meDateFromTenor(L822,"1D","FOLLOWING",#REF!,"NORMAL")</f>
        <v>#VALUE!</v>
      </c>
      <c r="M823" s="155">
        <f ca="1">_xll.meDateYearFraction(C823,D823,$M$11)</f>
        <v>2.7777777777777779E-3</v>
      </c>
      <c r="N823" s="150">
        <f ca="1"/>
        <v>-2.4300000000065936E-3</v>
      </c>
      <c r="O823" s="7" t="s">
        <v>4</v>
      </c>
      <c r="P823" s="149">
        <f t="shared" ca="1" si="25"/>
        <v>43615</v>
      </c>
      <c r="Q823" s="155">
        <f ca="1">_xll.meDateYearFraction(H823,I823,$Q$11,TRUE)</f>
        <v>0.25555555555555554</v>
      </c>
      <c r="R823" s="150">
        <f ca="1">IF(NOW(),_xll.meCurveForwardRatesFromYearFraction(P823,Q823,$Q$11,$Q$9,$Q$10))</f>
        <v>-1.5519493414029395E-3</v>
      </c>
      <c r="S823" s="134" t="s">
        <v>4</v>
      </c>
    </row>
    <row r="824" spans="1:19" x14ac:dyDescent="0.25">
      <c r="A824" s="128">
        <v>808</v>
      </c>
      <c r="B824" s="133"/>
      <c r="C824" s="149">
        <f ca="1">_xll.meDateFromTenor(C823,"1D","FOLLOWING",$D$11,"NORMAL")</f>
        <v>43616</v>
      </c>
      <c r="D824" s="20">
        <f ca="1">_xll.meDateFromTenor(C824,"1D","Following",$D$11,"Normal")</f>
        <v>43619</v>
      </c>
      <c r="E824" s="99">
        <f ca="1"/>
        <v>1.1453138372576928E-2</v>
      </c>
      <c r="F824" s="161">
        <f ca="1">_xll.meCurveForwardRates(C824,$D$9,$D$10)</f>
        <v>1.1512223229595886E-2</v>
      </c>
      <c r="G824" s="7" t="s">
        <v>4</v>
      </c>
      <c r="H824" s="149">
        <f t="shared" ca="1" si="24"/>
        <v>43616</v>
      </c>
      <c r="I824" s="20">
        <f ca="1">_xll.meDateFromTenor(H824,"3M","Following",$I$11,"Normal")</f>
        <v>43711</v>
      </c>
      <c r="J824" s="150">
        <f ca="1"/>
        <v>1.5306122789380094E-2</v>
      </c>
      <c r="K824" s="7" t="s">
        <v>4</v>
      </c>
      <c r="L824" s="149" t="e">
        <f ca="1">_xll.meDateFromTenor(L823,"1D","FOLLOWING",#REF!,"NORMAL")</f>
        <v>#VALUE!</v>
      </c>
      <c r="M824" s="155">
        <f ca="1">_xll.meDateYearFraction(C824,D824,$M$11)</f>
        <v>8.3333333333333332E-3</v>
      </c>
      <c r="N824" s="150">
        <f ca="1"/>
        <v>-2.4300000000065936E-3</v>
      </c>
      <c r="O824" s="7" t="s">
        <v>4</v>
      </c>
      <c r="P824" s="149">
        <f t="shared" ca="1" si="25"/>
        <v>43616</v>
      </c>
      <c r="Q824" s="155">
        <f ca="1">_xll.meDateYearFraction(H824,I824,$Q$11,TRUE)</f>
        <v>0.2638888888888889</v>
      </c>
      <c r="R824" s="150">
        <f ca="1">IF(NOW(),_xll.meCurveForwardRatesFromYearFraction(P824,Q824,$Q$11,$Q$9,$Q$10))</f>
        <v>-3.7175485397107962E-3</v>
      </c>
      <c r="S824" s="134" t="s">
        <v>4</v>
      </c>
    </row>
    <row r="825" spans="1:19" x14ac:dyDescent="0.25">
      <c r="A825" s="128">
        <v>809</v>
      </c>
      <c r="B825" s="133"/>
      <c r="C825" s="149">
        <f ca="1">_xll.meDateFromTenor(C824,"1D","FOLLOWING",$D$11,"NORMAL")</f>
        <v>43619</v>
      </c>
      <c r="D825" s="20">
        <f ca="1">_xll.meDateFromTenor(C825,"1D","Following",$D$11,"Normal")</f>
        <v>43620</v>
      </c>
      <c r="E825" s="99">
        <f ca="1"/>
        <v>1.1465028388748561E-2</v>
      </c>
      <c r="F825" s="161">
        <f ca="1">_xll.meCurveForwardRates(C825,$D$9,$D$10)</f>
        <v>1.1530819055675545E-2</v>
      </c>
      <c r="G825" s="7" t="s">
        <v>4</v>
      </c>
      <c r="H825" s="149">
        <f t="shared" ca="1" si="24"/>
        <v>43619</v>
      </c>
      <c r="I825" s="20">
        <f ca="1">_xll.meDateFromTenor(H825,"3M","Following",$I$11,"Normal")</f>
        <v>43711</v>
      </c>
      <c r="J825" s="150">
        <f ca="1"/>
        <v>1.5330011760105887E-2</v>
      </c>
      <c r="K825" s="7" t="s">
        <v>4</v>
      </c>
      <c r="L825" s="149" t="e">
        <f ca="1">_xll.meDateFromTenor(L824,"1D","FOLLOWING",#REF!,"NORMAL")</f>
        <v>#VALUE!</v>
      </c>
      <c r="M825" s="155">
        <f ca="1">_xll.meDateYearFraction(C825,D825,$M$11)</f>
        <v>2.7777777777777779E-3</v>
      </c>
      <c r="N825" s="150">
        <f ca="1"/>
        <v>-2.4300000000065936E-3</v>
      </c>
      <c r="O825" s="7" t="s">
        <v>4</v>
      </c>
      <c r="P825" s="149">
        <f t="shared" ca="1" si="25"/>
        <v>43619</v>
      </c>
      <c r="Q825" s="155">
        <f ca="1">_xll.meDateYearFraction(H825,I825,$Q$11,TRUE)</f>
        <v>0.25555555555555554</v>
      </c>
      <c r="R825" s="150">
        <f ca="1">IF(NOW(),_xll.meCurveForwardRatesFromYearFraction(P825,Q825,$Q$11,$Q$9,$Q$10))</f>
        <v>-1.532141419399554E-3</v>
      </c>
      <c r="S825" s="134" t="s">
        <v>4</v>
      </c>
    </row>
    <row r="826" spans="1:19" x14ac:dyDescent="0.25">
      <c r="A826" s="128">
        <v>810</v>
      </c>
      <c r="B826" s="133"/>
      <c r="C826" s="149">
        <f ca="1">_xll.meDateFromTenor(C825,"1D","FOLLOWING",$D$11,"NORMAL")</f>
        <v>43620</v>
      </c>
      <c r="D826" s="20">
        <f ca="1">_xll.meDateFromTenor(C826,"1D","Following",$D$11,"Normal")</f>
        <v>43621</v>
      </c>
      <c r="E826" s="99">
        <f ca="1"/>
        <v>1.1471150499966538E-2</v>
      </c>
      <c r="F826" s="161">
        <f ca="1">_xll.meCurveForwardRates(C826,$D$9,$D$10)</f>
        <v>1.1537011581538081E-2</v>
      </c>
      <c r="G826" s="7" t="s">
        <v>4</v>
      </c>
      <c r="H826" s="149">
        <f t="shared" ca="1" si="24"/>
        <v>43620</v>
      </c>
      <c r="I826" s="20">
        <f ca="1">_xll.meDateFromTenor(H826,"3M","Following",$I$11,"Normal")</f>
        <v>43712</v>
      </c>
      <c r="J826" s="150">
        <f ca="1"/>
        <v>1.5338022353169192E-2</v>
      </c>
      <c r="K826" s="7" t="s">
        <v>4</v>
      </c>
      <c r="L826" s="149" t="e">
        <f ca="1">_xll.meDateFromTenor(L825,"1D","FOLLOWING",#REF!,"NORMAL")</f>
        <v>#VALUE!</v>
      </c>
      <c r="M826" s="155">
        <f ca="1">_xll.meDateYearFraction(C826,D826,$M$11)</f>
        <v>2.7777777777777779E-3</v>
      </c>
      <c r="N826" s="150">
        <f ca="1"/>
        <v>-2.4300000000065936E-3</v>
      </c>
      <c r="O826" s="7" t="s">
        <v>4</v>
      </c>
      <c r="P826" s="149">
        <f t="shared" ca="1" si="25"/>
        <v>43620</v>
      </c>
      <c r="Q826" s="155">
        <f ca="1">_xll.meDateYearFraction(H826,I826,$Q$11,TRUE)</f>
        <v>0.25555555555555554</v>
      </c>
      <c r="R826" s="150">
        <f ca="1">IF(NOW(),_xll.meCurveForwardRatesFromYearFraction(P826,Q826,$Q$11,$Q$9,$Q$10))</f>
        <v>-3.7175485397107962E-3</v>
      </c>
      <c r="S826" s="134" t="s">
        <v>4</v>
      </c>
    </row>
    <row r="827" spans="1:19" x14ac:dyDescent="0.25">
      <c r="A827" s="128">
        <v>811</v>
      </c>
      <c r="B827" s="133"/>
      <c r="C827" s="149">
        <f ca="1">_xll.meDateFromTenor(C826,"1D","FOLLOWING",$D$11,"NORMAL")</f>
        <v>43621</v>
      </c>
      <c r="D827" s="20">
        <f ca="1">_xll.meDateFromTenor(C827,"1D","Following",$D$11,"Normal")</f>
        <v>43622</v>
      </c>
      <c r="E827" s="99">
        <f ca="1"/>
        <v>1.1477269566819756E-2</v>
      </c>
      <c r="F827" s="161">
        <f ca="1">_xll.meCurveForwardRates(C827,$D$9,$D$10)</f>
        <v>1.1543201065796982E-2</v>
      </c>
      <c r="G827" s="7" t="s">
        <v>4</v>
      </c>
      <c r="H827" s="149">
        <f t="shared" ca="1" si="24"/>
        <v>43621</v>
      </c>
      <c r="I827" s="20">
        <f ca="1">_xll.meDateFromTenor(H827,"3M","Following",$I$11,"Normal")</f>
        <v>43713</v>
      </c>
      <c r="J827" s="150">
        <f ca="1"/>
        <v>1.5346055854586833E-2</v>
      </c>
      <c r="K827" s="7" t="s">
        <v>4</v>
      </c>
      <c r="L827" s="149" t="e">
        <f ca="1">_xll.meDateFromTenor(L826,"1D","FOLLOWING",#REF!,"NORMAL")</f>
        <v>#VALUE!</v>
      </c>
      <c r="M827" s="155">
        <f ca="1">_xll.meDateYearFraction(C827,D827,$M$11)</f>
        <v>2.7777777777777779E-3</v>
      </c>
      <c r="N827" s="150">
        <f ca="1"/>
        <v>-2.4300000000065936E-3</v>
      </c>
      <c r="O827" s="7" t="s">
        <v>4</v>
      </c>
      <c r="P827" s="149">
        <f t="shared" ca="1" si="25"/>
        <v>43621</v>
      </c>
      <c r="Q827" s="155">
        <f ca="1">_xll.meDateYearFraction(H827,I827,$Q$11,TRUE)</f>
        <v>0.25555555555555554</v>
      </c>
      <c r="R827" s="150">
        <f ca="1">IF(NOW(),_xll.meCurveForwardRatesFromYearFraction(P827,Q827,$Q$11,$Q$9,$Q$10))</f>
        <v>-1.5221297941063595E-3</v>
      </c>
      <c r="S827" s="134" t="s">
        <v>4</v>
      </c>
    </row>
    <row r="828" spans="1:19" x14ac:dyDescent="0.25">
      <c r="A828" s="128">
        <v>812</v>
      </c>
      <c r="B828" s="133"/>
      <c r="C828" s="149">
        <f ca="1">_xll.meDateFromTenor(C827,"1D","FOLLOWING",$D$11,"NORMAL")</f>
        <v>43622</v>
      </c>
      <c r="D828" s="20">
        <f ca="1">_xll.meDateFromTenor(C828,"1D","Following",$D$11,"Normal")</f>
        <v>43623</v>
      </c>
      <c r="E828" s="99">
        <f ca="1"/>
        <v>1.1483385589068404E-2</v>
      </c>
      <c r="F828" s="161">
        <f ca="1">_xll.meCurveForwardRates(C828,$D$9,$D$10)</f>
        <v>1.1549387508154041E-2</v>
      </c>
      <c r="G828" s="7" t="s">
        <v>4</v>
      </c>
      <c r="H828" s="149">
        <f t="shared" ca="1" si="24"/>
        <v>43622</v>
      </c>
      <c r="I828" s="20">
        <f ca="1">_xll.meDateFromTenor(H828,"3M","Following",$I$11,"Normal")</f>
        <v>43714</v>
      </c>
      <c r="J828" s="150">
        <f ca="1"/>
        <v>1.5354111728525001E-2</v>
      </c>
      <c r="K828" s="7" t="s">
        <v>4</v>
      </c>
      <c r="L828" s="149" t="e">
        <f ca="1">_xll.meDateFromTenor(L827,"1D","FOLLOWING",#REF!,"NORMAL")</f>
        <v>#VALUE!</v>
      </c>
      <c r="M828" s="155">
        <f ca="1">_xll.meDateYearFraction(C828,D828,$M$11)</f>
        <v>2.7777777777777779E-3</v>
      </c>
      <c r="N828" s="150">
        <f ca="1"/>
        <v>-2.4300000000065936E-3</v>
      </c>
      <c r="O828" s="7" t="s">
        <v>4</v>
      </c>
      <c r="P828" s="149">
        <f t="shared" ca="1" si="25"/>
        <v>43622</v>
      </c>
      <c r="Q828" s="155">
        <f ca="1">_xll.meDateYearFraction(H828,I828,$Q$11,TRUE)</f>
        <v>0.25555555555555554</v>
      </c>
      <c r="R828" s="150">
        <f ca="1">IF(NOW(),_xll.meCurveForwardRatesFromYearFraction(P828,Q828,$Q$11,$Q$9,$Q$10))</f>
        <v>-3.7175485397107962E-3</v>
      </c>
      <c r="S828" s="134" t="s">
        <v>4</v>
      </c>
    </row>
    <row r="829" spans="1:19" x14ac:dyDescent="0.25">
      <c r="A829" s="128">
        <v>813</v>
      </c>
      <c r="B829" s="133"/>
      <c r="C829" s="149">
        <f ca="1">_xll.meDateFromTenor(C828,"1D","FOLLOWING",$D$11,"NORMAL")</f>
        <v>43623</v>
      </c>
      <c r="D829" s="20">
        <f ca="1">_xll.meDateFromTenor(C829,"1D","Following",$D$11,"Normal")</f>
        <v>43626</v>
      </c>
      <c r="E829" s="99">
        <f ca="1"/>
        <v>1.1495974569033549E-2</v>
      </c>
      <c r="F829" s="161">
        <f ca="1">_xll.meCurveForwardRates(C829,$D$9,$D$10)</f>
        <v>1.1555570908633683E-2</v>
      </c>
      <c r="G829" s="7" t="s">
        <v>4</v>
      </c>
      <c r="H829" s="149">
        <f t="shared" ca="1" si="24"/>
        <v>43623</v>
      </c>
      <c r="I829" s="20">
        <f ca="1">_xll.meDateFromTenor(H829,"3M","Following",$I$11,"Normal")</f>
        <v>43717</v>
      </c>
      <c r="J829" s="150">
        <f ca="1"/>
        <v>1.5362189439149885E-2</v>
      </c>
      <c r="K829" s="7" t="s">
        <v>4</v>
      </c>
      <c r="L829" s="149" t="e">
        <f ca="1">_xll.meDateFromTenor(L828,"1D","FOLLOWING",#REF!,"NORMAL")</f>
        <v>#VALUE!</v>
      </c>
      <c r="M829" s="155">
        <f ca="1">_xll.meDateYearFraction(C829,D829,$M$11)</f>
        <v>8.3333333333333332E-3</v>
      </c>
      <c r="N829" s="150">
        <f ca="1"/>
        <v>-2.4300000000065936E-3</v>
      </c>
      <c r="O829" s="7" t="s">
        <v>4</v>
      </c>
      <c r="P829" s="149">
        <f t="shared" ca="1" si="25"/>
        <v>43623</v>
      </c>
      <c r="Q829" s="155">
        <f ca="1">_xll.meDateYearFraction(H829,I829,$Q$11,TRUE)</f>
        <v>0.26111111111111113</v>
      </c>
      <c r="R829" s="150">
        <f ca="1">IF(NOW(),_xll.meCurveForwardRatesFromYearFraction(P829,Q829,$Q$11,$Q$9,$Q$10))</f>
        <v>-1.5120469682038977E-3</v>
      </c>
      <c r="S829" s="134" t="s">
        <v>4</v>
      </c>
    </row>
    <row r="830" spans="1:19" x14ac:dyDescent="0.25">
      <c r="A830" s="128">
        <v>814</v>
      </c>
      <c r="B830" s="133"/>
      <c r="C830" s="149">
        <f ca="1">_xll.meDateFromTenor(C829,"1D","FOLLOWING",$D$11,"NORMAL")</f>
        <v>43626</v>
      </c>
      <c r="D830" s="20">
        <f ca="1">_xll.meDateFromTenor(C830,"1D","Following",$D$11,"Normal")</f>
        <v>43627</v>
      </c>
      <c r="E830" s="99">
        <f ca="1"/>
        <v>1.1507819230498526E-2</v>
      </c>
      <c r="F830" s="161">
        <f ca="1">_xll.meCurveForwardRates(C830,$D$9,$D$10)</f>
        <v>1.1574102855902879E-2</v>
      </c>
      <c r="G830" s="7" t="s">
        <v>4</v>
      </c>
      <c r="H830" s="149">
        <f t="shared" ca="1" si="24"/>
        <v>43626</v>
      </c>
      <c r="I830" s="20">
        <f ca="1">_xll.meDateFromTenor(H830,"3M","Following",$I$11,"Normal")</f>
        <v>43718</v>
      </c>
      <c r="J830" s="150">
        <f ca="1"/>
        <v>1.5386548232806734E-2</v>
      </c>
      <c r="K830" s="7" t="s">
        <v>4</v>
      </c>
      <c r="L830" s="149" t="e">
        <f ca="1">_xll.meDateFromTenor(L829,"1D","FOLLOWING",#REF!,"NORMAL")</f>
        <v>#VALUE!</v>
      </c>
      <c r="M830" s="155">
        <f ca="1">_xll.meDateYearFraction(C830,D830,$M$11)</f>
        <v>2.7777777777777779E-3</v>
      </c>
      <c r="N830" s="150">
        <f ca="1"/>
        <v>-2.4300000000065936E-3</v>
      </c>
      <c r="O830" s="7" t="s">
        <v>4</v>
      </c>
      <c r="P830" s="149">
        <f t="shared" ca="1" si="25"/>
        <v>43626</v>
      </c>
      <c r="Q830" s="155">
        <f ca="1">_xll.meDateYearFraction(H830,I830,$Q$11,TRUE)</f>
        <v>0.25555555555555554</v>
      </c>
      <c r="R830" s="150">
        <f ca="1">IF(NOW(),_xll.meCurveForwardRatesFromYearFraction(P830,Q830,$Q$11,$Q$9,$Q$10))</f>
        <v>-3.7175485397107962E-3</v>
      </c>
      <c r="S830" s="134" t="s">
        <v>4</v>
      </c>
    </row>
    <row r="831" spans="1:19" x14ac:dyDescent="0.25">
      <c r="A831" s="128">
        <v>815</v>
      </c>
      <c r="B831" s="133"/>
      <c r="C831" s="149">
        <f ca="1">_xll.meDateFromTenor(C830,"1D","FOLLOWING",$D$11,"NORMAL")</f>
        <v>43627</v>
      </c>
      <c r="D831" s="20">
        <f ca="1">_xll.meDateFromTenor(C831,"1D","Following",$D$11,"Normal")</f>
        <v>43628</v>
      </c>
      <c r="E831" s="99">
        <f ca="1"/>
        <v>1.1513920028445354E-2</v>
      </c>
      <c r="F831" s="161">
        <f ca="1">_xll.meCurveForwardRates(C831,$D$9,$D$10)</f>
        <v>1.1580274086614439E-2</v>
      </c>
      <c r="G831" s="7" t="s">
        <v>4</v>
      </c>
      <c r="H831" s="149">
        <f t="shared" ca="1" si="24"/>
        <v>43627</v>
      </c>
      <c r="I831" s="20">
        <f ca="1">_xll.meDateFromTenor(H831,"3M","Following",$I$11,"Normal")</f>
        <v>43719</v>
      </c>
      <c r="J831" s="150">
        <f ca="1"/>
        <v>1.5394707931840387E-2</v>
      </c>
      <c r="K831" s="7" t="s">
        <v>4</v>
      </c>
      <c r="L831" s="149" t="e">
        <f ca="1">_xll.meDateFromTenor(L830,"1D","FOLLOWING",#REF!,"NORMAL")</f>
        <v>#VALUE!</v>
      </c>
      <c r="M831" s="155">
        <f ca="1">_xll.meDateYearFraction(C831,D831,$M$11)</f>
        <v>2.7777777777777779E-3</v>
      </c>
      <c r="N831" s="150">
        <f ca="1"/>
        <v>-2.4300000000065936E-3</v>
      </c>
      <c r="O831" s="7" t="s">
        <v>4</v>
      </c>
      <c r="P831" s="149">
        <f t="shared" ca="1" si="25"/>
        <v>43627</v>
      </c>
      <c r="Q831" s="155">
        <f ca="1">_xll.meDateYearFraction(H831,I831,$Q$11,TRUE)</f>
        <v>0.25555555555555554</v>
      </c>
      <c r="R831" s="150">
        <f ca="1">IF(NOW(),_xll.meCurveForwardRatesFromYearFraction(P831,Q831,$Q$11,$Q$9,$Q$10))</f>
        <v>-1.4916694413263738E-3</v>
      </c>
      <c r="S831" s="134" t="s">
        <v>4</v>
      </c>
    </row>
    <row r="832" spans="1:19" x14ac:dyDescent="0.25">
      <c r="A832" s="128">
        <v>816</v>
      </c>
      <c r="B832" s="133"/>
      <c r="C832" s="149">
        <f ca="1">_xll.meDateFromTenor(C831,"1D","FOLLOWING",$D$11,"NORMAL")</f>
        <v>43628</v>
      </c>
      <c r="D832" s="20">
        <f ca="1">_xll.meDateFromTenor(C832,"1D","Following",$D$11,"Normal")</f>
        <v>43629</v>
      </c>
      <c r="E832" s="99">
        <f ca="1"/>
        <v>1.1520017780988254E-2</v>
      </c>
      <c r="F832" s="161">
        <f ca="1">_xll.meCurveForwardRates(C832,$D$9,$D$10)</f>
        <v>1.1586442274279074E-2</v>
      </c>
      <c r="G832" s="7" t="s">
        <v>4</v>
      </c>
      <c r="H832" s="149">
        <f t="shared" ca="1" si="24"/>
        <v>43628</v>
      </c>
      <c r="I832" s="20">
        <f ca="1">_xll.meDateFromTenor(H832,"3M","Following",$I$11,"Normal")</f>
        <v>43720</v>
      </c>
      <c r="J832" s="150">
        <f ca="1"/>
        <v>1.5402886788391704E-2</v>
      </c>
      <c r="K832" s="7" t="s">
        <v>4</v>
      </c>
      <c r="L832" s="149" t="e">
        <f ca="1">_xll.meDateFromTenor(L831,"1D","FOLLOWING",#REF!,"NORMAL")</f>
        <v>#VALUE!</v>
      </c>
      <c r="M832" s="155">
        <f ca="1">_xll.meDateYearFraction(C832,D832,$M$11)</f>
        <v>2.7777777777777779E-3</v>
      </c>
      <c r="N832" s="150">
        <f ca="1"/>
        <v>-2.4300000000065936E-3</v>
      </c>
      <c r="O832" s="7" t="s">
        <v>4</v>
      </c>
      <c r="P832" s="149">
        <f t="shared" ca="1" si="25"/>
        <v>43628</v>
      </c>
      <c r="Q832" s="155">
        <f ca="1">_xll.meDateYearFraction(H832,I832,$Q$11,TRUE)</f>
        <v>0.25555555555555554</v>
      </c>
      <c r="R832" s="150">
        <f ca="1">IF(NOW(),_xll.meCurveForwardRatesFromYearFraction(P832,Q832,$Q$11,$Q$9,$Q$10))</f>
        <v>-3.7175485397107962E-3</v>
      </c>
      <c r="S832" s="134" t="s">
        <v>4</v>
      </c>
    </row>
    <row r="833" spans="1:19" x14ac:dyDescent="0.25">
      <c r="A833" s="128">
        <v>817</v>
      </c>
      <c r="B833" s="133"/>
      <c r="C833" s="149">
        <f ca="1">_xll.meDateFromTenor(C832,"1D","FOLLOWING",$D$11,"NORMAL")</f>
        <v>43629</v>
      </c>
      <c r="D833" s="20">
        <f ca="1">_xll.meDateFromTenor(C833,"1D","Following",$D$11,"Normal")</f>
        <v>43630</v>
      </c>
      <c r="E833" s="99">
        <f ca="1"/>
        <v>1.1526112488287096E-2</v>
      </c>
      <c r="F833" s="161">
        <f ca="1">_xll.meCurveForwardRates(C833,$D$9,$D$10)</f>
        <v>1.1592607419002476E-2</v>
      </c>
      <c r="G833" s="7" t="s">
        <v>4</v>
      </c>
      <c r="H833" s="149">
        <f t="shared" ca="1" si="24"/>
        <v>43629</v>
      </c>
      <c r="I833" s="20">
        <f ca="1">_xll.meDateFromTenor(H833,"3M","Following",$I$11,"Normal")</f>
        <v>43721</v>
      </c>
      <c r="J833" s="150">
        <f ca="1"/>
        <v>1.5411084266626877E-2</v>
      </c>
      <c r="K833" s="7" t="s">
        <v>4</v>
      </c>
      <c r="L833" s="149" t="e">
        <f ca="1">_xll.meDateFromTenor(L832,"1D","FOLLOWING",#REF!,"NORMAL")</f>
        <v>#VALUE!</v>
      </c>
      <c r="M833" s="155">
        <f ca="1">_xll.meDateYearFraction(C833,D833,$M$11)</f>
        <v>2.7777777777777779E-3</v>
      </c>
      <c r="N833" s="150">
        <f ca="1"/>
        <v>-2.4300000000065936E-3</v>
      </c>
      <c r="O833" s="7" t="s">
        <v>4</v>
      </c>
      <c r="P833" s="149">
        <f t="shared" ca="1" si="25"/>
        <v>43629</v>
      </c>
      <c r="Q833" s="155">
        <f ca="1">_xll.meDateYearFraction(H833,I833,$Q$11,TRUE)</f>
        <v>0.25555555555555554</v>
      </c>
      <c r="R833" s="150">
        <f ca="1">IF(NOW(),_xll.meCurveForwardRatesFromYearFraction(P833,Q833,$Q$11,$Q$9,$Q$10))</f>
        <v>-1.4813756037289102E-3</v>
      </c>
      <c r="S833" s="134" t="s">
        <v>4</v>
      </c>
    </row>
    <row r="834" spans="1:19" x14ac:dyDescent="0.25">
      <c r="A834" s="128">
        <v>818</v>
      </c>
      <c r="B834" s="133"/>
      <c r="C834" s="149">
        <f ca="1">_xll.meDateFromTenor(C833,"1D","FOLLOWING",$D$11,"NORMAL")</f>
        <v>43630</v>
      </c>
      <c r="D834" s="20">
        <f ca="1">_xll.meDateFromTenor(C834,"1D","Following",$D$11,"Normal")</f>
        <v>43633</v>
      </c>
      <c r="E834" s="99">
        <f ca="1"/>
        <v>1.1538661566570282E-2</v>
      </c>
      <c r="F834" s="161">
        <f ca="1">_xll.meCurveForwardRates(C834,$D$9,$D$10)</f>
        <v>1.1598769520485996E-2</v>
      </c>
      <c r="G834" s="7" t="s">
        <v>4</v>
      </c>
      <c r="H834" s="149">
        <f t="shared" ca="1" si="24"/>
        <v>43630</v>
      </c>
      <c r="I834" s="20">
        <f ca="1">_xll.meDateFromTenor(H834,"3M","Following",$I$11,"Normal")</f>
        <v>43724</v>
      </c>
      <c r="J834" s="150">
        <f ca="1"/>
        <v>1.5419299830712097E-2</v>
      </c>
      <c r="K834" s="7" t="s">
        <v>4</v>
      </c>
      <c r="L834" s="149" t="e">
        <f ca="1">_xll.meDateFromTenor(L833,"1D","FOLLOWING",#REF!,"NORMAL")</f>
        <v>#VALUE!</v>
      </c>
      <c r="M834" s="155">
        <f ca="1">_xll.meDateYearFraction(C834,D834,$M$11)</f>
        <v>8.3333333333333332E-3</v>
      </c>
      <c r="N834" s="150">
        <f ca="1"/>
        <v>-2.4300000000065936E-3</v>
      </c>
      <c r="O834" s="7" t="s">
        <v>4</v>
      </c>
      <c r="P834" s="149">
        <f t="shared" ca="1" si="25"/>
        <v>43630</v>
      </c>
      <c r="Q834" s="155">
        <f ca="1">_xll.meDateYearFraction(H834,I834,$Q$11,TRUE)</f>
        <v>0.26111111111111113</v>
      </c>
      <c r="R834" s="150">
        <f ca="1">IF(NOW(),_xll.meCurveForwardRatesFromYearFraction(P834,Q834,$Q$11,$Q$9,$Q$10))</f>
        <v>-3.7175485397107962E-3</v>
      </c>
      <c r="S834" s="134" t="s">
        <v>4</v>
      </c>
    </row>
    <row r="835" spans="1:19" x14ac:dyDescent="0.25">
      <c r="A835" s="128">
        <v>819</v>
      </c>
      <c r="B835" s="133"/>
      <c r="C835" s="149">
        <f ca="1">_xll.meDateFromTenor(C834,"1D","FOLLOWING",$D$11,"NORMAL")</f>
        <v>43633</v>
      </c>
      <c r="D835" s="20">
        <f ca="1">_xll.meDateFromTenor(C835,"1D","Following",$D$11,"Normal")</f>
        <v>43634</v>
      </c>
      <c r="E835" s="99">
        <f ca="1"/>
        <v>1.1550460861524711E-2</v>
      </c>
      <c r="F835" s="161">
        <f ca="1">_xll.meCurveForwardRates(C835,$D$9,$D$10)</f>
        <v>1.1617237563807281E-2</v>
      </c>
      <c r="G835" s="7" t="s">
        <v>4</v>
      </c>
      <c r="H835" s="149">
        <f t="shared" ca="1" si="24"/>
        <v>43633</v>
      </c>
      <c r="I835" s="20">
        <f ca="1">_xll.meDateFromTenor(H835,"3M","Following",$I$11,"Normal")</f>
        <v>43725</v>
      </c>
      <c r="J835" s="150">
        <f ca="1"/>
        <v>1.544404967972994E-2</v>
      </c>
      <c r="K835" s="7" t="s">
        <v>4</v>
      </c>
      <c r="L835" s="149" t="e">
        <f ca="1">_xll.meDateFromTenor(L834,"1D","FOLLOWING",#REF!,"NORMAL")</f>
        <v>#VALUE!</v>
      </c>
      <c r="M835" s="155">
        <f ca="1">_xll.meDateYearFraction(C835,D835,$M$11)</f>
        <v>2.7777777777777779E-3</v>
      </c>
      <c r="N835" s="150">
        <f ca="1"/>
        <v>-2.4300000000065936E-3</v>
      </c>
      <c r="O835" s="7" t="s">
        <v>4</v>
      </c>
      <c r="P835" s="149">
        <f t="shared" ca="1" si="25"/>
        <v>43633</v>
      </c>
      <c r="Q835" s="155">
        <f ca="1">_xll.meDateYearFraction(H835,I835,$Q$11,TRUE)</f>
        <v>0.25555555555555554</v>
      </c>
      <c r="R835" s="150">
        <f ca="1">IF(NOW(),_xll.meCurveForwardRatesFromYearFraction(P835,Q835,$Q$11,$Q$9,$Q$10))</f>
        <v>-3.7175485397107962E-3</v>
      </c>
      <c r="S835" s="134" t="s">
        <v>4</v>
      </c>
    </row>
    <row r="836" spans="1:19" x14ac:dyDescent="0.25">
      <c r="A836" s="128">
        <v>820</v>
      </c>
      <c r="B836" s="133"/>
      <c r="C836" s="149">
        <f ca="1">_xll.meDateFromTenor(C835,"1D","FOLLOWING",$D$11,"NORMAL")</f>
        <v>43634</v>
      </c>
      <c r="D836" s="20">
        <f ca="1">_xll.meDateFromTenor(C836,"1D","Following",$D$11,"Normal")</f>
        <v>43635</v>
      </c>
      <c r="E836" s="99">
        <f ca="1"/>
        <v>1.1556540340285124E-2</v>
      </c>
      <c r="F836" s="161">
        <f ca="1">_xll.meCurveForwardRates(C836,$D$9,$D$10)</f>
        <v>1.1623387490640846E-2</v>
      </c>
      <c r="G836" s="7" t="s">
        <v>4</v>
      </c>
      <c r="H836" s="149">
        <f t="shared" ca="1" si="24"/>
        <v>43634</v>
      </c>
      <c r="I836" s="20">
        <f ca="1">_xll.meDateFromTenor(H836,"3M","Following",$I$11,"Normal")</f>
        <v>43726</v>
      </c>
      <c r="J836" s="150">
        <f ca="1"/>
        <v>1.545233222887725E-2</v>
      </c>
      <c r="K836" s="7" t="s">
        <v>4</v>
      </c>
      <c r="L836" s="149" t="e">
        <f ca="1">_xll.meDateFromTenor(L835,"1D","FOLLOWING",#REF!,"NORMAL")</f>
        <v>#VALUE!</v>
      </c>
      <c r="M836" s="155">
        <f ca="1">_xll.meDateYearFraction(C836,D836,$M$11)</f>
        <v>2.7777777777777779E-3</v>
      </c>
      <c r="N836" s="150">
        <f ca="1"/>
        <v>-2.4300000000065936E-3</v>
      </c>
      <c r="O836" s="7" t="s">
        <v>4</v>
      </c>
      <c r="P836" s="149">
        <f t="shared" ca="1" si="25"/>
        <v>43634</v>
      </c>
      <c r="Q836" s="155">
        <f ca="1">_xll.meDateYearFraction(H836,I836,$Q$11,TRUE)</f>
        <v>0.25555555555555554</v>
      </c>
      <c r="R836" s="150">
        <f ca="1">IF(NOW(),_xll.meCurveForwardRatesFromYearFraction(P836,Q836,$Q$11,$Q$9,$Q$10))</f>
        <v>-3.7175485397107962E-3</v>
      </c>
      <c r="S836" s="134" t="s">
        <v>4</v>
      </c>
    </row>
    <row r="837" spans="1:19" x14ac:dyDescent="0.25">
      <c r="A837" s="128">
        <v>821</v>
      </c>
      <c r="B837" s="133"/>
      <c r="C837" s="149">
        <f ca="1">_xll.meDateFromTenor(C836,"1D","FOLLOWING",$D$11,"NORMAL")</f>
        <v>43635</v>
      </c>
      <c r="D837" s="20">
        <f ca="1">_xll.meDateFromTenor(C837,"1D","Following",$D$11,"Normal")</f>
        <v>43636</v>
      </c>
      <c r="E837" s="99">
        <f ca="1"/>
        <v>1.1562616772922182E-2</v>
      </c>
      <c r="F837" s="161">
        <f ca="1">_xll.meCurveForwardRates(C837,$D$9,$D$10)</f>
        <v>1.1629534373308603E-2</v>
      </c>
      <c r="G837" s="7" t="s">
        <v>4</v>
      </c>
      <c r="H837" s="149">
        <f t="shared" ca="1" si="24"/>
        <v>43635</v>
      </c>
      <c r="I837" s="20">
        <f ca="1">_xll.meDateFromTenor(H837,"3M","Following",$I$11,"Normal")</f>
        <v>43727</v>
      </c>
      <c r="J837" s="150">
        <f ca="1"/>
        <v>1.5460630184705552E-2</v>
      </c>
      <c r="K837" s="7" t="s">
        <v>4</v>
      </c>
      <c r="L837" s="149" t="e">
        <f ca="1">_xll.meDateFromTenor(L836,"1D","FOLLOWING",#REF!,"NORMAL")</f>
        <v>#VALUE!</v>
      </c>
      <c r="M837" s="155">
        <f ca="1">_xll.meDateYearFraction(C837,D837,$M$11)</f>
        <v>2.7777777777777779E-3</v>
      </c>
      <c r="N837" s="150">
        <f ca="1"/>
        <v>-2.4300000000065936E-3</v>
      </c>
      <c r="O837" s="7" t="s">
        <v>4</v>
      </c>
      <c r="P837" s="149">
        <f t="shared" ca="1" si="25"/>
        <v>43635</v>
      </c>
      <c r="Q837" s="155">
        <f ca="1">_xll.meDateYearFraction(H837,I837,$Q$11,TRUE)</f>
        <v>0.25555555555555554</v>
      </c>
      <c r="R837" s="150">
        <f ca="1">IF(NOW(),_xll.meCurveForwardRatesFromYearFraction(P837,Q837,$Q$11,$Q$9,$Q$10))</f>
        <v>-1.450078974567319E-3</v>
      </c>
      <c r="S837" s="134" t="s">
        <v>4</v>
      </c>
    </row>
    <row r="838" spans="1:19" x14ac:dyDescent="0.25">
      <c r="A838" s="128">
        <v>822</v>
      </c>
      <c r="B838" s="133"/>
      <c r="C838" s="149">
        <f ca="1">_xll.meDateFromTenor(C837,"1D","FOLLOWING",$D$11,"NORMAL")</f>
        <v>43636</v>
      </c>
      <c r="D838" s="20">
        <f ca="1">_xll.meDateFromTenor(C838,"1D","Following",$D$11,"Normal")</f>
        <v>43637</v>
      </c>
      <c r="E838" s="99">
        <f ca="1"/>
        <v>1.1568690159435888E-2</v>
      </c>
      <c r="F838" s="161">
        <f ca="1">_xll.meCurveForwardRates(C838,$D$9,$D$10)</f>
        <v>1.1635678211754596E-2</v>
      </c>
      <c r="G838" s="7" t="s">
        <v>4</v>
      </c>
      <c r="H838" s="149">
        <f t="shared" ca="1" si="24"/>
        <v>43636</v>
      </c>
      <c r="I838" s="20">
        <f ca="1">_xll.meDateFromTenor(H838,"3M","Following",$I$11,"Normal")</f>
        <v>43728</v>
      </c>
      <c r="J838" s="150">
        <f ca="1"/>
        <v>1.5468943011381046E-2</v>
      </c>
      <c r="K838" s="7" t="s">
        <v>4</v>
      </c>
      <c r="L838" s="149" t="e">
        <f ca="1">_xll.meDateFromTenor(L837,"1D","FOLLOWING",#REF!,"NORMAL")</f>
        <v>#VALUE!</v>
      </c>
      <c r="M838" s="155">
        <f ca="1">_xll.meDateYearFraction(C838,D838,$M$11)</f>
        <v>2.7777777777777779E-3</v>
      </c>
      <c r="N838" s="150">
        <f ca="1"/>
        <v>-2.4300000000065936E-3</v>
      </c>
      <c r="O838" s="7" t="s">
        <v>4</v>
      </c>
      <c r="P838" s="149">
        <f t="shared" ca="1" si="25"/>
        <v>43636</v>
      </c>
      <c r="Q838" s="155">
        <f ca="1">_xll.meDateYearFraction(H838,I838,$Q$11,TRUE)</f>
        <v>0.25555555555555554</v>
      </c>
      <c r="R838" s="150">
        <f ca="1">IF(NOW(),_xll.meCurveForwardRatesFromYearFraction(P838,Q838,$Q$11,$Q$9,$Q$10))</f>
        <v>-3.7175485397107962E-3</v>
      </c>
      <c r="S838" s="134" t="s">
        <v>4</v>
      </c>
    </row>
    <row r="839" spans="1:19" x14ac:dyDescent="0.25">
      <c r="A839" s="128">
        <v>823</v>
      </c>
      <c r="B839" s="133"/>
      <c r="C839" s="149">
        <f ca="1">_xll.meDateFromTenor(C838,"1D","FOLLOWING",$D$11,"NORMAL")</f>
        <v>43637</v>
      </c>
      <c r="D839" s="20">
        <f ca="1">_xll.meDateFromTenor(C839,"1D","Following",$D$11,"Normal")</f>
        <v>43640</v>
      </c>
      <c r="E839" s="99">
        <f ca="1"/>
        <v>1.1581199325005939E-2</v>
      </c>
      <c r="F839" s="161">
        <f ca="1">_xll.meCurveForwardRates(C839,$D$9,$D$10)</f>
        <v>1.1641819005680398E-2</v>
      </c>
      <c r="G839" s="7" t="s">
        <v>4</v>
      </c>
      <c r="H839" s="149">
        <f t="shared" ca="1" si="24"/>
        <v>43637</v>
      </c>
      <c r="I839" s="20">
        <f ca="1">_xll.meDateFromTenor(H839,"3M","Following",$I$11,"Normal")</f>
        <v>43731</v>
      </c>
      <c r="J839" s="150">
        <f ca="1"/>
        <v>1.5477270173069914E-2</v>
      </c>
      <c r="K839" s="7" t="s">
        <v>4</v>
      </c>
      <c r="L839" s="149" t="e">
        <f ca="1">_xll.meDateFromTenor(L838,"1D","FOLLOWING",#REF!,"NORMAL")</f>
        <v>#VALUE!</v>
      </c>
      <c r="M839" s="155">
        <f ca="1">_xll.meDateYearFraction(C839,D839,$M$11)</f>
        <v>8.3333333333333332E-3</v>
      </c>
      <c r="N839" s="150">
        <f ca="1"/>
        <v>-2.4300000000065936E-3</v>
      </c>
      <c r="O839" s="7" t="s">
        <v>4</v>
      </c>
      <c r="P839" s="149">
        <f t="shared" ca="1" si="25"/>
        <v>43637</v>
      </c>
      <c r="Q839" s="155">
        <f ca="1">_xll.meDateYearFraction(H839,I839,$Q$11,TRUE)</f>
        <v>0.26111111111111113</v>
      </c>
      <c r="R839" s="150">
        <f ca="1">IF(NOW(),_xll.meCurveForwardRatesFromYearFraction(P839,Q839,$Q$11,$Q$9,$Q$10))</f>
        <v>-1.4395098316863878E-3</v>
      </c>
      <c r="S839" s="134" t="s">
        <v>4</v>
      </c>
    </row>
    <row r="840" spans="1:19" x14ac:dyDescent="0.25">
      <c r="A840" s="128">
        <v>824</v>
      </c>
      <c r="B840" s="133"/>
      <c r="C840" s="149">
        <f ca="1">_xll.meDateFromTenor(C839,"1D","FOLLOWING",$D$11,"NORMAL")</f>
        <v>43640</v>
      </c>
      <c r="D840" s="20">
        <f ca="1">_xll.meDateFromTenor(C840,"1D","Following",$D$11,"Normal")</f>
        <v>43641</v>
      </c>
      <c r="E840" s="99">
        <f ca="1"/>
        <v>1.1592953241139667E-2</v>
      </c>
      <c r="F840" s="161">
        <f ca="1">_xll.meCurveForwardRates(C840,$D$9,$D$10)</f>
        <v>1.1660223119051905E-2</v>
      </c>
      <c r="G840" s="7" t="s">
        <v>4</v>
      </c>
      <c r="H840" s="149">
        <f t="shared" ca="1" si="24"/>
        <v>43640</v>
      </c>
      <c r="I840" s="20">
        <f ca="1">_xll.meDateFromTenor(H840,"3M","Following",$I$11,"Normal")</f>
        <v>43732</v>
      </c>
      <c r="J840" s="150">
        <f ca="1"/>
        <v>1.5502332309878684E-2</v>
      </c>
      <c r="K840" s="7" t="s">
        <v>4</v>
      </c>
      <c r="L840" s="149" t="e">
        <f ca="1">_xll.meDateFromTenor(L839,"1D","FOLLOWING",#REF!,"NORMAL")</f>
        <v>#VALUE!</v>
      </c>
      <c r="M840" s="155">
        <f ca="1">_xll.meDateYearFraction(C840,D840,$M$11)</f>
        <v>2.7777777777777779E-3</v>
      </c>
      <c r="N840" s="150">
        <f ca="1"/>
        <v>-2.4300000000065936E-3</v>
      </c>
      <c r="O840" s="7" t="s">
        <v>4</v>
      </c>
      <c r="P840" s="149">
        <f t="shared" ca="1" si="25"/>
        <v>43640</v>
      </c>
      <c r="Q840" s="155">
        <f ca="1">_xll.meDateYearFraction(H840,I840,$Q$11,TRUE)</f>
        <v>0.25555555555555554</v>
      </c>
      <c r="R840" s="150">
        <f ca="1">IF(NOW(),_xll.meCurveForwardRatesFromYearFraction(P840,Q840,$Q$11,$Q$9,$Q$10))</f>
        <v>-3.7175485397107962E-3</v>
      </c>
      <c r="S840" s="134" t="s">
        <v>4</v>
      </c>
    </row>
    <row r="841" spans="1:19" x14ac:dyDescent="0.25">
      <c r="A841" s="128">
        <v>825</v>
      </c>
      <c r="B841" s="133"/>
      <c r="C841" s="149">
        <f ca="1">_xll.meDateFromTenor(C840,"1D","FOLLOWING",$D$11,"NORMAL")</f>
        <v>43641</v>
      </c>
      <c r="D841" s="20">
        <f ca="1">_xll.meDateFromTenor(C841,"1D","Following",$D$11,"Normal")</f>
        <v>43642</v>
      </c>
      <c r="E841" s="99">
        <f ca="1"/>
        <v>1.1599011394798395E-2</v>
      </c>
      <c r="F841" s="161">
        <f ca="1">_xll.meCurveForwardRates(C841,$D$9,$D$10)</f>
        <v>1.1666351733288893E-2</v>
      </c>
      <c r="G841" s="7" t="s">
        <v>4</v>
      </c>
      <c r="H841" s="149">
        <f t="shared" ca="1" si="24"/>
        <v>43641</v>
      </c>
      <c r="I841" s="20">
        <f ca="1">_xll.meDateFromTenor(H841,"3M","Following",$I$11,"Normal")</f>
        <v>43733</v>
      </c>
      <c r="J841" s="150">
        <f ca="1"/>
        <v>1.5510711453282961E-2</v>
      </c>
      <c r="K841" s="7" t="s">
        <v>4</v>
      </c>
      <c r="L841" s="149" t="e">
        <f ca="1">_xll.meDateFromTenor(L840,"1D","FOLLOWING",#REF!,"NORMAL")</f>
        <v>#VALUE!</v>
      </c>
      <c r="M841" s="155">
        <f ca="1">_xll.meDateYearFraction(C841,D841,$M$11)</f>
        <v>2.7777777777777779E-3</v>
      </c>
      <c r="N841" s="150">
        <f ca="1"/>
        <v>-2.4300000000065936E-3</v>
      </c>
      <c r="O841" s="7" t="s">
        <v>4</v>
      </c>
      <c r="P841" s="149">
        <f t="shared" ca="1" si="25"/>
        <v>43641</v>
      </c>
      <c r="Q841" s="155">
        <f ca="1">_xll.meDateYearFraction(H841,I841,$Q$11,TRUE)</f>
        <v>0.25555555555555554</v>
      </c>
      <c r="R841" s="150">
        <f ca="1">IF(NOW(),_xll.meCurveForwardRatesFromYearFraction(P841,Q841,$Q$11,$Q$9,$Q$10))</f>
        <v>-1.4181687363167246E-3</v>
      </c>
      <c r="S841" s="134" t="s">
        <v>4</v>
      </c>
    </row>
    <row r="842" spans="1:19" x14ac:dyDescent="0.25">
      <c r="A842" s="128">
        <v>826</v>
      </c>
      <c r="B842" s="133"/>
      <c r="C842" s="149">
        <f ca="1">_xll.meDateFromTenor(C841,"1D","FOLLOWING",$D$11,"NORMAL")</f>
        <v>43642</v>
      </c>
      <c r="D842" s="20">
        <f ca="1">_xll.meDateFromTenor(C842,"1D","Following",$D$11,"Normal")</f>
        <v>43643</v>
      </c>
      <c r="E842" s="99">
        <f ca="1"/>
        <v>1.1605066501694281E-2</v>
      </c>
      <c r="F842" s="161">
        <f ca="1">_xll.meCurveForwardRates(C842,$D$9,$D$10)</f>
        <v>1.1672477302322903E-2</v>
      </c>
      <c r="G842" s="7" t="s">
        <v>4</v>
      </c>
      <c r="H842" s="149">
        <f t="shared" ca="1" si="24"/>
        <v>43642</v>
      </c>
      <c r="I842" s="20">
        <f ca="1">_xll.meDateFromTenor(H842,"3M","Following",$I$11,"Normal")</f>
        <v>43734</v>
      </c>
      <c r="J842" s="150">
        <f ca="1"/>
        <v>1.5519102252531565E-2</v>
      </c>
      <c r="K842" s="7" t="s">
        <v>4</v>
      </c>
      <c r="L842" s="149" t="e">
        <f ca="1">_xll.meDateFromTenor(L841,"1D","FOLLOWING",#REF!,"NORMAL")</f>
        <v>#VALUE!</v>
      </c>
      <c r="M842" s="155">
        <f ca="1">_xll.meDateYearFraction(C842,D842,$M$11)</f>
        <v>2.7777777777777779E-3</v>
      </c>
      <c r="N842" s="150">
        <f ca="1"/>
        <v>-2.4300000000065936E-3</v>
      </c>
      <c r="O842" s="7" t="s">
        <v>4</v>
      </c>
      <c r="P842" s="149">
        <f t="shared" ca="1" si="25"/>
        <v>43642</v>
      </c>
      <c r="Q842" s="155">
        <f ca="1">_xll.meDateYearFraction(H842,I842,$Q$11,TRUE)</f>
        <v>0.25555555555555554</v>
      </c>
      <c r="R842" s="150">
        <f ca="1">IF(NOW(),_xll.meCurveForwardRatesFromYearFraction(P842,Q842,$Q$11,$Q$9,$Q$10))</f>
        <v>-3.7175485397107962E-3</v>
      </c>
      <c r="S842" s="134" t="s">
        <v>4</v>
      </c>
    </row>
    <row r="843" spans="1:19" x14ac:dyDescent="0.25">
      <c r="A843" s="128">
        <v>827</v>
      </c>
      <c r="B843" s="133"/>
      <c r="C843" s="149">
        <f ca="1">_xll.meDateFromTenor(C842,"1D","FOLLOWING",$D$11,"NORMAL")</f>
        <v>43643</v>
      </c>
      <c r="D843" s="20">
        <f ca="1">_xll.meDateFromTenor(C843,"1D","Following",$D$11,"Normal")</f>
        <v>43644</v>
      </c>
      <c r="E843" s="99">
        <f ca="1"/>
        <v>1.1611118561427644E-2</v>
      </c>
      <c r="F843" s="161">
        <f ca="1">_xll.meCurveForwardRates(C843,$D$9,$D$10)</f>
        <v>1.167859982569408E-2</v>
      </c>
      <c r="G843" s="7" t="s">
        <v>4</v>
      </c>
      <c r="H843" s="149">
        <f t="shared" ca="1" si="24"/>
        <v>43643</v>
      </c>
      <c r="I843" s="20">
        <f ca="1">_xll.meDateFromTenor(H843,"3M","Following",$I$11,"Normal")</f>
        <v>43735</v>
      </c>
      <c r="J843" s="150">
        <f ca="1"/>
        <v>1.5527504171790687E-2</v>
      </c>
      <c r="K843" s="7" t="s">
        <v>4</v>
      </c>
      <c r="L843" s="149" t="e">
        <f ca="1">_xll.meDateFromTenor(L842,"1D","FOLLOWING",#REF!,"NORMAL")</f>
        <v>#VALUE!</v>
      </c>
      <c r="M843" s="155">
        <f ca="1">_xll.meDateYearFraction(C843,D843,$M$11)</f>
        <v>2.7777777777777779E-3</v>
      </c>
      <c r="N843" s="150">
        <f ca="1"/>
        <v>-2.4300000000065936E-3</v>
      </c>
      <c r="O843" s="7" t="s">
        <v>4</v>
      </c>
      <c r="P843" s="149">
        <f t="shared" ca="1" si="25"/>
        <v>43643</v>
      </c>
      <c r="Q843" s="155">
        <f ca="1">_xll.meDateYearFraction(H843,I843,$Q$11,TRUE)</f>
        <v>0.25555555555555554</v>
      </c>
      <c r="R843" s="150">
        <f ca="1">IF(NOW(),_xll.meCurveForwardRatesFromYearFraction(P843,Q843,$Q$11,$Q$9,$Q$10))</f>
        <v>-1.4073976472055941E-3</v>
      </c>
      <c r="S843" s="134" t="s">
        <v>4</v>
      </c>
    </row>
    <row r="844" spans="1:19" x14ac:dyDescent="0.25">
      <c r="A844" s="128">
        <v>828</v>
      </c>
      <c r="B844" s="133"/>
      <c r="C844" s="149">
        <f ca="1">_xll.meDateFromTenor(C843,"1D","FOLLOWING",$D$11,"NORMAL")</f>
        <v>43644</v>
      </c>
      <c r="D844" s="20">
        <f ca="1">_xll.meDateFromTenor(C844,"1D","Following",$D$11,"Normal")</f>
        <v>43647</v>
      </c>
      <c r="E844" s="99">
        <f ca="1"/>
        <v>1.1623587802720478E-2</v>
      </c>
      <c r="F844" s="161">
        <f ca="1">_xll.meCurveForwardRates(C844,$D$9,$D$10)</f>
        <v>1.1684719303427737E-2</v>
      </c>
      <c r="G844" s="7" t="s">
        <v>4</v>
      </c>
      <c r="H844" s="149">
        <f t="shared" ca="1" si="24"/>
        <v>43644</v>
      </c>
      <c r="I844" s="20">
        <f ca="1">_xll.meDateFromTenor(H844,"3M","Following",$I$11,"Normal")</f>
        <v>43738</v>
      </c>
      <c r="J844" s="150">
        <f ca="1"/>
        <v>1.5535916675226512E-2</v>
      </c>
      <c r="K844" s="7" t="s">
        <v>4</v>
      </c>
      <c r="L844" s="149" t="e">
        <f ca="1">_xll.meDateFromTenor(L843,"1D","FOLLOWING",#REF!,"NORMAL")</f>
        <v>#VALUE!</v>
      </c>
      <c r="M844" s="155">
        <f ca="1">_xll.meDateYearFraction(C844,D844,$M$11)</f>
        <v>8.3333333333333332E-3</v>
      </c>
      <c r="N844" s="150">
        <f ca="1"/>
        <v>-2.4300000000065936E-3</v>
      </c>
      <c r="O844" s="7" t="s">
        <v>4</v>
      </c>
      <c r="P844" s="149">
        <f t="shared" ca="1" si="25"/>
        <v>43644</v>
      </c>
      <c r="Q844" s="155">
        <f ca="1">_xll.meDateYearFraction(H844,I844,$Q$11,TRUE)</f>
        <v>0.26111111111111113</v>
      </c>
      <c r="R844" s="150">
        <f ca="1">IF(NOW(),_xll.meCurveForwardRatesFromYearFraction(P844,Q844,$Q$11,$Q$9,$Q$10))</f>
        <v>-3.7175485397107962E-3</v>
      </c>
      <c r="S844" s="134" t="s">
        <v>4</v>
      </c>
    </row>
    <row r="845" spans="1:19" x14ac:dyDescent="0.25">
      <c r="A845" s="128">
        <v>829</v>
      </c>
      <c r="B845" s="133"/>
      <c r="C845" s="149">
        <f ca="1">_xll.meDateFromTenor(C844,"1D","FOLLOWING",$D$11,"NORMAL")</f>
        <v>43647</v>
      </c>
      <c r="D845" s="20">
        <f ca="1">_xll.meDateFromTenor(C845,"1D","Following",$D$11,"Normal")</f>
        <v>43648</v>
      </c>
      <c r="E845" s="99">
        <f ca="1"/>
        <v>1.1635296327536834E-2</v>
      </c>
      <c r="F845" s="161">
        <f ca="1">_xll.meCurveForwardRates(C845,$D$9,$D$10)</f>
        <v>1.1703059460226317E-2</v>
      </c>
      <c r="G845" s="7" t="s">
        <v>4</v>
      </c>
      <c r="H845" s="149">
        <f t="shared" ca="1" si="24"/>
        <v>43647</v>
      </c>
      <c r="I845" s="20">
        <f ca="1">_xll.meDateFromTenor(H845,"3M","Following",$I$11,"Normal")</f>
        <v>43739</v>
      </c>
      <c r="J845" s="150">
        <f ca="1"/>
        <v>1.5561212332256142E-2</v>
      </c>
      <c r="K845" s="7" t="s">
        <v>4</v>
      </c>
      <c r="L845" s="149" t="e">
        <f ca="1">_xll.meDateFromTenor(L844,"1D","FOLLOWING",#REF!,"NORMAL")</f>
        <v>#VALUE!</v>
      </c>
      <c r="M845" s="155">
        <f ca="1">_xll.meDateYearFraction(C845,D845,$M$11)</f>
        <v>2.7777777777777779E-3</v>
      </c>
      <c r="N845" s="150">
        <f ca="1"/>
        <v>-2.4300000000065936E-3</v>
      </c>
      <c r="O845" s="7" t="s">
        <v>4</v>
      </c>
      <c r="P845" s="149">
        <f t="shared" ca="1" si="25"/>
        <v>43647</v>
      </c>
      <c r="Q845" s="155">
        <f ca="1">_xll.meDateYearFraction(H845,I845,$Q$11,TRUE)</f>
        <v>0.25555555555555554</v>
      </c>
      <c r="R845" s="150">
        <f ca="1">IF(NOW(),_xll.meCurveForwardRatesFromYearFraction(P845,Q845,$Q$11,$Q$9,$Q$10))</f>
        <v>-1.3856565445747324E-3</v>
      </c>
      <c r="S845" s="134" t="s">
        <v>4</v>
      </c>
    </row>
    <row r="846" spans="1:19" x14ac:dyDescent="0.25">
      <c r="A846" s="128">
        <v>830</v>
      </c>
      <c r="B846" s="133"/>
      <c r="C846" s="149">
        <f ca="1">_xll.meDateFromTenor(C845,"1D","FOLLOWING",$D$11,"NORMAL")</f>
        <v>43648</v>
      </c>
      <c r="D846" s="20">
        <f ca="1">_xll.meDateFromTenor(C846,"1D","Following",$D$11,"Normal")</f>
        <v>43649</v>
      </c>
      <c r="E846" s="99">
        <f ca="1"/>
        <v>1.1641333150178609E-2</v>
      </c>
      <c r="F846" s="161">
        <f ca="1">_xll.meCurveForwardRates(C846,$D$9,$D$10)</f>
        <v>1.1709166753156142E-2</v>
      </c>
      <c r="G846" s="7" t="s">
        <v>4</v>
      </c>
      <c r="H846" s="149">
        <f t="shared" ca="1" si="24"/>
        <v>43648</v>
      </c>
      <c r="I846" s="20">
        <f ca="1">_xll.meDateFromTenor(H846,"3M","Following",$I$11,"Normal")</f>
        <v>43740</v>
      </c>
      <c r="J846" s="150">
        <f ca="1"/>
        <v>1.5569661814060699E-2</v>
      </c>
      <c r="K846" s="7" t="s">
        <v>4</v>
      </c>
      <c r="L846" s="149" t="e">
        <f ca="1">_xll.meDateFromTenor(L845,"1D","FOLLOWING",#REF!,"NORMAL")</f>
        <v>#VALUE!</v>
      </c>
      <c r="M846" s="155">
        <f ca="1">_xll.meDateYearFraction(C846,D846,$M$11)</f>
        <v>2.7777777777777779E-3</v>
      </c>
      <c r="N846" s="150">
        <f ca="1"/>
        <v>-2.4300000000065936E-3</v>
      </c>
      <c r="O846" s="7" t="s">
        <v>4</v>
      </c>
      <c r="P846" s="149">
        <f t="shared" ca="1" si="25"/>
        <v>43648</v>
      </c>
      <c r="Q846" s="155">
        <f ca="1">_xll.meDateYearFraction(H846,I846,$Q$11,TRUE)</f>
        <v>0.25555555555555554</v>
      </c>
      <c r="R846" s="150">
        <f ca="1">IF(NOW(),_xll.meCurveForwardRatesFromYearFraction(P846,Q846,$Q$11,$Q$9,$Q$10))</f>
        <v>-3.7175485397107962E-3</v>
      </c>
      <c r="S846" s="134" t="s">
        <v>4</v>
      </c>
    </row>
    <row r="847" spans="1:19" x14ac:dyDescent="0.25">
      <c r="A847" s="128">
        <v>831</v>
      </c>
      <c r="B847" s="133"/>
      <c r="C847" s="149">
        <f ca="1">_xll.meDateFromTenor(C846,"1D","FOLLOWING",$D$11,"NORMAL")</f>
        <v>43649</v>
      </c>
      <c r="D847" s="20">
        <f ca="1">_xll.meDateFromTenor(C847,"1D","Following",$D$11,"Normal")</f>
        <v>43651</v>
      </c>
      <c r="E847" s="99">
        <f ca="1"/>
        <v>1.165057080430025E-2</v>
      </c>
      <c r="F847" s="161">
        <f ca="1">_xll.meCurveForwardRates(C847,$D$9,$D$10)</f>
        <v>1.1715270999443028E-2</v>
      </c>
      <c r="G847" s="7" t="s">
        <v>4</v>
      </c>
      <c r="H847" s="149">
        <f t="shared" ca="1" si="24"/>
        <v>43649</v>
      </c>
      <c r="I847" s="20">
        <f ca="1">_xll.meDateFromTenor(H847,"3M","Following",$I$11,"Normal")</f>
        <v>43741</v>
      </c>
      <c r="J847" s="150">
        <f ca="1"/>
        <v>1.5578119200872915E-2</v>
      </c>
      <c r="K847" s="7" t="s">
        <v>4</v>
      </c>
      <c r="L847" s="149" t="e">
        <f ca="1">_xll.meDateFromTenor(L846,"1D","FOLLOWING",#REF!,"NORMAL")</f>
        <v>#VALUE!</v>
      </c>
      <c r="M847" s="155">
        <f ca="1">_xll.meDateYearFraction(C847,D847,$M$11)</f>
        <v>5.5555555555555558E-3</v>
      </c>
      <c r="N847" s="150">
        <f ca="1"/>
        <v>-2.4300000000065936E-3</v>
      </c>
      <c r="O847" s="7" t="s">
        <v>4</v>
      </c>
      <c r="P847" s="149">
        <f t="shared" ca="1" si="25"/>
        <v>43649</v>
      </c>
      <c r="Q847" s="155">
        <f ca="1">_xll.meDateYearFraction(H847,I847,$Q$11,TRUE)</f>
        <v>0.25555555555555554</v>
      </c>
      <c r="R847" s="150">
        <f ca="1">IF(NOW(),_xll.meCurveForwardRatesFromYearFraction(P847,Q847,$Q$11,$Q$9,$Q$10))</f>
        <v>-1.3746873944326015E-3</v>
      </c>
      <c r="S847" s="134" t="s">
        <v>4</v>
      </c>
    </row>
    <row r="848" spans="1:19" x14ac:dyDescent="0.25">
      <c r="A848" s="128">
        <v>832</v>
      </c>
      <c r="B848" s="133"/>
      <c r="C848" s="149">
        <f ca="1">_xll.meDateFromTenor(C847,"1D","FOLLOWING",$D$11,"NORMAL")</f>
        <v>43651</v>
      </c>
      <c r="D848" s="20">
        <f ca="1">_xll.meDateFromTenor(C848,"1D","Following",$D$11,"Normal")</f>
        <v>43654</v>
      </c>
      <c r="E848" s="99">
        <f ca="1"/>
        <v>1.1665826956814881E-2</v>
      </c>
      <c r="F848" s="161">
        <f ca="1">_xll.meCurveForwardRates(C848,$D$9,$D$10)</f>
        <v>1.1727470351300173E-2</v>
      </c>
      <c r="G848" s="7" t="s">
        <v>4</v>
      </c>
      <c r="H848" s="149">
        <f t="shared" ca="1" si="24"/>
        <v>43651</v>
      </c>
      <c r="I848" s="20">
        <f ca="1">_xll.meDateFromTenor(H848,"3M","Following",$I$11,"Normal")</f>
        <v>43745</v>
      </c>
      <c r="J848" s="150">
        <f ca="1"/>
        <v>1.5595055546185076E-2</v>
      </c>
      <c r="K848" s="7" t="s">
        <v>4</v>
      </c>
      <c r="L848" s="149" t="e">
        <f ca="1">_xll.meDateFromTenor(L847,"1D","FOLLOWING",#REF!,"NORMAL")</f>
        <v>#VALUE!</v>
      </c>
      <c r="M848" s="155">
        <f ca="1">_xll.meDateYearFraction(C848,D848,$M$11)</f>
        <v>8.3333333333333332E-3</v>
      </c>
      <c r="N848" s="150">
        <f ca="1"/>
        <v>-2.4300000000065936E-3</v>
      </c>
      <c r="O848" s="7" t="s">
        <v>4</v>
      </c>
      <c r="P848" s="149">
        <f t="shared" ca="1" si="25"/>
        <v>43651</v>
      </c>
      <c r="Q848" s="155">
        <f ca="1">_xll.meDateYearFraction(H848,I848,$Q$11,TRUE)</f>
        <v>0.26111111111111113</v>
      </c>
      <c r="R848" s="150">
        <f ca="1">IF(NOW(),_xll.meCurveForwardRatesFromYearFraction(P848,Q848,$Q$11,$Q$9,$Q$10))</f>
        <v>-1.3636530873244051E-3</v>
      </c>
      <c r="S848" s="134" t="s">
        <v>4</v>
      </c>
    </row>
    <row r="849" spans="1:19" x14ac:dyDescent="0.25">
      <c r="A849" s="128">
        <v>833</v>
      </c>
      <c r="B849" s="133"/>
      <c r="C849" s="149">
        <f ca="1">_xll.meDateFromTenor(C848,"1D","FOLLOWING",$D$11,"NORMAL")</f>
        <v>43654</v>
      </c>
      <c r="D849" s="20">
        <f ca="1">_xll.meDateFromTenor(C849,"1D","Following",$D$11,"Normal")</f>
        <v>43655</v>
      </c>
      <c r="E849" s="99">
        <f ca="1"/>
        <v>1.1677490077470806E-2</v>
      </c>
      <c r="F849" s="161">
        <f ca="1">_xll.meCurveForwardRates(C849,$D$9,$D$10)</f>
        <v>1.1745746524522982E-2</v>
      </c>
      <c r="G849" s="7" t="s">
        <v>4</v>
      </c>
      <c r="H849" s="149">
        <f t="shared" ref="H849:H912" ca="1" si="26">$C849</f>
        <v>43654</v>
      </c>
      <c r="I849" s="20">
        <f ca="1">_xll.meDateFromTenor(H849,"3M","Following",$I$11,"Normal")</f>
        <v>43746</v>
      </c>
      <c r="J849" s="150">
        <f ca="1"/>
        <v>1.5620505955865499E-2</v>
      </c>
      <c r="K849" s="7" t="s">
        <v>4</v>
      </c>
      <c r="L849" s="149" t="e">
        <f ca="1">_xll.meDateFromTenor(L848,"1D","FOLLOWING",#REF!,"NORMAL")</f>
        <v>#VALUE!</v>
      </c>
      <c r="M849" s="155">
        <f ca="1">_xll.meDateYearFraction(C849,D849,$M$11)</f>
        <v>2.7777777777777779E-3</v>
      </c>
      <c r="N849" s="150">
        <f ca="1"/>
        <v>-2.4300000000065936E-3</v>
      </c>
      <c r="O849" s="7" t="s">
        <v>4</v>
      </c>
      <c r="P849" s="149">
        <f t="shared" ref="P849:P912" ca="1" si="27">$C849</f>
        <v>43654</v>
      </c>
      <c r="Q849" s="155">
        <f ca="1">_xll.meDateYearFraction(H849,I849,$Q$11,TRUE)</f>
        <v>0.25555555555555554</v>
      </c>
      <c r="R849" s="150">
        <f ca="1">IF(NOW(),_xll.meCurveForwardRatesFromYearFraction(P849,Q849,$Q$11,$Q$9,$Q$10))</f>
        <v>-1.3469804016699861E-3</v>
      </c>
      <c r="S849" s="134" t="s">
        <v>4</v>
      </c>
    </row>
    <row r="850" spans="1:19" x14ac:dyDescent="0.25">
      <c r="A850" s="128">
        <v>834</v>
      </c>
      <c r="B850" s="133"/>
      <c r="C850" s="149">
        <f ca="1">_xll.meDateFromTenor(C849,"1D","FOLLOWING",$D$11,"NORMAL")</f>
        <v>43655</v>
      </c>
      <c r="D850" s="20">
        <f ca="1">_xll.meDateFromTenor(C850,"1D","Following",$D$11,"Normal")</f>
        <v>43656</v>
      </c>
      <c r="E850" s="99">
        <f ca="1"/>
        <v>1.1683505562860616E-2</v>
      </c>
      <c r="F850" s="161">
        <f ca="1">_xll.meCurveForwardRates(C850,$D$9,$D$10)</f>
        <v>1.1751832487120195E-2</v>
      </c>
      <c r="G850" s="7" t="s">
        <v>4</v>
      </c>
      <c r="H850" s="149">
        <f t="shared" ca="1" si="26"/>
        <v>43655</v>
      </c>
      <c r="I850" s="20">
        <f ca="1">_xll.meDateFromTenor(H850,"3M","Following",$I$11,"Normal")</f>
        <v>43747</v>
      </c>
      <c r="J850" s="150">
        <f ca="1"/>
        <v>1.5628999520213648E-2</v>
      </c>
      <c r="K850" s="7" t="s">
        <v>4</v>
      </c>
      <c r="L850" s="149" t="e">
        <f ca="1">_xll.meDateFromTenor(L849,"1D","FOLLOWING",#REF!,"NORMAL")</f>
        <v>#VALUE!</v>
      </c>
      <c r="M850" s="155">
        <f ca="1">_xll.meDateYearFraction(C850,D850,$M$11)</f>
        <v>2.7777777777777779E-3</v>
      </c>
      <c r="N850" s="150">
        <f ca="1"/>
        <v>-2.4300000000065936E-3</v>
      </c>
      <c r="O850" s="7" t="s">
        <v>4</v>
      </c>
      <c r="P850" s="149">
        <f t="shared" ca="1" si="27"/>
        <v>43655</v>
      </c>
      <c r="Q850" s="155">
        <f ca="1">_xll.meDateYearFraction(H850,I850,$Q$11,TRUE)</f>
        <v>0.25555555555555554</v>
      </c>
      <c r="R850" s="150">
        <f ca="1">IF(NOW(),_xll.meCurveForwardRatesFromYearFraction(P850,Q850,$Q$11,$Q$9,$Q$10))</f>
        <v>-3.7175485397107962E-3</v>
      </c>
      <c r="S850" s="134" t="s">
        <v>4</v>
      </c>
    </row>
    <row r="851" spans="1:19" x14ac:dyDescent="0.25">
      <c r="A851" s="128">
        <v>835</v>
      </c>
      <c r="B851" s="133"/>
      <c r="C851" s="149">
        <f ca="1">_xll.meDateFromTenor(C850,"1D","FOLLOWING",$D$11,"NORMAL")</f>
        <v>43656</v>
      </c>
      <c r="D851" s="20">
        <f ca="1">_xll.meDateFromTenor(C851,"1D","Following",$D$11,"Normal")</f>
        <v>43657</v>
      </c>
      <c r="E851" s="99">
        <f ca="1"/>
        <v>1.1689517999327442E-2</v>
      </c>
      <c r="F851" s="161">
        <f ca="1">_xll.meCurveForwardRates(C851,$D$9,$D$10)</f>
        <v>1.1757915401553021E-2</v>
      </c>
      <c r="G851" s="7" t="s">
        <v>4</v>
      </c>
      <c r="H851" s="149">
        <f t="shared" ca="1" si="26"/>
        <v>43656</v>
      </c>
      <c r="I851" s="20">
        <f ca="1">_xll.meDateFromTenor(H851,"3M","Following",$I$11,"Normal")</f>
        <v>43748</v>
      </c>
      <c r="J851" s="150">
        <f ca="1"/>
        <v>1.5637497238732787E-2</v>
      </c>
      <c r="K851" s="7" t="s">
        <v>4</v>
      </c>
      <c r="L851" s="149" t="e">
        <f ca="1">_xll.meDateFromTenor(L850,"1D","FOLLOWING",#REF!,"NORMAL")</f>
        <v>#VALUE!</v>
      </c>
      <c r="M851" s="155">
        <f ca="1">_xll.meDateYearFraction(C851,D851,$M$11)</f>
        <v>2.7777777777777779E-3</v>
      </c>
      <c r="N851" s="150">
        <f ca="1"/>
        <v>-2.4300000000065936E-3</v>
      </c>
      <c r="O851" s="7" t="s">
        <v>4</v>
      </c>
      <c r="P851" s="149">
        <f t="shared" ca="1" si="27"/>
        <v>43656</v>
      </c>
      <c r="Q851" s="155">
        <f ca="1">_xll.meDateYearFraction(H851,I851,$Q$11,TRUE)</f>
        <v>0.25555555555555554</v>
      </c>
      <c r="R851" s="150">
        <f ca="1">IF(NOW(),_xll.meCurveForwardRatesFromYearFraction(P851,Q851,$Q$11,$Q$9,$Q$10))</f>
        <v>-1.3357850907851237E-3</v>
      </c>
      <c r="S851" s="134" t="s">
        <v>4</v>
      </c>
    </row>
    <row r="852" spans="1:19" x14ac:dyDescent="0.25">
      <c r="A852" s="128">
        <v>836</v>
      </c>
      <c r="B852" s="133"/>
      <c r="C852" s="149">
        <f ca="1">_xll.meDateFromTenor(C851,"1D","FOLLOWING",$D$11,"NORMAL")</f>
        <v>43657</v>
      </c>
      <c r="D852" s="20">
        <f ca="1">_xll.meDateFromTenor(C852,"1D","Following",$D$11,"Normal")</f>
        <v>43658</v>
      </c>
      <c r="E852" s="99">
        <f ca="1"/>
        <v>1.1695527387116697E-2</v>
      </c>
      <c r="F852" s="161">
        <f ca="1">_xll.meCurveForwardRates(C852,$D$9,$D$10)</f>
        <v>1.1763995268014193E-2</v>
      </c>
      <c r="G852" s="7" t="s">
        <v>4</v>
      </c>
      <c r="H852" s="149">
        <f t="shared" ca="1" si="26"/>
        <v>43657</v>
      </c>
      <c r="I852" s="20">
        <f ca="1">_xll.meDateFromTenor(H852,"3M","Following",$I$11,"Normal")</f>
        <v>43749</v>
      </c>
      <c r="J852" s="150">
        <f ca="1"/>
        <v>1.5645998575589102E-2</v>
      </c>
      <c r="K852" s="7" t="s">
        <v>4</v>
      </c>
      <c r="L852" s="149" t="e">
        <f ca="1">_xll.meDateFromTenor(L851,"1D","FOLLOWING",#REF!,"NORMAL")</f>
        <v>#VALUE!</v>
      </c>
      <c r="M852" s="155">
        <f ca="1">_xll.meDateYearFraction(C852,D852,$M$11)</f>
        <v>2.7777777777777779E-3</v>
      </c>
      <c r="N852" s="150">
        <f ca="1"/>
        <v>-2.4300000000065936E-3</v>
      </c>
      <c r="O852" s="7" t="s">
        <v>4</v>
      </c>
      <c r="P852" s="149">
        <f t="shared" ca="1" si="27"/>
        <v>43657</v>
      </c>
      <c r="Q852" s="155">
        <f ca="1">_xll.meDateYearFraction(H852,I852,$Q$11,TRUE)</f>
        <v>0.25555555555555554</v>
      </c>
      <c r="R852" s="150">
        <f ca="1">IF(NOW(),_xll.meCurveForwardRatesFromYearFraction(P852,Q852,$Q$11,$Q$9,$Q$10))</f>
        <v>-1.3301635410914179E-3</v>
      </c>
      <c r="S852" s="134" t="s">
        <v>4</v>
      </c>
    </row>
    <row r="853" spans="1:19" x14ac:dyDescent="0.25">
      <c r="A853" s="128">
        <v>837</v>
      </c>
      <c r="B853" s="133"/>
      <c r="C853" s="149">
        <f ca="1">_xll.meDateFromTenor(C852,"1D","FOLLOWING",$D$11,"NORMAL")</f>
        <v>43658</v>
      </c>
      <c r="D853" s="20">
        <f ca="1">_xll.meDateFromTenor(C853,"1D","Following",$D$11,"Normal")</f>
        <v>43661</v>
      </c>
      <c r="E853" s="99">
        <f ca="1"/>
        <v>1.1707916743057864E-2</v>
      </c>
      <c r="F853" s="161">
        <f ca="1">_xll.meCurveForwardRates(C853,$D$9,$D$10)</f>
        <v>1.1770072085957928E-2</v>
      </c>
      <c r="G853" s="7" t="s">
        <v>4</v>
      </c>
      <c r="H853" s="149">
        <f t="shared" ca="1" si="26"/>
        <v>43658</v>
      </c>
      <c r="I853" s="20">
        <f ca="1">_xll.meDateFromTenor(H853,"3M","Following",$I$11,"Normal")</f>
        <v>43753</v>
      </c>
      <c r="J853" s="150">
        <f ca="1"/>
        <v>1.5654502994948784E-2</v>
      </c>
      <c r="K853" s="7" t="s">
        <v>4</v>
      </c>
      <c r="L853" s="149" t="e">
        <f ca="1">_xll.meDateFromTenor(L852,"1D","FOLLOWING",#REF!,"NORMAL")</f>
        <v>#VALUE!</v>
      </c>
      <c r="M853" s="155">
        <f ca="1">_xll.meDateYearFraction(C853,D853,$M$11)</f>
        <v>8.3333333333333332E-3</v>
      </c>
      <c r="N853" s="150">
        <f ca="1"/>
        <v>-2.4300000000065936E-3</v>
      </c>
      <c r="O853" s="7" t="s">
        <v>4</v>
      </c>
      <c r="P853" s="149">
        <f t="shared" ca="1" si="27"/>
        <v>43658</v>
      </c>
      <c r="Q853" s="155">
        <f ca="1">_xll.meDateYearFraction(H853,I853,$Q$11,TRUE)</f>
        <v>0.2638888888888889</v>
      </c>
      <c r="R853" s="150">
        <f ca="1">IF(NOW(),_xll.meCurveForwardRatesFromYearFraction(P853,Q853,$Q$11,$Q$9,$Q$10))</f>
        <v>-1.3245261338449953E-3</v>
      </c>
      <c r="S853" s="134" t="s">
        <v>4</v>
      </c>
    </row>
    <row r="854" spans="1:19" x14ac:dyDescent="0.25">
      <c r="A854" s="128">
        <v>838</v>
      </c>
      <c r="B854" s="133"/>
      <c r="C854" s="149">
        <f ca="1">_xll.meDateFromTenor(C853,"1D","FOLLOWING",$D$11,"NORMAL")</f>
        <v>43661</v>
      </c>
      <c r="D854" s="20">
        <f ca="1">_xll.meDateFromTenor(C854,"1D","Following",$D$11,"Normal")</f>
        <v>43662</v>
      </c>
      <c r="E854" s="99">
        <f ca="1"/>
        <v>1.1719534446736943E-2</v>
      </c>
      <c r="F854" s="161">
        <f ca="1">_xll.meCurveForwardRates(C854,$D$9,$D$10)</f>
        <v>1.1788284248222647E-2</v>
      </c>
      <c r="G854" s="7" t="s">
        <v>4</v>
      </c>
      <c r="H854" s="149">
        <f t="shared" ca="1" si="26"/>
        <v>43661</v>
      </c>
      <c r="I854" s="20">
        <f ca="1">_xll.meDateFromTenor(H854,"3M","Following",$I$11,"Normal")</f>
        <v>43753</v>
      </c>
      <c r="J854" s="150">
        <f ca="1"/>
        <v>1.5680029389709933E-2</v>
      </c>
      <c r="K854" s="7" t="s">
        <v>4</v>
      </c>
      <c r="L854" s="149" t="e">
        <f ca="1">_xll.meDateFromTenor(L853,"1D","FOLLOWING",#REF!,"NORMAL")</f>
        <v>#VALUE!</v>
      </c>
      <c r="M854" s="155">
        <f ca="1">_xll.meDateYearFraction(C854,D854,$M$11)</f>
        <v>2.7777777777777779E-3</v>
      </c>
      <c r="N854" s="150">
        <f ca="1"/>
        <v>-2.4300000000065936E-3</v>
      </c>
      <c r="O854" s="7" t="s">
        <v>4</v>
      </c>
      <c r="P854" s="149">
        <f t="shared" ca="1" si="27"/>
        <v>43661</v>
      </c>
      <c r="Q854" s="155">
        <f ca="1">_xll.meDateYearFraction(H854,I854,$Q$11,TRUE)</f>
        <v>0.25555555555555554</v>
      </c>
      <c r="R854" s="150">
        <f ca="1">IF(NOW(),_xll.meCurveForwardRatesFromYearFraction(P854,Q854,$Q$11,$Q$9,$Q$10))</f>
        <v>-3.7175485397107962E-3</v>
      </c>
      <c r="S854" s="134" t="s">
        <v>4</v>
      </c>
    </row>
    <row r="855" spans="1:19" x14ac:dyDescent="0.25">
      <c r="A855" s="128">
        <v>839</v>
      </c>
      <c r="B855" s="133"/>
      <c r="C855" s="149">
        <f ca="1">_xll.meDateFromTenor(C854,"1D","FOLLOWING",$D$11,"NORMAL")</f>
        <v>43662</v>
      </c>
      <c r="D855" s="20">
        <f ca="1">_xll.meDateFromTenor(C855,"1D","Following",$D$11,"Normal")</f>
        <v>43663</v>
      </c>
      <c r="E855" s="99">
        <f ca="1"/>
        <v>1.1725528588080222E-2</v>
      </c>
      <c r="F855" s="161">
        <f ca="1">_xll.meCurveForwardRates(C855,$D$9,$D$10)</f>
        <v>1.1794348870904248E-2</v>
      </c>
      <c r="G855" s="7" t="s">
        <v>4</v>
      </c>
      <c r="H855" s="149">
        <f t="shared" ca="1" si="26"/>
        <v>43662</v>
      </c>
      <c r="I855" s="20">
        <f ca="1">_xll.meDateFromTenor(H855,"3M","Following",$I$11,"Normal")</f>
        <v>43754</v>
      </c>
      <c r="J855" s="150">
        <f ca="1"/>
        <v>1.5688540780744987E-2</v>
      </c>
      <c r="K855" s="7" t="s">
        <v>4</v>
      </c>
      <c r="L855" s="149" t="e">
        <f ca="1">_xll.meDateFromTenor(L854,"1D","FOLLOWING",#REF!,"NORMAL")</f>
        <v>#VALUE!</v>
      </c>
      <c r="M855" s="155">
        <f ca="1">_xll.meDateYearFraction(C855,D855,$M$11)</f>
        <v>2.7777777777777779E-3</v>
      </c>
      <c r="N855" s="150">
        <f ca="1"/>
        <v>-2.4300000000065936E-3</v>
      </c>
      <c r="O855" s="7" t="s">
        <v>4</v>
      </c>
      <c r="P855" s="149">
        <f t="shared" ca="1" si="27"/>
        <v>43662</v>
      </c>
      <c r="Q855" s="155">
        <f ca="1">_xll.meDateYearFraction(H855,I855,$Q$11,TRUE)</f>
        <v>0.25555555555555554</v>
      </c>
      <c r="R855" s="150">
        <f ca="1">IF(NOW(),_xll.meCurveForwardRatesFromYearFraction(P855,Q855,$Q$11,$Q$9,$Q$10))</f>
        <v>-3.7175485397107962E-3</v>
      </c>
      <c r="S855" s="134" t="s">
        <v>4</v>
      </c>
    </row>
    <row r="856" spans="1:19" x14ac:dyDescent="0.25">
      <c r="A856" s="128">
        <v>840</v>
      </c>
      <c r="B856" s="133"/>
      <c r="C856" s="149">
        <f ca="1">_xll.meDateFromTenor(C855,"1D","FOLLOWING",$D$11,"NORMAL")</f>
        <v>43663</v>
      </c>
      <c r="D856" s="20">
        <f ca="1">_xll.meDateFromTenor(C856,"1D","Following",$D$11,"Normal")</f>
        <v>43664</v>
      </c>
      <c r="E856" s="99">
        <f ca="1"/>
        <v>1.1731519679942834E-2</v>
      </c>
      <c r="F856" s="161">
        <f ca="1">_xll.meCurveForwardRates(C856,$D$9,$D$10)</f>
        <v>1.1800410444470666E-2</v>
      </c>
      <c r="G856" s="7" t="s">
        <v>4</v>
      </c>
      <c r="H856" s="149">
        <f t="shared" ca="1" si="26"/>
        <v>43663</v>
      </c>
      <c r="I856" s="20">
        <f ca="1">_xll.meDateFromTenor(H856,"3M","Following",$I$11,"Normal")</f>
        <v>43755</v>
      </c>
      <c r="J856" s="150">
        <f ca="1"/>
        <v>1.5697052572687196E-2</v>
      </c>
      <c r="K856" s="7" t="s">
        <v>4</v>
      </c>
      <c r="L856" s="149" t="e">
        <f ca="1">_xll.meDateFromTenor(L855,"1D","FOLLOWING",#REF!,"NORMAL")</f>
        <v>#VALUE!</v>
      </c>
      <c r="M856" s="155">
        <f ca="1">_xll.meDateYearFraction(C856,D856,$M$11)</f>
        <v>2.7777777777777779E-3</v>
      </c>
      <c r="N856" s="150">
        <f ca="1"/>
        <v>-2.4300000000065936E-3</v>
      </c>
      <c r="O856" s="7" t="s">
        <v>4</v>
      </c>
      <c r="P856" s="149">
        <f t="shared" ca="1" si="27"/>
        <v>43663</v>
      </c>
      <c r="Q856" s="155">
        <f ca="1">_xll.meDateYearFraction(H856,I856,$Q$11,TRUE)</f>
        <v>0.25555555555555554</v>
      </c>
      <c r="R856" s="150">
        <f ca="1">IF(NOW(),_xll.meCurveForwardRatesFromYearFraction(P856,Q856,$Q$11,$Q$9,$Q$10))</f>
        <v>-3.7175485397107962E-3</v>
      </c>
      <c r="S856" s="134" t="s">
        <v>4</v>
      </c>
    </row>
    <row r="857" spans="1:19" x14ac:dyDescent="0.25">
      <c r="A857" s="128">
        <v>841</v>
      </c>
      <c r="B857" s="133"/>
      <c r="C857" s="149">
        <f ca="1">_xll.meDateFromTenor(C856,"1D","FOLLOWING",$D$11,"NORMAL")</f>
        <v>43664</v>
      </c>
      <c r="D857" s="20">
        <f ca="1">_xll.meDateFromTenor(C857,"1D","Following",$D$11,"Normal")</f>
        <v>43665</v>
      </c>
      <c r="E857" s="99">
        <f ca="1"/>
        <v>1.1737507721845161E-2</v>
      </c>
      <c r="F857" s="161">
        <f ca="1">_xll.meCurveForwardRates(C857,$D$9,$D$10)</f>
        <v>1.1806468968381667E-2</v>
      </c>
      <c r="G857" s="7" t="s">
        <v>4</v>
      </c>
      <c r="H857" s="149">
        <f t="shared" ca="1" si="26"/>
        <v>43664</v>
      </c>
      <c r="I857" s="20">
        <f ca="1">_xll.meDateFromTenor(H857,"3M","Following",$I$11,"Normal")</f>
        <v>43756</v>
      </c>
      <c r="J857" s="150">
        <f ca="1"/>
        <v>1.5705563925500966E-2</v>
      </c>
      <c r="K857" s="7" t="s">
        <v>4</v>
      </c>
      <c r="L857" s="149" t="e">
        <f ca="1">_xll.meDateFromTenor(L856,"1D","FOLLOWING",#REF!,"NORMAL")</f>
        <v>#VALUE!</v>
      </c>
      <c r="M857" s="155">
        <f ca="1">_xll.meDateYearFraction(C857,D857,$M$11)</f>
        <v>2.7777777777777779E-3</v>
      </c>
      <c r="N857" s="150">
        <f ca="1"/>
        <v>-2.4300000000065936E-3</v>
      </c>
      <c r="O857" s="7" t="s">
        <v>4</v>
      </c>
      <c r="P857" s="149">
        <f t="shared" ca="1" si="27"/>
        <v>43664</v>
      </c>
      <c r="Q857" s="155">
        <f ca="1">_xll.meDateYearFraction(H857,I857,$Q$11,TRUE)</f>
        <v>0.25555555555555554</v>
      </c>
      <c r="R857" s="150">
        <f ca="1">IF(NOW(),_xll.meCurveForwardRatesFromYearFraction(P857,Q857,$Q$11,$Q$9,$Q$10))</f>
        <v>-1.2903717035810162E-3</v>
      </c>
      <c r="S857" s="134" t="s">
        <v>4</v>
      </c>
    </row>
    <row r="858" spans="1:19" x14ac:dyDescent="0.25">
      <c r="A858" s="128">
        <v>842</v>
      </c>
      <c r="B858" s="133"/>
      <c r="C858" s="149">
        <f ca="1">_xll.meDateFromTenor(C857,"1D","FOLLOWING",$D$11,"NORMAL")</f>
        <v>43665</v>
      </c>
      <c r="D858" s="20">
        <f ca="1">_xll.meDateFromTenor(C858,"1D","Following",$D$11,"Normal")</f>
        <v>43668</v>
      </c>
      <c r="E858" s="99">
        <f ca="1"/>
        <v>1.1749857115939163E-2</v>
      </c>
      <c r="F858" s="161">
        <f ca="1">_xll.meCurveForwardRates(C858,$D$9,$D$10)</f>
        <v>1.1812524442743833E-2</v>
      </c>
      <c r="G858" s="7" t="s">
        <v>4</v>
      </c>
      <c r="H858" s="149">
        <f t="shared" ca="1" si="26"/>
        <v>43665</v>
      </c>
      <c r="I858" s="20">
        <f ca="1">_xll.meDateFromTenor(H858,"3M","Following",$I$11,"Normal")</f>
        <v>43759</v>
      </c>
      <c r="J858" s="150">
        <f ca="1"/>
        <v>1.571407340865788E-2</v>
      </c>
      <c r="K858" s="7" t="s">
        <v>4</v>
      </c>
      <c r="L858" s="149" t="e">
        <f ca="1">_xll.meDateFromTenor(L857,"1D","FOLLOWING",#REF!,"NORMAL")</f>
        <v>#VALUE!</v>
      </c>
      <c r="M858" s="155">
        <f ca="1">_xll.meDateYearFraction(C858,D858,$M$11)</f>
        <v>8.3333333333333332E-3</v>
      </c>
      <c r="N858" s="150">
        <f ca="1"/>
        <v>-2.4300000000065936E-3</v>
      </c>
      <c r="O858" s="7" t="s">
        <v>4</v>
      </c>
      <c r="P858" s="149">
        <f t="shared" ca="1" si="27"/>
        <v>43665</v>
      </c>
      <c r="Q858" s="155">
        <f ca="1">_xll.meDateYearFraction(H858,I858,$Q$11,TRUE)</f>
        <v>0.26111111111111113</v>
      </c>
      <c r="R858" s="150">
        <f ca="1">IF(NOW(),_xll.meCurveForwardRatesFromYearFraction(P858,Q858,$Q$11,$Q$9,$Q$10))</f>
        <v>-3.7175485397107962E-3</v>
      </c>
      <c r="S858" s="134" t="s">
        <v>4</v>
      </c>
    </row>
    <row r="859" spans="1:19" x14ac:dyDescent="0.25">
      <c r="A859" s="128">
        <v>843</v>
      </c>
      <c r="B859" s="133"/>
      <c r="C859" s="149">
        <f ca="1">_xll.meDateFromTenor(C858,"1D","FOLLOWING",$D$11,"NORMAL")</f>
        <v>43668</v>
      </c>
      <c r="D859" s="20">
        <f ca="1">_xll.meDateFromTenor(C859,"1D","Following",$D$11,"Normal")</f>
        <v>43669</v>
      </c>
      <c r="E859" s="99">
        <f ca="1"/>
        <v>1.1761429389132202E-2</v>
      </c>
      <c r="F859" s="161">
        <f ca="1">_xll.meCurveForwardRates(C859,$D$9,$D$10)</f>
        <v>1.1830672565642519E-2</v>
      </c>
      <c r="G859" s="7" t="s">
        <v>4</v>
      </c>
      <c r="H859" s="149">
        <f t="shared" ca="1" si="26"/>
        <v>43668</v>
      </c>
      <c r="I859" s="20">
        <f ca="1">_xll.meDateFromTenor(H859,"3M","Following",$I$11,"Normal")</f>
        <v>43760</v>
      </c>
      <c r="J859" s="150">
        <f ca="1"/>
        <v>1.5739575650281206E-2</v>
      </c>
      <c r="K859" s="7" t="s">
        <v>4</v>
      </c>
      <c r="L859" s="149" t="e">
        <f ca="1">_xll.meDateFromTenor(L858,"1D","FOLLOWING",#REF!,"NORMAL")</f>
        <v>#VALUE!</v>
      </c>
      <c r="M859" s="155">
        <f ca="1">_xll.meDateYearFraction(C859,D859,$M$11)</f>
        <v>2.7777777777777779E-3</v>
      </c>
      <c r="N859" s="150">
        <f ca="1"/>
        <v>-2.4300000000065936E-3</v>
      </c>
      <c r="O859" s="7" t="s">
        <v>4</v>
      </c>
      <c r="P859" s="149">
        <f t="shared" ca="1" si="27"/>
        <v>43668</v>
      </c>
      <c r="Q859" s="155">
        <f ca="1">_xll.meDateYearFraction(H859,I859,$Q$11,TRUE)</f>
        <v>0.25555555555555554</v>
      </c>
      <c r="R859" s="150">
        <f ca="1">IF(NOW(),_xll.meCurveForwardRatesFromYearFraction(P859,Q859,$Q$11,$Q$9,$Q$10))</f>
        <v>-1.2672917674233677E-3</v>
      </c>
      <c r="S859" s="134" t="s">
        <v>4</v>
      </c>
    </row>
    <row r="860" spans="1:19" x14ac:dyDescent="0.25">
      <c r="A860" s="128">
        <v>844</v>
      </c>
      <c r="B860" s="133"/>
      <c r="C860" s="149">
        <f ca="1">_xll.meDateFromTenor(C859,"1D","FOLLOWING",$D$11,"NORMAL")</f>
        <v>43669</v>
      </c>
      <c r="D860" s="20">
        <f ca="1">_xll.meDateFromTenor(C860,"1D","Following",$D$11,"Normal")</f>
        <v>43670</v>
      </c>
      <c r="E860" s="99">
        <f ca="1"/>
        <v>1.1767402180114003E-2</v>
      </c>
      <c r="F860" s="161">
        <f ca="1">_xll.meCurveForwardRates(C860,$D$9,$D$10)</f>
        <v>1.1836715839318446E-2</v>
      </c>
      <c r="G860" s="7" t="s">
        <v>4</v>
      </c>
      <c r="H860" s="149">
        <f t="shared" ca="1" si="26"/>
        <v>43669</v>
      </c>
      <c r="I860" s="20">
        <f ca="1">_xll.meDateFromTenor(H860,"3M","Following",$I$11,"Normal")</f>
        <v>43761</v>
      </c>
      <c r="J860" s="150">
        <f ca="1"/>
        <v>1.5748062664904416E-2</v>
      </c>
      <c r="K860" s="7" t="s">
        <v>4</v>
      </c>
      <c r="L860" s="149" t="e">
        <f ca="1">_xll.meDateFromTenor(L859,"1D","FOLLOWING",#REF!,"NORMAL")</f>
        <v>#VALUE!</v>
      </c>
      <c r="M860" s="155">
        <f ca="1">_xll.meDateYearFraction(C860,D860,$M$11)</f>
        <v>2.7777777777777779E-3</v>
      </c>
      <c r="N860" s="150">
        <f ca="1"/>
        <v>-2.4300000000065936E-3</v>
      </c>
      <c r="O860" s="7" t="s">
        <v>4</v>
      </c>
      <c r="P860" s="149">
        <f t="shared" ca="1" si="27"/>
        <v>43669</v>
      </c>
      <c r="Q860" s="155">
        <f ca="1">_xll.meDateYearFraction(H860,I860,$Q$11,TRUE)</f>
        <v>0.25555555555555554</v>
      </c>
      <c r="R860" s="150">
        <f ca="1">IF(NOW(),_xll.meCurveForwardRatesFromYearFraction(P860,Q860,$Q$11,$Q$9,$Q$10))</f>
        <v>-3.7175485397107962E-3</v>
      </c>
      <c r="S860" s="134" t="s">
        <v>4</v>
      </c>
    </row>
    <row r="861" spans="1:19" x14ac:dyDescent="0.25">
      <c r="A861" s="128">
        <v>845</v>
      </c>
      <c r="B861" s="133"/>
      <c r="C861" s="149">
        <f ca="1">_xll.meDateFromTenor(C860,"1D","FOLLOWING",$D$11,"NORMAL")</f>
        <v>43670</v>
      </c>
      <c r="D861" s="20">
        <f ca="1">_xll.meDateFromTenor(C861,"1D","Following",$D$11,"Normal")</f>
        <v>43671</v>
      </c>
      <c r="E861" s="99">
        <f ca="1"/>
        <v>1.1773371920416095E-2</v>
      </c>
      <c r="F861" s="161">
        <f ca="1">_xll.meCurveForwardRates(C861,$D$9,$D$10)</f>
        <v>1.1842756062281135E-2</v>
      </c>
      <c r="G861" s="7" t="s">
        <v>4</v>
      </c>
      <c r="H861" s="149">
        <f t="shared" ca="1" si="26"/>
        <v>43670</v>
      </c>
      <c r="I861" s="20">
        <f ca="1">_xll.meDateFromTenor(H861,"3M","Following",$I$11,"Normal")</f>
        <v>43762</v>
      </c>
      <c r="J861" s="150">
        <f ca="1"/>
        <v>1.575654031491763E-2</v>
      </c>
      <c r="K861" s="7" t="s">
        <v>4</v>
      </c>
      <c r="L861" s="149" t="e">
        <f ca="1">_xll.meDateFromTenor(L860,"1D","FOLLOWING",#REF!,"NORMAL")</f>
        <v>#VALUE!</v>
      </c>
      <c r="M861" s="155">
        <f ca="1">_xll.meDateYearFraction(C861,D861,$M$11)</f>
        <v>2.7777777777777779E-3</v>
      </c>
      <c r="N861" s="150">
        <f ca="1"/>
        <v>-2.4300000000065936E-3</v>
      </c>
      <c r="O861" s="7" t="s">
        <v>4</v>
      </c>
      <c r="P861" s="149">
        <f t="shared" ca="1" si="27"/>
        <v>43670</v>
      </c>
      <c r="Q861" s="155">
        <f ca="1">_xll.meDateYearFraction(H861,I861,$Q$11,TRUE)</f>
        <v>0.25555555555555554</v>
      </c>
      <c r="R861" s="150">
        <f ca="1">IF(NOW(),_xll.meCurveForwardRatesFromYearFraction(P861,Q861,$Q$11,$Q$9,$Q$10))</f>
        <v>-1.2556599996164449E-3</v>
      </c>
      <c r="S861" s="134" t="s">
        <v>4</v>
      </c>
    </row>
    <row r="862" spans="1:19" x14ac:dyDescent="0.25">
      <c r="A862" s="128">
        <v>846</v>
      </c>
      <c r="B862" s="133"/>
      <c r="C862" s="149">
        <f ca="1">_xll.meDateFromTenor(C861,"1D","FOLLOWING",$D$11,"NORMAL")</f>
        <v>43671</v>
      </c>
      <c r="D862" s="20">
        <f ca="1">_xll.meDateFromTenor(C862,"1D","Following",$D$11,"Normal")</f>
        <v>43672</v>
      </c>
      <c r="E862" s="99">
        <f ca="1"/>
        <v>1.1779338610038478E-2</v>
      </c>
      <c r="F862" s="161">
        <f ca="1">_xll.meCurveForwardRates(C862,$D$9,$D$10)</f>
        <v>1.1848793234475741E-2</v>
      </c>
      <c r="G862" s="7" t="s">
        <v>4</v>
      </c>
      <c r="H862" s="149">
        <f t="shared" ca="1" si="26"/>
        <v>43671</v>
      </c>
      <c r="I862" s="20">
        <f ca="1">_xll.meDateFromTenor(H862,"3M","Following",$I$11,"Normal")</f>
        <v>43763</v>
      </c>
      <c r="J862" s="150">
        <f ca="1"/>
        <v>1.5765007101330216E-2</v>
      </c>
      <c r="K862" s="7" t="s">
        <v>4</v>
      </c>
      <c r="L862" s="149" t="e">
        <f ca="1">_xll.meDateFromTenor(L861,"1D","FOLLOWING",#REF!,"NORMAL")</f>
        <v>#VALUE!</v>
      </c>
      <c r="M862" s="155">
        <f ca="1">_xll.meDateYearFraction(C862,D862,$M$11)</f>
        <v>2.7777777777777779E-3</v>
      </c>
      <c r="N862" s="150">
        <f ca="1"/>
        <v>-2.4300000000065936E-3</v>
      </c>
      <c r="O862" s="7" t="s">
        <v>4</v>
      </c>
      <c r="P862" s="149">
        <f t="shared" ca="1" si="27"/>
        <v>43671</v>
      </c>
      <c r="Q862" s="155">
        <f ca="1">_xll.meDateYearFraction(H862,I862,$Q$11,TRUE)</f>
        <v>0.25555555555555554</v>
      </c>
      <c r="R862" s="150">
        <f ca="1">IF(NOW(),_xll.meCurveForwardRatesFromYearFraction(P862,Q862,$Q$11,$Q$9,$Q$10))</f>
        <v>-3.7175485397107962E-3</v>
      </c>
      <c r="S862" s="134" t="s">
        <v>4</v>
      </c>
    </row>
    <row r="863" spans="1:19" x14ac:dyDescent="0.25">
      <c r="A863" s="128">
        <v>847</v>
      </c>
      <c r="B863" s="133"/>
      <c r="C863" s="149">
        <f ca="1">_xll.meDateFromTenor(C862,"1D","FOLLOWING",$D$11,"NORMAL")</f>
        <v>43672</v>
      </c>
      <c r="D863" s="20">
        <f ca="1">_xll.meDateFromTenor(C863,"1D","Following",$D$11,"Normal")</f>
        <v>43675</v>
      </c>
      <c r="E863" s="99">
        <f ca="1"/>
        <v>1.1791648028589605E-2</v>
      </c>
      <c r="F863" s="161">
        <f ca="1">_xll.meCurveForwardRates(C863,$D$9,$D$10)</f>
        <v>1.1854827355523456E-2</v>
      </c>
      <c r="G863" s="7" t="s">
        <v>4</v>
      </c>
      <c r="H863" s="149">
        <f t="shared" ca="1" si="26"/>
        <v>43672</v>
      </c>
      <c r="I863" s="20">
        <f ca="1">_xll.meDateFromTenor(H863,"3M","Following",$I$11,"Normal")</f>
        <v>43766</v>
      </c>
      <c r="J863" s="150">
        <f ca="1"/>
        <v>1.5773461525151553E-2</v>
      </c>
      <c r="K863" s="7" t="s">
        <v>4</v>
      </c>
      <c r="L863" s="149" t="e">
        <f ca="1">_xll.meDateFromTenor(L862,"1D","FOLLOWING",#REF!,"NORMAL")</f>
        <v>#VALUE!</v>
      </c>
      <c r="M863" s="155">
        <f ca="1">_xll.meDateYearFraction(C863,D863,$M$11)</f>
        <v>8.3333333333333332E-3</v>
      </c>
      <c r="N863" s="150">
        <f ca="1"/>
        <v>-2.4300000000065936E-3</v>
      </c>
      <c r="O863" s="7" t="s">
        <v>4</v>
      </c>
      <c r="P863" s="149">
        <f t="shared" ca="1" si="27"/>
        <v>43672</v>
      </c>
      <c r="Q863" s="155">
        <f ca="1">_xll.meDateYearFraction(H863,I863,$Q$11,TRUE)</f>
        <v>0.26111111111111113</v>
      </c>
      <c r="R863" s="150">
        <f ca="1">IF(NOW(),_xll.meCurveForwardRatesFromYearFraction(P863,Q863,$Q$11,$Q$9,$Q$10))</f>
        <v>-1.2439676075758571E-3</v>
      </c>
      <c r="S863" s="134" t="s">
        <v>4</v>
      </c>
    </row>
    <row r="864" spans="1:19" x14ac:dyDescent="0.25">
      <c r="A864" s="128">
        <v>848</v>
      </c>
      <c r="B864" s="133"/>
      <c r="C864" s="149">
        <f ca="1">_xll.meDateFromTenor(C863,"1D","FOLLOWING",$D$11,"NORMAL")</f>
        <v>43675</v>
      </c>
      <c r="D864" s="20">
        <f ca="1">_xll.meDateFromTenor(C864,"1D","Following",$D$11,"Normal")</f>
        <v>43676</v>
      </c>
      <c r="E864" s="99">
        <f ca="1"/>
        <v>1.1803174857814056E-2</v>
      </c>
      <c r="F864" s="161">
        <f ca="1">_xll.meCurveForwardRates(C864,$D$9,$D$10)</f>
        <v>1.18729114105105E-2</v>
      </c>
      <c r="G864" s="7" t="s">
        <v>4</v>
      </c>
      <c r="H864" s="149">
        <f t="shared" ca="1" si="26"/>
        <v>43675</v>
      </c>
      <c r="I864" s="20">
        <f ca="1">_xll.meDateFromTenor(H864,"3M","Following",$I$11,"Normal")</f>
        <v>43767</v>
      </c>
      <c r="J864" s="150">
        <f ca="1"/>
        <v>1.5798735631161766E-2</v>
      </c>
      <c r="K864" s="7" t="s">
        <v>4</v>
      </c>
      <c r="L864" s="149" t="e">
        <f ca="1">_xll.meDateFromTenor(L863,"1D","FOLLOWING",#REF!,"NORMAL")</f>
        <v>#VALUE!</v>
      </c>
      <c r="M864" s="155">
        <f ca="1">_xll.meDateYearFraction(C864,D864,$M$11)</f>
        <v>2.7777777777777779E-3</v>
      </c>
      <c r="N864" s="150">
        <f ca="1"/>
        <v>-2.4300000000065936E-3</v>
      </c>
      <c r="O864" s="7" t="s">
        <v>4</v>
      </c>
      <c r="P864" s="149">
        <f t="shared" ca="1" si="27"/>
        <v>43675</v>
      </c>
      <c r="Q864" s="155">
        <f ca="1">_xll.meDateYearFraction(H864,I864,$Q$11,TRUE)</f>
        <v>0.25555555555555554</v>
      </c>
      <c r="R864" s="150">
        <f ca="1">IF(NOW(),_xll.meCurveForwardRatesFromYearFraction(P864,Q864,$Q$11,$Q$9,$Q$10))</f>
        <v>-3.7175485397107962E-3</v>
      </c>
      <c r="S864" s="134" t="s">
        <v>4</v>
      </c>
    </row>
    <row r="865" spans="1:19" x14ac:dyDescent="0.25">
      <c r="A865" s="128">
        <v>849</v>
      </c>
      <c r="B865" s="133"/>
      <c r="C865" s="149">
        <f ca="1">_xll.meDateFromTenor(C864,"1D","FOLLOWING",$D$11,"NORMAL")</f>
        <v>43676</v>
      </c>
      <c r="D865" s="20">
        <f ca="1">_xll.meDateFromTenor(C865,"1D","Following",$D$11,"Normal")</f>
        <v>43677</v>
      </c>
      <c r="E865" s="99">
        <f ca="1"/>
        <v>1.1809126291479941E-2</v>
      </c>
      <c r="F865" s="161">
        <f ca="1">_xll.meCurveForwardRates(C865,$D$9,$D$10)</f>
        <v>1.1878933325452534E-2</v>
      </c>
      <c r="G865" s="7" t="s">
        <v>4</v>
      </c>
      <c r="H865" s="149">
        <f t="shared" ca="1" si="26"/>
        <v>43676</v>
      </c>
      <c r="I865" s="20">
        <f ca="1">_xll.meDateFromTenor(H865,"3M","Following",$I$11,"Normal")</f>
        <v>43768</v>
      </c>
      <c r="J865" s="150">
        <f ca="1"/>
        <v>1.5807125614711811E-2</v>
      </c>
      <c r="K865" s="7" t="s">
        <v>4</v>
      </c>
      <c r="L865" s="149" t="e">
        <f ca="1">_xll.meDateFromTenor(L864,"1D","FOLLOWING",#REF!,"NORMAL")</f>
        <v>#VALUE!</v>
      </c>
      <c r="M865" s="155">
        <f ca="1">_xll.meDateYearFraction(C865,D865,$M$11)</f>
        <v>2.7777777777777779E-3</v>
      </c>
      <c r="N865" s="150">
        <f ca="1"/>
        <v>-2.4300000000065936E-3</v>
      </c>
      <c r="O865" s="7" t="s">
        <v>4</v>
      </c>
      <c r="P865" s="149">
        <f t="shared" ca="1" si="27"/>
        <v>43676</v>
      </c>
      <c r="Q865" s="155">
        <f ca="1">_xll.meDateYearFraction(H865,I865,$Q$11,TRUE)</f>
        <v>0.25555555555555554</v>
      </c>
      <c r="R865" s="150">
        <f ca="1">IF(NOW(),_xll.meCurveForwardRatesFromYearFraction(P865,Q865,$Q$11,$Q$9,$Q$10))</f>
        <v>-1.2204026775488844E-3</v>
      </c>
      <c r="S865" s="134" t="s">
        <v>4</v>
      </c>
    </row>
    <row r="866" spans="1:19" x14ac:dyDescent="0.25">
      <c r="A866" s="128">
        <v>850</v>
      </c>
      <c r="B866" s="133"/>
      <c r="C866" s="149">
        <f ca="1">_xll.meDateFromTenor(C865,"1D","FOLLOWING",$D$11,"NORMAL")</f>
        <v>43677</v>
      </c>
      <c r="D866" s="20">
        <f ca="1">_xll.meDateFromTenor(C866,"1D","Following",$D$11,"Normal")</f>
        <v>43678</v>
      </c>
      <c r="E866" s="99">
        <f ca="1"/>
        <v>1.1815074673506884E-2</v>
      </c>
      <c r="F866" s="161">
        <f ca="1">_xll.meCurveForwardRates(C866,$D$9,$D$10)</f>
        <v>1.188495218832708E-2</v>
      </c>
      <c r="G866" s="7" t="s">
        <v>4</v>
      </c>
      <c r="H866" s="149">
        <f t="shared" ca="1" si="26"/>
        <v>43677</v>
      </c>
      <c r="I866" s="20">
        <f ca="1">_xll.meDateFromTenor(H866,"3M","Following",$I$11,"Normal")</f>
        <v>43769</v>
      </c>
      <c r="J866" s="150">
        <f ca="1"/>
        <v>1.5815495740717462E-2</v>
      </c>
      <c r="K866" s="7" t="s">
        <v>4</v>
      </c>
      <c r="L866" s="149" t="e">
        <f ca="1">_xll.meDateFromTenor(L865,"1D","FOLLOWING",#REF!,"NORMAL")</f>
        <v>#VALUE!</v>
      </c>
      <c r="M866" s="155">
        <f ca="1">_xll.meDateYearFraction(C866,D866,$M$11)</f>
        <v>2.7777777777777779E-3</v>
      </c>
      <c r="N866" s="150">
        <f ca="1"/>
        <v>-2.4300000000065936E-3</v>
      </c>
      <c r="O866" s="7" t="s">
        <v>4</v>
      </c>
      <c r="P866" s="149">
        <f t="shared" ca="1" si="27"/>
        <v>43677</v>
      </c>
      <c r="Q866" s="155">
        <f ca="1">_xll.meDateYearFraction(H866,I866,$Q$11,TRUE)</f>
        <v>0.25555555555555554</v>
      </c>
      <c r="R866" s="150">
        <f ca="1">IF(NOW(),_xll.meCurveForwardRatesFromYearFraction(P866,Q866,$Q$11,$Q$9,$Q$10))</f>
        <v>-3.7175485397107962E-3</v>
      </c>
      <c r="S866" s="134" t="s">
        <v>4</v>
      </c>
    </row>
    <row r="867" spans="1:19" x14ac:dyDescent="0.25">
      <c r="A867" s="128">
        <v>851</v>
      </c>
      <c r="B867" s="133"/>
      <c r="C867" s="149">
        <f ca="1">_xll.meDateFromTenor(C866,"1D","FOLLOWING",$D$11,"NORMAL")</f>
        <v>43678</v>
      </c>
      <c r="D867" s="20">
        <f ca="1">_xll.meDateFromTenor(C867,"1D","Following",$D$11,"Normal")</f>
        <v>43679</v>
      </c>
      <c r="E867" s="99">
        <f ca="1"/>
        <v>1.182102000381495E-2</v>
      </c>
      <c r="F867" s="161">
        <f ca="1">_xll.meCurveForwardRates(C867,$D$9,$D$10)</f>
        <v>1.1890967998998025E-2</v>
      </c>
      <c r="G867" s="7" t="s">
        <v>4</v>
      </c>
      <c r="H867" s="149">
        <f t="shared" ca="1" si="26"/>
        <v>43678</v>
      </c>
      <c r="I867" s="20">
        <f ca="1">_xll.meDateFromTenor(H867,"3M","Following",$I$11,"Normal")</f>
        <v>43770</v>
      </c>
      <c r="J867" s="150">
        <f ca="1"/>
        <v>1.5823844510188093E-2</v>
      </c>
      <c r="K867" s="7" t="s">
        <v>4</v>
      </c>
      <c r="L867" s="149" t="e">
        <f ca="1">_xll.meDateFromTenor(L866,"1D","FOLLOWING",#REF!,"NORMAL")</f>
        <v>#VALUE!</v>
      </c>
      <c r="M867" s="155">
        <f ca="1">_xll.meDateYearFraction(C867,D867,$M$11)</f>
        <v>2.7777777777777779E-3</v>
      </c>
      <c r="N867" s="150">
        <f ca="1"/>
        <v>-2.4300000000065936E-3</v>
      </c>
      <c r="O867" s="7" t="s">
        <v>4</v>
      </c>
      <c r="P867" s="149">
        <f t="shared" ca="1" si="27"/>
        <v>43678</v>
      </c>
      <c r="Q867" s="155">
        <f ca="1">_xll.meDateYearFraction(H867,I867,$Q$11,TRUE)</f>
        <v>0.25555555555555554</v>
      </c>
      <c r="R867" s="150">
        <f ca="1">IF(NOW(),_xll.meCurveForwardRatesFromYearFraction(P867,Q867,$Q$11,$Q$9,$Q$10))</f>
        <v>-1.208531002940101E-3</v>
      </c>
      <c r="S867" s="134" t="s">
        <v>4</v>
      </c>
    </row>
    <row r="868" spans="1:19" x14ac:dyDescent="0.25">
      <c r="A868" s="128">
        <v>852</v>
      </c>
      <c r="B868" s="133"/>
      <c r="C868" s="149">
        <f ca="1">_xll.meDateFromTenor(C867,"1D","FOLLOWING",$D$11,"NORMAL")</f>
        <v>43679</v>
      </c>
      <c r="D868" s="20">
        <f ca="1">_xll.meDateFromTenor(C868,"1D","Following",$D$11,"Normal")</f>
        <v>43682</v>
      </c>
      <c r="E868" s="99">
        <f ca="1"/>
        <v>1.1833289432887681E-2</v>
      </c>
      <c r="F868" s="161">
        <f ca="1">_xll.meCurveForwardRates(C868,$D$9,$D$10)</f>
        <v>1.189698075708745E-2</v>
      </c>
      <c r="G868" s="7" t="s">
        <v>4</v>
      </c>
      <c r="H868" s="149">
        <f t="shared" ca="1" si="26"/>
        <v>43679</v>
      </c>
      <c r="I868" s="20">
        <f ca="1">_xll.meDateFromTenor(H868,"3M","Following",$I$11,"Normal")</f>
        <v>43773</v>
      </c>
      <c r="J868" s="150">
        <f ca="1"/>
        <v>1.5832170424133075E-2</v>
      </c>
      <c r="K868" s="7" t="s">
        <v>4</v>
      </c>
      <c r="L868" s="149" t="e">
        <f ca="1">_xll.meDateFromTenor(L867,"1D","FOLLOWING",#REF!,"NORMAL")</f>
        <v>#VALUE!</v>
      </c>
      <c r="M868" s="155">
        <f ca="1">_xll.meDateYearFraction(C868,D868,$M$11)</f>
        <v>8.3333333333333332E-3</v>
      </c>
      <c r="N868" s="150">
        <f ca="1"/>
        <v>-2.4300000000065936E-3</v>
      </c>
      <c r="O868" s="7" t="s">
        <v>4</v>
      </c>
      <c r="P868" s="149">
        <f t="shared" ca="1" si="27"/>
        <v>43679</v>
      </c>
      <c r="Q868" s="155">
        <f ca="1">_xll.meDateYearFraction(H868,I868,$Q$11,TRUE)</f>
        <v>0.26111111111111113</v>
      </c>
      <c r="R868" s="150">
        <f ca="1">IF(NOW(),_xll.meCurveForwardRatesFromYearFraction(P868,Q868,$Q$11,$Q$9,$Q$10))</f>
        <v>-3.7175485397107962E-3</v>
      </c>
      <c r="S868" s="134" t="s">
        <v>4</v>
      </c>
    </row>
    <row r="869" spans="1:19" x14ac:dyDescent="0.25">
      <c r="A869" s="128">
        <v>853</v>
      </c>
      <c r="B869" s="133"/>
      <c r="C869" s="149">
        <f ca="1">_xll.meDateFromTenor(C868,"1D","FOLLOWING",$D$11,"NORMAL")</f>
        <v>43682</v>
      </c>
      <c r="D869" s="20">
        <f ca="1">_xll.meDateFromTenor(C869,"1D","Following",$D$11,"Normal")</f>
        <v>43683</v>
      </c>
      <c r="E869" s="99">
        <f ca="1"/>
        <v>1.1844770804421187E-2</v>
      </c>
      <c r="F869" s="161">
        <f ca="1">_xll.meCurveForwardRates(C869,$D$9,$D$10)</f>
        <v>1.1915000715076118E-2</v>
      </c>
      <c r="G869" s="7" t="s">
        <v>4</v>
      </c>
      <c r="H869" s="149">
        <f t="shared" ca="1" si="26"/>
        <v>43682</v>
      </c>
      <c r="I869" s="20">
        <f ca="1">_xll.meDateFromTenor(H869,"3M","Following",$I$11,"Normal")</f>
        <v>43774</v>
      </c>
      <c r="J869" s="150">
        <f ca="1"/>
        <v>1.5856996042907842E-2</v>
      </c>
      <c r="K869" s="7" t="s">
        <v>4</v>
      </c>
      <c r="L869" s="149" t="e">
        <f ca="1">_xll.meDateFromTenor(L868,"1D","FOLLOWING",#REF!,"NORMAL")</f>
        <v>#VALUE!</v>
      </c>
      <c r="M869" s="155">
        <f ca="1">_xll.meDateYearFraction(C869,D869,$M$11)</f>
        <v>2.7777777777777779E-3</v>
      </c>
      <c r="N869" s="150">
        <f ca="1"/>
        <v>-2.4300000000065936E-3</v>
      </c>
      <c r="O869" s="7" t="s">
        <v>4</v>
      </c>
      <c r="P869" s="149">
        <f t="shared" ca="1" si="27"/>
        <v>43682</v>
      </c>
      <c r="Q869" s="155">
        <f ca="1">_xll.meDateYearFraction(H869,I869,$Q$11,TRUE)</f>
        <v>0.25555555555555554</v>
      </c>
      <c r="R869" s="150">
        <f ca="1">IF(NOW(),_xll.meCurveForwardRatesFromYearFraction(P869,Q869,$Q$11,$Q$9,$Q$10))</f>
        <v>-1.1846113929759379E-3</v>
      </c>
      <c r="S869" s="134" t="s">
        <v>4</v>
      </c>
    </row>
    <row r="870" spans="1:19" x14ac:dyDescent="0.25">
      <c r="A870" s="128">
        <v>854</v>
      </c>
      <c r="B870" s="133"/>
      <c r="C870" s="149">
        <f ca="1">_xll.meDateFromTenor(C869,"1D","FOLLOWING",$D$11,"NORMAL")</f>
        <v>43683</v>
      </c>
      <c r="D870" s="20">
        <f ca="1">_xll.meDateFromTenor(C870,"1D","Following",$D$11,"Normal")</f>
        <v>43684</v>
      </c>
      <c r="E870" s="99">
        <f ca="1"/>
        <v>1.1850700873656847E-2</v>
      </c>
      <c r="F870" s="161">
        <f ca="1">_xll.meCurveForwardRates(C870,$D$9,$D$10)</f>
        <v>1.1921001261402608E-2</v>
      </c>
      <c r="G870" s="7" t="s">
        <v>4</v>
      </c>
      <c r="H870" s="149">
        <f t="shared" ca="1" si="26"/>
        <v>43683</v>
      </c>
      <c r="I870" s="20">
        <f ca="1">_xll.meDateFromTenor(H870,"3M","Following",$I$11,"Normal")</f>
        <v>43775</v>
      </c>
      <c r="J870" s="150">
        <f ca="1"/>
        <v>1.5865215544843946E-2</v>
      </c>
      <c r="K870" s="7" t="s">
        <v>4</v>
      </c>
      <c r="L870" s="149" t="e">
        <f ca="1">_xll.meDateFromTenor(L869,"1D","FOLLOWING",#REF!,"NORMAL")</f>
        <v>#VALUE!</v>
      </c>
      <c r="M870" s="155">
        <f ca="1">_xll.meDateYearFraction(C870,D870,$M$11)</f>
        <v>2.7777777777777779E-3</v>
      </c>
      <c r="N870" s="150">
        <f ca="1"/>
        <v>-2.4300000000065936E-3</v>
      </c>
      <c r="O870" s="7" t="s">
        <v>4</v>
      </c>
      <c r="P870" s="149">
        <f t="shared" ca="1" si="27"/>
        <v>43683</v>
      </c>
      <c r="Q870" s="155">
        <f ca="1">_xll.meDateYearFraction(H870,I870,$Q$11,TRUE)</f>
        <v>0.25555555555555554</v>
      </c>
      <c r="R870" s="150">
        <f ca="1">IF(NOW(),_xll.meCurveForwardRatesFromYearFraction(P870,Q870,$Q$11,$Q$9,$Q$10))</f>
        <v>-3.7175485397107962E-3</v>
      </c>
      <c r="S870" s="134" t="s">
        <v>4</v>
      </c>
    </row>
    <row r="871" spans="1:19" x14ac:dyDescent="0.25">
      <c r="A871" s="128">
        <v>855</v>
      </c>
      <c r="B871" s="133"/>
      <c r="C871" s="149">
        <f ca="1">_xll.meDateFromTenor(C870,"1D","FOLLOWING",$D$11,"NORMAL")</f>
        <v>43684</v>
      </c>
      <c r="D871" s="20">
        <f ca="1">_xll.meDateFromTenor(C871,"1D","Following",$D$11,"Normal")</f>
        <v>43685</v>
      </c>
      <c r="E871" s="99">
        <f ca="1"/>
        <v>1.1856627890374269E-2</v>
      </c>
      <c r="F871" s="161">
        <f ca="1">_xll.meCurveForwardRates(C871,$D$9,$D$10)</f>
        <v>1.1926998754388851E-2</v>
      </c>
      <c r="G871" s="7" t="s">
        <v>4</v>
      </c>
      <c r="H871" s="149">
        <f t="shared" ca="1" si="26"/>
        <v>43684</v>
      </c>
      <c r="I871" s="20">
        <f ca="1">_xll.meDateFromTenor(H871,"3M","Following",$I$11,"Normal")</f>
        <v>43776</v>
      </c>
      <c r="J871" s="150">
        <f ca="1"/>
        <v>1.5873404696301257E-2</v>
      </c>
      <c r="K871" s="7" t="s">
        <v>4</v>
      </c>
      <c r="L871" s="149" t="e">
        <f ca="1">_xll.meDateFromTenor(L870,"1D","FOLLOWING",#REF!,"NORMAL")</f>
        <v>#VALUE!</v>
      </c>
      <c r="M871" s="155">
        <f ca="1">_xll.meDateYearFraction(C871,D871,$M$11)</f>
        <v>2.7777777777777779E-3</v>
      </c>
      <c r="N871" s="150">
        <f ca="1"/>
        <v>-2.4300000000065936E-3</v>
      </c>
      <c r="O871" s="7" t="s">
        <v>4</v>
      </c>
      <c r="P871" s="149">
        <f t="shared" ca="1" si="27"/>
        <v>43684</v>
      </c>
      <c r="Q871" s="155">
        <f ca="1">_xll.meDateYearFraction(H871,I871,$Q$11,TRUE)</f>
        <v>0.25555555555555554</v>
      </c>
      <c r="R871" s="150">
        <f ca="1">IF(NOW(),_xll.meCurveForwardRatesFromYearFraction(P871,Q871,$Q$11,$Q$9,$Q$10))</f>
        <v>-3.7175485397107962E-3</v>
      </c>
      <c r="S871" s="134" t="s">
        <v>4</v>
      </c>
    </row>
    <row r="872" spans="1:19" x14ac:dyDescent="0.25">
      <c r="A872" s="128">
        <v>856</v>
      </c>
      <c r="B872" s="133"/>
      <c r="C872" s="149">
        <f ca="1">_xll.meDateFromTenor(C871,"1D","FOLLOWING",$D$11,"NORMAL")</f>
        <v>43685</v>
      </c>
      <c r="D872" s="20">
        <f ca="1">_xll.meDateFromTenor(C872,"1D","Following",$D$11,"Normal")</f>
        <v>43686</v>
      </c>
      <c r="E872" s="99">
        <f ca="1"/>
        <v>1.1862551854253708E-2</v>
      </c>
      <c r="F872" s="161">
        <f ca="1">_xll.meCurveForwardRates(C872,$D$9,$D$10)</f>
        <v>1.1932993193656927E-2</v>
      </c>
      <c r="G872" s="7" t="s">
        <v>4</v>
      </c>
      <c r="H872" s="149">
        <f t="shared" ca="1" si="26"/>
        <v>43685</v>
      </c>
      <c r="I872" s="20">
        <f ca="1">_xll.meDateFromTenor(H872,"3M","Following",$I$11,"Normal")</f>
        <v>43777</v>
      </c>
      <c r="J872" s="150">
        <f ca="1"/>
        <v>1.5881561998289155E-2</v>
      </c>
      <c r="K872" s="7" t="s">
        <v>4</v>
      </c>
      <c r="L872" s="149" t="e">
        <f ca="1">_xll.meDateFromTenor(L871,"1D","FOLLOWING",#REF!,"NORMAL")</f>
        <v>#VALUE!</v>
      </c>
      <c r="M872" s="155">
        <f ca="1">_xll.meDateYearFraction(C872,D872,$M$11)</f>
        <v>2.7777777777777779E-3</v>
      </c>
      <c r="N872" s="150">
        <f ca="1"/>
        <v>-2.4300000000065936E-3</v>
      </c>
      <c r="O872" s="7" t="s">
        <v>4</v>
      </c>
      <c r="P872" s="149">
        <f t="shared" ca="1" si="27"/>
        <v>43685</v>
      </c>
      <c r="Q872" s="155">
        <f ca="1">_xll.meDateYearFraction(H872,I872,$Q$11,TRUE)</f>
        <v>0.25555555555555554</v>
      </c>
      <c r="R872" s="150">
        <f ca="1">IF(NOW(),_xll.meCurveForwardRatesFromYearFraction(P872,Q872,$Q$11,$Q$9,$Q$10))</f>
        <v>-3.7175485397107962E-3</v>
      </c>
      <c r="S872" s="134" t="s">
        <v>4</v>
      </c>
    </row>
    <row r="873" spans="1:19" x14ac:dyDescent="0.25">
      <c r="A873" s="128">
        <v>857</v>
      </c>
      <c r="B873" s="133"/>
      <c r="C873" s="149">
        <f ca="1">_xll.meDateFromTenor(C872,"1D","FOLLOWING",$D$11,"NORMAL")</f>
        <v>43686</v>
      </c>
      <c r="D873" s="20">
        <f ca="1">_xll.meDateFromTenor(C873,"1D","Following",$D$11,"Normal")</f>
        <v>43689</v>
      </c>
      <c r="E873" s="99">
        <f ca="1"/>
        <v>1.1874781279432908E-2</v>
      </c>
      <c r="F873" s="161">
        <f ca="1">_xll.meCurveForwardRates(C873,$D$9,$D$10)</f>
        <v>1.1938984579071166E-2</v>
      </c>
      <c r="G873" s="7" t="s">
        <v>4</v>
      </c>
      <c r="H873" s="149">
        <f t="shared" ca="1" si="26"/>
        <v>43686</v>
      </c>
      <c r="I873" s="20">
        <f ca="1">_xll.meDateFromTenor(H873,"3M","Following",$I$11,"Normal")</f>
        <v>43781</v>
      </c>
      <c r="J873" s="150">
        <f ca="1"/>
        <v>1.5889685951817004E-2</v>
      </c>
      <c r="K873" s="7" t="s">
        <v>4</v>
      </c>
      <c r="L873" s="149" t="e">
        <f ca="1">_xll.meDateFromTenor(L872,"1D","FOLLOWING",#REF!,"NORMAL")</f>
        <v>#VALUE!</v>
      </c>
      <c r="M873" s="155">
        <f ca="1">_xll.meDateYearFraction(C873,D873,$M$11)</f>
        <v>8.3333333333333332E-3</v>
      </c>
      <c r="N873" s="150">
        <f ca="1"/>
        <v>-2.4300000000065936E-3</v>
      </c>
      <c r="O873" s="7" t="s">
        <v>4</v>
      </c>
      <c r="P873" s="149">
        <f t="shared" ca="1" si="27"/>
        <v>43686</v>
      </c>
      <c r="Q873" s="155">
        <f ca="1">_xll.meDateYearFraction(H873,I873,$Q$11,TRUE)</f>
        <v>0.2638888888888889</v>
      </c>
      <c r="R873" s="150">
        <f ca="1">IF(NOW(),_xll.meCurveForwardRatesFromYearFraction(P873,Q873,$Q$11,$Q$9,$Q$10))</f>
        <v>-1.1604596466083148E-3</v>
      </c>
      <c r="S873" s="134" t="s">
        <v>4</v>
      </c>
    </row>
    <row r="874" spans="1:19" x14ac:dyDescent="0.25">
      <c r="A874" s="128">
        <v>858</v>
      </c>
      <c r="B874" s="133"/>
      <c r="C874" s="149">
        <f ca="1">_xll.meDateFromTenor(C873,"1D","FOLLOWING",$D$11,"NORMAL")</f>
        <v>43689</v>
      </c>
      <c r="D874" s="20">
        <f ca="1">_xll.meDateFromTenor(C874,"1D","Following",$D$11,"Normal")</f>
        <v>43690</v>
      </c>
      <c r="E874" s="99">
        <f ca="1"/>
        <v>1.1886217178993561E-2</v>
      </c>
      <c r="F874" s="161">
        <f ca="1">_xll.meCurveForwardRates(C874,$D$9,$D$10)</f>
        <v>1.195694041002926E-2</v>
      </c>
      <c r="G874" s="7" t="s">
        <v>4</v>
      </c>
      <c r="H874" s="149">
        <f t="shared" ca="1" si="26"/>
        <v>43689</v>
      </c>
      <c r="I874" s="20">
        <f ca="1">_xll.meDateFromTenor(H874,"3M","Following",$I$11,"Normal")</f>
        <v>43781</v>
      </c>
      <c r="J874" s="150">
        <f ca="1"/>
        <v>1.5913842731733997E-2</v>
      </c>
      <c r="K874" s="7" t="s">
        <v>4</v>
      </c>
      <c r="L874" s="149" t="e">
        <f ca="1">_xll.meDateFromTenor(L873,"1D","FOLLOWING",#REF!,"NORMAL")</f>
        <v>#VALUE!</v>
      </c>
      <c r="M874" s="155">
        <f ca="1">_xll.meDateYearFraction(C874,D874,$M$11)</f>
        <v>2.7777777777777779E-3</v>
      </c>
      <c r="N874" s="150">
        <f ca="1"/>
        <v>-2.4300000000065936E-3</v>
      </c>
      <c r="O874" s="7" t="s">
        <v>4</v>
      </c>
      <c r="P874" s="149">
        <f t="shared" ca="1" si="27"/>
        <v>43689</v>
      </c>
      <c r="Q874" s="155">
        <f ca="1">_xll.meDateYearFraction(H874,I874,$Q$11,TRUE)</f>
        <v>0.25555555555555554</v>
      </c>
      <c r="R874" s="150">
        <f ca="1">IF(NOW(),_xll.meCurveForwardRatesFromYearFraction(P874,Q874,$Q$11,$Q$9,$Q$10))</f>
        <v>-3.7175485397107962E-3</v>
      </c>
      <c r="S874" s="134" t="s">
        <v>4</v>
      </c>
    </row>
    <row r="875" spans="1:19" x14ac:dyDescent="0.25">
      <c r="A875" s="128">
        <v>859</v>
      </c>
      <c r="B875" s="133"/>
      <c r="C875" s="149">
        <f ca="1">_xll.meDateFromTenor(C874,"1D","FOLLOWING",$D$11,"NORMAL")</f>
        <v>43690</v>
      </c>
      <c r="D875" s="20">
        <f ca="1">_xll.meDateFromTenor(C875,"1D","Following",$D$11,"Normal")</f>
        <v>43691</v>
      </c>
      <c r="E875" s="99">
        <f ca="1"/>
        <v>1.1892125876844559E-2</v>
      </c>
      <c r="F875" s="161">
        <f ca="1">_xll.meCurveForwardRates(C875,$D$9,$D$10)</f>
        <v>1.1962919578028197E-2</v>
      </c>
      <c r="G875" s="7" t="s">
        <v>4</v>
      </c>
      <c r="H875" s="149">
        <f t="shared" ca="1" si="26"/>
        <v>43690</v>
      </c>
      <c r="I875" s="20">
        <f ca="1">_xll.meDateFromTenor(H875,"3M","Following",$I$11,"Normal")</f>
        <v>43782</v>
      </c>
      <c r="J875" s="150">
        <f ca="1"/>
        <v>1.5921818301515383E-2</v>
      </c>
      <c r="K875" s="7" t="s">
        <v>4</v>
      </c>
      <c r="L875" s="149" t="e">
        <f ca="1">_xll.meDateFromTenor(L874,"1D","FOLLOWING",#REF!,"NORMAL")</f>
        <v>#VALUE!</v>
      </c>
      <c r="M875" s="155">
        <f ca="1">_xll.meDateYearFraction(C875,D875,$M$11)</f>
        <v>2.7777777777777779E-3</v>
      </c>
      <c r="N875" s="150">
        <f ca="1"/>
        <v>-2.4300000000065936E-3</v>
      </c>
      <c r="O875" s="7" t="s">
        <v>4</v>
      </c>
      <c r="P875" s="149">
        <f t="shared" ca="1" si="27"/>
        <v>43690</v>
      </c>
      <c r="Q875" s="155">
        <f ca="1">_xll.meDateYearFraction(H875,I875,$Q$11,TRUE)</f>
        <v>0.25555555555555554</v>
      </c>
      <c r="R875" s="150">
        <f ca="1">IF(NOW(),_xll.meCurveForwardRatesFromYearFraction(P875,Q875,$Q$11,$Q$9,$Q$10))</f>
        <v>-3.7175485397107962E-3</v>
      </c>
      <c r="S875" s="134" t="s">
        <v>4</v>
      </c>
    </row>
    <row r="876" spans="1:19" x14ac:dyDescent="0.25">
      <c r="A876" s="128">
        <v>860</v>
      </c>
      <c r="B876" s="133"/>
      <c r="C876" s="149">
        <f ca="1">_xll.meDateFromTenor(C875,"1D","FOLLOWING",$D$11,"NORMAL")</f>
        <v>43691</v>
      </c>
      <c r="D876" s="20">
        <f ca="1">_xll.meDateFromTenor(C876,"1D","Following",$D$11,"Normal")</f>
        <v>43692</v>
      </c>
      <c r="E876" s="99">
        <f ca="1"/>
        <v>1.1898031520818406E-2</v>
      </c>
      <c r="F876" s="161">
        <f ca="1">_xll.meCurveForwardRates(C876,$D$9,$D$10)</f>
        <v>1.1968895690930292E-2</v>
      </c>
      <c r="G876" s="7" t="s">
        <v>4</v>
      </c>
      <c r="H876" s="149">
        <f t="shared" ca="1" si="26"/>
        <v>43691</v>
      </c>
      <c r="I876" s="20">
        <f ca="1">_xll.meDateFromTenor(H876,"3M","Following",$I$11,"Normal")</f>
        <v>43783</v>
      </c>
      <c r="J876" s="150">
        <f ca="1"/>
        <v>1.5929753027883589E-2</v>
      </c>
      <c r="K876" s="7" t="s">
        <v>4</v>
      </c>
      <c r="L876" s="149" t="e">
        <f ca="1">_xll.meDateFromTenor(L875,"1D","FOLLOWING",#REF!,"NORMAL")</f>
        <v>#VALUE!</v>
      </c>
      <c r="M876" s="155">
        <f ca="1">_xll.meDateYearFraction(C876,D876,$M$11)</f>
        <v>2.7777777777777779E-3</v>
      </c>
      <c r="N876" s="150">
        <f ca="1"/>
        <v>-2.4300000000065936E-3</v>
      </c>
      <c r="O876" s="7" t="s">
        <v>4</v>
      </c>
      <c r="P876" s="149">
        <f t="shared" ca="1" si="27"/>
        <v>43691</v>
      </c>
      <c r="Q876" s="155">
        <f ca="1">_xll.meDateYearFraction(H876,I876,$Q$11,TRUE)</f>
        <v>0.25555555555555554</v>
      </c>
      <c r="R876" s="150">
        <f ca="1">IF(NOW(),_xll.meCurveForwardRatesFromYearFraction(P876,Q876,$Q$11,$Q$9,$Q$10))</f>
        <v>-3.7175485397107962E-3</v>
      </c>
      <c r="S876" s="134" t="s">
        <v>4</v>
      </c>
    </row>
    <row r="877" spans="1:19" x14ac:dyDescent="0.25">
      <c r="A877" s="128">
        <v>861</v>
      </c>
      <c r="B877" s="133"/>
      <c r="C877" s="149">
        <f ca="1">_xll.meDateFromTenor(C876,"1D","FOLLOWING",$D$11,"NORMAL")</f>
        <v>43692</v>
      </c>
      <c r="D877" s="20">
        <f ca="1">_xll.meDateFromTenor(C877,"1D","Following",$D$11,"Normal")</f>
        <v>43693</v>
      </c>
      <c r="E877" s="99">
        <f ca="1"/>
        <v>1.190393411115491E-2</v>
      </c>
      <c r="F877" s="161">
        <f ca="1">_xll.meCurveForwardRates(C877,$D$9,$D$10)</f>
        <v>1.1974868748924061E-2</v>
      </c>
      <c r="G877" s="7" t="s">
        <v>4</v>
      </c>
      <c r="H877" s="149">
        <f t="shared" ca="1" si="26"/>
        <v>43692</v>
      </c>
      <c r="I877" s="20">
        <f ca="1">_xll.meDateFromTenor(H877,"3M","Following",$I$11,"Normal")</f>
        <v>43784</v>
      </c>
      <c r="J877" s="150">
        <f ca="1"/>
        <v>1.5937645411847973E-2</v>
      </c>
      <c r="K877" s="7" t="s">
        <v>4</v>
      </c>
      <c r="L877" s="149" t="e">
        <f ca="1">_xll.meDateFromTenor(L876,"1D","FOLLOWING",#REF!,"NORMAL")</f>
        <v>#VALUE!</v>
      </c>
      <c r="M877" s="155">
        <f ca="1">_xll.meDateYearFraction(C877,D877,$M$11)</f>
        <v>2.7777777777777779E-3</v>
      </c>
      <c r="N877" s="150">
        <f ca="1"/>
        <v>-2.4300000000065936E-3</v>
      </c>
      <c r="O877" s="7" t="s">
        <v>4</v>
      </c>
      <c r="P877" s="149">
        <f t="shared" ca="1" si="27"/>
        <v>43692</v>
      </c>
      <c r="Q877" s="155">
        <f ca="1">_xll.meDateYearFraction(H877,I877,$Q$11,TRUE)</f>
        <v>0.25555555555555554</v>
      </c>
      <c r="R877" s="150">
        <f ca="1">IF(NOW(),_xll.meCurveForwardRatesFromYearFraction(P877,Q877,$Q$11,$Q$9,$Q$10))</f>
        <v>-1.123804325854394E-3</v>
      </c>
      <c r="S877" s="134" t="s">
        <v>4</v>
      </c>
    </row>
    <row r="878" spans="1:19" x14ac:dyDescent="0.25">
      <c r="A878" s="128">
        <v>862</v>
      </c>
      <c r="B878" s="133"/>
      <c r="C878" s="149">
        <f ca="1">_xll.meDateFromTenor(C877,"1D","FOLLOWING",$D$11,"NORMAL")</f>
        <v>43693</v>
      </c>
      <c r="D878" s="20">
        <f ca="1">_xll.meDateFromTenor(C878,"1D","Following",$D$11,"Normal")</f>
        <v>43696</v>
      </c>
      <c r="E878" s="99">
        <f ca="1"/>
        <v>1.19161235174126E-2</v>
      </c>
      <c r="F878" s="161">
        <f ca="1">_xll.meCurveForwardRates(C878,$D$9,$D$10)</f>
        <v>1.1980838751388667E-2</v>
      </c>
      <c r="G878" s="7" t="s">
        <v>4</v>
      </c>
      <c r="H878" s="149">
        <f t="shared" ca="1" si="26"/>
        <v>43693</v>
      </c>
      <c r="I878" s="20">
        <f ca="1">_xll.meDateFromTenor(H878,"3M","Following",$I$11,"Normal")</f>
        <v>43787</v>
      </c>
      <c r="J878" s="150">
        <f ca="1"/>
        <v>1.5945493954417914E-2</v>
      </c>
      <c r="K878" s="7" t="s">
        <v>4</v>
      </c>
      <c r="L878" s="149" t="e">
        <f ca="1">_xll.meDateFromTenor(L877,"1D","FOLLOWING",#REF!,"NORMAL")</f>
        <v>#VALUE!</v>
      </c>
      <c r="M878" s="155">
        <f ca="1">_xll.meDateYearFraction(C878,D878,$M$11)</f>
        <v>8.3333333333333332E-3</v>
      </c>
      <c r="N878" s="150">
        <f ca="1"/>
        <v>-2.4300000000065936E-3</v>
      </c>
      <c r="O878" s="7" t="s">
        <v>4</v>
      </c>
      <c r="P878" s="149">
        <f t="shared" ca="1" si="27"/>
        <v>43693</v>
      </c>
      <c r="Q878" s="155">
        <f ca="1">_xll.meDateYearFraction(H878,I878,$Q$11,TRUE)</f>
        <v>0.26111111111111113</v>
      </c>
      <c r="R878" s="150">
        <f ca="1">IF(NOW(),_xll.meCurveForwardRatesFromYearFraction(P878,Q878,$Q$11,$Q$9,$Q$10))</f>
        <v>-3.7175485397107962E-3</v>
      </c>
      <c r="S878" s="134" t="s">
        <v>4</v>
      </c>
    </row>
    <row r="879" spans="1:19" x14ac:dyDescent="0.25">
      <c r="A879" s="128">
        <v>863</v>
      </c>
      <c r="B879" s="133"/>
      <c r="C879" s="149">
        <f ca="1">_xll.meDateFromTenor(C878,"1D","FOLLOWING",$D$11,"NORMAL")</f>
        <v>43696</v>
      </c>
      <c r="D879" s="20">
        <f ca="1">_xll.meDateFromTenor(C879,"1D","Following",$D$11,"Normal")</f>
        <v>43697</v>
      </c>
      <c r="E879" s="99">
        <f ca="1"/>
        <v>1.192751393077178E-2</v>
      </c>
      <c r="F879" s="161">
        <f ca="1">_xll.meCurveForwardRates(C879,$D$9,$D$10)</f>
        <v>1.1998730425308635E-2</v>
      </c>
      <c r="G879" s="7" t="s">
        <v>4</v>
      </c>
      <c r="H879" s="149">
        <f t="shared" ca="1" si="26"/>
        <v>43696</v>
      </c>
      <c r="I879" s="20">
        <f ca="1">_xll.meDateFromTenor(H879,"3M","Following",$I$11,"Normal")</f>
        <v>43788</v>
      </c>
      <c r="J879" s="150">
        <f ca="1"/>
        <v>1.5968761543854806E-2</v>
      </c>
      <c r="K879" s="7" t="s">
        <v>4</v>
      </c>
      <c r="L879" s="149" t="e">
        <f ca="1">_xll.meDateFromTenor(L878,"1D","FOLLOWING",#REF!,"NORMAL")</f>
        <v>#VALUE!</v>
      </c>
      <c r="M879" s="155">
        <f ca="1">_xll.meDateYearFraction(C879,D879,$M$11)</f>
        <v>2.7777777777777779E-3</v>
      </c>
      <c r="N879" s="150">
        <f ca="1"/>
        <v>-2.4300000000065936E-3</v>
      </c>
      <c r="O879" s="7" t="s">
        <v>4</v>
      </c>
      <c r="P879" s="149">
        <f t="shared" ca="1" si="27"/>
        <v>43696</v>
      </c>
      <c r="Q879" s="155">
        <f ca="1">_xll.meDateYearFraction(H879,I879,$Q$11,TRUE)</f>
        <v>0.25555555555555554</v>
      </c>
      <c r="R879" s="150">
        <f ca="1">IF(NOW(),_xll.meCurveForwardRatesFromYearFraction(P879,Q879,$Q$11,$Q$9,$Q$10))</f>
        <v>-1.0990873475861238E-3</v>
      </c>
      <c r="S879" s="134" t="s">
        <v>4</v>
      </c>
    </row>
    <row r="880" spans="1:19" x14ac:dyDescent="0.25">
      <c r="A880" s="128">
        <v>864</v>
      </c>
      <c r="B880" s="133"/>
      <c r="C880" s="149">
        <f ca="1">_xll.meDateFromTenor(C879,"1D","FOLLOWING",$D$11,"NORMAL")</f>
        <v>43697</v>
      </c>
      <c r="D880" s="20">
        <f ca="1">_xll.meDateFromTenor(C880,"1D","Following",$D$11,"Normal")</f>
        <v>43698</v>
      </c>
      <c r="E880" s="99">
        <f ca="1"/>
        <v>1.193340124964419E-2</v>
      </c>
      <c r="F880" s="161">
        <f ca="1">_xll.meCurveForwardRates(C880,$D$9,$D$10)</f>
        <v>1.2004688204628966E-2</v>
      </c>
      <c r="G880" s="7" t="s">
        <v>4</v>
      </c>
      <c r="H880" s="149">
        <f t="shared" ca="1" si="26"/>
        <v>43697</v>
      </c>
      <c r="I880" s="20">
        <f ca="1">_xll.meDateFromTenor(H880,"3M","Following",$I$11,"Normal")</f>
        <v>43789</v>
      </c>
      <c r="J880" s="150">
        <f ca="1"/>
        <v>1.5976419730940699E-2</v>
      </c>
      <c r="K880" s="7" t="s">
        <v>4</v>
      </c>
      <c r="L880" s="149" t="e">
        <f ca="1">_xll.meDateFromTenor(L879,"1D","FOLLOWING",#REF!,"NORMAL")</f>
        <v>#VALUE!</v>
      </c>
      <c r="M880" s="155">
        <f ca="1">_xll.meDateYearFraction(C880,D880,$M$11)</f>
        <v>2.7777777777777779E-3</v>
      </c>
      <c r="N880" s="150">
        <f ca="1"/>
        <v>-2.4300000000065936E-3</v>
      </c>
      <c r="O880" s="7" t="s">
        <v>4</v>
      </c>
      <c r="P880" s="149">
        <f t="shared" ca="1" si="27"/>
        <v>43697</v>
      </c>
      <c r="Q880" s="155">
        <f ca="1">_xll.meDateYearFraction(H880,I880,$Q$11,TRUE)</f>
        <v>0.25555555555555554</v>
      </c>
      <c r="R880" s="150">
        <f ca="1">IF(NOW(),_xll.meCurveForwardRatesFromYearFraction(P880,Q880,$Q$11,$Q$9,$Q$10))</f>
        <v>-3.7175485397107962E-3</v>
      </c>
      <c r="S880" s="134" t="s">
        <v>4</v>
      </c>
    </row>
    <row r="881" spans="1:19" x14ac:dyDescent="0.25">
      <c r="A881" s="128">
        <v>865</v>
      </c>
      <c r="B881" s="133"/>
      <c r="C881" s="149">
        <f ca="1">_xll.meDateFromTenor(C880,"1D","FOLLOWING",$D$11,"NORMAL")</f>
        <v>43698</v>
      </c>
      <c r="D881" s="20">
        <f ca="1">_xll.meDateFromTenor(C881,"1D","Following",$D$11,"Normal")</f>
        <v>43699</v>
      </c>
      <c r="E881" s="99">
        <f ca="1"/>
        <v>1.1939285513680217E-2</v>
      </c>
      <c r="F881" s="161">
        <f ca="1">_xll.meCurveForwardRates(C881,$D$9,$D$10)</f>
        <v>1.2010642927501758E-2</v>
      </c>
      <c r="G881" s="7" t="s">
        <v>4</v>
      </c>
      <c r="H881" s="149">
        <f t="shared" ca="1" si="26"/>
        <v>43698</v>
      </c>
      <c r="I881" s="20">
        <f ca="1">_xll.meDateFromTenor(H881,"3M","Following",$I$11,"Normal")</f>
        <v>43790</v>
      </c>
      <c r="J881" s="150">
        <f ca="1"/>
        <v>1.5984026581679009E-2</v>
      </c>
      <c r="K881" s="7" t="s">
        <v>4</v>
      </c>
      <c r="L881" s="149" t="e">
        <f ca="1">_xll.meDateFromTenor(L880,"1D","FOLLOWING",#REF!,"NORMAL")</f>
        <v>#VALUE!</v>
      </c>
      <c r="M881" s="155">
        <f ca="1">_xll.meDateYearFraction(C881,D881,$M$11)</f>
        <v>2.7777777777777779E-3</v>
      </c>
      <c r="N881" s="150">
        <f ca="1"/>
        <v>-2.4300000000065936E-3</v>
      </c>
      <c r="O881" s="7" t="s">
        <v>4</v>
      </c>
      <c r="P881" s="149">
        <f t="shared" ca="1" si="27"/>
        <v>43698</v>
      </c>
      <c r="Q881" s="155">
        <f ca="1">_xll.meDateYearFraction(H881,I881,$Q$11,TRUE)</f>
        <v>0.25555555555555554</v>
      </c>
      <c r="R881" s="150">
        <f ca="1">IF(NOW(),_xll.meCurveForwardRatesFromYearFraction(P881,Q881,$Q$11,$Q$9,$Q$10))</f>
        <v>-1.0866461241886927E-3</v>
      </c>
      <c r="S881" s="134" t="s">
        <v>4</v>
      </c>
    </row>
    <row r="882" spans="1:19" x14ac:dyDescent="0.25">
      <c r="A882" s="128">
        <v>866</v>
      </c>
      <c r="B882" s="133"/>
      <c r="C882" s="149">
        <f ca="1">_xll.meDateFromTenor(C881,"1D","FOLLOWING",$D$11,"NORMAL")</f>
        <v>43699</v>
      </c>
      <c r="D882" s="20">
        <f ca="1">_xll.meDateFromTenor(C882,"1D","Following",$D$11,"Normal")</f>
        <v>43700</v>
      </c>
      <c r="E882" s="99">
        <f ca="1"/>
        <v>1.194516672287986E-2</v>
      </c>
      <c r="F882" s="161">
        <f ca="1">_xll.meCurveForwardRates(C882,$D$9,$D$10)</f>
        <v>1.2016594593872831E-2</v>
      </c>
      <c r="G882" s="7" t="s">
        <v>4</v>
      </c>
      <c r="H882" s="149">
        <f t="shared" ca="1" si="26"/>
        <v>43699</v>
      </c>
      <c r="I882" s="20">
        <f ca="1">_xll.meDateFromTenor(H882,"3M","Following",$I$11,"Normal")</f>
        <v>43791</v>
      </c>
      <c r="J882" s="150">
        <f ca="1"/>
        <v>1.5991580597079107E-2</v>
      </c>
      <c r="K882" s="7" t="s">
        <v>4</v>
      </c>
      <c r="L882" s="149" t="e">
        <f ca="1">_xll.meDateFromTenor(L881,"1D","FOLLOWING",#REF!,"NORMAL")</f>
        <v>#VALUE!</v>
      </c>
      <c r="M882" s="155">
        <f ca="1">_xll.meDateYearFraction(C882,D882,$M$11)</f>
        <v>2.7777777777777779E-3</v>
      </c>
      <c r="N882" s="150">
        <f ca="1"/>
        <v>-2.4300000000065936E-3</v>
      </c>
      <c r="O882" s="7" t="s">
        <v>4</v>
      </c>
      <c r="P882" s="149">
        <f t="shared" ca="1" si="27"/>
        <v>43699</v>
      </c>
      <c r="Q882" s="155">
        <f ca="1">_xll.meDateYearFraction(H882,I882,$Q$11,TRUE)</f>
        <v>0.25555555555555554</v>
      </c>
      <c r="R882" s="150">
        <f ca="1">IF(NOW(),_xll.meCurveForwardRatesFromYearFraction(P882,Q882,$Q$11,$Q$9,$Q$10))</f>
        <v>-3.7175485397107962E-3</v>
      </c>
      <c r="S882" s="134" t="s">
        <v>4</v>
      </c>
    </row>
    <row r="883" spans="1:19" x14ac:dyDescent="0.25">
      <c r="A883" s="128">
        <v>867</v>
      </c>
      <c r="B883" s="133"/>
      <c r="C883" s="149">
        <f ca="1">_xll.meDateFromTenor(C882,"1D","FOLLOWING",$D$11,"NORMAL")</f>
        <v>43700</v>
      </c>
      <c r="D883" s="20">
        <f ca="1">_xll.meDateFromTenor(C883,"1D","Following",$D$11,"Normal")</f>
        <v>43704</v>
      </c>
      <c r="E883" s="99">
        <f ca="1"/>
        <v>1.196097745472314E-2</v>
      </c>
      <c r="F883" s="161">
        <f ca="1">_xll.meCurveForwardRates(C883,$D$9,$D$10)</f>
        <v>1.2022677151163563E-2</v>
      </c>
      <c r="G883" s="7" t="s">
        <v>4</v>
      </c>
      <c r="H883" s="149">
        <f t="shared" ca="1" si="26"/>
        <v>43700</v>
      </c>
      <c r="I883" s="20">
        <f ca="1">_xll.meDateFromTenor(H883,"3M","Following",$I$11,"Normal")</f>
        <v>43794</v>
      </c>
      <c r="J883" s="150">
        <f ca="1"/>
        <v>1.5999080278150366E-2</v>
      </c>
      <c r="K883" s="7" t="s">
        <v>4</v>
      </c>
      <c r="L883" s="149" t="e">
        <f ca="1">_xll.meDateFromTenor(L882,"1D","FOLLOWING",#REF!,"NORMAL")</f>
        <v>#VALUE!</v>
      </c>
      <c r="M883" s="155">
        <f ca="1">_xll.meDateYearFraction(C883,D883,$M$11)</f>
        <v>1.1111111111111112E-2</v>
      </c>
      <c r="N883" s="150">
        <f ca="1"/>
        <v>-2.4300000000065936E-3</v>
      </c>
      <c r="O883" s="7" t="s">
        <v>4</v>
      </c>
      <c r="P883" s="149">
        <f t="shared" ca="1" si="27"/>
        <v>43700</v>
      </c>
      <c r="Q883" s="155">
        <f ca="1">_xll.meDateYearFraction(H883,I883,$Q$11,TRUE)</f>
        <v>0.26111111111111113</v>
      </c>
      <c r="R883" s="150">
        <f ca="1">IF(NOW(),_xll.meCurveForwardRatesFromYearFraction(P883,Q883,$Q$11,$Q$9,$Q$10))</f>
        <v>-1.0741503202007963E-3</v>
      </c>
      <c r="S883" s="134" t="s">
        <v>4</v>
      </c>
    </row>
    <row r="884" spans="1:19" x14ac:dyDescent="0.25">
      <c r="A884" s="128">
        <v>868</v>
      </c>
      <c r="B884" s="133"/>
      <c r="C884" s="149">
        <f ca="1">_xll.meDateFromTenor(C883,"1D","FOLLOWING",$D$11,"NORMAL")</f>
        <v>43704</v>
      </c>
      <c r="D884" s="20">
        <f ca="1">_xll.meDateFromTenor(C884,"1D","Following",$D$11,"Normal")</f>
        <v>43705</v>
      </c>
      <c r="E884" s="99">
        <f ca="1"/>
        <v>1.1975707282241331E-2</v>
      </c>
      <c r="F884" s="161">
        <f ca="1">_xll.meCurveForwardRates(C884,$D$9,$D$10)</f>
        <v>1.2047501591874177E-2</v>
      </c>
      <c r="G884" s="7" t="s">
        <v>4</v>
      </c>
      <c r="H884" s="149">
        <f t="shared" ca="1" si="26"/>
        <v>43704</v>
      </c>
      <c r="I884" s="20">
        <f ca="1">_xll.meDateFromTenor(H884,"3M","Following",$I$11,"Normal")</f>
        <v>43796</v>
      </c>
      <c r="J884" s="150">
        <f ca="1"/>
        <v>1.6028782698027037E-2</v>
      </c>
      <c r="K884" s="7" t="s">
        <v>4</v>
      </c>
      <c r="L884" s="149" t="e">
        <f ca="1">_xll.meDateFromTenor(L883,"1D","FOLLOWING",#REF!,"NORMAL")</f>
        <v>#VALUE!</v>
      </c>
      <c r="M884" s="155">
        <f ca="1">_xll.meDateYearFraction(C884,D884,$M$11)</f>
        <v>2.7777777777777779E-3</v>
      </c>
      <c r="N884" s="150">
        <f ca="1"/>
        <v>-2.4300000000065936E-3</v>
      </c>
      <c r="O884" s="7" t="s">
        <v>4</v>
      </c>
      <c r="P884" s="149">
        <f t="shared" ca="1" si="27"/>
        <v>43704</v>
      </c>
      <c r="Q884" s="155">
        <f ca="1">_xll.meDateYearFraction(H884,I884,$Q$11,TRUE)</f>
        <v>0.25555555555555554</v>
      </c>
      <c r="R884" s="150">
        <f ca="1">IF(NOW(),_xll.meCurveForwardRatesFromYearFraction(P884,Q884,$Q$11,$Q$9,$Q$10))</f>
        <v>-1.0488453767767616E-3</v>
      </c>
      <c r="S884" s="134" t="s">
        <v>4</v>
      </c>
    </row>
    <row r="885" spans="1:19" x14ac:dyDescent="0.25">
      <c r="A885" s="128">
        <v>869</v>
      </c>
      <c r="B885" s="133"/>
      <c r="C885" s="149">
        <f ca="1">_xll.meDateFromTenor(C884,"1D","FOLLOWING",$D$11,"NORMAL")</f>
        <v>43705</v>
      </c>
      <c r="D885" s="20">
        <f ca="1">_xll.meDateFromTenor(C885,"1D","Following",$D$11,"Normal")</f>
        <v>43706</v>
      </c>
      <c r="E885" s="99">
        <f ca="1"/>
        <v>1.1981829007847765E-2</v>
      </c>
      <c r="F885" s="161">
        <f ca="1">_xll.meCurveForwardRates(C885,$D$9,$D$10)</f>
        <v>1.2053696881798359E-2</v>
      </c>
      <c r="G885" s="7" t="s">
        <v>4</v>
      </c>
      <c r="H885" s="149">
        <f t="shared" ca="1" si="26"/>
        <v>43705</v>
      </c>
      <c r="I885" s="20">
        <f ca="1">_xll.meDateFromTenor(H885,"3M","Following",$I$11,"Normal")</f>
        <v>43798</v>
      </c>
      <c r="J885" s="150">
        <f ca="1"/>
        <v>1.6036151279493382E-2</v>
      </c>
      <c r="K885" s="7" t="s">
        <v>4</v>
      </c>
      <c r="L885" s="149" t="e">
        <f ca="1">_xll.meDateFromTenor(L884,"1D","FOLLOWING",#REF!,"NORMAL")</f>
        <v>#VALUE!</v>
      </c>
      <c r="M885" s="155">
        <f ca="1">_xll.meDateYearFraction(C885,D885,$M$11)</f>
        <v>2.7777777777777779E-3</v>
      </c>
      <c r="N885" s="150">
        <f ca="1"/>
        <v>-2.4300000000065936E-3</v>
      </c>
      <c r="O885" s="7" t="s">
        <v>4</v>
      </c>
      <c r="P885" s="149">
        <f t="shared" ca="1" si="27"/>
        <v>43705</v>
      </c>
      <c r="Q885" s="155">
        <f ca="1">_xll.meDateYearFraction(H885,I885,$Q$11,TRUE)</f>
        <v>0.25833333333333336</v>
      </c>
      <c r="R885" s="150">
        <f ca="1">IF(NOW(),_xll.meCurveForwardRatesFromYearFraction(P885,Q885,$Q$11,$Q$9,$Q$10))</f>
        <v>-1.0424408052748305E-3</v>
      </c>
      <c r="S885" s="134" t="s">
        <v>4</v>
      </c>
    </row>
    <row r="886" spans="1:19" x14ac:dyDescent="0.25">
      <c r="A886" s="128">
        <v>870</v>
      </c>
      <c r="B886" s="133"/>
      <c r="C886" s="149">
        <f ca="1">_xll.meDateFromTenor(C885,"1D","FOLLOWING",$D$11,"NORMAL")</f>
        <v>43706</v>
      </c>
      <c r="D886" s="20">
        <f ca="1">_xll.meDateFromTenor(C886,"1D","Following",$D$11,"Normal")</f>
        <v>43707</v>
      </c>
      <c r="E886" s="99">
        <f ca="1"/>
        <v>1.1987946418505801E-2</v>
      </c>
      <c r="F886" s="161">
        <f ca="1">_xll.meCurveForwardRates(C886,$D$9,$D$10)</f>
        <v>1.2059887842700956E-2</v>
      </c>
      <c r="G886" s="7" t="s">
        <v>4</v>
      </c>
      <c r="H886" s="149">
        <f t="shared" ca="1" si="26"/>
        <v>43706</v>
      </c>
      <c r="I886" s="20">
        <f ca="1">_xll.meDateFromTenor(H886,"3M","Following",$I$11,"Normal")</f>
        <v>43798</v>
      </c>
      <c r="J886" s="150">
        <f ca="1"/>
        <v>1.6043497525841714E-2</v>
      </c>
      <c r="K886" s="7" t="s">
        <v>4</v>
      </c>
      <c r="L886" s="149" t="e">
        <f ca="1">_xll.meDateFromTenor(L885,"1D","FOLLOWING",#REF!,"NORMAL")</f>
        <v>#VALUE!</v>
      </c>
      <c r="M886" s="155">
        <f ca="1">_xll.meDateYearFraction(C886,D886,$M$11)</f>
        <v>2.7777777777777779E-3</v>
      </c>
      <c r="N886" s="150">
        <f ca="1"/>
        <v>-2.4300000000065936E-3</v>
      </c>
      <c r="O886" s="7" t="s">
        <v>4</v>
      </c>
      <c r="P886" s="149">
        <f t="shared" ca="1" si="27"/>
        <v>43706</v>
      </c>
      <c r="Q886" s="155">
        <f ca="1">_xll.meDateYearFraction(H886,I886,$Q$11,TRUE)</f>
        <v>0.25555555555555554</v>
      </c>
      <c r="R886" s="150">
        <f ca="1">IF(NOW(),_xll.meCurveForwardRatesFromYearFraction(P886,Q886,$Q$11,$Q$9,$Q$10))</f>
        <v>-3.7175485397107962E-3</v>
      </c>
      <c r="S886" s="134" t="s">
        <v>4</v>
      </c>
    </row>
    <row r="887" spans="1:19" x14ac:dyDescent="0.25">
      <c r="A887" s="128">
        <v>871</v>
      </c>
      <c r="B887" s="133"/>
      <c r="C887" s="149">
        <f ca="1">_xll.meDateFromTenor(C886,"1D","FOLLOWING",$D$11,"NORMAL")</f>
        <v>43707</v>
      </c>
      <c r="D887" s="20">
        <f ca="1">_xll.meDateFromTenor(C887,"1D","Following",$D$11,"Normal")</f>
        <v>43711</v>
      </c>
      <c r="E887" s="99">
        <f ca="1"/>
        <v>1.2003818703492141E-2</v>
      </c>
      <c r="F887" s="161">
        <f ca="1">_xll.meCurveForwardRates(C887,$D$9,$D$10)</f>
        <v>1.2066074474340827E-2</v>
      </c>
      <c r="G887" s="7" t="s">
        <v>4</v>
      </c>
      <c r="H887" s="149">
        <f t="shared" ca="1" si="26"/>
        <v>43707</v>
      </c>
      <c r="I887" s="20">
        <f ca="1">_xll.meDateFromTenor(H887,"3M","Following",$I$11,"Normal")</f>
        <v>43801</v>
      </c>
      <c r="J887" s="150">
        <f ca="1"/>
        <v>1.6050821674213601E-2</v>
      </c>
      <c r="K887" s="7" t="s">
        <v>4</v>
      </c>
      <c r="L887" s="149" t="e">
        <f ca="1">_xll.meDateFromTenor(L886,"1D","FOLLOWING",#REF!,"NORMAL")</f>
        <v>#VALUE!</v>
      </c>
      <c r="M887" s="155">
        <f ca="1">_xll.meDateYearFraction(C887,D887,$M$11)</f>
        <v>1.1111111111111112E-2</v>
      </c>
      <c r="N887" s="150">
        <f ca="1"/>
        <v>-2.4300000000065936E-3</v>
      </c>
      <c r="O887" s="7" t="s">
        <v>4</v>
      </c>
      <c r="P887" s="149">
        <f t="shared" ca="1" si="27"/>
        <v>43707</v>
      </c>
      <c r="Q887" s="155">
        <f ca="1">_xll.meDateYearFraction(H887,I887,$Q$11,TRUE)</f>
        <v>0.26111111111111113</v>
      </c>
      <c r="R887" s="150">
        <f ca="1">IF(NOW(),_xll.meCurveForwardRatesFromYearFraction(P887,Q887,$Q$11,$Q$9,$Q$10))</f>
        <v>-3.7175485397107962E-3</v>
      </c>
      <c r="S887" s="134" t="s">
        <v>4</v>
      </c>
    </row>
    <row r="888" spans="1:19" x14ac:dyDescent="0.25">
      <c r="A888" s="128">
        <v>872</v>
      </c>
      <c r="B888" s="133"/>
      <c r="C888" s="149">
        <f ca="1">_xll.meDateFromTenor(C887,"1D","FOLLOWING",$D$11,"NORMAL")</f>
        <v>43711</v>
      </c>
      <c r="D888" s="20">
        <f ca="1">_xll.meDateFromTenor(C888,"1D","Following",$D$11,"Normal")</f>
        <v>43712</v>
      </c>
      <c r="E888" s="99">
        <f ca="1"/>
        <v>1.2018468738697096E-2</v>
      </c>
      <c r="F888" s="161">
        <f ca="1">_xll.meCurveForwardRates(C888,$D$9,$D$10)</f>
        <v>1.209077770012601E-2</v>
      </c>
      <c r="G888" s="7" t="s">
        <v>4</v>
      </c>
      <c r="H888" s="149">
        <f t="shared" ca="1" si="26"/>
        <v>43711</v>
      </c>
      <c r="I888" s="20">
        <f ca="1">_xll.meDateFromTenor(H888,"3M","Following",$I$11,"Normal")</f>
        <v>43802</v>
      </c>
      <c r="J888" s="150">
        <f ca="1"/>
        <v>1.6079902030767888E-2</v>
      </c>
      <c r="K888" s="7" t="s">
        <v>4</v>
      </c>
      <c r="L888" s="149" t="e">
        <f ca="1">_xll.meDateFromTenor(L887,"1D","FOLLOWING",#REF!,"NORMAL")</f>
        <v>#VALUE!</v>
      </c>
      <c r="M888" s="155">
        <f ca="1">_xll.meDateYearFraction(C888,D888,$M$11)</f>
        <v>2.7777777777777779E-3</v>
      </c>
      <c r="N888" s="150">
        <f ca="1"/>
        <v>-2.4300000000065936E-3</v>
      </c>
      <c r="O888" s="7" t="s">
        <v>4</v>
      </c>
      <c r="P888" s="149">
        <f t="shared" ca="1" si="27"/>
        <v>43711</v>
      </c>
      <c r="Q888" s="155">
        <f ca="1">_xll.meDateYearFraction(H888,I888,$Q$11,TRUE)</f>
        <v>0.25277777777777777</v>
      </c>
      <c r="R888" s="150">
        <f ca="1">IF(NOW(),_xll.meCurveForwardRatesFromYearFraction(P888,Q888,$Q$11,$Q$9,$Q$10))</f>
        <v>-3.7175485397107962E-3</v>
      </c>
      <c r="S888" s="134" t="s">
        <v>4</v>
      </c>
    </row>
    <row r="889" spans="1:19" x14ac:dyDescent="0.25">
      <c r="A889" s="128">
        <v>873</v>
      </c>
      <c r="B889" s="133"/>
      <c r="C889" s="149">
        <f ca="1">_xll.meDateFromTenor(C888,"1D","FOLLOWING",$D$11,"NORMAL")</f>
        <v>43712</v>
      </c>
      <c r="D889" s="20">
        <f ca="1">_xll.meDateFromTenor(C889,"1D","Following",$D$11,"Normal")</f>
        <v>43713</v>
      </c>
      <c r="E889" s="99">
        <f ca="1"/>
        <v>1.2024560253909343E-2</v>
      </c>
      <c r="F889" s="161">
        <f ca="1">_xll.meCurveForwardRates(C889,$D$9,$D$10)</f>
        <v>1.2096942679403755E-2</v>
      </c>
      <c r="G889" s="7" t="s">
        <v>4</v>
      </c>
      <c r="H889" s="149">
        <f t="shared" ca="1" si="26"/>
        <v>43712</v>
      </c>
      <c r="I889" s="20">
        <f ca="1">_xll.meDateFromTenor(H889,"3M","Following",$I$11,"Normal")</f>
        <v>43803</v>
      </c>
      <c r="J889" s="150">
        <f ca="1"/>
        <v>1.6087119246380951E-2</v>
      </c>
      <c r="K889" s="7" t="s">
        <v>4</v>
      </c>
      <c r="L889" s="149" t="e">
        <f ca="1">_xll.meDateFromTenor(L888,"1D","FOLLOWING",#REF!,"NORMAL")</f>
        <v>#VALUE!</v>
      </c>
      <c r="M889" s="155">
        <f ca="1">_xll.meDateYearFraction(C889,D889,$M$11)</f>
        <v>2.7777777777777779E-3</v>
      </c>
      <c r="N889" s="150">
        <f ca="1"/>
        <v>-2.4300000000065936E-3</v>
      </c>
      <c r="O889" s="7" t="s">
        <v>4</v>
      </c>
      <c r="P889" s="149">
        <f t="shared" ca="1" si="27"/>
        <v>43712</v>
      </c>
      <c r="Q889" s="155">
        <f ca="1">_xll.meDateYearFraction(H889,I889,$Q$11,TRUE)</f>
        <v>0.25277777777777777</v>
      </c>
      <c r="R889" s="150">
        <f ca="1">IF(NOW(),_xll.meCurveForwardRatesFromYearFraction(P889,Q889,$Q$11,$Q$9,$Q$10))</f>
        <v>-9.968017416272124E-4</v>
      </c>
      <c r="S889" s="134" t="s">
        <v>4</v>
      </c>
    </row>
    <row r="890" spans="1:19" x14ac:dyDescent="0.25">
      <c r="A890" s="128">
        <v>874</v>
      </c>
      <c r="B890" s="133"/>
      <c r="C890" s="149">
        <f ca="1">_xll.meDateFromTenor(C889,"1D","FOLLOWING",$D$11,"NORMAL")</f>
        <v>43713</v>
      </c>
      <c r="D890" s="20">
        <f ca="1">_xll.meDateFromTenor(C890,"1D","Following",$D$11,"Normal")</f>
        <v>43714</v>
      </c>
      <c r="E890" s="99">
        <f ca="1"/>
        <v>1.2030647452174791E-2</v>
      </c>
      <c r="F890" s="161">
        <f ca="1">_xll.meCurveForwardRates(C890,$D$9,$D$10)</f>
        <v>1.2103103327080866E-2</v>
      </c>
      <c r="G890" s="7" t="s">
        <v>4</v>
      </c>
      <c r="H890" s="149">
        <f t="shared" ca="1" si="26"/>
        <v>43713</v>
      </c>
      <c r="I890" s="20">
        <f ca="1">_xll.meDateFromTenor(H890,"3M","Following",$I$11,"Normal")</f>
        <v>43804</v>
      </c>
      <c r="J890" s="150">
        <f ca="1"/>
        <v>1.6094315786866927E-2</v>
      </c>
      <c r="K890" s="7" t="s">
        <v>4</v>
      </c>
      <c r="L890" s="149" t="e">
        <f ca="1">_xll.meDateFromTenor(L889,"1D","FOLLOWING",#REF!,"NORMAL")</f>
        <v>#VALUE!</v>
      </c>
      <c r="M890" s="155">
        <f ca="1">_xll.meDateYearFraction(C890,D890,$M$11)</f>
        <v>2.7777777777777779E-3</v>
      </c>
      <c r="N890" s="150">
        <f ca="1"/>
        <v>-2.4300000000065936E-3</v>
      </c>
      <c r="O890" s="7" t="s">
        <v>4</v>
      </c>
      <c r="P890" s="149">
        <f t="shared" ca="1" si="27"/>
        <v>43713</v>
      </c>
      <c r="Q890" s="155">
        <f ca="1">_xll.meDateYearFraction(H890,I890,$Q$11,TRUE)</f>
        <v>0.25277777777777777</v>
      </c>
      <c r="R890" s="150">
        <f ca="1">IF(NOW(),_xll.meCurveForwardRatesFromYearFraction(P890,Q890,$Q$11,$Q$9,$Q$10))</f>
        <v>-3.7175485397107962E-3</v>
      </c>
      <c r="S890" s="134" t="s">
        <v>4</v>
      </c>
    </row>
    <row r="891" spans="1:19" x14ac:dyDescent="0.25">
      <c r="A891" s="128">
        <v>875</v>
      </c>
      <c r="B891" s="133"/>
      <c r="C891" s="149">
        <f ca="1">_xll.meDateFromTenor(C890,"1D","FOLLOWING",$D$11,"NORMAL")</f>
        <v>43714</v>
      </c>
      <c r="D891" s="20">
        <f ca="1">_xll.meDateFromTenor(C891,"1D","Following",$D$11,"Normal")</f>
        <v>43717</v>
      </c>
      <c r="E891" s="99">
        <f ca="1"/>
        <v>1.2043210320680274E-2</v>
      </c>
      <c r="F891" s="161">
        <f ca="1">_xll.meCurveForwardRates(C891,$D$9,$D$10)</f>
        <v>1.2109259642754555E-2</v>
      </c>
      <c r="G891" s="7" t="s">
        <v>4</v>
      </c>
      <c r="H891" s="149">
        <f t="shared" ca="1" si="26"/>
        <v>43714</v>
      </c>
      <c r="I891" s="20">
        <f ca="1">_xll.meDateFromTenor(H891,"3M","Following",$I$11,"Normal")</f>
        <v>43805</v>
      </c>
      <c r="J891" s="150">
        <f ca="1"/>
        <v>1.6101491889367384E-2</v>
      </c>
      <c r="K891" s="7" t="s">
        <v>4</v>
      </c>
      <c r="L891" s="149" t="e">
        <f ca="1">_xll.meDateFromTenor(L890,"1D","FOLLOWING",#REF!,"NORMAL")</f>
        <v>#VALUE!</v>
      </c>
      <c r="M891" s="155">
        <f ca="1">_xll.meDateYearFraction(C891,D891,$M$11)</f>
        <v>8.3333333333333332E-3</v>
      </c>
      <c r="N891" s="150">
        <f ca="1"/>
        <v>-2.4300000000065936E-3</v>
      </c>
      <c r="O891" s="7" t="s">
        <v>4</v>
      </c>
      <c r="P891" s="149">
        <f t="shared" ca="1" si="27"/>
        <v>43714</v>
      </c>
      <c r="Q891" s="155">
        <f ca="1">_xll.meDateYearFraction(H891,I891,$Q$11,TRUE)</f>
        <v>0.25277777777777777</v>
      </c>
      <c r="R891" s="150">
        <f ca="1">IF(NOW(),_xll.meCurveForwardRatesFromYearFraction(P891,Q891,$Q$11,$Q$9,$Q$10))</f>
        <v>-3.7175485397107962E-3</v>
      </c>
      <c r="S891" s="134" t="s">
        <v>4</v>
      </c>
    </row>
    <row r="892" spans="1:19" x14ac:dyDescent="0.25">
      <c r="A892" s="128">
        <v>876</v>
      </c>
      <c r="B892" s="133"/>
      <c r="C892" s="149">
        <f ca="1">_xll.meDateFromTenor(C891,"1D","FOLLOWING",$D$11,"NORMAL")</f>
        <v>43717</v>
      </c>
      <c r="D892" s="20">
        <f ca="1">_xll.meDateFromTenor(C892,"1D","Following",$D$11,"Normal")</f>
        <v>43718</v>
      </c>
      <c r="E892" s="99">
        <f ca="1"/>
        <v>1.2054953069373696E-2</v>
      </c>
      <c r="F892" s="161">
        <f ca="1">_xll.meCurveForwardRates(C892,$D$9,$D$10)</f>
        <v>1.2127702593724976E-2</v>
      </c>
      <c r="G892" s="7" t="s">
        <v>4</v>
      </c>
      <c r="H892" s="149">
        <f t="shared" ca="1" si="26"/>
        <v>43717</v>
      </c>
      <c r="I892" s="20">
        <f ca="1">_xll.meDateFromTenor(H892,"3M","Following",$I$11,"Normal")</f>
        <v>43808</v>
      </c>
      <c r="J892" s="150">
        <f ca="1"/>
        <v>1.6122899940371225E-2</v>
      </c>
      <c r="K892" s="7" t="s">
        <v>4</v>
      </c>
      <c r="L892" s="149" t="e">
        <f ca="1">_xll.meDateFromTenor(L891,"1D","FOLLOWING",#REF!,"NORMAL")</f>
        <v>#VALUE!</v>
      </c>
      <c r="M892" s="155">
        <f ca="1">_xll.meDateYearFraction(C892,D892,$M$11)</f>
        <v>2.7777777777777779E-3</v>
      </c>
      <c r="N892" s="150">
        <f ca="1"/>
        <v>-2.4300000000065936E-3</v>
      </c>
      <c r="O892" s="7" t="s">
        <v>4</v>
      </c>
      <c r="P892" s="149">
        <f t="shared" ca="1" si="27"/>
        <v>43717</v>
      </c>
      <c r="Q892" s="155">
        <f ca="1">_xll.meDateYearFraction(H892,I892,$Q$11,TRUE)</f>
        <v>0.25277777777777777</v>
      </c>
      <c r="R892" s="150">
        <f ca="1">IF(NOW(),_xll.meCurveForwardRatesFromYearFraction(P892,Q892,$Q$11,$Q$9,$Q$10))</f>
        <v>-3.7175485397107962E-3</v>
      </c>
      <c r="S892" s="134" t="s">
        <v>4</v>
      </c>
    </row>
    <row r="893" spans="1:19" x14ac:dyDescent="0.25">
      <c r="A893" s="128">
        <v>877</v>
      </c>
      <c r="B893" s="133"/>
      <c r="C893" s="149">
        <f ca="1">_xll.meDateFromTenor(C892,"1D","FOLLOWING",$D$11,"NORMAL")</f>
        <v>43718</v>
      </c>
      <c r="D893" s="20">
        <f ca="1">_xll.meDateFromTenor(C893,"1D","Following",$D$11,"Normal")</f>
        <v>43719</v>
      </c>
      <c r="E893" s="99">
        <f ca="1"/>
        <v>1.2061018678188916E-2</v>
      </c>
      <c r="F893" s="161">
        <f ca="1">_xll.meCurveForwardRates(C893,$D$9,$D$10)</f>
        <v>1.2133841577436799E-2</v>
      </c>
      <c r="G893" s="7" t="s">
        <v>4</v>
      </c>
      <c r="H893" s="149">
        <f t="shared" ca="1" si="26"/>
        <v>43718</v>
      </c>
      <c r="I893" s="20">
        <f ca="1">_xll.meDateFromTenor(H893,"3M","Following",$I$11,"Normal")</f>
        <v>43809</v>
      </c>
      <c r="J893" s="150">
        <f ca="1"/>
        <v>1.6129996662345197E-2</v>
      </c>
      <c r="K893" s="7" t="s">
        <v>4</v>
      </c>
      <c r="L893" s="149" t="e">
        <f ca="1">_xll.meDateFromTenor(L892,"1D","FOLLOWING",#REF!,"NORMAL")</f>
        <v>#VALUE!</v>
      </c>
      <c r="M893" s="155">
        <f ca="1">_xll.meDateYearFraction(C893,D893,$M$11)</f>
        <v>2.7777777777777779E-3</v>
      </c>
      <c r="N893" s="150">
        <f ca="1"/>
        <v>-2.4300000000065936E-3</v>
      </c>
      <c r="O893" s="7" t="s">
        <v>4</v>
      </c>
      <c r="P893" s="149">
        <f t="shared" ca="1" si="27"/>
        <v>43718</v>
      </c>
      <c r="Q893" s="155">
        <f ca="1">_xll.meDateYearFraction(H893,I893,$Q$11,TRUE)</f>
        <v>0.25277777777777777</v>
      </c>
      <c r="R893" s="150">
        <f ca="1">IF(NOW(),_xll.meCurveForwardRatesFromYearFraction(P893,Q893,$Q$11,$Q$9,$Q$10))</f>
        <v>-9.5667265172677107E-4</v>
      </c>
      <c r="S893" s="134" t="s">
        <v>4</v>
      </c>
    </row>
    <row r="894" spans="1:19" x14ac:dyDescent="0.25">
      <c r="A894" s="128">
        <v>878</v>
      </c>
      <c r="B894" s="133"/>
      <c r="C894" s="149">
        <f ca="1">_xll.meDateFromTenor(C893,"1D","FOLLOWING",$D$11,"NORMAL")</f>
        <v>43719</v>
      </c>
      <c r="D894" s="20">
        <f ca="1">_xll.meDateFromTenor(C894,"1D","Following",$D$11,"Normal")</f>
        <v>43720</v>
      </c>
      <c r="E894" s="99">
        <f ca="1"/>
        <v>1.2067079967978999E-2</v>
      </c>
      <c r="F894" s="161">
        <f ca="1">_xll.meCurveForwardRates(C894,$D$9,$D$10)</f>
        <v>1.2139976226969162E-2</v>
      </c>
      <c r="G894" s="7" t="s">
        <v>4</v>
      </c>
      <c r="H894" s="149">
        <f t="shared" ca="1" si="26"/>
        <v>43719</v>
      </c>
      <c r="I894" s="20">
        <f ca="1">_xll.meDateFromTenor(H894,"3M","Following",$I$11,"Normal")</f>
        <v>43810</v>
      </c>
      <c r="J894" s="150">
        <f ca="1"/>
        <v>1.6137074132041452E-2</v>
      </c>
      <c r="K894" s="7" t="s">
        <v>4</v>
      </c>
      <c r="L894" s="149" t="e">
        <f ca="1">_xll.meDateFromTenor(L893,"1D","FOLLOWING",#REF!,"NORMAL")</f>
        <v>#VALUE!</v>
      </c>
      <c r="M894" s="155">
        <f ca="1">_xll.meDateYearFraction(C894,D894,$M$11)</f>
        <v>2.7777777777777779E-3</v>
      </c>
      <c r="N894" s="150">
        <f ca="1"/>
        <v>-2.4300000000065936E-3</v>
      </c>
      <c r="O894" s="7" t="s">
        <v>4</v>
      </c>
      <c r="P894" s="149">
        <f t="shared" ca="1" si="27"/>
        <v>43719</v>
      </c>
      <c r="Q894" s="155">
        <f ca="1">_xll.meDateYearFraction(H894,I894,$Q$11,TRUE)</f>
        <v>0.25277777777777777</v>
      </c>
      <c r="R894" s="150">
        <f ca="1">IF(NOW(),_xll.meCurveForwardRatesFromYearFraction(P894,Q894,$Q$11,$Q$9,$Q$10))</f>
        <v>-3.7175485397107962E-3</v>
      </c>
      <c r="S894" s="134" t="s">
        <v>4</v>
      </c>
    </row>
    <row r="895" spans="1:19" x14ac:dyDescent="0.25">
      <c r="A895" s="128">
        <v>879</v>
      </c>
      <c r="B895" s="133"/>
      <c r="C895" s="149">
        <f ca="1">_xll.meDateFromTenor(C894,"1D","FOLLOWING",$D$11,"NORMAL")</f>
        <v>43720</v>
      </c>
      <c r="D895" s="20">
        <f ca="1">_xll.meDateFromTenor(C895,"1D","Following",$D$11,"Normal")</f>
        <v>43721</v>
      </c>
      <c r="E895" s="99">
        <f ca="1"/>
        <v>1.2073136938743944E-2</v>
      </c>
      <c r="F895" s="161">
        <f ca="1">_xll.meCurveForwardRates(C895,$D$9,$D$10)</f>
        <v>1.2146106542243018E-2</v>
      </c>
      <c r="G895" s="7" t="s">
        <v>4</v>
      </c>
      <c r="H895" s="149">
        <f t="shared" ca="1" si="26"/>
        <v>43720</v>
      </c>
      <c r="I895" s="20">
        <f ca="1">_xll.meDateFromTenor(H895,"3M","Following",$I$11,"Normal")</f>
        <v>43811</v>
      </c>
      <c r="J895" s="150">
        <f ca="1"/>
        <v>1.6144132586601551E-2</v>
      </c>
      <c r="K895" s="7" t="s">
        <v>4</v>
      </c>
      <c r="L895" s="149" t="e">
        <f ca="1">_xll.meDateFromTenor(L894,"1D","FOLLOWING",#REF!,"NORMAL")</f>
        <v>#VALUE!</v>
      </c>
      <c r="M895" s="155">
        <f ca="1">_xll.meDateYearFraction(C895,D895,$M$11)</f>
        <v>2.7777777777777779E-3</v>
      </c>
      <c r="N895" s="150">
        <f ca="1"/>
        <v>-2.4300000000065936E-3</v>
      </c>
      <c r="O895" s="7" t="s">
        <v>4</v>
      </c>
      <c r="P895" s="149">
        <f t="shared" ca="1" si="27"/>
        <v>43720</v>
      </c>
      <c r="Q895" s="155">
        <f ca="1">_xll.meDateYearFraction(H895,I895,$Q$11,TRUE)</f>
        <v>0.25277777777777777</v>
      </c>
      <c r="R895" s="150">
        <f ca="1">IF(NOW(),_xll.meCurveForwardRatesFromYearFraction(P895,Q895,$Q$11,$Q$9,$Q$10))</f>
        <v>-9.4311423674322799E-4</v>
      </c>
      <c r="S895" s="134" t="s">
        <v>4</v>
      </c>
    </row>
    <row r="896" spans="1:19" x14ac:dyDescent="0.25">
      <c r="A896" s="128">
        <v>880</v>
      </c>
      <c r="B896" s="133"/>
      <c r="C896" s="149">
        <f ca="1">_xll.meDateFromTenor(C895,"1D","FOLLOWING",$D$11,"NORMAL")</f>
        <v>43721</v>
      </c>
      <c r="D896" s="20">
        <f ca="1">_xll.meDateFromTenor(C896,"1D","Following",$D$11,"Normal")</f>
        <v>43724</v>
      </c>
      <c r="E896" s="99">
        <f ca="1"/>
        <v>1.208564218861956E-2</v>
      </c>
      <c r="F896" s="161">
        <f ca="1">_xll.meCurveForwardRates(C896,$D$9,$D$10)</f>
        <v>1.2152232522774975E-2</v>
      </c>
      <c r="G896" s="7" t="s">
        <v>4</v>
      </c>
      <c r="H896" s="149">
        <f t="shared" ca="1" si="26"/>
        <v>43721</v>
      </c>
      <c r="I896" s="20">
        <f ca="1">_xll.meDateFromTenor(H896,"3M","Following",$I$11,"Normal")</f>
        <v>43812</v>
      </c>
      <c r="J896" s="150">
        <f ca="1"/>
        <v>1.6151172263167052E-2</v>
      </c>
      <c r="K896" s="7" t="s">
        <v>4</v>
      </c>
      <c r="L896" s="149" t="e">
        <f ca="1">_xll.meDateFromTenor(L895,"1D","FOLLOWING",#REF!,"NORMAL")</f>
        <v>#VALUE!</v>
      </c>
      <c r="M896" s="155">
        <f ca="1">_xll.meDateYearFraction(C896,D896,$M$11)</f>
        <v>8.3333333333333332E-3</v>
      </c>
      <c r="N896" s="150">
        <f ca="1"/>
        <v>-2.4300000000065936E-3</v>
      </c>
      <c r="O896" s="7" t="s">
        <v>4</v>
      </c>
      <c r="P896" s="149">
        <f t="shared" ca="1" si="27"/>
        <v>43721</v>
      </c>
      <c r="Q896" s="155">
        <f ca="1">_xll.meDateYearFraction(H896,I896,$Q$11,TRUE)</f>
        <v>0.25277777777777777</v>
      </c>
      <c r="R896" s="150">
        <f ca="1">IF(NOW(),_xll.meCurveForwardRatesFromYearFraction(P896,Q896,$Q$11,$Q$9,$Q$10))</f>
        <v>-3.7175485397107962E-3</v>
      </c>
      <c r="S896" s="134" t="s">
        <v>4</v>
      </c>
    </row>
    <row r="897" spans="1:19" x14ac:dyDescent="0.25">
      <c r="A897" s="128">
        <v>881</v>
      </c>
      <c r="B897" s="133"/>
      <c r="C897" s="149">
        <f ca="1">_xll.meDateFromTenor(C896,"1D","FOLLOWING",$D$11,"NORMAL")</f>
        <v>43724</v>
      </c>
      <c r="D897" s="20">
        <f ca="1">_xll.meDateFromTenor(C897,"1D","Following",$D$11,"Normal")</f>
        <v>43725</v>
      </c>
      <c r="E897" s="99">
        <f ca="1"/>
        <v>1.2097321623878486E-2</v>
      </c>
      <c r="F897" s="161">
        <f ca="1">_xll.meCurveForwardRates(C897,$D$9,$D$10)</f>
        <v>1.2170584451408617E-2</v>
      </c>
      <c r="G897" s="7" t="s">
        <v>4</v>
      </c>
      <c r="H897" s="149">
        <f t="shared" ca="1" si="26"/>
        <v>43724</v>
      </c>
      <c r="I897" s="20">
        <f ca="1">_xll.meDateFromTenor(H897,"3M","Following",$I$11,"Normal")</f>
        <v>43815</v>
      </c>
      <c r="J897" s="150">
        <f ca="1"/>
        <v>1.617218099631158E-2</v>
      </c>
      <c r="K897" s="7" t="s">
        <v>4</v>
      </c>
      <c r="L897" s="149" t="e">
        <f ca="1">_xll.meDateFromTenor(L896,"1D","FOLLOWING",#REF!,"NORMAL")</f>
        <v>#VALUE!</v>
      </c>
      <c r="M897" s="155">
        <f ca="1">_xll.meDateYearFraction(C897,D897,$M$11)</f>
        <v>2.7777777777777779E-3</v>
      </c>
      <c r="N897" s="150">
        <f ca="1"/>
        <v>-2.4300000000065936E-3</v>
      </c>
      <c r="O897" s="7" t="s">
        <v>4</v>
      </c>
      <c r="P897" s="149">
        <f t="shared" ca="1" si="27"/>
        <v>43724</v>
      </c>
      <c r="Q897" s="155">
        <f ca="1">_xll.meDateYearFraction(H897,I897,$Q$11,TRUE)</f>
        <v>0.25277777777777777</v>
      </c>
      <c r="R897" s="150">
        <f ca="1">IF(NOW(),_xll.meCurveForwardRatesFromYearFraction(P897,Q897,$Q$11,$Q$9,$Q$10))</f>
        <v>-9.1575445615114915E-4</v>
      </c>
      <c r="S897" s="134" t="s">
        <v>4</v>
      </c>
    </row>
    <row r="898" spans="1:19" x14ac:dyDescent="0.25">
      <c r="A898" s="128">
        <v>882</v>
      </c>
      <c r="B898" s="133"/>
      <c r="C898" s="149">
        <f ca="1">_xll.meDateFromTenor(C897,"1D","FOLLOWING",$D$11,"NORMAL")</f>
        <v>43725</v>
      </c>
      <c r="D898" s="20">
        <f ca="1">_xll.meDateFromTenor(C898,"1D","Following",$D$11,"Normal")</f>
        <v>43726</v>
      </c>
      <c r="E898" s="99">
        <f ca="1"/>
        <v>1.2103356994162028E-2</v>
      </c>
      <c r="F898" s="161">
        <f ca="1">_xll.meCurveForwardRates(C898,$D$9,$D$10)</f>
        <v>1.2176693088785884E-2</v>
      </c>
      <c r="G898" s="7" t="s">
        <v>4</v>
      </c>
      <c r="H898" s="149">
        <f t="shared" ca="1" si="26"/>
        <v>43725</v>
      </c>
      <c r="I898" s="20">
        <f ca="1">_xll.meDateFromTenor(H898,"3M","Following",$I$11,"Normal")</f>
        <v>43816</v>
      </c>
      <c r="J898" s="150">
        <f ca="1"/>
        <v>1.6179147932314307E-2</v>
      </c>
      <c r="K898" s="7" t="s">
        <v>4</v>
      </c>
      <c r="L898" s="149" t="e">
        <f ca="1">_xll.meDateFromTenor(L897,"1D","FOLLOWING",#REF!,"NORMAL")</f>
        <v>#VALUE!</v>
      </c>
      <c r="M898" s="155">
        <f ca="1">_xll.meDateYearFraction(C898,D898,$M$11)</f>
        <v>2.7777777777777779E-3</v>
      </c>
      <c r="N898" s="150">
        <f ca="1"/>
        <v>-2.4300000000065936E-3</v>
      </c>
      <c r="O898" s="7" t="s">
        <v>4</v>
      </c>
      <c r="P898" s="149">
        <f t="shared" ca="1" si="27"/>
        <v>43725</v>
      </c>
      <c r="Q898" s="155">
        <f ca="1">_xll.meDateYearFraction(H898,I898,$Q$11,TRUE)</f>
        <v>0.25277777777777777</v>
      </c>
      <c r="R898" s="150">
        <f ca="1">IF(NOW(),_xll.meCurveForwardRatesFromYearFraction(P898,Q898,$Q$11,$Q$9,$Q$10))</f>
        <v>-9.0886755754480844E-4</v>
      </c>
      <c r="S898" s="134" t="s">
        <v>4</v>
      </c>
    </row>
    <row r="899" spans="1:19" x14ac:dyDescent="0.25">
      <c r="A899" s="128">
        <v>883</v>
      </c>
      <c r="B899" s="133"/>
      <c r="C899" s="149">
        <f ca="1">_xll.meDateFromTenor(C898,"1D","FOLLOWING",$D$11,"NORMAL")</f>
        <v>43726</v>
      </c>
      <c r="D899" s="20">
        <f ca="1">_xll.meDateFromTenor(C899,"1D","Following",$D$11,"Normal")</f>
        <v>43727</v>
      </c>
      <c r="E899" s="99">
        <f ca="1"/>
        <v>1.2109388043342094E-2</v>
      </c>
      <c r="F899" s="161">
        <f ca="1">_xll.meCurveForwardRates(C899,$D$9,$D$10)</f>
        <v>1.2182797389328037E-2</v>
      </c>
      <c r="G899" s="7" t="s">
        <v>4</v>
      </c>
      <c r="H899" s="149">
        <f t="shared" ca="1" si="26"/>
        <v>43726</v>
      </c>
      <c r="I899" s="20">
        <f ca="1">_xll.meDateFromTenor(H899,"3M","Following",$I$11,"Normal")</f>
        <v>43817</v>
      </c>
      <c r="J899" s="150">
        <f ca="1"/>
        <v>1.6186097276030233E-2</v>
      </c>
      <c r="K899" s="7" t="s">
        <v>4</v>
      </c>
      <c r="L899" s="149" t="e">
        <f ca="1">_xll.meDateFromTenor(L898,"1D","FOLLOWING",#REF!,"NORMAL")</f>
        <v>#VALUE!</v>
      </c>
      <c r="M899" s="155">
        <f ca="1">_xll.meDateYearFraction(C899,D899,$M$11)</f>
        <v>2.7777777777777779E-3</v>
      </c>
      <c r="N899" s="150">
        <f ca="1"/>
        <v>-2.4300000000065936E-3</v>
      </c>
      <c r="O899" s="7" t="s">
        <v>4</v>
      </c>
      <c r="P899" s="149">
        <f t="shared" ca="1" si="27"/>
        <v>43726</v>
      </c>
      <c r="Q899" s="155">
        <f ca="1">_xll.meDateYearFraction(H899,I899,$Q$11,TRUE)</f>
        <v>0.25277777777777777</v>
      </c>
      <c r="R899" s="150">
        <f ca="1">IF(NOW(),_xll.meCurveForwardRatesFromYearFraction(P899,Q899,$Q$11,$Q$9,$Q$10))</f>
        <v>-3.7175485397107962E-3</v>
      </c>
      <c r="S899" s="134" t="s">
        <v>4</v>
      </c>
    </row>
    <row r="900" spans="1:19" x14ac:dyDescent="0.25">
      <c r="A900" s="128">
        <v>884</v>
      </c>
      <c r="B900" s="133"/>
      <c r="C900" s="149">
        <f ca="1">_xll.meDateFromTenor(C899,"1D","FOLLOWING",$D$11,"NORMAL")</f>
        <v>43727</v>
      </c>
      <c r="D900" s="20">
        <f ca="1">_xll.meDateFromTenor(C900,"1D","Following",$D$11,"Normal")</f>
        <v>43728</v>
      </c>
      <c r="E900" s="99">
        <f ca="1"/>
        <v>1.2115414771098941E-2</v>
      </c>
      <c r="F900" s="161">
        <f ca="1">_xll.meCurveForwardRates(C900,$D$9,$D$10)</f>
        <v>1.2188897352632733E-2</v>
      </c>
      <c r="G900" s="7" t="s">
        <v>4</v>
      </c>
      <c r="H900" s="149">
        <f t="shared" ca="1" si="26"/>
        <v>43727</v>
      </c>
      <c r="I900" s="20">
        <f ca="1">_xll.meDateFromTenor(H900,"3M","Following",$I$11,"Normal")</f>
        <v>43818</v>
      </c>
      <c r="J900" s="150">
        <f ca="1"/>
        <v>1.6193029264600929E-2</v>
      </c>
      <c r="K900" s="7" t="s">
        <v>4</v>
      </c>
      <c r="L900" s="149" t="e">
        <f ca="1">_xll.meDateFromTenor(L899,"1D","FOLLOWING",#REF!,"NORMAL")</f>
        <v>#VALUE!</v>
      </c>
      <c r="M900" s="155">
        <f ca="1">_xll.meDateYearFraction(C900,D900,$M$11)</f>
        <v>2.7777777777777779E-3</v>
      </c>
      <c r="N900" s="150">
        <f ca="1"/>
        <v>-2.4300000000065936E-3</v>
      </c>
      <c r="O900" s="7" t="s">
        <v>4</v>
      </c>
      <c r="P900" s="149">
        <f t="shared" ca="1" si="27"/>
        <v>43727</v>
      </c>
      <c r="Q900" s="155">
        <f ca="1">_xll.meDateYearFraction(H900,I900,$Q$11,TRUE)</f>
        <v>0.25277777777777777</v>
      </c>
      <c r="R900" s="150">
        <f ca="1">IF(NOW(),_xll.meCurveForwardRatesFromYearFraction(P900,Q900,$Q$11,$Q$9,$Q$10))</f>
        <v>-3.7175485397107962E-3</v>
      </c>
      <c r="S900" s="134" t="s">
        <v>4</v>
      </c>
    </row>
    <row r="901" spans="1:19" x14ac:dyDescent="0.25">
      <c r="A901" s="128">
        <v>885</v>
      </c>
      <c r="B901" s="133"/>
      <c r="C901" s="149">
        <f ca="1">_xll.meDateFromTenor(C900,"1D","FOLLOWING",$D$11,"NORMAL")</f>
        <v>43728</v>
      </c>
      <c r="D901" s="20">
        <f ca="1">_xll.meDateFromTenor(C901,"1D","Following",$D$11,"Normal")</f>
        <v>43731</v>
      </c>
      <c r="E901" s="99">
        <f ca="1"/>
        <v>1.212786236719947E-2</v>
      </c>
      <c r="F901" s="161">
        <f ca="1">_xll.meCurveForwardRates(C901,$D$9,$D$10)</f>
        <v>1.2194992978459718E-2</v>
      </c>
      <c r="G901" s="7" t="s">
        <v>4</v>
      </c>
      <c r="H901" s="149">
        <f t="shared" ca="1" si="26"/>
        <v>43728</v>
      </c>
      <c r="I901" s="20">
        <f ca="1">_xll.meDateFromTenor(H901,"3M","Following",$I$11,"Normal")</f>
        <v>43819</v>
      </c>
      <c r="J901" s="150">
        <f ca="1"/>
        <v>1.6199944135167954E-2</v>
      </c>
      <c r="K901" s="7" t="s">
        <v>4</v>
      </c>
      <c r="L901" s="149" t="e">
        <f ca="1">_xll.meDateFromTenor(L900,"1D","FOLLOWING",#REF!,"NORMAL")</f>
        <v>#VALUE!</v>
      </c>
      <c r="M901" s="155">
        <f ca="1">_xll.meDateYearFraction(C901,D901,$M$11)</f>
        <v>8.3333333333333332E-3</v>
      </c>
      <c r="N901" s="150">
        <f ca="1"/>
        <v>-2.4300000000065936E-3</v>
      </c>
      <c r="O901" s="7" t="s">
        <v>4</v>
      </c>
      <c r="P901" s="149">
        <f t="shared" ca="1" si="27"/>
        <v>43728</v>
      </c>
      <c r="Q901" s="155">
        <f ca="1">_xll.meDateYearFraction(H901,I901,$Q$11,TRUE)</f>
        <v>0.25277777777777777</v>
      </c>
      <c r="R901" s="150">
        <f ca="1">IF(NOW(),_xll.meCurveForwardRatesFromYearFraction(P901,Q901,$Q$11,$Q$9,$Q$10))</f>
        <v>-8.8810421572584996E-4</v>
      </c>
      <c r="S901" s="134" t="s">
        <v>4</v>
      </c>
    </row>
    <row r="902" spans="1:19" x14ac:dyDescent="0.25">
      <c r="A902" s="128">
        <v>886</v>
      </c>
      <c r="B902" s="133"/>
      <c r="C902" s="149">
        <f ca="1">_xll.meDateFromTenor(C901,"1D","FOLLOWING",$D$11,"NORMAL")</f>
        <v>43731</v>
      </c>
      <c r="D902" s="20">
        <f ca="1">_xll.meDateFromTenor(C902,"1D","Following",$D$11,"Normal")</f>
        <v>43732</v>
      </c>
      <c r="E902" s="99">
        <f ca="1"/>
        <v>1.2139478462378549E-2</v>
      </c>
      <c r="F902" s="161">
        <f ca="1">_xll.meCurveForwardRates(C902,$D$9,$D$10)</f>
        <v>1.2213253826322434E-2</v>
      </c>
      <c r="G902" s="7" t="s">
        <v>4</v>
      </c>
      <c r="H902" s="149">
        <f t="shared" ca="1" si="26"/>
        <v>43731</v>
      </c>
      <c r="I902" s="20">
        <f ca="1">_xll.meDateFromTenor(H902,"3M","Following",$I$11,"Normal")</f>
        <v>43822</v>
      </c>
      <c r="J902" s="150">
        <f ca="1"/>
        <v>1.622058841026261E-2</v>
      </c>
      <c r="K902" s="7" t="s">
        <v>4</v>
      </c>
      <c r="L902" s="149" t="e">
        <f ca="1">_xll.meDateFromTenor(L901,"1D","FOLLOWING",#REF!,"NORMAL")</f>
        <v>#VALUE!</v>
      </c>
      <c r="M902" s="155">
        <f ca="1">_xll.meDateYearFraction(C902,D902,$M$11)</f>
        <v>2.7777777777777779E-3</v>
      </c>
      <c r="N902" s="150">
        <f ca="1"/>
        <v>-2.4300000000065936E-3</v>
      </c>
      <c r="O902" s="7" t="s">
        <v>4</v>
      </c>
      <c r="P902" s="149">
        <f t="shared" ca="1" si="27"/>
        <v>43731</v>
      </c>
      <c r="Q902" s="155">
        <f ca="1">_xll.meDateYearFraction(H902,I902,$Q$11,TRUE)</f>
        <v>0.25277777777777777</v>
      </c>
      <c r="R902" s="150">
        <f ca="1">IF(NOW(),_xll.meCurveForwardRatesFromYearFraction(P902,Q902,$Q$11,$Q$9,$Q$10))</f>
        <v>-3.7175485397107962E-3</v>
      </c>
      <c r="S902" s="134" t="s">
        <v>4</v>
      </c>
    </row>
    <row r="903" spans="1:19" x14ac:dyDescent="0.25">
      <c r="A903" s="128">
        <v>887</v>
      </c>
      <c r="B903" s="133"/>
      <c r="C903" s="149">
        <f ca="1">_xll.meDateFromTenor(C902,"1D","FOLLOWING",$D$11,"NORMAL")</f>
        <v>43732</v>
      </c>
      <c r="D903" s="20">
        <f ca="1">_xll.meDateFromTenor(C903,"1D","Following",$D$11,"Normal")</f>
        <v>43733</v>
      </c>
      <c r="E903" s="99">
        <f ca="1"/>
        <v>1.2145483578462945E-2</v>
      </c>
      <c r="F903" s="161">
        <f ca="1">_xll.meCurveForwardRates(C903,$D$9,$D$10)</f>
        <v>1.221933209764936E-2</v>
      </c>
      <c r="G903" s="7" t="s">
        <v>4</v>
      </c>
      <c r="H903" s="149">
        <f t="shared" ca="1" si="26"/>
        <v>43732</v>
      </c>
      <c r="I903" s="20">
        <f ca="1">_xll.meDateFromTenor(H903,"3M","Following",$I$11,"Normal")</f>
        <v>43823</v>
      </c>
      <c r="J903" s="150">
        <f ca="1"/>
        <v>1.6227437180230557E-2</v>
      </c>
      <c r="K903" s="7" t="s">
        <v>4</v>
      </c>
      <c r="L903" s="149" t="e">
        <f ca="1">_xll.meDateFromTenor(L902,"1D","FOLLOWING",#REF!,"NORMAL")</f>
        <v>#VALUE!</v>
      </c>
      <c r="M903" s="155">
        <f ca="1">_xll.meDateYearFraction(C903,D903,$M$11)</f>
        <v>2.7777777777777779E-3</v>
      </c>
      <c r="N903" s="150">
        <f ca="1"/>
        <v>-2.4300000000065936E-3</v>
      </c>
      <c r="O903" s="7" t="s">
        <v>4</v>
      </c>
      <c r="P903" s="149">
        <f t="shared" ca="1" si="27"/>
        <v>43732</v>
      </c>
      <c r="Q903" s="155">
        <f ca="1">_xll.meDateYearFraction(H903,I903,$Q$11,TRUE)</f>
        <v>0.25277777777777777</v>
      </c>
      <c r="R903" s="150">
        <f ca="1">IF(NOW(),_xll.meCurveForwardRatesFromYearFraction(P903,Q903,$Q$11,$Q$9,$Q$10))</f>
        <v>-3.7175485397107962E-3</v>
      </c>
      <c r="S903" s="134" t="s">
        <v>4</v>
      </c>
    </row>
    <row r="904" spans="1:19" x14ac:dyDescent="0.25">
      <c r="A904" s="128">
        <v>888</v>
      </c>
      <c r="B904" s="133"/>
      <c r="C904" s="149">
        <f ca="1">_xll.meDateFromTenor(C903,"1D","FOLLOWING",$D$11,"NORMAL")</f>
        <v>43733</v>
      </c>
      <c r="D904" s="20">
        <f ca="1">_xll.meDateFromTenor(C904,"1D","Following",$D$11,"Normal")</f>
        <v>43734</v>
      </c>
      <c r="E904" s="99">
        <f ca="1"/>
        <v>1.2151484371285591E-2</v>
      </c>
      <c r="F904" s="161">
        <f ca="1">_xll.meCurveForwardRates(C904,$D$9,$D$10)</f>
        <v>1.2225406029406916E-2</v>
      </c>
      <c r="G904" s="7" t="s">
        <v>4</v>
      </c>
      <c r="H904" s="149">
        <f t="shared" ca="1" si="26"/>
        <v>43733</v>
      </c>
      <c r="I904" s="20">
        <f ca="1">_xll.meDateFromTenor(H904,"3M","Following",$I$11,"Normal")</f>
        <v>43826</v>
      </c>
      <c r="J904" s="150">
        <f ca="1"/>
        <v>1.6234270017902636E-2</v>
      </c>
      <c r="K904" s="7" t="s">
        <v>4</v>
      </c>
      <c r="L904" s="149" t="e">
        <f ca="1">_xll.meDateFromTenor(L903,"1D","FOLLOWING",#REF!,"NORMAL")</f>
        <v>#VALUE!</v>
      </c>
      <c r="M904" s="155">
        <f ca="1">_xll.meDateYearFraction(C904,D904,$M$11)</f>
        <v>2.7777777777777779E-3</v>
      </c>
      <c r="N904" s="150">
        <f ca="1"/>
        <v>-2.4300000000065936E-3</v>
      </c>
      <c r="O904" s="7" t="s">
        <v>4</v>
      </c>
      <c r="P904" s="149">
        <f t="shared" ca="1" si="27"/>
        <v>43733</v>
      </c>
      <c r="Q904" s="155">
        <f ca="1">_xll.meDateYearFraction(H904,I904,$Q$11,TRUE)</f>
        <v>0.25833333333333336</v>
      </c>
      <c r="R904" s="150">
        <f ca="1">IF(NOW(),_xll.meCurveForwardRatesFromYearFraction(P904,Q904,$Q$11,$Q$9,$Q$10))</f>
        <v>-3.7175485397107962E-3</v>
      </c>
      <c r="S904" s="134" t="s">
        <v>4</v>
      </c>
    </row>
    <row r="905" spans="1:19" x14ac:dyDescent="0.25">
      <c r="A905" s="128">
        <v>889</v>
      </c>
      <c r="B905" s="133"/>
      <c r="C905" s="149">
        <f ca="1">_xll.meDateFromTenor(C904,"1D","FOLLOWING",$D$11,"NORMAL")</f>
        <v>43734</v>
      </c>
      <c r="D905" s="20">
        <f ca="1">_xll.meDateFromTenor(C905,"1D","Following",$D$11,"Normal")</f>
        <v>43735</v>
      </c>
      <c r="E905" s="99">
        <f ca="1"/>
        <v>1.2157480840526745E-2</v>
      </c>
      <c r="F905" s="161">
        <f ca="1">_xll.meCurveForwardRates(C905,$D$9,$D$10)</f>
        <v>1.22314756211932E-2</v>
      </c>
      <c r="G905" s="7" t="s">
        <v>4</v>
      </c>
      <c r="H905" s="149">
        <f t="shared" ca="1" si="26"/>
        <v>43734</v>
      </c>
      <c r="I905" s="20">
        <f ca="1">_xll.meDateFromTenor(H905,"3M","Following",$I$11,"Normal")</f>
        <v>43826</v>
      </c>
      <c r="J905" s="150">
        <f ca="1"/>
        <v>1.6241087160420407E-2</v>
      </c>
      <c r="K905" s="7" t="s">
        <v>4</v>
      </c>
      <c r="L905" s="149" t="e">
        <f ca="1">_xll.meDateFromTenor(L904,"1D","FOLLOWING",#REF!,"NORMAL")</f>
        <v>#VALUE!</v>
      </c>
      <c r="M905" s="155">
        <f ca="1">_xll.meDateYearFraction(C905,D905,$M$11)</f>
        <v>2.7777777777777779E-3</v>
      </c>
      <c r="N905" s="150">
        <f ca="1"/>
        <v>-2.4300000000065936E-3</v>
      </c>
      <c r="O905" s="7" t="s">
        <v>4</v>
      </c>
      <c r="P905" s="149">
        <f t="shared" ca="1" si="27"/>
        <v>43734</v>
      </c>
      <c r="Q905" s="155">
        <f ca="1">_xll.meDateYearFraction(H905,I905,$Q$11,TRUE)</f>
        <v>0.25555555555555554</v>
      </c>
      <c r="R905" s="150">
        <f ca="1">IF(NOW(),_xll.meCurveForwardRatesFromYearFraction(P905,Q905,$Q$11,$Q$9,$Q$10))</f>
        <v>-8.4617211302590457E-4</v>
      </c>
      <c r="S905" s="134" t="s">
        <v>4</v>
      </c>
    </row>
    <row r="906" spans="1:19" x14ac:dyDescent="0.25">
      <c r="A906" s="128">
        <v>890</v>
      </c>
      <c r="B906" s="133"/>
      <c r="C906" s="149">
        <f ca="1">_xll.meDateFromTenor(C905,"1D","FOLLOWING",$D$11,"NORMAL")</f>
        <v>43735</v>
      </c>
      <c r="D906" s="20">
        <f ca="1">_xll.meDateFromTenor(C906,"1D","Following",$D$11,"Normal")</f>
        <v>43738</v>
      </c>
      <c r="E906" s="99">
        <f ca="1"/>
        <v>1.2169870746960897E-2</v>
      </c>
      <c r="F906" s="161">
        <f ca="1">_xll.meCurveForwardRates(C906,$D$9,$D$10)</f>
        <v>1.2237540872605868E-2</v>
      </c>
      <c r="G906" s="7" t="s">
        <v>4</v>
      </c>
      <c r="H906" s="149">
        <f t="shared" ca="1" si="26"/>
        <v>43735</v>
      </c>
      <c r="I906" s="20">
        <f ca="1">_xll.meDateFromTenor(H906,"3M","Following",$I$11,"Normal")</f>
        <v>43826</v>
      </c>
      <c r="J906" s="150">
        <f ca="1"/>
        <v>1.6247888844925437E-2</v>
      </c>
      <c r="K906" s="7" t="s">
        <v>4</v>
      </c>
      <c r="L906" s="149" t="e">
        <f ca="1">_xll.meDateFromTenor(L905,"1D","FOLLOWING",#REF!,"NORMAL")</f>
        <v>#VALUE!</v>
      </c>
      <c r="M906" s="155">
        <f ca="1">_xll.meDateYearFraction(C906,D906,$M$11)</f>
        <v>8.3333333333333332E-3</v>
      </c>
      <c r="N906" s="150">
        <f ca="1"/>
        <v>-2.4300000000065936E-3</v>
      </c>
      <c r="O906" s="7" t="s">
        <v>4</v>
      </c>
      <c r="P906" s="149">
        <f t="shared" ca="1" si="27"/>
        <v>43735</v>
      </c>
      <c r="Q906" s="155">
        <f ca="1">_xll.meDateYearFraction(H906,I906,$Q$11,TRUE)</f>
        <v>0.25277777777777777</v>
      </c>
      <c r="R906" s="150">
        <f ca="1">IF(NOW(),_xll.meCurveForwardRatesFromYearFraction(P906,Q906,$Q$11,$Q$9,$Q$10))</f>
        <v>-3.7175485397107962E-3</v>
      </c>
      <c r="S906" s="134" t="s">
        <v>4</v>
      </c>
    </row>
    <row r="907" spans="1:19" x14ac:dyDescent="0.25">
      <c r="A907" s="128">
        <v>891</v>
      </c>
      <c r="B907" s="133"/>
      <c r="C907" s="149">
        <f ca="1">_xll.meDateFromTenor(C906,"1D","FOLLOWING",$D$11,"NORMAL")</f>
        <v>43738</v>
      </c>
      <c r="D907" s="20">
        <f ca="1">_xll.meDateFromTenor(C907,"1D","Following",$D$11,"Normal")</f>
        <v>43739</v>
      </c>
      <c r="E907" s="99">
        <f ca="1"/>
        <v>1.2181423474721996E-2</v>
      </c>
      <c r="F907" s="161">
        <f ca="1">_xll.meCurveForwardRates(C907,$D$9,$D$10)</f>
        <v>1.225571058001873E-2</v>
      </c>
      <c r="G907" s="7" t="s">
        <v>4</v>
      </c>
      <c r="H907" s="149">
        <f t="shared" ca="1" si="26"/>
        <v>43738</v>
      </c>
      <c r="I907" s="20">
        <f ca="1">_xll.meDateFromTenor(H907,"3M","Following",$I$11,"Normal")</f>
        <v>43829</v>
      </c>
      <c r="J907" s="150">
        <f ca="1"/>
        <v>1.6268203521779649E-2</v>
      </c>
      <c r="K907" s="7" t="s">
        <v>4</v>
      </c>
      <c r="L907" s="149" t="e">
        <f ca="1">_xll.meDateFromTenor(L906,"1D","FOLLOWING",#REF!,"NORMAL")</f>
        <v>#VALUE!</v>
      </c>
      <c r="M907" s="155">
        <f ca="1">_xll.meDateYearFraction(C907,D907,$M$11)</f>
        <v>2.7777777777777779E-3</v>
      </c>
      <c r="N907" s="150">
        <f ca="1"/>
        <v>-2.4300000000065936E-3</v>
      </c>
      <c r="O907" s="7" t="s">
        <v>4</v>
      </c>
      <c r="P907" s="149">
        <f t="shared" ca="1" si="27"/>
        <v>43738</v>
      </c>
      <c r="Q907" s="155">
        <f ca="1">_xll.meDateYearFraction(H907,I907,$Q$11,TRUE)</f>
        <v>0.25277777777777777</v>
      </c>
      <c r="R907" s="150">
        <f ca="1">IF(NOW(),_xll.meCurveForwardRatesFromYearFraction(P907,Q907,$Q$11,$Q$9,$Q$10))</f>
        <v>-3.7175485397107962E-3</v>
      </c>
      <c r="S907" s="134" t="s">
        <v>4</v>
      </c>
    </row>
    <row r="908" spans="1:19" x14ac:dyDescent="0.25">
      <c r="A908" s="128">
        <v>892</v>
      </c>
      <c r="B908" s="133"/>
      <c r="C908" s="149">
        <f ca="1">_xll.meDateFromTenor(C907,"1D","FOLLOWING",$D$11,"NORMAL")</f>
        <v>43739</v>
      </c>
      <c r="D908" s="20">
        <f ca="1">_xll.meDateFromTenor(C908,"1D","Following",$D$11,"Normal")</f>
        <v>43740</v>
      </c>
      <c r="E908" s="99">
        <f ca="1"/>
        <v>1.2187398320939779E-2</v>
      </c>
      <c r="F908" s="161">
        <f ca="1">_xll.meCurveForwardRates(C908,$D$9,$D$10)</f>
        <v>1.226175846559574E-2</v>
      </c>
      <c r="G908" s="7" t="s">
        <v>4</v>
      </c>
      <c r="H908" s="149">
        <f t="shared" ca="1" si="26"/>
        <v>43739</v>
      </c>
      <c r="I908" s="20">
        <f ca="1">_xll.meDateFromTenor(H908,"3M","Following",$I$11,"Normal")</f>
        <v>43832</v>
      </c>
      <c r="J908" s="150">
        <f ca="1"/>
        <v>1.6274945745649298E-2</v>
      </c>
      <c r="K908" s="7" t="s">
        <v>4</v>
      </c>
      <c r="L908" s="149" t="e">
        <f ca="1">_xll.meDateFromTenor(L907,"1D","FOLLOWING",#REF!,"NORMAL")</f>
        <v>#VALUE!</v>
      </c>
      <c r="M908" s="155">
        <f ca="1">_xll.meDateYearFraction(C908,D908,$M$11)</f>
        <v>2.7777777777777779E-3</v>
      </c>
      <c r="N908" s="150">
        <f ca="1"/>
        <v>-2.4300000000065936E-3</v>
      </c>
      <c r="O908" s="7" t="s">
        <v>4</v>
      </c>
      <c r="P908" s="149">
        <f t="shared" ca="1" si="27"/>
        <v>43739</v>
      </c>
      <c r="Q908" s="155">
        <f ca="1">_xll.meDateYearFraction(H908,I908,$Q$11,TRUE)</f>
        <v>0.25833333333333336</v>
      </c>
      <c r="R908" s="150">
        <f ca="1">IF(NOW(),_xll.meCurveForwardRatesFromYearFraction(P908,Q908,$Q$11,$Q$9,$Q$10))</f>
        <v>-3.7175485397107962E-3</v>
      </c>
      <c r="S908" s="134" t="s">
        <v>4</v>
      </c>
    </row>
    <row r="909" spans="1:19" x14ac:dyDescent="0.25">
      <c r="A909" s="128">
        <v>893</v>
      </c>
      <c r="B909" s="133"/>
      <c r="C909" s="149">
        <f ca="1">_xll.meDateFromTenor(C908,"1D","FOLLOWING",$D$11,"NORMAL")</f>
        <v>43740</v>
      </c>
      <c r="D909" s="20">
        <f ca="1">_xll.meDateFromTenor(C909,"1D","Following",$D$11,"Normal")</f>
        <v>43741</v>
      </c>
      <c r="E909" s="99">
        <f ca="1"/>
        <v>1.219336884149773E-2</v>
      </c>
      <c r="F909" s="161">
        <f ca="1">_xll.meCurveForwardRates(C909,$D$9,$D$10)</f>
        <v>1.226780200862887E-2</v>
      </c>
      <c r="G909" s="7" t="s">
        <v>4</v>
      </c>
      <c r="H909" s="149">
        <f t="shared" ca="1" si="26"/>
        <v>43740</v>
      </c>
      <c r="I909" s="20">
        <f ca="1">_xll.meDateFromTenor(H909,"3M","Following",$I$11,"Normal")</f>
        <v>43832</v>
      </c>
      <c r="J909" s="150">
        <f ca="1"/>
        <v>1.6281673697214005E-2</v>
      </c>
      <c r="K909" s="7" t="s">
        <v>4</v>
      </c>
      <c r="L909" s="149" t="e">
        <f ca="1">_xll.meDateFromTenor(L908,"1D","FOLLOWING",#REF!,"NORMAL")</f>
        <v>#VALUE!</v>
      </c>
      <c r="M909" s="155">
        <f ca="1">_xll.meDateYearFraction(C909,D909,$M$11)</f>
        <v>2.7777777777777779E-3</v>
      </c>
      <c r="N909" s="150">
        <f ca="1"/>
        <v>-2.4300000000065936E-3</v>
      </c>
      <c r="O909" s="7" t="s">
        <v>4</v>
      </c>
      <c r="P909" s="149">
        <f t="shared" ca="1" si="27"/>
        <v>43740</v>
      </c>
      <c r="Q909" s="155">
        <f ca="1">_xll.meDateYearFraction(H909,I909,$Q$11,TRUE)</f>
        <v>0.25555555555555554</v>
      </c>
      <c r="R909" s="150">
        <f ca="1">IF(NOW(),_xll.meCurveForwardRatesFromYearFraction(P909,Q909,$Q$11,$Q$9,$Q$10))</f>
        <v>-8.0381242745195035E-4</v>
      </c>
      <c r="S909" s="134" t="s">
        <v>4</v>
      </c>
    </row>
    <row r="910" spans="1:19" x14ac:dyDescent="0.25">
      <c r="A910" s="128">
        <v>894</v>
      </c>
      <c r="B910" s="133"/>
      <c r="C910" s="149">
        <f ca="1">_xll.meDateFromTenor(C909,"1D","FOLLOWING",$D$11,"NORMAL")</f>
        <v>43741</v>
      </c>
      <c r="D910" s="20">
        <f ca="1">_xll.meDateFromTenor(C910,"1D","Following",$D$11,"Normal")</f>
        <v>43742</v>
      </c>
      <c r="E910" s="99">
        <f ca="1"/>
        <v>1.2199335036315916E-2</v>
      </c>
      <c r="F910" s="161">
        <f ca="1">_xll.meCurveForwardRates(C910,$D$9,$D$10)</f>
        <v>1.2273841208958691E-2</v>
      </c>
      <c r="G910" s="7" t="s">
        <v>4</v>
      </c>
      <c r="H910" s="149">
        <f t="shared" ca="1" si="26"/>
        <v>43741</v>
      </c>
      <c r="I910" s="20">
        <f ca="1">_xll.meDateFromTenor(H910,"3M","Following",$I$11,"Normal")</f>
        <v>43833</v>
      </c>
      <c r="J910" s="150">
        <f ca="1"/>
        <v>1.6288387613615334E-2</v>
      </c>
      <c r="K910" s="7" t="s">
        <v>4</v>
      </c>
      <c r="L910" s="149" t="e">
        <f ca="1">_xll.meDateFromTenor(L909,"1D","FOLLOWING",#REF!,"NORMAL")</f>
        <v>#VALUE!</v>
      </c>
      <c r="M910" s="155">
        <f ca="1">_xll.meDateYearFraction(C910,D910,$M$11)</f>
        <v>2.7777777777777779E-3</v>
      </c>
      <c r="N910" s="150">
        <f ca="1"/>
        <v>-2.4300000000065936E-3</v>
      </c>
      <c r="O910" s="7" t="s">
        <v>4</v>
      </c>
      <c r="P910" s="149">
        <f t="shared" ca="1" si="27"/>
        <v>43741</v>
      </c>
      <c r="Q910" s="155">
        <f ca="1">_xll.meDateYearFraction(H910,I910,$Q$11,TRUE)</f>
        <v>0.25555555555555554</v>
      </c>
      <c r="R910" s="150">
        <f ca="1">IF(NOW(),_xll.meCurveForwardRatesFromYearFraction(P910,Q910,$Q$11,$Q$9,$Q$10))</f>
        <v>-3.7175485397107962E-3</v>
      </c>
      <c r="S910" s="134" t="s">
        <v>4</v>
      </c>
    </row>
    <row r="911" spans="1:19" x14ac:dyDescent="0.25">
      <c r="A911" s="128">
        <v>895</v>
      </c>
      <c r="B911" s="133"/>
      <c r="C911" s="149">
        <f ca="1">_xll.meDateFromTenor(C910,"1D","FOLLOWING",$D$11,"NORMAL")</f>
        <v>43742</v>
      </c>
      <c r="D911" s="20">
        <f ca="1">_xll.meDateFromTenor(C911,"1D","Following",$D$11,"Normal")</f>
        <v>43745</v>
      </c>
      <c r="E911" s="99">
        <f ca="1"/>
        <v>1.221166721644633E-2</v>
      </c>
      <c r="F911" s="161">
        <f ca="1">_xll.meCurveForwardRates(C911,$D$9,$D$10)</f>
        <v>1.2279876065860229E-2</v>
      </c>
      <c r="G911" s="7" t="s">
        <v>4</v>
      </c>
      <c r="H911" s="149">
        <f t="shared" ca="1" si="26"/>
        <v>43742</v>
      </c>
      <c r="I911" s="20">
        <f ca="1">_xll.meDateFromTenor(H911,"3M","Following",$I$11,"Normal")</f>
        <v>43836</v>
      </c>
      <c r="J911" s="150">
        <f ca="1"/>
        <v>1.629508773199484E-2</v>
      </c>
      <c r="K911" s="7" t="s">
        <v>4</v>
      </c>
      <c r="L911" s="149" t="e">
        <f ca="1">_xll.meDateFromTenor(L910,"1D","FOLLOWING",#REF!,"NORMAL")</f>
        <v>#VALUE!</v>
      </c>
      <c r="M911" s="155">
        <f ca="1">_xll.meDateYearFraction(C911,D911,$M$11)</f>
        <v>8.3333333333333332E-3</v>
      </c>
      <c r="N911" s="150">
        <f ca="1"/>
        <v>-2.4300000000065936E-3</v>
      </c>
      <c r="O911" s="7" t="s">
        <v>4</v>
      </c>
      <c r="P911" s="149">
        <f t="shared" ca="1" si="27"/>
        <v>43742</v>
      </c>
      <c r="Q911" s="155">
        <f ca="1">_xll.meDateYearFraction(H911,I911,$Q$11,TRUE)</f>
        <v>0.26111111111111113</v>
      </c>
      <c r="R911" s="150">
        <f ca="1">IF(NOW(),_xll.meCurveForwardRatesFromYearFraction(P911,Q911,$Q$11,$Q$9,$Q$10))</f>
        <v>-3.7175485397107962E-3</v>
      </c>
      <c r="S911" s="134" t="s">
        <v>4</v>
      </c>
    </row>
    <row r="912" spans="1:19" x14ac:dyDescent="0.25">
      <c r="A912" s="128">
        <v>896</v>
      </c>
      <c r="B912" s="133"/>
      <c r="C912" s="149">
        <f ca="1">_xll.meDateFromTenor(C911,"1D","FOLLOWING",$D$11,"NORMAL")</f>
        <v>43745</v>
      </c>
      <c r="D912" s="20">
        <f ca="1">_xll.meDateFromTenor(C912,"1D","Following",$D$11,"Normal")</f>
        <v>43746</v>
      </c>
      <c r="E912" s="99">
        <f ca="1"/>
        <v>1.2223156549318092E-2</v>
      </c>
      <c r="F912" s="161">
        <f ca="1">_xll.meCurveForwardRates(C912,$D$9,$D$10)</f>
        <v>1.229795457270777E-2</v>
      </c>
      <c r="G912" s="7" t="s">
        <v>4</v>
      </c>
      <c r="H912" s="149">
        <f t="shared" ca="1" si="26"/>
        <v>43745</v>
      </c>
      <c r="I912" s="20">
        <f ca="1">_xll.meDateFromTenor(H912,"3M","Following",$I$11,"Normal")</f>
        <v>43837</v>
      </c>
      <c r="J912" s="150">
        <f ca="1"/>
        <v>1.6315107670418043E-2</v>
      </c>
      <c r="K912" s="7" t="s">
        <v>4</v>
      </c>
      <c r="L912" s="149" t="e">
        <f ca="1">_xll.meDateFromTenor(L911,"1D","FOLLOWING",#REF!,"NORMAL")</f>
        <v>#VALUE!</v>
      </c>
      <c r="M912" s="155">
        <f ca="1">_xll.meDateYearFraction(C912,D912,$M$11)</f>
        <v>2.7777777777777779E-3</v>
      </c>
      <c r="N912" s="150">
        <f ca="1"/>
        <v>-2.4300000000065936E-3</v>
      </c>
      <c r="O912" s="7" t="s">
        <v>4</v>
      </c>
      <c r="P912" s="149">
        <f t="shared" ca="1" si="27"/>
        <v>43745</v>
      </c>
      <c r="Q912" s="155">
        <f ca="1">_xll.meDateYearFraction(H912,I912,$Q$11,TRUE)</f>
        <v>0.25555555555555554</v>
      </c>
      <c r="R912" s="150">
        <f ca="1">IF(NOW(),_xll.meCurveForwardRatesFromYearFraction(P912,Q912,$Q$11,$Q$9,$Q$10))</f>
        <v>-3.7175485397107962E-3</v>
      </c>
      <c r="S912" s="134" t="s">
        <v>4</v>
      </c>
    </row>
    <row r="913" spans="1:19" x14ac:dyDescent="0.25">
      <c r="A913" s="128">
        <v>897</v>
      </c>
      <c r="B913" s="133"/>
      <c r="C913" s="149">
        <f ca="1">_xll.meDateFromTenor(C912,"1D","FOLLOWING",$D$11,"NORMAL")</f>
        <v>43746</v>
      </c>
      <c r="D913" s="20">
        <f ca="1">_xll.meDateFromTenor(C913,"1D","Following",$D$11,"Normal")</f>
        <v>43747</v>
      </c>
      <c r="E913" s="99">
        <f ca="1"/>
        <v>1.2229101109440286E-2</v>
      </c>
      <c r="F913" s="161">
        <f ca="1">_xll.meCurveForwardRates(C913,$D$9,$D$10)</f>
        <v>1.2303972052283285E-2</v>
      </c>
      <c r="G913" s="7" t="s">
        <v>4</v>
      </c>
      <c r="H913" s="149">
        <f t="shared" ref="H913:H976" ca="1" si="28">$C913</f>
        <v>43746</v>
      </c>
      <c r="I913" s="20">
        <f ca="1">_xll.meDateFromTenor(H913,"3M","Following",$I$11,"Normal")</f>
        <v>43838</v>
      </c>
      <c r="J913" s="150">
        <f ca="1"/>
        <v>1.6321754968125875E-2</v>
      </c>
      <c r="K913" s="7" t="s">
        <v>4</v>
      </c>
      <c r="L913" s="149" t="e">
        <f ca="1">_xll.meDateFromTenor(L912,"1D","FOLLOWING",#REF!,"NORMAL")</f>
        <v>#VALUE!</v>
      </c>
      <c r="M913" s="155">
        <f ca="1">_xll.meDateYearFraction(C913,D913,$M$11)</f>
        <v>2.7777777777777779E-3</v>
      </c>
      <c r="N913" s="150">
        <f ca="1"/>
        <v>-2.4300000000065936E-3</v>
      </c>
      <c r="O913" s="7" t="s">
        <v>4</v>
      </c>
      <c r="P913" s="149">
        <f t="shared" ref="P913:P976" ca="1" si="29">$C913</f>
        <v>43746</v>
      </c>
      <c r="Q913" s="155">
        <f ca="1">_xll.meDateYearFraction(H913,I913,$Q$11,TRUE)</f>
        <v>0.25555555555555554</v>
      </c>
      <c r="R913" s="150">
        <f ca="1">IF(NOW(),_xll.meCurveForwardRatesFromYearFraction(P913,Q913,$Q$11,$Q$9,$Q$10))</f>
        <v>-7.6116073005442835E-4</v>
      </c>
      <c r="S913" s="134" t="s">
        <v>4</v>
      </c>
    </row>
    <row r="914" spans="1:19" x14ac:dyDescent="0.25">
      <c r="A914" s="128">
        <v>898</v>
      </c>
      <c r="B914" s="133"/>
      <c r="C914" s="149">
        <f ca="1">_xll.meDateFromTenor(C913,"1D","FOLLOWING",$D$11,"NORMAL")</f>
        <v>43747</v>
      </c>
      <c r="D914" s="20">
        <f ca="1">_xll.meDateFromTenor(C914,"1D","Following",$D$11,"Normal")</f>
        <v>43748</v>
      </c>
      <c r="E914" s="99">
        <f ca="1"/>
        <v>1.2235041341748286E-2</v>
      </c>
      <c r="F914" s="161">
        <f ca="1">_xll.meCurveForwardRates(C914,$D$9,$D$10)</f>
        <v>1.2309985186589323E-2</v>
      </c>
      <c r="G914" s="7" t="s">
        <v>4</v>
      </c>
      <c r="H914" s="149">
        <f t="shared" ca="1" si="28"/>
        <v>43747</v>
      </c>
      <c r="I914" s="20">
        <f ca="1">_xll.meDateFromTenor(H914,"3M","Following",$I$11,"Normal")</f>
        <v>43839</v>
      </c>
      <c r="J914" s="150">
        <f ca="1"/>
        <v>1.6328389653519688E-2</v>
      </c>
      <c r="K914" s="7" t="s">
        <v>4</v>
      </c>
      <c r="L914" s="149" t="e">
        <f ca="1">_xll.meDateFromTenor(L913,"1D","FOLLOWING",#REF!,"NORMAL")</f>
        <v>#VALUE!</v>
      </c>
      <c r="M914" s="155">
        <f ca="1">_xll.meDateYearFraction(C914,D914,$M$11)</f>
        <v>2.7777777777777779E-3</v>
      </c>
      <c r="N914" s="150">
        <f ca="1"/>
        <v>-2.4300000000065936E-3</v>
      </c>
      <c r="O914" s="7" t="s">
        <v>4</v>
      </c>
      <c r="P914" s="149">
        <f t="shared" ca="1" si="29"/>
        <v>43747</v>
      </c>
      <c r="Q914" s="155">
        <f ca="1">_xll.meDateYearFraction(H914,I914,$Q$11,TRUE)</f>
        <v>0.25555555555555554</v>
      </c>
      <c r="R914" s="150">
        <f ca="1">IF(NOW(),_xll.meCurveForwardRatesFromYearFraction(P914,Q914,$Q$11,$Q$9,$Q$10))</f>
        <v>-3.7175485397107962E-3</v>
      </c>
      <c r="S914" s="134" t="s">
        <v>4</v>
      </c>
    </row>
    <row r="915" spans="1:19" x14ac:dyDescent="0.25">
      <c r="A915" s="128">
        <v>899</v>
      </c>
      <c r="B915" s="133"/>
      <c r="C915" s="149">
        <f ca="1">_xll.meDateFromTenor(C914,"1D","FOLLOWING",$D$11,"NORMAL")</f>
        <v>43748</v>
      </c>
      <c r="D915" s="20">
        <f ca="1">_xll.meDateFromTenor(C915,"1D","Following",$D$11,"Normal")</f>
        <v>43749</v>
      </c>
      <c r="E915" s="99">
        <f ca="1"/>
        <v>1.2240977245756611E-2</v>
      </c>
      <c r="F915" s="161">
        <f ca="1">_xll.meCurveForwardRates(C915,$D$9,$D$10)</f>
        <v>1.2315993975056116E-2</v>
      </c>
      <c r="G915" s="7" t="s">
        <v>4</v>
      </c>
      <c r="H915" s="149">
        <f t="shared" ca="1" si="28"/>
        <v>43748</v>
      </c>
      <c r="I915" s="20">
        <f ca="1">_xll.meDateFromTenor(H915,"3M","Following",$I$11,"Normal")</f>
        <v>43840</v>
      </c>
      <c r="J915" s="150">
        <f ca="1"/>
        <v>1.6335011963741049E-2</v>
      </c>
      <c r="K915" s="7" t="s">
        <v>4</v>
      </c>
      <c r="L915" s="149" t="e">
        <f ca="1">_xll.meDateFromTenor(L914,"1D","FOLLOWING",#REF!,"NORMAL")</f>
        <v>#VALUE!</v>
      </c>
      <c r="M915" s="155">
        <f ca="1">_xll.meDateYearFraction(C915,D915,$M$11)</f>
        <v>2.7777777777777779E-3</v>
      </c>
      <c r="N915" s="150">
        <f ca="1"/>
        <v>-2.4300000000065936E-3</v>
      </c>
      <c r="O915" s="7" t="s">
        <v>4</v>
      </c>
      <c r="P915" s="149">
        <f t="shared" ca="1" si="29"/>
        <v>43748</v>
      </c>
      <c r="Q915" s="155">
        <f ca="1">_xll.meDateYearFraction(H915,I915,$Q$11,TRUE)</f>
        <v>0.25555555555555554</v>
      </c>
      <c r="R915" s="150">
        <f ca="1">IF(NOW(),_xll.meCurveForwardRatesFromYearFraction(P915,Q915,$Q$11,$Q$9,$Q$10))</f>
        <v>-3.7175485397107962E-3</v>
      </c>
      <c r="S915" s="134" t="s">
        <v>4</v>
      </c>
    </row>
    <row r="916" spans="1:19" x14ac:dyDescent="0.25">
      <c r="A916" s="128">
        <v>900</v>
      </c>
      <c r="B916" s="133"/>
      <c r="C916" s="149">
        <f ca="1">_xll.meDateFromTenor(C915,"1D","FOLLOWING",$D$11,"NORMAL")</f>
        <v>43749</v>
      </c>
      <c r="D916" s="20">
        <f ca="1">_xll.meDateFromTenor(C916,"1D","Following",$D$11,"Normal")</f>
        <v>43753</v>
      </c>
      <c r="E916" s="99">
        <f ca="1"/>
        <v>1.2256421227889768E-2</v>
      </c>
      <c r="F916" s="161">
        <f ca="1">_xll.meCurveForwardRates(C916,$D$9,$D$10)</f>
        <v>1.2321998417284874E-2</v>
      </c>
      <c r="G916" s="7" t="s">
        <v>4</v>
      </c>
      <c r="H916" s="149">
        <f t="shared" ca="1" si="28"/>
        <v>43749</v>
      </c>
      <c r="I916" s="20">
        <f ca="1">_xll.meDateFromTenor(H916,"3M","Following",$I$11,"Normal")</f>
        <v>43843</v>
      </c>
      <c r="J916" s="150">
        <f ca="1"/>
        <v>1.6341622135931513E-2</v>
      </c>
      <c r="K916" s="7" t="s">
        <v>4</v>
      </c>
      <c r="L916" s="149" t="e">
        <f ca="1">_xll.meDateFromTenor(L915,"1D","FOLLOWING",#REF!,"NORMAL")</f>
        <v>#VALUE!</v>
      </c>
      <c r="M916" s="155">
        <f ca="1">_xll.meDateYearFraction(C916,D916,$M$11)</f>
        <v>1.1111111111111112E-2</v>
      </c>
      <c r="N916" s="150">
        <f ca="1"/>
        <v>-2.4300000000065936E-3</v>
      </c>
      <c r="O916" s="7" t="s">
        <v>4</v>
      </c>
      <c r="P916" s="149">
        <f t="shared" ca="1" si="29"/>
        <v>43749</v>
      </c>
      <c r="Q916" s="155">
        <f ca="1">_xll.meDateYearFraction(H916,I916,$Q$11,TRUE)</f>
        <v>0.26111111111111113</v>
      </c>
      <c r="R916" s="150">
        <f ca="1">IF(NOW(),_xll.meCurveForwardRatesFromYearFraction(P916,Q916,$Q$11,$Q$9,$Q$10))</f>
        <v>-3.7175485397107962E-3</v>
      </c>
      <c r="S916" s="134" t="s">
        <v>4</v>
      </c>
    </row>
    <row r="917" spans="1:19" x14ac:dyDescent="0.25">
      <c r="A917" s="128">
        <v>901</v>
      </c>
      <c r="B917" s="133"/>
      <c r="C917" s="149">
        <f ca="1">_xll.meDateFromTenor(C916,"1D","FOLLOWING",$D$11,"NORMAL")</f>
        <v>43753</v>
      </c>
      <c r="D917" s="20">
        <f ca="1">_xll.meDateFromTenor(C917,"1D","Following",$D$11,"Normal")</f>
        <v>43754</v>
      </c>
      <c r="E917" s="99">
        <f ca="1"/>
        <v>1.2270591830301257E-2</v>
      </c>
      <c r="F917" s="161">
        <f ca="1">_xll.meCurveForwardRates(C917,$D$9,$D$10)</f>
        <v>1.2345972715955833E-2</v>
      </c>
      <c r="G917" s="7" t="s">
        <v>4</v>
      </c>
      <c r="H917" s="149">
        <f t="shared" ca="1" si="28"/>
        <v>43753</v>
      </c>
      <c r="I917" s="20">
        <f ca="1">_xll.meDateFromTenor(H917,"3M","Following",$I$11,"Normal")</f>
        <v>43845</v>
      </c>
      <c r="J917" s="150">
        <f ca="1"/>
        <v>1.6367946187215633E-2</v>
      </c>
      <c r="K917" s="7" t="s">
        <v>4</v>
      </c>
      <c r="L917" s="149" t="e">
        <f ca="1">_xll.meDateFromTenor(L916,"1D","FOLLOWING",#REF!,"NORMAL")</f>
        <v>#VALUE!</v>
      </c>
      <c r="M917" s="155">
        <f ca="1">_xll.meDateYearFraction(C917,D917,$M$11)</f>
        <v>2.7777777777777779E-3</v>
      </c>
      <c r="N917" s="150">
        <f ca="1"/>
        <v>-2.4300000000065936E-3</v>
      </c>
      <c r="O917" s="7" t="s">
        <v>4</v>
      </c>
      <c r="P917" s="149">
        <f t="shared" ca="1" si="29"/>
        <v>43753</v>
      </c>
      <c r="Q917" s="155">
        <f ca="1">_xll.meDateYearFraction(H917,I917,$Q$11,TRUE)</f>
        <v>0.25555555555555554</v>
      </c>
      <c r="R917" s="150">
        <f ca="1">IF(NOW(),_xll.meCurveForwardRatesFromYearFraction(P917,Q917,$Q$11,$Q$9,$Q$10))</f>
        <v>-7.1121221188605115E-4</v>
      </c>
      <c r="S917" s="134" t="s">
        <v>4</v>
      </c>
    </row>
    <row r="918" spans="1:19" x14ac:dyDescent="0.25">
      <c r="A918" s="128">
        <v>902</v>
      </c>
      <c r="B918" s="133"/>
      <c r="C918" s="149">
        <f ca="1">_xll.meDateFromTenor(C917,"1D","FOLLOWING",$D$11,"NORMAL")</f>
        <v>43754</v>
      </c>
      <c r="D918" s="20">
        <f ca="1">_xll.meDateFromTenor(C918,"1D","Following",$D$11,"Normal")</f>
        <v>43755</v>
      </c>
      <c r="E918" s="99">
        <f ca="1"/>
        <v>1.2276501757728696E-2</v>
      </c>
      <c r="F918" s="161">
        <f ca="1">_xll.meCurveForwardRates(C918,$D$9,$D$10)</f>
        <v>1.2351955420895289E-2</v>
      </c>
      <c r="G918" s="7" t="s">
        <v>4</v>
      </c>
      <c r="H918" s="149">
        <f t="shared" ca="1" si="28"/>
        <v>43754</v>
      </c>
      <c r="I918" s="20">
        <f ca="1">_xll.meDateFromTenor(H918,"3M","Following",$I$11,"Normal")</f>
        <v>43846</v>
      </c>
      <c r="J918" s="150">
        <f ca="1"/>
        <v>1.6374499226375031E-2</v>
      </c>
      <c r="K918" s="7" t="s">
        <v>4</v>
      </c>
      <c r="L918" s="149" t="e">
        <f ca="1">_xll.meDateFromTenor(L917,"1D","FOLLOWING",#REF!,"NORMAL")</f>
        <v>#VALUE!</v>
      </c>
      <c r="M918" s="155">
        <f ca="1">_xll.meDateYearFraction(C918,D918,$M$11)</f>
        <v>2.7777777777777779E-3</v>
      </c>
      <c r="N918" s="150">
        <f ca="1"/>
        <v>-2.4300000000065936E-3</v>
      </c>
      <c r="O918" s="7" t="s">
        <v>4</v>
      </c>
      <c r="P918" s="149">
        <f t="shared" ca="1" si="29"/>
        <v>43754</v>
      </c>
      <c r="Q918" s="155">
        <f ca="1">_xll.meDateYearFraction(H918,I918,$Q$11,TRUE)</f>
        <v>0.25555555555555554</v>
      </c>
      <c r="R918" s="150">
        <f ca="1">IF(NOW(),_xll.meCurveForwardRatesFromYearFraction(P918,Q918,$Q$11,$Q$9,$Q$10))</f>
        <v>-3.7175485397107962E-3</v>
      </c>
      <c r="S918" s="134" t="s">
        <v>4</v>
      </c>
    </row>
    <row r="919" spans="1:19" x14ac:dyDescent="0.25">
      <c r="A919" s="128">
        <v>903</v>
      </c>
      <c r="B919" s="133"/>
      <c r="C919" s="149">
        <f ca="1">_xll.meDateFromTenor(C918,"1D","FOLLOWING",$D$11,"NORMAL")</f>
        <v>43755</v>
      </c>
      <c r="D919" s="20">
        <f ca="1">_xll.meDateFromTenor(C919,"1D","Following",$D$11,"Normal")</f>
        <v>43756</v>
      </c>
      <c r="E919" s="99">
        <f ca="1"/>
        <v>1.2282407354620205E-2</v>
      </c>
      <c r="F919" s="161">
        <f ca="1">_xll.meCurveForwardRates(C919,$D$9,$D$10)</f>
        <v>1.2357933777189745E-2</v>
      </c>
      <c r="G919" s="7" t="s">
        <v>4</v>
      </c>
      <c r="H919" s="149">
        <f t="shared" ca="1" si="28"/>
        <v>43755</v>
      </c>
      <c r="I919" s="20">
        <f ca="1">_xll.meDateFromTenor(H919,"3M","Following",$I$11,"Normal")</f>
        <v>43847</v>
      </c>
      <c r="J919" s="150">
        <f ca="1"/>
        <v>1.6381041550352898E-2</v>
      </c>
      <c r="K919" s="7" t="s">
        <v>4</v>
      </c>
      <c r="L919" s="149" t="e">
        <f ca="1">_xll.meDateFromTenor(L918,"1D","FOLLOWING",#REF!,"NORMAL")</f>
        <v>#VALUE!</v>
      </c>
      <c r="M919" s="155">
        <f ca="1">_xll.meDateYearFraction(C919,D919,$M$11)</f>
        <v>2.7777777777777779E-3</v>
      </c>
      <c r="N919" s="150">
        <f ca="1"/>
        <v>-2.4300000000065936E-3</v>
      </c>
      <c r="O919" s="7" t="s">
        <v>4</v>
      </c>
      <c r="P919" s="149">
        <f t="shared" ca="1" si="29"/>
        <v>43755</v>
      </c>
      <c r="Q919" s="155">
        <f ca="1">_xll.meDateYearFraction(H919,I919,$Q$11,TRUE)</f>
        <v>0.25555555555555554</v>
      </c>
      <c r="R919" s="150">
        <f ca="1">IF(NOW(),_xll.meCurveForwardRatesFromYearFraction(P919,Q919,$Q$11,$Q$9,$Q$10))</f>
        <v>-6.9693128703835275E-4</v>
      </c>
      <c r="S919" s="134" t="s">
        <v>4</v>
      </c>
    </row>
    <row r="920" spans="1:19" x14ac:dyDescent="0.25">
      <c r="A920" s="128">
        <v>904</v>
      </c>
      <c r="B920" s="133"/>
      <c r="C920" s="149">
        <f ca="1">_xll.meDateFromTenor(C919,"1D","FOLLOWING",$D$11,"NORMAL")</f>
        <v>43756</v>
      </c>
      <c r="D920" s="20">
        <f ca="1">_xll.meDateFromTenor(C920,"1D","Following",$D$11,"Normal")</f>
        <v>43759</v>
      </c>
      <c r="E920" s="99">
        <f ca="1"/>
        <v>1.2294623969966211E-2</v>
      </c>
      <c r="F920" s="161">
        <f ca="1">_xll.meCurveForwardRates(C920,$D$9,$D$10)</f>
        <v>1.2363907784195938E-2</v>
      </c>
      <c r="G920" s="7" t="s">
        <v>4</v>
      </c>
      <c r="H920" s="149">
        <f t="shared" ca="1" si="28"/>
        <v>43756</v>
      </c>
      <c r="I920" s="20">
        <f ca="1">_xll.meDateFromTenor(H920,"3M","Following",$I$11,"Normal")</f>
        <v>43851</v>
      </c>
      <c r="J920" s="150">
        <f ca="1"/>
        <v>1.6387573396290798E-2</v>
      </c>
      <c r="K920" s="7" t="s">
        <v>4</v>
      </c>
      <c r="L920" s="149" t="e">
        <f ca="1">_xll.meDateFromTenor(L919,"1D","FOLLOWING",#REF!,"NORMAL")</f>
        <v>#VALUE!</v>
      </c>
      <c r="M920" s="155">
        <f ca="1">_xll.meDateYearFraction(C920,D920,$M$11)</f>
        <v>8.3333333333333332E-3</v>
      </c>
      <c r="N920" s="150">
        <f ca="1"/>
        <v>-2.4300000000065936E-3</v>
      </c>
      <c r="O920" s="7" t="s">
        <v>4</v>
      </c>
      <c r="P920" s="149">
        <f t="shared" ca="1" si="29"/>
        <v>43756</v>
      </c>
      <c r="Q920" s="155">
        <f ca="1">_xll.meDateYearFraction(H920,I920,$Q$11,TRUE)</f>
        <v>0.2638888888888889</v>
      </c>
      <c r="R920" s="150">
        <f ca="1">IF(NOW(),_xll.meCurveForwardRatesFromYearFraction(P920,Q920,$Q$11,$Q$9,$Q$10))</f>
        <v>-6.8979082461450344E-4</v>
      </c>
      <c r="S920" s="134" t="s">
        <v>4</v>
      </c>
    </row>
    <row r="921" spans="1:19" x14ac:dyDescent="0.25">
      <c r="A921" s="128">
        <v>905</v>
      </c>
      <c r="B921" s="133"/>
      <c r="C921" s="149">
        <f ca="1">_xll.meDateFromTenor(C920,"1D","FOLLOWING",$D$11,"NORMAL")</f>
        <v>43759</v>
      </c>
      <c r="D921" s="20">
        <f ca="1">_xll.meDateFromTenor(C921,"1D","Following",$D$11,"Normal")</f>
        <v>43760</v>
      </c>
      <c r="E921" s="99">
        <f ca="1"/>
        <v>1.2305986428993209E-2</v>
      </c>
      <c r="F921" s="161">
        <f ca="1">_xll.meCurveForwardRates(C921,$D$9,$D$10)</f>
        <v>1.2381803706445593E-2</v>
      </c>
      <c r="G921" s="7" t="s">
        <v>4</v>
      </c>
      <c r="H921" s="149">
        <f t="shared" ca="1" si="28"/>
        <v>43759</v>
      </c>
      <c r="I921" s="20">
        <f ca="1">_xll.meDateFromTenor(H921,"3M","Following",$I$11,"Normal")</f>
        <v>43851</v>
      </c>
      <c r="J921" s="150">
        <f ca="1"/>
        <v>1.6407108437280282E-2</v>
      </c>
      <c r="K921" s="7" t="s">
        <v>4</v>
      </c>
      <c r="L921" s="149" t="e">
        <f ca="1">_xll.meDateFromTenor(L920,"1D","FOLLOWING",#REF!,"NORMAL")</f>
        <v>#VALUE!</v>
      </c>
      <c r="M921" s="155">
        <f ca="1">_xll.meDateYearFraction(C921,D921,$M$11)</f>
        <v>2.7777777777777779E-3</v>
      </c>
      <c r="N921" s="150">
        <f ca="1"/>
        <v>-2.4300000000065936E-3</v>
      </c>
      <c r="O921" s="7" t="s">
        <v>4</v>
      </c>
      <c r="P921" s="149">
        <f t="shared" ca="1" si="29"/>
        <v>43759</v>
      </c>
      <c r="Q921" s="155">
        <f ca="1">_xll.meDateYearFraction(H921,I921,$Q$11,TRUE)</f>
        <v>0.25555555555555554</v>
      </c>
      <c r="R921" s="150">
        <f ca="1">IF(NOW(),_xll.meCurveForwardRatesFromYearFraction(P921,Q921,$Q$11,$Q$9,$Q$10))</f>
        <v>-6.6836943734295681E-4</v>
      </c>
      <c r="S921" s="134" t="s">
        <v>4</v>
      </c>
    </row>
    <row r="922" spans="1:19" x14ac:dyDescent="0.25">
      <c r="A922" s="128">
        <v>906</v>
      </c>
      <c r="B922" s="133"/>
      <c r="C922" s="149">
        <f ca="1">_xll.meDateFromTenor(C921,"1D","FOLLOWING",$D$11,"NORMAL")</f>
        <v>43760</v>
      </c>
      <c r="D922" s="20">
        <f ca="1">_xll.meDateFromTenor(C922,"1D","Following",$D$11,"Normal")</f>
        <v>43761</v>
      </c>
      <c r="E922" s="99">
        <f ca="1"/>
        <v>1.2311870367609544E-2</v>
      </c>
      <c r="F922" s="161">
        <f ca="1">_xll.meCurveForwardRates(C922,$D$9,$D$10)</f>
        <v>1.2387760312693841E-2</v>
      </c>
      <c r="G922" s="7" t="s">
        <v>4</v>
      </c>
      <c r="H922" s="149">
        <f t="shared" ca="1" si="28"/>
        <v>43760</v>
      </c>
      <c r="I922" s="20">
        <f ca="1">_xll.meDateFromTenor(H922,"3M","Following",$I$11,"Normal")</f>
        <v>43852</v>
      </c>
      <c r="J922" s="150">
        <f ca="1"/>
        <v>1.6413600742473909E-2</v>
      </c>
      <c r="K922" s="7" t="s">
        <v>4</v>
      </c>
      <c r="L922" s="149" t="e">
        <f ca="1">_xll.meDateFromTenor(L921,"1D","FOLLOWING",#REF!,"NORMAL")</f>
        <v>#VALUE!</v>
      </c>
      <c r="M922" s="155">
        <f ca="1">_xll.meDateYearFraction(C922,D922,$M$11)</f>
        <v>2.7777777777777779E-3</v>
      </c>
      <c r="N922" s="150">
        <f ca="1"/>
        <v>-2.4300000000065936E-3</v>
      </c>
      <c r="O922" s="7" t="s">
        <v>4</v>
      </c>
      <c r="P922" s="149">
        <f t="shared" ca="1" si="29"/>
        <v>43760</v>
      </c>
      <c r="Q922" s="155">
        <f ca="1">_xll.meDateYearFraction(H922,I922,$Q$11,TRUE)</f>
        <v>0.25555555555555554</v>
      </c>
      <c r="R922" s="150">
        <f ca="1">IF(NOW(),_xll.meCurveForwardRatesFromYearFraction(P922,Q922,$Q$11,$Q$9,$Q$10))</f>
        <v>-3.7175485397107962E-3</v>
      </c>
      <c r="S922" s="134" t="s">
        <v>4</v>
      </c>
    </row>
    <row r="923" spans="1:19" x14ac:dyDescent="0.25">
      <c r="A923" s="128">
        <v>907</v>
      </c>
      <c r="B923" s="133"/>
      <c r="C923" s="149">
        <f ca="1">_xll.meDateFromTenor(C922,"1D","FOLLOWING",$D$11,"NORMAL")</f>
        <v>43761</v>
      </c>
      <c r="D923" s="20">
        <f ca="1">_xll.meDateFromTenor(C923,"1D","Following",$D$11,"Normal")</f>
        <v>43762</v>
      </c>
      <c r="E923" s="99">
        <f ca="1"/>
        <v>1.2317749973531677E-2</v>
      </c>
      <c r="F923" s="161">
        <f ca="1">_xll.meCurveForwardRates(C923,$D$9,$D$10)</f>
        <v>1.2393712567649873E-2</v>
      </c>
      <c r="G923" s="7" t="s">
        <v>4</v>
      </c>
      <c r="H923" s="149">
        <f t="shared" ca="1" si="28"/>
        <v>43761</v>
      </c>
      <c r="I923" s="20">
        <f ca="1">_xll.meDateFromTenor(H923,"3M","Following",$I$11,"Normal")</f>
        <v>43853</v>
      </c>
      <c r="J923" s="150">
        <f ca="1"/>
        <v>1.6420083755335369E-2</v>
      </c>
      <c r="K923" s="7" t="s">
        <v>4</v>
      </c>
      <c r="L923" s="149" t="e">
        <f ca="1">_xll.meDateFromTenor(L922,"1D","FOLLOWING",#REF!,"NORMAL")</f>
        <v>#VALUE!</v>
      </c>
      <c r="M923" s="155">
        <f ca="1">_xll.meDateYearFraction(C923,D923,$M$11)</f>
        <v>2.7777777777777779E-3</v>
      </c>
      <c r="N923" s="150">
        <f ca="1"/>
        <v>-2.4300000000065936E-3</v>
      </c>
      <c r="O923" s="7" t="s">
        <v>4</v>
      </c>
      <c r="P923" s="149">
        <f t="shared" ca="1" si="29"/>
        <v>43761</v>
      </c>
      <c r="Q923" s="155">
        <f ca="1">_xll.meDateYearFraction(H923,I923,$Q$11,TRUE)</f>
        <v>0.25555555555555554</v>
      </c>
      <c r="R923" s="150">
        <f ca="1">IF(NOW(),_xll.meCurveForwardRatesFromYearFraction(P923,Q923,$Q$11,$Q$9,$Q$10))</f>
        <v>-3.7175485397107962E-3</v>
      </c>
      <c r="S923" s="134" t="s">
        <v>4</v>
      </c>
    </row>
    <row r="924" spans="1:19" x14ac:dyDescent="0.25">
      <c r="A924" s="128">
        <v>908</v>
      </c>
      <c r="B924" s="133"/>
      <c r="C924" s="149">
        <f ca="1">_xll.meDateFromTenor(C923,"1D","FOLLOWING",$D$11,"NORMAL")</f>
        <v>43762</v>
      </c>
      <c r="D924" s="20">
        <f ca="1">_xll.meDateFromTenor(C924,"1D","Following",$D$11,"Normal")</f>
        <v>43763</v>
      </c>
      <c r="E924" s="99">
        <f ca="1"/>
        <v>1.2323625246519797E-2</v>
      </c>
      <c r="F924" s="161">
        <f ca="1">_xll.meCurveForwardRates(C924,$D$9,$D$10)</f>
        <v>1.2399660470993501E-2</v>
      </c>
      <c r="G924" s="7" t="s">
        <v>4</v>
      </c>
      <c r="H924" s="149">
        <f t="shared" ca="1" si="28"/>
        <v>43762</v>
      </c>
      <c r="I924" s="20">
        <f ca="1">_xll.meDateFromTenor(H924,"3M","Following",$I$11,"Normal")</f>
        <v>43854</v>
      </c>
      <c r="J924" s="150">
        <f ca="1"/>
        <v>1.6426557713006228E-2</v>
      </c>
      <c r="K924" s="7" t="s">
        <v>4</v>
      </c>
      <c r="L924" s="149" t="e">
        <f ca="1">_xll.meDateFromTenor(L923,"1D","FOLLOWING",#REF!,"NORMAL")</f>
        <v>#VALUE!</v>
      </c>
      <c r="M924" s="155">
        <f ca="1">_xll.meDateYearFraction(C924,D924,$M$11)</f>
        <v>2.7777777777777779E-3</v>
      </c>
      <c r="N924" s="150">
        <f ca="1"/>
        <v>-2.4300000000065936E-3</v>
      </c>
      <c r="O924" s="7" t="s">
        <v>4</v>
      </c>
      <c r="P924" s="149">
        <f t="shared" ca="1" si="29"/>
        <v>43762</v>
      </c>
      <c r="Q924" s="155">
        <f ca="1">_xll.meDateYearFraction(H924,I924,$Q$11,TRUE)</f>
        <v>0.25555555555555554</v>
      </c>
      <c r="R924" s="150">
        <f ca="1">IF(NOW(),_xll.meCurveForwardRatesFromYearFraction(P924,Q924,$Q$11,$Q$9,$Q$10))</f>
        <v>-3.7175485397107962E-3</v>
      </c>
      <c r="S924" s="134" t="s">
        <v>4</v>
      </c>
    </row>
    <row r="925" spans="1:19" x14ac:dyDescent="0.25">
      <c r="A925" s="128">
        <v>909</v>
      </c>
      <c r="B925" s="133"/>
      <c r="C925" s="149">
        <f ca="1">_xll.meDateFromTenor(C924,"1D","FOLLOWING",$D$11,"NORMAL")</f>
        <v>43763</v>
      </c>
      <c r="D925" s="20">
        <f ca="1">_xll.meDateFromTenor(C925,"1D","Following",$D$11,"Normal")</f>
        <v>43766</v>
      </c>
      <c r="E925" s="99">
        <f ca="1"/>
        <v>1.2335784021946282E-2</v>
      </c>
      <c r="F925" s="161">
        <f ca="1">_xll.meCurveForwardRates(C925,$D$9,$D$10)</f>
        <v>1.2405604022162731E-2</v>
      </c>
      <c r="G925" s="7" t="s">
        <v>4</v>
      </c>
      <c r="H925" s="149">
        <f t="shared" ca="1" si="28"/>
        <v>43763</v>
      </c>
      <c r="I925" s="20">
        <f ca="1">_xll.meDateFromTenor(H925,"3M","Following",$I$11,"Normal")</f>
        <v>43857</v>
      </c>
      <c r="J925" s="150">
        <f ca="1"/>
        <v>1.643302285262804E-2</v>
      </c>
      <c r="K925" s="7" t="s">
        <v>4</v>
      </c>
      <c r="L925" s="149" t="e">
        <f ca="1">_xll.meDateFromTenor(L924,"1D","FOLLOWING",#REF!,"NORMAL")</f>
        <v>#VALUE!</v>
      </c>
      <c r="M925" s="155">
        <f ca="1">_xll.meDateYearFraction(C925,D925,$M$11)</f>
        <v>8.3333333333333332E-3</v>
      </c>
      <c r="N925" s="150">
        <f ca="1"/>
        <v>-2.4300000000065936E-3</v>
      </c>
      <c r="O925" s="7" t="s">
        <v>4</v>
      </c>
      <c r="P925" s="149">
        <f t="shared" ca="1" si="29"/>
        <v>43763</v>
      </c>
      <c r="Q925" s="155">
        <f ca="1">_xll.meDateYearFraction(H925,I925,$Q$11,TRUE)</f>
        <v>0.26111111111111113</v>
      </c>
      <c r="R925" s="150">
        <f ca="1">IF(NOW(),_xll.meCurveForwardRatesFromYearFraction(P925,Q925,$Q$11,$Q$9,$Q$10))</f>
        <v>-6.3980758764756087E-4</v>
      </c>
      <c r="S925" s="134" t="s">
        <v>4</v>
      </c>
    </row>
    <row r="926" spans="1:19" x14ac:dyDescent="0.25">
      <c r="A926" s="128">
        <v>910</v>
      </c>
      <c r="B926" s="133"/>
      <c r="C926" s="149">
        <f ca="1">_xll.meDateFromTenor(C925,"1D","FOLLOWING",$D$11,"NORMAL")</f>
        <v>43766</v>
      </c>
      <c r="D926" s="20">
        <f ca="1">_xll.meDateFromTenor(C926,"1D","Following",$D$11,"Normal")</f>
        <v>43767</v>
      </c>
      <c r="E926" s="99">
        <f ca="1"/>
        <v>1.2347083001218494E-2</v>
      </c>
      <c r="F926" s="161">
        <f ca="1">_xll.meCurveForwardRates(C926,$D$9,$D$10)</f>
        <v>1.2423408558698057E-2</v>
      </c>
      <c r="G926" s="7" t="s">
        <v>4</v>
      </c>
      <c r="H926" s="149">
        <f t="shared" ca="1" si="28"/>
        <v>43766</v>
      </c>
      <c r="I926" s="20">
        <f ca="1">_xll.meDateFromTenor(H926,"3M","Following",$I$11,"Normal")</f>
        <v>43858</v>
      </c>
      <c r="J926" s="150">
        <f ca="1"/>
        <v>1.6452367734614812E-2</v>
      </c>
      <c r="K926" s="7" t="s">
        <v>4</v>
      </c>
      <c r="L926" s="149" t="e">
        <f ca="1">_xll.meDateFromTenor(L925,"1D","FOLLOWING",#REF!,"NORMAL")</f>
        <v>#VALUE!</v>
      </c>
      <c r="M926" s="155">
        <f ca="1">_xll.meDateYearFraction(C926,D926,$M$11)</f>
        <v>2.7777777777777779E-3</v>
      </c>
      <c r="N926" s="150">
        <f ca="1"/>
        <v>-2.4300000000065936E-3</v>
      </c>
      <c r="O926" s="7" t="s">
        <v>4</v>
      </c>
      <c r="P926" s="149">
        <f t="shared" ca="1" si="29"/>
        <v>43766</v>
      </c>
      <c r="Q926" s="155">
        <f ca="1">_xll.meDateYearFraction(H926,I926,$Q$11,TRUE)</f>
        <v>0.25555555555555554</v>
      </c>
      <c r="R926" s="150">
        <f ca="1">IF(NOW(),_xll.meCurveForwardRatesFromYearFraction(P926,Q926,$Q$11,$Q$9,$Q$10))</f>
        <v>-3.7175485397107962E-3</v>
      </c>
      <c r="S926" s="134" t="s">
        <v>4</v>
      </c>
    </row>
    <row r="927" spans="1:19" x14ac:dyDescent="0.25">
      <c r="A927" s="128">
        <v>911</v>
      </c>
      <c r="B927" s="133"/>
      <c r="C927" s="149">
        <f ca="1">_xll.meDateFromTenor(C926,"1D","FOLLOWING",$D$11,"NORMAL")</f>
        <v>43767</v>
      </c>
      <c r="D927" s="20">
        <f ca="1">_xll.meDateFromTenor(C927,"1D","Following",$D$11,"Normal")</f>
        <v>43768</v>
      </c>
      <c r="E927" s="99">
        <f ca="1"/>
        <v>1.2352936603861097E-2</v>
      </c>
      <c r="F927" s="161">
        <f ca="1">_xll.meCurveForwardRates(C927,$D$9,$D$10)</f>
        <v>1.2429334697082739E-2</v>
      </c>
      <c r="G927" s="7" t="s">
        <v>4</v>
      </c>
      <c r="H927" s="149">
        <f t="shared" ca="1" si="28"/>
        <v>43767</v>
      </c>
      <c r="I927" s="20">
        <f ca="1">_xll.meDateFromTenor(H927,"3M","Following",$I$11,"Normal")</f>
        <v>43859</v>
      </c>
      <c r="J927" s="150">
        <f ca="1"/>
        <v>1.6458799973456055E-2</v>
      </c>
      <c r="K927" s="7" t="s">
        <v>4</v>
      </c>
      <c r="L927" s="149" t="e">
        <f ca="1">_xll.meDateFromTenor(L926,"1D","FOLLOWING",#REF!,"NORMAL")</f>
        <v>#VALUE!</v>
      </c>
      <c r="M927" s="155">
        <f ca="1">_xll.meDateYearFraction(C927,D927,$M$11)</f>
        <v>2.7777777777777779E-3</v>
      </c>
      <c r="N927" s="150">
        <f ca="1"/>
        <v>-2.4300000000065936E-3</v>
      </c>
      <c r="O927" s="7" t="s">
        <v>4</v>
      </c>
      <c r="P927" s="149">
        <f t="shared" ca="1" si="29"/>
        <v>43767</v>
      </c>
      <c r="Q927" s="155">
        <f ca="1">_xll.meDateYearFraction(H927,I927,$Q$11,TRUE)</f>
        <v>0.25555555555555554</v>
      </c>
      <c r="R927" s="150">
        <f ca="1">IF(NOW(),_xll.meCurveForwardRatesFromYearFraction(P927,Q927,$Q$11,$Q$9,$Q$10))</f>
        <v>-3.7175485397107962E-3</v>
      </c>
      <c r="S927" s="134" t="s">
        <v>4</v>
      </c>
    </row>
    <row r="928" spans="1:19" x14ac:dyDescent="0.25">
      <c r="A928" s="128">
        <v>912</v>
      </c>
      <c r="B928" s="133"/>
      <c r="C928" s="149">
        <f ca="1">_xll.meDateFromTenor(C927,"1D","FOLLOWING",$D$11,"NORMAL")</f>
        <v>43768</v>
      </c>
      <c r="D928" s="20">
        <f ca="1">_xll.meDateFromTenor(C928,"1D","Following",$D$11,"Normal")</f>
        <v>43769</v>
      </c>
      <c r="E928" s="99">
        <f ca="1"/>
        <v>1.235878587149135E-2</v>
      </c>
      <c r="F928" s="161">
        <f ca="1">_xll.meCurveForwardRates(C928,$D$9,$D$10)</f>
        <v>1.2435256481290624E-2</v>
      </c>
      <c r="G928" s="7" t="s">
        <v>4</v>
      </c>
      <c r="H928" s="149">
        <f t="shared" ca="1" si="28"/>
        <v>43768</v>
      </c>
      <c r="I928" s="20">
        <f ca="1">_xll.meDateFromTenor(H928,"3M","Following",$I$11,"Normal")</f>
        <v>43860</v>
      </c>
      <c r="J928" s="150">
        <f ca="1"/>
        <v>1.6465224579956056E-2</v>
      </c>
      <c r="K928" s="7" t="s">
        <v>4</v>
      </c>
      <c r="L928" s="149" t="e">
        <f ca="1">_xll.meDateFromTenor(L927,"1D","FOLLOWING",#REF!,"NORMAL")</f>
        <v>#VALUE!</v>
      </c>
      <c r="M928" s="155">
        <f ca="1">_xll.meDateYearFraction(C928,D928,$M$11)</f>
        <v>2.7777777777777779E-3</v>
      </c>
      <c r="N928" s="150">
        <f ca="1"/>
        <v>-2.4300000000065936E-3</v>
      </c>
      <c r="O928" s="7" t="s">
        <v>4</v>
      </c>
      <c r="P928" s="149">
        <f t="shared" ca="1" si="29"/>
        <v>43768</v>
      </c>
      <c r="Q928" s="155">
        <f ca="1">_xll.meDateYearFraction(H928,I928,$Q$11,TRUE)</f>
        <v>0.25555555555555554</v>
      </c>
      <c r="R928" s="150">
        <f ca="1">IF(NOW(),_xll.meCurveForwardRatesFromYearFraction(P928,Q928,$Q$11,$Q$9,$Q$10))</f>
        <v>-3.7175485397107962E-3</v>
      </c>
      <c r="S928" s="134" t="s">
        <v>4</v>
      </c>
    </row>
    <row r="929" spans="1:19" x14ac:dyDescent="0.25">
      <c r="A929" s="128">
        <v>913</v>
      </c>
      <c r="B929" s="133"/>
      <c r="C929" s="149">
        <f ca="1">_xll.meDateFromTenor(C928,"1D","FOLLOWING",$D$11,"NORMAL")</f>
        <v>43769</v>
      </c>
      <c r="D929" s="20">
        <f ca="1">_xll.meDateFromTenor(C929,"1D","Following",$D$11,"Normal")</f>
        <v>43770</v>
      </c>
      <c r="E929" s="99">
        <f ca="1"/>
        <v>1.2364630803469766E-2</v>
      </c>
      <c r="F929" s="161">
        <f ca="1">_xll.meCurveForwardRates(C929,$D$9,$D$10)</f>
        <v>1.2441173910597625E-2</v>
      </c>
      <c r="G929" s="7" t="s">
        <v>4</v>
      </c>
      <c r="H929" s="149">
        <f t="shared" ca="1" si="28"/>
        <v>43769</v>
      </c>
      <c r="I929" s="20">
        <f ca="1">_xll.meDateFromTenor(H929,"3M","Following",$I$11,"Normal")</f>
        <v>43861</v>
      </c>
      <c r="J929" s="150">
        <f ca="1"/>
        <v>1.6471641791256375E-2</v>
      </c>
      <c r="K929" s="7" t="s">
        <v>4</v>
      </c>
      <c r="L929" s="149" t="e">
        <f ca="1">_xll.meDateFromTenor(L928,"1D","FOLLOWING",#REF!,"NORMAL")</f>
        <v>#VALUE!</v>
      </c>
      <c r="M929" s="155">
        <f ca="1">_xll.meDateYearFraction(C929,D929,$M$11)</f>
        <v>2.7777777777777779E-3</v>
      </c>
      <c r="N929" s="150">
        <f ca="1"/>
        <v>-2.4300000000065936E-3</v>
      </c>
      <c r="O929" s="7" t="s">
        <v>4</v>
      </c>
      <c r="P929" s="149">
        <f t="shared" ca="1" si="29"/>
        <v>43769</v>
      </c>
      <c r="Q929" s="155">
        <f ca="1">_xll.meDateYearFraction(H929,I929,$Q$11,TRUE)</f>
        <v>0.25555555555555554</v>
      </c>
      <c r="R929" s="150">
        <f ca="1">IF(NOW(),_xll.meCurveForwardRatesFromYearFraction(P929,Q929,$Q$11,$Q$9,$Q$10))</f>
        <v>-5.9696481310446761E-4</v>
      </c>
      <c r="S929" s="134" t="s">
        <v>4</v>
      </c>
    </row>
    <row r="930" spans="1:19" x14ac:dyDescent="0.25">
      <c r="A930" s="128">
        <v>914</v>
      </c>
      <c r="B930" s="133"/>
      <c r="C930" s="149">
        <f ca="1">_xll.meDateFromTenor(C929,"1D","FOLLOWING",$D$11,"NORMAL")</f>
        <v>43770</v>
      </c>
      <c r="D930" s="20">
        <f ca="1">_xll.meDateFromTenor(C930,"1D","Following",$D$11,"Normal")</f>
        <v>43773</v>
      </c>
      <c r="E930" s="99">
        <f ca="1"/>
        <v>1.2376731699701481E-2</v>
      </c>
      <c r="F930" s="161">
        <f ca="1">_xll.meCurveForwardRates(C930,$D$9,$D$10)</f>
        <v>1.2447086984927136E-2</v>
      </c>
      <c r="G930" s="7" t="s">
        <v>4</v>
      </c>
      <c r="H930" s="149">
        <f t="shared" ca="1" si="28"/>
        <v>43770</v>
      </c>
      <c r="I930" s="20">
        <f ca="1">_xll.meDateFromTenor(H930,"3M","Following",$I$11,"Normal")</f>
        <v>43864</v>
      </c>
      <c r="J930" s="150">
        <f ca="1"/>
        <v>1.6478051844498579E-2</v>
      </c>
      <c r="K930" s="7" t="s">
        <v>4</v>
      </c>
      <c r="L930" s="149" t="e">
        <f ca="1">_xll.meDateFromTenor(L929,"1D","FOLLOWING",#REF!,"NORMAL")</f>
        <v>#VALUE!</v>
      </c>
      <c r="M930" s="155">
        <f ca="1">_xll.meDateYearFraction(C930,D930,$M$11)</f>
        <v>8.3333333333333332E-3</v>
      </c>
      <c r="N930" s="150">
        <f ca="1"/>
        <v>-2.4300000000065936E-3</v>
      </c>
      <c r="O930" s="7" t="s">
        <v>4</v>
      </c>
      <c r="P930" s="149">
        <f t="shared" ca="1" si="29"/>
        <v>43770</v>
      </c>
      <c r="Q930" s="155">
        <f ca="1">_xll.meDateYearFraction(H930,I930,$Q$11,TRUE)</f>
        <v>0.26111111111111113</v>
      </c>
      <c r="R930" s="150">
        <f ca="1">IF(NOW(),_xll.meCurveForwardRatesFromYearFraction(P930,Q930,$Q$11,$Q$9,$Q$10))</f>
        <v>-3.7175485397107962E-3</v>
      </c>
      <c r="S930" s="134" t="s">
        <v>4</v>
      </c>
    </row>
    <row r="931" spans="1:19" x14ac:dyDescent="0.25">
      <c r="A931" s="128">
        <v>915</v>
      </c>
      <c r="B931" s="133"/>
      <c r="C931" s="149">
        <f ca="1">_xll.meDateFromTenor(C930,"1D","FOLLOWING",$D$11,"NORMAL")</f>
        <v>43773</v>
      </c>
      <c r="D931" s="20">
        <f ca="1">_xll.meDateFromTenor(C931,"1D","Following",$D$11,"Normal")</f>
        <v>43774</v>
      </c>
      <c r="E931" s="99">
        <f ca="1"/>
        <v>1.2387967170228763E-2</v>
      </c>
      <c r="F931" s="161">
        <f ca="1">_xll.meCurveForwardRates(C931,$D$9,$D$10)</f>
        <v>1.2464800072592652E-2</v>
      </c>
      <c r="G931" s="7" t="s">
        <v>4</v>
      </c>
      <c r="H931" s="149">
        <f t="shared" ca="1" si="28"/>
        <v>43773</v>
      </c>
      <c r="I931" s="20">
        <f ca="1">_xll.meDateFromTenor(H931,"3M","Following",$I$11,"Normal")</f>
        <v>43865</v>
      </c>
      <c r="J931" s="150">
        <f ca="1"/>
        <v>1.6497241427292083E-2</v>
      </c>
      <c r="K931" s="7" t="s">
        <v>4</v>
      </c>
      <c r="L931" s="149" t="e">
        <f ca="1">_xll.meDateFromTenor(L930,"1D","FOLLOWING",#REF!,"NORMAL")</f>
        <v>#VALUE!</v>
      </c>
      <c r="M931" s="155">
        <f ca="1">_xll.meDateYearFraction(C931,D931,$M$11)</f>
        <v>2.7777777777777779E-3</v>
      </c>
      <c r="N931" s="150">
        <f ca="1"/>
        <v>-2.4300000000065936E-3</v>
      </c>
      <c r="O931" s="7" t="s">
        <v>4</v>
      </c>
      <c r="P931" s="149">
        <f t="shared" ca="1" si="29"/>
        <v>43773</v>
      </c>
      <c r="Q931" s="155">
        <f ca="1">_xll.meDateYearFraction(H931,I931,$Q$11,TRUE)</f>
        <v>0.25555555555555554</v>
      </c>
      <c r="R931" s="150">
        <f ca="1">IF(NOW(),_xll.meCurveForwardRatesFromYearFraction(P931,Q931,$Q$11,$Q$9,$Q$10))</f>
        <v>-5.6840296340907048E-4</v>
      </c>
      <c r="S931" s="134" t="s">
        <v>4</v>
      </c>
    </row>
    <row r="932" spans="1:19" x14ac:dyDescent="0.25">
      <c r="A932" s="128">
        <v>916</v>
      </c>
      <c r="B932" s="133"/>
      <c r="C932" s="149">
        <f ca="1">_xll.meDateFromTenor(C931,"1D","FOLLOWING",$D$11,"NORMAL")</f>
        <v>43774</v>
      </c>
      <c r="D932" s="20">
        <f ca="1">_xll.meDateFromTenor(C932,"1D","Following",$D$11,"Normal")</f>
        <v>43775</v>
      </c>
      <c r="E932" s="99">
        <f ca="1"/>
        <v>1.239379041971138E-2</v>
      </c>
      <c r="F932" s="161">
        <f ca="1">_xll.meCurveForwardRates(C932,$D$9,$D$10)</f>
        <v>1.2470695721958691E-2</v>
      </c>
      <c r="G932" s="7" t="s">
        <v>4</v>
      </c>
      <c r="H932" s="149">
        <f t="shared" ca="1" si="28"/>
        <v>43774</v>
      </c>
      <c r="I932" s="20">
        <f ca="1">_xll.meDateFromTenor(H932,"3M","Following",$I$11,"Normal")</f>
        <v>43866</v>
      </c>
      <c r="J932" s="150">
        <f ca="1"/>
        <v>1.6503625219717415E-2</v>
      </c>
      <c r="K932" s="7" t="s">
        <v>4</v>
      </c>
      <c r="L932" s="149" t="e">
        <f ca="1">_xll.meDateFromTenor(L931,"1D","FOLLOWING",#REF!,"NORMAL")</f>
        <v>#VALUE!</v>
      </c>
      <c r="M932" s="155">
        <f ca="1">_xll.meDateYearFraction(C932,D932,$M$11)</f>
        <v>2.7777777777777779E-3</v>
      </c>
      <c r="N932" s="150">
        <f ca="1"/>
        <v>-2.4300000000065936E-3</v>
      </c>
      <c r="O932" s="7" t="s">
        <v>4</v>
      </c>
      <c r="P932" s="149">
        <f t="shared" ca="1" si="29"/>
        <v>43774</v>
      </c>
      <c r="Q932" s="155">
        <f ca="1">_xll.meDateYearFraction(H932,I932,$Q$11,TRUE)</f>
        <v>0.25555555555555554</v>
      </c>
      <c r="R932" s="150">
        <f ca="1">IF(NOW(),_xll.meCurveForwardRatesFromYearFraction(P932,Q932,$Q$11,$Q$9,$Q$10))</f>
        <v>-3.7175485397107962E-3</v>
      </c>
      <c r="S932" s="134" t="s">
        <v>4</v>
      </c>
    </row>
    <row r="933" spans="1:19" x14ac:dyDescent="0.25">
      <c r="A933" s="128">
        <v>917</v>
      </c>
      <c r="B933" s="133"/>
      <c r="C933" s="149">
        <f ca="1">_xll.meDateFromTenor(C932,"1D","FOLLOWING",$D$11,"NORMAL")</f>
        <v>43775</v>
      </c>
      <c r="D933" s="20">
        <f ca="1">_xll.meDateFromTenor(C933,"1D","Following",$D$11,"Normal")</f>
        <v>43776</v>
      </c>
      <c r="E933" s="99">
        <f ca="1"/>
        <v>1.2399609331703631E-2</v>
      </c>
      <c r="F933" s="161">
        <f ca="1">_xll.meCurveForwardRates(C933,$D$9,$D$10)</f>
        <v>1.2476587014104146E-2</v>
      </c>
      <c r="G933" s="7" t="s">
        <v>4</v>
      </c>
      <c r="H933" s="149">
        <f t="shared" ca="1" si="28"/>
        <v>43775</v>
      </c>
      <c r="I933" s="20">
        <f ca="1">_xll.meDateFromTenor(H933,"3M","Following",$I$11,"Normal")</f>
        <v>43867</v>
      </c>
      <c r="J933" s="150">
        <f ca="1"/>
        <v>1.6510003039792432E-2</v>
      </c>
      <c r="K933" s="7" t="s">
        <v>4</v>
      </c>
      <c r="L933" s="149" t="e">
        <f ca="1">_xll.meDateFromTenor(L932,"1D","FOLLOWING",#REF!,"NORMAL")</f>
        <v>#VALUE!</v>
      </c>
      <c r="M933" s="155">
        <f ca="1">_xll.meDateYearFraction(C933,D933,$M$11)</f>
        <v>2.7777777777777779E-3</v>
      </c>
      <c r="N933" s="150">
        <f ca="1"/>
        <v>-2.4300000000065936E-3</v>
      </c>
      <c r="O933" s="7" t="s">
        <v>4</v>
      </c>
      <c r="P933" s="149">
        <f t="shared" ca="1" si="29"/>
        <v>43775</v>
      </c>
      <c r="Q933" s="155">
        <f ca="1">_xll.meDateYearFraction(H933,I933,$Q$11,TRUE)</f>
        <v>0.25555555555555554</v>
      </c>
      <c r="R933" s="150">
        <f ca="1">IF(NOW(),_xll.meCurveForwardRatesFromYearFraction(P933,Q933,$Q$11,$Q$9,$Q$10))</f>
        <v>-5.5412203856137316E-4</v>
      </c>
      <c r="S933" s="134" t="s">
        <v>4</v>
      </c>
    </row>
    <row r="934" spans="1:19" x14ac:dyDescent="0.25">
      <c r="A934" s="128">
        <v>918</v>
      </c>
      <c r="B934" s="133"/>
      <c r="C934" s="149">
        <f ca="1">_xll.meDateFromTenor(C933,"1D","FOLLOWING",$D$11,"NORMAL")</f>
        <v>43776</v>
      </c>
      <c r="D934" s="20">
        <f ca="1">_xll.meDateFromTenor(C934,"1D","Following",$D$11,"Normal")</f>
        <v>43777</v>
      </c>
      <c r="E934" s="99">
        <f ca="1"/>
        <v>1.2405423905645961E-2</v>
      </c>
      <c r="F934" s="161">
        <f ca="1">_xll.meCurveForwardRates(C934,$D$9,$D$10)</f>
        <v>1.2482473948385753E-2</v>
      </c>
      <c r="G934" s="7" t="s">
        <v>4</v>
      </c>
      <c r="H934" s="149">
        <f t="shared" ca="1" si="28"/>
        <v>43776</v>
      </c>
      <c r="I934" s="20">
        <f ca="1">_xll.meDateFromTenor(H934,"3M","Following",$I$11,"Normal")</f>
        <v>43868</v>
      </c>
      <c r="J934" s="150">
        <f ca="1"/>
        <v>1.6516375124658696E-2</v>
      </c>
      <c r="K934" s="7" t="s">
        <v>4</v>
      </c>
      <c r="L934" s="149" t="e">
        <f ca="1">_xll.meDateFromTenor(L933,"1D","FOLLOWING",#REF!,"NORMAL")</f>
        <v>#VALUE!</v>
      </c>
      <c r="M934" s="155">
        <f ca="1">_xll.meDateYearFraction(C934,D934,$M$11)</f>
        <v>2.7777777777777779E-3</v>
      </c>
      <c r="N934" s="150">
        <f ca="1"/>
        <v>-2.4300000000065936E-3</v>
      </c>
      <c r="O934" s="7" t="s">
        <v>4</v>
      </c>
      <c r="P934" s="149">
        <f t="shared" ca="1" si="29"/>
        <v>43776</v>
      </c>
      <c r="Q934" s="155">
        <f ca="1">_xll.meDateYearFraction(H934,I934,$Q$11,TRUE)</f>
        <v>0.25555555555555554</v>
      </c>
      <c r="R934" s="150">
        <f ca="1">IF(NOW(),_xll.meCurveForwardRatesFromYearFraction(P934,Q934,$Q$11,$Q$9,$Q$10))</f>
        <v>-3.7175485397107962E-3</v>
      </c>
      <c r="S934" s="134" t="s">
        <v>4</v>
      </c>
    </row>
    <row r="935" spans="1:19" x14ac:dyDescent="0.25">
      <c r="A935" s="128">
        <v>919</v>
      </c>
      <c r="B935" s="133"/>
      <c r="C935" s="149">
        <f ca="1">_xll.meDateFromTenor(C934,"1D","FOLLOWING",$D$11,"NORMAL")</f>
        <v>43777</v>
      </c>
      <c r="D935" s="20">
        <f ca="1">_xll.meDateFromTenor(C935,"1D","Following",$D$11,"Normal")</f>
        <v>43781</v>
      </c>
      <c r="E935" s="99">
        <f ca="1"/>
        <v>1.2420581391132711E-2</v>
      </c>
      <c r="F935" s="161">
        <f ca="1">_xll.meCurveForwardRates(C935,$D$9,$D$10)</f>
        <v>1.24883565244851E-2</v>
      </c>
      <c r="G935" s="7" t="s">
        <v>4</v>
      </c>
      <c r="H935" s="149">
        <f t="shared" ca="1" si="28"/>
        <v>43777</v>
      </c>
      <c r="I935" s="20">
        <f ca="1">_xll.meDateFromTenor(H935,"3M","Following",$I$11,"Normal")</f>
        <v>43871</v>
      </c>
      <c r="J935" s="150">
        <f ca="1"/>
        <v>1.6522741711457768E-2</v>
      </c>
      <c r="K935" s="7" t="s">
        <v>4</v>
      </c>
      <c r="L935" s="149" t="e">
        <f ca="1">_xll.meDateFromTenor(L934,"1D","FOLLOWING",#REF!,"NORMAL")</f>
        <v>#VALUE!</v>
      </c>
      <c r="M935" s="155">
        <f ca="1">_xll.meDateYearFraction(C935,D935,$M$11)</f>
        <v>1.1111111111111112E-2</v>
      </c>
      <c r="N935" s="150">
        <f ca="1"/>
        <v>-2.4300000000065936E-3</v>
      </c>
      <c r="O935" s="7" t="s">
        <v>4</v>
      </c>
      <c r="P935" s="149">
        <f t="shared" ca="1" si="29"/>
        <v>43777</v>
      </c>
      <c r="Q935" s="155">
        <f ca="1">_xll.meDateYearFraction(H935,I935,$Q$11,TRUE)</f>
        <v>0.26111111111111113</v>
      </c>
      <c r="R935" s="150">
        <f ca="1">IF(NOW(),_xll.meCurveForwardRatesFromYearFraction(P935,Q935,$Q$11,$Q$9,$Q$10))</f>
        <v>-5.3984111371367584E-4</v>
      </c>
      <c r="S935" s="134" t="s">
        <v>4</v>
      </c>
    </row>
    <row r="936" spans="1:19" x14ac:dyDescent="0.25">
      <c r="A936" s="128">
        <v>920</v>
      </c>
      <c r="B936" s="133"/>
      <c r="C936" s="149">
        <f ca="1">_xll.meDateFromTenor(C935,"1D","FOLLOWING",$D$11,"NORMAL")</f>
        <v>43781</v>
      </c>
      <c r="D936" s="20">
        <f ca="1">_xll.meDateFromTenor(C936,"1D","Following",$D$11,"Normal")</f>
        <v>43782</v>
      </c>
      <c r="E936" s="99">
        <f ca="1"/>
        <v>1.2434431693897395E-2</v>
      </c>
      <c r="F936" s="161">
        <f ca="1">_xll.meCurveForwardRates(C936,$D$9,$D$10)</f>
        <v>1.2511843238330878E-2</v>
      </c>
      <c r="G936" s="7" t="s">
        <v>4</v>
      </c>
      <c r="H936" s="149">
        <f t="shared" ca="1" si="28"/>
        <v>43781</v>
      </c>
      <c r="I936" s="20">
        <f ca="1">_xll.meDateFromTenor(H936,"3M","Following",$I$11,"Normal")</f>
        <v>43873</v>
      </c>
      <c r="J936" s="150">
        <f ca="1"/>
        <v>1.6548157820813331E-2</v>
      </c>
      <c r="K936" s="7" t="s">
        <v>4</v>
      </c>
      <c r="L936" s="149" t="e">
        <f ca="1">_xll.meDateFromTenor(L935,"1D","FOLLOWING",#REF!,"NORMAL")</f>
        <v>#VALUE!</v>
      </c>
      <c r="M936" s="155">
        <f ca="1">_xll.meDateYearFraction(C936,D936,$M$11)</f>
        <v>2.7777777777777779E-3</v>
      </c>
      <c r="N936" s="150">
        <f ca="1"/>
        <v>-2.4300000000065936E-3</v>
      </c>
      <c r="O936" s="7" t="s">
        <v>4</v>
      </c>
      <c r="P936" s="149">
        <f t="shared" ca="1" si="29"/>
        <v>43781</v>
      </c>
      <c r="Q936" s="155">
        <f ca="1">_xll.meDateYearFraction(H936,I936,$Q$11,TRUE)</f>
        <v>0.25555555555555554</v>
      </c>
      <c r="R936" s="150">
        <f ca="1">IF(NOW(),_xll.meCurveForwardRatesFromYearFraction(P936,Q936,$Q$11,$Q$9,$Q$10))</f>
        <v>-3.7175485397107962E-3</v>
      </c>
      <c r="S936" s="134" t="s">
        <v>4</v>
      </c>
    </row>
    <row r="937" spans="1:19" x14ac:dyDescent="0.25">
      <c r="A937" s="128">
        <v>921</v>
      </c>
      <c r="B937" s="133"/>
      <c r="C937" s="149">
        <f ca="1">_xll.meDateFromTenor(C936,"1D","FOLLOWING",$D$11,"NORMAL")</f>
        <v>43782</v>
      </c>
      <c r="D937" s="20">
        <f ca="1">_xll.meDateFromTenor(C937,"1D","Following",$D$11,"Normal")</f>
        <v>43783</v>
      </c>
      <c r="E937" s="99">
        <f ca="1"/>
        <v>1.2440220232825582E-2</v>
      </c>
      <c r="F937" s="161">
        <f ca="1">_xll.meCurveForwardRates(C937,$D$9,$D$10)</f>
        <v>1.2517704017034337E-2</v>
      </c>
      <c r="G937" s="7" t="s">
        <v>4</v>
      </c>
      <c r="H937" s="149">
        <f t="shared" ca="1" si="28"/>
        <v>43782</v>
      </c>
      <c r="I937" s="20">
        <f ca="1">_xll.meDateFromTenor(H937,"3M","Following",$I$11,"Normal")</f>
        <v>43874</v>
      </c>
      <c r="J937" s="150">
        <f ca="1"/>
        <v>1.6554500474399846E-2</v>
      </c>
      <c r="K937" s="7" t="s">
        <v>4</v>
      </c>
      <c r="L937" s="149" t="e">
        <f ca="1">_xll.meDateFromTenor(L936,"1D","FOLLOWING",#REF!,"NORMAL")</f>
        <v>#VALUE!</v>
      </c>
      <c r="M937" s="155">
        <f ca="1">_xll.meDateYearFraction(C937,D937,$M$11)</f>
        <v>2.7777777777777779E-3</v>
      </c>
      <c r="N937" s="150">
        <f ca="1"/>
        <v>-2.4300000000065936E-3</v>
      </c>
      <c r="O937" s="7" t="s">
        <v>4</v>
      </c>
      <c r="P937" s="149">
        <f t="shared" ca="1" si="29"/>
        <v>43782</v>
      </c>
      <c r="Q937" s="155">
        <f ca="1">_xll.meDateYearFraction(H937,I937,$Q$11,TRUE)</f>
        <v>0.25555555555555554</v>
      </c>
      <c r="R937" s="150">
        <f ca="1">IF(NOW(),_xll.meCurveForwardRatesFromYearFraction(P937,Q937,$Q$11,$Q$9,$Q$10))</f>
        <v>-5.041388015944294E-4</v>
      </c>
      <c r="S937" s="134" t="s">
        <v>4</v>
      </c>
    </row>
    <row r="938" spans="1:19" x14ac:dyDescent="0.25">
      <c r="A938" s="128">
        <v>922</v>
      </c>
      <c r="B938" s="133"/>
      <c r="C938" s="149">
        <f ca="1">_xll.meDateFromTenor(C937,"1D","FOLLOWING",$D$11,"NORMAL")</f>
        <v>43783</v>
      </c>
      <c r="D938" s="20">
        <f ca="1">_xll.meDateFromTenor(C938,"1D","Following",$D$11,"Normal")</f>
        <v>43784</v>
      </c>
      <c r="E938" s="99">
        <f ca="1"/>
        <v>1.2446004431065959E-2</v>
      </c>
      <c r="F938" s="161">
        <f ca="1">_xll.meCurveForwardRates(C938,$D$9,$D$10)</f>
        <v>1.2523560434671177E-2</v>
      </c>
      <c r="G938" s="7" t="s">
        <v>4</v>
      </c>
      <c r="H938" s="149">
        <f t="shared" ca="1" si="28"/>
        <v>43783</v>
      </c>
      <c r="I938" s="20">
        <f ca="1">_xll.meDateFromTenor(H938,"3M","Following",$I$11,"Normal")</f>
        <v>43875</v>
      </c>
      <c r="J938" s="150">
        <f ca="1"/>
        <v>1.656083905276853E-2</v>
      </c>
      <c r="K938" s="7" t="s">
        <v>4</v>
      </c>
      <c r="L938" s="149" t="e">
        <f ca="1">_xll.meDateFromTenor(L937,"1D","FOLLOWING",#REF!,"NORMAL")</f>
        <v>#VALUE!</v>
      </c>
      <c r="M938" s="155">
        <f ca="1">_xll.meDateYearFraction(C938,D938,$M$11)</f>
        <v>2.7777777777777779E-3</v>
      </c>
      <c r="N938" s="150">
        <f ca="1"/>
        <v>-2.4300000000065936E-3</v>
      </c>
      <c r="O938" s="7" t="s">
        <v>4</v>
      </c>
      <c r="P938" s="149">
        <f t="shared" ca="1" si="29"/>
        <v>43783</v>
      </c>
      <c r="Q938" s="155">
        <f ca="1">_xll.meDateYearFraction(H938,I938,$Q$11,TRUE)</f>
        <v>0.25555555555555554</v>
      </c>
      <c r="R938" s="150">
        <f ca="1">IF(NOW(),_xll.meCurveForwardRatesFromYearFraction(P938,Q938,$Q$11,$Q$9,$Q$10))</f>
        <v>-3.7175485397107962E-3</v>
      </c>
      <c r="S938" s="134" t="s">
        <v>4</v>
      </c>
    </row>
    <row r="939" spans="1:19" x14ac:dyDescent="0.25">
      <c r="A939" s="128">
        <v>923</v>
      </c>
      <c r="B939" s="133"/>
      <c r="C939" s="149">
        <f ca="1">_xll.meDateFromTenor(C938,"1D","FOLLOWING",$D$11,"NORMAL")</f>
        <v>43784</v>
      </c>
      <c r="D939" s="20">
        <f ca="1">_xll.meDateFromTenor(C939,"1D","Following",$D$11,"Normal")</f>
        <v>43787</v>
      </c>
      <c r="E939" s="99">
        <f ca="1"/>
        <v>1.2457989448231333E-2</v>
      </c>
      <c r="F939" s="161">
        <f ca="1">_xll.meCurveForwardRates(C939,$D$9,$D$10)</f>
        <v>1.2529412491246505E-2</v>
      </c>
      <c r="G939" s="7" t="s">
        <v>4</v>
      </c>
      <c r="H939" s="149">
        <f t="shared" ca="1" si="28"/>
        <v>43784</v>
      </c>
      <c r="I939" s="20">
        <f ca="1">_xll.meDateFromTenor(H939,"3M","Following",$I$11,"Normal")</f>
        <v>43879</v>
      </c>
      <c r="J939" s="150">
        <f ca="1"/>
        <v>1.6567173793060948E-2</v>
      </c>
      <c r="K939" s="7" t="s">
        <v>4</v>
      </c>
      <c r="L939" s="149" t="e">
        <f ca="1">_xll.meDateFromTenor(L938,"1D","FOLLOWING",#REF!,"NORMAL")</f>
        <v>#VALUE!</v>
      </c>
      <c r="M939" s="155">
        <f ca="1">_xll.meDateYearFraction(C939,D939,$M$11)</f>
        <v>8.3333333333333332E-3</v>
      </c>
      <c r="N939" s="150">
        <f ca="1"/>
        <v>-2.4300000000065936E-3</v>
      </c>
      <c r="O939" s="7" t="s">
        <v>4</v>
      </c>
      <c r="P939" s="149">
        <f t="shared" ca="1" si="29"/>
        <v>43784</v>
      </c>
      <c r="Q939" s="155">
        <f ca="1">_xll.meDateYearFraction(H939,I939,$Q$11,TRUE)</f>
        <v>0.2638888888888889</v>
      </c>
      <c r="R939" s="150">
        <f ca="1">IF(NOW(),_xll.meCurveForwardRatesFromYearFraction(P939,Q939,$Q$11,$Q$9,$Q$10))</f>
        <v>-4.8985787674673219E-4</v>
      </c>
      <c r="S939" s="134" t="s">
        <v>4</v>
      </c>
    </row>
    <row r="940" spans="1:19" x14ac:dyDescent="0.25">
      <c r="A940" s="128">
        <v>924</v>
      </c>
      <c r="B940" s="133"/>
      <c r="C940" s="149">
        <f ca="1">_xll.meDateFromTenor(C939,"1D","FOLLOWING",$D$11,"NORMAL")</f>
        <v>43787</v>
      </c>
      <c r="D940" s="20">
        <f ca="1">_xll.meDateFromTenor(C940,"1D","Following",$D$11,"Normal")</f>
        <v>43788</v>
      </c>
      <c r="E940" s="99">
        <f ca="1"/>
        <v>1.2469097812752895E-2</v>
      </c>
      <c r="F940" s="161">
        <f ca="1">_xll.meCurveForwardRates(C940,$D$9,$D$10)</f>
        <v>1.254694248858379E-2</v>
      </c>
      <c r="G940" s="7" t="s">
        <v>4</v>
      </c>
      <c r="H940" s="149">
        <f t="shared" ca="1" si="28"/>
        <v>43787</v>
      </c>
      <c r="I940" s="20">
        <f ca="1">_xll.meDateFromTenor(H940,"3M","Following",$I$11,"Normal")</f>
        <v>43879</v>
      </c>
      <c r="J940" s="150">
        <f ca="1"/>
        <v>1.6586157356896197E-2</v>
      </c>
      <c r="K940" s="7" t="s">
        <v>4</v>
      </c>
      <c r="L940" s="149" t="e">
        <f ca="1">_xll.meDateFromTenor(L939,"1D","FOLLOWING",#REF!,"NORMAL")</f>
        <v>#VALUE!</v>
      </c>
      <c r="M940" s="155">
        <f ca="1">_xll.meDateYearFraction(C940,D940,$M$11)</f>
        <v>2.7777777777777779E-3</v>
      </c>
      <c r="N940" s="150">
        <f ca="1"/>
        <v>-2.4300000000065936E-3</v>
      </c>
      <c r="O940" s="7" t="s">
        <v>4</v>
      </c>
      <c r="P940" s="149">
        <f t="shared" ca="1" si="29"/>
        <v>43787</v>
      </c>
      <c r="Q940" s="155">
        <f ca="1">_xll.meDateYearFraction(H940,I940,$Q$11,TRUE)</f>
        <v>0.25555555555555554</v>
      </c>
      <c r="R940" s="150">
        <f ca="1">IF(NOW(),_xll.meCurveForwardRatesFromYearFraction(P940,Q940,$Q$11,$Q$9,$Q$10))</f>
        <v>-3.7175485397107962E-3</v>
      </c>
      <c r="S940" s="134" t="s">
        <v>4</v>
      </c>
    </row>
    <row r="941" spans="1:19" x14ac:dyDescent="0.25">
      <c r="A941" s="128">
        <v>925</v>
      </c>
      <c r="B941" s="133"/>
      <c r="C941" s="149">
        <f ca="1">_xll.meDateFromTenor(C940,"1D","FOLLOWING",$D$11,"NORMAL")</f>
        <v>43788</v>
      </c>
      <c r="D941" s="20">
        <f ca="1">_xll.meDateFromTenor(C941,"1D","Following",$D$11,"Normal")</f>
        <v>43789</v>
      </c>
      <c r="E941" s="99">
        <f ca="1"/>
        <v>1.2474860303477487E-2</v>
      </c>
      <c r="F941" s="161">
        <f ca="1">_xll.meCurveForwardRates(C941,$D$9,$D$10)</f>
        <v>1.2552777095622636E-2</v>
      </c>
      <c r="G941" s="7" t="s">
        <v>4</v>
      </c>
      <c r="H941" s="149">
        <f t="shared" ca="1" si="28"/>
        <v>43788</v>
      </c>
      <c r="I941" s="20">
        <f ca="1">_xll.meDateFromTenor(H941,"3M","Following",$I$11,"Normal")</f>
        <v>43880</v>
      </c>
      <c r="J941" s="150">
        <f ca="1"/>
        <v>1.6592479116299148E-2</v>
      </c>
      <c r="K941" s="7" t="s">
        <v>4</v>
      </c>
      <c r="L941" s="149" t="e">
        <f ca="1">_xll.meDateFromTenor(L940,"1D","FOLLOWING",#REF!,"NORMAL")</f>
        <v>#VALUE!</v>
      </c>
      <c r="M941" s="155">
        <f ca="1">_xll.meDateYearFraction(C941,D941,$M$11)</f>
        <v>2.7777777777777779E-3</v>
      </c>
      <c r="N941" s="150">
        <f ca="1"/>
        <v>-2.4300000000065936E-3</v>
      </c>
      <c r="O941" s="7" t="s">
        <v>4</v>
      </c>
      <c r="P941" s="149">
        <f t="shared" ca="1" si="29"/>
        <v>43788</v>
      </c>
      <c r="Q941" s="155">
        <f ca="1">_xll.meDateYearFraction(H941,I941,$Q$11,TRUE)</f>
        <v>0.25555555555555554</v>
      </c>
      <c r="R941" s="150">
        <f ca="1">IF(NOW(),_xll.meCurveForwardRatesFromYearFraction(P941,Q941,$Q$11,$Q$9,$Q$10))</f>
        <v>-4.6129602705133625E-4</v>
      </c>
      <c r="S941" s="134" t="s">
        <v>4</v>
      </c>
    </row>
    <row r="942" spans="1:19" x14ac:dyDescent="0.25">
      <c r="A942" s="128">
        <v>926</v>
      </c>
      <c r="B942" s="133"/>
      <c r="C942" s="149">
        <f ca="1">_xll.meDateFromTenor(C941,"1D","FOLLOWING",$D$11,"NORMAL")</f>
        <v>43789</v>
      </c>
      <c r="D942" s="20">
        <f ca="1">_xll.meDateFromTenor(C942,"1D","Following",$D$11,"Normal")</f>
        <v>43790</v>
      </c>
      <c r="E942" s="99">
        <f ca="1"/>
        <v>1.2480618451435933E-2</v>
      </c>
      <c r="F942" s="161">
        <f ca="1">_xll.meCurveForwardRates(C942,$D$9,$D$10)</f>
        <v>1.2558607339036243E-2</v>
      </c>
      <c r="G942" s="7" t="s">
        <v>4</v>
      </c>
      <c r="H942" s="149">
        <f t="shared" ca="1" si="28"/>
        <v>43789</v>
      </c>
      <c r="I942" s="20">
        <f ca="1">_xll.meDateFromTenor(H942,"3M","Following",$I$11,"Normal")</f>
        <v>43881</v>
      </c>
      <c r="J942" s="150">
        <f ca="1"/>
        <v>1.6598798223333634E-2</v>
      </c>
      <c r="K942" s="7" t="s">
        <v>4</v>
      </c>
      <c r="L942" s="149" t="e">
        <f ca="1">_xll.meDateFromTenor(L941,"1D","FOLLOWING",#REF!,"NORMAL")</f>
        <v>#VALUE!</v>
      </c>
      <c r="M942" s="155">
        <f ca="1">_xll.meDateYearFraction(C942,D942,$M$11)</f>
        <v>2.7777777777777779E-3</v>
      </c>
      <c r="N942" s="150">
        <f ca="1"/>
        <v>-2.4300000000065936E-3</v>
      </c>
      <c r="O942" s="7" t="s">
        <v>4</v>
      </c>
      <c r="P942" s="149">
        <f t="shared" ca="1" si="29"/>
        <v>43789</v>
      </c>
      <c r="Q942" s="155">
        <f ca="1">_xll.meDateYearFraction(H942,I942,$Q$11,TRUE)</f>
        <v>0.25555555555555554</v>
      </c>
      <c r="R942" s="150">
        <f ca="1">IF(NOW(),_xll.meCurveForwardRatesFromYearFraction(P942,Q942,$Q$11,$Q$9,$Q$10))</f>
        <v>-3.7175485397107962E-3</v>
      </c>
      <c r="S942" s="134" t="s">
        <v>4</v>
      </c>
    </row>
    <row r="943" spans="1:19" x14ac:dyDescent="0.25">
      <c r="A943" s="128">
        <v>927</v>
      </c>
      <c r="B943" s="133"/>
      <c r="C943" s="149">
        <f ca="1">_xll.meDateFromTenor(C942,"1D","FOLLOWING",$D$11,"NORMAL")</f>
        <v>43790</v>
      </c>
      <c r="D943" s="20">
        <f ca="1">_xll.meDateFromTenor(C943,"1D","Following",$D$11,"Normal")</f>
        <v>43791</v>
      </c>
      <c r="E943" s="99">
        <f ca="1"/>
        <v>1.2486372256388423E-2</v>
      </c>
      <c r="F943" s="161">
        <f ca="1">_xll.meCurveForwardRates(C943,$D$9,$D$10)</f>
        <v>1.2564433218505755E-2</v>
      </c>
      <c r="G943" s="7" t="s">
        <v>4</v>
      </c>
      <c r="H943" s="149">
        <f t="shared" ca="1" si="28"/>
        <v>43790</v>
      </c>
      <c r="I943" s="20">
        <f ca="1">_xll.meDateFromTenor(H943,"3M","Following",$I$11,"Normal")</f>
        <v>43882</v>
      </c>
      <c r="J943" s="150">
        <f ca="1"/>
        <v>1.6605114915141224E-2</v>
      </c>
      <c r="K943" s="7" t="s">
        <v>4</v>
      </c>
      <c r="L943" s="149" t="e">
        <f ca="1">_xll.meDateFromTenor(L942,"1D","FOLLOWING",#REF!,"NORMAL")</f>
        <v>#VALUE!</v>
      </c>
      <c r="M943" s="155">
        <f ca="1">_xll.meDateYearFraction(C943,D943,$M$11)</f>
        <v>2.7777777777777779E-3</v>
      </c>
      <c r="N943" s="150">
        <f ca="1"/>
        <v>-2.4300000000065936E-3</v>
      </c>
      <c r="O943" s="7" t="s">
        <v>4</v>
      </c>
      <c r="P943" s="149">
        <f t="shared" ca="1" si="29"/>
        <v>43790</v>
      </c>
      <c r="Q943" s="155">
        <f ca="1">_xll.meDateYearFraction(H943,I943,$Q$11,TRUE)</f>
        <v>0.25555555555555554</v>
      </c>
      <c r="R943" s="150">
        <f ca="1">IF(NOW(),_xll.meCurveForwardRatesFromYearFraction(P943,Q943,$Q$11,$Q$9,$Q$10))</f>
        <v>-3.7175485397107962E-3</v>
      </c>
      <c r="S943" s="134" t="s">
        <v>4</v>
      </c>
    </row>
    <row r="944" spans="1:19" x14ac:dyDescent="0.25">
      <c r="A944" s="128">
        <v>928</v>
      </c>
      <c r="B944" s="133"/>
      <c r="C944" s="149">
        <f ca="1">_xll.meDateFromTenor(C943,"1D","FOLLOWING",$D$11,"NORMAL")</f>
        <v>43791</v>
      </c>
      <c r="D944" s="20">
        <f ca="1">_xll.meDateFromTenor(C944,"1D","Following",$D$11,"Normal")</f>
        <v>43794</v>
      </c>
      <c r="E944" s="99">
        <f ca="1"/>
        <v>1.2498299272429226E-2</v>
      </c>
      <c r="F944" s="161">
        <f ca="1">_xll.meCurveForwardRates(C944,$D$9,$D$10)</f>
        <v>1.2570254733630382E-2</v>
      </c>
      <c r="G944" s="7" t="s">
        <v>4</v>
      </c>
      <c r="H944" s="149">
        <f t="shared" ca="1" si="28"/>
        <v>43791</v>
      </c>
      <c r="I944" s="20">
        <f ca="1">_xll.meDateFromTenor(H944,"3M","Following",$I$11,"Normal")</f>
        <v>43885</v>
      </c>
      <c r="J944" s="150">
        <f ca="1"/>
        <v>1.6611429428863463E-2</v>
      </c>
      <c r="K944" s="7" t="s">
        <v>4</v>
      </c>
      <c r="L944" s="149" t="e">
        <f ca="1">_xll.meDateFromTenor(L943,"1D","FOLLOWING",#REF!,"NORMAL")</f>
        <v>#VALUE!</v>
      </c>
      <c r="M944" s="155">
        <f ca="1">_xll.meDateYearFraction(C944,D944,$M$11)</f>
        <v>8.3333333333333332E-3</v>
      </c>
      <c r="N944" s="150">
        <f ca="1"/>
        <v>-2.4300000000065936E-3</v>
      </c>
      <c r="O944" s="7" t="s">
        <v>4</v>
      </c>
      <c r="P944" s="149">
        <f t="shared" ca="1" si="29"/>
        <v>43791</v>
      </c>
      <c r="Q944" s="155">
        <f ca="1">_xll.meDateYearFraction(H944,I944,$Q$11,TRUE)</f>
        <v>0.26111111111111113</v>
      </c>
      <c r="R944" s="150">
        <f ca="1">IF(NOW(),_xll.meCurveForwardRatesFromYearFraction(P944,Q944,$Q$11,$Q$9,$Q$10))</f>
        <v>-3.7175485397107962E-3</v>
      </c>
      <c r="S944" s="134" t="s">
        <v>4</v>
      </c>
    </row>
    <row r="945" spans="1:19" x14ac:dyDescent="0.25">
      <c r="A945" s="128">
        <v>929</v>
      </c>
      <c r="B945" s="133"/>
      <c r="C945" s="149">
        <f ca="1">_xll.meDateFromTenor(C944,"1D","FOLLOWING",$D$11,"NORMAL")</f>
        <v>43794</v>
      </c>
      <c r="D945" s="20">
        <f ca="1">_xll.meDateFromTenor(C945,"1D","Following",$D$11,"Normal")</f>
        <v>43795</v>
      </c>
      <c r="E945" s="99">
        <f ca="1"/>
        <v>1.2510098962268446E-2</v>
      </c>
      <c r="F945" s="161">
        <f ca="1">_xll.meCurveForwardRates(C945,$D$9,$D$10)</f>
        <v>1.2588457487946458E-2</v>
      </c>
      <c r="G945" s="7" t="s">
        <v>4</v>
      </c>
      <c r="H945" s="149">
        <f t="shared" ca="1" si="28"/>
        <v>43794</v>
      </c>
      <c r="I945" s="20">
        <f ca="1">_xll.meDateFromTenor(H945,"3M","Following",$I$11,"Normal")</f>
        <v>43886</v>
      </c>
      <c r="J945" s="150">
        <f ca="1"/>
        <v>1.6630362272933737E-2</v>
      </c>
      <c r="K945" s="7" t="s">
        <v>4</v>
      </c>
      <c r="L945" s="149" t="e">
        <f ca="1">_xll.meDateFromTenor(L944,"1D","FOLLOWING",#REF!,"NORMAL")</f>
        <v>#VALUE!</v>
      </c>
      <c r="M945" s="155">
        <f ca="1">_xll.meDateYearFraction(C945,D945,$M$11)</f>
        <v>2.7777777777777779E-3</v>
      </c>
      <c r="N945" s="150">
        <f ca="1"/>
        <v>-2.4300000000065936E-3</v>
      </c>
      <c r="O945" s="7" t="s">
        <v>4</v>
      </c>
      <c r="P945" s="149">
        <f t="shared" ca="1" si="29"/>
        <v>43794</v>
      </c>
      <c r="Q945" s="155">
        <f ca="1">_xll.meDateYearFraction(H945,I945,$Q$11,TRUE)</f>
        <v>0.25555555555555554</v>
      </c>
      <c r="R945" s="150">
        <f ca="1">IF(NOW(),_xll.meCurveForwardRatesFromYearFraction(P945,Q945,$Q$11,$Q$9,$Q$10))</f>
        <v>-4.1845325250824175E-4</v>
      </c>
      <c r="S945" s="134" t="s">
        <v>4</v>
      </c>
    </row>
    <row r="946" spans="1:19" x14ac:dyDescent="0.25">
      <c r="A946" s="128">
        <v>930</v>
      </c>
      <c r="B946" s="133"/>
      <c r="C946" s="149">
        <f ca="1">_xll.meDateFromTenor(C945,"1D","FOLLOWING",$D$11,"NORMAL")</f>
        <v>43795</v>
      </c>
      <c r="D946" s="20">
        <f ca="1">_xll.meDateFromTenor(C946,"1D","Following",$D$11,"Normal")</f>
        <v>43796</v>
      </c>
      <c r="E946" s="99">
        <f ca="1"/>
        <v>1.251731414775752E-2</v>
      </c>
      <c r="F946" s="161">
        <f ca="1">_xll.meCurveForwardRates(C946,$D$9,$D$10)</f>
        <v>1.2595763273896221E-2</v>
      </c>
      <c r="G946" s="7" t="s">
        <v>4</v>
      </c>
      <c r="H946" s="149">
        <f t="shared" ca="1" si="28"/>
        <v>43795</v>
      </c>
      <c r="I946" s="20">
        <f ca="1">_xll.meDateFromTenor(H946,"3M","Following",$I$11,"Normal")</f>
        <v>43887</v>
      </c>
      <c r="J946" s="150">
        <f ca="1"/>
        <v>1.6636667421438243E-2</v>
      </c>
      <c r="K946" s="7" t="s">
        <v>4</v>
      </c>
      <c r="L946" s="149" t="e">
        <f ca="1">_xll.meDateFromTenor(L945,"1D","FOLLOWING",#REF!,"NORMAL")</f>
        <v>#VALUE!</v>
      </c>
      <c r="M946" s="155">
        <f ca="1">_xll.meDateYearFraction(C946,D946,$M$11)</f>
        <v>2.7777777777777779E-3</v>
      </c>
      <c r="N946" s="150">
        <f ca="1"/>
        <v>-2.4300000000065936E-3</v>
      </c>
      <c r="O946" s="7" t="s">
        <v>4</v>
      </c>
      <c r="P946" s="149">
        <f t="shared" ca="1" si="29"/>
        <v>43795</v>
      </c>
      <c r="Q946" s="155">
        <f ca="1">_xll.meDateYearFraction(H946,I946,$Q$11,TRUE)</f>
        <v>0.25555555555555554</v>
      </c>
      <c r="R946" s="150">
        <f ca="1">IF(NOW(),_xll.meCurveForwardRatesFromYearFraction(P946,Q946,$Q$11,$Q$9,$Q$10))</f>
        <v>-3.7175485397107962E-3</v>
      </c>
      <c r="S946" s="134" t="s">
        <v>4</v>
      </c>
    </row>
    <row r="947" spans="1:19" x14ac:dyDescent="0.25">
      <c r="A947" s="128">
        <v>931</v>
      </c>
      <c r="B947" s="133"/>
      <c r="C947" s="149">
        <f ca="1">_xll.meDateFromTenor(C946,"1D","FOLLOWING",$D$11,"NORMAL")</f>
        <v>43796</v>
      </c>
      <c r="D947" s="20">
        <f ca="1">_xll.meDateFromTenor(C947,"1D","Following",$D$11,"Normal")</f>
        <v>43798</v>
      </c>
      <c r="E947" s="99">
        <f ca="1"/>
        <v>1.2528265976521392E-2</v>
      </c>
      <c r="F947" s="161">
        <f ca="1">_xll.meCurveForwardRates(C947,$D$9,$D$10)</f>
        <v>1.2603024085839021E-2</v>
      </c>
      <c r="G947" s="7" t="s">
        <v>4</v>
      </c>
      <c r="H947" s="149">
        <f t="shared" ca="1" si="28"/>
        <v>43796</v>
      </c>
      <c r="I947" s="20">
        <f ca="1">_xll.meDateFromTenor(H947,"3M","Following",$I$11,"Normal")</f>
        <v>43888</v>
      </c>
      <c r="J947" s="150">
        <f ca="1"/>
        <v>1.6642965338368183E-2</v>
      </c>
      <c r="K947" s="7" t="s">
        <v>4</v>
      </c>
      <c r="L947" s="149" t="e">
        <f ca="1">_xll.meDateFromTenor(L946,"1D","FOLLOWING",#REF!,"NORMAL")</f>
        <v>#VALUE!</v>
      </c>
      <c r="M947" s="155">
        <f ca="1">_xll.meDateYearFraction(C947,D947,$M$11)</f>
        <v>5.5555555555555558E-3</v>
      </c>
      <c r="N947" s="150">
        <f ca="1"/>
        <v>-2.4300000000065936E-3</v>
      </c>
      <c r="O947" s="7" t="s">
        <v>4</v>
      </c>
      <c r="P947" s="149">
        <f t="shared" ca="1" si="29"/>
        <v>43796</v>
      </c>
      <c r="Q947" s="155">
        <f ca="1">_xll.meDateYearFraction(H947,I947,$Q$11,TRUE)</f>
        <v>0.25555555555555554</v>
      </c>
      <c r="R947" s="150">
        <f ca="1">IF(NOW(),_xll.meCurveForwardRatesFromYearFraction(P947,Q947,$Q$11,$Q$9,$Q$10))</f>
        <v>-3.7175485397107962E-3</v>
      </c>
      <c r="S947" s="134" t="s">
        <v>4</v>
      </c>
    </row>
    <row r="948" spans="1:19" x14ac:dyDescent="0.25">
      <c r="A948" s="128">
        <v>932</v>
      </c>
      <c r="B948" s="133"/>
      <c r="C948" s="149">
        <f ca="1">_xll.meDateFromTenor(C947,"1D","FOLLOWING",$D$11,"NORMAL")</f>
        <v>43798</v>
      </c>
      <c r="D948" s="20">
        <f ca="1">_xll.meDateFromTenor(C948,"1D","Following",$D$11,"Normal")</f>
        <v>43801</v>
      </c>
      <c r="E948" s="99">
        <f ca="1"/>
        <v>1.2546152537114042E-2</v>
      </c>
      <c r="F948" s="161">
        <f ca="1">_xll.meCurveForwardRates(C948,$D$9,$D$10)</f>
        <v>1.261741076013112E-2</v>
      </c>
      <c r="G948" s="7" t="s">
        <v>4</v>
      </c>
      <c r="H948" s="149">
        <f t="shared" ca="1" si="28"/>
        <v>43798</v>
      </c>
      <c r="I948" s="20">
        <f ca="1">_xll.meDateFromTenor(H948,"3M","Following",$I$11,"Normal")</f>
        <v>43892</v>
      </c>
      <c r="J948" s="150">
        <f ca="1"/>
        <v>1.6655539282392058E-2</v>
      </c>
      <c r="K948" s="7" t="s">
        <v>4</v>
      </c>
      <c r="L948" s="149" t="e">
        <f ca="1">_xll.meDateFromTenor(L947,"1D","FOLLOWING",#REF!,"NORMAL")</f>
        <v>#VALUE!</v>
      </c>
      <c r="M948" s="155">
        <f ca="1">_xll.meDateYearFraction(C948,D948,$M$11)</f>
        <v>8.3333333333333332E-3</v>
      </c>
      <c r="N948" s="150">
        <f ca="1"/>
        <v>-2.4300000000065936E-3</v>
      </c>
      <c r="O948" s="7" t="s">
        <v>4</v>
      </c>
      <c r="P948" s="149">
        <f t="shared" ca="1" si="29"/>
        <v>43798</v>
      </c>
      <c r="Q948" s="155">
        <f ca="1">_xll.meDateYearFraction(H948,I948,$Q$11,TRUE)</f>
        <v>0.26111111111111113</v>
      </c>
      <c r="R948" s="150">
        <f ca="1">IF(NOW(),_xll.meCurveForwardRatesFromYearFraction(P948,Q948,$Q$11,$Q$9,$Q$10))</f>
        <v>-3.7175485397107962E-3</v>
      </c>
      <c r="S948" s="134" t="s">
        <v>4</v>
      </c>
    </row>
    <row r="949" spans="1:19" x14ac:dyDescent="0.25">
      <c r="A949" s="128">
        <v>933</v>
      </c>
      <c r="B949" s="133"/>
      <c r="C949" s="149">
        <f ca="1">_xll.meDateFromTenor(C948,"1D","FOLLOWING",$D$11,"NORMAL")</f>
        <v>43801</v>
      </c>
      <c r="D949" s="20">
        <f ca="1">_xll.meDateFromTenor(C949,"1D","Following",$D$11,"Normal")</f>
        <v>43802</v>
      </c>
      <c r="E949" s="99">
        <f ca="1"/>
        <v>1.2559671234395654E-2</v>
      </c>
      <c r="F949" s="161">
        <f ca="1">_xll.meCurveForwardRates(C949,$D$9,$D$10)</f>
        <v>1.2638653294889446E-2</v>
      </c>
      <c r="G949" s="7" t="s">
        <v>4</v>
      </c>
      <c r="H949" s="149">
        <f t="shared" ca="1" si="28"/>
        <v>43801</v>
      </c>
      <c r="I949" s="20">
        <f ca="1">_xll.meDateFromTenor(H949,"3M","Following",$I$11,"Normal")</f>
        <v>43892</v>
      </c>
      <c r="J949" s="150">
        <f ca="1"/>
        <v>1.6674344742166811E-2</v>
      </c>
      <c r="K949" s="7" t="s">
        <v>4</v>
      </c>
      <c r="L949" s="149" t="e">
        <f ca="1">_xll.meDateFromTenor(L948,"1D","FOLLOWING",#REF!,"NORMAL")</f>
        <v>#VALUE!</v>
      </c>
      <c r="M949" s="155">
        <f ca="1">_xll.meDateYearFraction(C949,D949,$M$11)</f>
        <v>2.7777777777777779E-3</v>
      </c>
      <c r="N949" s="150">
        <f ca="1"/>
        <v>-2.4300000000065936E-3</v>
      </c>
      <c r="O949" s="7" t="s">
        <v>4</v>
      </c>
      <c r="P949" s="149">
        <f t="shared" ca="1" si="29"/>
        <v>43801</v>
      </c>
      <c r="Q949" s="155">
        <f ca="1">_xll.meDateYearFraction(H949,I949,$Q$11,TRUE)</f>
        <v>0.25277777777777777</v>
      </c>
      <c r="R949" s="150">
        <f ca="1">IF(NOW(),_xll.meCurveForwardRatesFromYearFraction(P949,Q949,$Q$11,$Q$9,$Q$10))</f>
        <v>-3.6827311923059828E-4</v>
      </c>
      <c r="S949" s="134" t="s">
        <v>4</v>
      </c>
    </row>
    <row r="950" spans="1:19" x14ac:dyDescent="0.25">
      <c r="A950" s="128">
        <v>934</v>
      </c>
      <c r="B950" s="133"/>
      <c r="C950" s="149">
        <f ca="1">_xll.meDateFromTenor(C949,"1D","FOLLOWING",$D$11,"NORMAL")</f>
        <v>43802</v>
      </c>
      <c r="D950" s="20">
        <f ca="1">_xll.meDateFromTenor(C950,"1D","Following",$D$11,"Normal")</f>
        <v>43803</v>
      </c>
      <c r="E950" s="99">
        <f ca="1"/>
        <v>1.2566575023296212E-2</v>
      </c>
      <c r="F950" s="161">
        <f ca="1">_xll.meCurveForwardRates(C950,$D$9,$D$10)</f>
        <v>1.2645644118553179E-2</v>
      </c>
      <c r="G950" s="7" t="s">
        <v>4</v>
      </c>
      <c r="H950" s="149">
        <f t="shared" ca="1" si="28"/>
        <v>43802</v>
      </c>
      <c r="I950" s="20">
        <f ca="1">_xll.meDateFromTenor(H950,"3M","Following",$I$11,"Normal")</f>
        <v>43893</v>
      </c>
      <c r="J950" s="150">
        <f ca="1"/>
        <v>1.6680598245309819E-2</v>
      </c>
      <c r="K950" s="7" t="s">
        <v>4</v>
      </c>
      <c r="L950" s="149" t="e">
        <f ca="1">_xll.meDateFromTenor(L949,"1D","FOLLOWING",#REF!,"NORMAL")</f>
        <v>#VALUE!</v>
      </c>
      <c r="M950" s="155">
        <f ca="1">_xll.meDateYearFraction(C950,D950,$M$11)</f>
        <v>2.7777777777777779E-3</v>
      </c>
      <c r="N950" s="150">
        <f ca="1"/>
        <v>-2.4300000000065936E-3</v>
      </c>
      <c r="O950" s="7" t="s">
        <v>4</v>
      </c>
      <c r="P950" s="149">
        <f t="shared" ca="1" si="29"/>
        <v>43802</v>
      </c>
      <c r="Q950" s="155">
        <f ca="1">_xll.meDateYearFraction(H950,I950,$Q$11,TRUE)</f>
        <v>0.25277777777777777</v>
      </c>
      <c r="R950" s="150">
        <f ca="1">IF(NOW(),_xll.meCurveForwardRatesFromYearFraction(P950,Q950,$Q$11,$Q$9,$Q$10))</f>
        <v>-3.7175485397107962E-3</v>
      </c>
      <c r="S950" s="134" t="s">
        <v>4</v>
      </c>
    </row>
    <row r="951" spans="1:19" x14ac:dyDescent="0.25">
      <c r="A951" s="128">
        <v>935</v>
      </c>
      <c r="B951" s="133"/>
      <c r="C951" s="149">
        <f ca="1">_xll.meDateFromTenor(C950,"1D","FOLLOWING",$D$11,"NORMAL")</f>
        <v>43803</v>
      </c>
      <c r="D951" s="20">
        <f ca="1">_xll.meDateFromTenor(C951,"1D","Following",$D$11,"Normal")</f>
        <v>43804</v>
      </c>
      <c r="E951" s="99">
        <f ca="1"/>
        <v>1.2573434303559995E-2</v>
      </c>
      <c r="F951" s="161">
        <f ca="1">_xll.meCurveForwardRates(C951,$D$9,$D$10)</f>
        <v>1.2652589920131518E-2</v>
      </c>
      <c r="G951" s="7" t="s">
        <v>4</v>
      </c>
      <c r="H951" s="149">
        <f t="shared" ca="1" si="28"/>
        <v>43803</v>
      </c>
      <c r="I951" s="20">
        <f ca="1">_xll.meDateFromTenor(H951,"3M","Following",$I$11,"Normal")</f>
        <v>43894</v>
      </c>
      <c r="J951" s="150">
        <f ca="1"/>
        <v>1.6686844175431752E-2</v>
      </c>
      <c r="K951" s="7" t="s">
        <v>4</v>
      </c>
      <c r="L951" s="149" t="e">
        <f ca="1">_xll.meDateFromTenor(L950,"1D","FOLLOWING",#REF!,"NORMAL")</f>
        <v>#VALUE!</v>
      </c>
      <c r="M951" s="155">
        <f ca="1">_xll.meDateYearFraction(C951,D951,$M$11)</f>
        <v>2.7777777777777779E-3</v>
      </c>
      <c r="N951" s="150">
        <f ca="1"/>
        <v>-2.4300000000065936E-3</v>
      </c>
      <c r="O951" s="7" t="s">
        <v>4</v>
      </c>
      <c r="P951" s="149">
        <f t="shared" ca="1" si="29"/>
        <v>43803</v>
      </c>
      <c r="Q951" s="155">
        <f ca="1">_xll.meDateYearFraction(H951,I951,$Q$11,TRUE)</f>
        <v>0.25277777777777777</v>
      </c>
      <c r="R951" s="150">
        <f ca="1">IF(NOW(),_xll.meCurveForwardRatesFromYearFraction(P951,Q951,$Q$11,$Q$9,$Q$10))</f>
        <v>-3.5386700940431452E-4</v>
      </c>
      <c r="S951" s="134" t="s">
        <v>4</v>
      </c>
    </row>
    <row r="952" spans="1:19" x14ac:dyDescent="0.25">
      <c r="A952" s="128">
        <v>936</v>
      </c>
      <c r="B952" s="133"/>
      <c r="C952" s="149">
        <f ca="1">_xll.meDateFromTenor(C951,"1D","FOLLOWING",$D$11,"NORMAL")</f>
        <v>43804</v>
      </c>
      <c r="D952" s="20">
        <f ca="1">_xll.meDateFromTenor(C952,"1D","Following",$D$11,"Normal")</f>
        <v>43805</v>
      </c>
      <c r="E952" s="99">
        <f ca="1"/>
        <v>1.2580249069431605E-2</v>
      </c>
      <c r="F952" s="161">
        <f ca="1">_xll.meCurveForwardRates(C952,$D$9,$D$10)</f>
        <v>1.2659490692871422E-2</v>
      </c>
      <c r="G952" s="7" t="s">
        <v>4</v>
      </c>
      <c r="H952" s="149">
        <f t="shared" ca="1" si="28"/>
        <v>43804</v>
      </c>
      <c r="I952" s="20">
        <f ca="1">_xll.meDateFromTenor(H952,"3M","Following",$I$11,"Normal")</f>
        <v>43895</v>
      </c>
      <c r="J952" s="150">
        <f ca="1"/>
        <v>1.6693082483754538E-2</v>
      </c>
      <c r="K952" s="7" t="s">
        <v>4</v>
      </c>
      <c r="L952" s="149" t="e">
        <f ca="1">_xll.meDateFromTenor(L951,"1D","FOLLOWING",#REF!,"NORMAL")</f>
        <v>#VALUE!</v>
      </c>
      <c r="M952" s="155">
        <f ca="1">_xll.meDateYearFraction(C952,D952,$M$11)</f>
        <v>2.7777777777777779E-3</v>
      </c>
      <c r="N952" s="150">
        <f ca="1"/>
        <v>-2.4300000000065936E-3</v>
      </c>
      <c r="O952" s="7" t="s">
        <v>4</v>
      </c>
      <c r="P952" s="149">
        <f t="shared" ca="1" si="29"/>
        <v>43804</v>
      </c>
      <c r="Q952" s="155">
        <f ca="1">_xll.meDateYearFraction(H952,I952,$Q$11,TRUE)</f>
        <v>0.25277777777777777</v>
      </c>
      <c r="R952" s="150">
        <f ca="1">IF(NOW(),_xll.meCurveForwardRatesFromYearFraction(P952,Q952,$Q$11,$Q$9,$Q$10))</f>
        <v>-3.7175485397107962E-3</v>
      </c>
      <c r="S952" s="134" t="s">
        <v>4</v>
      </c>
    </row>
    <row r="953" spans="1:19" x14ac:dyDescent="0.25">
      <c r="A953" s="128">
        <v>937</v>
      </c>
      <c r="B953" s="133"/>
      <c r="C953" s="149">
        <f ca="1">_xll.meDateFromTenor(C952,"1D","FOLLOWING",$D$11,"NORMAL")</f>
        <v>43805</v>
      </c>
      <c r="D953" s="20">
        <f ca="1">_xll.meDateFromTenor(C953,"1D","Following",$D$11,"Normal")</f>
        <v>43808</v>
      </c>
      <c r="E953" s="99">
        <f ca="1"/>
        <v>1.2594170756168355E-2</v>
      </c>
      <c r="F953" s="161">
        <f ca="1">_xll.meCurveForwardRates(C953,$D$9,$D$10)</f>
        <v>1.2666346429621722E-2</v>
      </c>
      <c r="G953" s="7" t="s">
        <v>4</v>
      </c>
      <c r="H953" s="149">
        <f t="shared" ca="1" si="28"/>
        <v>43805</v>
      </c>
      <c r="I953" s="20">
        <f ca="1">_xll.meDateFromTenor(H953,"3M","Following",$I$11,"Normal")</f>
        <v>43896</v>
      </c>
      <c r="J953" s="150">
        <f ca="1"/>
        <v>1.6699313121500112E-2</v>
      </c>
      <c r="K953" s="7" t="s">
        <v>4</v>
      </c>
      <c r="L953" s="149" t="e">
        <f ca="1">_xll.meDateFromTenor(L952,"1D","FOLLOWING",#REF!,"NORMAL")</f>
        <v>#VALUE!</v>
      </c>
      <c r="M953" s="155">
        <f ca="1">_xll.meDateYearFraction(C953,D953,$M$11)</f>
        <v>8.3333333333333332E-3</v>
      </c>
      <c r="N953" s="150">
        <f ca="1"/>
        <v>-2.4300000000065936E-3</v>
      </c>
      <c r="O953" s="7" t="s">
        <v>4</v>
      </c>
      <c r="P953" s="149">
        <f t="shared" ca="1" si="29"/>
        <v>43805</v>
      </c>
      <c r="Q953" s="155">
        <f ca="1">_xll.meDateYearFraction(H953,I953,$Q$11,TRUE)</f>
        <v>0.25277777777777777</v>
      </c>
      <c r="R953" s="150">
        <f ca="1">IF(NOW(),_xll.meCurveForwardRatesFromYearFraction(P953,Q953,$Q$11,$Q$9,$Q$10))</f>
        <v>-3.394321116289251E-4</v>
      </c>
      <c r="S953" s="134" t="s">
        <v>4</v>
      </c>
    </row>
    <row r="954" spans="1:19" x14ac:dyDescent="0.25">
      <c r="A954" s="128">
        <v>938</v>
      </c>
      <c r="B954" s="133"/>
      <c r="C954" s="149">
        <f ca="1">_xll.meDateFromTenor(C953,"1D","FOLLOWING",$D$11,"NORMAL")</f>
        <v>43808</v>
      </c>
      <c r="D954" s="20">
        <f ca="1">_xll.meDateFromTenor(C954,"1D","Following",$D$11,"Normal")</f>
        <v>43809</v>
      </c>
      <c r="E954" s="99">
        <f ca="1"/>
        <v>1.2607062869651787E-2</v>
      </c>
      <c r="F954" s="161">
        <f ca="1">_xll.meCurveForwardRates(C954,$D$9,$D$10)</f>
        <v>1.2686643356312644E-2</v>
      </c>
      <c r="G954" s="7" t="s">
        <v>4</v>
      </c>
      <c r="H954" s="149">
        <f t="shared" ca="1" si="28"/>
        <v>43808</v>
      </c>
      <c r="I954" s="20">
        <f ca="1">_xll.meDateFromTenor(H954,"3M","Following",$I$11,"Normal")</f>
        <v>43899</v>
      </c>
      <c r="J954" s="150">
        <f ca="1"/>
        <v>1.6717958523492796E-2</v>
      </c>
      <c r="K954" s="7" t="s">
        <v>4</v>
      </c>
      <c r="L954" s="149" t="e">
        <f ca="1">_xll.meDateFromTenor(L953,"1D","FOLLOWING",#REF!,"NORMAL")</f>
        <v>#VALUE!</v>
      </c>
      <c r="M954" s="155">
        <f ca="1">_xll.meDateYearFraction(C954,D954,$M$11)</f>
        <v>2.7777777777777779E-3</v>
      </c>
      <c r="N954" s="150">
        <f ca="1"/>
        <v>-2.4300000000065936E-3</v>
      </c>
      <c r="O954" s="7" t="s">
        <v>4</v>
      </c>
      <c r="P954" s="149">
        <f t="shared" ca="1" si="29"/>
        <v>43808</v>
      </c>
      <c r="Q954" s="155">
        <f ca="1">_xll.meDateYearFraction(H954,I954,$Q$11,TRUE)</f>
        <v>0.25277777777777777</v>
      </c>
      <c r="R954" s="150">
        <f ca="1">IF(NOW(),_xll.meCurveForwardRatesFromYearFraction(P954,Q954,$Q$11,$Q$9,$Q$10))</f>
        <v>-3.7175485397107962E-3</v>
      </c>
      <c r="S954" s="134" t="s">
        <v>4</v>
      </c>
    </row>
    <row r="955" spans="1:19" x14ac:dyDescent="0.25">
      <c r="A955" s="128">
        <v>939</v>
      </c>
      <c r="B955" s="133"/>
      <c r="C955" s="149">
        <f ca="1">_xll.meDateFromTenor(C954,"1D","FOLLOWING",$D$11,"NORMAL")</f>
        <v>43809</v>
      </c>
      <c r="D955" s="20">
        <f ca="1">_xll.meDateFromTenor(C955,"1D","Following",$D$11,"Normal")</f>
        <v>43810</v>
      </c>
      <c r="E955" s="99">
        <f ca="1"/>
        <v>1.2613654974513767E-2</v>
      </c>
      <c r="F955" s="161">
        <f ca="1">_xll.meCurveForwardRates(C955,$D$9,$D$10)</f>
        <v>1.2693318881025428E-2</v>
      </c>
      <c r="G955" s="7" t="s">
        <v>4</v>
      </c>
      <c r="H955" s="149">
        <f t="shared" ca="1" si="28"/>
        <v>43809</v>
      </c>
      <c r="I955" s="20">
        <f ca="1">_xll.meDateFromTenor(H955,"3M","Following",$I$11,"Normal")</f>
        <v>43900</v>
      </c>
      <c r="J955" s="150">
        <f ca="1"/>
        <v>1.6724157991148774E-2</v>
      </c>
      <c r="K955" s="7" t="s">
        <v>4</v>
      </c>
      <c r="L955" s="149" t="e">
        <f ca="1">_xll.meDateFromTenor(L954,"1D","FOLLOWING",#REF!,"NORMAL")</f>
        <v>#VALUE!</v>
      </c>
      <c r="M955" s="155">
        <f ca="1">_xll.meDateYearFraction(C955,D955,$M$11)</f>
        <v>2.7777777777777779E-3</v>
      </c>
      <c r="N955" s="150">
        <f ca="1"/>
        <v>-2.4300000000065936E-3</v>
      </c>
      <c r="O955" s="7" t="s">
        <v>4</v>
      </c>
      <c r="P955" s="149">
        <f t="shared" ca="1" si="29"/>
        <v>43809</v>
      </c>
      <c r="Q955" s="155">
        <f ca="1">_xll.meDateYearFraction(H955,I955,$Q$11,TRUE)</f>
        <v>0.25277777777777777</v>
      </c>
      <c r="R955" s="150">
        <f ca="1">IF(NOW(),_xll.meCurveForwardRatesFromYearFraction(P955,Q955,$Q$11,$Q$9,$Q$10))</f>
        <v>-3.7175485397107962E-3</v>
      </c>
      <c r="S955" s="134" t="s">
        <v>4</v>
      </c>
    </row>
    <row r="956" spans="1:19" x14ac:dyDescent="0.25">
      <c r="A956" s="128">
        <v>940</v>
      </c>
      <c r="B956" s="133"/>
      <c r="C956" s="149">
        <f ca="1">_xll.meDateFromTenor(C955,"1D","FOLLOWING",$D$11,"NORMAL")</f>
        <v>43810</v>
      </c>
      <c r="D956" s="20">
        <f ca="1">_xll.meDateFromTenor(C956,"1D","Following",$D$11,"Normal")</f>
        <v>43811</v>
      </c>
      <c r="E956" s="99">
        <f ca="1"/>
        <v>1.2620202529332093E-2</v>
      </c>
      <c r="F956" s="161">
        <f ca="1">_xll.meCurveForwardRates(C956,$D$9,$D$10)</f>
        <v>1.2699949335373883E-2</v>
      </c>
      <c r="G956" s="7" t="s">
        <v>4</v>
      </c>
      <c r="H956" s="149">
        <f t="shared" ca="1" si="28"/>
        <v>43810</v>
      </c>
      <c r="I956" s="20">
        <f ca="1">_xll.meDateFromTenor(H956,"3M","Following",$I$11,"Normal")</f>
        <v>43901</v>
      </c>
      <c r="J956" s="150">
        <f ca="1"/>
        <v>1.6730349544337178E-2</v>
      </c>
      <c r="K956" s="7" t="s">
        <v>4</v>
      </c>
      <c r="L956" s="149" t="e">
        <f ca="1">_xll.meDateFromTenor(L955,"1D","FOLLOWING",#REF!,"NORMAL")</f>
        <v>#VALUE!</v>
      </c>
      <c r="M956" s="155">
        <f ca="1">_xll.meDateYearFraction(C956,D956,$M$11)</f>
        <v>2.7777777777777779E-3</v>
      </c>
      <c r="N956" s="150">
        <f ca="1"/>
        <v>-2.4300000000065936E-3</v>
      </c>
      <c r="O956" s="7" t="s">
        <v>4</v>
      </c>
      <c r="P956" s="149">
        <f t="shared" ca="1" si="29"/>
        <v>43810</v>
      </c>
      <c r="Q956" s="155">
        <f ca="1">_xll.meDateYearFraction(H956,I956,$Q$11,TRUE)</f>
        <v>0.25277777777777777</v>
      </c>
      <c r="R956" s="150">
        <f ca="1">IF(NOW(),_xll.meCurveForwardRatesFromYearFraction(P956,Q956,$Q$11,$Q$9,$Q$10))</f>
        <v>-3.7175485397107962E-3</v>
      </c>
      <c r="S956" s="134" t="s">
        <v>4</v>
      </c>
    </row>
    <row r="957" spans="1:19" x14ac:dyDescent="0.25">
      <c r="A957" s="128">
        <v>941</v>
      </c>
      <c r="B957" s="133"/>
      <c r="C957" s="149">
        <f ca="1">_xll.meDateFromTenor(C956,"1D","FOLLOWING",$D$11,"NORMAL")</f>
        <v>43811</v>
      </c>
      <c r="D957" s="20">
        <f ca="1">_xll.meDateFromTenor(C957,"1D","Following",$D$11,"Normal")</f>
        <v>43812</v>
      </c>
      <c r="E957" s="99">
        <f ca="1"/>
        <v>1.2626705528431304E-2</v>
      </c>
      <c r="F957" s="161">
        <f ca="1">_xll.meCurveForwardRates(C957,$D$9,$D$10)</f>
        <v>1.2706534712727091E-2</v>
      </c>
      <c r="G957" s="7" t="s">
        <v>4</v>
      </c>
      <c r="H957" s="149">
        <f t="shared" ca="1" si="28"/>
        <v>43811</v>
      </c>
      <c r="I957" s="20">
        <f ca="1">_xll.meDateFromTenor(H957,"3M","Following",$I$11,"Normal")</f>
        <v>43902</v>
      </c>
      <c r="J957" s="150">
        <f ca="1"/>
        <v>1.6736533134279925E-2</v>
      </c>
      <c r="K957" s="7" t="s">
        <v>4</v>
      </c>
      <c r="L957" s="149" t="e">
        <f ca="1">_xll.meDateFromTenor(L956,"1D","FOLLOWING",#REF!,"NORMAL")</f>
        <v>#VALUE!</v>
      </c>
      <c r="M957" s="155">
        <f ca="1">_xll.meDateYearFraction(C957,D957,$M$11)</f>
        <v>2.7777777777777779E-3</v>
      </c>
      <c r="N957" s="150">
        <f ca="1"/>
        <v>-2.4300000000065936E-3</v>
      </c>
      <c r="O957" s="7" t="s">
        <v>4</v>
      </c>
      <c r="P957" s="149">
        <f t="shared" ca="1" si="29"/>
        <v>43811</v>
      </c>
      <c r="Q957" s="155">
        <f ca="1">_xll.meDateYearFraction(H957,I957,$Q$11,TRUE)</f>
        <v>0.25277777777777777</v>
      </c>
      <c r="R957" s="150">
        <f ca="1">IF(NOW(),_xll.meCurveForwardRatesFromYearFraction(P957,Q957,$Q$11,$Q$9,$Q$10))</f>
        <v>-2.9596476577012571E-4</v>
      </c>
      <c r="S957" s="134" t="s">
        <v>4</v>
      </c>
    </row>
    <row r="958" spans="1:19" x14ac:dyDescent="0.25">
      <c r="A958" s="128">
        <v>942</v>
      </c>
      <c r="B958" s="133"/>
      <c r="C958" s="149">
        <f ca="1">_xll.meDateFromTenor(C957,"1D","FOLLOWING",$D$11,"NORMAL")</f>
        <v>43812</v>
      </c>
      <c r="D958" s="20">
        <f ca="1">_xll.meDateFromTenor(C958,"1D","Following",$D$11,"Normal")</f>
        <v>43815</v>
      </c>
      <c r="E958" s="99">
        <f ca="1"/>
        <v>1.2640006755857459E-2</v>
      </c>
      <c r="F958" s="161">
        <f ca="1">_xll.meCurveForwardRates(C958,$D$9,$D$10)</f>
        <v>1.271307500581309E-2</v>
      </c>
      <c r="G958" s="7" t="s">
        <v>4</v>
      </c>
      <c r="H958" s="149">
        <f t="shared" ca="1" si="28"/>
        <v>43812</v>
      </c>
      <c r="I958" s="20">
        <f ca="1">_xll.meDateFromTenor(H958,"3M","Following",$I$11,"Normal")</f>
        <v>43903</v>
      </c>
      <c r="J958" s="150">
        <f ca="1"/>
        <v>1.6742708712198951E-2</v>
      </c>
      <c r="K958" s="7" t="s">
        <v>4</v>
      </c>
      <c r="L958" s="149" t="e">
        <f ca="1">_xll.meDateFromTenor(L957,"1D","FOLLOWING",#REF!,"NORMAL")</f>
        <v>#VALUE!</v>
      </c>
      <c r="M958" s="155">
        <f ca="1">_xll.meDateYearFraction(C958,D958,$M$11)</f>
        <v>8.3333333333333332E-3</v>
      </c>
      <c r="N958" s="150">
        <f ca="1"/>
        <v>-2.4300000000065936E-3</v>
      </c>
      <c r="O958" s="7" t="s">
        <v>4</v>
      </c>
      <c r="P958" s="149">
        <f t="shared" ca="1" si="29"/>
        <v>43812</v>
      </c>
      <c r="Q958" s="155">
        <f ca="1">_xll.meDateYearFraction(H958,I958,$Q$11,TRUE)</f>
        <v>0.25277777777777777</v>
      </c>
      <c r="R958" s="150">
        <f ca="1">IF(NOW(),_xll.meCurveForwardRatesFromYearFraction(P958,Q958,$Q$11,$Q$9,$Q$10))</f>
        <v>-3.7175485397107962E-3</v>
      </c>
      <c r="S958" s="134" t="s">
        <v>4</v>
      </c>
    </row>
    <row r="959" spans="1:19" x14ac:dyDescent="0.25">
      <c r="A959" s="128">
        <v>943</v>
      </c>
      <c r="B959" s="133"/>
      <c r="C959" s="149">
        <f ca="1">_xll.meDateFromTenor(C958,"1D","FOLLOWING",$D$11,"NORMAL")</f>
        <v>43815</v>
      </c>
      <c r="D959" s="20">
        <f ca="1">_xll.meDateFromTenor(C959,"1D","Following",$D$11,"Normal")</f>
        <v>43816</v>
      </c>
      <c r="E959" s="99">
        <f ca="1"/>
        <v>1.2652271846374009E-2</v>
      </c>
      <c r="F959" s="161">
        <f ca="1">_xll.meCurveForwardRates(C959,$D$9,$D$10)</f>
        <v>1.2732425311927642E-2</v>
      </c>
      <c r="G959" s="7" t="s">
        <v>4</v>
      </c>
      <c r="H959" s="149">
        <f t="shared" ca="1" si="28"/>
        <v>43815</v>
      </c>
      <c r="I959" s="20">
        <f ca="1">_xll.meDateFromTenor(H959,"3M","Following",$I$11,"Normal")</f>
        <v>43906</v>
      </c>
      <c r="J959" s="150">
        <f ca="1"/>
        <v>1.676118688603298E-2</v>
      </c>
      <c r="K959" s="7" t="s">
        <v>4</v>
      </c>
      <c r="L959" s="149" t="e">
        <f ca="1">_xll.meDateFromTenor(L958,"1D","FOLLOWING",#REF!,"NORMAL")</f>
        <v>#VALUE!</v>
      </c>
      <c r="M959" s="155">
        <f ca="1">_xll.meDateYearFraction(C959,D959,$M$11)</f>
        <v>2.7777777777777779E-3</v>
      </c>
      <c r="N959" s="150">
        <f ca="1"/>
        <v>-2.4300000000065936E-3</v>
      </c>
      <c r="O959" s="7" t="s">
        <v>4</v>
      </c>
      <c r="P959" s="149">
        <f t="shared" ca="1" si="29"/>
        <v>43815</v>
      </c>
      <c r="Q959" s="155">
        <f ca="1">_xll.meDateYearFraction(H959,I959,$Q$11,TRUE)</f>
        <v>0.25277777777777777</v>
      </c>
      <c r="R959" s="150">
        <f ca="1">IF(NOW(),_xll.meCurveForwardRatesFromYearFraction(P959,Q959,$Q$11,$Q$9,$Q$10))</f>
        <v>-3.7175485397107962E-3</v>
      </c>
      <c r="S959" s="134" t="s">
        <v>4</v>
      </c>
    </row>
    <row r="960" spans="1:19" x14ac:dyDescent="0.25">
      <c r="A960" s="128">
        <v>944</v>
      </c>
      <c r="B960" s="133"/>
      <c r="C960" s="149">
        <f ca="1">_xll.meDateFromTenor(C959,"1D","FOLLOWING",$D$11,"NORMAL")</f>
        <v>43816</v>
      </c>
      <c r="D960" s="20">
        <f ca="1">_xll.meDateFromTenor(C960,"1D","Following",$D$11,"Normal")</f>
        <v>43817</v>
      </c>
      <c r="E960" s="99">
        <f ca="1"/>
        <v>1.2658551976469968E-2</v>
      </c>
      <c r="F960" s="161">
        <f ca="1">_xll.meCurveForwardRates(C960,$D$9,$D$10)</f>
        <v>1.2738785199706504E-2</v>
      </c>
      <c r="G960" s="7" t="s">
        <v>4</v>
      </c>
      <c r="H960" s="149">
        <f t="shared" ca="1" si="28"/>
        <v>43816</v>
      </c>
      <c r="I960" s="20">
        <f ca="1">_xll.meDateFromTenor(H960,"3M","Following",$I$11,"Normal")</f>
        <v>43907</v>
      </c>
      <c r="J960" s="150">
        <f ca="1"/>
        <v>1.6767329928076398E-2</v>
      </c>
      <c r="K960" s="7" t="s">
        <v>4</v>
      </c>
      <c r="L960" s="149" t="e">
        <f ca="1">_xll.meDateFromTenor(L959,"1D","FOLLOWING",#REF!,"NORMAL")</f>
        <v>#VALUE!</v>
      </c>
      <c r="M960" s="155">
        <f ca="1">_xll.meDateYearFraction(C960,D960,$M$11)</f>
        <v>2.7777777777777779E-3</v>
      </c>
      <c r="N960" s="150">
        <f ca="1"/>
        <v>-2.4300000000065936E-3</v>
      </c>
      <c r="O960" s="7" t="s">
        <v>4</v>
      </c>
      <c r="P960" s="149">
        <f t="shared" ca="1" si="29"/>
        <v>43816</v>
      </c>
      <c r="Q960" s="155">
        <f ca="1">_xll.meDateYearFraction(H960,I960,$Q$11,TRUE)</f>
        <v>0.25277777777777777</v>
      </c>
      <c r="R960" s="150">
        <f ca="1">IF(NOW(),_xll.meCurveForwardRatesFromYearFraction(P960,Q960,$Q$11,$Q$9,$Q$10))</f>
        <v>-3.7175485397107962E-3</v>
      </c>
      <c r="S960" s="134" t="s">
        <v>4</v>
      </c>
    </row>
    <row r="961" spans="1:19" x14ac:dyDescent="0.25">
      <c r="A961" s="128">
        <v>945</v>
      </c>
      <c r="B961" s="133"/>
      <c r="C961" s="149">
        <f ca="1">_xll.meDateFromTenor(C960,"1D","FOLLOWING",$D$11,"NORMAL")</f>
        <v>43817</v>
      </c>
      <c r="D961" s="20">
        <f ca="1">_xll.meDateFromTenor(C961,"1D","Following",$D$11,"Normal")</f>
        <v>43818</v>
      </c>
      <c r="E961" s="99">
        <f ca="1"/>
        <v>1.2664787515035459E-2</v>
      </c>
      <c r="F961" s="161">
        <f ca="1">_xll.meCurveForwardRates(C961,$D$9,$D$10)</f>
        <v>1.2745099969047491E-2</v>
      </c>
      <c r="G961" s="7" t="s">
        <v>4</v>
      </c>
      <c r="H961" s="149">
        <f t="shared" ca="1" si="28"/>
        <v>43817</v>
      </c>
      <c r="I961" s="20">
        <f ca="1">_xll.meDateFromTenor(H961,"3M","Following",$I$11,"Normal")</f>
        <v>43908</v>
      </c>
      <c r="J961" s="150">
        <f ca="1"/>
        <v>1.6773464714205735E-2</v>
      </c>
      <c r="K961" s="7" t="s">
        <v>4</v>
      </c>
      <c r="L961" s="149" t="e">
        <f ca="1">_xll.meDateFromTenor(L960,"1D","FOLLOWING",#REF!,"NORMAL")</f>
        <v>#VALUE!</v>
      </c>
      <c r="M961" s="155">
        <f ca="1">_xll.meDateYearFraction(C961,D961,$M$11)</f>
        <v>2.7777777777777779E-3</v>
      </c>
      <c r="N961" s="150">
        <f ca="1"/>
        <v>-2.4300000000065936E-3</v>
      </c>
      <c r="O961" s="7" t="s">
        <v>4</v>
      </c>
      <c r="P961" s="149">
        <f t="shared" ca="1" si="29"/>
        <v>43817</v>
      </c>
      <c r="Q961" s="155">
        <f ca="1">_xll.meDateYearFraction(H961,I961,$Q$11,TRUE)</f>
        <v>0.25277777777777777</v>
      </c>
      <c r="R961" s="150">
        <f ca="1">IF(NOW(),_xll.meCurveForwardRatesFromYearFraction(P961,Q961,$Q$11,$Q$9,$Q$10))</f>
        <v>-2.5227459895259415E-4</v>
      </c>
      <c r="S961" s="134" t="s">
        <v>4</v>
      </c>
    </row>
    <row r="962" spans="1:19" x14ac:dyDescent="0.25">
      <c r="A962" s="128">
        <v>946</v>
      </c>
      <c r="B962" s="133"/>
      <c r="C962" s="149">
        <f ca="1">_xll.meDateFromTenor(C961,"1D","FOLLOWING",$D$11,"NORMAL")</f>
        <v>43818</v>
      </c>
      <c r="D962" s="20">
        <f ca="1">_xll.meDateFromTenor(C962,"1D","Following",$D$11,"Normal")</f>
        <v>43819</v>
      </c>
      <c r="E962" s="99">
        <f ca="1"/>
        <v>1.2670978455835469E-2</v>
      </c>
      <c r="F962" s="161">
        <f ca="1">_xll.meCurveForwardRates(C962,$D$9,$D$10)</f>
        <v>1.2751369612794772E-2</v>
      </c>
      <c r="G962" s="7" t="s">
        <v>4</v>
      </c>
      <c r="H962" s="149">
        <f t="shared" ca="1" si="28"/>
        <v>43818</v>
      </c>
      <c r="I962" s="20">
        <f ca="1">_xll.meDateFromTenor(H962,"3M","Following",$I$11,"Normal")</f>
        <v>43909</v>
      </c>
      <c r="J962" s="150">
        <f ca="1"/>
        <v>1.6779591195642912E-2</v>
      </c>
      <c r="K962" s="7" t="s">
        <v>4</v>
      </c>
      <c r="L962" s="149" t="e">
        <f ca="1">_xll.meDateFromTenor(L961,"1D","FOLLOWING",#REF!,"NORMAL")</f>
        <v>#VALUE!</v>
      </c>
      <c r="M962" s="155">
        <f ca="1">_xll.meDateYearFraction(C962,D962,$M$11)</f>
        <v>2.7777777777777779E-3</v>
      </c>
      <c r="N962" s="150">
        <f ca="1"/>
        <v>-2.4300000000065936E-3</v>
      </c>
      <c r="O962" s="7" t="s">
        <v>4</v>
      </c>
      <c r="P962" s="149">
        <f t="shared" ca="1" si="29"/>
        <v>43818</v>
      </c>
      <c r="Q962" s="155">
        <f ca="1">_xll.meDateYearFraction(H962,I962,$Q$11,TRUE)</f>
        <v>0.25277777777777777</v>
      </c>
      <c r="R962" s="150">
        <f ca="1">IF(NOW(),_xll.meCurveForwardRatesFromYearFraction(P962,Q962,$Q$11,$Q$9,$Q$10))</f>
        <v>-3.7175485397107962E-3</v>
      </c>
      <c r="S962" s="134" t="s">
        <v>4</v>
      </c>
    </row>
    <row r="963" spans="1:19" x14ac:dyDescent="0.25">
      <c r="A963" s="128">
        <v>947</v>
      </c>
      <c r="B963" s="133"/>
      <c r="C963" s="149">
        <f ca="1">_xll.meDateFromTenor(C962,"1D","FOLLOWING",$D$11,"NORMAL")</f>
        <v>43819</v>
      </c>
      <c r="D963" s="20">
        <f ca="1">_xll.meDateFromTenor(C963,"1D","Following",$D$11,"Normal")</f>
        <v>43822</v>
      </c>
      <c r="E963" s="99">
        <f ca="1"/>
        <v>1.2683658497598716E-2</v>
      </c>
      <c r="F963" s="161">
        <f ca="1">_xll.meCurveForwardRates(C963,$D$9,$D$10)</f>
        <v>1.2757594124040095E-2</v>
      </c>
      <c r="G963" s="7" t="s">
        <v>4</v>
      </c>
      <c r="H963" s="149">
        <f t="shared" ca="1" si="28"/>
        <v>43819</v>
      </c>
      <c r="I963" s="20">
        <f ca="1">_xll.meDateFromTenor(H963,"3M","Following",$I$11,"Normal")</f>
        <v>43910</v>
      </c>
      <c r="J963" s="150">
        <f ca="1"/>
        <v>1.6785709323609867E-2</v>
      </c>
      <c r="K963" s="7" t="s">
        <v>4</v>
      </c>
      <c r="L963" s="149" t="e">
        <f ca="1">_xll.meDateFromTenor(L962,"1D","FOLLOWING",#REF!,"NORMAL")</f>
        <v>#VALUE!</v>
      </c>
      <c r="M963" s="155">
        <f ca="1">_xll.meDateYearFraction(C963,D963,$M$11)</f>
        <v>8.3333333333333332E-3</v>
      </c>
      <c r="N963" s="150">
        <f ca="1"/>
        <v>-2.4300000000065936E-3</v>
      </c>
      <c r="O963" s="7" t="s">
        <v>4</v>
      </c>
      <c r="P963" s="149">
        <f t="shared" ca="1" si="29"/>
        <v>43819</v>
      </c>
      <c r="Q963" s="155">
        <f ca="1">_xll.meDateYearFraction(H963,I963,$Q$11,TRUE)</f>
        <v>0.25277777777777777</v>
      </c>
      <c r="R963" s="150">
        <f ca="1">IF(NOW(),_xll.meCurveForwardRatesFromYearFraction(P963,Q963,$Q$11,$Q$9,$Q$10))</f>
        <v>-2.3766639598707856E-4</v>
      </c>
      <c r="S963" s="134" t="s">
        <v>4</v>
      </c>
    </row>
    <row r="964" spans="1:19" x14ac:dyDescent="0.25">
      <c r="A964" s="128">
        <v>948</v>
      </c>
      <c r="B964" s="133"/>
      <c r="C964" s="149">
        <f ca="1">_xll.meDateFromTenor(C963,"1D","FOLLOWING",$D$11,"NORMAL")</f>
        <v>43822</v>
      </c>
      <c r="D964" s="20">
        <f ca="1">_xll.meDateFromTenor(C964,"1D","Following",$D$11,"Normal")</f>
        <v>43823</v>
      </c>
      <c r="E964" s="99">
        <f ca="1"/>
        <v>1.2695296121716427E-2</v>
      </c>
      <c r="F964" s="161">
        <f ca="1">_xll.meCurveForwardRates(C964,$D$9,$D$10)</f>
        <v>1.2775996794019306E-2</v>
      </c>
      <c r="G964" s="7" t="s">
        <v>4</v>
      </c>
      <c r="H964" s="149">
        <f t="shared" ca="1" si="28"/>
        <v>43822</v>
      </c>
      <c r="I964" s="20">
        <f ca="1">_xll.meDateFromTenor(H964,"3M","Following",$I$11,"Normal")</f>
        <v>43913</v>
      </c>
      <c r="J964" s="150">
        <f ca="1"/>
        <v>1.6804013098908641E-2</v>
      </c>
      <c r="K964" s="7" t="s">
        <v>4</v>
      </c>
      <c r="L964" s="149" t="e">
        <f ca="1">_xll.meDateFromTenor(L963,"1D","FOLLOWING",#REF!,"NORMAL")</f>
        <v>#VALUE!</v>
      </c>
      <c r="M964" s="155">
        <f ca="1">_xll.meDateYearFraction(C964,D964,$M$11)</f>
        <v>2.7777777777777779E-3</v>
      </c>
      <c r="N964" s="150">
        <f ca="1"/>
        <v>-2.4300000000065936E-3</v>
      </c>
      <c r="O964" s="7" t="s">
        <v>4</v>
      </c>
      <c r="P964" s="149">
        <f t="shared" ca="1" si="29"/>
        <v>43822</v>
      </c>
      <c r="Q964" s="155">
        <f ca="1">_xll.meDateYearFraction(H964,I964,$Q$11,TRUE)</f>
        <v>0.25277777777777777</v>
      </c>
      <c r="R964" s="150">
        <f ca="1">IF(NOW(),_xll.meCurveForwardRatesFromYearFraction(P964,Q964,$Q$11,$Q$9,$Q$10))</f>
        <v>-3.7175485397107962E-3</v>
      </c>
      <c r="S964" s="134" t="s">
        <v>4</v>
      </c>
    </row>
    <row r="965" spans="1:19" x14ac:dyDescent="0.25">
      <c r="A965" s="128">
        <v>949</v>
      </c>
      <c r="B965" s="133"/>
      <c r="C965" s="149">
        <f ca="1">_xll.meDateFromTenor(C964,"1D","FOLLOWING",$D$11,"NORMAL")</f>
        <v>43823</v>
      </c>
      <c r="D965" s="20">
        <f ca="1">_xll.meDateFromTenor(C965,"1D","Following",$D$11,"Normal")</f>
        <v>43826</v>
      </c>
      <c r="E965" s="99">
        <f ca="1"/>
        <v>1.2707620871204073E-2</v>
      </c>
      <c r="F965" s="161">
        <f ca="1">_xll.meCurveForwardRates(C965,$D$9,$D$10)</f>
        <v>1.2782040706297959E-2</v>
      </c>
      <c r="G965" s="7" t="s">
        <v>4</v>
      </c>
      <c r="H965" s="149">
        <f t="shared" ca="1" si="28"/>
        <v>43823</v>
      </c>
      <c r="I965" s="20">
        <f ca="1">_xll.meDateFromTenor(H965,"3M","Following",$I$11,"Normal")</f>
        <v>43914</v>
      </c>
      <c r="J965" s="150">
        <f ca="1"/>
        <v>1.681009732521397E-2</v>
      </c>
      <c r="K965" s="7" t="s">
        <v>4</v>
      </c>
      <c r="L965" s="149" t="e">
        <f ca="1">_xll.meDateFromTenor(L964,"1D","FOLLOWING",#REF!,"NORMAL")</f>
        <v>#VALUE!</v>
      </c>
      <c r="M965" s="155">
        <f ca="1">_xll.meDateYearFraction(C965,D965,$M$11)</f>
        <v>8.3333333333333332E-3</v>
      </c>
      <c r="N965" s="150">
        <f ca="1"/>
        <v>-2.4300000000065936E-3</v>
      </c>
      <c r="O965" s="7" t="s">
        <v>4</v>
      </c>
      <c r="P965" s="149">
        <f t="shared" ca="1" si="29"/>
        <v>43823</v>
      </c>
      <c r="Q965" s="155">
        <f ca="1">_xll.meDateYearFraction(H965,I965,$Q$11,TRUE)</f>
        <v>0.25277777777777777</v>
      </c>
      <c r="R965" s="150">
        <f ca="1">IF(NOW(),_xll.meCurveForwardRatesFromYearFraction(P965,Q965,$Q$11,$Q$9,$Q$10))</f>
        <v>-2.0838881411374595E-4</v>
      </c>
      <c r="S965" s="134" t="s">
        <v>4</v>
      </c>
    </row>
    <row r="966" spans="1:19" x14ac:dyDescent="0.25">
      <c r="A966" s="128">
        <v>950</v>
      </c>
      <c r="B966" s="133"/>
      <c r="C966" s="149">
        <f ca="1">_xll.meDateFromTenor(C965,"1D","FOLLOWING",$D$11,"NORMAL")</f>
        <v>43826</v>
      </c>
      <c r="D966" s="20">
        <f ca="1">_xll.meDateFromTenor(C966,"1D","Following",$D$11,"Normal")</f>
        <v>43829</v>
      </c>
      <c r="E966" s="99">
        <f ca="1"/>
        <v>1.2725123922479088E-2</v>
      </c>
      <c r="F966" s="161">
        <f ca="1">_xll.meCurveForwardRates(C966,$D$9,$D$10)</f>
        <v>1.2799901413045545E-2</v>
      </c>
      <c r="G966" s="7" t="s">
        <v>4</v>
      </c>
      <c r="H966" s="149">
        <f t="shared" ca="1" si="28"/>
        <v>43826</v>
      </c>
      <c r="I966" s="20">
        <f ca="1">_xll.meDateFromTenor(H966,"3M","Following",$I$11,"Normal")</f>
        <v>43917</v>
      </c>
      <c r="J966" s="150">
        <f ca="1"/>
        <v>1.6828298224854134E-2</v>
      </c>
      <c r="K966" s="7" t="s">
        <v>4</v>
      </c>
      <c r="L966" s="149" t="e">
        <f ca="1">_xll.meDateFromTenor(L965,"1D","FOLLOWING",#REF!,"NORMAL")</f>
        <v>#VALUE!</v>
      </c>
      <c r="M966" s="155">
        <f ca="1">_xll.meDateYearFraction(C966,D966,$M$11)</f>
        <v>8.3333333333333332E-3</v>
      </c>
      <c r="N966" s="150">
        <f ca="1"/>
        <v>-2.4300000000065936E-3</v>
      </c>
      <c r="O966" s="7" t="s">
        <v>4</v>
      </c>
      <c r="P966" s="149">
        <f t="shared" ca="1" si="29"/>
        <v>43826</v>
      </c>
      <c r="Q966" s="155">
        <f ca="1">_xll.meDateYearFraction(H966,I966,$Q$11,TRUE)</f>
        <v>0.25277777777777777</v>
      </c>
      <c r="R966" s="150">
        <f ca="1">IF(NOW(),_xll.meCurveForwardRatesFromYearFraction(P966,Q966,$Q$11,$Q$9,$Q$10))</f>
        <v>-3.7175485397107962E-3</v>
      </c>
      <c r="S966" s="134" t="s">
        <v>4</v>
      </c>
    </row>
    <row r="967" spans="1:19" x14ac:dyDescent="0.25">
      <c r="A967" s="128">
        <v>951</v>
      </c>
      <c r="B967" s="133"/>
      <c r="C967" s="149">
        <f ca="1">_xll.meDateFromTenor(C966,"1D","FOLLOWING",$D$11,"NORMAL")</f>
        <v>43829</v>
      </c>
      <c r="D967" s="20">
        <f ca="1">_xll.meDateFromTenor(C967,"1D","Following",$D$11,"Normal")</f>
        <v>43830</v>
      </c>
      <c r="E967" s="99">
        <f ca="1"/>
        <v>1.2736133633009006E-2</v>
      </c>
      <c r="F967" s="161">
        <f ca="1">_xll.meCurveForwardRates(C967,$D$9,$D$10)</f>
        <v>1.2817355428865307E-2</v>
      </c>
      <c r="G967" s="7" t="s">
        <v>4</v>
      </c>
      <c r="H967" s="149">
        <f t="shared" ca="1" si="28"/>
        <v>43829</v>
      </c>
      <c r="I967" s="20">
        <f ca="1">_xll.meDateFromTenor(H967,"3M","Following",$I$11,"Normal")</f>
        <v>43920</v>
      </c>
      <c r="J967" s="150">
        <f ca="1"/>
        <v>1.6846420431241065E-2</v>
      </c>
      <c r="K967" s="7" t="s">
        <v>4</v>
      </c>
      <c r="L967" s="149" t="e">
        <f ca="1">_xll.meDateFromTenor(L966,"1D","FOLLOWING",#REF!,"NORMAL")</f>
        <v>#VALUE!</v>
      </c>
      <c r="M967" s="155">
        <f ca="1">_xll.meDateYearFraction(C967,D967,$M$11)</f>
        <v>2.7777777777777779E-3</v>
      </c>
      <c r="N967" s="150">
        <f ca="1"/>
        <v>-2.4300000000065936E-3</v>
      </c>
      <c r="O967" s="7" t="s">
        <v>4</v>
      </c>
      <c r="P967" s="149">
        <f t="shared" ca="1" si="29"/>
        <v>43829</v>
      </c>
      <c r="Q967" s="155">
        <f ca="1">_xll.meDateYearFraction(H967,I967,$Q$11,TRUE)</f>
        <v>0.25277777777777777</v>
      </c>
      <c r="R967" s="150">
        <f ca="1">IF(NOW(),_xll.meCurveForwardRatesFromYearFraction(P967,Q967,$Q$11,$Q$9,$Q$10))</f>
        <v>-1.6433461419099304E-4</v>
      </c>
      <c r="S967" s="134" t="s">
        <v>4</v>
      </c>
    </row>
    <row r="968" spans="1:19" x14ac:dyDescent="0.25">
      <c r="A968" s="128">
        <v>952</v>
      </c>
      <c r="B968" s="133"/>
      <c r="C968" s="149">
        <f ca="1">_xll.meDateFromTenor(C967,"1D","FOLLOWING",$D$11,"NORMAL")</f>
        <v>43830</v>
      </c>
      <c r="D968" s="20">
        <f ca="1">_xll.meDateFromTenor(C968,"1D","Following",$D$11,"Normal")</f>
        <v>43832</v>
      </c>
      <c r="E968" s="99">
        <f ca="1"/>
        <v>1.2709981441796404E-2</v>
      </c>
      <c r="F968" s="161">
        <f ca="1">_xll.meCurveForwardRates(C968,$D$9,$D$10)</f>
        <v>1.2787816452723533E-2</v>
      </c>
      <c r="G968" s="7" t="s">
        <v>4</v>
      </c>
      <c r="H968" s="149">
        <f t="shared" ca="1" si="28"/>
        <v>43830</v>
      </c>
      <c r="I968" s="20">
        <f ca="1">_xll.meDateFromTenor(H968,"3M","Following",$I$11,"Normal")</f>
        <v>43921</v>
      </c>
      <c r="J968" s="150">
        <f ca="1"/>
        <v>1.6852443451682766E-2</v>
      </c>
      <c r="K968" s="7" t="s">
        <v>4</v>
      </c>
      <c r="L968" s="149" t="e">
        <f ca="1">_xll.meDateFromTenor(L967,"1D","FOLLOWING",#REF!,"NORMAL")</f>
        <v>#VALUE!</v>
      </c>
      <c r="M968" s="155">
        <f ca="1">_xll.meDateYearFraction(C968,D968,$M$11)</f>
        <v>5.5555555555555558E-3</v>
      </c>
      <c r="N968" s="150">
        <f ca="1"/>
        <v>-2.4300000000065936E-3</v>
      </c>
      <c r="O968" s="7" t="s">
        <v>4</v>
      </c>
      <c r="P968" s="149">
        <f t="shared" ca="1" si="29"/>
        <v>43830</v>
      </c>
      <c r="Q968" s="155">
        <f ca="1">_xll.meDateYearFraction(H968,I968,$Q$11,TRUE)</f>
        <v>0.25277777777777777</v>
      </c>
      <c r="R968" s="150">
        <f ca="1">IF(NOW(),_xll.meCurveForwardRatesFromYearFraction(P968,Q968,$Q$11,$Q$9,$Q$10))</f>
        <v>-1.5697778393128473E-4</v>
      </c>
      <c r="S968" s="134" t="s">
        <v>4</v>
      </c>
    </row>
    <row r="969" spans="1:19" x14ac:dyDescent="0.25">
      <c r="A969" s="128">
        <v>953</v>
      </c>
      <c r="B969" s="133"/>
      <c r="C969" s="149">
        <f ca="1">_xll.meDateFromTenor(C968,"1D","FOLLOWING",$D$11,"NORMAL")</f>
        <v>43832</v>
      </c>
      <c r="D969" s="20">
        <f ca="1">_xll.meDateFromTenor(C969,"1D","Following",$D$11,"Normal")</f>
        <v>43833</v>
      </c>
      <c r="E969" s="99">
        <f ca="1"/>
        <v>1.2718082953657773E-2</v>
      </c>
      <c r="F969" s="161">
        <f ca="1">_xll.meCurveForwardRates(C969,$D$9,$D$10)</f>
        <v>1.2799074198833527E-2</v>
      </c>
      <c r="G969" s="7" t="s">
        <v>4</v>
      </c>
      <c r="H969" s="149">
        <f t="shared" ca="1" si="28"/>
        <v>43832</v>
      </c>
      <c r="I969" s="20">
        <f ca="1">_xll.meDateFromTenor(H969,"3M","Following",$I$11,"Normal")</f>
        <v>43923</v>
      </c>
      <c r="J969" s="150">
        <f ca="1"/>
        <v>1.6864429837155418E-2</v>
      </c>
      <c r="K969" s="7" t="s">
        <v>4</v>
      </c>
      <c r="L969" s="149" t="e">
        <f ca="1">_xll.meDateFromTenor(L968,"1D","FOLLOWING",#REF!,"NORMAL")</f>
        <v>#VALUE!</v>
      </c>
      <c r="M969" s="155">
        <f ca="1">_xll.meDateYearFraction(C969,D969,$M$11)</f>
        <v>2.7777777777777779E-3</v>
      </c>
      <c r="N969" s="150">
        <f ca="1"/>
        <v>-2.4300000000065936E-3</v>
      </c>
      <c r="O969" s="7" t="s">
        <v>4</v>
      </c>
      <c r="P969" s="149">
        <f t="shared" ca="1" si="29"/>
        <v>43832</v>
      </c>
      <c r="Q969" s="155">
        <f ca="1">_xll.meDateYearFraction(H969,I969,$Q$11,TRUE)</f>
        <v>0.25277777777777777</v>
      </c>
      <c r="R969" s="150">
        <f ca="1">IF(NOW(),_xll.meCurveForwardRatesFromYearFraction(P969,Q969,$Q$11,$Q$9,$Q$10))</f>
        <v>-1.4229311130112323E-4</v>
      </c>
      <c r="S969" s="134" t="s">
        <v>4</v>
      </c>
    </row>
    <row r="970" spans="1:19" x14ac:dyDescent="0.25">
      <c r="A970" s="128">
        <v>954</v>
      </c>
      <c r="B970" s="133"/>
      <c r="C970" s="149">
        <f ca="1">_xll.meDateFromTenor(C969,"1D","FOLLOWING",$D$11,"NORMAL")</f>
        <v>43833</v>
      </c>
      <c r="D970" s="20">
        <f ca="1">_xll.meDateFromTenor(C970,"1D","Following",$D$11,"Normal")</f>
        <v>43836</v>
      </c>
      <c r="E970" s="99">
        <f ca="1"/>
        <v>1.2729456896698511E-2</v>
      </c>
      <c r="F970" s="161">
        <f ca="1">_xll.meCurveForwardRates(C970,$D$9,$D$10)</f>
        <v>1.2804635787966312E-2</v>
      </c>
      <c r="G970" s="7" t="s">
        <v>4</v>
      </c>
      <c r="H970" s="149">
        <f t="shared" ca="1" si="28"/>
        <v>43833</v>
      </c>
      <c r="I970" s="20">
        <f ca="1">_xll.meDateFromTenor(H970,"3M","Following",$I$11,"Normal")</f>
        <v>43924</v>
      </c>
      <c r="J970" s="150">
        <f ca="1"/>
        <v>1.6870409573901568E-2</v>
      </c>
      <c r="K970" s="7" t="s">
        <v>4</v>
      </c>
      <c r="L970" s="149" t="e">
        <f ca="1">_xll.meDateFromTenor(L969,"1D","FOLLOWING",#REF!,"NORMAL")</f>
        <v>#VALUE!</v>
      </c>
      <c r="M970" s="155">
        <f ca="1">_xll.meDateYearFraction(C970,D970,$M$11)</f>
        <v>8.3333333333333332E-3</v>
      </c>
      <c r="N970" s="150">
        <f ca="1"/>
        <v>-2.4300000000065936E-3</v>
      </c>
      <c r="O970" s="7" t="s">
        <v>4</v>
      </c>
      <c r="P970" s="149">
        <f t="shared" ca="1" si="29"/>
        <v>43833</v>
      </c>
      <c r="Q970" s="155">
        <f ca="1">_xll.meDateYearFraction(H970,I970,$Q$11,TRUE)</f>
        <v>0.25277777777777777</v>
      </c>
      <c r="R970" s="150">
        <f ca="1">IF(NOW(),_xll.meCurveForwardRatesFromYearFraction(P970,Q970,$Q$11,$Q$9,$Q$10))</f>
        <v>-1.3494542340834533E-4</v>
      </c>
      <c r="S970" s="134" t="s">
        <v>4</v>
      </c>
    </row>
    <row r="971" spans="1:19" x14ac:dyDescent="0.25">
      <c r="A971" s="128">
        <v>955</v>
      </c>
      <c r="B971" s="133"/>
      <c r="C971" s="149">
        <f ca="1">_xll.meDateFromTenor(C970,"1D","FOLLOWING",$D$11,"NORMAL")</f>
        <v>43836</v>
      </c>
      <c r="D971" s="20">
        <f ca="1">_xll.meDateFromTenor(C971,"1D","Following",$D$11,"Normal")</f>
        <v>43837</v>
      </c>
      <c r="E971" s="99">
        <f ca="1"/>
        <v>1.2739782891102676E-2</v>
      </c>
      <c r="F971" s="161">
        <f ca="1">_xll.meCurveForwardRates(C971,$D$9,$D$10)</f>
        <v>1.2821051336767475E-2</v>
      </c>
      <c r="G971" s="7" t="s">
        <v>4</v>
      </c>
      <c r="H971" s="149">
        <f t="shared" ca="1" si="28"/>
        <v>43836</v>
      </c>
      <c r="I971" s="20">
        <f ca="1">_xll.meDateFromTenor(H971,"3M","Following",$I$11,"Normal")</f>
        <v>43927</v>
      </c>
      <c r="J971" s="150">
        <f ca="1"/>
        <v>1.6888294379627172E-2</v>
      </c>
      <c r="K971" s="7" t="s">
        <v>4</v>
      </c>
      <c r="L971" s="149" t="e">
        <f ca="1">_xll.meDateFromTenor(L970,"1D","FOLLOWING",#REF!,"NORMAL")</f>
        <v>#VALUE!</v>
      </c>
      <c r="M971" s="155">
        <f ca="1">_xll.meDateYearFraction(C971,D971,$M$11)</f>
        <v>2.7777777777777779E-3</v>
      </c>
      <c r="N971" s="150">
        <f ca="1"/>
        <v>-2.4300000000065936E-3</v>
      </c>
      <c r="O971" s="7" t="s">
        <v>4</v>
      </c>
      <c r="P971" s="149">
        <f t="shared" ca="1" si="29"/>
        <v>43836</v>
      </c>
      <c r="Q971" s="155">
        <f ca="1">_xll.meDateYearFraction(H971,I971,$Q$11,TRUE)</f>
        <v>0.25277777777777777</v>
      </c>
      <c r="R971" s="150">
        <f ca="1">IF(NOW(),_xll.meCurveForwardRatesFromYearFraction(P971,Q971,$Q$11,$Q$9,$Q$10))</f>
        <v>-1.1288245233984792E-4</v>
      </c>
      <c r="S971" s="134" t="s">
        <v>4</v>
      </c>
    </row>
    <row r="972" spans="1:19" x14ac:dyDescent="0.25">
      <c r="A972" s="128">
        <v>956</v>
      </c>
      <c r="B972" s="133"/>
      <c r="C972" s="149">
        <f ca="1">_xll.meDateFromTenor(C971,"1D","FOLLOWING",$D$11,"NORMAL")</f>
        <v>43837</v>
      </c>
      <c r="D972" s="20">
        <f ca="1">_xll.meDateFromTenor(C972,"1D","Following",$D$11,"Normal")</f>
        <v>43838</v>
      </c>
      <c r="E972" s="99">
        <f ca="1"/>
        <v>1.2745097021680297E-2</v>
      </c>
      <c r="F972" s="161">
        <f ca="1">_xll.meCurveForwardRates(C972,$D$9,$D$10)</f>
        <v>1.282643342388412E-2</v>
      </c>
      <c r="G972" s="7" t="s">
        <v>4</v>
      </c>
      <c r="H972" s="149">
        <f t="shared" ca="1" si="28"/>
        <v>43837</v>
      </c>
      <c r="I972" s="20">
        <f ca="1">_xll.meDateFromTenor(H972,"3M","Following",$I$11,"Normal")</f>
        <v>43928</v>
      </c>
      <c r="J972" s="150">
        <f ca="1"/>
        <v>1.6894237685433619E-2</v>
      </c>
      <c r="K972" s="7" t="s">
        <v>4</v>
      </c>
      <c r="L972" s="149" t="e">
        <f ca="1">_xll.meDateFromTenor(L971,"1D","FOLLOWING",#REF!,"NORMAL")</f>
        <v>#VALUE!</v>
      </c>
      <c r="M972" s="155">
        <f ca="1">_xll.meDateYearFraction(C972,D972,$M$11)</f>
        <v>2.7777777777777779E-3</v>
      </c>
      <c r="N972" s="150">
        <f ca="1"/>
        <v>-2.4300000000065936E-3</v>
      </c>
      <c r="O972" s="7" t="s">
        <v>4</v>
      </c>
      <c r="P972" s="149">
        <f t="shared" ca="1" si="29"/>
        <v>43837</v>
      </c>
      <c r="Q972" s="155">
        <f ca="1">_xll.meDateYearFraction(H972,I972,$Q$11,TRUE)</f>
        <v>0.25277777777777777</v>
      </c>
      <c r="R972" s="150">
        <f ca="1">IF(NOW(),_xll.meCurveForwardRatesFromYearFraction(P972,Q972,$Q$11,$Q$9,$Q$10))</f>
        <v>-1.0552190922046597E-4</v>
      </c>
      <c r="S972" s="134" t="s">
        <v>4</v>
      </c>
    </row>
    <row r="973" spans="1:19" x14ac:dyDescent="0.25">
      <c r="A973" s="128">
        <v>957</v>
      </c>
      <c r="B973" s="133"/>
      <c r="C973" s="149">
        <f ca="1">_xll.meDateFromTenor(C972,"1D","FOLLOWING",$D$11,"NORMAL")</f>
        <v>43838</v>
      </c>
      <c r="D973" s="20">
        <f ca="1">_xll.meDateFromTenor(C973,"1D","Following",$D$11,"Normal")</f>
        <v>43839</v>
      </c>
      <c r="E973" s="99">
        <f ca="1"/>
        <v>1.2750366798774993E-2</v>
      </c>
      <c r="F973" s="161">
        <f ca="1">_xll.meCurveForwardRates(C973,$D$9,$D$10)</f>
        <v>1.2831770618494609E-2</v>
      </c>
      <c r="G973" s="7" t="s">
        <v>4</v>
      </c>
      <c r="H973" s="149">
        <f t="shared" ca="1" si="28"/>
        <v>43838</v>
      </c>
      <c r="I973" s="20">
        <f ca="1">_xll.meDateFromTenor(H973,"3M","Following",$I$11,"Normal")</f>
        <v>43929</v>
      </c>
      <c r="J973" s="150">
        <f ca="1"/>
        <v>1.6900171762556784E-2</v>
      </c>
      <c r="K973" s="7" t="s">
        <v>4</v>
      </c>
      <c r="L973" s="149" t="e">
        <f ca="1">_xll.meDateFromTenor(L972,"1D","FOLLOWING",#REF!,"NORMAL")</f>
        <v>#VALUE!</v>
      </c>
      <c r="M973" s="155">
        <f ca="1">_xll.meDateYearFraction(C973,D973,$M$11)</f>
        <v>2.7777777777777779E-3</v>
      </c>
      <c r="N973" s="150">
        <f ca="1"/>
        <v>-2.4300000000065936E-3</v>
      </c>
      <c r="O973" s="7" t="s">
        <v>4</v>
      </c>
      <c r="P973" s="149">
        <f t="shared" ca="1" si="29"/>
        <v>43838</v>
      </c>
      <c r="Q973" s="155">
        <f ca="1">_xll.meDateYearFraction(H973,I973,$Q$11,TRUE)</f>
        <v>0.25277777777777777</v>
      </c>
      <c r="R973" s="150">
        <f ca="1">IF(NOW(),_xll.meCurveForwardRatesFromYearFraction(P973,Q973,$Q$11,$Q$9,$Q$10))</f>
        <v>-9.8158464569562457E-5</v>
      </c>
      <c r="S973" s="134" t="s">
        <v>4</v>
      </c>
    </row>
    <row r="974" spans="1:19" x14ac:dyDescent="0.25">
      <c r="A974" s="128">
        <v>958</v>
      </c>
      <c r="B974" s="133"/>
      <c r="C974" s="149">
        <f ca="1">_xll.meDateFromTenor(C973,"1D","FOLLOWING",$D$11,"NORMAL")</f>
        <v>43839</v>
      </c>
      <c r="D974" s="20">
        <f ca="1">_xll.meDateFromTenor(C974,"1D","Following",$D$11,"Normal")</f>
        <v>43840</v>
      </c>
      <c r="E974" s="99">
        <f ca="1"/>
        <v>1.2755592216073853E-2</v>
      </c>
      <c r="F974" s="161">
        <f ca="1">_xll.meCurveForwardRates(C974,$D$9,$D$10)</f>
        <v>1.2837062913497732E-2</v>
      </c>
      <c r="G974" s="7" t="s">
        <v>4</v>
      </c>
      <c r="H974" s="149">
        <f t="shared" ca="1" si="28"/>
        <v>43839</v>
      </c>
      <c r="I974" s="20">
        <f ca="1">_xll.meDateFromTenor(H974,"3M","Following",$I$11,"Normal")</f>
        <v>43930</v>
      </c>
      <c r="J974" s="150">
        <f ca="1"/>
        <v>1.690609656261732E-2</v>
      </c>
      <c r="K974" s="7" t="s">
        <v>4</v>
      </c>
      <c r="L974" s="149" t="e">
        <f ca="1">_xll.meDateFromTenor(L973,"1D","FOLLOWING",#REF!,"NORMAL")</f>
        <v>#VALUE!</v>
      </c>
      <c r="M974" s="155">
        <f ca="1">_xll.meDateYearFraction(C974,D974,$M$11)</f>
        <v>2.7777777777777779E-3</v>
      </c>
      <c r="N974" s="150">
        <f ca="1"/>
        <v>-2.4300000000065936E-3</v>
      </c>
      <c r="O974" s="7" t="s">
        <v>4</v>
      </c>
      <c r="P974" s="149">
        <f t="shared" ca="1" si="29"/>
        <v>43839</v>
      </c>
      <c r="Q974" s="155">
        <f ca="1">_xll.meDateYearFraction(H974,I974,$Q$11,TRUE)</f>
        <v>0.25277777777777777</v>
      </c>
      <c r="R974" s="150">
        <f ca="1">IF(NOW(),_xll.meCurveForwardRatesFromYearFraction(P974,Q974,$Q$11,$Q$9,$Q$10))</f>
        <v>-3.7175485397107962E-3</v>
      </c>
      <c r="S974" s="134" t="s">
        <v>4</v>
      </c>
    </row>
    <row r="975" spans="1:19" x14ac:dyDescent="0.25">
      <c r="A975" s="128">
        <v>959</v>
      </c>
      <c r="B975" s="133"/>
      <c r="C975" s="149">
        <f ca="1">_xll.meDateFromTenor(C974,"1D","FOLLOWING",$D$11,"NORMAL")</f>
        <v>43840</v>
      </c>
      <c r="D975" s="20">
        <f ca="1">_xll.meDateFromTenor(C975,"1D","Following",$D$11,"Normal")</f>
        <v>43843</v>
      </c>
      <c r="E975" s="99">
        <f ca="1"/>
        <v>1.2766347848884908E-2</v>
      </c>
      <c r="F975" s="161">
        <f ca="1">_xll.meCurveForwardRates(C975,$D$9,$D$10)</f>
        <v>1.2842310302118909E-2</v>
      </c>
      <c r="G975" s="7" t="s">
        <v>4</v>
      </c>
      <c r="H975" s="149">
        <f t="shared" ca="1" si="28"/>
        <v>43840</v>
      </c>
      <c r="I975" s="20">
        <f ca="1">_xll.meDateFromTenor(H975,"3M","Following",$I$11,"Normal")</f>
        <v>43935</v>
      </c>
      <c r="J975" s="150">
        <f ca="1"/>
        <v>1.6912012037235885E-2</v>
      </c>
      <c r="K975" s="7" t="s">
        <v>4</v>
      </c>
      <c r="L975" s="149" t="e">
        <f ca="1">_xll.meDateFromTenor(L974,"1D","FOLLOWING",#REF!,"NORMAL")</f>
        <v>#VALUE!</v>
      </c>
      <c r="M975" s="155">
        <f ca="1">_xll.meDateYearFraction(C975,D975,$M$11)</f>
        <v>8.3333333333333332E-3</v>
      </c>
      <c r="N975" s="150">
        <f ca="1"/>
        <v>-2.4300000000065936E-3</v>
      </c>
      <c r="O975" s="7" t="s">
        <v>4</v>
      </c>
      <c r="P975" s="149">
        <f t="shared" ca="1" si="29"/>
        <v>43840</v>
      </c>
      <c r="Q975" s="155">
        <f ca="1">_xll.meDateYearFraction(H975,I975,$Q$11,TRUE)</f>
        <v>0.2638888888888889</v>
      </c>
      <c r="R975" s="150">
        <f ca="1">IF(NOW(),_xll.meCurveForwardRatesFromYearFraction(P975,Q975,$Q$11,$Q$9,$Q$10))</f>
        <v>-3.7175485397107962E-3</v>
      </c>
      <c r="S975" s="134" t="s">
        <v>4</v>
      </c>
    </row>
    <row r="976" spans="1:19" x14ac:dyDescent="0.25">
      <c r="A976" s="128">
        <v>960</v>
      </c>
      <c r="B976" s="133"/>
      <c r="C976" s="149">
        <f ca="1">_xll.meDateFromTenor(C975,"1D","FOLLOWING",$D$11,"NORMAL")</f>
        <v>43843</v>
      </c>
      <c r="D976" s="20">
        <f ca="1">_xll.meDateFromTenor(C976,"1D","Following",$D$11,"Normal")</f>
        <v>43844</v>
      </c>
      <c r="E976" s="99">
        <f ca="1"/>
        <v>1.2776050166047926E-2</v>
      </c>
      <c r="F976" s="161">
        <f ca="1">_xll.meCurveForwardRates(C976,$D$9,$D$10)</f>
        <v>1.285778296066109E-2</v>
      </c>
      <c r="G976" s="7" t="s">
        <v>4</v>
      </c>
      <c r="H976" s="149">
        <f t="shared" ca="1" si="28"/>
        <v>43843</v>
      </c>
      <c r="I976" s="20">
        <f ca="1">_xll.meDateFromTenor(H976,"3M","Following",$I$11,"Normal")</f>
        <v>43935</v>
      </c>
      <c r="J976" s="150">
        <f ca="1"/>
        <v>1.6929702024646338E-2</v>
      </c>
      <c r="K976" s="7" t="s">
        <v>4</v>
      </c>
      <c r="L976" s="149" t="e">
        <f ca="1">_xll.meDateFromTenor(L975,"1D","FOLLOWING",#REF!,"NORMAL")</f>
        <v>#VALUE!</v>
      </c>
      <c r="M976" s="155">
        <f ca="1">_xll.meDateYearFraction(C976,D976,$M$11)</f>
        <v>2.7777777777777779E-3</v>
      </c>
      <c r="N976" s="150">
        <f ca="1"/>
        <v>-2.4300000000065936E-3</v>
      </c>
      <c r="O976" s="7" t="s">
        <v>4</v>
      </c>
      <c r="P976" s="149">
        <f t="shared" ca="1" si="29"/>
        <v>43843</v>
      </c>
      <c r="Q976" s="155">
        <f ca="1">_xll.meDateYearFraction(H976,I976,$Q$11,TRUE)</f>
        <v>0.25555555555555554</v>
      </c>
      <c r="R976" s="150">
        <f ca="1">IF(NOW(),_xll.meCurveForwardRatesFromYearFraction(P976,Q976,$Q$11,$Q$9,$Q$10))</f>
        <v>-3.7175485397107962E-3</v>
      </c>
      <c r="S976" s="134" t="s">
        <v>4</v>
      </c>
    </row>
    <row r="977" spans="1:19" x14ac:dyDescent="0.25">
      <c r="A977" s="128">
        <v>961</v>
      </c>
      <c r="B977" s="133"/>
      <c r="C977" s="149">
        <f ca="1">_xll.meDateFromTenor(C976,"1D","FOLLOWING",$D$11,"NORMAL")</f>
        <v>43844</v>
      </c>
      <c r="D977" s="20">
        <f ca="1">_xll.meDateFromTenor(C977,"1D","Following",$D$11,"Normal")</f>
        <v>43845</v>
      </c>
      <c r="E977" s="99">
        <f ca="1"/>
        <v>1.2781053693080625E-2</v>
      </c>
      <c r="F977" s="161">
        <f ca="1">_xll.meCurveForwardRates(C977,$D$9,$D$10)</f>
        <v>1.2862850654753899E-2</v>
      </c>
      <c r="G977" s="7" t="s">
        <v>4</v>
      </c>
      <c r="H977" s="149">
        <f t="shared" ref="H977:H1040" ca="1" si="30">$C977</f>
        <v>43844</v>
      </c>
      <c r="I977" s="20">
        <f ca="1">_xll.meDateFromTenor(H977,"3M","Following",$I$11,"Normal")</f>
        <v>43935</v>
      </c>
      <c r="J977" s="150">
        <f ca="1"/>
        <v>1.6935579713703592E-2</v>
      </c>
      <c r="K977" s="7" t="s">
        <v>4</v>
      </c>
      <c r="L977" s="149" t="e">
        <f ca="1">_xll.meDateFromTenor(L976,"1D","FOLLOWING",#REF!,"NORMAL")</f>
        <v>#VALUE!</v>
      </c>
      <c r="M977" s="155">
        <f ca="1">_xll.meDateYearFraction(C977,D977,$M$11)</f>
        <v>2.7777777777777779E-3</v>
      </c>
      <c r="N977" s="150">
        <f ca="1"/>
        <v>-2.4300000000065936E-3</v>
      </c>
      <c r="O977" s="7" t="s">
        <v>4</v>
      </c>
      <c r="P977" s="149">
        <f t="shared" ref="P977:P1040" ca="1" si="31">$C977</f>
        <v>43844</v>
      </c>
      <c r="Q977" s="155">
        <f ca="1">_xll.meDateYearFraction(H977,I977,$Q$11,TRUE)</f>
        <v>0.25277777777777777</v>
      </c>
      <c r="R977" s="150">
        <f ca="1">IF(NOW(),_xll.meCurveForwardRatesFromYearFraction(P977,Q977,$Q$11,$Q$9,$Q$10))</f>
        <v>-5.3923859465090208E-5</v>
      </c>
      <c r="S977" s="134" t="s">
        <v>4</v>
      </c>
    </row>
    <row r="978" spans="1:19" x14ac:dyDescent="0.25">
      <c r="A978" s="128">
        <v>962</v>
      </c>
      <c r="B978" s="133"/>
      <c r="C978" s="149">
        <f ca="1">_xll.meDateFromTenor(C977,"1D","FOLLOWING",$D$11,"NORMAL")</f>
        <v>43845</v>
      </c>
      <c r="D978" s="20">
        <f ca="1">_xll.meDateFromTenor(C978,"1D","Following",$D$11,"Normal")</f>
        <v>43846</v>
      </c>
      <c r="E978" s="99">
        <f ca="1"/>
        <v>1.2786012823786708E-2</v>
      </c>
      <c r="F978" s="161">
        <f ca="1">_xll.meCurveForwardRates(C978,$D$9,$D$10)</f>
        <v>1.2867873408114905E-2</v>
      </c>
      <c r="G978" s="7" t="s">
        <v>4</v>
      </c>
      <c r="H978" s="149">
        <f t="shared" ca="1" si="30"/>
        <v>43845</v>
      </c>
      <c r="I978" s="20">
        <f ca="1">_xll.meDateFromTenor(H978,"3M","Following",$I$11,"Normal")</f>
        <v>43936</v>
      </c>
      <c r="J978" s="150">
        <f ca="1"/>
        <v>1.6941447835422164E-2</v>
      </c>
      <c r="K978" s="7" t="s">
        <v>4</v>
      </c>
      <c r="L978" s="149" t="e">
        <f ca="1">_xll.meDateFromTenor(L977,"1D","FOLLOWING",#REF!,"NORMAL")</f>
        <v>#VALUE!</v>
      </c>
      <c r="M978" s="155">
        <f ca="1">_xll.meDateYearFraction(C978,D978,$M$11)</f>
        <v>2.7777777777777779E-3</v>
      </c>
      <c r="N978" s="150">
        <f ca="1"/>
        <v>-2.4300000000065936E-3</v>
      </c>
      <c r="O978" s="7" t="s">
        <v>4</v>
      </c>
      <c r="P978" s="149">
        <f t="shared" ca="1" si="31"/>
        <v>43845</v>
      </c>
      <c r="Q978" s="155">
        <f ca="1">_xll.meDateYearFraction(H978,I978,$Q$11,TRUE)</f>
        <v>0.25277777777777777</v>
      </c>
      <c r="R978" s="150">
        <f ca="1">IF(NOW(),_xll.meCurveForwardRatesFromYearFraction(P978,Q978,$Q$11,$Q$9,$Q$10))</f>
        <v>-3.7175485397107962E-3</v>
      </c>
      <c r="S978" s="134" t="s">
        <v>4</v>
      </c>
    </row>
    <row r="979" spans="1:19" x14ac:dyDescent="0.25">
      <c r="A979" s="128">
        <v>963</v>
      </c>
      <c r="B979" s="133"/>
      <c r="C979" s="149">
        <f ca="1">_xll.meDateFromTenor(C978,"1D","FOLLOWING",$D$11,"NORMAL")</f>
        <v>43846</v>
      </c>
      <c r="D979" s="20">
        <f ca="1">_xll.meDateFromTenor(C979,"1D","Following",$D$11,"Normal")</f>
        <v>43847</v>
      </c>
      <c r="E979" s="99">
        <f ca="1"/>
        <v>1.2790927551931165E-2</v>
      </c>
      <c r="F979" s="161">
        <f ca="1">_xll.meCurveForwardRates(C979,$D$9,$D$10)</f>
        <v>1.2872851213761916E-2</v>
      </c>
      <c r="G979" s="7" t="s">
        <v>4</v>
      </c>
      <c r="H979" s="149">
        <f t="shared" ca="1" si="30"/>
        <v>43846</v>
      </c>
      <c r="I979" s="20">
        <f ca="1">_xll.meDateFromTenor(H979,"3M","Following",$I$11,"Normal")</f>
        <v>43937</v>
      </c>
      <c r="J979" s="150">
        <f ca="1"/>
        <v>1.6947306341422705E-2</v>
      </c>
      <c r="K979" s="7" t="s">
        <v>4</v>
      </c>
      <c r="L979" s="149" t="e">
        <f ca="1">_xll.meDateFromTenor(L978,"1D","FOLLOWING",#REF!,"NORMAL")</f>
        <v>#VALUE!</v>
      </c>
      <c r="M979" s="155">
        <f ca="1">_xll.meDateYearFraction(C979,D979,$M$11)</f>
        <v>2.7777777777777779E-3</v>
      </c>
      <c r="N979" s="150">
        <f ca="1"/>
        <v>-2.4300000000065936E-3</v>
      </c>
      <c r="O979" s="7" t="s">
        <v>4</v>
      </c>
      <c r="P979" s="149">
        <f t="shared" ca="1" si="31"/>
        <v>43846</v>
      </c>
      <c r="Q979" s="155">
        <f ca="1">_xll.meDateYearFraction(H979,I979,$Q$11,TRUE)</f>
        <v>0.25277777777777777</v>
      </c>
      <c r="R979" s="150">
        <f ca="1">IF(NOW(),_xll.meCurveForwardRatesFromYearFraction(P979,Q979,$Q$11,$Q$9,$Q$10))</f>
        <v>-3.9161441433773283E-5</v>
      </c>
      <c r="S979" s="134" t="s">
        <v>4</v>
      </c>
    </row>
    <row r="980" spans="1:19" x14ac:dyDescent="0.25">
      <c r="A980" s="128">
        <v>964</v>
      </c>
      <c r="B980" s="133"/>
      <c r="C980" s="149">
        <f ca="1">_xll.meDateFromTenor(C979,"1D","FOLLOWING",$D$11,"NORMAL")</f>
        <v>43847</v>
      </c>
      <c r="D980" s="20">
        <f ca="1">_xll.meDateFromTenor(C980,"1D","Following",$D$11,"Normal")</f>
        <v>43851</v>
      </c>
      <c r="E980" s="99">
        <f ca="1"/>
        <v>1.2803675307582241E-2</v>
      </c>
      <c r="F980" s="161">
        <f ca="1">_xll.meCurveForwardRates(C980,$D$9,$D$10)</f>
        <v>1.2877784064718956E-2</v>
      </c>
      <c r="G980" s="7" t="s">
        <v>4</v>
      </c>
      <c r="H980" s="149">
        <f t="shared" ca="1" si="30"/>
        <v>43847</v>
      </c>
      <c r="I980" s="20">
        <f ca="1">_xll.meDateFromTenor(H980,"3M","Following",$I$11,"Normal")</f>
        <v>43938</v>
      </c>
      <c r="J980" s="150">
        <f ca="1"/>
        <v>1.6953155183325873E-2</v>
      </c>
      <c r="K980" s="7" t="s">
        <v>4</v>
      </c>
      <c r="L980" s="149" t="e">
        <f ca="1">_xll.meDateFromTenor(L979,"1D","FOLLOWING",#REF!,"NORMAL")</f>
        <v>#VALUE!</v>
      </c>
      <c r="M980" s="155">
        <f ca="1">_xll.meDateYearFraction(C980,D980,$M$11)</f>
        <v>1.1111111111111112E-2</v>
      </c>
      <c r="N980" s="150">
        <f ca="1"/>
        <v>-2.4300000000065936E-3</v>
      </c>
      <c r="O980" s="7" t="s">
        <v>4</v>
      </c>
      <c r="P980" s="149">
        <f t="shared" ca="1" si="31"/>
        <v>43847</v>
      </c>
      <c r="Q980" s="155">
        <f ca="1">_xll.meDateYearFraction(H980,I980,$Q$11,TRUE)</f>
        <v>0.25277777777777777</v>
      </c>
      <c r="R980" s="150">
        <f ca="1">IF(NOW(),_xll.meCurveForwardRatesFromYearFraction(P980,Q980,$Q$11,$Q$9,$Q$10))</f>
        <v>-3.7175485397107962E-3</v>
      </c>
      <c r="S980" s="134" t="s">
        <v>4</v>
      </c>
    </row>
    <row r="981" spans="1:19" x14ac:dyDescent="0.25">
      <c r="A981" s="128">
        <v>965</v>
      </c>
      <c r="B981" s="133"/>
      <c r="C981" s="149">
        <f ca="1">_xll.meDateFromTenor(C980,"1D","FOLLOWING",$D$11,"NORMAL")</f>
        <v>43851</v>
      </c>
      <c r="D981" s="20">
        <f ca="1">_xll.meDateFromTenor(C981,"1D","Following",$D$11,"Normal")</f>
        <v>43852</v>
      </c>
      <c r="E981" s="99">
        <f ca="1"/>
        <v>1.2814834938641485E-2</v>
      </c>
      <c r="F981" s="161">
        <f ca="1">_xll.meCurveForwardRates(C981,$D$9,$D$10)</f>
        <v>1.2897065785000272E-2</v>
      </c>
      <c r="G981" s="7" t="s">
        <v>4</v>
      </c>
      <c r="H981" s="149">
        <f t="shared" ca="1" si="30"/>
        <v>43851</v>
      </c>
      <c r="I981" s="20">
        <f ca="1">_xll.meDateFromTenor(H981,"3M","Following",$I$11,"Normal")</f>
        <v>43942</v>
      </c>
      <c r="J981" s="150">
        <f ca="1"/>
        <v>1.6976452942377963E-2</v>
      </c>
      <c r="K981" s="7" t="s">
        <v>4</v>
      </c>
      <c r="L981" s="149" t="e">
        <f ca="1">_xll.meDateFromTenor(L980,"1D","FOLLOWING",#REF!,"NORMAL")</f>
        <v>#VALUE!</v>
      </c>
      <c r="M981" s="155">
        <f ca="1">_xll.meDateYearFraction(C981,D981,$M$11)</f>
        <v>2.7777777777777779E-3</v>
      </c>
      <c r="N981" s="150">
        <f ca="1"/>
        <v>-2.4300000000065936E-3</v>
      </c>
      <c r="O981" s="7" t="s">
        <v>4</v>
      </c>
      <c r="P981" s="149">
        <f t="shared" ca="1" si="31"/>
        <v>43851</v>
      </c>
      <c r="Q981" s="155">
        <f ca="1">_xll.meDateYearFraction(H981,I981,$Q$11,TRUE)</f>
        <v>0.25277777777777777</v>
      </c>
      <c r="R981" s="150">
        <f ca="1">IF(NOW(),_xll.meCurveForwardRatesFromYearFraction(P981,Q981,$Q$11,$Q$9,$Q$10))</f>
        <v>-2.226478812916712E-6</v>
      </c>
      <c r="S981" s="134" t="s">
        <v>4</v>
      </c>
    </row>
    <row r="982" spans="1:19" x14ac:dyDescent="0.25">
      <c r="A982" s="128">
        <v>966</v>
      </c>
      <c r="B982" s="133"/>
      <c r="C982" s="149">
        <f ca="1">_xll.meDateFromTenor(C981,"1D","FOLLOWING",$D$11,"NORMAL")</f>
        <v>43852</v>
      </c>
      <c r="D982" s="20">
        <f ca="1">_xll.meDateFromTenor(C982,"1D","Following",$D$11,"Normal")</f>
        <v>43853</v>
      </c>
      <c r="E982" s="99">
        <f ca="1"/>
        <v>1.2819483122079634E-2</v>
      </c>
      <c r="F982" s="161">
        <f ca="1">_xll.meCurveForwardRates(C982,$D$9,$D$10)</f>
        <v>1.2901773759688817E-2</v>
      </c>
      <c r="G982" s="7" t="s">
        <v>4</v>
      </c>
      <c r="H982" s="149">
        <f t="shared" ca="1" si="30"/>
        <v>43852</v>
      </c>
      <c r="I982" s="20">
        <f ca="1">_xll.meDateFromTenor(H982,"3M","Following",$I$11,"Normal")</f>
        <v>43943</v>
      </c>
      <c r="J982" s="150">
        <f ca="1"/>
        <v>1.6982252738104126E-2</v>
      </c>
      <c r="K982" s="7" t="s">
        <v>4</v>
      </c>
      <c r="L982" s="149" t="e">
        <f ca="1">_xll.meDateFromTenor(L981,"1D","FOLLOWING",#REF!,"NORMAL")</f>
        <v>#VALUE!</v>
      </c>
      <c r="M982" s="155">
        <f ca="1">_xll.meDateYearFraction(C982,D982,$M$11)</f>
        <v>2.7777777777777779E-3</v>
      </c>
      <c r="N982" s="150">
        <f ca="1"/>
        <v>-2.4300000000065936E-3</v>
      </c>
      <c r="O982" s="7" t="s">
        <v>4</v>
      </c>
      <c r="P982" s="149">
        <f t="shared" ca="1" si="31"/>
        <v>43852</v>
      </c>
      <c r="Q982" s="155">
        <f ca="1">_xll.meDateYearFraction(H982,I982,$Q$11,TRUE)</f>
        <v>0.25277777777777777</v>
      </c>
      <c r="R982" s="150">
        <f ca="1">IF(NOW(),_xll.meCurveForwardRatesFromYearFraction(P982,Q982,$Q$11,$Q$9,$Q$10))</f>
        <v>-3.7175485397107962E-3</v>
      </c>
      <c r="S982" s="134" t="s">
        <v>4</v>
      </c>
    </row>
    <row r="983" spans="1:19" x14ac:dyDescent="0.25">
      <c r="A983" s="128">
        <v>967</v>
      </c>
      <c r="B983" s="133"/>
      <c r="C983" s="149">
        <f ca="1">_xll.meDateFromTenor(C982,"1D","FOLLOWING",$D$11,"NORMAL")</f>
        <v>43853</v>
      </c>
      <c r="D983" s="20">
        <f ca="1">_xll.meDateFromTenor(C983,"1D","Following",$D$11,"Normal")</f>
        <v>43854</v>
      </c>
      <c r="E983" s="99">
        <f ca="1"/>
        <v>1.2824086859870621E-2</v>
      </c>
      <c r="F983" s="161">
        <f ca="1">_xll.meCurveForwardRates(C983,$D$9,$D$10)</f>
        <v>1.2906436738519877E-2</v>
      </c>
      <c r="G983" s="7" t="s">
        <v>4</v>
      </c>
      <c r="H983" s="149">
        <f t="shared" ca="1" si="30"/>
        <v>43853</v>
      </c>
      <c r="I983" s="20">
        <f ca="1">_xll.meDateFromTenor(H983,"3M","Following",$I$11,"Normal")</f>
        <v>43944</v>
      </c>
      <c r="J983" s="150">
        <f ca="1"/>
        <v>1.6988042579456856E-2</v>
      </c>
      <c r="K983" s="7" t="s">
        <v>4</v>
      </c>
      <c r="L983" s="149" t="e">
        <f ca="1">_xll.meDateFromTenor(L982,"1D","FOLLOWING",#REF!,"NORMAL")</f>
        <v>#VALUE!</v>
      </c>
      <c r="M983" s="155">
        <f ca="1">_xll.meDateYearFraction(C983,D983,$M$11)</f>
        <v>2.7777777777777779E-3</v>
      </c>
      <c r="N983" s="150">
        <f ca="1"/>
        <v>-2.4300000000065936E-3</v>
      </c>
      <c r="O983" s="7" t="s">
        <v>4</v>
      </c>
      <c r="P983" s="149">
        <f t="shared" ca="1" si="31"/>
        <v>43853</v>
      </c>
      <c r="Q983" s="155">
        <f ca="1">_xll.meDateYearFraction(H983,I983,$Q$11,TRUE)</f>
        <v>0.25277777777777777</v>
      </c>
      <c r="R983" s="150">
        <f ca="1">IF(NOW(),_xll.meCurveForwardRatesFromYearFraction(P983,Q983,$Q$11,$Q$9,$Q$10))</f>
        <v>-3.7175485397107962E-3</v>
      </c>
      <c r="S983" s="134" t="s">
        <v>4</v>
      </c>
    </row>
    <row r="984" spans="1:19" x14ac:dyDescent="0.25">
      <c r="A984" s="128">
        <v>968</v>
      </c>
      <c r="B984" s="133"/>
      <c r="C984" s="149">
        <f ca="1">_xll.meDateFromTenor(C983,"1D","FOLLOWING",$D$11,"NORMAL")</f>
        <v>43854</v>
      </c>
      <c r="D984" s="20">
        <f ca="1">_xll.meDateFromTenor(C984,"1D","Following",$D$11,"Normal")</f>
        <v>43857</v>
      </c>
      <c r="E984" s="99">
        <f ca="1"/>
        <v>1.2833603628497104E-2</v>
      </c>
      <c r="F984" s="161">
        <f ca="1">_xll.meCurveForwardRates(C984,$D$9,$D$10)</f>
        <v>1.2911054714396242E-2</v>
      </c>
      <c r="G984" s="7" t="s">
        <v>4</v>
      </c>
      <c r="H984" s="149">
        <f t="shared" ca="1" si="30"/>
        <v>43854</v>
      </c>
      <c r="I984" s="20">
        <f ca="1">_xll.meDateFromTenor(H984,"3M","Following",$I$11,"Normal")</f>
        <v>43945</v>
      </c>
      <c r="J984" s="150">
        <f ca="1"/>
        <v>1.699382241805681E-2</v>
      </c>
      <c r="K984" s="7" t="s">
        <v>4</v>
      </c>
      <c r="L984" s="149" t="e">
        <f ca="1">_xll.meDateFromTenor(L983,"1D","FOLLOWING",#REF!,"NORMAL")</f>
        <v>#VALUE!</v>
      </c>
      <c r="M984" s="155">
        <f ca="1">_xll.meDateYearFraction(C984,D984,$M$11)</f>
        <v>8.3333333333333332E-3</v>
      </c>
      <c r="N984" s="150">
        <f ca="1"/>
        <v>-2.4300000000065936E-3</v>
      </c>
      <c r="O984" s="7" t="s">
        <v>4</v>
      </c>
      <c r="P984" s="149">
        <f t="shared" ca="1" si="31"/>
        <v>43854</v>
      </c>
      <c r="Q984" s="155">
        <f ca="1">_xll.meDateYearFraction(H984,I984,$Q$11,TRUE)</f>
        <v>0.25277777777777777</v>
      </c>
      <c r="R984" s="150">
        <f ca="1">IF(NOW(),_xll.meCurveForwardRatesFromYearFraction(P984,Q984,$Q$11,$Q$9,$Q$10))</f>
        <v>-3.7175485397107962E-3</v>
      </c>
      <c r="S984" s="134" t="s">
        <v>4</v>
      </c>
    </row>
    <row r="985" spans="1:19" x14ac:dyDescent="0.25">
      <c r="A985" s="128">
        <v>969</v>
      </c>
      <c r="B985" s="133"/>
      <c r="C985" s="149">
        <f ca="1">_xll.meDateFromTenor(C984,"1D","FOLLOWING",$D$11,"NORMAL")</f>
        <v>43857</v>
      </c>
      <c r="D985" s="20">
        <f ca="1">_xll.meDateFromTenor(C985,"1D","Following",$D$11,"Normal")</f>
        <v>43858</v>
      </c>
      <c r="E985" s="99">
        <f ca="1"/>
        <v>1.2842057229463012E-2</v>
      </c>
      <c r="F985" s="161">
        <f ca="1">_xll.meCurveForwardRates(C985,$D$9,$D$10)</f>
        <v>1.2924638556248702E-2</v>
      </c>
      <c r="G985" s="7" t="s">
        <v>4</v>
      </c>
      <c r="H985" s="149">
        <f t="shared" ca="1" si="30"/>
        <v>43857</v>
      </c>
      <c r="I985" s="20">
        <f ca="1">_xll.meDateFromTenor(H985,"3M","Following",$I$11,"Normal")</f>
        <v>43948</v>
      </c>
      <c r="J985" s="150">
        <f ca="1"/>
        <v>1.7011101433546595E-2</v>
      </c>
      <c r="K985" s="7" t="s">
        <v>4</v>
      </c>
      <c r="L985" s="149" t="e">
        <f ca="1">_xll.meDateFromTenor(L984,"1D","FOLLOWING",#REF!,"NORMAL")</f>
        <v>#VALUE!</v>
      </c>
      <c r="M985" s="155">
        <f ca="1">_xll.meDateYearFraction(C985,D985,$M$11)</f>
        <v>2.7777777777777779E-3</v>
      </c>
      <c r="N985" s="150">
        <f ca="1"/>
        <v>-2.4300000000065936E-3</v>
      </c>
      <c r="O985" s="7" t="s">
        <v>4</v>
      </c>
      <c r="P985" s="149">
        <f t="shared" ca="1" si="31"/>
        <v>43857</v>
      </c>
      <c r="Q985" s="155">
        <f ca="1">_xll.meDateYearFraction(H985,I985,$Q$11,TRUE)</f>
        <v>0.25277777777777777</v>
      </c>
      <c r="R985" s="150">
        <f ca="1">IF(NOW(),_xll.meCurveForwardRatesFromYearFraction(P985,Q985,$Q$11,$Q$9,$Q$10))</f>
        <v>4.2132144417834607E-5</v>
      </c>
      <c r="S985" s="134" t="s">
        <v>4</v>
      </c>
    </row>
    <row r="986" spans="1:19" x14ac:dyDescent="0.25">
      <c r="A986" s="128">
        <v>970</v>
      </c>
      <c r="B986" s="133"/>
      <c r="C986" s="149">
        <f ca="1">_xll.meDateFromTenor(C985,"1D","FOLLOWING",$D$11,"NORMAL")</f>
        <v>43858</v>
      </c>
      <c r="D986" s="20">
        <f ca="1">_xll.meDateFromTenor(C986,"1D","Following",$D$11,"Normal")</f>
        <v>43859</v>
      </c>
      <c r="E986" s="99">
        <f ca="1"/>
        <v>1.284643864565287E-2</v>
      </c>
      <c r="F986" s="161">
        <f ca="1">_xll.meCurveForwardRates(C986,$D$9,$D$10)</f>
        <v>1.2929076452043997E-2</v>
      </c>
      <c r="G986" s="7" t="s">
        <v>4</v>
      </c>
      <c r="H986" s="149">
        <f t="shared" ca="1" si="30"/>
        <v>43858</v>
      </c>
      <c r="I986" s="20">
        <f ca="1">_xll.meDateFromTenor(H986,"3M","Following",$I$11,"Normal")</f>
        <v>43949</v>
      </c>
      <c r="J986" s="150">
        <f ca="1"/>
        <v>1.7016840777342016E-2</v>
      </c>
      <c r="K986" s="7" t="s">
        <v>4</v>
      </c>
      <c r="L986" s="149" t="e">
        <f ca="1">_xll.meDateFromTenor(L985,"1D","FOLLOWING",#REF!,"NORMAL")</f>
        <v>#VALUE!</v>
      </c>
      <c r="M986" s="155">
        <f ca="1">_xll.meDateYearFraction(C986,D986,$M$11)</f>
        <v>2.7777777777777779E-3</v>
      </c>
      <c r="N986" s="150">
        <f ca="1"/>
        <v>-2.4300000000065936E-3</v>
      </c>
      <c r="O986" s="7" t="s">
        <v>4</v>
      </c>
      <c r="P986" s="149">
        <f t="shared" ca="1" si="31"/>
        <v>43858</v>
      </c>
      <c r="Q986" s="155">
        <f ca="1">_xll.meDateYearFraction(H986,I986,$Q$11,TRUE)</f>
        <v>0.25277777777777777</v>
      </c>
      <c r="R986" s="150">
        <f ca="1">IF(NOW(),_xll.meCurveForwardRatesFromYearFraction(P986,Q986,$Q$11,$Q$9,$Q$10))</f>
        <v>-3.7175485397107962E-3</v>
      </c>
      <c r="S986" s="134" t="s">
        <v>4</v>
      </c>
    </row>
    <row r="987" spans="1:19" x14ac:dyDescent="0.25">
      <c r="A987" s="128">
        <v>971</v>
      </c>
      <c r="B987" s="133"/>
      <c r="C987" s="149">
        <f ca="1">_xll.meDateFromTenor(C986,"1D","FOLLOWING",$D$11,"NORMAL")</f>
        <v>43859</v>
      </c>
      <c r="D987" s="20">
        <f ca="1">_xll.meDateFromTenor(C987,"1D","Following",$D$11,"Normal")</f>
        <v>43860</v>
      </c>
      <c r="E987" s="99">
        <f ca="1"/>
        <v>1.28507755787035E-2</v>
      </c>
      <c r="F987" s="161">
        <f ca="1">_xll.meCurveForwardRates(C987,$D$9,$D$10)</f>
        <v>1.2933469310375756E-2</v>
      </c>
      <c r="G987" s="7" t="s">
        <v>4</v>
      </c>
      <c r="H987" s="149">
        <f t="shared" ca="1" si="30"/>
        <v>43859</v>
      </c>
      <c r="I987" s="20">
        <f ca="1">_xll.meDateFromTenor(H987,"3M","Following",$I$11,"Normal")</f>
        <v>43950</v>
      </c>
      <c r="J987" s="150">
        <f ca="1"/>
        <v>1.7022569876487949E-2</v>
      </c>
      <c r="K987" s="7" t="s">
        <v>4</v>
      </c>
      <c r="L987" s="149" t="e">
        <f ca="1">_xll.meDateFromTenor(L986,"1D","FOLLOWING",#REF!,"NORMAL")</f>
        <v>#VALUE!</v>
      </c>
      <c r="M987" s="155">
        <f ca="1">_xll.meDateYearFraction(C987,D987,$M$11)</f>
        <v>2.7777777777777779E-3</v>
      </c>
      <c r="N987" s="150">
        <f ca="1"/>
        <v>-2.4300000000065936E-3</v>
      </c>
      <c r="O987" s="7" t="s">
        <v>4</v>
      </c>
      <c r="P987" s="149">
        <f t="shared" ca="1" si="31"/>
        <v>43859</v>
      </c>
      <c r="Q987" s="155">
        <f ca="1">_xll.meDateYearFraction(H987,I987,$Q$11,TRUE)</f>
        <v>0.25277777777777777</v>
      </c>
      <c r="R987" s="150">
        <f ca="1">IF(NOW(),_xll.meCurveForwardRatesFromYearFraction(P987,Q987,$Q$11,$Q$9,$Q$10))</f>
        <v>-3.7175485397107962E-3</v>
      </c>
      <c r="S987" s="134" t="s">
        <v>4</v>
      </c>
    </row>
    <row r="988" spans="1:19" x14ac:dyDescent="0.25">
      <c r="A988" s="128">
        <v>972</v>
      </c>
      <c r="B988" s="133"/>
      <c r="C988" s="149">
        <f ca="1">_xll.meDateFromTenor(C987,"1D","FOLLOWING",$D$11,"NORMAL")</f>
        <v>43860</v>
      </c>
      <c r="D988" s="20">
        <f ca="1">_xll.meDateFromTenor(C988,"1D","Following",$D$11,"Normal")</f>
        <v>43861</v>
      </c>
      <c r="E988" s="99">
        <f ca="1"/>
        <v>1.2855068022627916E-2</v>
      </c>
      <c r="F988" s="161">
        <f ca="1">_xll.meCurveForwardRates(C988,$D$9,$D$10)</f>
        <v>1.2937817124595297E-2</v>
      </c>
      <c r="G988" s="7" t="s">
        <v>4</v>
      </c>
      <c r="H988" s="149">
        <f t="shared" ca="1" si="30"/>
        <v>43860</v>
      </c>
      <c r="I988" s="20">
        <f ca="1">_xll.meDateFromTenor(H988,"3M","Following",$I$11,"Normal")</f>
        <v>43951</v>
      </c>
      <c r="J988" s="150">
        <f ca="1"/>
        <v>1.7028288682605051E-2</v>
      </c>
      <c r="K988" s="7" t="s">
        <v>4</v>
      </c>
      <c r="L988" s="149" t="e">
        <f ca="1">_xll.meDateFromTenor(L987,"1D","FOLLOWING",#REF!,"NORMAL")</f>
        <v>#VALUE!</v>
      </c>
      <c r="M988" s="155">
        <f ca="1">_xll.meDateYearFraction(C988,D988,$M$11)</f>
        <v>2.7777777777777779E-3</v>
      </c>
      <c r="N988" s="150">
        <f ca="1"/>
        <v>-2.4300000000065936E-3</v>
      </c>
      <c r="O988" s="7" t="s">
        <v>4</v>
      </c>
      <c r="P988" s="149">
        <f t="shared" ca="1" si="31"/>
        <v>43860</v>
      </c>
      <c r="Q988" s="155">
        <f ca="1">_xll.meDateYearFraction(H988,I988,$Q$11,TRUE)</f>
        <v>0.25277777777777777</v>
      </c>
      <c r="R988" s="150">
        <f ca="1">IF(NOW(),_xll.meCurveForwardRatesFromYearFraction(P988,Q988,$Q$11,$Q$9,$Q$10))</f>
        <v>-3.7175485397107962E-3</v>
      </c>
      <c r="S988" s="134" t="s">
        <v>4</v>
      </c>
    </row>
    <row r="989" spans="1:19" x14ac:dyDescent="0.25">
      <c r="A989" s="128">
        <v>973</v>
      </c>
      <c r="B989" s="133"/>
      <c r="C989" s="149">
        <f ca="1">_xll.meDateFromTenor(C988,"1D","FOLLOWING",$D$11,"NORMAL")</f>
        <v>43861</v>
      </c>
      <c r="D989" s="20">
        <f ca="1">_xll.meDateFromTenor(C989,"1D","Following",$D$11,"Normal")</f>
        <v>43864</v>
      </c>
      <c r="E989" s="99">
        <f ca="1"/>
        <v>1.2863964225679396E-2</v>
      </c>
      <c r="F989" s="161">
        <f ca="1">_xll.meCurveForwardRates(C989,$D$9,$D$10)</f>
        <v>1.2942119887793702E-2</v>
      </c>
      <c r="G989" s="7" t="s">
        <v>4</v>
      </c>
      <c r="H989" s="149">
        <f t="shared" ca="1" si="30"/>
        <v>43861</v>
      </c>
      <c r="I989" s="20">
        <f ca="1">_xll.meDateFromTenor(H989,"3M","Following",$I$11,"Normal")</f>
        <v>43951</v>
      </c>
      <c r="J989" s="150">
        <f ca="1"/>
        <v>1.7033997147313972E-2</v>
      </c>
      <c r="K989" s="7" t="s">
        <v>4</v>
      </c>
      <c r="L989" s="149" t="e">
        <f ca="1">_xll.meDateFromTenor(L988,"1D","FOLLOWING",#REF!,"NORMAL")</f>
        <v>#VALUE!</v>
      </c>
      <c r="M989" s="155">
        <f ca="1">_xll.meDateYearFraction(C989,D989,$M$11)</f>
        <v>8.3333333333333332E-3</v>
      </c>
      <c r="N989" s="150">
        <f ca="1"/>
        <v>-2.4300000000065936E-3</v>
      </c>
      <c r="O989" s="7" t="s">
        <v>4</v>
      </c>
      <c r="P989" s="149">
        <f t="shared" ca="1" si="31"/>
        <v>43861</v>
      </c>
      <c r="Q989" s="155">
        <f ca="1">_xll.meDateYearFraction(H989,I989,$Q$11,TRUE)</f>
        <v>0.25</v>
      </c>
      <c r="R989" s="150">
        <f ca="1">IF(NOW(),_xll.meCurveForwardRatesFromYearFraction(P989,Q989,$Q$11,$Q$9,$Q$10))</f>
        <v>7.1714166688127681E-5</v>
      </c>
      <c r="S989" s="134" t="s">
        <v>4</v>
      </c>
    </row>
    <row r="990" spans="1:19" x14ac:dyDescent="0.25">
      <c r="A990" s="128">
        <v>974</v>
      </c>
      <c r="B990" s="133"/>
      <c r="C990" s="149">
        <f ca="1">_xll.meDateFromTenor(C989,"1D","FOLLOWING",$D$11,"NORMAL")</f>
        <v>43864</v>
      </c>
      <c r="D990" s="20">
        <f ca="1">_xll.meDateFromTenor(C990,"1D","Following",$D$11,"Normal")</f>
        <v>43865</v>
      </c>
      <c r="E990" s="99">
        <f ca="1"/>
        <v>1.2871792781645625E-2</v>
      </c>
      <c r="F990" s="161">
        <f ca="1">_xll.meCurveForwardRates(C990,$D$9,$D$10)</f>
        <v>1.295475780183053E-2</v>
      </c>
      <c r="G990" s="7" t="s">
        <v>4</v>
      </c>
      <c r="H990" s="149">
        <f t="shared" ca="1" si="30"/>
        <v>43864</v>
      </c>
      <c r="I990" s="20">
        <f ca="1">_xll.meDateFromTenor(H990,"3M","Following",$I$11,"Normal")</f>
        <v>43956</v>
      </c>
      <c r="J990" s="150">
        <f ca="1"/>
        <v>1.7051060009198239E-2</v>
      </c>
      <c r="K990" s="7" t="s">
        <v>4</v>
      </c>
      <c r="L990" s="149" t="e">
        <f ca="1">_xll.meDateFromTenor(L989,"1D","FOLLOWING",#REF!,"NORMAL")</f>
        <v>#VALUE!</v>
      </c>
      <c r="M990" s="155">
        <f ca="1">_xll.meDateYearFraction(C990,D990,$M$11)</f>
        <v>2.7777777777777779E-3</v>
      </c>
      <c r="N990" s="150">
        <f ca="1"/>
        <v>-2.4300000000065936E-3</v>
      </c>
      <c r="O990" s="7" t="s">
        <v>4</v>
      </c>
      <c r="P990" s="149">
        <f t="shared" ca="1" si="31"/>
        <v>43864</v>
      </c>
      <c r="Q990" s="155">
        <f ca="1">_xll.meDateYearFraction(H990,I990,$Q$11,TRUE)</f>
        <v>0.25555555555555554</v>
      </c>
      <c r="R990" s="150">
        <f ca="1">IF(NOW(),_xll.meCurveForwardRatesFromYearFraction(P990,Q990,$Q$11,$Q$9,$Q$10))</f>
        <v>-3.7175485397107962E-3</v>
      </c>
      <c r="S990" s="134" t="s">
        <v>4</v>
      </c>
    </row>
    <row r="991" spans="1:19" x14ac:dyDescent="0.25">
      <c r="A991" s="128">
        <v>975</v>
      </c>
      <c r="B991" s="133"/>
      <c r="C991" s="149">
        <f ca="1">_xll.meDateFromTenor(C990,"1D","FOLLOWING",$D$11,"NORMAL")</f>
        <v>43865</v>
      </c>
      <c r="D991" s="20">
        <f ca="1">_xll.meDateFromTenor(C991,"1D","Following",$D$11,"Normal")</f>
        <v>43866</v>
      </c>
      <c r="E991" s="99">
        <f ca="1"/>
        <v>1.2875862685975056E-2</v>
      </c>
      <c r="F991" s="161">
        <f ca="1">_xll.meCurveForwardRates(C991,$D$9,$D$10)</f>
        <v>1.2958880291751074E-2</v>
      </c>
      <c r="G991" s="7" t="s">
        <v>4</v>
      </c>
      <c r="H991" s="149">
        <f t="shared" ca="1" si="30"/>
        <v>43865</v>
      </c>
      <c r="I991" s="20">
        <f ca="1">_xll.meDateFromTenor(H991,"3M","Following",$I$11,"Normal")</f>
        <v>43956</v>
      </c>
      <c r="J991" s="150">
        <f ca="1"/>
        <v>1.7056726624481024E-2</v>
      </c>
      <c r="K991" s="7" t="s">
        <v>4</v>
      </c>
      <c r="L991" s="149" t="e">
        <f ca="1">_xll.meDateFromTenor(L990,"1D","FOLLOWING",#REF!,"NORMAL")</f>
        <v>#VALUE!</v>
      </c>
      <c r="M991" s="155">
        <f ca="1">_xll.meDateYearFraction(C991,D991,$M$11)</f>
        <v>2.7777777777777779E-3</v>
      </c>
      <c r="N991" s="150">
        <f ca="1"/>
        <v>-2.4300000000065936E-3</v>
      </c>
      <c r="O991" s="7" t="s">
        <v>4</v>
      </c>
      <c r="P991" s="149">
        <f t="shared" ca="1" si="31"/>
        <v>43865</v>
      </c>
      <c r="Q991" s="155">
        <f ca="1">_xll.meDateYearFraction(H991,I991,$Q$11,TRUE)</f>
        <v>0.25277777777777777</v>
      </c>
      <c r="R991" s="150">
        <f ca="1">IF(NOW(),_xll.meCurveForwardRatesFromYearFraction(P991,Q991,$Q$11,$Q$9,$Q$10))</f>
        <v>-3.7175485397107962E-3</v>
      </c>
      <c r="S991" s="134" t="s">
        <v>4</v>
      </c>
    </row>
    <row r="992" spans="1:19" x14ac:dyDescent="0.25">
      <c r="A992" s="128">
        <v>976</v>
      </c>
      <c r="B992" s="133"/>
      <c r="C992" s="149">
        <f ca="1">_xll.meDateFromTenor(C991,"1D","FOLLOWING",$D$11,"NORMAL")</f>
        <v>43866</v>
      </c>
      <c r="D992" s="20">
        <f ca="1">_xll.meDateFromTenor(C992,"1D","Following",$D$11,"Normal")</f>
        <v>43867</v>
      </c>
      <c r="E992" s="99">
        <f ca="1"/>
        <v>1.2879888063690332E-2</v>
      </c>
      <c r="F992" s="161">
        <f ca="1">_xll.meCurveForwardRates(C992,$D$9,$D$10)</f>
        <v>1.296295769620448E-2</v>
      </c>
      <c r="G992" s="7" t="s">
        <v>4</v>
      </c>
      <c r="H992" s="149">
        <f t="shared" ca="1" si="30"/>
        <v>43866</v>
      </c>
      <c r="I992" s="20">
        <f ca="1">_xll.meDateFromTenor(H992,"3M","Following",$I$11,"Normal")</f>
        <v>43956</v>
      </c>
      <c r="J992" s="150">
        <f ca="1"/>
        <v>1.7062382656458909E-2</v>
      </c>
      <c r="K992" s="7" t="s">
        <v>4</v>
      </c>
      <c r="L992" s="149" t="e">
        <f ca="1">_xll.meDateFromTenor(L991,"1D","FOLLOWING",#REF!,"NORMAL")</f>
        <v>#VALUE!</v>
      </c>
      <c r="M992" s="155">
        <f ca="1">_xll.meDateYearFraction(C992,D992,$M$11)</f>
        <v>2.7777777777777779E-3</v>
      </c>
      <c r="N992" s="150">
        <f ca="1"/>
        <v>-2.4300000000065936E-3</v>
      </c>
      <c r="O992" s="7" t="s">
        <v>4</v>
      </c>
      <c r="P992" s="149">
        <f t="shared" ca="1" si="31"/>
        <v>43866</v>
      </c>
      <c r="Q992" s="155">
        <f ca="1">_xll.meDateYearFraction(H992,I992,$Q$11,TRUE)</f>
        <v>0.25</v>
      </c>
      <c r="R992" s="150">
        <f ca="1">IF(NOW(),_xll.meCurveForwardRatesFromYearFraction(P992,Q992,$Q$11,$Q$9,$Q$10))</f>
        <v>1.08636334771131E-4</v>
      </c>
      <c r="S992" s="134" t="s">
        <v>4</v>
      </c>
    </row>
    <row r="993" spans="1:19" x14ac:dyDescent="0.25">
      <c r="A993" s="128">
        <v>977</v>
      </c>
      <c r="B993" s="133"/>
      <c r="C993" s="149">
        <f ca="1">_xll.meDateFromTenor(C992,"1D","FOLLOWING",$D$11,"NORMAL")</f>
        <v>43867</v>
      </c>
      <c r="D993" s="20">
        <f ca="1">_xll.meDateFromTenor(C993,"1D","Following",$D$11,"Normal")</f>
        <v>43868</v>
      </c>
      <c r="E993" s="99">
        <f ca="1"/>
        <v>1.2883868908220226E-2</v>
      </c>
      <c r="F993" s="161">
        <f ca="1">_xll.meCurveForwardRates(C993,$D$9,$D$10)</f>
        <v>1.2966990007991397E-2</v>
      </c>
      <c r="G993" s="7" t="s">
        <v>4</v>
      </c>
      <c r="H993" s="149">
        <f t="shared" ca="1" si="30"/>
        <v>43867</v>
      </c>
      <c r="I993" s="20">
        <f ca="1">_xll.meDateFromTenor(H993,"3M","Following",$I$11,"Normal")</f>
        <v>43957</v>
      </c>
      <c r="J993" s="150">
        <f ca="1"/>
        <v>1.7068028056752563E-2</v>
      </c>
      <c r="K993" s="7" t="s">
        <v>4</v>
      </c>
      <c r="L993" s="149" t="e">
        <f ca="1">_xll.meDateFromTenor(L992,"1D","FOLLOWING",#REF!,"NORMAL")</f>
        <v>#VALUE!</v>
      </c>
      <c r="M993" s="155">
        <f ca="1">_xll.meDateYearFraction(C993,D993,$M$11)</f>
        <v>2.7777777777777779E-3</v>
      </c>
      <c r="N993" s="150">
        <f ca="1"/>
        <v>-2.4300000000065936E-3</v>
      </c>
      <c r="O993" s="7" t="s">
        <v>4</v>
      </c>
      <c r="P993" s="149">
        <f t="shared" ca="1" si="31"/>
        <v>43867</v>
      </c>
      <c r="Q993" s="155">
        <f ca="1">_xll.meDateYearFraction(H993,I993,$Q$11,TRUE)</f>
        <v>0.25</v>
      </c>
      <c r="R993" s="150">
        <f ca="1">IF(NOW(),_xll.meCurveForwardRatesFromYearFraction(P993,Q993,$Q$11,$Q$9,$Q$10))</f>
        <v>1.1599727099731899E-4</v>
      </c>
      <c r="S993" s="134" t="s">
        <v>4</v>
      </c>
    </row>
    <row r="994" spans="1:19" x14ac:dyDescent="0.25">
      <c r="A994" s="128">
        <v>978</v>
      </c>
      <c r="B994" s="133"/>
      <c r="C994" s="149">
        <f ca="1">_xll.meDateFromTenor(C993,"1D","FOLLOWING",$D$11,"NORMAL")</f>
        <v>43868</v>
      </c>
      <c r="D994" s="20">
        <f ca="1">_xll.meDateFromTenor(C994,"1D","Following",$D$11,"Normal")</f>
        <v>43871</v>
      </c>
      <c r="E994" s="99">
        <f ca="1"/>
        <v>1.2892143782688614E-2</v>
      </c>
      <c r="F994" s="161">
        <f ca="1">_xll.meCurveForwardRates(C994,$D$9,$D$10)</f>
        <v>1.297097722076157E-2</v>
      </c>
      <c r="G994" s="7" t="s">
        <v>4</v>
      </c>
      <c r="H994" s="149">
        <f t="shared" ca="1" si="30"/>
        <v>43868</v>
      </c>
      <c r="I994" s="20">
        <f ca="1">_xll.meDateFromTenor(H994,"3M","Following",$I$11,"Normal")</f>
        <v>43958</v>
      </c>
      <c r="J994" s="150">
        <f ca="1"/>
        <v>1.7073662776982634E-2</v>
      </c>
      <c r="K994" s="7" t="s">
        <v>4</v>
      </c>
      <c r="L994" s="149" t="e">
        <f ca="1">_xll.meDateFromTenor(L993,"1D","FOLLOWING",#REF!,"NORMAL")</f>
        <v>#VALUE!</v>
      </c>
      <c r="M994" s="155">
        <f ca="1">_xll.meDateYearFraction(C994,D994,$M$11)</f>
        <v>8.3333333333333332E-3</v>
      </c>
      <c r="N994" s="150">
        <f ca="1"/>
        <v>-2.4300000000065936E-3</v>
      </c>
      <c r="O994" s="7" t="s">
        <v>4</v>
      </c>
      <c r="P994" s="149">
        <f t="shared" ca="1" si="31"/>
        <v>43868</v>
      </c>
      <c r="Q994" s="155">
        <f ca="1">_xll.meDateYearFraction(H994,I994,$Q$11,TRUE)</f>
        <v>0.25</v>
      </c>
      <c r="R994" s="150">
        <f ca="1">IF(NOW(),_xll.meCurveForwardRatesFromYearFraction(P994,Q994,$Q$11,$Q$9,$Q$10))</f>
        <v>1.2334625646651877E-4</v>
      </c>
      <c r="S994" s="134" t="s">
        <v>4</v>
      </c>
    </row>
    <row r="995" spans="1:19" x14ac:dyDescent="0.25">
      <c r="A995" s="128">
        <v>979</v>
      </c>
      <c r="B995" s="133"/>
      <c r="C995" s="149">
        <f ca="1">_xll.meDateFromTenor(C994,"1D","FOLLOWING",$D$11,"NORMAL")</f>
        <v>43871</v>
      </c>
      <c r="D995" s="20">
        <f ca="1">_xll.meDateFromTenor(C995,"1D","Following",$D$11,"Normal")</f>
        <v>43872</v>
      </c>
      <c r="E995" s="99">
        <f ca="1"/>
        <v>1.2899346831962904E-2</v>
      </c>
      <c r="F995" s="161">
        <f ca="1">_xll.meCurveForwardRates(C995,$D$9,$D$10)</f>
        <v>1.2982668193712854E-2</v>
      </c>
      <c r="G995" s="7" t="s">
        <v>4</v>
      </c>
      <c r="H995" s="149">
        <f t="shared" ca="1" si="30"/>
        <v>43871</v>
      </c>
      <c r="I995" s="20">
        <f ca="1">_xll.meDateFromTenor(H995,"3M","Following",$I$11,"Normal")</f>
        <v>43962</v>
      </c>
      <c r="J995" s="150">
        <f ca="1"/>
        <v>1.7090502373497938E-2</v>
      </c>
      <c r="K995" s="7" t="s">
        <v>4</v>
      </c>
      <c r="L995" s="149" t="e">
        <f ca="1">_xll.meDateFromTenor(L994,"1D","FOLLOWING",#REF!,"NORMAL")</f>
        <v>#VALUE!</v>
      </c>
      <c r="M995" s="155">
        <f ca="1">_xll.meDateYearFraction(C995,D995,$M$11)</f>
        <v>2.7777777777777779E-3</v>
      </c>
      <c r="N995" s="150">
        <f ca="1"/>
        <v>-2.4300000000065936E-3</v>
      </c>
      <c r="O995" s="7" t="s">
        <v>4</v>
      </c>
      <c r="P995" s="149">
        <f t="shared" ca="1" si="31"/>
        <v>43871</v>
      </c>
      <c r="Q995" s="155">
        <f ca="1">_xll.meDateYearFraction(H995,I995,$Q$11,TRUE)</f>
        <v>0.25277777777777777</v>
      </c>
      <c r="R995" s="150">
        <f ca="1">IF(NOW(),_xll.meCurveForwardRatesFromYearFraction(P995,Q995,$Q$11,$Q$9,$Q$10))</f>
        <v>1.4530385850281352E-4</v>
      </c>
      <c r="S995" s="134" t="s">
        <v>4</v>
      </c>
    </row>
    <row r="996" spans="1:19" x14ac:dyDescent="0.25">
      <c r="A996" s="128">
        <v>980</v>
      </c>
      <c r="B996" s="133"/>
      <c r="C996" s="149">
        <f ca="1">_xll.meDateFromTenor(C995,"1D","FOLLOWING",$D$11,"NORMAL")</f>
        <v>43872</v>
      </c>
      <c r="D996" s="20">
        <f ca="1">_xll.meDateFromTenor(C996,"1D","Following",$D$11,"Normal")</f>
        <v>43873</v>
      </c>
      <c r="E996" s="99">
        <f ca="1"/>
        <v>1.2903104917649677E-2</v>
      </c>
      <c r="F996" s="161">
        <f ca="1">_xll.meCurveForwardRates(C996,$D$9,$D$10)</f>
        <v>1.2986474940110959E-2</v>
      </c>
      <c r="G996" s="7" t="s">
        <v>4</v>
      </c>
      <c r="H996" s="149">
        <f t="shared" ca="1" si="30"/>
        <v>43872</v>
      </c>
      <c r="I996" s="20">
        <f ca="1">_xll.meDateFromTenor(H996,"3M","Following",$I$11,"Normal")</f>
        <v>43962</v>
      </c>
      <c r="J996" s="150">
        <f ca="1"/>
        <v>1.709609388968026E-2</v>
      </c>
      <c r="K996" s="7" t="s">
        <v>4</v>
      </c>
      <c r="L996" s="149" t="e">
        <f ca="1">_xll.meDateFromTenor(L995,"1D","FOLLOWING",#REF!,"NORMAL")</f>
        <v>#VALUE!</v>
      </c>
      <c r="M996" s="155">
        <f ca="1">_xll.meDateYearFraction(C996,D996,$M$11)</f>
        <v>2.7777777777777779E-3</v>
      </c>
      <c r="N996" s="150">
        <f ca="1"/>
        <v>-2.4300000000065936E-3</v>
      </c>
      <c r="O996" s="7" t="s">
        <v>4</v>
      </c>
      <c r="P996" s="149">
        <f t="shared" ca="1" si="31"/>
        <v>43872</v>
      </c>
      <c r="Q996" s="155">
        <f ca="1">_xll.meDateYearFraction(H996,I996,$Q$11,TRUE)</f>
        <v>0.25</v>
      </c>
      <c r="R996" s="150">
        <f ca="1">IF(NOW(),_xll.meCurveForwardRatesFromYearFraction(P996,Q996,$Q$11,$Q$9,$Q$10))</f>
        <v>-3.7175485397107962E-3</v>
      </c>
      <c r="S996" s="134" t="s">
        <v>4</v>
      </c>
    </row>
    <row r="997" spans="1:19" x14ac:dyDescent="0.25">
      <c r="A997" s="128">
        <v>981</v>
      </c>
      <c r="B997" s="133"/>
      <c r="C997" s="149">
        <f ca="1">_xll.meDateFromTenor(C996,"1D","FOLLOWING",$D$11,"NORMAL")</f>
        <v>43873</v>
      </c>
      <c r="D997" s="20">
        <f ca="1">_xll.meDateFromTenor(C997,"1D","Following",$D$11,"Normal")</f>
        <v>43874</v>
      </c>
      <c r="E997" s="99">
        <f ca="1"/>
        <v>1.2906818432740977E-2</v>
      </c>
      <c r="F997" s="161">
        <f ca="1">_xll.meCurveForwardRates(C997,$D$9,$D$10)</f>
        <v>1.2990236552814283E-2</v>
      </c>
      <c r="G997" s="7" t="s">
        <v>4</v>
      </c>
      <c r="H997" s="149">
        <f t="shared" ca="1" si="30"/>
        <v>43873</v>
      </c>
      <c r="I997" s="20">
        <f ca="1">_xll.meDateFromTenor(H997,"3M","Following",$I$11,"Normal")</f>
        <v>43963</v>
      </c>
      <c r="J997" s="150">
        <f ca="1"/>
        <v>1.7101674483902284E-2</v>
      </c>
      <c r="K997" s="7" t="s">
        <v>4</v>
      </c>
      <c r="L997" s="149" t="e">
        <f ca="1">_xll.meDateFromTenor(L996,"1D","FOLLOWING",#REF!,"NORMAL")</f>
        <v>#VALUE!</v>
      </c>
      <c r="M997" s="155">
        <f ca="1">_xll.meDateYearFraction(C997,D997,$M$11)</f>
        <v>2.7777777777777779E-3</v>
      </c>
      <c r="N997" s="150">
        <f ca="1"/>
        <v>-2.4300000000065936E-3</v>
      </c>
      <c r="O997" s="7" t="s">
        <v>4</v>
      </c>
      <c r="P997" s="149">
        <f t="shared" ca="1" si="31"/>
        <v>43873</v>
      </c>
      <c r="Q997" s="155">
        <f ca="1">_xll.meDateYearFraction(H997,I997,$Q$11,TRUE)</f>
        <v>0.25</v>
      </c>
      <c r="R997" s="150">
        <f ca="1">IF(NOW(),_xll.meCurveForwardRatesFromYearFraction(P997,Q997,$Q$11,$Q$9,$Q$10))</f>
        <v>1.5985014805489141E-4</v>
      </c>
      <c r="S997" s="134" t="s">
        <v>4</v>
      </c>
    </row>
    <row r="998" spans="1:19" x14ac:dyDescent="0.25">
      <c r="A998" s="128">
        <v>982</v>
      </c>
      <c r="B998" s="133"/>
      <c r="C998" s="149">
        <f ca="1">_xll.meDateFromTenor(C997,"1D","FOLLOWING",$D$11,"NORMAL")</f>
        <v>43874</v>
      </c>
      <c r="D998" s="20">
        <f ca="1">_xll.meDateFromTenor(C998,"1D","Following",$D$11,"Normal")</f>
        <v>43875</v>
      </c>
      <c r="E998" s="99">
        <f ca="1"/>
        <v>1.2910487370698553E-2</v>
      </c>
      <c r="F998" s="161">
        <f ca="1">_xll.meCurveForwardRates(C998,$D$9,$D$10)</f>
        <v>1.2993953024698746E-2</v>
      </c>
      <c r="G998" s="7" t="s">
        <v>4</v>
      </c>
      <c r="H998" s="149">
        <f t="shared" ca="1" si="30"/>
        <v>43874</v>
      </c>
      <c r="I998" s="20">
        <f ca="1">_xll.meDateFromTenor(H998,"3M","Following",$I$11,"Normal")</f>
        <v>43964</v>
      </c>
      <c r="J998" s="150">
        <f ca="1"/>
        <v>1.7107244107784671E-2</v>
      </c>
      <c r="K998" s="7" t="s">
        <v>4</v>
      </c>
      <c r="L998" s="149" t="e">
        <f ca="1">_xll.meDateFromTenor(L997,"1D","FOLLOWING",#REF!,"NORMAL")</f>
        <v>#VALUE!</v>
      </c>
      <c r="M998" s="155">
        <f ca="1">_xll.meDateYearFraction(C998,D998,$M$11)</f>
        <v>2.7777777777777779E-3</v>
      </c>
      <c r="N998" s="150">
        <f ca="1"/>
        <v>-2.4300000000065936E-3</v>
      </c>
      <c r="O998" s="7" t="s">
        <v>4</v>
      </c>
      <c r="P998" s="149">
        <f t="shared" ca="1" si="31"/>
        <v>43874</v>
      </c>
      <c r="Q998" s="155">
        <f ca="1">_xll.meDateYearFraction(H998,I998,$Q$11,TRUE)</f>
        <v>0.25</v>
      </c>
      <c r="R998" s="150">
        <f ca="1">IF(NOW(),_xll.meCurveForwardRatesFromYearFraction(P998,Q998,$Q$11,$Q$9,$Q$10))</f>
        <v>-3.7175485397107962E-3</v>
      </c>
      <c r="S998" s="134" t="s">
        <v>4</v>
      </c>
    </row>
    <row r="999" spans="1:19" x14ac:dyDescent="0.25">
      <c r="A999" s="128">
        <v>983</v>
      </c>
      <c r="B999" s="133"/>
      <c r="C999" s="149">
        <f ca="1">_xll.meDateFromTenor(C998,"1D","FOLLOWING",$D$11,"NORMAL")</f>
        <v>43875</v>
      </c>
      <c r="D999" s="20">
        <f ca="1">_xll.meDateFromTenor(C999,"1D","Following",$D$11,"Normal")</f>
        <v>43879</v>
      </c>
      <c r="E999" s="99">
        <f ca="1"/>
        <v>1.2920132258265094E-2</v>
      </c>
      <c r="F999" s="161">
        <f ca="1">_xll.meCurveForwardRates(C999,$D$9,$D$10)</f>
        <v>1.2997624349097903E-2</v>
      </c>
      <c r="G999" s="7" t="s">
        <v>4</v>
      </c>
      <c r="H999" s="149">
        <f t="shared" ca="1" si="30"/>
        <v>43875</v>
      </c>
      <c r="I999" s="20">
        <f ca="1">_xll.meDateFromTenor(H999,"3M","Following",$I$11,"Normal")</f>
        <v>43965</v>
      </c>
      <c r="J999" s="150">
        <f ca="1"/>
        <v>1.7112802712948072E-2</v>
      </c>
      <c r="K999" s="7" t="s">
        <v>4</v>
      </c>
      <c r="L999" s="149" t="e">
        <f ca="1">_xll.meDateFromTenor(L998,"1D","FOLLOWING",#REF!,"NORMAL")</f>
        <v>#VALUE!</v>
      </c>
      <c r="M999" s="155">
        <f ca="1">_xll.meDateYearFraction(C999,D999,$M$11)</f>
        <v>1.1111111111111112E-2</v>
      </c>
      <c r="N999" s="150">
        <f ca="1"/>
        <v>-2.4300000000065936E-3</v>
      </c>
      <c r="O999" s="7" t="s">
        <v>4</v>
      </c>
      <c r="P999" s="149">
        <f t="shared" ca="1" si="31"/>
        <v>43875</v>
      </c>
      <c r="Q999" s="155">
        <f ca="1">_xll.meDateYearFraction(H999,I999,$Q$11,TRUE)</f>
        <v>0.25</v>
      </c>
      <c r="R999" s="150">
        <f ca="1">IF(NOW(),_xll.meCurveForwardRatesFromYearFraction(P999,Q999,$Q$11,$Q$9,$Q$10))</f>
        <v>-3.7175485397107962E-3</v>
      </c>
      <c r="S999" s="134" t="s">
        <v>4</v>
      </c>
    </row>
    <row r="1000" spans="1:19" x14ac:dyDescent="0.25">
      <c r="A1000" s="128">
        <v>984</v>
      </c>
      <c r="B1000" s="133"/>
      <c r="C1000" s="149">
        <f ca="1">_xll.meDateFromTenor(C999,"1D","FOLLOWING",$D$11,"NORMAL")</f>
        <v>43879</v>
      </c>
      <c r="D1000" s="20">
        <f ca="1">_xll.meDateFromTenor(C1000,"1D","Following",$D$11,"Normal")</f>
        <v>43880</v>
      </c>
      <c r="E1000" s="99">
        <f ca="1"/>
        <v>1.2928163184946695E-2</v>
      </c>
      <c r="F1000" s="161">
        <f ca="1">_xll.meCurveForwardRates(C1000,$D$9,$D$10)</f>
        <v>1.3011858033331825E-2</v>
      </c>
      <c r="G1000" s="7" t="s">
        <v>4</v>
      </c>
      <c r="H1000" s="149">
        <f t="shared" ca="1" si="30"/>
        <v>43879</v>
      </c>
      <c r="I1000" s="20">
        <f ca="1">_xll.meDateFromTenor(H1000,"3M","Following",$I$11,"Normal")</f>
        <v>43969</v>
      </c>
      <c r="J1000" s="150">
        <f ca="1"/>
        <v>1.7134925978825006E-2</v>
      </c>
      <c r="K1000" s="7" t="s">
        <v>4</v>
      </c>
      <c r="L1000" s="149" t="e">
        <f ca="1">_xll.meDateFromTenor(L999,"1D","FOLLOWING",#REF!,"NORMAL")</f>
        <v>#VALUE!</v>
      </c>
      <c r="M1000" s="155">
        <f ca="1">_xll.meDateYearFraction(C1000,D1000,$M$11)</f>
        <v>2.7777777777777779E-3</v>
      </c>
      <c r="N1000" s="150">
        <f ca="1"/>
        <v>-2.4300000000065936E-3</v>
      </c>
      <c r="O1000" s="7" t="s">
        <v>4</v>
      </c>
      <c r="P1000" s="149">
        <f t="shared" ca="1" si="31"/>
        <v>43879</v>
      </c>
      <c r="Q1000" s="155">
        <f ca="1">_xll.meDateYearFraction(H1000,I1000,$Q$11,TRUE)</f>
        <v>0.25</v>
      </c>
      <c r="R1000" s="150">
        <f ca="1">IF(NOW(),_xll.meCurveForwardRatesFromYearFraction(P1000,Q1000,$Q$11,$Q$9,$Q$10))</f>
        <v>-3.7175485397107962E-3</v>
      </c>
      <c r="S1000" s="134" t="s">
        <v>4</v>
      </c>
    </row>
    <row r="1001" spans="1:19" x14ac:dyDescent="0.25">
      <c r="A1001" s="128">
        <v>985</v>
      </c>
      <c r="B1001" s="133"/>
      <c r="C1001" s="149">
        <f ca="1">_xll.meDateFromTenor(C1000,"1D","FOLLOWING",$D$11,"NORMAL")</f>
        <v>43880</v>
      </c>
      <c r="D1001" s="20">
        <f ca="1">_xll.meDateFromTenor(C1001,"1D","Following",$D$11,"Normal")</f>
        <v>43881</v>
      </c>
      <c r="E1001" s="99">
        <f ca="1"/>
        <v>1.293156452847766E-2</v>
      </c>
      <c r="F1001" s="161">
        <f ca="1">_xll.meCurveForwardRates(C1001,$D$9,$D$10)</f>
        <v>1.3015303516772603E-2</v>
      </c>
      <c r="G1001" s="7" t="s">
        <v>4</v>
      </c>
      <c r="H1001" s="149">
        <f t="shared" ca="1" si="30"/>
        <v>43880</v>
      </c>
      <c r="I1001" s="20">
        <f ca="1">_xll.meDateFromTenor(H1001,"3M","Following",$I$11,"Normal")</f>
        <v>43970</v>
      </c>
      <c r="J1001" s="150">
        <f ca="1"/>
        <v>1.7140428764703348E-2</v>
      </c>
      <c r="K1001" s="7" t="s">
        <v>4</v>
      </c>
      <c r="L1001" s="149" t="e">
        <f ca="1">_xll.meDateFromTenor(L1000,"1D","FOLLOWING",#REF!,"NORMAL")</f>
        <v>#VALUE!</v>
      </c>
      <c r="M1001" s="155">
        <f ca="1">_xll.meDateYearFraction(C1001,D1001,$M$11)</f>
        <v>2.7777777777777779E-3</v>
      </c>
      <c r="N1001" s="150">
        <f ca="1"/>
        <v>-2.4300000000065936E-3</v>
      </c>
      <c r="O1001" s="7" t="s">
        <v>4</v>
      </c>
      <c r="P1001" s="149">
        <f t="shared" ca="1" si="31"/>
        <v>43880</v>
      </c>
      <c r="Q1001" s="155">
        <f ca="1">_xll.meDateYearFraction(H1001,I1001,$Q$11,TRUE)</f>
        <v>0.25</v>
      </c>
      <c r="R1001" s="150">
        <f ca="1">IF(NOW(),_xll.meCurveForwardRatesFromYearFraction(P1001,Q1001,$Q$11,$Q$9,$Q$10))</f>
        <v>2.099594692627898E-4</v>
      </c>
      <c r="S1001" s="134" t="s">
        <v>4</v>
      </c>
    </row>
    <row r="1002" spans="1:19" x14ac:dyDescent="0.25">
      <c r="A1002" s="128">
        <v>986</v>
      </c>
      <c r="B1002" s="133"/>
      <c r="C1002" s="149">
        <f ca="1">_xll.meDateFromTenor(C1001,"1D","FOLLOWING",$D$11,"NORMAL")</f>
        <v>43881</v>
      </c>
      <c r="D1002" s="20">
        <f ca="1">_xll.meDateFromTenor(C1002,"1D","Following",$D$11,"Normal")</f>
        <v>43882</v>
      </c>
      <c r="E1002" s="99">
        <f ca="1"/>
        <v>1.2934921250653739E-2</v>
      </c>
      <c r="F1002" s="161">
        <f ca="1">_xll.meCurveForwardRates(C1002,$D$9,$D$10)</f>
        <v>1.3018703811255694E-2</v>
      </c>
      <c r="G1002" s="7" t="s">
        <v>4</v>
      </c>
      <c r="H1002" s="149">
        <f t="shared" ca="1" si="30"/>
        <v>43881</v>
      </c>
      <c r="I1002" s="20">
        <f ca="1">_xll.meDateFromTenor(H1002,"3M","Following",$I$11,"Normal")</f>
        <v>43971</v>
      </c>
      <c r="J1002" s="150">
        <f ca="1"/>
        <v>1.7145920241586649E-2</v>
      </c>
      <c r="K1002" s="7" t="s">
        <v>4</v>
      </c>
      <c r="L1002" s="149" t="e">
        <f ca="1">_xll.meDateFromTenor(L1001,"1D","FOLLOWING",#REF!,"NORMAL")</f>
        <v>#VALUE!</v>
      </c>
      <c r="M1002" s="155">
        <f ca="1">_xll.meDateYearFraction(C1002,D1002,$M$11)</f>
        <v>2.7777777777777779E-3</v>
      </c>
      <c r="N1002" s="150">
        <f ca="1"/>
        <v>-2.4300000000065936E-3</v>
      </c>
      <c r="O1002" s="7" t="s">
        <v>4</v>
      </c>
      <c r="P1002" s="149">
        <f t="shared" ca="1" si="31"/>
        <v>43881</v>
      </c>
      <c r="Q1002" s="155">
        <f ca="1">_xll.meDateYearFraction(H1002,I1002,$Q$11,TRUE)</f>
        <v>0.25</v>
      </c>
      <c r="R1002" s="150">
        <f ca="1">IF(NOW(),_xll.meCurveForwardRatesFromYearFraction(P1002,Q1002,$Q$11,$Q$9,$Q$10))</f>
        <v>-3.7175485397107962E-3</v>
      </c>
      <c r="S1002" s="134" t="s">
        <v>4</v>
      </c>
    </row>
    <row r="1003" spans="1:19" x14ac:dyDescent="0.25">
      <c r="A1003" s="128">
        <v>987</v>
      </c>
      <c r="B1003" s="133"/>
      <c r="C1003" s="149">
        <f ca="1">_xll.meDateFromTenor(C1002,"1D","FOLLOWING",$D$11,"NORMAL")</f>
        <v>43882</v>
      </c>
      <c r="D1003" s="20">
        <f ca="1">_xll.meDateFromTenor(C1003,"1D","Following",$D$11,"Normal")</f>
        <v>43885</v>
      </c>
      <c r="E1003" s="99">
        <f ca="1"/>
        <v>1.2941951159151824E-2</v>
      </c>
      <c r="F1003" s="161">
        <f ca="1">_xll.meCurveForwardRates(C1003,$D$9,$D$10)</f>
        <v>1.302205890994701E-2</v>
      </c>
      <c r="G1003" s="7" t="s">
        <v>4</v>
      </c>
      <c r="H1003" s="149">
        <f t="shared" ca="1" si="30"/>
        <v>43882</v>
      </c>
      <c r="I1003" s="20">
        <f ca="1">_xll.meDateFromTenor(H1003,"3M","Following",$I$11,"Normal")</f>
        <v>43972</v>
      </c>
      <c r="J1003" s="150">
        <f ca="1"/>
        <v>1.7151400361095574E-2</v>
      </c>
      <c r="K1003" s="7" t="s">
        <v>4</v>
      </c>
      <c r="L1003" s="149" t="e">
        <f ca="1">_xll.meDateFromTenor(L1002,"1D","FOLLOWING",#REF!,"NORMAL")</f>
        <v>#VALUE!</v>
      </c>
      <c r="M1003" s="155">
        <f ca="1">_xll.meDateYearFraction(C1003,D1003,$M$11)</f>
        <v>8.3333333333333332E-3</v>
      </c>
      <c r="N1003" s="150">
        <f ca="1"/>
        <v>-2.4300000000065936E-3</v>
      </c>
      <c r="O1003" s="7" t="s">
        <v>4</v>
      </c>
      <c r="P1003" s="149">
        <f t="shared" ca="1" si="31"/>
        <v>43882</v>
      </c>
      <c r="Q1003" s="155">
        <f ca="1">_xll.meDateYearFraction(H1003,I1003,$Q$11,TRUE)</f>
        <v>0.25</v>
      </c>
      <c r="R1003" s="150">
        <f ca="1">IF(NOW(),_xll.meCurveForwardRatesFromYearFraction(P1003,Q1003,$Q$11,$Q$9,$Q$10))</f>
        <v>-3.7175485397107962E-3</v>
      </c>
      <c r="S1003" s="134" t="s">
        <v>4</v>
      </c>
    </row>
    <row r="1004" spans="1:19" x14ac:dyDescent="0.25">
      <c r="A1004" s="128">
        <v>988</v>
      </c>
      <c r="B1004" s="133"/>
      <c r="C1004" s="149">
        <f ca="1">_xll.meDateFromTenor(C1003,"1D","FOLLOWING",$D$11,"NORMAL")</f>
        <v>43885</v>
      </c>
      <c r="D1004" s="20">
        <f ca="1">_xll.meDateFromTenor(C1004,"1D","Following",$D$11,"Normal")</f>
        <v>43886</v>
      </c>
      <c r="E1004" s="99">
        <f ca="1"/>
        <v>1.2948682626372695E-2</v>
      </c>
      <c r="F1004" s="161">
        <f ca="1">_xll.meCurveForwardRates(C1004,$D$9,$D$10)</f>
        <v>1.3032643937026744E-2</v>
      </c>
      <c r="G1004" s="7" t="s">
        <v>4</v>
      </c>
      <c r="H1004" s="149">
        <f t="shared" ca="1" si="30"/>
        <v>43885</v>
      </c>
      <c r="I1004" s="20">
        <f ca="1">_xll.meDateFromTenor(H1004,"3M","Following",$I$11,"Normal")</f>
        <v>43977</v>
      </c>
      <c r="J1004" s="150">
        <f ca="1"/>
        <v>1.7167772091582587E-2</v>
      </c>
      <c r="K1004" s="7" t="s">
        <v>4</v>
      </c>
      <c r="L1004" s="149" t="e">
        <f ca="1">_xll.meDateFromTenor(L1003,"1D","FOLLOWING",#REF!,"NORMAL")</f>
        <v>#VALUE!</v>
      </c>
      <c r="M1004" s="155">
        <f ca="1">_xll.meDateYearFraction(C1004,D1004,$M$11)</f>
        <v>2.7777777777777779E-3</v>
      </c>
      <c r="N1004" s="150">
        <f ca="1"/>
        <v>-2.4300000000065936E-3</v>
      </c>
      <c r="O1004" s="7" t="s">
        <v>4</v>
      </c>
      <c r="P1004" s="149">
        <f t="shared" ca="1" si="31"/>
        <v>43885</v>
      </c>
      <c r="Q1004" s="155">
        <f ca="1">_xll.meDateYearFraction(H1004,I1004,$Q$11,TRUE)</f>
        <v>0.25555555555555554</v>
      </c>
      <c r="R1004" s="150">
        <f ca="1">IF(NOW(),_xll.meCurveForwardRatesFromYearFraction(P1004,Q1004,$Q$11,$Q$9,$Q$10))</f>
        <v>-3.7175485397107962E-3</v>
      </c>
      <c r="S1004" s="134" t="s">
        <v>4</v>
      </c>
    </row>
    <row r="1005" spans="1:19" x14ac:dyDescent="0.25">
      <c r="A1005" s="128">
        <v>989</v>
      </c>
      <c r="B1005" s="133"/>
      <c r="C1005" s="149">
        <f ca="1">_xll.meDateFromTenor(C1004,"1D","FOLLOWING",$D$11,"NORMAL")</f>
        <v>43886</v>
      </c>
      <c r="D1005" s="20">
        <f ca="1">_xll.meDateFromTenor(C1005,"1D","Following",$D$11,"Normal")</f>
        <v>43887</v>
      </c>
      <c r="E1005" s="99">
        <f ca="1"/>
        <v>1.2953403923729907E-2</v>
      </c>
      <c r="F1005" s="161">
        <f ca="1">_xll.meCurveForwardRates(C1005,$D$9,$D$10)</f>
        <v>1.3037426604604496E-2</v>
      </c>
      <c r="G1005" s="7" t="s">
        <v>4</v>
      </c>
      <c r="H1005" s="149">
        <f t="shared" ca="1" si="30"/>
        <v>43886</v>
      </c>
      <c r="I1005" s="20">
        <f ca="1">_xll.meDateFromTenor(H1005,"3M","Following",$I$11,"Normal")</f>
        <v>43977</v>
      </c>
      <c r="J1005" s="150">
        <f ca="1"/>
        <v>1.7173207117471143E-2</v>
      </c>
      <c r="K1005" s="7" t="s">
        <v>4</v>
      </c>
      <c r="L1005" s="149" t="e">
        <f ca="1">_xll.meDateFromTenor(L1004,"1D","FOLLOWING",#REF!,"NORMAL")</f>
        <v>#VALUE!</v>
      </c>
      <c r="M1005" s="155">
        <f ca="1">_xll.meDateYearFraction(C1005,D1005,$M$11)</f>
        <v>2.7777777777777779E-3</v>
      </c>
      <c r="N1005" s="150">
        <f ca="1"/>
        <v>-2.4300000000065936E-3</v>
      </c>
      <c r="O1005" s="7" t="s">
        <v>4</v>
      </c>
      <c r="P1005" s="149">
        <f t="shared" ca="1" si="31"/>
        <v>43886</v>
      </c>
      <c r="Q1005" s="155">
        <f ca="1">_xll.meDateYearFraction(H1005,I1005,$Q$11,TRUE)</f>
        <v>0.25277777777777777</v>
      </c>
      <c r="R1005" s="150">
        <f ca="1">IF(NOW(),_xll.meCurveForwardRatesFromYearFraction(P1005,Q1005,$Q$11,$Q$9,$Q$10))</f>
        <v>2.5157082321475939E-4</v>
      </c>
      <c r="S1005" s="134" t="s">
        <v>4</v>
      </c>
    </row>
    <row r="1006" spans="1:19" x14ac:dyDescent="0.25">
      <c r="A1006" s="128">
        <v>990</v>
      </c>
      <c r="B1006" s="133"/>
      <c r="C1006" s="149">
        <f ca="1">_xll.meDateFromTenor(C1005,"1D","FOLLOWING",$D$11,"NORMAL")</f>
        <v>43887</v>
      </c>
      <c r="D1006" s="20">
        <f ca="1">_xll.meDateFromTenor(C1006,"1D","Following",$D$11,"Normal")</f>
        <v>43888</v>
      </c>
      <c r="E1006" s="99">
        <f ca="1"/>
        <v>1.2958119751214275E-2</v>
      </c>
      <c r="F1006" s="161">
        <f ca="1">_xll.meCurveForwardRates(C1006,$D$9,$D$10)</f>
        <v>1.3042203753686588E-2</v>
      </c>
      <c r="G1006" s="7" t="s">
        <v>4</v>
      </c>
      <c r="H1006" s="149">
        <f t="shared" ca="1" si="30"/>
        <v>43887</v>
      </c>
      <c r="I1006" s="20">
        <f ca="1">_xll.meDateFromTenor(H1006,"3M","Following",$I$11,"Normal")</f>
        <v>43977</v>
      </c>
      <c r="J1006" s="150">
        <f ca="1"/>
        <v>1.7178632212295521E-2</v>
      </c>
      <c r="K1006" s="7" t="s">
        <v>4</v>
      </c>
      <c r="L1006" s="149" t="e">
        <f ca="1">_xll.meDateFromTenor(L1005,"1D","FOLLOWING",#REF!,"NORMAL")</f>
        <v>#VALUE!</v>
      </c>
      <c r="M1006" s="155">
        <f ca="1">_xll.meDateYearFraction(C1006,D1006,$M$11)</f>
        <v>2.7777777777777779E-3</v>
      </c>
      <c r="N1006" s="150">
        <f ca="1"/>
        <v>-2.4300000000065936E-3</v>
      </c>
      <c r="O1006" s="7" t="s">
        <v>4</v>
      </c>
      <c r="P1006" s="149">
        <f t="shared" ca="1" si="31"/>
        <v>43887</v>
      </c>
      <c r="Q1006" s="155">
        <f ca="1">_xll.meDateYearFraction(H1006,I1006,$Q$11,TRUE)</f>
        <v>0.25</v>
      </c>
      <c r="R1006" s="150">
        <f ca="1">IF(NOW(),_xll.meCurveForwardRatesFromYearFraction(P1006,Q1006,$Q$11,$Q$9,$Q$10))</f>
        <v>-3.7175485397107962E-3</v>
      </c>
      <c r="S1006" s="134" t="s">
        <v>4</v>
      </c>
    </row>
    <row r="1007" spans="1:19" x14ac:dyDescent="0.25">
      <c r="A1007" s="128">
        <v>991</v>
      </c>
      <c r="B1007" s="133"/>
      <c r="C1007" s="149">
        <f ca="1">_xll.meDateFromTenor(C1006,"1D","FOLLOWING",$D$11,"NORMAL")</f>
        <v>43888</v>
      </c>
      <c r="D1007" s="20">
        <f ca="1">_xll.meDateFromTenor(C1007,"1D","Following",$D$11,"Normal")</f>
        <v>43889</v>
      </c>
      <c r="E1007" s="99">
        <f ca="1"/>
        <v>1.2962830108202881E-2</v>
      </c>
      <c r="F1007" s="161">
        <f ca="1">_xll.meCurveForwardRates(C1007,$D$9,$D$10)</f>
        <v>1.3046975383563808E-2</v>
      </c>
      <c r="G1007" s="7" t="s">
        <v>4</v>
      </c>
      <c r="H1007" s="149">
        <f t="shared" ca="1" si="30"/>
        <v>43888</v>
      </c>
      <c r="I1007" s="20">
        <f ca="1">_xll.meDateFromTenor(H1007,"3M","Following",$I$11,"Normal")</f>
        <v>43978</v>
      </c>
      <c r="J1007" s="150">
        <f ca="1"/>
        <v>1.7184047370974915E-2</v>
      </c>
      <c r="K1007" s="7" t="s">
        <v>4</v>
      </c>
      <c r="L1007" s="149" t="e">
        <f ca="1">_xll.meDateFromTenor(L1006,"1D","FOLLOWING",#REF!,"NORMAL")</f>
        <v>#VALUE!</v>
      </c>
      <c r="M1007" s="155">
        <f ca="1">_xll.meDateYearFraction(C1007,D1007,$M$11)</f>
        <v>2.7777777777777779E-3</v>
      </c>
      <c r="N1007" s="150">
        <f ca="1"/>
        <v>-2.4300000000065936E-3</v>
      </c>
      <c r="O1007" s="7" t="s">
        <v>4</v>
      </c>
      <c r="P1007" s="149">
        <f t="shared" ca="1" si="31"/>
        <v>43888</v>
      </c>
      <c r="Q1007" s="155">
        <f ca="1">_xll.meDateYearFraction(H1007,I1007,$Q$11,TRUE)</f>
        <v>0.25</v>
      </c>
      <c r="R1007" s="150">
        <f ca="1">IF(NOW(),_xll.meCurveForwardRatesFromYearFraction(P1007,Q1007,$Q$11,$Q$9,$Q$10))</f>
        <v>2.6509641180750274E-4</v>
      </c>
      <c r="S1007" s="134" t="s">
        <v>4</v>
      </c>
    </row>
    <row r="1008" spans="1:19" x14ac:dyDescent="0.25">
      <c r="A1008" s="128">
        <v>992</v>
      </c>
      <c r="B1008" s="133"/>
      <c r="C1008" s="149">
        <f ca="1">_xll.meDateFromTenor(C1007,"1D","FOLLOWING",$D$11,"NORMAL")</f>
        <v>43889</v>
      </c>
      <c r="D1008" s="20">
        <f ca="1">_xll.meDateFromTenor(C1008,"1D","Following",$D$11,"Normal")</f>
        <v>43892</v>
      </c>
      <c r="E1008" s="99">
        <f ca="1"/>
        <v>1.2972700030412974E-2</v>
      </c>
      <c r="F1008" s="161">
        <f ca="1">_xll.meCurveForwardRates(C1008,$D$9,$D$10)</f>
        <v>1.3051741493412594E-2</v>
      </c>
      <c r="G1008" s="7" t="s">
        <v>4</v>
      </c>
      <c r="H1008" s="149">
        <f t="shared" ca="1" si="30"/>
        <v>43889</v>
      </c>
      <c r="I1008" s="20">
        <f ca="1">_xll.meDateFromTenor(H1008,"3M","Following",$I$11,"Normal")</f>
        <v>43979</v>
      </c>
      <c r="J1008" s="150">
        <f ca="1"/>
        <v>1.7189452588428532E-2</v>
      </c>
      <c r="K1008" s="7" t="s">
        <v>4</v>
      </c>
      <c r="L1008" s="149" t="e">
        <f ca="1">_xll.meDateFromTenor(L1007,"1D","FOLLOWING",#REF!,"NORMAL")</f>
        <v>#VALUE!</v>
      </c>
      <c r="M1008" s="155">
        <f ca="1">_xll.meDateYearFraction(C1008,D1008,$M$11)</f>
        <v>8.3333333333333332E-3</v>
      </c>
      <c r="N1008" s="150">
        <f ca="1"/>
        <v>-2.4300000000065936E-3</v>
      </c>
      <c r="O1008" s="7" t="s">
        <v>4</v>
      </c>
      <c r="P1008" s="149">
        <f t="shared" ca="1" si="31"/>
        <v>43889</v>
      </c>
      <c r="Q1008" s="155">
        <f ca="1">_xll.meDateYearFraction(H1008,I1008,$Q$11,TRUE)</f>
        <v>0.25</v>
      </c>
      <c r="R1008" s="150">
        <f ca="1">IF(NOW(),_xll.meCurveForwardRatesFromYearFraction(P1008,Q1008,$Q$11,$Q$9,$Q$10))</f>
        <v>-3.7175485397107962E-3</v>
      </c>
      <c r="S1008" s="134" t="s">
        <v>4</v>
      </c>
    </row>
    <row r="1009" spans="1:19" x14ac:dyDescent="0.25">
      <c r="A1009" s="128">
        <v>993</v>
      </c>
      <c r="B1009" s="133"/>
      <c r="C1009" s="149">
        <f ca="1">_xll.meDateFromTenor(C1008,"1D","FOLLOWING",$D$11,"NORMAL")</f>
        <v>43892</v>
      </c>
      <c r="D1009" s="20">
        <f ca="1">_xll.meDateFromTenor(C1009,"1D","Following",$D$11,"Normal")</f>
        <v>43893</v>
      </c>
      <c r="E1009" s="99">
        <f ca="1"/>
        <v>1.2981616817591036E-2</v>
      </c>
      <c r="F1009" s="161">
        <f ca="1">_xll.meCurveForwardRates(C1009,$D$9,$D$10)</f>
        <v>1.3066006695680699E-2</v>
      </c>
      <c r="G1009" s="7" t="s">
        <v>4</v>
      </c>
      <c r="H1009" s="149">
        <f t="shared" ca="1" si="30"/>
        <v>43892</v>
      </c>
      <c r="I1009" s="20">
        <f ca="1">_xll.meDateFromTenor(H1009,"3M","Following",$I$11,"Normal")</f>
        <v>43984</v>
      </c>
      <c r="J1009" s="150">
        <f ca="1"/>
        <v>1.7205608542626791E-2</v>
      </c>
      <c r="K1009" s="7" t="s">
        <v>4</v>
      </c>
      <c r="L1009" s="149" t="e">
        <f ca="1">_xll.meDateFromTenor(L1008,"1D","FOLLOWING",#REF!,"NORMAL")</f>
        <v>#VALUE!</v>
      </c>
      <c r="M1009" s="155">
        <f ca="1">_xll.meDateYearFraction(C1009,D1009,$M$11)</f>
        <v>2.7777777777777779E-3</v>
      </c>
      <c r="N1009" s="150">
        <f ca="1"/>
        <v>-2.4300000000065936E-3</v>
      </c>
      <c r="O1009" s="7" t="s">
        <v>4</v>
      </c>
      <c r="P1009" s="149">
        <f t="shared" ca="1" si="31"/>
        <v>43892</v>
      </c>
      <c r="Q1009" s="155">
        <f ca="1">_xll.meDateYearFraction(H1009,I1009,$Q$11,TRUE)</f>
        <v>0.25555555555555554</v>
      </c>
      <c r="R1009" s="150">
        <f ca="1">IF(NOW(),_xll.meCurveForwardRatesFromYearFraction(P1009,Q1009,$Q$11,$Q$9,$Q$10))</f>
        <v>2.916661232603892E-4</v>
      </c>
      <c r="S1009" s="134" t="s">
        <v>4</v>
      </c>
    </row>
    <row r="1010" spans="1:19" x14ac:dyDescent="0.25">
      <c r="A1010" s="128">
        <v>994</v>
      </c>
      <c r="B1010" s="133"/>
      <c r="C1010" s="149">
        <f ca="1">_xll.meDateFromTenor(C1009,"1D","FOLLOWING",$D$11,"NORMAL")</f>
        <v>43893</v>
      </c>
      <c r="D1010" s="20">
        <f ca="1">_xll.meDateFromTenor(C1010,"1D","Following",$D$11,"Normal")</f>
        <v>43894</v>
      </c>
      <c r="E1010" s="99">
        <f ca="1"/>
        <v>1.2986299812139026E-2</v>
      </c>
      <c r="F1010" s="161">
        <f ca="1">_xll.meCurveForwardRates(C1010,$D$9,$D$10)</f>
        <v>1.3070750718274349E-2</v>
      </c>
      <c r="G1010" s="7" t="s">
        <v>4</v>
      </c>
      <c r="H1010" s="149">
        <f t="shared" ca="1" si="30"/>
        <v>43893</v>
      </c>
      <c r="I1010" s="20">
        <f ca="1">_xll.meDateFromTenor(H1010,"3M","Following",$I$11,"Normal")</f>
        <v>43985</v>
      </c>
      <c r="J1010" s="150">
        <f ca="1"/>
        <v>1.7210973944369358E-2</v>
      </c>
      <c r="K1010" s="7" t="s">
        <v>4</v>
      </c>
      <c r="L1010" s="149" t="e">
        <f ca="1">_xll.meDateFromTenor(L1009,"1D","FOLLOWING",#REF!,"NORMAL")</f>
        <v>#VALUE!</v>
      </c>
      <c r="M1010" s="155">
        <f ca="1">_xll.meDateYearFraction(C1010,D1010,$M$11)</f>
        <v>2.7777777777777779E-3</v>
      </c>
      <c r="N1010" s="150">
        <f ca="1"/>
        <v>-2.4300000000065936E-3</v>
      </c>
      <c r="O1010" s="7" t="s">
        <v>4</v>
      </c>
      <c r="P1010" s="149">
        <f t="shared" ca="1" si="31"/>
        <v>43893</v>
      </c>
      <c r="Q1010" s="155">
        <f ca="1">_xll.meDateYearFraction(H1010,I1010,$Q$11,TRUE)</f>
        <v>0.25555555555555554</v>
      </c>
      <c r="R1010" s="150">
        <f ca="1">IF(NOW(),_xll.meCurveForwardRatesFromYearFraction(P1010,Q1010,$Q$11,$Q$9,$Q$10))</f>
        <v>-3.7175485397107962E-3</v>
      </c>
      <c r="S1010" s="134" t="s">
        <v>4</v>
      </c>
    </row>
    <row r="1011" spans="1:19" x14ac:dyDescent="0.25">
      <c r="A1011" s="128">
        <v>995</v>
      </c>
      <c r="B1011" s="133"/>
      <c r="C1011" s="149">
        <f ca="1">_xll.meDateFromTenor(C1010,"1D","FOLLOWING",$D$11,"NORMAL")</f>
        <v>43894</v>
      </c>
      <c r="D1011" s="20">
        <f ca="1">_xll.meDateFromTenor(C1011,"1D","Following",$D$11,"Normal")</f>
        <v>43895</v>
      </c>
      <c r="E1011" s="99">
        <f ca="1"/>
        <v>1.2990977332274403E-2</v>
      </c>
      <c r="F1011" s="161">
        <f ca="1">_xll.meCurveForwardRates(C1011,$D$9,$D$10)</f>
        <v>1.3075489217228675E-2</v>
      </c>
      <c r="G1011" s="7" t="s">
        <v>4</v>
      </c>
      <c r="H1011" s="149">
        <f t="shared" ca="1" si="30"/>
        <v>43894</v>
      </c>
      <c r="I1011" s="20">
        <f ca="1">_xll.meDateFromTenor(H1011,"3M","Following",$I$11,"Normal")</f>
        <v>43986</v>
      </c>
      <c r="J1011" s="150">
        <f ca="1"/>
        <v>1.7216329379482167E-2</v>
      </c>
      <c r="K1011" s="7" t="s">
        <v>4</v>
      </c>
      <c r="L1011" s="149" t="e">
        <f ca="1">_xll.meDateFromTenor(L1010,"1D","FOLLOWING",#REF!,"NORMAL")</f>
        <v>#VALUE!</v>
      </c>
      <c r="M1011" s="155">
        <f ca="1">_xll.meDateYearFraction(C1011,D1011,$M$11)</f>
        <v>2.7777777777777779E-3</v>
      </c>
      <c r="N1011" s="150">
        <f ca="1"/>
        <v>-2.4300000000065936E-3</v>
      </c>
      <c r="O1011" s="7" t="s">
        <v>4</v>
      </c>
      <c r="P1011" s="149">
        <f t="shared" ca="1" si="31"/>
        <v>43894</v>
      </c>
      <c r="Q1011" s="155">
        <f ca="1">_xll.meDateYearFraction(H1011,I1011,$Q$11,TRUE)</f>
        <v>0.25555555555555554</v>
      </c>
      <c r="R1011" s="150">
        <f ca="1">IF(NOW(),_xll.meCurveForwardRatesFromYearFraction(P1011,Q1011,$Q$11,$Q$9,$Q$10))</f>
        <v>-3.7175485397107962E-3</v>
      </c>
      <c r="S1011" s="134" t="s">
        <v>4</v>
      </c>
    </row>
    <row r="1012" spans="1:19" x14ac:dyDescent="0.25">
      <c r="A1012" s="128">
        <v>996</v>
      </c>
      <c r="B1012" s="133"/>
      <c r="C1012" s="149">
        <f ca="1">_xll.meDateFromTenor(C1011,"1D","FOLLOWING",$D$11,"NORMAL")</f>
        <v>43895</v>
      </c>
      <c r="D1012" s="20">
        <f ca="1">_xll.meDateFromTenor(C1012,"1D","Following",$D$11,"Normal")</f>
        <v>43896</v>
      </c>
      <c r="E1012" s="99">
        <f ca="1"/>
        <v>1.2995649377421004E-2</v>
      </c>
      <c r="F1012" s="161">
        <f ca="1">_xll.meCurveForwardRates(C1012,$D$9,$D$10)</f>
        <v>1.3080222191882651E-2</v>
      </c>
      <c r="G1012" s="7" t="s">
        <v>4</v>
      </c>
      <c r="H1012" s="149">
        <f t="shared" ca="1" si="30"/>
        <v>43895</v>
      </c>
      <c r="I1012" s="20">
        <f ca="1">_xll.meDateFromTenor(H1012,"3M","Following",$I$11,"Normal")</f>
        <v>43987</v>
      </c>
      <c r="J1012" s="150">
        <f ca="1"/>
        <v>1.7221674842884428E-2</v>
      </c>
      <c r="K1012" s="7" t="s">
        <v>4</v>
      </c>
      <c r="L1012" s="149" t="e">
        <f ca="1">_xll.meDateFromTenor(L1011,"1D","FOLLOWING",#REF!,"NORMAL")</f>
        <v>#VALUE!</v>
      </c>
      <c r="M1012" s="155">
        <f ca="1">_xll.meDateYearFraction(C1012,D1012,$M$11)</f>
        <v>2.7777777777777779E-3</v>
      </c>
      <c r="N1012" s="150">
        <f ca="1"/>
        <v>-2.4300000000065936E-3</v>
      </c>
      <c r="O1012" s="7" t="s">
        <v>4</v>
      </c>
      <c r="P1012" s="149">
        <f t="shared" ca="1" si="31"/>
        <v>43895</v>
      </c>
      <c r="Q1012" s="155">
        <f ca="1">_xll.meDateYearFraction(H1012,I1012,$Q$11,TRUE)</f>
        <v>0.25555555555555554</v>
      </c>
      <c r="R1012" s="150">
        <f ca="1">IF(NOW(),_xll.meCurveForwardRatesFromYearFraction(P1012,Q1012,$Q$11,$Q$9,$Q$10))</f>
        <v>-3.7175485397107962E-3</v>
      </c>
      <c r="S1012" s="134" t="s">
        <v>4</v>
      </c>
    </row>
    <row r="1013" spans="1:19" x14ac:dyDescent="0.25">
      <c r="A1013" s="128">
        <v>997</v>
      </c>
      <c r="B1013" s="133"/>
      <c r="C1013" s="149">
        <f ca="1">_xll.meDateFromTenor(C1012,"1D","FOLLOWING",$D$11,"NORMAL")</f>
        <v>43896</v>
      </c>
      <c r="D1013" s="20">
        <f ca="1">_xll.meDateFromTenor(C1013,"1D","Following",$D$11,"Normal")</f>
        <v>43899</v>
      </c>
      <c r="E1013" s="99">
        <f ca="1"/>
        <v>1.3005445023717883E-2</v>
      </c>
      <c r="F1013" s="161">
        <f ca="1">_xll.meCurveForwardRates(C1013,$D$9,$D$10)</f>
        <v>1.3084949641446464E-2</v>
      </c>
      <c r="G1013" s="7" t="s">
        <v>4</v>
      </c>
      <c r="H1013" s="149">
        <f t="shared" ca="1" si="30"/>
        <v>43896</v>
      </c>
      <c r="I1013" s="20">
        <f ca="1">_xll.meDateFromTenor(H1013,"3M","Following",$I$11,"Normal")</f>
        <v>43990</v>
      </c>
      <c r="J1013" s="150">
        <f ca="1"/>
        <v>1.7227010329495345E-2</v>
      </c>
      <c r="K1013" s="7" t="s">
        <v>4</v>
      </c>
      <c r="L1013" s="149" t="e">
        <f ca="1">_xll.meDateFromTenor(L1012,"1D","FOLLOWING",#REF!,"NORMAL")</f>
        <v>#VALUE!</v>
      </c>
      <c r="M1013" s="155">
        <f ca="1">_xll.meDateYearFraction(C1013,D1013,$M$11)</f>
        <v>8.3333333333333332E-3</v>
      </c>
      <c r="N1013" s="150">
        <f ca="1"/>
        <v>-2.4300000000065936E-3</v>
      </c>
      <c r="O1013" s="7" t="s">
        <v>4</v>
      </c>
      <c r="P1013" s="149">
        <f t="shared" ca="1" si="31"/>
        <v>43896</v>
      </c>
      <c r="Q1013" s="155">
        <f ca="1">_xll.meDateYearFraction(H1013,I1013,$Q$11,TRUE)</f>
        <v>0.26111111111111113</v>
      </c>
      <c r="R1013" s="150">
        <f ca="1">IF(NOW(),_xll.meCurveForwardRatesFromYearFraction(P1013,Q1013,$Q$11,$Q$9,$Q$10))</f>
        <v>3.1770924107235604E-4</v>
      </c>
      <c r="S1013" s="134" t="s">
        <v>4</v>
      </c>
    </row>
    <row r="1014" spans="1:19" x14ac:dyDescent="0.25">
      <c r="A1014" s="128">
        <v>998</v>
      </c>
      <c r="B1014" s="133"/>
      <c r="C1014" s="149">
        <f ca="1">_xll.meDateFromTenor(C1013,"1D","FOLLOWING",$D$11,"NORMAL")</f>
        <v>43899</v>
      </c>
      <c r="D1014" s="20">
        <f ca="1">_xll.meDateFromTenor(C1014,"1D","Following",$D$11,"Normal")</f>
        <v>43900</v>
      </c>
      <c r="E1014" s="99">
        <f ca="1"/>
        <v>1.301428279447033E-2</v>
      </c>
      <c r="F1014" s="161">
        <f ca="1">_xll.meCurveForwardRates(C1014,$D$9,$D$10)</f>
        <v>1.3099098832117795E-2</v>
      </c>
      <c r="G1014" s="7" t="s">
        <v>4</v>
      </c>
      <c r="H1014" s="149">
        <f t="shared" ca="1" si="30"/>
        <v>43899</v>
      </c>
      <c r="I1014" s="20">
        <f ca="1">_xll.meDateFromTenor(H1014,"3M","Following",$I$11,"Normal")</f>
        <v>43991</v>
      </c>
      <c r="J1014" s="150">
        <f ca="1"/>
        <v>1.724295687777206E-2</v>
      </c>
      <c r="K1014" s="7" t="s">
        <v>4</v>
      </c>
      <c r="L1014" s="149" t="e">
        <f ca="1">_xll.meDateFromTenor(L1013,"1D","FOLLOWING",#REF!,"NORMAL")</f>
        <v>#VALUE!</v>
      </c>
      <c r="M1014" s="155">
        <f ca="1">_xll.meDateYearFraction(C1014,D1014,$M$11)</f>
        <v>2.7777777777777779E-3</v>
      </c>
      <c r="N1014" s="150">
        <f ca="1"/>
        <v>-2.4300000000065936E-3</v>
      </c>
      <c r="O1014" s="7" t="s">
        <v>4</v>
      </c>
      <c r="P1014" s="149">
        <f t="shared" ca="1" si="31"/>
        <v>43899</v>
      </c>
      <c r="Q1014" s="155">
        <f ca="1">_xll.meDateYearFraction(H1014,I1014,$Q$11,TRUE)</f>
        <v>0.25555555555555554</v>
      </c>
      <c r="R1014" s="150">
        <f ca="1">IF(NOW(),_xll.meCurveForwardRatesFromYearFraction(P1014,Q1014,$Q$11,$Q$9,$Q$10))</f>
        <v>-3.7175485397107962E-3</v>
      </c>
      <c r="S1014" s="134" t="s">
        <v>4</v>
      </c>
    </row>
    <row r="1015" spans="1:19" x14ac:dyDescent="0.25">
      <c r="A1015" s="128">
        <v>999</v>
      </c>
      <c r="B1015" s="133"/>
      <c r="C1015" s="149">
        <f ca="1">_xll.meDateFromTenor(C1014,"1D","FOLLOWING",$D$11,"NORMAL")</f>
        <v>43900</v>
      </c>
      <c r="D1015" s="20">
        <f ca="1">_xll.meDateFromTenor(C1015,"1D","Following",$D$11,"Normal")</f>
        <v>43901</v>
      </c>
      <c r="E1015" s="99">
        <f ca="1"/>
        <v>1.3018927454730895E-2</v>
      </c>
      <c r="F1015" s="161">
        <f ca="1">_xll.meCurveForwardRates(C1015,$D$9,$D$10)</f>
        <v>1.3103804174037448E-2</v>
      </c>
      <c r="G1015" s="7" t="s">
        <v>4</v>
      </c>
      <c r="H1015" s="149">
        <f t="shared" ca="1" si="30"/>
        <v>43900</v>
      </c>
      <c r="I1015" s="20">
        <f ca="1">_xll.meDateFromTenor(H1015,"3M","Following",$I$11,"Normal")</f>
        <v>43992</v>
      </c>
      <c r="J1015" s="150">
        <f ca="1"/>
        <v>1.7248252406409634E-2</v>
      </c>
      <c r="K1015" s="7" t="s">
        <v>4</v>
      </c>
      <c r="L1015" s="149" t="e">
        <f ca="1">_xll.meDateFromTenor(L1014,"1D","FOLLOWING",#REF!,"NORMAL")</f>
        <v>#VALUE!</v>
      </c>
      <c r="M1015" s="155">
        <f ca="1">_xll.meDateYearFraction(C1015,D1015,$M$11)</f>
        <v>2.7777777777777779E-3</v>
      </c>
      <c r="N1015" s="150">
        <f ca="1"/>
        <v>-2.4300000000065936E-3</v>
      </c>
      <c r="O1015" s="7" t="s">
        <v>4</v>
      </c>
      <c r="P1015" s="149">
        <f t="shared" ca="1" si="31"/>
        <v>43900</v>
      </c>
      <c r="Q1015" s="155">
        <f ca="1">_xll.meDateYearFraction(H1015,I1015,$Q$11,TRUE)</f>
        <v>0.25555555555555554</v>
      </c>
      <c r="R1015" s="150">
        <f ca="1">IF(NOW(),_xll.meCurveForwardRatesFromYearFraction(P1015,Q1015,$Q$11,$Q$9,$Q$10))</f>
        <v>-3.7175485397107962E-3</v>
      </c>
      <c r="S1015" s="134" t="s">
        <v>4</v>
      </c>
    </row>
    <row r="1016" spans="1:19" x14ac:dyDescent="0.25">
      <c r="A1016" s="128">
        <v>1000</v>
      </c>
      <c r="B1016" s="133"/>
      <c r="C1016" s="149">
        <f ca="1">_xll.meDateFromTenor(C1015,"1D","FOLLOWING",$D$11,"NORMAL")</f>
        <v>43901</v>
      </c>
      <c r="D1016" s="20">
        <f ca="1">_xll.meDateFromTenor(C1016,"1D","Following",$D$11,"Normal")</f>
        <v>43902</v>
      </c>
      <c r="E1016" s="99">
        <f ca="1"/>
        <v>1.3023566635925927E-2</v>
      </c>
      <c r="F1016" s="161">
        <f ca="1">_xll.meCurveForwardRates(C1016,$D$9,$D$10)</f>
        <v>1.3108503987063092E-2</v>
      </c>
      <c r="G1016" s="7" t="s">
        <v>4</v>
      </c>
      <c r="H1016" s="149">
        <f t="shared" ca="1" si="30"/>
        <v>43901</v>
      </c>
      <c r="I1016" s="20">
        <f ca="1">_xll.meDateFromTenor(H1016,"3M","Following",$I$11,"Normal")</f>
        <v>43993</v>
      </c>
      <c r="J1016" s="150">
        <f ca="1"/>
        <v>1.7253537932851885E-2</v>
      </c>
      <c r="K1016" s="7" t="s">
        <v>4</v>
      </c>
      <c r="L1016" s="149" t="e">
        <f ca="1">_xll.meDateFromTenor(L1015,"1D","FOLLOWING",#REF!,"NORMAL")</f>
        <v>#VALUE!</v>
      </c>
      <c r="M1016" s="155">
        <f ca="1">_xll.meDateYearFraction(C1016,D1016,$M$11)</f>
        <v>2.7777777777777779E-3</v>
      </c>
      <c r="N1016" s="150">
        <f ca="1"/>
        <v>-2.4300000000065936E-3</v>
      </c>
      <c r="O1016" s="7" t="s">
        <v>4</v>
      </c>
      <c r="P1016" s="149">
        <f t="shared" ca="1" si="31"/>
        <v>43901</v>
      </c>
      <c r="Q1016" s="155">
        <f ca="1">_xll.meDateYearFraction(H1016,I1016,$Q$11,TRUE)</f>
        <v>0.25555555555555554</v>
      </c>
      <c r="R1016" s="150">
        <f ca="1">IF(NOW(),_xll.meCurveForwardRatesFromYearFraction(P1016,Q1016,$Q$11,$Q$9,$Q$10))</f>
        <v>-3.7175485397107962E-3</v>
      </c>
      <c r="S1016" s="134" t="s">
        <v>4</v>
      </c>
    </row>
    <row r="1017" spans="1:19" x14ac:dyDescent="0.25">
      <c r="A1017" s="128">
        <v>1001</v>
      </c>
      <c r="B1017" s="133"/>
      <c r="C1017" s="149">
        <f ca="1">_xll.meDateFromTenor(C1016,"1D","FOLLOWING",$D$11,"NORMAL")</f>
        <v>43902</v>
      </c>
      <c r="D1017" s="20">
        <f ca="1">_xll.meDateFromTenor(C1017,"1D","Following",$D$11,"Normal")</f>
        <v>43903</v>
      </c>
      <c r="E1017" s="99">
        <f ca="1"/>
        <v>1.3028200337672399E-2</v>
      </c>
      <c r="F1017" s="161">
        <f ca="1">_xll.meCurveForwardRates(C1017,$D$9,$D$10)</f>
        <v>1.3113198270729987E-2</v>
      </c>
      <c r="G1017" s="7" t="s">
        <v>4</v>
      </c>
      <c r="H1017" s="149">
        <f t="shared" ca="1" si="30"/>
        <v>43902</v>
      </c>
      <c r="I1017" s="20">
        <f ca="1">_xll.meDateFromTenor(H1017,"3M","Following",$I$11,"Normal")</f>
        <v>43994</v>
      </c>
      <c r="J1017" s="150">
        <f ca="1"/>
        <v>1.7258813452018015E-2</v>
      </c>
      <c r="K1017" s="7" t="s">
        <v>4</v>
      </c>
      <c r="L1017" s="149" t="e">
        <f ca="1">_xll.meDateFromTenor(L1016,"1D","FOLLOWING",#REF!,"NORMAL")</f>
        <v>#VALUE!</v>
      </c>
      <c r="M1017" s="155">
        <f ca="1">_xll.meDateYearFraction(C1017,D1017,$M$11)</f>
        <v>2.7777777777777779E-3</v>
      </c>
      <c r="N1017" s="150">
        <f ca="1"/>
        <v>-2.4300000000065936E-3</v>
      </c>
      <c r="O1017" s="7" t="s">
        <v>4</v>
      </c>
      <c r="P1017" s="149">
        <f t="shared" ca="1" si="31"/>
        <v>43902</v>
      </c>
      <c r="Q1017" s="155">
        <f ca="1">_xll.meDateYearFraction(H1017,I1017,$Q$11,TRUE)</f>
        <v>0.25555555555555554</v>
      </c>
      <c r="R1017" s="150">
        <f ca="1">IF(NOW(),_xll.meCurveForwardRatesFromYearFraction(P1017,Q1017,$Q$11,$Q$9,$Q$10))</f>
        <v>3.5608937647024953E-4</v>
      </c>
      <c r="S1017" s="134" t="s">
        <v>4</v>
      </c>
    </row>
    <row r="1018" spans="1:19" x14ac:dyDescent="0.25">
      <c r="A1018" s="128">
        <v>1002</v>
      </c>
      <c r="B1018" s="133"/>
      <c r="C1018" s="149">
        <f ca="1">_xll.meDateFromTenor(C1017,"1D","FOLLOWING",$D$11,"NORMAL")</f>
        <v>43903</v>
      </c>
      <c r="D1018" s="20">
        <f ca="1">_xll.meDateFromTenor(C1018,"1D","Following",$D$11,"Normal")</f>
        <v>43906</v>
      </c>
      <c r="E1018" s="99">
        <f ca="1"/>
        <v>1.303792163122643E-2</v>
      </c>
      <c r="F1018" s="161">
        <f ca="1">_xll.meCurveForwardRates(C1018,$D$9,$D$10)</f>
        <v>1.3117887024134633E-2</v>
      </c>
      <c r="G1018" s="7" t="s">
        <v>4</v>
      </c>
      <c r="H1018" s="149">
        <f t="shared" ca="1" si="30"/>
        <v>43903</v>
      </c>
      <c r="I1018" s="20">
        <f ca="1">_xll.meDateFromTenor(H1018,"3M","Following",$I$11,"Normal")</f>
        <v>43997</v>
      </c>
      <c r="J1018" s="150">
        <f ca="1"/>
        <v>1.7264078958827225E-2</v>
      </c>
      <c r="K1018" s="7" t="s">
        <v>4</v>
      </c>
      <c r="L1018" s="149" t="e">
        <f ca="1">_xll.meDateFromTenor(L1017,"1D","FOLLOWING",#REF!,"NORMAL")</f>
        <v>#VALUE!</v>
      </c>
      <c r="M1018" s="155">
        <f ca="1">_xll.meDateYearFraction(C1018,D1018,$M$11)</f>
        <v>8.3333333333333332E-3</v>
      </c>
      <c r="N1018" s="150">
        <f ca="1"/>
        <v>-2.4300000000065936E-3</v>
      </c>
      <c r="O1018" s="7" t="s">
        <v>4</v>
      </c>
      <c r="P1018" s="149">
        <f t="shared" ca="1" si="31"/>
        <v>43903</v>
      </c>
      <c r="Q1018" s="155">
        <f ca="1">_xll.meDateYearFraction(H1018,I1018,$Q$11,TRUE)</f>
        <v>0.26111111111111113</v>
      </c>
      <c r="R1018" s="150">
        <f ca="1">IF(NOW(),_xll.meCurveForwardRatesFromYearFraction(P1018,Q1018,$Q$11,$Q$9,$Q$10))</f>
        <v>-3.7175485397107962E-3</v>
      </c>
      <c r="S1018" s="134" t="s">
        <v>4</v>
      </c>
    </row>
    <row r="1019" spans="1:19" x14ac:dyDescent="0.25">
      <c r="A1019" s="128">
        <v>1003</v>
      </c>
      <c r="B1019" s="133"/>
      <c r="C1019" s="149">
        <f ca="1">_xll.meDateFromTenor(C1018,"1D","FOLLOWING",$D$11,"NORMAL")</f>
        <v>43906</v>
      </c>
      <c r="D1019" s="20">
        <f ca="1">_xll.meDateFromTenor(C1019,"1D","Following",$D$11,"Normal")</f>
        <v>43907</v>
      </c>
      <c r="E1019" s="99">
        <f ca="1"/>
        <v>1.304668033560015E-2</v>
      </c>
      <c r="F1019" s="161">
        <f ca="1">_xll.meCurveForwardRates(C1019,$D$9,$D$10)</f>
        <v>1.3131920095510674E-2</v>
      </c>
      <c r="G1019" s="7" t="s">
        <v>4</v>
      </c>
      <c r="H1019" s="149">
        <f t="shared" ca="1" si="30"/>
        <v>43906</v>
      </c>
      <c r="I1019" s="20">
        <f ca="1">_xll.meDateFromTenor(H1019,"3M","Following",$I$11,"Normal")</f>
        <v>43998</v>
      </c>
      <c r="J1019" s="150">
        <f ca="1"/>
        <v>1.7279815354305412E-2</v>
      </c>
      <c r="K1019" s="7" t="s">
        <v>4</v>
      </c>
      <c r="L1019" s="149" t="e">
        <f ca="1">_xll.meDateFromTenor(L1018,"1D","FOLLOWING",#REF!,"NORMAL")</f>
        <v>#VALUE!</v>
      </c>
      <c r="M1019" s="155">
        <f ca="1">_xll.meDateYearFraction(C1019,D1019,$M$11)</f>
        <v>2.7777777777777779E-3</v>
      </c>
      <c r="N1019" s="150">
        <f ca="1"/>
        <v>-2.4300000000065936E-3</v>
      </c>
      <c r="O1019" s="7" t="s">
        <v>4</v>
      </c>
      <c r="P1019" s="149">
        <f t="shared" ca="1" si="31"/>
        <v>43906</v>
      </c>
      <c r="Q1019" s="155">
        <f ca="1">_xll.meDateYearFraction(H1019,I1019,$Q$11,TRUE)</f>
        <v>0.25555555555555554</v>
      </c>
      <c r="R1019" s="150">
        <f ca="1">IF(NOW(),_xll.meCurveForwardRatesFromYearFraction(P1019,Q1019,$Q$11,$Q$9,$Q$10))</f>
        <v>-3.7175485397107962E-3</v>
      </c>
      <c r="S1019" s="134" t="s">
        <v>4</v>
      </c>
    </row>
    <row r="1020" spans="1:19" x14ac:dyDescent="0.25">
      <c r="A1020" s="128">
        <v>1004</v>
      </c>
      <c r="B1020" s="133"/>
      <c r="C1020" s="149">
        <f ca="1">_xll.meDateFromTenor(C1019,"1D","FOLLOWING",$D$11,"NORMAL")</f>
        <v>43907</v>
      </c>
      <c r="D1020" s="20">
        <f ca="1">_xll.meDateFromTenor(C1020,"1D","Following",$D$11,"Normal")</f>
        <v>43908</v>
      </c>
      <c r="E1020" s="99">
        <f ca="1"/>
        <v>1.3051286629670502E-2</v>
      </c>
      <c r="F1020" s="161">
        <f ca="1">_xll.meCurveForwardRates(C1020,$D$9,$D$10)</f>
        <v>1.3136586720662757E-2</v>
      </c>
      <c r="G1020" s="7" t="s">
        <v>4</v>
      </c>
      <c r="H1020" s="149">
        <f t="shared" ca="1" si="30"/>
        <v>43907</v>
      </c>
      <c r="I1020" s="20">
        <f ca="1">_xll.meDateFromTenor(H1020,"3M","Following",$I$11,"Normal")</f>
        <v>43999</v>
      </c>
      <c r="J1020" s="150">
        <f ca="1"/>
        <v>1.7285040760879E-2</v>
      </c>
      <c r="K1020" s="7" t="s">
        <v>4</v>
      </c>
      <c r="L1020" s="149" t="e">
        <f ca="1">_xll.meDateFromTenor(L1019,"1D","FOLLOWING",#REF!,"NORMAL")</f>
        <v>#VALUE!</v>
      </c>
      <c r="M1020" s="155">
        <f ca="1">_xll.meDateYearFraction(C1020,D1020,$M$11)</f>
        <v>2.7777777777777779E-3</v>
      </c>
      <c r="N1020" s="150">
        <f ca="1"/>
        <v>-2.4300000000065936E-3</v>
      </c>
      <c r="O1020" s="7" t="s">
        <v>4</v>
      </c>
      <c r="P1020" s="149">
        <f t="shared" ca="1" si="31"/>
        <v>43907</v>
      </c>
      <c r="Q1020" s="155">
        <f ca="1">_xll.meDateYearFraction(H1020,I1020,$Q$11,TRUE)</f>
        <v>0.25555555555555554</v>
      </c>
      <c r="R1020" s="150">
        <f ca="1">IF(NOW(),_xll.meCurveForwardRatesFromYearFraction(P1020,Q1020,$Q$11,$Q$9,$Q$10))</f>
        <v>-3.7175485397107962E-3</v>
      </c>
      <c r="S1020" s="134" t="s">
        <v>4</v>
      </c>
    </row>
    <row r="1021" spans="1:19" x14ac:dyDescent="0.25">
      <c r="A1021" s="128">
        <v>1005</v>
      </c>
      <c r="B1021" s="133"/>
      <c r="C1021" s="149">
        <f ca="1">_xll.meDateFromTenor(C1020,"1D","FOLLOWING",$D$11,"NORMAL")</f>
        <v>43908</v>
      </c>
      <c r="D1021" s="20">
        <f ca="1">_xll.meDateFromTenor(C1021,"1D","Following",$D$11,"Normal")</f>
        <v>43909</v>
      </c>
      <c r="E1021" s="99">
        <f ca="1"/>
        <v>1.3055887440198879E-2</v>
      </c>
      <c r="F1021" s="161">
        <f ca="1">_xll.meCurveForwardRates(C1021,$D$9,$D$10)</f>
        <v>1.3141247811848888E-2</v>
      </c>
      <c r="G1021" s="7" t="s">
        <v>4</v>
      </c>
      <c r="H1021" s="149">
        <f t="shared" ca="1" si="30"/>
        <v>43908</v>
      </c>
      <c r="I1021" s="20">
        <f ca="1">_xll.meDateFromTenor(H1021,"3M","Following",$I$11,"Normal")</f>
        <v>44000</v>
      </c>
      <c r="J1021" s="150">
        <f ca="1"/>
        <v>1.7290256129691692E-2</v>
      </c>
      <c r="K1021" s="7" t="s">
        <v>4</v>
      </c>
      <c r="L1021" s="149" t="e">
        <f ca="1">_xll.meDateFromTenor(L1020,"1D","FOLLOWING",#REF!,"NORMAL")</f>
        <v>#VALUE!</v>
      </c>
      <c r="M1021" s="155">
        <f ca="1">_xll.meDateYearFraction(C1021,D1021,$M$11)</f>
        <v>2.7777777777777779E-3</v>
      </c>
      <c r="N1021" s="150">
        <f ca="1"/>
        <v>-2.4300000000065936E-3</v>
      </c>
      <c r="O1021" s="7" t="s">
        <v>4</v>
      </c>
      <c r="P1021" s="149">
        <f t="shared" ca="1" si="31"/>
        <v>43908</v>
      </c>
      <c r="Q1021" s="155">
        <f ca="1">_xll.meDateYearFraction(H1021,I1021,$Q$11,TRUE)</f>
        <v>0.25555555555555554</v>
      </c>
      <c r="R1021" s="150">
        <f ca="1">IF(NOW(),_xll.meCurveForwardRatesFromYearFraction(P1021,Q1021,$Q$11,$Q$9,$Q$10))</f>
        <v>3.9406319482318222E-4</v>
      </c>
      <c r="S1021" s="134" t="s">
        <v>4</v>
      </c>
    </row>
    <row r="1022" spans="1:19" x14ac:dyDescent="0.25">
      <c r="A1022" s="128">
        <v>1006</v>
      </c>
      <c r="B1022" s="133"/>
      <c r="C1022" s="149">
        <f ca="1">_xll.meDateFromTenor(C1021,"1D","FOLLOWING",$D$11,"NORMAL")</f>
        <v>43909</v>
      </c>
      <c r="D1022" s="20">
        <f ca="1">_xll.meDateFromTenor(C1022,"1D","Following",$D$11,"Normal")</f>
        <v>43910</v>
      </c>
      <c r="E1022" s="99">
        <f ca="1"/>
        <v>1.3060482766642425E-2</v>
      </c>
      <c r="F1022" s="161">
        <f ca="1">_xll.meCurveForwardRates(C1022,$D$9,$D$10)</f>
        <v>1.3145903368443124E-2</v>
      </c>
      <c r="G1022" s="7" t="s">
        <v>4</v>
      </c>
      <c r="H1022" s="149">
        <f t="shared" ca="1" si="30"/>
        <v>43909</v>
      </c>
      <c r="I1022" s="20">
        <f ca="1">_xll.meDateFromTenor(H1022,"3M","Following",$I$11,"Normal")</f>
        <v>44001</v>
      </c>
      <c r="J1022" s="150">
        <f ca="1"/>
        <v>1.7295461455662697E-2</v>
      </c>
      <c r="K1022" s="7" t="s">
        <v>4</v>
      </c>
      <c r="L1022" s="149" t="e">
        <f ca="1">_xll.meDateFromTenor(L1021,"1D","FOLLOWING",#REF!,"NORMAL")</f>
        <v>#VALUE!</v>
      </c>
      <c r="M1022" s="155">
        <f ca="1">_xll.meDateYearFraction(C1022,D1022,$M$11)</f>
        <v>2.7777777777777779E-3</v>
      </c>
      <c r="N1022" s="150">
        <f ca="1"/>
        <v>-2.4300000000065936E-3</v>
      </c>
      <c r="O1022" s="7" t="s">
        <v>4</v>
      </c>
      <c r="P1022" s="149">
        <f t="shared" ca="1" si="31"/>
        <v>43909</v>
      </c>
      <c r="Q1022" s="155">
        <f ca="1">_xll.meDateYearFraction(H1022,I1022,$Q$11,TRUE)</f>
        <v>0.25555555555555554</v>
      </c>
      <c r="R1022" s="150">
        <f ca="1">IF(NOW(),_xll.meCurveForwardRatesFromYearFraction(P1022,Q1022,$Q$11,$Q$9,$Q$10))</f>
        <v>-3.7175485397107962E-3</v>
      </c>
      <c r="S1022" s="134" t="s">
        <v>4</v>
      </c>
    </row>
    <row r="1023" spans="1:19" x14ac:dyDescent="0.25">
      <c r="A1023" s="128">
        <v>1007</v>
      </c>
      <c r="B1023" s="133"/>
      <c r="C1023" s="149">
        <f ca="1">_xll.meDateFromTenor(C1022,"1D","FOLLOWING",$D$11,"NORMAL")</f>
        <v>43910</v>
      </c>
      <c r="D1023" s="20">
        <f ca="1">_xll.meDateFromTenor(C1023,"1D","Following",$D$11,"Normal")</f>
        <v>43913</v>
      </c>
      <c r="E1023" s="99">
        <f ca="1"/>
        <v>1.3070129630001108E-2</v>
      </c>
      <c r="F1023" s="161">
        <f ca="1">_xll.meCurveForwardRates(C1023,$D$9,$D$10)</f>
        <v>1.3150553389623454E-2</v>
      </c>
      <c r="G1023" s="7" t="s">
        <v>4</v>
      </c>
      <c r="H1023" s="149">
        <f t="shared" ca="1" si="30"/>
        <v>43910</v>
      </c>
      <c r="I1023" s="20">
        <f ca="1">_xll.meDateFromTenor(H1023,"3M","Following",$I$11,"Normal")</f>
        <v>44004</v>
      </c>
      <c r="J1023" s="150">
        <f ca="1"/>
        <v>1.7300656733711211E-2</v>
      </c>
      <c r="K1023" s="7" t="s">
        <v>4</v>
      </c>
      <c r="L1023" s="149" t="e">
        <f ca="1">_xll.meDateFromTenor(L1022,"1D","FOLLOWING",#REF!,"NORMAL")</f>
        <v>#VALUE!</v>
      </c>
      <c r="M1023" s="155">
        <f ca="1">_xll.meDateYearFraction(C1023,D1023,$M$11)</f>
        <v>8.3333333333333332E-3</v>
      </c>
      <c r="N1023" s="150">
        <f ca="1"/>
        <v>-2.4300000000065936E-3</v>
      </c>
      <c r="O1023" s="7" t="s">
        <v>4</v>
      </c>
      <c r="P1023" s="149">
        <f t="shared" ca="1" si="31"/>
        <v>43910</v>
      </c>
      <c r="Q1023" s="155">
        <f ca="1">_xll.meDateYearFraction(H1023,I1023,$Q$11,TRUE)</f>
        <v>0.26111111111111113</v>
      </c>
      <c r="R1023" s="150">
        <f ca="1">IF(NOW(),_xll.meCurveForwardRatesFromYearFraction(P1023,Q1023,$Q$11,$Q$9,$Q$10))</f>
        <v>4.0670442764236984E-4</v>
      </c>
      <c r="S1023" s="134" t="s">
        <v>4</v>
      </c>
    </row>
    <row r="1024" spans="1:19" x14ac:dyDescent="0.25">
      <c r="A1024" s="128">
        <v>1008</v>
      </c>
      <c r="B1024" s="133"/>
      <c r="C1024" s="149">
        <f ca="1">_xll.meDateFromTenor(C1023,"1D","FOLLOWING",$D$11,"NORMAL")</f>
        <v>43913</v>
      </c>
      <c r="D1024" s="20">
        <f ca="1">_xll.meDateFromTenor(C1024,"1D","Following",$D$11,"Normal")</f>
        <v>43914</v>
      </c>
      <c r="E1024" s="99">
        <f ca="1"/>
        <v>1.3078809217719117E-2</v>
      </c>
      <c r="F1024" s="161">
        <f ca="1">_xll.meCurveForwardRates(C1024,$D$9,$D$10)</f>
        <v>1.3164470233344661E-2</v>
      </c>
      <c r="G1024" s="7" t="s">
        <v>4</v>
      </c>
      <c r="H1024" s="149">
        <f t="shared" ca="1" si="30"/>
        <v>43913</v>
      </c>
      <c r="I1024" s="20">
        <f ca="1">_xll.meDateFromTenor(H1024,"3M","Following",$I$11,"Normal")</f>
        <v>44005</v>
      </c>
      <c r="J1024" s="150">
        <f ca="1"/>
        <v>1.7316182229513873E-2</v>
      </c>
      <c r="K1024" s="7" t="s">
        <v>4</v>
      </c>
      <c r="L1024" s="149" t="e">
        <f ca="1">_xll.meDateFromTenor(L1023,"1D","FOLLOWING",#REF!,"NORMAL")</f>
        <v>#VALUE!</v>
      </c>
      <c r="M1024" s="155">
        <f ca="1">_xll.meDateYearFraction(C1024,D1024,$M$11)</f>
        <v>2.7777777777777779E-3</v>
      </c>
      <c r="N1024" s="150">
        <f ca="1"/>
        <v>-2.4300000000065936E-3</v>
      </c>
      <c r="O1024" s="7" t="s">
        <v>4</v>
      </c>
      <c r="P1024" s="149">
        <f t="shared" ca="1" si="31"/>
        <v>43913</v>
      </c>
      <c r="Q1024" s="155">
        <f ca="1">_xll.meDateYearFraction(H1024,I1024,$Q$11,TRUE)</f>
        <v>0.25555555555555554</v>
      </c>
      <c r="R1024" s="150">
        <f ca="1">IF(NOW(),_xll.meCurveForwardRatesFromYearFraction(P1024,Q1024,$Q$11,$Q$9,$Q$10))</f>
        <v>4.2566858814589134E-4</v>
      </c>
      <c r="S1024" s="134" t="s">
        <v>4</v>
      </c>
    </row>
    <row r="1025" spans="1:19" x14ac:dyDescent="0.25">
      <c r="A1025" s="128">
        <v>1009</v>
      </c>
      <c r="B1025" s="133"/>
      <c r="C1025" s="149">
        <f ca="1">_xll.meDateFromTenor(C1024,"1D","FOLLOWING",$D$11,"NORMAL")</f>
        <v>43914</v>
      </c>
      <c r="D1025" s="20">
        <f ca="1">_xll.meDateFromTenor(C1025,"1D","Following",$D$11,"Normal")</f>
        <v>43915</v>
      </c>
      <c r="E1025" s="99">
        <f ca="1"/>
        <v>1.3083377113616465E-2</v>
      </c>
      <c r="F1025" s="161">
        <f ca="1">_xll.meCurveForwardRates(C1025,$D$9,$D$10)</f>
        <v>1.3169098105581201E-2</v>
      </c>
      <c r="G1025" s="7" t="s">
        <v>4</v>
      </c>
      <c r="H1025" s="149">
        <f t="shared" ca="1" si="30"/>
        <v>43914</v>
      </c>
      <c r="I1025" s="20">
        <f ca="1">_xll.meDateFromTenor(H1025,"3M","Following",$I$11,"Normal")</f>
        <v>44006</v>
      </c>
      <c r="J1025" s="150">
        <f ca="1"/>
        <v>1.732133726506448E-2</v>
      </c>
      <c r="K1025" s="7" t="s">
        <v>4</v>
      </c>
      <c r="L1025" s="149" t="e">
        <f ca="1">_xll.meDateFromTenor(L1024,"1D","FOLLOWING",#REF!,"NORMAL")</f>
        <v>#VALUE!</v>
      </c>
      <c r="M1025" s="155">
        <f ca="1">_xll.meDateYearFraction(C1025,D1025,$M$11)</f>
        <v>2.7777777777777779E-3</v>
      </c>
      <c r="N1025" s="150">
        <f ca="1"/>
        <v>-2.4300000000065936E-3</v>
      </c>
      <c r="O1025" s="7" t="s">
        <v>4</v>
      </c>
      <c r="P1025" s="149">
        <f t="shared" ca="1" si="31"/>
        <v>43914</v>
      </c>
      <c r="Q1025" s="155">
        <f ca="1">_xll.meDateYearFraction(H1025,I1025,$Q$11,TRUE)</f>
        <v>0.25555555555555554</v>
      </c>
      <c r="R1025" s="150">
        <f ca="1">IF(NOW(),_xll.meCurveForwardRatesFromYearFraction(P1025,Q1025,$Q$11,$Q$9,$Q$10))</f>
        <v>4.3199098673062298E-4</v>
      </c>
      <c r="S1025" s="134" t="s">
        <v>4</v>
      </c>
    </row>
    <row r="1026" spans="1:19" x14ac:dyDescent="0.25">
      <c r="A1026" s="128">
        <v>1010</v>
      </c>
      <c r="B1026" s="133"/>
      <c r="C1026" s="149">
        <f ca="1">_xll.meDateFromTenor(C1025,"1D","FOLLOWING",$D$11,"NORMAL")</f>
        <v>43915</v>
      </c>
      <c r="D1026" s="20">
        <f ca="1">_xll.meDateFromTenor(C1026,"1D","Following",$D$11,"Normal")</f>
        <v>43916</v>
      </c>
      <c r="E1026" s="99">
        <f ca="1"/>
        <v>1.3087939521352262E-2</v>
      </c>
      <c r="F1026" s="161">
        <f ca="1">_xll.meCurveForwardRates(C1026,$D$9,$D$10)</f>
        <v>1.3173720438639291E-2</v>
      </c>
      <c r="G1026" s="7" t="s">
        <v>4</v>
      </c>
      <c r="H1026" s="149">
        <f t="shared" ca="1" si="30"/>
        <v>43915</v>
      </c>
      <c r="I1026" s="20">
        <f ca="1">_xll.meDateFromTenor(H1026,"3M","Following",$I$11,"Normal")</f>
        <v>44007</v>
      </c>
      <c r="J1026" s="150">
        <f ca="1"/>
        <v>1.7326482227288623E-2</v>
      </c>
      <c r="K1026" s="7" t="s">
        <v>4</v>
      </c>
      <c r="L1026" s="149" t="e">
        <f ca="1">_xll.meDateFromTenor(L1025,"1D","FOLLOWING",#REF!,"NORMAL")</f>
        <v>#VALUE!</v>
      </c>
      <c r="M1026" s="155">
        <f ca="1">_xll.meDateYearFraction(C1026,D1026,$M$11)</f>
        <v>2.7777777777777779E-3</v>
      </c>
      <c r="N1026" s="150">
        <f ca="1"/>
        <v>-2.4300000000065936E-3</v>
      </c>
      <c r="O1026" s="7" t="s">
        <v>4</v>
      </c>
      <c r="P1026" s="149">
        <f t="shared" ca="1" si="31"/>
        <v>43915</v>
      </c>
      <c r="Q1026" s="155">
        <f ca="1">_xll.meDateYearFraction(H1026,I1026,$Q$11,TRUE)</f>
        <v>0.25555555555555554</v>
      </c>
      <c r="R1026" s="150">
        <f ca="1">IF(NOW(),_xll.meCurveForwardRatesFromYearFraction(P1026,Q1026,$Q$11,$Q$9,$Q$10))</f>
        <v>-3.7175485397107962E-3</v>
      </c>
      <c r="S1026" s="134" t="s">
        <v>4</v>
      </c>
    </row>
    <row r="1027" spans="1:19" x14ac:dyDescent="0.25">
      <c r="A1027" s="128">
        <v>1011</v>
      </c>
      <c r="B1027" s="133"/>
      <c r="C1027" s="149">
        <f ca="1">_xll.meDateFromTenor(C1026,"1D","FOLLOWING",$D$11,"NORMAL")</f>
        <v>43916</v>
      </c>
      <c r="D1027" s="20">
        <f ca="1">_xll.meDateFromTenor(C1027,"1D","Following",$D$11,"Normal")</f>
        <v>43917</v>
      </c>
      <c r="E1027" s="99">
        <f ca="1"/>
        <v>1.3092496440270281E-2</v>
      </c>
      <c r="F1027" s="161">
        <f ca="1">_xll.meCurveForwardRates(C1027,$D$9,$D$10)</f>
        <v>1.3178337231777748E-2</v>
      </c>
      <c r="G1027" s="7" t="s">
        <v>4</v>
      </c>
      <c r="H1027" s="149">
        <f t="shared" ca="1" si="30"/>
        <v>43916</v>
      </c>
      <c r="I1027" s="20">
        <f ca="1">_xll.meDateFromTenor(H1027,"3M","Following",$I$11,"Normal")</f>
        <v>44008</v>
      </c>
      <c r="J1027" s="150">
        <f ca="1"/>
        <v>1.73316171111055E-2</v>
      </c>
      <c r="K1027" s="7" t="s">
        <v>4</v>
      </c>
      <c r="L1027" s="149" t="e">
        <f ca="1">_xll.meDateFromTenor(L1026,"1D","FOLLOWING",#REF!,"NORMAL")</f>
        <v>#VALUE!</v>
      </c>
      <c r="M1027" s="155">
        <f ca="1">_xll.meDateYearFraction(C1027,D1027,$M$11)</f>
        <v>2.7777777777777779E-3</v>
      </c>
      <c r="N1027" s="150">
        <f ca="1"/>
        <v>-2.4300000000065936E-3</v>
      </c>
      <c r="O1027" s="7" t="s">
        <v>4</v>
      </c>
      <c r="P1027" s="149">
        <f t="shared" ca="1" si="31"/>
        <v>43916</v>
      </c>
      <c r="Q1027" s="155">
        <f ca="1">_xll.meDateYearFraction(H1027,I1027,$Q$11,TRUE)</f>
        <v>0.25555555555555554</v>
      </c>
      <c r="R1027" s="150">
        <f ca="1">IF(NOW(),_xll.meCurveForwardRatesFromYearFraction(P1027,Q1027,$Q$11,$Q$9,$Q$10))</f>
        <v>4.4463789464085733E-4</v>
      </c>
      <c r="S1027" s="134" t="s">
        <v>4</v>
      </c>
    </row>
    <row r="1028" spans="1:19" x14ac:dyDescent="0.25">
      <c r="A1028" s="128">
        <v>1012</v>
      </c>
      <c r="B1028" s="133"/>
      <c r="C1028" s="149">
        <f ca="1">_xll.meDateFromTenor(C1027,"1D","FOLLOWING",$D$11,"NORMAL")</f>
        <v>43917</v>
      </c>
      <c r="D1028" s="20">
        <f ca="1">_xll.meDateFromTenor(C1028,"1D","Following",$D$11,"Normal")</f>
        <v>43920</v>
      </c>
      <c r="E1028" s="99">
        <f ca="1"/>
        <v>1.310206879528838E-2</v>
      </c>
      <c r="F1028" s="161">
        <f ca="1">_xll.meCurveForwardRates(C1028,$D$9,$D$10)</f>
        <v>1.3182948484452339E-2</v>
      </c>
      <c r="G1028" s="7" t="s">
        <v>4</v>
      </c>
      <c r="H1028" s="149">
        <f t="shared" ca="1" si="30"/>
        <v>43917</v>
      </c>
      <c r="I1028" s="20">
        <f ca="1">_xll.meDateFromTenor(H1028,"3M","Following",$I$11,"Normal")</f>
        <v>44011</v>
      </c>
      <c r="J1028" s="150">
        <f ca="1"/>
        <v>1.733674191143432E-2</v>
      </c>
      <c r="K1028" s="7" t="s">
        <v>4</v>
      </c>
      <c r="L1028" s="149" t="e">
        <f ca="1">_xll.meDateFromTenor(L1027,"1D","FOLLOWING",#REF!,"NORMAL")</f>
        <v>#VALUE!</v>
      </c>
      <c r="M1028" s="155">
        <f ca="1">_xll.meDateYearFraction(C1028,D1028,$M$11)</f>
        <v>8.3333333333333332E-3</v>
      </c>
      <c r="N1028" s="150">
        <f ca="1"/>
        <v>-2.4300000000065936E-3</v>
      </c>
      <c r="O1028" s="7" t="s">
        <v>4</v>
      </c>
      <c r="P1028" s="149">
        <f t="shared" ca="1" si="31"/>
        <v>43917</v>
      </c>
      <c r="Q1028" s="155">
        <f ca="1">_xll.meDateYearFraction(H1028,I1028,$Q$11,TRUE)</f>
        <v>0.26111111111111113</v>
      </c>
      <c r="R1028" s="150">
        <f ca="1">IF(NOW(),_xll.meCurveForwardRatesFromYearFraction(P1028,Q1028,$Q$11,$Q$9,$Q$10))</f>
        <v>-3.7175485397107962E-3</v>
      </c>
      <c r="S1028" s="134" t="s">
        <v>4</v>
      </c>
    </row>
    <row r="1029" spans="1:19" x14ac:dyDescent="0.25">
      <c r="A1029" s="128">
        <v>1013</v>
      </c>
      <c r="B1029" s="133"/>
      <c r="C1029" s="149">
        <f ca="1">_xll.meDateFromTenor(C1028,"1D","FOLLOWING",$D$11,"NORMAL")</f>
        <v>43920</v>
      </c>
      <c r="D1029" s="20">
        <f ca="1">_xll.meDateFromTenor(C1029,"1D","Following",$D$11,"Normal")</f>
        <v>43921</v>
      </c>
      <c r="E1029" s="99">
        <f ca="1"/>
        <v>1.3110669215634812E-2</v>
      </c>
      <c r="F1029" s="161">
        <f ca="1">_xll.meCurveForwardRates(C1029,$D$9,$D$10)</f>
        <v>1.3196748991335827E-2</v>
      </c>
      <c r="G1029" s="7" t="s">
        <v>4</v>
      </c>
      <c r="H1029" s="149">
        <f t="shared" ca="1" si="30"/>
        <v>43920</v>
      </c>
      <c r="I1029" s="20">
        <f ca="1">_xll.meDateFromTenor(H1029,"3M","Following",$I$11,"Normal")</f>
        <v>44012</v>
      </c>
      <c r="J1029" s="150">
        <f ca="1"/>
        <v>1.7352055760684472E-2</v>
      </c>
      <c r="K1029" s="7" t="s">
        <v>4</v>
      </c>
      <c r="L1029" s="149" t="e">
        <f ca="1">_xll.meDateFromTenor(L1028,"1D","FOLLOWING",#REF!,"NORMAL")</f>
        <v>#VALUE!</v>
      </c>
      <c r="M1029" s="155">
        <f ca="1">_xll.meDateYearFraction(C1029,D1029,$M$11)</f>
        <v>2.7777777777777779E-3</v>
      </c>
      <c r="N1029" s="150">
        <f ca="1"/>
        <v>-2.4300000000065936E-3</v>
      </c>
      <c r="O1029" s="7" t="s">
        <v>4</v>
      </c>
      <c r="P1029" s="149">
        <f t="shared" ca="1" si="31"/>
        <v>43920</v>
      </c>
      <c r="Q1029" s="155">
        <f ca="1">_xll.meDateYearFraction(H1029,I1029,$Q$11,TRUE)</f>
        <v>0.25555555555555554</v>
      </c>
      <c r="R1029" s="150">
        <f ca="1">IF(NOW(),_xll.meCurveForwardRatesFromYearFraction(P1029,Q1029,$Q$11,$Q$9,$Q$10))</f>
        <v>4.6994292129646164E-4</v>
      </c>
      <c r="S1029" s="134" t="s">
        <v>4</v>
      </c>
    </row>
    <row r="1030" spans="1:19" x14ac:dyDescent="0.25">
      <c r="A1030" s="128">
        <v>1014</v>
      </c>
      <c r="B1030" s="133"/>
      <c r="C1030" s="149">
        <f ca="1">_xll.meDateFromTenor(C1029,"1D","FOLLOWING",$D$11,"NORMAL")</f>
        <v>43921</v>
      </c>
      <c r="D1030" s="20">
        <f ca="1">_xll.meDateFromTenor(C1030,"1D","Following",$D$11,"Normal")</f>
        <v>43922</v>
      </c>
      <c r="E1030" s="99">
        <f ca="1"/>
        <v>1.3115198681001784E-2</v>
      </c>
      <c r="F1030" s="161">
        <f ca="1">_xll.meCurveForwardRates(C1030,$D$9,$D$10)</f>
        <v>1.320133807415691E-2</v>
      </c>
      <c r="G1030" s="7" t="s">
        <v>4</v>
      </c>
      <c r="H1030" s="149">
        <f t="shared" ca="1" si="30"/>
        <v>43921</v>
      </c>
      <c r="I1030" s="20">
        <f ca="1">_xll.meDateFromTenor(H1030,"3M","Following",$I$11,"Normal")</f>
        <v>44012</v>
      </c>
      <c r="J1030" s="150">
        <f ca="1"/>
        <v>1.7357140176253099E-2</v>
      </c>
      <c r="K1030" s="7" t="s">
        <v>4</v>
      </c>
      <c r="L1030" s="149" t="e">
        <f ca="1">_xll.meDateFromTenor(L1029,"1D","FOLLOWING",#REF!,"NORMAL")</f>
        <v>#VALUE!</v>
      </c>
      <c r="M1030" s="155">
        <f ca="1">_xll.meDateYearFraction(C1030,D1030,$M$11)</f>
        <v>2.7777777777777779E-3</v>
      </c>
      <c r="N1030" s="150">
        <f ca="1"/>
        <v>-2.4300000000065936E-3</v>
      </c>
      <c r="O1030" s="7" t="s">
        <v>4</v>
      </c>
      <c r="P1030" s="149">
        <f t="shared" ca="1" si="31"/>
        <v>43921</v>
      </c>
      <c r="Q1030" s="155">
        <f ca="1">_xll.meDateYearFraction(H1030,I1030,$Q$11,TRUE)</f>
        <v>0.25277777777777777</v>
      </c>
      <c r="R1030" s="150">
        <f ca="1">IF(NOW(),_xll.meCurveForwardRatesFromYearFraction(P1030,Q1030,$Q$11,$Q$9,$Q$10))</f>
        <v>-3.7175485397107962E-3</v>
      </c>
      <c r="S1030" s="134" t="s">
        <v>4</v>
      </c>
    </row>
    <row r="1031" spans="1:19" x14ac:dyDescent="0.25">
      <c r="A1031" s="128">
        <v>1015</v>
      </c>
      <c r="B1031" s="133"/>
      <c r="C1031" s="149">
        <f ca="1">_xll.meDateFromTenor(C1030,"1D","FOLLOWING",$D$11,"NORMAL")</f>
        <v>43922</v>
      </c>
      <c r="D1031" s="20">
        <f ca="1">_xll.meDateFromTenor(C1031,"1D","Following",$D$11,"Normal")</f>
        <v>43923</v>
      </c>
      <c r="E1031" s="99">
        <f ca="1"/>
        <v>1.3119722653554159E-2</v>
      </c>
      <c r="F1031" s="161">
        <f ca="1">_xll.meCurveForwardRates(C1031,$D$9,$D$10)</f>
        <v>1.3205921612556182E-2</v>
      </c>
      <c r="G1031" s="7" t="s">
        <v>4</v>
      </c>
      <c r="H1031" s="149">
        <f t="shared" ca="1" si="30"/>
        <v>43922</v>
      </c>
      <c r="I1031" s="20">
        <f ca="1">_xll.meDateFromTenor(H1031,"3M","Following",$I$11,"Normal")</f>
        <v>44013</v>
      </c>
      <c r="J1031" s="150">
        <f ca="1"/>
        <v>1.736221448292969E-2</v>
      </c>
      <c r="K1031" s="7" t="s">
        <v>4</v>
      </c>
      <c r="L1031" s="149" t="e">
        <f ca="1">_xll.meDateFromTenor(L1030,"1D","FOLLOWING",#REF!,"NORMAL")</f>
        <v>#VALUE!</v>
      </c>
      <c r="M1031" s="155">
        <f ca="1">_xll.meDateYearFraction(C1031,D1031,$M$11)</f>
        <v>2.7777777777777779E-3</v>
      </c>
      <c r="N1031" s="150">
        <f ca="1"/>
        <v>-2.4300000000065936E-3</v>
      </c>
      <c r="O1031" s="7" t="s">
        <v>4</v>
      </c>
      <c r="P1031" s="149">
        <f t="shared" ca="1" si="31"/>
        <v>43922</v>
      </c>
      <c r="Q1031" s="155">
        <f ca="1">_xll.meDateYearFraction(H1031,I1031,$Q$11,TRUE)</f>
        <v>0.25277777777777777</v>
      </c>
      <c r="R1031" s="150">
        <f ca="1">IF(NOW(),_xll.meCurveForwardRatesFromYearFraction(P1031,Q1031,$Q$11,$Q$9,$Q$10))</f>
        <v>4.8260262168300255E-4</v>
      </c>
      <c r="S1031" s="134" t="s">
        <v>4</v>
      </c>
    </row>
    <row r="1032" spans="1:19" x14ac:dyDescent="0.25">
      <c r="A1032" s="128">
        <v>1016</v>
      </c>
      <c r="B1032" s="133"/>
      <c r="C1032" s="149">
        <f ca="1">_xll.meDateFromTenor(C1031,"1D","FOLLOWING",$D$11,"NORMAL")</f>
        <v>43923</v>
      </c>
      <c r="D1032" s="20">
        <f ca="1">_xll.meDateFromTenor(C1032,"1D","Following",$D$11,"Normal")</f>
        <v>43924</v>
      </c>
      <c r="E1032" s="99">
        <f ca="1"/>
        <v>1.3124241132749161E-2</v>
      </c>
      <c r="F1032" s="161">
        <f ca="1">_xll.meCurveForwardRates(C1032,$D$9,$D$10)</f>
        <v>1.3210499605908366E-2</v>
      </c>
      <c r="G1032" s="7" t="s">
        <v>4</v>
      </c>
      <c r="H1032" s="149">
        <f t="shared" ca="1" si="30"/>
        <v>43923</v>
      </c>
      <c r="I1032" s="20">
        <f ca="1">_xll.meDateFromTenor(H1032,"3M","Following",$I$11,"Normal")</f>
        <v>44014</v>
      </c>
      <c r="J1032" s="150">
        <f ca="1"/>
        <v>1.7367278675633448E-2</v>
      </c>
      <c r="K1032" s="7" t="s">
        <v>4</v>
      </c>
      <c r="L1032" s="149" t="e">
        <f ca="1">_xll.meDateFromTenor(L1031,"1D","FOLLOWING",#REF!,"NORMAL")</f>
        <v>#VALUE!</v>
      </c>
      <c r="M1032" s="155">
        <f ca="1">_xll.meDateYearFraction(C1032,D1032,$M$11)</f>
        <v>2.7777777777777779E-3</v>
      </c>
      <c r="N1032" s="150">
        <f ca="1"/>
        <v>-2.4300000000065936E-3</v>
      </c>
      <c r="O1032" s="7" t="s">
        <v>4</v>
      </c>
      <c r="P1032" s="149">
        <f t="shared" ca="1" si="31"/>
        <v>43923</v>
      </c>
      <c r="Q1032" s="155">
        <f ca="1">_xll.meDateYearFraction(H1032,I1032,$Q$11,TRUE)</f>
        <v>0.25277777777777777</v>
      </c>
      <c r="R1032" s="150">
        <f ca="1">IF(NOW(),_xll.meCurveForwardRatesFromYearFraction(P1032,Q1032,$Q$11,$Q$9,$Q$10))</f>
        <v>-3.7175485397107962E-3</v>
      </c>
      <c r="S1032" s="134" t="s">
        <v>4</v>
      </c>
    </row>
    <row r="1033" spans="1:19" x14ac:dyDescent="0.25">
      <c r="A1033" s="128">
        <v>1017</v>
      </c>
      <c r="B1033" s="133"/>
      <c r="C1033" s="149">
        <f ca="1">_xll.meDateFromTenor(C1032,"1D","FOLLOWING",$D$11,"NORMAL")</f>
        <v>43924</v>
      </c>
      <c r="D1033" s="20">
        <f ca="1">_xll.meDateFromTenor(C1033,"1D","Following",$D$11,"Normal")</f>
        <v>43927</v>
      </c>
      <c r="E1033" s="99">
        <f ca="1"/>
        <v>1.3133738900465331E-2</v>
      </c>
      <c r="F1033" s="161">
        <f ca="1">_xll.meCurveForwardRates(C1033,$D$9,$D$10)</f>
        <v>1.3215072053473609E-2</v>
      </c>
      <c r="G1033" s="7" t="s">
        <v>4</v>
      </c>
      <c r="H1033" s="149">
        <f t="shared" ca="1" si="30"/>
        <v>43924</v>
      </c>
      <c r="I1033" s="20">
        <f ca="1">_xll.meDateFromTenor(H1033,"3M","Following",$I$11,"Normal")</f>
        <v>44015</v>
      </c>
      <c r="J1033" s="150">
        <f ca="1"/>
        <v>1.737233274928358E-2</v>
      </c>
      <c r="K1033" s="7" t="s">
        <v>4</v>
      </c>
      <c r="L1033" s="149" t="e">
        <f ca="1">_xll.meDateFromTenor(L1032,"1D","FOLLOWING",#REF!,"NORMAL")</f>
        <v>#VALUE!</v>
      </c>
      <c r="M1033" s="155">
        <f ca="1">_xll.meDateYearFraction(C1033,D1033,$M$11)</f>
        <v>8.3333333333333332E-3</v>
      </c>
      <c r="N1033" s="150">
        <f ca="1"/>
        <v>-2.4300000000065936E-3</v>
      </c>
      <c r="O1033" s="7" t="s">
        <v>4</v>
      </c>
      <c r="P1033" s="149">
        <f t="shared" ca="1" si="31"/>
        <v>43924</v>
      </c>
      <c r="Q1033" s="155">
        <f ca="1">_xll.meDateYearFraction(H1033,I1033,$Q$11,TRUE)</f>
        <v>0.25277777777777777</v>
      </c>
      <c r="R1033" s="150">
        <f ca="1">IF(NOW(),_xll.meCurveForwardRatesFromYearFraction(P1033,Q1033,$Q$11,$Q$9,$Q$10))</f>
        <v>4.9526816786947905E-4</v>
      </c>
      <c r="S1033" s="134" t="s">
        <v>4</v>
      </c>
    </row>
    <row r="1034" spans="1:19" x14ac:dyDescent="0.25">
      <c r="A1034" s="128">
        <v>1018</v>
      </c>
      <c r="B1034" s="133"/>
      <c r="C1034" s="149">
        <f ca="1">_xll.meDateFromTenor(C1033,"1D","FOLLOWING",$D$11,"NORMAL")</f>
        <v>43927</v>
      </c>
      <c r="D1034" s="20">
        <f ca="1">_xll.meDateFromTenor(C1034,"1D","Following",$D$11,"Normal")</f>
        <v>43928</v>
      </c>
      <c r="E1034" s="99">
        <f ca="1"/>
        <v>1.314226010226564E-2</v>
      </c>
      <c r="F1034" s="161">
        <f ca="1">_xll.meCurveForwardRates(C1034,$D$9,$D$10)</f>
        <v>1.3228756113475404E-2</v>
      </c>
      <c r="G1034" s="7" t="s">
        <v>4</v>
      </c>
      <c r="H1034" s="149">
        <f t="shared" ca="1" si="30"/>
        <v>43927</v>
      </c>
      <c r="I1034" s="20">
        <f ca="1">_xll.meDateFromTenor(H1034,"3M","Following",$I$11,"Normal")</f>
        <v>44018</v>
      </c>
      <c r="J1034" s="150">
        <f ca="1"/>
        <v>1.7387434205104232E-2</v>
      </c>
      <c r="K1034" s="7" t="s">
        <v>4</v>
      </c>
      <c r="L1034" s="149" t="e">
        <f ca="1">_xll.meDateFromTenor(L1033,"1D","FOLLOWING",#REF!,"NORMAL")</f>
        <v>#VALUE!</v>
      </c>
      <c r="M1034" s="155">
        <f ca="1">_xll.meDateYearFraction(C1034,D1034,$M$11)</f>
        <v>2.7777777777777779E-3</v>
      </c>
      <c r="N1034" s="150">
        <f ca="1"/>
        <v>-2.4300000000065936E-3</v>
      </c>
      <c r="O1034" s="7" t="s">
        <v>4</v>
      </c>
      <c r="P1034" s="149">
        <f t="shared" ca="1" si="31"/>
        <v>43927</v>
      </c>
      <c r="Q1034" s="155">
        <f ca="1">_xll.meDateYearFraction(H1034,I1034,$Q$11,TRUE)</f>
        <v>0.25277777777777777</v>
      </c>
      <c r="R1034" s="150">
        <f ca="1">IF(NOW(),_xll.meCurveForwardRatesFromYearFraction(P1034,Q1034,$Q$11,$Q$9,$Q$10))</f>
        <v>-3.7175485397107962E-3</v>
      </c>
      <c r="S1034" s="134" t="s">
        <v>4</v>
      </c>
    </row>
    <row r="1035" spans="1:19" x14ac:dyDescent="0.25">
      <c r="A1035" s="128">
        <v>1019</v>
      </c>
      <c r="B1035" s="133"/>
      <c r="C1035" s="149">
        <f ca="1">_xll.meDateFromTenor(C1034,"1D","FOLLOWING",$D$11,"NORMAL")</f>
        <v>43928</v>
      </c>
      <c r="D1035" s="20">
        <f ca="1">_xll.meDateFromTenor(C1035,"1D","Following",$D$11,"Normal")</f>
        <v>43929</v>
      </c>
      <c r="E1035" s="99">
        <f ca="1"/>
        <v>1.3146751104631425E-2</v>
      </c>
      <c r="F1035" s="161">
        <f ca="1">_xll.meCurveForwardRates(C1035,$D$9,$D$10)</f>
        <v>1.3233306370292519E-2</v>
      </c>
      <c r="G1035" s="7" t="s">
        <v>4</v>
      </c>
      <c r="H1035" s="149">
        <f t="shared" ca="1" si="30"/>
        <v>43928</v>
      </c>
      <c r="I1035" s="20">
        <f ca="1">_xll.meDateFromTenor(H1035,"3M","Following",$I$11,"Normal")</f>
        <v>44019</v>
      </c>
      <c r="J1035" s="150">
        <f ca="1"/>
        <v>1.7392447751731887E-2</v>
      </c>
      <c r="K1035" s="7" t="s">
        <v>4</v>
      </c>
      <c r="L1035" s="149" t="e">
        <f ca="1">_xll.meDateFromTenor(L1034,"1D","FOLLOWING",#REF!,"NORMAL")</f>
        <v>#VALUE!</v>
      </c>
      <c r="M1035" s="155">
        <f ca="1">_xll.meDateYearFraction(C1035,D1035,$M$11)</f>
        <v>2.7777777777777779E-3</v>
      </c>
      <c r="N1035" s="150">
        <f ca="1"/>
        <v>-2.4300000000065936E-3</v>
      </c>
      <c r="O1035" s="7" t="s">
        <v>4</v>
      </c>
      <c r="P1035" s="149">
        <f t="shared" ca="1" si="31"/>
        <v>43928</v>
      </c>
      <c r="Q1035" s="155">
        <f ca="1">_xll.meDateYearFraction(H1035,I1035,$Q$11,TRUE)</f>
        <v>0.25277777777777777</v>
      </c>
      <c r="R1035" s="150">
        <f ca="1">IF(NOW(),_xll.meCurveForwardRatesFromYearFraction(P1035,Q1035,$Q$11,$Q$9,$Q$10))</f>
        <v>-3.7175485397107962E-3</v>
      </c>
      <c r="S1035" s="134" t="s">
        <v>4</v>
      </c>
    </row>
    <row r="1036" spans="1:19" x14ac:dyDescent="0.25">
      <c r="A1036" s="128">
        <v>1020</v>
      </c>
      <c r="B1036" s="133"/>
      <c r="C1036" s="149">
        <f ca="1">_xll.meDateFromTenor(C1035,"1D","FOLLOWING",$D$11,"NORMAL")</f>
        <v>43929</v>
      </c>
      <c r="D1036" s="20">
        <f ca="1">_xll.meDateFromTenor(C1036,"1D","Following",$D$11,"Normal")</f>
        <v>43930</v>
      </c>
      <c r="E1036" s="99">
        <f ca="1"/>
        <v>1.3151236609403245E-2</v>
      </c>
      <c r="F1036" s="161">
        <f ca="1">_xll.meCurveForwardRates(C1036,$D$9,$D$10)</f>
        <v>1.3237851077320562E-2</v>
      </c>
      <c r="G1036" s="7" t="s">
        <v>4</v>
      </c>
      <c r="H1036" s="149">
        <f t="shared" ca="1" si="30"/>
        <v>43929</v>
      </c>
      <c r="I1036" s="20">
        <f ca="1">_xll.meDateFromTenor(H1036,"3M","Following",$I$11,"Normal")</f>
        <v>44020</v>
      </c>
      <c r="J1036" s="150">
        <f ca="1"/>
        <v>1.7397451153901934E-2</v>
      </c>
      <c r="K1036" s="7" t="s">
        <v>4</v>
      </c>
      <c r="L1036" s="149" t="e">
        <f ca="1">_xll.meDateFromTenor(L1035,"1D","FOLLOWING",#REF!,"NORMAL")</f>
        <v>#VALUE!</v>
      </c>
      <c r="M1036" s="155">
        <f ca="1">_xll.meDateYearFraction(C1036,D1036,$M$11)</f>
        <v>2.7777777777777779E-3</v>
      </c>
      <c r="N1036" s="150">
        <f ca="1"/>
        <v>-2.4300000000065936E-3</v>
      </c>
      <c r="O1036" s="7" t="s">
        <v>4</v>
      </c>
      <c r="P1036" s="149">
        <f t="shared" ca="1" si="31"/>
        <v>43929</v>
      </c>
      <c r="Q1036" s="155">
        <f ca="1">_xll.meDateYearFraction(H1036,I1036,$Q$11,TRUE)</f>
        <v>0.25277777777777777</v>
      </c>
      <c r="R1036" s="150">
        <f ca="1">IF(NOW(),_xll.meCurveForwardRatesFromYearFraction(P1036,Q1036,$Q$11,$Q$9,$Q$10))</f>
        <v>5.2696279847048717E-4</v>
      </c>
      <c r="S1036" s="134" t="s">
        <v>4</v>
      </c>
    </row>
    <row r="1037" spans="1:19" x14ac:dyDescent="0.25">
      <c r="A1037" s="128">
        <v>1021</v>
      </c>
      <c r="B1037" s="133"/>
      <c r="C1037" s="149">
        <f ca="1">_xll.meDateFromTenor(C1036,"1D","FOLLOWING",$D$11,"NORMAL")</f>
        <v>43930</v>
      </c>
      <c r="D1037" s="20">
        <f ca="1">_xll.meDateFromTenor(C1037,"1D","Following",$D$11,"Normal")</f>
        <v>43935</v>
      </c>
      <c r="E1037" s="99">
        <f ca="1"/>
        <v>1.3165617490798434E-2</v>
      </c>
      <c r="F1037" s="161">
        <f ca="1">_xll.meCurveForwardRates(C1037,$D$9,$D$10)</f>
        <v>1.3242390234062817E-2</v>
      </c>
      <c r="G1037" s="7" t="s">
        <v>4</v>
      </c>
      <c r="H1037" s="149">
        <f t="shared" ca="1" si="30"/>
        <v>43930</v>
      </c>
      <c r="I1037" s="20">
        <f ca="1">_xll.meDateFromTenor(H1037,"3M","Following",$I$11,"Normal")</f>
        <v>44021</v>
      </c>
      <c r="J1037" s="150">
        <f ca="1"/>
        <v>1.7402444406533574E-2</v>
      </c>
      <c r="K1037" s="7" t="s">
        <v>4</v>
      </c>
      <c r="L1037" s="149" t="e">
        <f ca="1">_xll.meDateFromTenor(L1036,"1D","FOLLOWING",#REF!,"NORMAL")</f>
        <v>#VALUE!</v>
      </c>
      <c r="M1037" s="155">
        <f ca="1">_xll.meDateYearFraction(C1037,D1037,$M$11)</f>
        <v>1.3888888888888888E-2</v>
      </c>
      <c r="N1037" s="150">
        <f ca="1"/>
        <v>-2.4300000000065936E-3</v>
      </c>
      <c r="O1037" s="7" t="s">
        <v>4</v>
      </c>
      <c r="P1037" s="149">
        <f t="shared" ca="1" si="31"/>
        <v>43930</v>
      </c>
      <c r="Q1037" s="155">
        <f ca="1">_xll.meDateYearFraction(H1037,I1037,$Q$11,TRUE)</f>
        <v>0.25277777777777777</v>
      </c>
      <c r="R1037" s="150">
        <f ca="1">IF(NOW(),_xll.meCurveForwardRatesFromYearFraction(P1037,Q1037,$Q$11,$Q$9,$Q$10))</f>
        <v>5.3330778943438311E-4</v>
      </c>
      <c r="S1037" s="134" t="s">
        <v>4</v>
      </c>
    </row>
    <row r="1038" spans="1:19" x14ac:dyDescent="0.25">
      <c r="A1038" s="128">
        <v>1022</v>
      </c>
      <c r="B1038" s="133"/>
      <c r="C1038" s="149">
        <f ca="1">_xll.meDateFromTenor(C1037,"1D","FOLLOWING",$D$11,"NORMAL")</f>
        <v>43935</v>
      </c>
      <c r="D1038" s="20">
        <f ca="1">_xll.meDateFromTenor(C1038,"1D","Following",$D$11,"Normal")</f>
        <v>43936</v>
      </c>
      <c r="E1038" s="99">
        <f ca="1"/>
        <v>1.3178034155345507E-2</v>
      </c>
      <c r="F1038" s="161">
        <f ca="1">_xll.meCurveForwardRates(C1038,$D$9,$D$10)</f>
        <v>1.3265002736088993E-2</v>
      </c>
      <c r="G1038" s="7" t="s">
        <v>4</v>
      </c>
      <c r="H1038" s="149">
        <f t="shared" ca="1" si="30"/>
        <v>43935</v>
      </c>
      <c r="I1038" s="20">
        <f ca="1">_xll.meDateFromTenor(H1038,"3M","Following",$I$11,"Normal")</f>
        <v>44026</v>
      </c>
      <c r="J1038" s="150">
        <f ca="1"/>
        <v>1.7427258248787863E-2</v>
      </c>
      <c r="K1038" s="7" t="s">
        <v>4</v>
      </c>
      <c r="L1038" s="149" t="e">
        <f ca="1">_xll.meDateFromTenor(L1037,"1D","FOLLOWING",#REF!,"NORMAL")</f>
        <v>#VALUE!</v>
      </c>
      <c r="M1038" s="155">
        <f ca="1">_xll.meDateYearFraction(C1038,D1038,$M$11)</f>
        <v>2.7777777777777779E-3</v>
      </c>
      <c r="N1038" s="150">
        <f ca="1"/>
        <v>-2.4300000000065936E-3</v>
      </c>
      <c r="O1038" s="7" t="s">
        <v>4</v>
      </c>
      <c r="P1038" s="149">
        <f t="shared" ca="1" si="31"/>
        <v>43935</v>
      </c>
      <c r="Q1038" s="155">
        <f ca="1">_xll.meDateYearFraction(H1038,I1038,$Q$11,TRUE)</f>
        <v>0.25277777777777777</v>
      </c>
      <c r="R1038" s="150">
        <f ca="1">IF(NOW(),_xll.meCurveForwardRatesFromYearFraction(P1038,Q1038,$Q$11,$Q$9,$Q$10))</f>
        <v>-3.7175485397107962E-3</v>
      </c>
      <c r="S1038" s="134" t="s">
        <v>4</v>
      </c>
    </row>
    <row r="1039" spans="1:19" x14ac:dyDescent="0.25">
      <c r="A1039" s="128">
        <v>1023</v>
      </c>
      <c r="B1039" s="133"/>
      <c r="C1039" s="149">
        <f ca="1">_xll.meDateFromTenor(C1038,"1D","FOLLOWING",$D$11,"NORMAL")</f>
        <v>43936</v>
      </c>
      <c r="D1039" s="20">
        <f ca="1">_xll.meDateFromTenor(C1039,"1D","Following",$D$11,"Normal")</f>
        <v>43937</v>
      </c>
      <c r="E1039" s="99">
        <f ca="1"/>
        <v>1.3182481159546171E-2</v>
      </c>
      <c r="F1039" s="161">
        <f ca="1">_xll.meCurveForwardRates(C1039,$D$9,$D$10)</f>
        <v>1.3269508574864197E-2</v>
      </c>
      <c r="G1039" s="7" t="s">
        <v>4</v>
      </c>
      <c r="H1039" s="149">
        <f t="shared" ca="1" si="30"/>
        <v>43936</v>
      </c>
      <c r="I1039" s="20">
        <f ca="1">_xll.meDateFromTenor(H1039,"3M","Following",$I$11,"Normal")</f>
        <v>44027</v>
      </c>
      <c r="J1039" s="150">
        <f ca="1"/>
        <v>1.7432190497492367E-2</v>
      </c>
      <c r="K1039" s="7" t="s">
        <v>4</v>
      </c>
      <c r="L1039" s="149" t="e">
        <f ca="1">_xll.meDateFromTenor(L1038,"1D","FOLLOWING",#REF!,"NORMAL")</f>
        <v>#VALUE!</v>
      </c>
      <c r="M1039" s="155">
        <f ca="1">_xll.meDateYearFraction(C1039,D1039,$M$11)</f>
        <v>2.7777777777777779E-3</v>
      </c>
      <c r="N1039" s="150">
        <f ca="1"/>
        <v>-2.4300000000065936E-3</v>
      </c>
      <c r="O1039" s="7" t="s">
        <v>4</v>
      </c>
      <c r="P1039" s="149">
        <f t="shared" ca="1" si="31"/>
        <v>43936</v>
      </c>
      <c r="Q1039" s="155">
        <f ca="1">_xll.meDateYearFraction(H1039,I1039,$Q$11,TRUE)</f>
        <v>0.25277777777777777</v>
      </c>
      <c r="R1039" s="150">
        <f ca="1">IF(NOW(),_xll.meCurveForwardRatesFromYearFraction(P1039,Q1039,$Q$11,$Q$9,$Q$10))</f>
        <v>-3.7175485397107962E-3</v>
      </c>
      <c r="S1039" s="134" t="s">
        <v>4</v>
      </c>
    </row>
    <row r="1040" spans="1:19" x14ac:dyDescent="0.25">
      <c r="A1040" s="128">
        <v>1024</v>
      </c>
      <c r="B1040" s="133"/>
      <c r="C1040" s="149">
        <f ca="1">_xll.meDateFromTenor(C1039,"1D","FOLLOWING",$D$11,"NORMAL")</f>
        <v>43937</v>
      </c>
      <c r="D1040" s="20">
        <f ca="1">_xll.meDateFromTenor(C1040,"1D","Following",$D$11,"Normal")</f>
        <v>43938</v>
      </c>
      <c r="E1040" s="99">
        <f ca="1"/>
        <v>1.318692266087711E-2</v>
      </c>
      <c r="F1040" s="161">
        <f ca="1">_xll.meCurveForwardRates(C1040,$D$9,$D$10)</f>
        <v>1.3274008857909969E-2</v>
      </c>
      <c r="G1040" s="7" t="s">
        <v>4</v>
      </c>
      <c r="H1040" s="149">
        <f t="shared" ca="1" si="30"/>
        <v>43937</v>
      </c>
      <c r="I1040" s="20">
        <f ca="1">_xll.meDateFromTenor(H1040,"3M","Following",$I$11,"Normal")</f>
        <v>44028</v>
      </c>
      <c r="J1040" s="150">
        <f ca="1"/>
        <v>1.7437112561092896E-2</v>
      </c>
      <c r="K1040" s="7" t="s">
        <v>4</v>
      </c>
      <c r="L1040" s="149" t="e">
        <f ca="1">_xll.meDateFromTenor(L1039,"1D","FOLLOWING",#REF!,"NORMAL")</f>
        <v>#VALUE!</v>
      </c>
      <c r="M1040" s="155">
        <f ca="1">_xll.meDateYearFraction(C1040,D1040,$M$11)</f>
        <v>2.7777777777777779E-3</v>
      </c>
      <c r="N1040" s="150">
        <f ca="1"/>
        <v>-2.4300000000065936E-3</v>
      </c>
      <c r="O1040" s="7" t="s">
        <v>4</v>
      </c>
      <c r="P1040" s="149">
        <f t="shared" ca="1" si="31"/>
        <v>43937</v>
      </c>
      <c r="Q1040" s="155">
        <f ca="1">_xll.meDateYearFraction(H1040,I1040,$Q$11,TRUE)</f>
        <v>0.25277777777777777</v>
      </c>
      <c r="R1040" s="150">
        <f ca="1">IF(NOW(),_xll.meCurveForwardRatesFromYearFraction(P1040,Q1040,$Q$11,$Q$9,$Q$10))</f>
        <v>-3.7175485397107962E-3</v>
      </c>
      <c r="S1040" s="134" t="s">
        <v>4</v>
      </c>
    </row>
    <row r="1041" spans="1:19" x14ac:dyDescent="0.25">
      <c r="A1041" s="128">
        <v>1025</v>
      </c>
      <c r="B1041" s="133"/>
      <c r="C1041" s="149">
        <f ca="1">_xll.meDateFromTenor(C1040,"1D","FOLLOWING",$D$11,"NORMAL")</f>
        <v>43938</v>
      </c>
      <c r="D1041" s="20">
        <f ca="1">_xll.meDateFromTenor(C1041,"1D","Following",$D$11,"Normal")</f>
        <v>43941</v>
      </c>
      <c r="E1041" s="99">
        <f ca="1"/>
        <v>1.3196271014672033E-2</v>
      </c>
      <c r="F1041" s="161">
        <f ca="1">_xll.meCurveForwardRates(C1041,$D$9,$D$10)</f>
        <v>1.3278503584649215E-2</v>
      </c>
      <c r="G1041" s="7" t="s">
        <v>4</v>
      </c>
      <c r="H1041" s="149">
        <f t="shared" ref="H1041:H1104" ca="1" si="32">$C1041</f>
        <v>43938</v>
      </c>
      <c r="I1041" s="20">
        <f ca="1">_xll.meDateFromTenor(H1041,"3M","Following",$I$11,"Normal")</f>
        <v>44029</v>
      </c>
      <c r="J1041" s="150">
        <f ca="1"/>
        <v>1.7442024434508655E-2</v>
      </c>
      <c r="K1041" s="7" t="s">
        <v>4</v>
      </c>
      <c r="L1041" s="149" t="e">
        <f ca="1">_xll.meDateFromTenor(L1040,"1D","FOLLOWING",#REF!,"NORMAL")</f>
        <v>#VALUE!</v>
      </c>
      <c r="M1041" s="155">
        <f ca="1">_xll.meDateYearFraction(C1041,D1041,$M$11)</f>
        <v>8.3333333333333332E-3</v>
      </c>
      <c r="N1041" s="150">
        <f ca="1"/>
        <v>-2.4300000000065936E-3</v>
      </c>
      <c r="O1041" s="7" t="s">
        <v>4</v>
      </c>
      <c r="P1041" s="149">
        <f t="shared" ref="P1041:P1104" ca="1" si="33">$C1041</f>
        <v>43938</v>
      </c>
      <c r="Q1041" s="155">
        <f ca="1">_xll.meDateYearFraction(H1041,I1041,$Q$11,TRUE)</f>
        <v>0.25277777777777777</v>
      </c>
      <c r="R1041" s="150">
        <f ca="1">IF(NOW(),_xll.meCurveForwardRatesFromYearFraction(P1041,Q1041,$Q$11,$Q$9,$Q$10))</f>
        <v>5.8415710250217436E-4</v>
      </c>
      <c r="S1041" s="134" t="s">
        <v>4</v>
      </c>
    </row>
    <row r="1042" spans="1:19" x14ac:dyDescent="0.25">
      <c r="A1042" s="128">
        <v>1026</v>
      </c>
      <c r="B1042" s="133"/>
      <c r="C1042" s="149">
        <f ca="1">_xll.meDateFromTenor(C1041,"1D","FOLLOWING",$D$11,"NORMAL")</f>
        <v>43941</v>
      </c>
      <c r="D1042" s="20">
        <f ca="1">_xll.meDateFromTenor(C1042,"1D","Following",$D$11,"Normal")</f>
        <v>43942</v>
      </c>
      <c r="E1042" s="99">
        <f ca="1"/>
        <v>1.3204633624932453E-2</v>
      </c>
      <c r="F1042" s="161">
        <f ca="1">_xll.meCurveForwardRates(C1042,$D$9,$D$10)</f>
        <v>1.3291954418581886E-2</v>
      </c>
      <c r="G1042" s="7" t="s">
        <v>4</v>
      </c>
      <c r="H1042" s="149">
        <f t="shared" ca="1" si="32"/>
        <v>43941</v>
      </c>
      <c r="I1042" s="20">
        <f ca="1">_xll.meDateFromTenor(H1042,"3M","Following",$I$11,"Normal")</f>
        <v>44032</v>
      </c>
      <c r="J1042" s="150">
        <f ca="1"/>
        <v>1.7456698862839345E-2</v>
      </c>
      <c r="K1042" s="7" t="s">
        <v>4</v>
      </c>
      <c r="L1042" s="149" t="e">
        <f ca="1">_xll.meDateFromTenor(L1041,"1D","FOLLOWING",#REF!,"NORMAL")</f>
        <v>#VALUE!</v>
      </c>
      <c r="M1042" s="155">
        <f ca="1">_xll.meDateYearFraction(C1042,D1042,$M$11)</f>
        <v>2.7777777777777779E-3</v>
      </c>
      <c r="N1042" s="150">
        <f ca="1"/>
        <v>-2.4300000000065936E-3</v>
      </c>
      <c r="O1042" s="7" t="s">
        <v>4</v>
      </c>
      <c r="P1042" s="149">
        <f t="shared" ca="1" si="33"/>
        <v>43941</v>
      </c>
      <c r="Q1042" s="155">
        <f ca="1">_xll.meDateYearFraction(H1042,I1042,$Q$11,TRUE)</f>
        <v>0.25277777777777777</v>
      </c>
      <c r="R1042" s="150">
        <f ca="1">IF(NOW(),_xll.meCurveForwardRatesFromYearFraction(P1042,Q1042,$Q$11,$Q$9,$Q$10))</f>
        <v>-3.7175485397107962E-3</v>
      </c>
      <c r="S1042" s="134" t="s">
        <v>4</v>
      </c>
    </row>
    <row r="1043" spans="1:19" x14ac:dyDescent="0.25">
      <c r="A1043" s="128">
        <v>1027</v>
      </c>
      <c r="B1043" s="133"/>
      <c r="C1043" s="149">
        <f ca="1">_xll.meDateFromTenor(C1042,"1D","FOLLOWING",$D$11,"NORMAL")</f>
        <v>43942</v>
      </c>
      <c r="D1043" s="20">
        <f ca="1">_xll.meDateFromTenor(C1043,"1D","Following",$D$11,"Normal")</f>
        <v>43943</v>
      </c>
      <c r="E1043" s="99">
        <f ca="1"/>
        <v>1.3209047602191926E-2</v>
      </c>
      <c r="F1043" s="161">
        <f ca="1">_xll.meCurveForwardRates(C1043,$D$9,$D$10)</f>
        <v>1.3296426912020154E-2</v>
      </c>
      <c r="G1043" s="7" t="s">
        <v>4</v>
      </c>
      <c r="H1043" s="149">
        <f t="shared" ca="1" si="32"/>
        <v>43942</v>
      </c>
      <c r="I1043" s="20">
        <f ca="1">_xll.meDateFromTenor(H1043,"3M","Following",$I$11,"Normal")</f>
        <v>44033</v>
      </c>
      <c r="J1043" s="150">
        <f ca="1"/>
        <v>1.746156992470806E-2</v>
      </c>
      <c r="K1043" s="7" t="s">
        <v>4</v>
      </c>
      <c r="L1043" s="149" t="e">
        <f ca="1">_xll.meDateFromTenor(L1042,"1D","FOLLOWING",#REF!,"NORMAL")</f>
        <v>#VALUE!</v>
      </c>
      <c r="M1043" s="155">
        <f ca="1">_xll.meDateYearFraction(C1043,D1043,$M$11)</f>
        <v>2.7777777777777779E-3</v>
      </c>
      <c r="N1043" s="150">
        <f ca="1"/>
        <v>-2.4300000000065936E-3</v>
      </c>
      <c r="O1043" s="7" t="s">
        <v>4</v>
      </c>
      <c r="P1043" s="149">
        <f t="shared" ca="1" si="33"/>
        <v>43942</v>
      </c>
      <c r="Q1043" s="155">
        <f ca="1">_xll.meDateYearFraction(H1043,I1043,$Q$11,TRUE)</f>
        <v>0.25277777777777777</v>
      </c>
      <c r="R1043" s="150">
        <f ca="1">IF(NOW(),_xll.meCurveForwardRatesFromYearFraction(P1043,Q1043,$Q$11,$Q$9,$Q$10))</f>
        <v>6.0965162994140883E-4</v>
      </c>
      <c r="S1043" s="134" t="s">
        <v>4</v>
      </c>
    </row>
    <row r="1044" spans="1:19" x14ac:dyDescent="0.25">
      <c r="A1044" s="128">
        <v>1028</v>
      </c>
      <c r="B1044" s="133"/>
      <c r="C1044" s="149">
        <f ca="1">_xll.meDateFromTenor(C1043,"1D","FOLLOWING",$D$11,"NORMAL")</f>
        <v>43943</v>
      </c>
      <c r="D1044" s="20">
        <f ca="1">_xll.meDateFromTenor(C1044,"1D","Following",$D$11,"Normal")</f>
        <v>43944</v>
      </c>
      <c r="E1044" s="99">
        <f ca="1"/>
        <v>1.3213456072664826E-2</v>
      </c>
      <c r="F1044" s="161">
        <f ca="1">_xll.meCurveForwardRates(C1044,$D$9,$D$10)</f>
        <v>1.3300893845317407E-2</v>
      </c>
      <c r="G1044" s="7" t="s">
        <v>4</v>
      </c>
      <c r="H1044" s="149">
        <f t="shared" ca="1" si="32"/>
        <v>43943</v>
      </c>
      <c r="I1044" s="20">
        <f ca="1">_xll.meDateFromTenor(H1044,"3M","Following",$I$11,"Normal")</f>
        <v>44034</v>
      </c>
      <c r="J1044" s="150">
        <f ca="1"/>
        <v>1.7466430770988025E-2</v>
      </c>
      <c r="K1044" s="7" t="s">
        <v>4</v>
      </c>
      <c r="L1044" s="149" t="e">
        <f ca="1">_xll.meDateFromTenor(L1043,"1D","FOLLOWING",#REF!,"NORMAL")</f>
        <v>#VALUE!</v>
      </c>
      <c r="M1044" s="155">
        <f ca="1">_xll.meDateYearFraction(C1044,D1044,$M$11)</f>
        <v>2.7777777777777779E-3</v>
      </c>
      <c r="N1044" s="150">
        <f ca="1"/>
        <v>-2.4300000000065936E-3</v>
      </c>
      <c r="O1044" s="7" t="s">
        <v>4</v>
      </c>
      <c r="P1044" s="149">
        <f t="shared" ca="1" si="33"/>
        <v>43943</v>
      </c>
      <c r="Q1044" s="155">
        <f ca="1">_xll.meDateYearFraction(H1044,I1044,$Q$11,TRUE)</f>
        <v>0.25277777777777777</v>
      </c>
      <c r="R1044" s="150">
        <f ca="1">IF(NOW(),_xll.meCurveForwardRatesFromYearFraction(P1044,Q1044,$Q$11,$Q$9,$Q$10))</f>
        <v>-3.7175485397107962E-3</v>
      </c>
      <c r="S1044" s="134" t="s">
        <v>4</v>
      </c>
    </row>
    <row r="1045" spans="1:19" x14ac:dyDescent="0.25">
      <c r="A1045" s="128">
        <v>1029</v>
      </c>
      <c r="B1045" s="133"/>
      <c r="C1045" s="149">
        <f ca="1">_xll.meDateFromTenor(C1044,"1D","FOLLOWING",$D$11,"NORMAL")</f>
        <v>43944</v>
      </c>
      <c r="D1045" s="20">
        <f ca="1">_xll.meDateFromTenor(C1045,"1D","Following",$D$11,"Normal")</f>
        <v>43945</v>
      </c>
      <c r="E1045" s="99">
        <f ca="1"/>
        <v>1.3217859035454959E-2</v>
      </c>
      <c r="F1045" s="161">
        <f ca="1">_xll.meCurveForwardRates(C1045,$D$9,$D$10)</f>
        <v>1.330535521749221E-2</v>
      </c>
      <c r="G1045" s="7" t="s">
        <v>4</v>
      </c>
      <c r="H1045" s="149">
        <f t="shared" ca="1" si="32"/>
        <v>43944</v>
      </c>
      <c r="I1045" s="20">
        <f ca="1">_xll.meDateFromTenor(H1045,"3M","Following",$I$11,"Normal")</f>
        <v>44035</v>
      </c>
      <c r="J1045" s="150">
        <f ca="1"/>
        <v>1.7471281396598447E-2</v>
      </c>
      <c r="K1045" s="7" t="s">
        <v>4</v>
      </c>
      <c r="L1045" s="149" t="e">
        <f ca="1">_xll.meDateFromTenor(L1044,"1D","FOLLOWING",#REF!,"NORMAL")</f>
        <v>#VALUE!</v>
      </c>
      <c r="M1045" s="155">
        <f ca="1">_xll.meDateYearFraction(C1045,D1045,$M$11)</f>
        <v>2.7777777777777779E-3</v>
      </c>
      <c r="N1045" s="150">
        <f ca="1"/>
        <v>-2.4300000000065936E-3</v>
      </c>
      <c r="O1045" s="7" t="s">
        <v>4</v>
      </c>
      <c r="P1045" s="149">
        <f t="shared" ca="1" si="33"/>
        <v>43944</v>
      </c>
      <c r="Q1045" s="155">
        <f ca="1">_xll.meDateYearFraction(H1045,I1045,$Q$11,TRUE)</f>
        <v>0.25277777777777777</v>
      </c>
      <c r="R1045" s="150">
        <f ca="1">IF(NOW(),_xll.meCurveForwardRatesFromYearFraction(P1045,Q1045,$Q$11,$Q$9,$Q$10))</f>
        <v>6.2241912925940801E-4</v>
      </c>
      <c r="S1045" s="134" t="s">
        <v>4</v>
      </c>
    </row>
    <row r="1046" spans="1:19" x14ac:dyDescent="0.25">
      <c r="A1046" s="128">
        <v>1030</v>
      </c>
      <c r="B1046" s="133"/>
      <c r="C1046" s="149">
        <f ca="1">_xll.meDateFromTenor(C1045,"1D","FOLLOWING",$D$11,"NORMAL")</f>
        <v>43945</v>
      </c>
      <c r="D1046" s="20">
        <f ca="1">_xll.meDateFromTenor(C1046,"1D","Following",$D$11,"Normal")</f>
        <v>43948</v>
      </c>
      <c r="E1046" s="99">
        <f ca="1"/>
        <v>1.3227132561218409E-2</v>
      </c>
      <c r="F1046" s="161">
        <f ca="1">_xll.meCurveForwardRates(C1046,$D$9,$D$10)</f>
        <v>1.3309811027921059E-2</v>
      </c>
      <c r="G1046" s="7" t="s">
        <v>4</v>
      </c>
      <c r="H1046" s="149">
        <f t="shared" ca="1" si="32"/>
        <v>43945</v>
      </c>
      <c r="I1046" s="20">
        <f ca="1">_xll.meDateFromTenor(H1046,"3M","Following",$I$11,"Normal")</f>
        <v>44036</v>
      </c>
      <c r="J1046" s="150">
        <f ca="1"/>
        <v>1.7476121796458521E-2</v>
      </c>
      <c r="K1046" s="7" t="s">
        <v>4</v>
      </c>
      <c r="L1046" s="149" t="e">
        <f ca="1">_xll.meDateFromTenor(L1045,"1D","FOLLOWING",#REF!,"NORMAL")</f>
        <v>#VALUE!</v>
      </c>
      <c r="M1046" s="155">
        <f ca="1">_xll.meDateYearFraction(C1046,D1046,$M$11)</f>
        <v>8.3333333333333332E-3</v>
      </c>
      <c r="N1046" s="150">
        <f ca="1"/>
        <v>-2.4300000000065936E-3</v>
      </c>
      <c r="O1046" s="7" t="s">
        <v>4</v>
      </c>
      <c r="P1046" s="149">
        <f t="shared" ca="1" si="33"/>
        <v>43945</v>
      </c>
      <c r="Q1046" s="155">
        <f ca="1">_xll.meDateYearFraction(H1046,I1046,$Q$11,TRUE)</f>
        <v>0.25277777777777777</v>
      </c>
      <c r="R1046" s="150">
        <f ca="1">IF(NOW(),_xll.meCurveForwardRatesFromYearFraction(P1046,Q1046,$Q$11,$Q$9,$Q$10))</f>
        <v>-3.7175485397107962E-3</v>
      </c>
      <c r="S1046" s="134" t="s">
        <v>4</v>
      </c>
    </row>
    <row r="1047" spans="1:19" x14ac:dyDescent="0.25">
      <c r="A1047" s="128">
        <v>1031</v>
      </c>
      <c r="B1047" s="133"/>
      <c r="C1047" s="149">
        <f ca="1">_xll.meDateFromTenor(C1046,"1D","FOLLOWING",$D$11,"NORMAL")</f>
        <v>43948</v>
      </c>
      <c r="D1047" s="20">
        <f ca="1">_xll.meDateFromTenor(C1047,"1D","Following",$D$11,"Normal")</f>
        <v>43949</v>
      </c>
      <c r="E1047" s="99">
        <f ca="1"/>
        <v>1.3235415797659007E-2</v>
      </c>
      <c r="F1047" s="161">
        <f ca="1">_xll.meCurveForwardRates(C1047,$D$9,$D$10)</f>
        <v>1.3323145081208354E-2</v>
      </c>
      <c r="G1047" s="7" t="s">
        <v>4</v>
      </c>
      <c r="H1047" s="149">
        <f t="shared" ca="1" si="32"/>
        <v>43948</v>
      </c>
      <c r="I1047" s="20">
        <f ca="1">_xll.meDateFromTenor(H1047,"3M","Following",$I$11,"Normal")</f>
        <v>44039</v>
      </c>
      <c r="J1047" s="150">
        <f ca="1"/>
        <v>1.7490581590728745E-2</v>
      </c>
      <c r="K1047" s="7" t="s">
        <v>4</v>
      </c>
      <c r="L1047" s="149" t="e">
        <f ca="1">_xll.meDateFromTenor(L1046,"1D","FOLLOWING",#REF!,"NORMAL")</f>
        <v>#VALUE!</v>
      </c>
      <c r="M1047" s="155">
        <f ca="1">_xll.meDateYearFraction(C1047,D1047,$M$11)</f>
        <v>2.7777777777777779E-3</v>
      </c>
      <c r="N1047" s="150">
        <f ca="1"/>
        <v>-2.4300000000065936E-3</v>
      </c>
      <c r="O1047" s="7" t="s">
        <v>4</v>
      </c>
      <c r="P1047" s="149">
        <f t="shared" ca="1" si="33"/>
        <v>43948</v>
      </c>
      <c r="Q1047" s="155">
        <f ca="1">_xll.meDateYearFraction(H1047,I1047,$Q$11,TRUE)</f>
        <v>0.25277777777777777</v>
      </c>
      <c r="R1047" s="150">
        <f ca="1">IF(NOW(),_xll.meCurveForwardRatesFromYearFraction(P1047,Q1047,$Q$11,$Q$9,$Q$10))</f>
        <v>6.479985531950875E-4</v>
      </c>
      <c r="S1047" s="134" t="s">
        <v>4</v>
      </c>
    </row>
    <row r="1048" spans="1:19" x14ac:dyDescent="0.25">
      <c r="A1048" s="128">
        <v>1032</v>
      </c>
      <c r="B1048" s="133"/>
      <c r="C1048" s="149">
        <f ca="1">_xll.meDateFromTenor(C1047,"1D","FOLLOWING",$D$11,"NORMAL")</f>
        <v>43949</v>
      </c>
      <c r="D1048" s="20">
        <f ca="1">_xll.meDateFromTenor(C1048,"1D","Following",$D$11,"Normal")</f>
        <v>43950</v>
      </c>
      <c r="E1048" s="99">
        <f ca="1"/>
        <v>1.3239791212489456E-2</v>
      </c>
      <c r="F1048" s="161">
        <f ca="1">_xll.meCurveForwardRates(C1048,$D$9,$D$10)</f>
        <v>1.3327578636997739E-2</v>
      </c>
      <c r="G1048" s="7" t="s">
        <v>4</v>
      </c>
      <c r="H1048" s="149">
        <f t="shared" ca="1" si="32"/>
        <v>43949</v>
      </c>
      <c r="I1048" s="20">
        <f ca="1">_xll.meDateFromTenor(H1048,"3M","Following",$I$11,"Normal")</f>
        <v>44040</v>
      </c>
      <c r="J1048" s="150">
        <f ca="1"/>
        <v>1.7495381036779497E-2</v>
      </c>
      <c r="K1048" s="7" t="s">
        <v>4</v>
      </c>
      <c r="L1048" s="149" t="e">
        <f ca="1">_xll.meDateFromTenor(L1047,"1D","FOLLOWING",#REF!,"NORMAL")</f>
        <v>#VALUE!</v>
      </c>
      <c r="M1048" s="155">
        <f ca="1">_xll.meDateYearFraction(C1048,D1048,$M$11)</f>
        <v>2.7777777777777779E-3</v>
      </c>
      <c r="N1048" s="150">
        <f ca="1"/>
        <v>-2.4300000000065936E-3</v>
      </c>
      <c r="O1048" s="7" t="s">
        <v>4</v>
      </c>
      <c r="P1048" s="149">
        <f t="shared" ca="1" si="33"/>
        <v>43949</v>
      </c>
      <c r="Q1048" s="155">
        <f ca="1">_xll.meDateYearFraction(H1048,I1048,$Q$11,TRUE)</f>
        <v>0.25277777777777777</v>
      </c>
      <c r="R1048" s="150">
        <f ca="1">IF(NOW(),_xll.meCurveForwardRatesFromYearFraction(P1048,Q1048,$Q$11,$Q$9,$Q$10))</f>
        <v>-3.7175485397107962E-3</v>
      </c>
      <c r="S1048" s="134" t="s">
        <v>4</v>
      </c>
    </row>
    <row r="1049" spans="1:19" x14ac:dyDescent="0.25">
      <c r="A1049" s="128">
        <v>1033</v>
      </c>
      <c r="B1049" s="133"/>
      <c r="C1049" s="149">
        <f ca="1">_xll.meDateFromTenor(C1048,"1D","FOLLOWING",$D$11,"NORMAL")</f>
        <v>43950</v>
      </c>
      <c r="D1049" s="20">
        <f ca="1">_xll.meDateFromTenor(C1049,"1D","Following",$D$11,"Normal")</f>
        <v>43951</v>
      </c>
      <c r="E1049" s="99">
        <f ca="1"/>
        <v>1.3244161115812891E-2</v>
      </c>
      <c r="F1049" s="161">
        <f ca="1">_xll.meCurveForwardRates(C1049,$D$9,$D$10)</f>
        <v>1.3332006627350346E-2</v>
      </c>
      <c r="G1049" s="7" t="s">
        <v>4</v>
      </c>
      <c r="H1049" s="149">
        <f t="shared" ca="1" si="32"/>
        <v>43950</v>
      </c>
      <c r="I1049" s="20">
        <f ca="1">_xll.meDateFromTenor(H1049,"3M","Following",$I$11,"Normal")</f>
        <v>44041</v>
      </c>
      <c r="J1049" s="150">
        <f ca="1"/>
        <v>1.7500170231675927E-2</v>
      </c>
      <c r="K1049" s="7" t="s">
        <v>4</v>
      </c>
      <c r="L1049" s="149" t="e">
        <f ca="1">_xll.meDateFromTenor(L1048,"1D","FOLLOWING",#REF!,"NORMAL")</f>
        <v>#VALUE!</v>
      </c>
      <c r="M1049" s="155">
        <f ca="1">_xll.meDateYearFraction(C1049,D1049,$M$11)</f>
        <v>2.7777777777777779E-3</v>
      </c>
      <c r="N1049" s="150">
        <f ca="1"/>
        <v>-2.4300000000065936E-3</v>
      </c>
      <c r="O1049" s="7" t="s">
        <v>4</v>
      </c>
      <c r="P1049" s="149">
        <f t="shared" ca="1" si="33"/>
        <v>43950</v>
      </c>
      <c r="Q1049" s="155">
        <f ca="1">_xll.meDateYearFraction(H1049,I1049,$Q$11,TRUE)</f>
        <v>0.25277777777777777</v>
      </c>
      <c r="R1049" s="150">
        <f ca="1">IF(NOW(),_xll.meCurveForwardRatesFromYearFraction(P1049,Q1049,$Q$11,$Q$9,$Q$10))</f>
        <v>6.6081205945393916E-4</v>
      </c>
      <c r="S1049" s="134" t="s">
        <v>4</v>
      </c>
    </row>
    <row r="1050" spans="1:19" x14ac:dyDescent="0.25">
      <c r="A1050" s="128">
        <v>1034</v>
      </c>
      <c r="B1050" s="133"/>
      <c r="C1050" s="149">
        <f ca="1">_xll.meDateFromTenor(C1049,"1D","FOLLOWING",$D$11,"NORMAL")</f>
        <v>43951</v>
      </c>
      <c r="D1050" s="20">
        <f ca="1">_xll.meDateFromTenor(C1050,"1D","Following",$D$11,"Normal")</f>
        <v>43952</v>
      </c>
      <c r="E1050" s="99">
        <f ca="1"/>
        <v>1.324852550657744E-2</v>
      </c>
      <c r="F1050" s="161">
        <f ca="1">_xll.meCurveForwardRates(C1050,$D$9,$D$10)</f>
        <v>1.3336429051127308E-2</v>
      </c>
      <c r="G1050" s="7" t="s">
        <v>4</v>
      </c>
      <c r="H1050" s="149">
        <f t="shared" ca="1" si="32"/>
        <v>43951</v>
      </c>
      <c r="I1050" s="20">
        <f ca="1">_xll.meDateFromTenor(H1050,"3M","Following",$I$11,"Normal")</f>
        <v>44042</v>
      </c>
      <c r="J1050" s="150">
        <f ca="1"/>
        <v>1.7504949170337243E-2</v>
      </c>
      <c r="K1050" s="7" t="s">
        <v>4</v>
      </c>
      <c r="L1050" s="149" t="e">
        <f ca="1">_xll.meDateFromTenor(L1049,"1D","FOLLOWING",#REF!,"NORMAL")</f>
        <v>#VALUE!</v>
      </c>
      <c r="M1050" s="155">
        <f ca="1">_xll.meDateYearFraction(C1050,D1050,$M$11)</f>
        <v>2.7777777777777779E-3</v>
      </c>
      <c r="N1050" s="150">
        <f ca="1"/>
        <v>-2.4300000000065936E-3</v>
      </c>
      <c r="O1050" s="7" t="s">
        <v>4</v>
      </c>
      <c r="P1050" s="149">
        <f t="shared" ca="1" si="33"/>
        <v>43951</v>
      </c>
      <c r="Q1050" s="155">
        <f ca="1">_xll.meDateYearFraction(H1050,I1050,$Q$11,TRUE)</f>
        <v>0.25277777777777777</v>
      </c>
      <c r="R1050" s="150">
        <f ca="1">IF(NOW(),_xll.meCurveForwardRatesFromYearFraction(P1050,Q1050,$Q$11,$Q$9,$Q$10))</f>
        <v>-3.7175485397107962E-3</v>
      </c>
      <c r="S1050" s="134" t="s">
        <v>4</v>
      </c>
    </row>
    <row r="1051" spans="1:19" x14ac:dyDescent="0.25">
      <c r="A1051" s="128">
        <v>1035</v>
      </c>
      <c r="B1051" s="133"/>
      <c r="C1051" s="149">
        <f ca="1">_xll.meDateFromTenor(C1050,"1D","FOLLOWING",$D$11,"NORMAL")</f>
        <v>43952</v>
      </c>
      <c r="D1051" s="20">
        <f ca="1">_xll.meDateFromTenor(C1051,"1D","Following",$D$11,"Normal")</f>
        <v>43956</v>
      </c>
      <c r="E1051" s="99">
        <f ca="1"/>
        <v>1.3260141483679757E-2</v>
      </c>
      <c r="F1051" s="161">
        <f ca="1">_xll.meCurveForwardRates(C1051,$D$9,$D$10)</f>
        <v>1.3340845907948706E-2</v>
      </c>
      <c r="G1051" s="7" t="s">
        <v>4</v>
      </c>
      <c r="H1051" s="149">
        <f t="shared" ca="1" si="32"/>
        <v>43952</v>
      </c>
      <c r="I1051" s="20">
        <f ca="1">_xll.meDateFromTenor(H1051,"3M","Following",$I$11,"Normal")</f>
        <v>44046</v>
      </c>
      <c r="J1051" s="150">
        <f ca="1"/>
        <v>1.7509717847682644E-2</v>
      </c>
      <c r="K1051" s="7" t="s">
        <v>4</v>
      </c>
      <c r="L1051" s="149" t="e">
        <f ca="1">_xll.meDateFromTenor(L1050,"1D","FOLLOWING",#REF!,"NORMAL")</f>
        <v>#VALUE!</v>
      </c>
      <c r="M1051" s="155">
        <f ca="1">_xll.meDateYearFraction(C1051,D1051,$M$11)</f>
        <v>1.1111111111111112E-2</v>
      </c>
      <c r="N1051" s="150">
        <f ca="1"/>
        <v>-2.4300000000065936E-3</v>
      </c>
      <c r="O1051" s="7" t="s">
        <v>4</v>
      </c>
      <c r="P1051" s="149">
        <f t="shared" ca="1" si="33"/>
        <v>43952</v>
      </c>
      <c r="Q1051" s="155">
        <f ca="1">_xll.meDateYearFraction(H1051,I1051,$Q$11,TRUE)</f>
        <v>0.26111111111111113</v>
      </c>
      <c r="R1051" s="150">
        <f ca="1">IF(NOW(),_xll.meCurveForwardRatesFromYearFraction(P1051,Q1051,$Q$11,$Q$9,$Q$10))</f>
        <v>-3.7175485397107962E-3</v>
      </c>
      <c r="S1051" s="134" t="s">
        <v>4</v>
      </c>
    </row>
    <row r="1052" spans="1:19" x14ac:dyDescent="0.25">
      <c r="A1052" s="128">
        <v>1036</v>
      </c>
      <c r="B1052" s="133"/>
      <c r="C1052" s="149">
        <f ca="1">_xll.meDateFromTenor(C1051,"1D","FOLLOWING",$D$11,"NORMAL")</f>
        <v>43956</v>
      </c>
      <c r="D1052" s="20">
        <f ca="1">_xll.meDateFromTenor(C1052,"1D","Following",$D$11,"Normal")</f>
        <v>43957</v>
      </c>
      <c r="E1052" s="99">
        <f ca="1"/>
        <v>1.3270264751705733E-2</v>
      </c>
      <c r="F1052" s="161">
        <f ca="1">_xll.meCurveForwardRates(C1052,$D$9,$D$10)</f>
        <v>1.3358457648247946E-2</v>
      </c>
      <c r="G1052" s="7" t="s">
        <v>4</v>
      </c>
      <c r="H1052" s="149">
        <f t="shared" ca="1" si="32"/>
        <v>43956</v>
      </c>
      <c r="I1052" s="20">
        <f ca="1">_xll.meDateFromTenor(H1052,"3M","Following",$I$11,"Normal")</f>
        <v>44048</v>
      </c>
      <c r="J1052" s="150">
        <f ca="1"/>
        <v>1.75286898422892E-2</v>
      </c>
      <c r="K1052" s="7" t="s">
        <v>4</v>
      </c>
      <c r="L1052" s="149" t="e">
        <f ca="1">_xll.meDateFromTenor(L1051,"1D","FOLLOWING",#REF!,"NORMAL")</f>
        <v>#VALUE!</v>
      </c>
      <c r="M1052" s="155">
        <f ca="1">_xll.meDateYearFraction(C1052,D1052,$M$11)</f>
        <v>2.7777777777777779E-3</v>
      </c>
      <c r="N1052" s="150">
        <f ca="1"/>
        <v>-2.4300000000065936E-3</v>
      </c>
      <c r="O1052" s="7" t="s">
        <v>4</v>
      </c>
      <c r="P1052" s="149">
        <f t="shared" ca="1" si="33"/>
        <v>43956</v>
      </c>
      <c r="Q1052" s="155">
        <f ca="1">_xll.meDateYearFraction(H1052,I1052,$Q$11,TRUE)</f>
        <v>0.25555555555555554</v>
      </c>
      <c r="R1052" s="150">
        <f ca="1">IF(NOW(),_xll.meCurveForwardRatesFromYearFraction(P1052,Q1052,$Q$11,$Q$9,$Q$10))</f>
        <v>6.993572452415474E-4</v>
      </c>
      <c r="S1052" s="134" t="s">
        <v>4</v>
      </c>
    </row>
    <row r="1053" spans="1:19" x14ac:dyDescent="0.25">
      <c r="A1053" s="128">
        <v>1037</v>
      </c>
      <c r="B1053" s="133"/>
      <c r="C1053" s="149">
        <f ca="1">_xll.meDateFromTenor(C1052,"1D","FOLLOWING",$D$11,"NORMAL")</f>
        <v>43957</v>
      </c>
      <c r="D1053" s="20">
        <f ca="1">_xll.meDateFromTenor(C1053,"1D","Following",$D$11,"Normal")</f>
        <v>43958</v>
      </c>
      <c r="E1053" s="99">
        <f ca="1"/>
        <v>1.3274596054058264E-2</v>
      </c>
      <c r="F1053" s="161">
        <f ca="1">_xll.meCurveForwardRates(C1053,$D$9,$D$10)</f>
        <v>1.3362846657811067E-2</v>
      </c>
      <c r="G1053" s="7" t="s">
        <v>4</v>
      </c>
      <c r="H1053" s="149">
        <f t="shared" ca="1" si="32"/>
        <v>43957</v>
      </c>
      <c r="I1053" s="20">
        <f ca="1">_xll.meDateFromTenor(H1053,"3M","Following",$I$11,"Normal")</f>
        <v>44049</v>
      </c>
      <c r="J1053" s="150">
        <f ca="1"/>
        <v>1.75334071368431E-2</v>
      </c>
      <c r="K1053" s="7" t="s">
        <v>4</v>
      </c>
      <c r="L1053" s="149" t="e">
        <f ca="1">_xll.meDateFromTenor(L1052,"1D","FOLLOWING",#REF!,"NORMAL")</f>
        <v>#VALUE!</v>
      </c>
      <c r="M1053" s="155">
        <f ca="1">_xll.meDateYearFraction(C1053,D1053,$M$11)</f>
        <v>2.7777777777777779E-3</v>
      </c>
      <c r="N1053" s="150">
        <f ca="1"/>
        <v>-2.4300000000065936E-3</v>
      </c>
      <c r="O1053" s="7" t="s">
        <v>4</v>
      </c>
      <c r="P1053" s="149">
        <f t="shared" ca="1" si="33"/>
        <v>43957</v>
      </c>
      <c r="Q1053" s="155">
        <f ca="1">_xll.meDateYearFraction(H1053,I1053,$Q$11,TRUE)</f>
        <v>0.25555555555555554</v>
      </c>
      <c r="R1053" s="150">
        <f ca="1">IF(NOW(),_xll.meCurveForwardRatesFromYearFraction(P1053,Q1053,$Q$11,$Q$9,$Q$10))</f>
        <v>7.0579774476394407E-4</v>
      </c>
      <c r="S1053" s="134" t="s">
        <v>4</v>
      </c>
    </row>
    <row r="1054" spans="1:19" x14ac:dyDescent="0.25">
      <c r="A1054" s="128">
        <v>1038</v>
      </c>
      <c r="B1054" s="133"/>
      <c r="C1054" s="149">
        <f ca="1">_xll.meDateFromTenor(C1053,"1D","FOLLOWING",$D$11,"NORMAL")</f>
        <v>43958</v>
      </c>
      <c r="D1054" s="20">
        <f ca="1">_xll.meDateFromTenor(C1054,"1D","Following",$D$11,"Normal")</f>
        <v>43959</v>
      </c>
      <c r="E1054" s="99">
        <f ca="1"/>
        <v>1.3278921839232577E-2</v>
      </c>
      <c r="F1054" s="161">
        <f ca="1">_xll.meCurveForwardRates(C1054,$D$9,$D$10)</f>
        <v>1.3367230095609584E-2</v>
      </c>
      <c r="G1054" s="7" t="s">
        <v>4</v>
      </c>
      <c r="H1054" s="149">
        <f t="shared" ca="1" si="32"/>
        <v>43958</v>
      </c>
      <c r="I1054" s="20">
        <f ca="1">_xll.meDateFromTenor(H1054,"3M","Following",$I$11,"Normal")</f>
        <v>44050</v>
      </c>
      <c r="J1054" s="150">
        <f ca="1"/>
        <v>1.7538114139596314E-2</v>
      </c>
      <c r="K1054" s="7" t="s">
        <v>4</v>
      </c>
      <c r="L1054" s="149" t="e">
        <f ca="1">_xll.meDateFromTenor(L1053,"1D","FOLLOWING",#REF!,"NORMAL")</f>
        <v>#VALUE!</v>
      </c>
      <c r="M1054" s="155">
        <f ca="1">_xll.meDateYearFraction(C1054,D1054,$M$11)</f>
        <v>2.7777777777777779E-3</v>
      </c>
      <c r="N1054" s="150">
        <f ca="1"/>
        <v>-2.4300000000065936E-3</v>
      </c>
      <c r="O1054" s="7" t="s">
        <v>4</v>
      </c>
      <c r="P1054" s="149">
        <f t="shared" ca="1" si="33"/>
        <v>43958</v>
      </c>
      <c r="Q1054" s="155">
        <f ca="1">_xll.meDateYearFraction(H1054,I1054,$Q$11,TRUE)</f>
        <v>0.25555555555555554</v>
      </c>
      <c r="R1054" s="150">
        <f ca="1">IF(NOW(),_xll.meCurveForwardRatesFromYearFraction(P1054,Q1054,$Q$11,$Q$9,$Q$10))</f>
        <v>-3.7175485397107962E-3</v>
      </c>
      <c r="S1054" s="134" t="s">
        <v>4</v>
      </c>
    </row>
    <row r="1055" spans="1:19" x14ac:dyDescent="0.25">
      <c r="A1055" s="128">
        <v>1039</v>
      </c>
      <c r="B1055" s="133"/>
      <c r="C1055" s="149">
        <f ca="1">_xll.meDateFromTenor(C1054,"1D","FOLLOWING",$D$11,"NORMAL")</f>
        <v>43959</v>
      </c>
      <c r="D1055" s="20">
        <f ca="1">_xll.meDateFromTenor(C1055,"1D","Following",$D$11,"Normal")</f>
        <v>43962</v>
      </c>
      <c r="E1055" s="99">
        <f ca="1"/>
        <v>1.3288045463592418E-2</v>
      </c>
      <c r="F1055" s="161">
        <f ca="1">_xll.meCurveForwardRates(C1055,$D$9,$D$10)</f>
        <v>1.3371607960905862E-2</v>
      </c>
      <c r="G1055" s="7" t="s">
        <v>4</v>
      </c>
      <c r="H1055" s="149">
        <f t="shared" ca="1" si="32"/>
        <v>43959</v>
      </c>
      <c r="I1055" s="20">
        <f ca="1">_xll.meDateFromTenor(H1055,"3M","Following",$I$11,"Normal")</f>
        <v>44053</v>
      </c>
      <c r="J1055" s="150">
        <f ca="1"/>
        <v>1.7542810845468042E-2</v>
      </c>
      <c r="K1055" s="7" t="s">
        <v>4</v>
      </c>
      <c r="L1055" s="149" t="e">
        <f ca="1">_xll.meDateFromTenor(L1054,"1D","FOLLOWING",#REF!,"NORMAL")</f>
        <v>#VALUE!</v>
      </c>
      <c r="M1055" s="155">
        <f ca="1">_xll.meDateYearFraction(C1055,D1055,$M$11)</f>
        <v>8.3333333333333332E-3</v>
      </c>
      <c r="N1055" s="150">
        <f ca="1"/>
        <v>-2.4300000000065936E-3</v>
      </c>
      <c r="O1055" s="7" t="s">
        <v>4</v>
      </c>
      <c r="P1055" s="149">
        <f t="shared" ca="1" si="33"/>
        <v>43959</v>
      </c>
      <c r="Q1055" s="155">
        <f ca="1">_xll.meDateYearFraction(H1055,I1055,$Q$11,TRUE)</f>
        <v>0.26111111111111113</v>
      </c>
      <c r="R1055" s="150">
        <f ca="1">IF(NOW(),_xll.meCurveForwardRatesFromYearFraction(P1055,Q1055,$Q$11,$Q$9,$Q$10))</f>
        <v>7.1869360653143658E-4</v>
      </c>
      <c r="S1055" s="134" t="s">
        <v>4</v>
      </c>
    </row>
    <row r="1056" spans="1:19" x14ac:dyDescent="0.25">
      <c r="A1056" s="128">
        <v>1040</v>
      </c>
      <c r="B1056" s="133"/>
      <c r="C1056" s="149">
        <f ca="1">_xll.meDateFromTenor(C1055,"1D","FOLLOWING",$D$11,"NORMAL")</f>
        <v>43962</v>
      </c>
      <c r="D1056" s="20">
        <f ca="1">_xll.meDateFromTenor(C1056,"1D","Following",$D$11,"Normal")</f>
        <v>43963</v>
      </c>
      <c r="E1056" s="99">
        <f ca="1"/>
        <v>1.3296169794456645E-2</v>
      </c>
      <c r="F1056" s="161">
        <f ca="1">_xll.meCurveForwardRates(C1056,$D$9,$D$10)</f>
        <v>1.3384708113838517E-2</v>
      </c>
      <c r="G1056" s="7" t="s">
        <v>4</v>
      </c>
      <c r="H1056" s="149">
        <f t="shared" ca="1" si="32"/>
        <v>43962</v>
      </c>
      <c r="I1056" s="20">
        <f ca="1">_xll.meDateFromTenor(H1056,"3M","Following",$I$11,"Normal")</f>
        <v>44054</v>
      </c>
      <c r="J1056" s="150">
        <f ca="1"/>
        <v>1.7556839130986369E-2</v>
      </c>
      <c r="K1056" s="7" t="s">
        <v>4</v>
      </c>
      <c r="L1056" s="149" t="e">
        <f ca="1">_xll.meDateFromTenor(L1055,"1D","FOLLOWING",#REF!,"NORMAL")</f>
        <v>#VALUE!</v>
      </c>
      <c r="M1056" s="155">
        <f ca="1">_xll.meDateYearFraction(C1056,D1056,$M$11)</f>
        <v>2.7777777777777779E-3</v>
      </c>
      <c r="N1056" s="150">
        <f ca="1"/>
        <v>-2.4300000000065936E-3</v>
      </c>
      <c r="O1056" s="7" t="s">
        <v>4</v>
      </c>
      <c r="P1056" s="149">
        <f t="shared" ca="1" si="33"/>
        <v>43962</v>
      </c>
      <c r="Q1056" s="155">
        <f ca="1">_xll.meDateYearFraction(H1056,I1056,$Q$11,TRUE)</f>
        <v>0.25555555555555554</v>
      </c>
      <c r="R1056" s="150">
        <f ca="1">IF(NOW(),_xll.meCurveForwardRatesFromYearFraction(P1056,Q1056,$Q$11,$Q$9,$Q$10))</f>
        <v>-3.7175485397107962E-3</v>
      </c>
      <c r="S1056" s="134" t="s">
        <v>4</v>
      </c>
    </row>
    <row r="1057" spans="1:19" x14ac:dyDescent="0.25">
      <c r="A1057" s="128">
        <v>1041</v>
      </c>
      <c r="B1057" s="133"/>
      <c r="C1057" s="149">
        <f ca="1">_xll.meDateFromTenor(C1056,"1D","FOLLOWING",$D$11,"NORMAL")</f>
        <v>43963</v>
      </c>
      <c r="D1057" s="20">
        <f ca="1">_xll.meDateFromTenor(C1057,"1D","Following",$D$11,"Normal")</f>
        <v>43964</v>
      </c>
      <c r="E1057" s="99">
        <f ca="1"/>
        <v>1.3300467983377169E-2</v>
      </c>
      <c r="F1057" s="161">
        <f ca="1">_xll.meCurveForwardRates(C1057,$D$9,$D$10)</f>
        <v>1.338906368122994E-2</v>
      </c>
      <c r="G1057" s="7" t="s">
        <v>4</v>
      </c>
      <c r="H1057" s="149">
        <f t="shared" ca="1" si="32"/>
        <v>43963</v>
      </c>
      <c r="I1057" s="20">
        <f ca="1">_xll.meDateFromTenor(H1057,"3M","Following",$I$11,"Normal")</f>
        <v>44055</v>
      </c>
      <c r="J1057" s="150">
        <f ca="1"/>
        <v>1.7561494598524203E-2</v>
      </c>
      <c r="K1057" s="7" t="s">
        <v>4</v>
      </c>
      <c r="L1057" s="149" t="e">
        <f ca="1">_xll.meDateFromTenor(L1056,"1D","FOLLOWING",#REF!,"NORMAL")</f>
        <v>#VALUE!</v>
      </c>
      <c r="M1057" s="155">
        <f ca="1">_xll.meDateYearFraction(C1057,D1057,$M$11)</f>
        <v>2.7777777777777779E-3</v>
      </c>
      <c r="N1057" s="150">
        <f ca="1"/>
        <v>-2.4300000000065936E-3</v>
      </c>
      <c r="O1057" s="7" t="s">
        <v>4</v>
      </c>
      <c r="P1057" s="149">
        <f t="shared" ca="1" si="33"/>
        <v>43963</v>
      </c>
      <c r="Q1057" s="155">
        <f ca="1">_xll.meDateYearFraction(H1057,I1057,$Q$11,TRUE)</f>
        <v>0.25555555555555554</v>
      </c>
      <c r="R1057" s="150">
        <f ca="1">IF(NOW(),_xll.meCurveForwardRatesFromYearFraction(P1057,Q1057,$Q$11,$Q$9,$Q$10))</f>
        <v>7.4454754882925475E-4</v>
      </c>
      <c r="S1057" s="134" t="s">
        <v>4</v>
      </c>
    </row>
    <row r="1058" spans="1:19" x14ac:dyDescent="0.25">
      <c r="A1058" s="128">
        <v>1042</v>
      </c>
      <c r="B1058" s="133"/>
      <c r="C1058" s="149">
        <f ca="1">_xll.meDateFromTenor(C1057,"1D","FOLLOWING",$D$11,"NORMAL")</f>
        <v>43964</v>
      </c>
      <c r="D1058" s="20">
        <f ca="1">_xll.meDateFromTenor(C1058,"1D","Following",$D$11,"Normal")</f>
        <v>43965</v>
      </c>
      <c r="E1058" s="99">
        <f ca="1"/>
        <v>1.3304760650882883E-2</v>
      </c>
      <c r="F1058" s="161">
        <f ca="1">_xll.meCurveForwardRates(C1058,$D$9,$D$10)</f>
        <v>1.3393413672131205E-2</v>
      </c>
      <c r="G1058" s="7" t="s">
        <v>4</v>
      </c>
      <c r="H1058" s="149">
        <f t="shared" ca="1" si="32"/>
        <v>43964</v>
      </c>
      <c r="I1058" s="20">
        <f ca="1">_xll.meDateFromTenor(H1058,"3M","Following",$I$11,"Normal")</f>
        <v>44056</v>
      </c>
      <c r="J1058" s="150">
        <f ca="1"/>
        <v>1.7566139743776576E-2</v>
      </c>
      <c r="K1058" s="7" t="s">
        <v>4</v>
      </c>
      <c r="L1058" s="149" t="e">
        <f ca="1">_xll.meDateFromTenor(L1057,"1D","FOLLOWING",#REF!,"NORMAL")</f>
        <v>#VALUE!</v>
      </c>
      <c r="M1058" s="155">
        <f ca="1">_xll.meDateYearFraction(C1058,D1058,$M$11)</f>
        <v>2.7777777777777779E-3</v>
      </c>
      <c r="N1058" s="150">
        <f ca="1"/>
        <v>-2.4300000000065936E-3</v>
      </c>
      <c r="O1058" s="7" t="s">
        <v>4</v>
      </c>
      <c r="P1058" s="149">
        <f t="shared" ca="1" si="33"/>
        <v>43964</v>
      </c>
      <c r="Q1058" s="155">
        <f ca="1">_xll.meDateYearFraction(H1058,I1058,$Q$11,TRUE)</f>
        <v>0.25555555555555554</v>
      </c>
      <c r="R1058" s="150">
        <f ca="1">IF(NOW(),_xll.meCurveForwardRatesFromYearFraction(P1058,Q1058,$Q$11,$Q$9,$Q$10))</f>
        <v>7.5102457328597467E-4</v>
      </c>
      <c r="S1058" s="134" t="s">
        <v>4</v>
      </c>
    </row>
    <row r="1059" spans="1:19" x14ac:dyDescent="0.25">
      <c r="A1059" s="128">
        <v>1043</v>
      </c>
      <c r="B1059" s="133"/>
      <c r="C1059" s="149">
        <f ca="1">_xll.meDateFromTenor(C1058,"1D","FOLLOWING",$D$11,"NORMAL")</f>
        <v>43965</v>
      </c>
      <c r="D1059" s="20">
        <f ca="1">_xll.meDateFromTenor(C1059,"1D","Following",$D$11,"Normal")</f>
        <v>43966</v>
      </c>
      <c r="E1059" s="99">
        <f ca="1"/>
        <v>1.3309047796477154E-2</v>
      </c>
      <c r="F1059" s="161">
        <f ca="1">_xll.meCurveForwardRates(C1059,$D$9,$D$10)</f>
        <v>1.3397758085967215E-2</v>
      </c>
      <c r="G1059" s="7" t="s">
        <v>4</v>
      </c>
      <c r="H1059" s="149">
        <f t="shared" ca="1" si="32"/>
        <v>43965</v>
      </c>
      <c r="I1059" s="20">
        <f ca="1">_xll.meDateFromTenor(H1059,"3M","Following",$I$11,"Normal")</f>
        <v>44057</v>
      </c>
      <c r="J1059" s="150">
        <f ca="1"/>
        <v>1.7570774561662689E-2</v>
      </c>
      <c r="K1059" s="7" t="s">
        <v>4</v>
      </c>
      <c r="L1059" s="149" t="e">
        <f ca="1">_xll.meDateFromTenor(L1058,"1D","FOLLOWING",#REF!,"NORMAL")</f>
        <v>#VALUE!</v>
      </c>
      <c r="M1059" s="155">
        <f ca="1">_xll.meDateYearFraction(C1059,D1059,$M$11)</f>
        <v>2.7777777777777779E-3</v>
      </c>
      <c r="N1059" s="150">
        <f ca="1"/>
        <v>-2.4300000000065936E-3</v>
      </c>
      <c r="O1059" s="7" t="s">
        <v>4</v>
      </c>
      <c r="P1059" s="149">
        <f t="shared" ca="1" si="33"/>
        <v>43965</v>
      </c>
      <c r="Q1059" s="155">
        <f ca="1">_xll.meDateYearFraction(H1059,I1059,$Q$11,TRUE)</f>
        <v>0.25555555555555554</v>
      </c>
      <c r="R1059" s="150">
        <f ca="1">IF(NOW(),_xll.meCurveForwardRatesFromYearFraction(P1059,Q1059,$Q$11,$Q$9,$Q$10))</f>
        <v>-3.7175485397107962E-3</v>
      </c>
      <c r="S1059" s="134" t="s">
        <v>4</v>
      </c>
    </row>
    <row r="1060" spans="1:19" x14ac:dyDescent="0.25">
      <c r="A1060" s="128">
        <v>1044</v>
      </c>
      <c r="B1060" s="133"/>
      <c r="C1060" s="149">
        <f ca="1">_xll.meDateFromTenor(C1059,"1D","FOLLOWING",$D$11,"NORMAL")</f>
        <v>43966</v>
      </c>
      <c r="D1060" s="20">
        <f ca="1">_xll.meDateFromTenor(C1060,"1D","Following",$D$11,"Normal")</f>
        <v>43969</v>
      </c>
      <c r="E1060" s="99">
        <f ca="1"/>
        <v>1.3318096346069598E-2</v>
      </c>
      <c r="F1060" s="161">
        <f ca="1">_xll.meCurveForwardRates(C1060,$D$9,$D$10)</f>
        <v>1.340209692187333E-2</v>
      </c>
      <c r="G1060" s="7" t="s">
        <v>4</v>
      </c>
      <c r="H1060" s="149">
        <f t="shared" ca="1" si="32"/>
        <v>43966</v>
      </c>
      <c r="I1060" s="20">
        <f ca="1">_xll.meDateFromTenor(H1060,"3M","Following",$I$11,"Normal")</f>
        <v>44060</v>
      </c>
      <c r="J1060" s="150">
        <f ca="1"/>
        <v>1.7575399047101748E-2</v>
      </c>
      <c r="K1060" s="7" t="s">
        <v>4</v>
      </c>
      <c r="L1060" s="149" t="e">
        <f ca="1">_xll.meDateFromTenor(L1059,"1D","FOLLOWING",#REF!,"NORMAL")</f>
        <v>#VALUE!</v>
      </c>
      <c r="M1060" s="155">
        <f ca="1">_xll.meDateYearFraction(C1060,D1060,$M$11)</f>
        <v>8.3333333333333332E-3</v>
      </c>
      <c r="N1060" s="150">
        <f ca="1"/>
        <v>-2.4300000000065936E-3</v>
      </c>
      <c r="O1060" s="7" t="s">
        <v>4</v>
      </c>
      <c r="P1060" s="149">
        <f t="shared" ca="1" si="33"/>
        <v>43966</v>
      </c>
      <c r="Q1060" s="155">
        <f ca="1">_xll.meDateYearFraction(H1060,I1060,$Q$11,TRUE)</f>
        <v>0.26111111111111113</v>
      </c>
      <c r="R1060" s="150">
        <f ca="1">IF(NOW(),_xll.meCurveForwardRatesFromYearFraction(P1060,Q1060,$Q$11,$Q$9,$Q$10))</f>
        <v>7.6399556082614752E-4</v>
      </c>
      <c r="S1060" s="134" t="s">
        <v>4</v>
      </c>
    </row>
    <row r="1061" spans="1:19" x14ac:dyDescent="0.25">
      <c r="A1061" s="128">
        <v>1045</v>
      </c>
      <c r="B1061" s="133"/>
      <c r="C1061" s="149">
        <f ca="1">_xll.meDateFromTenor(C1060,"1D","FOLLOWING",$D$11,"NORMAL")</f>
        <v>43969</v>
      </c>
      <c r="D1061" s="20">
        <f ca="1">_xll.meDateFromTenor(C1061,"1D","Following",$D$11,"Normal")</f>
        <v>43970</v>
      </c>
      <c r="E1061" s="99">
        <f ca="1"/>
        <v>1.3326141144414242E-2</v>
      </c>
      <c r="F1061" s="161">
        <f ca="1">_xll.meCurveForwardRates(C1061,$D$9,$D$10)</f>
        <v>1.3415079953695397E-2</v>
      </c>
      <c r="G1061" s="7" t="s">
        <v>4</v>
      </c>
      <c r="H1061" s="149">
        <f t="shared" ca="1" si="32"/>
        <v>43969</v>
      </c>
      <c r="I1061" s="20">
        <f ca="1">_xll.meDateFromTenor(H1061,"3M","Following",$I$11,"Normal")</f>
        <v>44061</v>
      </c>
      <c r="J1061" s="150">
        <f ca="1"/>
        <v>1.758921045792864E-2</v>
      </c>
      <c r="K1061" s="7" t="s">
        <v>4</v>
      </c>
      <c r="L1061" s="149" t="e">
        <f ca="1">_xll.meDateFromTenor(L1060,"1D","FOLLOWING",#REF!,"NORMAL")</f>
        <v>#VALUE!</v>
      </c>
      <c r="M1061" s="155">
        <f ca="1">_xll.meDateYearFraction(C1061,D1061,$M$11)</f>
        <v>2.7777777777777779E-3</v>
      </c>
      <c r="N1061" s="150">
        <f ca="1"/>
        <v>-2.4300000000065936E-3</v>
      </c>
      <c r="O1061" s="7" t="s">
        <v>4</v>
      </c>
      <c r="P1061" s="149">
        <f t="shared" ca="1" si="33"/>
        <v>43969</v>
      </c>
      <c r="Q1061" s="155">
        <f ca="1">_xll.meDateYearFraction(H1061,I1061,$Q$11,TRUE)</f>
        <v>0.25555555555555554</v>
      </c>
      <c r="R1061" s="150">
        <f ca="1">IF(NOW(),_xll.meCurveForwardRatesFromYearFraction(P1061,Q1061,$Q$11,$Q$9,$Q$10))</f>
        <v>7.8349587149182938E-4</v>
      </c>
      <c r="S1061" s="134" t="s">
        <v>4</v>
      </c>
    </row>
    <row r="1062" spans="1:19" x14ac:dyDescent="0.25">
      <c r="A1062" s="128">
        <v>1046</v>
      </c>
      <c r="B1062" s="133"/>
      <c r="C1062" s="149">
        <f ca="1">_xll.meDateFromTenor(C1061,"1D","FOLLOWING",$D$11,"NORMAL")</f>
        <v>43970</v>
      </c>
      <c r="D1062" s="20">
        <f ca="1">_xll.meDateFromTenor(C1062,"1D","Following",$D$11,"Normal")</f>
        <v>43971</v>
      </c>
      <c r="E1062" s="99">
        <f ca="1"/>
        <v>1.3330400669311307E-2</v>
      </c>
      <c r="F1062" s="161">
        <f ca="1">_xll.meCurveForwardRates(C1062,$D$9,$D$10)</f>
        <v>1.341939646984236E-2</v>
      </c>
      <c r="G1062" s="7" t="s">
        <v>4</v>
      </c>
      <c r="H1062" s="149">
        <f t="shared" ca="1" si="32"/>
        <v>43970</v>
      </c>
      <c r="I1062" s="20">
        <f ca="1">_xll.meDateFromTenor(H1062,"3M","Following",$I$11,"Normal")</f>
        <v>44062</v>
      </c>
      <c r="J1062" s="150">
        <f ca="1"/>
        <v>1.7593793562771524E-2</v>
      </c>
      <c r="K1062" s="7" t="s">
        <v>4</v>
      </c>
      <c r="L1062" s="149" t="e">
        <f ca="1">_xll.meDateFromTenor(L1061,"1D","FOLLOWING",#REF!,"NORMAL")</f>
        <v>#VALUE!</v>
      </c>
      <c r="M1062" s="155">
        <f ca="1">_xll.meDateYearFraction(C1062,D1062,$M$11)</f>
        <v>2.7777777777777779E-3</v>
      </c>
      <c r="N1062" s="150">
        <f ca="1"/>
        <v>-2.4300000000065936E-3</v>
      </c>
      <c r="O1062" s="7" t="s">
        <v>4</v>
      </c>
      <c r="P1062" s="149">
        <f t="shared" ca="1" si="33"/>
        <v>43970</v>
      </c>
      <c r="Q1062" s="155">
        <f ca="1">_xll.meDateYearFraction(H1062,I1062,$Q$11,TRUE)</f>
        <v>0.25555555555555554</v>
      </c>
      <c r="R1062" s="150">
        <f ca="1">IF(NOW(),_xll.meCurveForwardRatesFromYearFraction(P1062,Q1062,$Q$11,$Q$9,$Q$10))</f>
        <v>-3.7175485397107962E-3</v>
      </c>
      <c r="S1062" s="134" t="s">
        <v>4</v>
      </c>
    </row>
    <row r="1063" spans="1:19" x14ac:dyDescent="0.25">
      <c r="A1063" s="128">
        <v>1047</v>
      </c>
      <c r="B1063" s="133"/>
      <c r="C1063" s="149">
        <f ca="1">_xll.meDateFromTenor(C1062,"1D","FOLLOWING",$D$11,"NORMAL")</f>
        <v>43971</v>
      </c>
      <c r="D1063" s="20">
        <f ca="1">_xll.meDateFromTenor(C1063,"1D","Following",$D$11,"Normal")</f>
        <v>43972</v>
      </c>
      <c r="E1063" s="99">
        <f ca="1"/>
        <v>1.3334654667980363E-2</v>
      </c>
      <c r="F1063" s="161">
        <f ca="1">_xll.meCurveForwardRates(C1063,$D$9,$D$10)</f>
        <v>1.3423707404120799E-2</v>
      </c>
      <c r="G1063" s="7" t="s">
        <v>4</v>
      </c>
      <c r="H1063" s="149">
        <f t="shared" ca="1" si="32"/>
        <v>43971</v>
      </c>
      <c r="I1063" s="20">
        <f ca="1">_xll.meDateFromTenor(H1063,"3M","Following",$I$11,"Normal")</f>
        <v>44063</v>
      </c>
      <c r="J1063" s="150">
        <f ca="1"/>
        <v>1.7598366309763375E-2</v>
      </c>
      <c r="K1063" s="7" t="s">
        <v>4</v>
      </c>
      <c r="L1063" s="149" t="e">
        <f ca="1">_xll.meDateFromTenor(L1062,"1D","FOLLOWING",#REF!,"NORMAL")</f>
        <v>#VALUE!</v>
      </c>
      <c r="M1063" s="155">
        <f ca="1">_xll.meDateYearFraction(C1063,D1063,$M$11)</f>
        <v>2.7777777777777779E-3</v>
      </c>
      <c r="N1063" s="150">
        <f ca="1"/>
        <v>-2.4300000000065936E-3</v>
      </c>
      <c r="O1063" s="7" t="s">
        <v>4</v>
      </c>
      <c r="P1063" s="149">
        <f t="shared" ca="1" si="33"/>
        <v>43971</v>
      </c>
      <c r="Q1063" s="155">
        <f ca="1">_xll.meDateYearFraction(H1063,I1063,$Q$11,TRUE)</f>
        <v>0.25555555555555554</v>
      </c>
      <c r="R1063" s="150">
        <f ca="1">IF(NOW(),_xll.meCurveForwardRatesFromYearFraction(P1063,Q1063,$Q$11,$Q$9,$Q$10))</f>
        <v>7.9652645145258591E-4</v>
      </c>
      <c r="S1063" s="134" t="s">
        <v>4</v>
      </c>
    </row>
    <row r="1064" spans="1:19" x14ac:dyDescent="0.25">
      <c r="A1064" s="128">
        <v>1048</v>
      </c>
      <c r="B1064" s="133"/>
      <c r="C1064" s="149">
        <f ca="1">_xll.meDateFromTenor(C1063,"1D","FOLLOWING",$D$11,"NORMAL")</f>
        <v>43972</v>
      </c>
      <c r="D1064" s="20">
        <f ca="1">_xll.meDateFromTenor(C1064,"1D","Following",$D$11,"Normal")</f>
        <v>43973</v>
      </c>
      <c r="E1064" s="99">
        <f ca="1"/>
        <v>1.3338903139719043E-2</v>
      </c>
      <c r="F1064" s="161">
        <f ca="1">_xll.meCurveForwardRates(C1064,$D$9,$D$10)</f>
        <v>1.3428012755748009E-2</v>
      </c>
      <c r="G1064" s="7" t="s">
        <v>4</v>
      </c>
      <c r="H1064" s="149">
        <f t="shared" ca="1" si="32"/>
        <v>43972</v>
      </c>
      <c r="I1064" s="20">
        <f ca="1">_xll.meDateFromTenor(H1064,"3M","Following",$I$11,"Normal")</f>
        <v>44064</v>
      </c>
      <c r="J1064" s="150">
        <f ca="1"/>
        <v>1.7602928693823391E-2</v>
      </c>
      <c r="K1064" s="7" t="s">
        <v>4</v>
      </c>
      <c r="L1064" s="149" t="e">
        <f ca="1">_xll.meDateFromTenor(L1063,"1D","FOLLOWING",#REF!,"NORMAL")</f>
        <v>#VALUE!</v>
      </c>
      <c r="M1064" s="155">
        <f ca="1">_xll.meDateYearFraction(C1064,D1064,$M$11)</f>
        <v>2.7777777777777779E-3</v>
      </c>
      <c r="N1064" s="150">
        <f ca="1"/>
        <v>-2.4300000000065936E-3</v>
      </c>
      <c r="O1064" s="7" t="s">
        <v>4</v>
      </c>
      <c r="P1064" s="149">
        <f t="shared" ca="1" si="33"/>
        <v>43972</v>
      </c>
      <c r="Q1064" s="155">
        <f ca="1">_xll.meDateYearFraction(H1064,I1064,$Q$11,TRUE)</f>
        <v>0.25555555555555554</v>
      </c>
      <c r="R1064" s="150">
        <f ca="1">IF(NOW(),_xll.meCurveForwardRatesFromYearFraction(P1064,Q1064,$Q$11,$Q$9,$Q$10))</f>
        <v>8.0305114984577266E-4</v>
      </c>
      <c r="S1064" s="134" t="s">
        <v>4</v>
      </c>
    </row>
    <row r="1065" spans="1:19" x14ac:dyDescent="0.25">
      <c r="A1065" s="128">
        <v>1049</v>
      </c>
      <c r="B1065" s="133"/>
      <c r="C1065" s="149">
        <f ca="1">_xll.meDateFromTenor(C1064,"1D","FOLLOWING",$D$11,"NORMAL")</f>
        <v>43973</v>
      </c>
      <c r="D1065" s="20">
        <f ca="1">_xll.meDateFromTenor(C1065,"1D","Following",$D$11,"Normal")</f>
        <v>43977</v>
      </c>
      <c r="E1065" s="99">
        <f ca="1"/>
        <v>1.3350239234259978E-2</v>
      </c>
      <c r="F1065" s="161">
        <f ca="1">_xll.meCurveForwardRates(C1065,$D$9,$D$10)</f>
        <v>1.3432312523906198E-2</v>
      </c>
      <c r="G1065" s="7" t="s">
        <v>4</v>
      </c>
      <c r="H1065" s="149">
        <f t="shared" ca="1" si="32"/>
        <v>43973</v>
      </c>
      <c r="I1065" s="20">
        <f ca="1">_xll.meDateFromTenor(H1065,"3M","Following",$I$11,"Normal")</f>
        <v>44067</v>
      </c>
      <c r="J1065" s="150">
        <f ca="1"/>
        <v>1.7607480709870785E-2</v>
      </c>
      <c r="K1065" s="7" t="s">
        <v>4</v>
      </c>
      <c r="L1065" s="149" t="e">
        <f ca="1">_xll.meDateFromTenor(L1064,"1D","FOLLOWING",#REF!,"NORMAL")</f>
        <v>#VALUE!</v>
      </c>
      <c r="M1065" s="155">
        <f ca="1">_xll.meDateYearFraction(C1065,D1065,$M$11)</f>
        <v>1.1111111111111112E-2</v>
      </c>
      <c r="N1065" s="150">
        <f ca="1"/>
        <v>-2.4300000000065936E-3</v>
      </c>
      <c r="O1065" s="7" t="s">
        <v>4</v>
      </c>
      <c r="P1065" s="149">
        <f t="shared" ca="1" si="33"/>
        <v>43973</v>
      </c>
      <c r="Q1065" s="155">
        <f ca="1">_xll.meDateYearFraction(H1065,I1065,$Q$11,TRUE)</f>
        <v>0.26111111111111113</v>
      </c>
      <c r="R1065" s="150">
        <f ca="1">IF(NOW(),_xll.meCurveForwardRatesFromYearFraction(P1065,Q1065,$Q$11,$Q$9,$Q$10))</f>
        <v>8.0958225231759638E-4</v>
      </c>
      <c r="S1065" s="134" t="s">
        <v>4</v>
      </c>
    </row>
    <row r="1066" spans="1:19" x14ac:dyDescent="0.25">
      <c r="A1066" s="128">
        <v>1050</v>
      </c>
      <c r="B1066" s="133"/>
      <c r="C1066" s="149">
        <f ca="1">_xll.meDateFromTenor(C1065,"1D","FOLLOWING",$D$11,"NORMAL")</f>
        <v>43977</v>
      </c>
      <c r="D1066" s="20">
        <f ca="1">_xll.meDateFromTenor(C1066,"1D","Following",$D$11,"Normal")</f>
        <v>43978</v>
      </c>
      <c r="E1066" s="99">
        <f ca="1"/>
        <v>1.3360069852817034E-2</v>
      </c>
      <c r="F1066" s="161">
        <f ca="1">_xll.meCurveForwardRates(C1066,$D$9,$D$10)</f>
        <v>1.3449463127334971E-2</v>
      </c>
      <c r="G1066" s="7" t="s">
        <v>4</v>
      </c>
      <c r="H1066" s="149">
        <f t="shared" ca="1" si="32"/>
        <v>43977</v>
      </c>
      <c r="I1066" s="20">
        <f ca="1">_xll.meDateFromTenor(H1066,"3M","Following",$I$11,"Normal")</f>
        <v>44069</v>
      </c>
      <c r="J1066" s="150">
        <f ca="1"/>
        <v>1.7625584992318189E-2</v>
      </c>
      <c r="K1066" s="7" t="s">
        <v>4</v>
      </c>
      <c r="L1066" s="149" t="e">
        <f ca="1">_xll.meDateFromTenor(L1065,"1D","FOLLOWING",#REF!,"NORMAL")</f>
        <v>#VALUE!</v>
      </c>
      <c r="M1066" s="155">
        <f ca="1">_xll.meDateYearFraction(C1066,D1066,$M$11)</f>
        <v>2.7777777777777779E-3</v>
      </c>
      <c r="N1066" s="150">
        <f ca="1"/>
        <v>-2.4300000000065936E-3</v>
      </c>
      <c r="O1066" s="7" t="s">
        <v>4</v>
      </c>
      <c r="P1066" s="149">
        <f t="shared" ca="1" si="33"/>
        <v>43977</v>
      </c>
      <c r="Q1066" s="155">
        <f ca="1">_xll.meDateYearFraction(H1066,I1066,$Q$11,TRUE)</f>
        <v>0.25555555555555554</v>
      </c>
      <c r="R1066" s="150">
        <f ca="1">IF(NOW(),_xll.meCurveForwardRatesFromYearFraction(P1066,Q1066,$Q$11,$Q$9,$Q$10))</f>
        <v>-3.7175485397107962E-3</v>
      </c>
      <c r="S1066" s="134" t="s">
        <v>4</v>
      </c>
    </row>
    <row r="1067" spans="1:19" x14ac:dyDescent="0.25">
      <c r="A1067" s="128">
        <v>1051</v>
      </c>
      <c r="B1067" s="133"/>
      <c r="C1067" s="149">
        <f ca="1">_xll.meDateFromTenor(C1066,"1D","FOLLOWING",$D$11,"NORMAL")</f>
        <v>43978</v>
      </c>
      <c r="D1067" s="20">
        <f ca="1">_xll.meDateFromTenor(C1067,"1D","Following",$D$11,"Normal")</f>
        <v>43979</v>
      </c>
      <c r="E1067" s="99">
        <f ca="1"/>
        <v>1.3364307544538842E-2</v>
      </c>
      <c r="F1067" s="161">
        <f ca="1">_xll.meCurveForwardRates(C1067,$D$9,$D$10)</f>
        <v>1.3453757663433707E-2</v>
      </c>
      <c r="G1067" s="7" t="s">
        <v>4</v>
      </c>
      <c r="H1067" s="149">
        <f t="shared" ca="1" si="32"/>
        <v>43978</v>
      </c>
      <c r="I1067" s="20">
        <f ca="1">_xll.meDateFromTenor(H1067,"3M","Following",$I$11,"Normal")</f>
        <v>44070</v>
      </c>
      <c r="J1067" s="150">
        <f ca="1"/>
        <v>1.7630083950312011E-2</v>
      </c>
      <c r="K1067" s="7" t="s">
        <v>4</v>
      </c>
      <c r="L1067" s="149" t="e">
        <f ca="1">_xll.meDateFromTenor(L1066,"1D","FOLLOWING",#REF!,"NORMAL")</f>
        <v>#VALUE!</v>
      </c>
      <c r="M1067" s="155">
        <f ca="1">_xll.meDateYearFraction(C1067,D1067,$M$11)</f>
        <v>2.7777777777777779E-3</v>
      </c>
      <c r="N1067" s="150">
        <f ca="1"/>
        <v>-2.4300000000065936E-3</v>
      </c>
      <c r="O1067" s="7" t="s">
        <v>4</v>
      </c>
      <c r="P1067" s="149">
        <f t="shared" ca="1" si="33"/>
        <v>43978</v>
      </c>
      <c r="Q1067" s="155">
        <f ca="1">_xll.meDateYearFraction(H1067,I1067,$Q$11,TRUE)</f>
        <v>0.25555555555555554</v>
      </c>
      <c r="R1067" s="150">
        <f ca="1">IF(NOW(),_xll.meCurveForwardRatesFromYearFraction(P1067,Q1067,$Q$11,$Q$9,$Q$10))</f>
        <v>-3.7175485397107962E-3</v>
      </c>
      <c r="S1067" s="134" t="s">
        <v>4</v>
      </c>
    </row>
    <row r="1068" spans="1:19" x14ac:dyDescent="0.25">
      <c r="A1068" s="128">
        <v>1052</v>
      </c>
      <c r="B1068" s="133"/>
      <c r="C1068" s="149">
        <f ca="1">_xll.meDateFromTenor(C1067,"1D","FOLLOWING",$D$11,"NORMAL")</f>
        <v>43979</v>
      </c>
      <c r="D1068" s="20">
        <f ca="1">_xll.meDateFromTenor(C1068,"1D","Following",$D$11,"Normal")</f>
        <v>43980</v>
      </c>
      <c r="E1068" s="99">
        <f ca="1"/>
        <v>1.3368551450641105E-2</v>
      </c>
      <c r="F1068" s="161">
        <f ca="1">_xll.meCurveForwardRates(C1068,$D$9,$D$10)</f>
        <v>1.3458058515460003E-2</v>
      </c>
      <c r="G1068" s="7" t="s">
        <v>4</v>
      </c>
      <c r="H1068" s="149">
        <f t="shared" ca="1" si="32"/>
        <v>43979</v>
      </c>
      <c r="I1068" s="20">
        <f ca="1">_xll.meDateFromTenor(H1068,"3M","Following",$I$11,"Normal")</f>
        <v>44071</v>
      </c>
      <c r="J1068" s="150">
        <f ca="1"/>
        <v>1.7634570284493931E-2</v>
      </c>
      <c r="K1068" s="7" t="s">
        <v>4</v>
      </c>
      <c r="L1068" s="149" t="e">
        <f ca="1">_xll.meDateFromTenor(L1067,"1D","FOLLOWING",#REF!,"NORMAL")</f>
        <v>#VALUE!</v>
      </c>
      <c r="M1068" s="155">
        <f ca="1">_xll.meDateYearFraction(C1068,D1068,$M$11)</f>
        <v>2.7777777777777779E-3</v>
      </c>
      <c r="N1068" s="150">
        <f ca="1"/>
        <v>-2.4300000000065936E-3</v>
      </c>
      <c r="O1068" s="7" t="s">
        <v>4</v>
      </c>
      <c r="P1068" s="149">
        <f t="shared" ca="1" si="33"/>
        <v>43979</v>
      </c>
      <c r="Q1068" s="155">
        <f ca="1">_xll.meDateYearFraction(H1068,I1068,$Q$11,TRUE)</f>
        <v>0.25555555555555554</v>
      </c>
      <c r="R1068" s="150">
        <f ca="1">IF(NOW(),_xll.meCurveForwardRatesFromYearFraction(P1068,Q1068,$Q$11,$Q$9,$Q$10))</f>
        <v>-3.7175485397107962E-3</v>
      </c>
      <c r="S1068" s="134" t="s">
        <v>4</v>
      </c>
    </row>
    <row r="1069" spans="1:19" x14ac:dyDescent="0.25">
      <c r="A1069" s="128">
        <v>1053</v>
      </c>
      <c r="B1069" s="133"/>
      <c r="C1069" s="149">
        <f ca="1">_xll.meDateFromTenor(C1068,"1D","FOLLOWING",$D$11,"NORMAL")</f>
        <v>43980</v>
      </c>
      <c r="D1069" s="20">
        <f ca="1">_xll.meDateFromTenor(C1069,"1D","Following",$D$11,"Normal")</f>
        <v>43983</v>
      </c>
      <c r="E1069" s="99">
        <f ca="1"/>
        <v>1.3377557060528438E-2</v>
      </c>
      <c r="F1069" s="161">
        <f ca="1">_xll.meCurveForwardRates(C1069,$D$9,$D$10)</f>
        <v>1.3462365684645983E-2</v>
      </c>
      <c r="G1069" s="7" t="s">
        <v>4</v>
      </c>
      <c r="H1069" s="149">
        <f t="shared" ca="1" si="32"/>
        <v>43980</v>
      </c>
      <c r="I1069" s="20">
        <f ca="1">_xll.meDateFromTenor(H1069,"3M","Following",$I$11,"Normal")</f>
        <v>44075</v>
      </c>
      <c r="J1069" s="150">
        <f ca="1"/>
        <v>1.7639044077146924E-2</v>
      </c>
      <c r="K1069" s="7" t="s">
        <v>4</v>
      </c>
      <c r="L1069" s="149" t="e">
        <f ca="1">_xll.meDateFromTenor(L1068,"1D","FOLLOWING",#REF!,"NORMAL")</f>
        <v>#VALUE!</v>
      </c>
      <c r="M1069" s="155">
        <f ca="1">_xll.meDateYearFraction(C1069,D1069,$M$11)</f>
        <v>8.3333333333333332E-3</v>
      </c>
      <c r="N1069" s="150">
        <f ca="1"/>
        <v>-2.4300000000065936E-3</v>
      </c>
      <c r="O1069" s="7" t="s">
        <v>4</v>
      </c>
      <c r="P1069" s="149">
        <f t="shared" ca="1" si="33"/>
        <v>43980</v>
      </c>
      <c r="Q1069" s="155">
        <f ca="1">_xll.meDateYearFraction(H1069,I1069,$Q$11,TRUE)</f>
        <v>0.2638888888888889</v>
      </c>
      <c r="R1069" s="150">
        <f ca="1">IF(NOW(),_xll.meCurveForwardRatesFromYearFraction(P1069,Q1069,$Q$11,$Q$9,$Q$10))</f>
        <v>8.5547253731374018E-4</v>
      </c>
      <c r="S1069" s="134" t="s">
        <v>4</v>
      </c>
    </row>
    <row r="1070" spans="1:19" x14ac:dyDescent="0.25">
      <c r="A1070" s="128">
        <v>1054</v>
      </c>
      <c r="B1070" s="133"/>
      <c r="C1070" s="149">
        <f ca="1">_xll.meDateFromTenor(C1069,"1D","FOLLOWING",$D$11,"NORMAL")</f>
        <v>43983</v>
      </c>
      <c r="D1070" s="20">
        <f ca="1">_xll.meDateFromTenor(C1070,"1D","Following",$D$11,"Normal")</f>
        <v>43984</v>
      </c>
      <c r="E1070" s="99">
        <f ca="1"/>
        <v>1.3385589240220281E-2</v>
      </c>
      <c r="F1070" s="161">
        <f ca="1">_xll.meCurveForwardRates(C1070,$D$9,$D$10)</f>
        <v>1.3475325106099056E-2</v>
      </c>
      <c r="G1070" s="7" t="s">
        <v>4</v>
      </c>
      <c r="H1070" s="149">
        <f t="shared" ca="1" si="32"/>
        <v>43983</v>
      </c>
      <c r="I1070" s="20">
        <f ca="1">_xll.meDateFromTenor(H1070,"3M","Following",$I$11,"Normal")</f>
        <v>44075</v>
      </c>
      <c r="J1070" s="150">
        <f ca="1"/>
        <v>1.7652391028762159E-2</v>
      </c>
      <c r="K1070" s="7" t="s">
        <v>4</v>
      </c>
      <c r="L1070" s="149" t="e">
        <f ca="1">_xll.meDateFromTenor(L1069,"1D","FOLLOWING",#REF!,"NORMAL")</f>
        <v>#VALUE!</v>
      </c>
      <c r="M1070" s="155">
        <f ca="1">_xll.meDateYearFraction(C1070,D1070,$M$11)</f>
        <v>2.7777777777777779E-3</v>
      </c>
      <c r="N1070" s="150">
        <f ca="1"/>
        <v>-2.4300000000065936E-3</v>
      </c>
      <c r="O1070" s="7" t="s">
        <v>4</v>
      </c>
      <c r="P1070" s="149">
        <f t="shared" ca="1" si="33"/>
        <v>43983</v>
      </c>
      <c r="Q1070" s="155">
        <f ca="1">_xll.meDateYearFraction(H1070,I1070,$Q$11,TRUE)</f>
        <v>0.25555555555555554</v>
      </c>
      <c r="R1070" s="150">
        <f ca="1">IF(NOW(),_xll.meCurveForwardRatesFromYearFraction(P1070,Q1070,$Q$11,$Q$9,$Q$10))</f>
        <v>-3.7175485397107962E-3</v>
      </c>
      <c r="S1070" s="134" t="s">
        <v>4</v>
      </c>
    </row>
    <row r="1071" spans="1:19" x14ac:dyDescent="0.25">
      <c r="A1071" s="128">
        <v>1055</v>
      </c>
      <c r="B1071" s="133"/>
      <c r="C1071" s="149">
        <f ca="1">_xll.meDateFromTenor(C1070,"1D","FOLLOWING",$D$11,"NORMAL")</f>
        <v>43984</v>
      </c>
      <c r="D1071" s="20">
        <f ca="1">_xll.meDateFromTenor(C1071,"1D","Following",$D$11,"Normal")</f>
        <v>43985</v>
      </c>
      <c r="E1071" s="99">
        <f ca="1"/>
        <v>1.3389864234183391E-2</v>
      </c>
      <c r="F1071" s="161">
        <f ca="1">_xll.meCurveForwardRates(C1071,$D$9,$D$10)</f>
        <v>1.3479657555140578E-2</v>
      </c>
      <c r="G1071" s="7" t="s">
        <v>4</v>
      </c>
      <c r="H1071" s="149">
        <f t="shared" ca="1" si="32"/>
        <v>43984</v>
      </c>
      <c r="I1071" s="20">
        <f ca="1">_xll.meDateFromTenor(H1071,"3M","Following",$I$11,"Normal")</f>
        <v>44076</v>
      </c>
      <c r="J1071" s="150">
        <f ca="1"/>
        <v>1.7656815478129247E-2</v>
      </c>
      <c r="K1071" s="7" t="s">
        <v>4</v>
      </c>
      <c r="L1071" s="149" t="e">
        <f ca="1">_xll.meDateFromTenor(L1070,"1D","FOLLOWING",#REF!,"NORMAL")</f>
        <v>#VALUE!</v>
      </c>
      <c r="M1071" s="155">
        <f ca="1">_xll.meDateYearFraction(C1071,D1071,$M$11)</f>
        <v>2.7777777777777779E-3</v>
      </c>
      <c r="N1071" s="150">
        <f ca="1"/>
        <v>-2.4300000000065936E-3</v>
      </c>
      <c r="O1071" s="7" t="s">
        <v>4</v>
      </c>
      <c r="P1071" s="149">
        <f t="shared" ca="1" si="33"/>
        <v>43984</v>
      </c>
      <c r="Q1071" s="155">
        <f ca="1">_xll.meDateYearFraction(H1071,I1071,$Q$11,TRUE)</f>
        <v>0.25555555555555554</v>
      </c>
      <c r="R1071" s="150">
        <f ca="1">IF(NOW(),_xll.meCurveForwardRatesFromYearFraction(P1071,Q1071,$Q$11,$Q$9,$Q$10))</f>
        <v>8.817893889770962E-4</v>
      </c>
      <c r="S1071" s="134" t="s">
        <v>4</v>
      </c>
    </row>
    <row r="1072" spans="1:19" x14ac:dyDescent="0.25">
      <c r="A1072" s="128">
        <v>1056</v>
      </c>
      <c r="B1072" s="133"/>
      <c r="C1072" s="149">
        <f ca="1">_xll.meDateFromTenor(C1071,"1D","FOLLOWING",$D$11,"NORMAL")</f>
        <v>43985</v>
      </c>
      <c r="D1072" s="20">
        <f ca="1">_xll.meDateFromTenor(C1072,"1D","Following",$D$11,"Normal")</f>
        <v>43986</v>
      </c>
      <c r="E1072" s="99">
        <f ca="1"/>
        <v>1.3394145448841892E-2</v>
      </c>
      <c r="F1072" s="161">
        <f ca="1">_xll.meCurveForwardRates(C1072,$D$9,$D$10)</f>
        <v>1.3483996326991932E-2</v>
      </c>
      <c r="G1072" s="7" t="s">
        <v>4</v>
      </c>
      <c r="H1072" s="149">
        <f t="shared" ca="1" si="32"/>
        <v>43985</v>
      </c>
      <c r="I1072" s="20">
        <f ca="1">_xll.meDateFromTenor(H1072,"3M","Following",$I$11,"Normal")</f>
        <v>44077</v>
      </c>
      <c r="J1072" s="150">
        <f ca="1"/>
        <v>1.7661227797382304E-2</v>
      </c>
      <c r="K1072" s="7" t="s">
        <v>4</v>
      </c>
      <c r="L1072" s="149" t="e">
        <f ca="1">_xll.meDateFromTenor(L1071,"1D","FOLLOWING",#REF!,"NORMAL")</f>
        <v>#VALUE!</v>
      </c>
      <c r="M1072" s="155">
        <f ca="1">_xll.meDateYearFraction(C1072,D1072,$M$11)</f>
        <v>2.7777777777777779E-3</v>
      </c>
      <c r="N1072" s="150">
        <f ca="1"/>
        <v>-2.4300000000065936E-3</v>
      </c>
      <c r="O1072" s="7" t="s">
        <v>4</v>
      </c>
      <c r="P1072" s="149">
        <f t="shared" ca="1" si="33"/>
        <v>43985</v>
      </c>
      <c r="Q1072" s="155">
        <f ca="1">_xll.meDateYearFraction(H1072,I1072,$Q$11,TRUE)</f>
        <v>0.25555555555555554</v>
      </c>
      <c r="R1072" s="150">
        <f ca="1">IF(NOW(),_xll.meCurveForwardRatesFromYearFraction(P1072,Q1072,$Q$11,$Q$9,$Q$10))</f>
        <v>8.8837744180805334E-4</v>
      </c>
      <c r="S1072" s="134" t="s">
        <v>4</v>
      </c>
    </row>
    <row r="1073" spans="1:19" x14ac:dyDescent="0.25">
      <c r="A1073" s="128">
        <v>1057</v>
      </c>
      <c r="B1073" s="133"/>
      <c r="C1073" s="149">
        <f ca="1">_xll.meDateFromTenor(C1072,"1D","FOLLOWING",$D$11,"NORMAL")</f>
        <v>43986</v>
      </c>
      <c r="D1073" s="20">
        <f ca="1">_xll.meDateFromTenor(C1073,"1D","Following",$D$11,"Normal")</f>
        <v>43987</v>
      </c>
      <c r="E1073" s="99">
        <f ca="1"/>
        <v>1.339843288501227E-2</v>
      </c>
      <c r="F1073" s="161">
        <f ca="1">_xll.meCurveForwardRates(C1073,$D$9,$D$10)</f>
        <v>1.3488341422561279E-2</v>
      </c>
      <c r="G1073" s="7" t="s">
        <v>4</v>
      </c>
      <c r="H1073" s="149">
        <f t="shared" ca="1" si="32"/>
        <v>43986</v>
      </c>
      <c r="I1073" s="20">
        <f ca="1">_xll.meDateFromTenor(H1073,"3M","Following",$I$11,"Normal")</f>
        <v>44078</v>
      </c>
      <c r="J1073" s="150">
        <f ca="1"/>
        <v>1.7665628068804309E-2</v>
      </c>
      <c r="K1073" s="7" t="s">
        <v>4</v>
      </c>
      <c r="L1073" s="149" t="e">
        <f ca="1">_xll.meDateFromTenor(L1072,"1D","FOLLOWING",#REF!,"NORMAL")</f>
        <v>#VALUE!</v>
      </c>
      <c r="M1073" s="155">
        <f ca="1">_xll.meDateYearFraction(C1073,D1073,$M$11)</f>
        <v>2.7777777777777779E-3</v>
      </c>
      <c r="N1073" s="150">
        <f ca="1"/>
        <v>-2.4300000000065936E-3</v>
      </c>
      <c r="O1073" s="7" t="s">
        <v>4</v>
      </c>
      <c r="P1073" s="149">
        <f t="shared" ca="1" si="33"/>
        <v>43986</v>
      </c>
      <c r="Q1073" s="155">
        <f ca="1">_xll.meDateYearFraction(H1073,I1073,$Q$11,TRUE)</f>
        <v>0.25555555555555554</v>
      </c>
      <c r="R1073" s="150">
        <f ca="1">IF(NOW(),_xll.meCurveForwardRatesFromYearFraction(P1073,Q1073,$Q$11,$Q$9,$Q$10))</f>
        <v>8.9496898390270313E-4</v>
      </c>
      <c r="S1073" s="134" t="s">
        <v>4</v>
      </c>
    </row>
    <row r="1074" spans="1:19" x14ac:dyDescent="0.25">
      <c r="A1074" s="128">
        <v>1058</v>
      </c>
      <c r="B1074" s="133"/>
      <c r="C1074" s="149">
        <f ca="1">_xll.meDateFromTenor(C1073,"1D","FOLLOWING",$D$11,"NORMAL")</f>
        <v>43987</v>
      </c>
      <c r="D1074" s="20">
        <f ca="1">_xll.meDateFromTenor(C1074,"1D","Following",$D$11,"Normal")</f>
        <v>43990</v>
      </c>
      <c r="E1074" s="99">
        <f ca="1"/>
        <v>1.340752780920984E-2</v>
      </c>
      <c r="F1074" s="161">
        <f ca="1">_xll.meCurveForwardRates(C1074,$D$9,$D$10)</f>
        <v>1.3492692843370291E-2</v>
      </c>
      <c r="G1074" s="7" t="s">
        <v>4</v>
      </c>
      <c r="H1074" s="149">
        <f t="shared" ca="1" si="32"/>
        <v>43987</v>
      </c>
      <c r="I1074" s="20">
        <f ca="1">_xll.meDateFromTenor(H1074,"3M","Following",$I$11,"Normal")</f>
        <v>44082</v>
      </c>
      <c r="J1074" s="150">
        <f ca="1"/>
        <v>1.7670016374678233E-2</v>
      </c>
      <c r="K1074" s="7" t="s">
        <v>4</v>
      </c>
      <c r="L1074" s="149" t="e">
        <f ca="1">_xll.meDateFromTenor(L1073,"1D","FOLLOWING",#REF!,"NORMAL")</f>
        <v>#VALUE!</v>
      </c>
      <c r="M1074" s="155">
        <f ca="1">_xll.meDateYearFraction(C1074,D1074,$M$11)</f>
        <v>8.3333333333333332E-3</v>
      </c>
      <c r="N1074" s="150">
        <f ca="1"/>
        <v>-2.4300000000065936E-3</v>
      </c>
      <c r="O1074" s="7" t="s">
        <v>4</v>
      </c>
      <c r="P1074" s="149">
        <f t="shared" ca="1" si="33"/>
        <v>43987</v>
      </c>
      <c r="Q1074" s="155">
        <f ca="1">_xll.meDateYearFraction(H1074,I1074,$Q$11,TRUE)</f>
        <v>0.2638888888888889</v>
      </c>
      <c r="R1074" s="150">
        <f ca="1">IF(NOW(),_xll.meCurveForwardRatesFromYearFraction(P1074,Q1074,$Q$11,$Q$9,$Q$10))</f>
        <v>-3.7175485397107962E-3</v>
      </c>
      <c r="S1074" s="134" t="s">
        <v>4</v>
      </c>
    </row>
    <row r="1075" spans="1:19" x14ac:dyDescent="0.25">
      <c r="A1075" s="128">
        <v>1059</v>
      </c>
      <c r="B1075" s="133"/>
      <c r="C1075" s="149">
        <f ca="1">_xll.meDateFromTenor(C1074,"1D","FOLLOWING",$D$11,"NORMAL")</f>
        <v>43990</v>
      </c>
      <c r="D1075" s="20">
        <f ca="1">_xll.meDateFromTenor(C1075,"1D","Following",$D$11,"Normal")</f>
        <v>43991</v>
      </c>
      <c r="E1075" s="99">
        <f ca="1"/>
        <v>1.3415644868290916E-2</v>
      </c>
      <c r="F1075" s="161">
        <f ca="1">_xll.meCurveForwardRates(C1075,$D$9,$D$10)</f>
        <v>1.3505785067434051E-2</v>
      </c>
      <c r="G1075" s="7" t="s">
        <v>4</v>
      </c>
      <c r="H1075" s="149">
        <f t="shared" ca="1" si="32"/>
        <v>43990</v>
      </c>
      <c r="I1075" s="20">
        <f ca="1">_xll.meDateFromTenor(H1075,"3M","Following",$I$11,"Normal")</f>
        <v>44082</v>
      </c>
      <c r="J1075" s="150">
        <f ca="1"/>
        <v>1.7683110321841344E-2</v>
      </c>
      <c r="K1075" s="7" t="s">
        <v>4</v>
      </c>
      <c r="L1075" s="149" t="e">
        <f ca="1">_xll.meDateFromTenor(L1074,"1D","FOLLOWING",#REF!,"NORMAL")</f>
        <v>#VALUE!</v>
      </c>
      <c r="M1075" s="155">
        <f ca="1">_xll.meDateYearFraction(C1075,D1075,$M$11)</f>
        <v>2.7777777777777779E-3</v>
      </c>
      <c r="N1075" s="150">
        <f ca="1"/>
        <v>-2.4300000000065936E-3</v>
      </c>
      <c r="O1075" s="7" t="s">
        <v>4</v>
      </c>
      <c r="P1075" s="149">
        <f t="shared" ca="1" si="33"/>
        <v>43990</v>
      </c>
      <c r="Q1075" s="155">
        <f ca="1">_xll.meDateYearFraction(H1075,I1075,$Q$11,TRUE)</f>
        <v>0.25555555555555554</v>
      </c>
      <c r="R1075" s="150">
        <f ca="1">IF(NOW(),_xll.meCurveForwardRatesFromYearFraction(P1075,Q1075,$Q$11,$Q$9,$Q$10))</f>
        <v>-3.7175485397107962E-3</v>
      </c>
      <c r="S1075" s="134" t="s">
        <v>4</v>
      </c>
    </row>
    <row r="1076" spans="1:19" x14ac:dyDescent="0.25">
      <c r="A1076" s="128">
        <v>1060</v>
      </c>
      <c r="B1076" s="133"/>
      <c r="C1076" s="149">
        <f ca="1">_xll.meDateFromTenor(C1075,"1D","FOLLOWING",$D$11,"NORMAL")</f>
        <v>43991</v>
      </c>
      <c r="D1076" s="20">
        <f ca="1">_xll.meDateFromTenor(C1076,"1D","Following",$D$11,"Normal")</f>
        <v>43992</v>
      </c>
      <c r="E1076" s="99">
        <f ca="1"/>
        <v>1.3419963428915728E-2</v>
      </c>
      <c r="F1076" s="161">
        <f ca="1">_xll.meCurveForwardRates(C1076,$D$9,$D$10)</f>
        <v>1.3510161799932918E-2</v>
      </c>
      <c r="G1076" s="7" t="s">
        <v>4</v>
      </c>
      <c r="H1076" s="149">
        <f t="shared" ca="1" si="32"/>
        <v>43991</v>
      </c>
      <c r="I1076" s="20">
        <f ca="1">_xll.meDateFromTenor(H1076,"3M","Following",$I$11,"Normal")</f>
        <v>44083</v>
      </c>
      <c r="J1076" s="150">
        <f ca="1"/>
        <v>1.7687451588352755E-2</v>
      </c>
      <c r="K1076" s="7" t="s">
        <v>4</v>
      </c>
      <c r="L1076" s="149" t="e">
        <f ca="1">_xll.meDateFromTenor(L1075,"1D","FOLLOWING",#REF!,"NORMAL")</f>
        <v>#VALUE!</v>
      </c>
      <c r="M1076" s="155">
        <f ca="1">_xll.meDateYearFraction(C1076,D1076,$M$11)</f>
        <v>2.7777777777777779E-3</v>
      </c>
      <c r="N1076" s="150">
        <f ca="1"/>
        <v>-2.4300000000065936E-3</v>
      </c>
      <c r="O1076" s="7" t="s">
        <v>4</v>
      </c>
      <c r="P1076" s="149">
        <f t="shared" ca="1" si="33"/>
        <v>43991</v>
      </c>
      <c r="Q1076" s="155">
        <f ca="1">_xll.meDateYearFraction(H1076,I1076,$Q$11,TRUE)</f>
        <v>0.25555555555555554</v>
      </c>
      <c r="R1076" s="150">
        <f ca="1">IF(NOW(),_xll.meCurveForwardRatesFromYearFraction(P1076,Q1076,$Q$11,$Q$9,$Q$10))</f>
        <v>-3.7175485397107962E-3</v>
      </c>
      <c r="S1076" s="134" t="s">
        <v>4</v>
      </c>
    </row>
    <row r="1077" spans="1:19" x14ac:dyDescent="0.25">
      <c r="A1077" s="128">
        <v>1061</v>
      </c>
      <c r="B1077" s="133"/>
      <c r="C1077" s="149">
        <f ca="1">_xll.meDateFromTenor(C1076,"1D","FOLLOWING",$D$11,"NORMAL")</f>
        <v>43992</v>
      </c>
      <c r="D1077" s="20">
        <f ca="1">_xll.meDateFromTenor(C1077,"1D","Following",$D$11,"Normal")</f>
        <v>43993</v>
      </c>
      <c r="E1077" s="99">
        <f ca="1"/>
        <v>1.3424288217447318E-2</v>
      </c>
      <c r="F1077" s="161">
        <f ca="1">_xll.meCurveForwardRates(C1077,$D$9,$D$10)</f>
        <v>1.3514544863118427E-2</v>
      </c>
      <c r="G1077" s="7" t="s">
        <v>4</v>
      </c>
      <c r="H1077" s="149">
        <f t="shared" ca="1" si="32"/>
        <v>43992</v>
      </c>
      <c r="I1077" s="20">
        <f ca="1">_xll.meDateFromTenor(H1077,"3M","Following",$I$11,"Normal")</f>
        <v>44084</v>
      </c>
      <c r="J1077" s="150">
        <f ca="1"/>
        <v>1.7691781300730978E-2</v>
      </c>
      <c r="K1077" s="7" t="s">
        <v>4</v>
      </c>
      <c r="L1077" s="149" t="e">
        <f ca="1">_xll.meDateFromTenor(L1076,"1D","FOLLOWING",#REF!,"NORMAL")</f>
        <v>#VALUE!</v>
      </c>
      <c r="M1077" s="155">
        <f ca="1">_xll.meDateYearFraction(C1077,D1077,$M$11)</f>
        <v>2.7777777777777779E-3</v>
      </c>
      <c r="N1077" s="150">
        <f ca="1"/>
        <v>-2.4300000000065936E-3</v>
      </c>
      <c r="O1077" s="7" t="s">
        <v>4</v>
      </c>
      <c r="P1077" s="149">
        <f t="shared" ca="1" si="33"/>
        <v>43992</v>
      </c>
      <c r="Q1077" s="155">
        <f ca="1">_xll.meDateYearFraction(H1077,I1077,$Q$11,TRUE)</f>
        <v>0.25555555555555554</v>
      </c>
      <c r="R1077" s="150">
        <f ca="1">IF(NOW(),_xll.meCurveForwardRatesFromYearFraction(P1077,Q1077,$Q$11,$Q$9,$Q$10))</f>
        <v>9.3459020334208428E-4</v>
      </c>
      <c r="S1077" s="134" t="s">
        <v>4</v>
      </c>
    </row>
    <row r="1078" spans="1:19" x14ac:dyDescent="0.25">
      <c r="A1078" s="128">
        <v>1062</v>
      </c>
      <c r="B1078" s="133"/>
      <c r="C1078" s="149">
        <f ca="1">_xll.meDateFromTenor(C1077,"1D","FOLLOWING",$D$11,"NORMAL")</f>
        <v>43993</v>
      </c>
      <c r="D1078" s="20">
        <f ca="1">_xll.meDateFromTenor(C1078,"1D","Following",$D$11,"Normal")</f>
        <v>43994</v>
      </c>
      <c r="E1078" s="99">
        <f ca="1"/>
        <v>1.3428619235147498E-2</v>
      </c>
      <c r="F1078" s="161">
        <f ca="1">_xll.meCurveForwardRates(C1078,$D$9,$D$10)</f>
        <v>1.3518934258351267E-2</v>
      </c>
      <c r="G1078" s="7" t="s">
        <v>4</v>
      </c>
      <c r="H1078" s="149">
        <f t="shared" ca="1" si="32"/>
        <v>43993</v>
      </c>
      <c r="I1078" s="20">
        <f ca="1">_xll.meDateFromTenor(H1078,"3M","Following",$I$11,"Normal")</f>
        <v>44085</v>
      </c>
      <c r="J1078" s="150">
        <f ca="1"/>
        <v>1.7696099541258996E-2</v>
      </c>
      <c r="K1078" s="7" t="s">
        <v>4</v>
      </c>
      <c r="L1078" s="149" t="e">
        <f ca="1">_xll.meDateFromTenor(L1077,"1D","FOLLOWING",#REF!,"NORMAL")</f>
        <v>#VALUE!</v>
      </c>
      <c r="M1078" s="155">
        <f ca="1">_xll.meDateYearFraction(C1078,D1078,$M$11)</f>
        <v>2.7777777777777779E-3</v>
      </c>
      <c r="N1078" s="150">
        <f ca="1"/>
        <v>-2.4300000000065936E-3</v>
      </c>
      <c r="O1078" s="7" t="s">
        <v>4</v>
      </c>
      <c r="P1078" s="149">
        <f t="shared" ca="1" si="33"/>
        <v>43993</v>
      </c>
      <c r="Q1078" s="155">
        <f ca="1">_xll.meDateYearFraction(H1078,I1078,$Q$11,TRUE)</f>
        <v>0.25555555555555554</v>
      </c>
      <c r="R1078" s="150">
        <f ca="1">IF(NOW(),_xll.meCurveForwardRatesFromYearFraction(P1078,Q1078,$Q$11,$Q$9,$Q$10))</f>
        <v>-3.7175485397107962E-3</v>
      </c>
      <c r="S1078" s="134" t="s">
        <v>4</v>
      </c>
    </row>
    <row r="1079" spans="1:19" x14ac:dyDescent="0.25">
      <c r="A1079" s="128">
        <v>1063</v>
      </c>
      <c r="B1079" s="133"/>
      <c r="C1079" s="149">
        <f ca="1">_xll.meDateFromTenor(C1078,"1D","FOLLOWING",$D$11,"NORMAL")</f>
        <v>43994</v>
      </c>
      <c r="D1079" s="20">
        <f ca="1">_xll.meDateFromTenor(C1079,"1D","Following",$D$11,"Normal")</f>
        <v>43997</v>
      </c>
      <c r="E1079" s="99">
        <f ca="1"/>
        <v>1.3437803603907781E-2</v>
      </c>
      <c r="F1079" s="161">
        <f ca="1">_xll.meCurveForwardRates(C1079,$D$9,$D$10)</f>
        <v>1.3523329986536492E-2</v>
      </c>
      <c r="G1079" s="7" t="s">
        <v>4</v>
      </c>
      <c r="H1079" s="149">
        <f t="shared" ca="1" si="32"/>
        <v>43994</v>
      </c>
      <c r="I1079" s="20">
        <f ca="1">_xll.meDateFromTenor(H1079,"3M","Following",$I$11,"Normal")</f>
        <v>44088</v>
      </c>
      <c r="J1079" s="150">
        <f ca="1"/>
        <v>1.770040639221979E-2</v>
      </c>
      <c r="K1079" s="7" t="s">
        <v>4</v>
      </c>
      <c r="L1079" s="149" t="e">
        <f ca="1">_xll.meDateFromTenor(L1078,"1D","FOLLOWING",#REF!,"NORMAL")</f>
        <v>#VALUE!</v>
      </c>
      <c r="M1079" s="155">
        <f ca="1">_xll.meDateYearFraction(C1079,D1079,$M$11)</f>
        <v>8.3333333333333332E-3</v>
      </c>
      <c r="N1079" s="150">
        <f ca="1"/>
        <v>-2.4300000000065936E-3</v>
      </c>
      <c r="O1079" s="7" t="s">
        <v>4</v>
      </c>
      <c r="P1079" s="149">
        <f t="shared" ca="1" si="33"/>
        <v>43994</v>
      </c>
      <c r="Q1079" s="155">
        <f ca="1">_xll.meDateYearFraction(H1079,I1079,$Q$11,TRUE)</f>
        <v>0.26111111111111113</v>
      </c>
      <c r="R1079" s="150">
        <f ca="1">IF(NOW(),_xll.meCurveForwardRatesFromYearFraction(P1079,Q1079,$Q$11,$Q$9,$Q$10))</f>
        <v>-3.7175485397107962E-3</v>
      </c>
      <c r="S1079" s="134" t="s">
        <v>4</v>
      </c>
    </row>
    <row r="1080" spans="1:19" x14ac:dyDescent="0.25">
      <c r="A1080" s="128">
        <v>1064</v>
      </c>
      <c r="B1080" s="133"/>
      <c r="C1080" s="149">
        <f ca="1">_xll.meDateFromTenor(C1079,"1D","FOLLOWING",$D$11,"NORMAL")</f>
        <v>43997</v>
      </c>
      <c r="D1080" s="20">
        <f ca="1">_xll.meDateFromTenor(C1080,"1D","Following",$D$11,"Normal")</f>
        <v>43998</v>
      </c>
      <c r="E1080" s="99">
        <f ca="1"/>
        <v>1.3446005617245826E-2</v>
      </c>
      <c r="F1080" s="161">
        <f ca="1">_xll.meCurveForwardRates(C1080,$D$9,$D$10)</f>
        <v>1.3536555181271615E-2</v>
      </c>
      <c r="G1080" s="7" t="s">
        <v>4</v>
      </c>
      <c r="H1080" s="149">
        <f t="shared" ca="1" si="32"/>
        <v>43997</v>
      </c>
      <c r="I1080" s="20">
        <f ca="1">_xll.meDateFromTenor(H1080,"3M","Following",$I$11,"Normal")</f>
        <v>44089</v>
      </c>
      <c r="J1080" s="150">
        <f ca="1"/>
        <v>1.771325943052858E-2</v>
      </c>
      <c r="K1080" s="7" t="s">
        <v>4</v>
      </c>
      <c r="L1080" s="149" t="e">
        <f ca="1">_xll.meDateFromTenor(L1079,"1D","FOLLOWING",#REF!,"NORMAL")</f>
        <v>#VALUE!</v>
      </c>
      <c r="M1080" s="155">
        <f ca="1">_xll.meDateYearFraction(C1080,D1080,$M$11)</f>
        <v>2.7777777777777779E-3</v>
      </c>
      <c r="N1080" s="150">
        <f ca="1"/>
        <v>-2.4300000000065936E-3</v>
      </c>
      <c r="O1080" s="7" t="s">
        <v>4</v>
      </c>
      <c r="P1080" s="149">
        <f t="shared" ca="1" si="33"/>
        <v>43997</v>
      </c>
      <c r="Q1080" s="155">
        <f ca="1">_xll.meDateYearFraction(H1080,I1080,$Q$11,TRUE)</f>
        <v>0.25555555555555554</v>
      </c>
      <c r="R1080" s="150">
        <f ca="1">IF(NOW(),_xll.meCurveForwardRatesFromYearFraction(P1080,Q1080,$Q$11,$Q$9,$Q$10))</f>
        <v>9.6769955991029741E-4</v>
      </c>
      <c r="S1080" s="134" t="s">
        <v>4</v>
      </c>
    </row>
    <row r="1081" spans="1:19" x14ac:dyDescent="0.25">
      <c r="A1081" s="128">
        <v>1065</v>
      </c>
      <c r="B1081" s="133"/>
      <c r="C1081" s="149">
        <f ca="1">_xll.meDateFromTenor(C1080,"1D","FOLLOWING",$D$11,"NORMAL")</f>
        <v>43998</v>
      </c>
      <c r="D1081" s="20">
        <f ca="1">_xll.meDateFromTenor(C1081,"1D","Following",$D$11,"Normal")</f>
        <v>43999</v>
      </c>
      <c r="E1081" s="99">
        <f ca="1"/>
        <v>1.3450367795859848E-2</v>
      </c>
      <c r="F1081" s="161">
        <f ca="1">_xll.meCurveForwardRates(C1081,$D$9,$D$10)</f>
        <v>1.3540976253245907E-2</v>
      </c>
      <c r="G1081" s="7" t="s">
        <v>4</v>
      </c>
      <c r="H1081" s="149">
        <f t="shared" ca="1" si="32"/>
        <v>43998</v>
      </c>
      <c r="I1081" s="20">
        <f ca="1">_xll.meDateFromTenor(H1081,"3M","Following",$I$11,"Normal")</f>
        <v>44090</v>
      </c>
      <c r="J1081" s="150">
        <f ca="1"/>
        <v>1.7717521546050247E-2</v>
      </c>
      <c r="K1081" s="7" t="s">
        <v>4</v>
      </c>
      <c r="L1081" s="149" t="e">
        <f ca="1">_xll.meDateFromTenor(L1080,"1D","FOLLOWING",#REF!,"NORMAL")</f>
        <v>#VALUE!</v>
      </c>
      <c r="M1081" s="155">
        <f ca="1">_xll.meDateYearFraction(C1081,D1081,$M$11)</f>
        <v>2.7777777777777779E-3</v>
      </c>
      <c r="N1081" s="150">
        <f ca="1"/>
        <v>-2.4300000000065936E-3</v>
      </c>
      <c r="O1081" s="7" t="s">
        <v>4</v>
      </c>
      <c r="P1081" s="149">
        <f t="shared" ca="1" si="33"/>
        <v>43998</v>
      </c>
      <c r="Q1081" s="155">
        <f ca="1">_xll.meDateYearFraction(H1081,I1081,$Q$11,TRUE)</f>
        <v>0.25555555555555554</v>
      </c>
      <c r="R1081" s="150">
        <f ca="1">IF(NOW(),_xll.meCurveForwardRatesFromYearFraction(P1081,Q1081,$Q$11,$Q$9,$Q$10))</f>
        <v>9.743311517772925E-4</v>
      </c>
      <c r="S1081" s="134" t="s">
        <v>4</v>
      </c>
    </row>
    <row r="1082" spans="1:19" x14ac:dyDescent="0.25">
      <c r="A1082" s="128">
        <v>1066</v>
      </c>
      <c r="B1082" s="133"/>
      <c r="C1082" s="149">
        <f ca="1">_xll.meDateFromTenor(C1081,"1D","FOLLOWING",$D$11,"NORMAL")</f>
        <v>43999</v>
      </c>
      <c r="D1082" s="20">
        <f ca="1">_xll.meDateFromTenor(C1082,"1D","Following",$D$11,"Normal")</f>
        <v>44000</v>
      </c>
      <c r="E1082" s="99">
        <f ca="1"/>
        <v>1.3454736209894659E-2</v>
      </c>
      <c r="F1082" s="161">
        <f ca="1">_xll.meCurveForwardRates(C1082,$D$9,$D$10)</f>
        <v>1.35454036640974E-2</v>
      </c>
      <c r="G1082" s="7" t="s">
        <v>4</v>
      </c>
      <c r="H1082" s="149">
        <f t="shared" ca="1" si="32"/>
        <v>43999</v>
      </c>
      <c r="I1082" s="20">
        <f ca="1">_xll.meDateFromTenor(H1082,"3M","Following",$I$11,"Normal")</f>
        <v>44091</v>
      </c>
      <c r="J1082" s="150">
        <f ca="1"/>
        <v>1.7721772683419575E-2</v>
      </c>
      <c r="K1082" s="7" t="s">
        <v>4</v>
      </c>
      <c r="L1082" s="149" t="e">
        <f ca="1">_xll.meDateFromTenor(L1081,"1D","FOLLOWING",#REF!,"NORMAL")</f>
        <v>#VALUE!</v>
      </c>
      <c r="M1082" s="155">
        <f ca="1">_xll.meDateYearFraction(C1082,D1082,$M$11)</f>
        <v>2.7777777777777779E-3</v>
      </c>
      <c r="N1082" s="150">
        <f ca="1"/>
        <v>-2.4300000000065936E-3</v>
      </c>
      <c r="O1082" s="7" t="s">
        <v>4</v>
      </c>
      <c r="P1082" s="149">
        <f t="shared" ca="1" si="33"/>
        <v>43999</v>
      </c>
      <c r="Q1082" s="155">
        <f ca="1">_xll.meDateYearFraction(H1082,I1082,$Q$11,TRUE)</f>
        <v>0.25555555555555554</v>
      </c>
      <c r="R1082" s="150">
        <f ca="1">IF(NOW(),_xll.meCurveForwardRatesFromYearFraction(P1082,Q1082,$Q$11,$Q$9,$Q$10))</f>
        <v>-3.7175485397107962E-3</v>
      </c>
      <c r="S1082" s="134" t="s">
        <v>4</v>
      </c>
    </row>
    <row r="1083" spans="1:19" x14ac:dyDescent="0.25">
      <c r="A1083" s="128">
        <v>1067</v>
      </c>
      <c r="B1083" s="133"/>
      <c r="C1083" s="149">
        <f ca="1">_xll.meDateFromTenor(C1082,"1D","FOLLOWING",$D$11,"NORMAL")</f>
        <v>44000</v>
      </c>
      <c r="D1083" s="20">
        <f ca="1">_xll.meDateFromTenor(C1083,"1D","Following",$D$11,"Normal")</f>
        <v>44001</v>
      </c>
      <c r="E1083" s="99">
        <f ca="1"/>
        <v>1.3459110860372219E-2</v>
      </c>
      <c r="F1083" s="161">
        <f ca="1">_xll.meCurveForwardRates(C1083,$D$9,$D$10)</f>
        <v>1.3549837414944532E-2</v>
      </c>
      <c r="G1083" s="7" t="s">
        <v>4</v>
      </c>
      <c r="H1083" s="149">
        <f t="shared" ca="1" si="32"/>
        <v>44000</v>
      </c>
      <c r="I1083" s="20">
        <f ca="1">_xll.meDateFromTenor(H1083,"3M","Following",$I$11,"Normal")</f>
        <v>44092</v>
      </c>
      <c r="J1083" s="150">
        <f ca="1"/>
        <v>1.772601292491954E-2</v>
      </c>
      <c r="K1083" s="7" t="s">
        <v>4</v>
      </c>
      <c r="L1083" s="149" t="e">
        <f ca="1">_xll.meDateFromTenor(L1082,"1D","FOLLOWING",#REF!,"NORMAL")</f>
        <v>#VALUE!</v>
      </c>
      <c r="M1083" s="155">
        <f ca="1">_xll.meDateYearFraction(C1083,D1083,$M$11)</f>
        <v>2.7777777777777779E-3</v>
      </c>
      <c r="N1083" s="150">
        <f ca="1"/>
        <v>-2.4300000000065936E-3</v>
      </c>
      <c r="O1083" s="7" t="s">
        <v>4</v>
      </c>
      <c r="P1083" s="149">
        <f t="shared" ca="1" si="33"/>
        <v>44000</v>
      </c>
      <c r="Q1083" s="155">
        <f ca="1">_xll.meDateYearFraction(H1083,I1083,$Q$11,TRUE)</f>
        <v>0.25555555555555554</v>
      </c>
      <c r="R1083" s="150">
        <f ca="1">IF(NOW(),_xll.meCurveForwardRatesFromYearFraction(P1083,Q1083,$Q$11,$Q$9,$Q$10))</f>
        <v>9.8760386925520719E-4</v>
      </c>
      <c r="S1083" s="134" t="s">
        <v>4</v>
      </c>
    </row>
    <row r="1084" spans="1:19" x14ac:dyDescent="0.25">
      <c r="A1084" s="128">
        <v>1068</v>
      </c>
      <c r="B1084" s="133"/>
      <c r="C1084" s="149">
        <f ca="1">_xll.meDateFromTenor(C1083,"1D","FOLLOWING",$D$11,"NORMAL")</f>
        <v>44001</v>
      </c>
      <c r="D1084" s="20">
        <f ca="1">_xll.meDateFromTenor(C1084,"1D","Following",$D$11,"Normal")</f>
        <v>44004</v>
      </c>
      <c r="E1084" s="99">
        <f ca="1"/>
        <v>1.3468384804840793E-2</v>
      </c>
      <c r="F1084" s="161">
        <f ca="1">_xll.meCurveForwardRates(C1084,$D$9,$D$10)</f>
        <v>1.3554277506859558E-2</v>
      </c>
      <c r="G1084" s="7" t="s">
        <v>4</v>
      </c>
      <c r="H1084" s="149">
        <f t="shared" ca="1" si="32"/>
        <v>44001</v>
      </c>
      <c r="I1084" s="20">
        <f ca="1">_xll.meDateFromTenor(H1084,"3M","Following",$I$11,"Normal")</f>
        <v>44095</v>
      </c>
      <c r="J1084" s="150">
        <f ca="1"/>
        <v>1.7730242352833131E-2</v>
      </c>
      <c r="K1084" s="7" t="s">
        <v>4</v>
      </c>
      <c r="L1084" s="149" t="e">
        <f ca="1">_xll.meDateFromTenor(L1083,"1D","FOLLOWING",#REF!,"NORMAL")</f>
        <v>#VALUE!</v>
      </c>
      <c r="M1084" s="155">
        <f ca="1">_xll.meDateYearFraction(C1084,D1084,$M$11)</f>
        <v>8.3333333333333332E-3</v>
      </c>
      <c r="N1084" s="150">
        <f ca="1"/>
        <v>-2.4300000000065936E-3</v>
      </c>
      <c r="O1084" s="7" t="s">
        <v>4</v>
      </c>
      <c r="P1084" s="149">
        <f t="shared" ca="1" si="33"/>
        <v>44001</v>
      </c>
      <c r="Q1084" s="155">
        <f ca="1">_xll.meDateYearFraction(H1084,I1084,$Q$11,TRUE)</f>
        <v>0.26111111111111113</v>
      </c>
      <c r="R1084" s="150">
        <f ca="1">IF(NOW(),_xll.meCurveForwardRatesFromYearFraction(P1084,Q1084,$Q$11,$Q$9,$Q$10))</f>
        <v>-3.7175485397107962E-3</v>
      </c>
      <c r="S1084" s="134" t="s">
        <v>4</v>
      </c>
    </row>
    <row r="1085" spans="1:19" x14ac:dyDescent="0.25">
      <c r="A1085" s="128">
        <v>1069</v>
      </c>
      <c r="B1085" s="133"/>
      <c r="C1085" s="149">
        <f ca="1">_xll.meDateFromTenor(C1084,"1D","FOLLOWING",$D$11,"NORMAL")</f>
        <v>44004</v>
      </c>
      <c r="D1085" s="20">
        <f ca="1">_xll.meDateFromTenor(C1085,"1D","Following",$D$11,"Normal")</f>
        <v>44005</v>
      </c>
      <c r="E1085" s="99">
        <f ca="1"/>
        <v>1.3476671847596603E-2</v>
      </c>
      <c r="F1085" s="161">
        <f ca="1">_xll.meCurveForwardRates(C1085,$D$9,$D$10)</f>
        <v>1.3567635841115644E-2</v>
      </c>
      <c r="G1085" s="7" t="s">
        <v>4</v>
      </c>
      <c r="H1085" s="149">
        <f t="shared" ca="1" si="32"/>
        <v>44004</v>
      </c>
      <c r="I1085" s="20">
        <f ca="1">_xll.meDateFromTenor(H1085,"3M","Following",$I$11,"Normal")</f>
        <v>44096</v>
      </c>
      <c r="J1085" s="150">
        <f ca="1"/>
        <v>1.7742866577885402E-2</v>
      </c>
      <c r="K1085" s="7" t="s">
        <v>4</v>
      </c>
      <c r="L1085" s="149" t="e">
        <f ca="1">_xll.meDateFromTenor(L1084,"1D","FOLLOWING",#REF!,"NORMAL")</f>
        <v>#VALUE!</v>
      </c>
      <c r="M1085" s="155">
        <f ca="1">_xll.meDateYearFraction(C1085,D1085,$M$11)</f>
        <v>2.7777777777777779E-3</v>
      </c>
      <c r="N1085" s="150">
        <f ca="1"/>
        <v>-2.4300000000065936E-3</v>
      </c>
      <c r="O1085" s="7" t="s">
        <v>4</v>
      </c>
      <c r="P1085" s="149">
        <f t="shared" ca="1" si="33"/>
        <v>44004</v>
      </c>
      <c r="Q1085" s="155">
        <f ca="1">_xll.meDateYearFraction(H1085,I1085,$Q$11,TRUE)</f>
        <v>0.25555555555555554</v>
      </c>
      <c r="R1085" s="150">
        <f ca="1">IF(NOW(),_xll.meCurveForwardRatesFromYearFraction(P1085,Q1085,$Q$11,$Q$9,$Q$10))</f>
        <v>1.0141867853537343E-3</v>
      </c>
      <c r="S1085" s="134" t="s">
        <v>4</v>
      </c>
    </row>
    <row r="1086" spans="1:19" x14ac:dyDescent="0.25">
      <c r="A1086" s="128">
        <v>1070</v>
      </c>
      <c r="B1086" s="133"/>
      <c r="C1086" s="149">
        <f ca="1">_xll.meDateFromTenor(C1085,"1D","FOLLOWING",$D$11,"NORMAL")</f>
        <v>44005</v>
      </c>
      <c r="D1086" s="20">
        <f ca="1">_xll.meDateFromTenor(C1086,"1D","Following",$D$11,"Normal")</f>
        <v>44006</v>
      </c>
      <c r="E1086" s="99">
        <f ca="1"/>
        <v>1.348107769600702E-2</v>
      </c>
      <c r="F1086" s="161">
        <f ca="1">_xll.meCurveForwardRates(C1086,$D$9,$D$10)</f>
        <v>1.3572101309117013E-2</v>
      </c>
      <c r="G1086" s="7" t="s">
        <v>4</v>
      </c>
      <c r="H1086" s="149">
        <f t="shared" ca="1" si="32"/>
        <v>44005</v>
      </c>
      <c r="I1086" s="20">
        <f ca="1">_xll.meDateFromTenor(H1086,"3M","Following",$I$11,"Normal")</f>
        <v>44097</v>
      </c>
      <c r="J1086" s="150">
        <f ca="1"/>
        <v>1.7747053574283255E-2</v>
      </c>
      <c r="K1086" s="7" t="s">
        <v>4</v>
      </c>
      <c r="L1086" s="149" t="e">
        <f ca="1">_xll.meDateFromTenor(L1085,"1D","FOLLOWING",#REF!,"NORMAL")</f>
        <v>#VALUE!</v>
      </c>
      <c r="M1086" s="155">
        <f ca="1">_xll.meDateYearFraction(C1086,D1086,$M$11)</f>
        <v>2.7777777777777779E-3</v>
      </c>
      <c r="N1086" s="150">
        <f ca="1"/>
        <v>-2.4300000000065936E-3</v>
      </c>
      <c r="O1086" s="7" t="s">
        <v>4</v>
      </c>
      <c r="P1086" s="149">
        <f t="shared" ca="1" si="33"/>
        <v>44005</v>
      </c>
      <c r="Q1086" s="155">
        <f ca="1">_xll.meDateYearFraction(H1086,I1086,$Q$11,TRUE)</f>
        <v>0.25555555555555554</v>
      </c>
      <c r="R1086" s="150">
        <f ca="1">IF(NOW(),_xll.meCurveForwardRatesFromYearFraction(P1086,Q1086,$Q$11,$Q$9,$Q$10))</f>
        <v>1.0208401867345506E-3</v>
      </c>
      <c r="S1086" s="134" t="s">
        <v>4</v>
      </c>
    </row>
    <row r="1087" spans="1:19" x14ac:dyDescent="0.25">
      <c r="A1087" s="128">
        <v>1071</v>
      </c>
      <c r="B1087" s="133"/>
      <c r="C1087" s="149">
        <f ca="1">_xll.meDateFromTenor(C1086,"1D","FOLLOWING",$D$11,"NORMAL")</f>
        <v>44006</v>
      </c>
      <c r="D1087" s="20">
        <f ca="1">_xll.meDateFromTenor(C1087,"1D","Following",$D$11,"Normal")</f>
        <v>44007</v>
      </c>
      <c r="E1087" s="99">
        <f ca="1"/>
        <v>1.3485489787175122E-2</v>
      </c>
      <c r="F1087" s="161">
        <f ca="1">_xll.meCurveForwardRates(C1087,$D$9,$D$10)</f>
        <v>1.3576573124012947E-2</v>
      </c>
      <c r="G1087" s="7" t="s">
        <v>4</v>
      </c>
      <c r="H1087" s="149">
        <f t="shared" ca="1" si="32"/>
        <v>44006</v>
      </c>
      <c r="I1087" s="20">
        <f ca="1">_xll.meDateFromTenor(H1087,"3M","Following",$I$11,"Normal")</f>
        <v>44098</v>
      </c>
      <c r="J1087" s="150">
        <f ca="1"/>
        <v>1.7751230168509623E-2</v>
      </c>
      <c r="K1087" s="7" t="s">
        <v>4</v>
      </c>
      <c r="L1087" s="149" t="e">
        <f ca="1">_xll.meDateFromTenor(L1086,"1D","FOLLOWING",#REF!,"NORMAL")</f>
        <v>#VALUE!</v>
      </c>
      <c r="M1087" s="155">
        <f ca="1">_xll.meDateYearFraction(C1087,D1087,$M$11)</f>
        <v>2.7777777777777779E-3</v>
      </c>
      <c r="N1087" s="150">
        <f ca="1"/>
        <v>-2.4300000000065936E-3</v>
      </c>
      <c r="O1087" s="7" t="s">
        <v>4</v>
      </c>
      <c r="P1087" s="149">
        <f t="shared" ca="1" si="33"/>
        <v>44006</v>
      </c>
      <c r="Q1087" s="155">
        <f ca="1">_xll.meDateYearFraction(H1087,I1087,$Q$11,TRUE)</f>
        <v>0.25555555555555554</v>
      </c>
      <c r="R1087" s="150">
        <f ca="1">IF(NOW(),_xll.meCurveForwardRatesFromYearFraction(P1087,Q1087,$Q$11,$Q$9,$Q$10))</f>
        <v>-3.7175485397107962E-3</v>
      </c>
      <c r="S1087" s="134" t="s">
        <v>4</v>
      </c>
    </row>
    <row r="1088" spans="1:19" x14ac:dyDescent="0.25">
      <c r="A1088" s="128">
        <v>1072</v>
      </c>
      <c r="B1088" s="133"/>
      <c r="C1088" s="149">
        <f ca="1">_xll.meDateFromTenor(C1087,"1D","FOLLOWING",$D$11,"NORMAL")</f>
        <v>44007</v>
      </c>
      <c r="D1088" s="20">
        <f ca="1">_xll.meDateFromTenor(C1088,"1D","Following",$D$11,"Normal")</f>
        <v>44008</v>
      </c>
      <c r="E1088" s="99">
        <f ca="1"/>
        <v>1.3489908122237255E-2</v>
      </c>
      <c r="F1088" s="161">
        <f ca="1">_xll.meCurveForwardRates(C1088,$D$9,$D$10)</f>
        <v>1.3581051287039125E-2</v>
      </c>
      <c r="G1088" s="7" t="s">
        <v>4</v>
      </c>
      <c r="H1088" s="149">
        <f t="shared" ca="1" si="32"/>
        <v>44007</v>
      </c>
      <c r="I1088" s="20">
        <f ca="1">_xll.meDateFromTenor(H1088,"3M","Following",$I$11,"Normal")</f>
        <v>44099</v>
      </c>
      <c r="J1088" s="150">
        <f ca="1"/>
        <v>1.7755396442847474E-2</v>
      </c>
      <c r="K1088" s="7" t="s">
        <v>4</v>
      </c>
      <c r="L1088" s="149" t="e">
        <f ca="1">_xll.meDateFromTenor(L1087,"1D","FOLLOWING",#REF!,"NORMAL")</f>
        <v>#VALUE!</v>
      </c>
      <c r="M1088" s="155">
        <f ca="1">_xll.meDateYearFraction(C1088,D1088,$M$11)</f>
        <v>2.7777777777777779E-3</v>
      </c>
      <c r="N1088" s="150">
        <f ca="1"/>
        <v>-2.4300000000065936E-3</v>
      </c>
      <c r="O1088" s="7" t="s">
        <v>4</v>
      </c>
      <c r="P1088" s="149">
        <f t="shared" ca="1" si="33"/>
        <v>44007</v>
      </c>
      <c r="Q1088" s="155">
        <f ca="1">_xll.meDateYearFraction(H1088,I1088,$Q$11,TRUE)</f>
        <v>0.25555555555555554</v>
      </c>
      <c r="R1088" s="150">
        <f ca="1">IF(NOW(),_xll.meCurveForwardRatesFromYearFraction(P1088,Q1088,$Q$11,$Q$9,$Q$10))</f>
        <v>-3.7175485397107962E-3</v>
      </c>
      <c r="S1088" s="134" t="s">
        <v>4</v>
      </c>
    </row>
    <row r="1089" spans="1:19" x14ac:dyDescent="0.25">
      <c r="A1089" s="128">
        <v>1073</v>
      </c>
      <c r="B1089" s="133"/>
      <c r="C1089" s="149">
        <f ca="1">_xll.meDateFromTenor(C1088,"1D","FOLLOWING",$D$11,"NORMAL")</f>
        <v>44008</v>
      </c>
      <c r="D1089" s="20">
        <f ca="1">_xll.meDateFromTenor(C1089,"1D","Following",$D$11,"Normal")</f>
        <v>44011</v>
      </c>
      <c r="E1089" s="99">
        <f ca="1"/>
        <v>1.3499271774141558E-2</v>
      </c>
      <c r="F1089" s="161">
        <f ca="1">_xll.meCurveForwardRates(C1089,$D$9,$D$10)</f>
        <v>1.3585535799233606E-2</v>
      </c>
      <c r="G1089" s="7" t="s">
        <v>4</v>
      </c>
      <c r="H1089" s="149">
        <f t="shared" ca="1" si="32"/>
        <v>44008</v>
      </c>
      <c r="I1089" s="20">
        <f ca="1">_xll.meDateFromTenor(H1089,"3M","Following",$I$11,"Normal")</f>
        <v>44102</v>
      </c>
      <c r="J1089" s="150">
        <f ca="1"/>
        <v>1.7759552479579797E-2</v>
      </c>
      <c r="K1089" s="7" t="s">
        <v>4</v>
      </c>
      <c r="L1089" s="149" t="e">
        <f ca="1">_xll.meDateFromTenor(L1088,"1D","FOLLOWING",#REF!,"NORMAL")</f>
        <v>#VALUE!</v>
      </c>
      <c r="M1089" s="155">
        <f ca="1">_xll.meDateYearFraction(C1089,D1089,$M$11)</f>
        <v>8.3333333333333332E-3</v>
      </c>
      <c r="N1089" s="150">
        <f ca="1"/>
        <v>-2.4300000000065936E-3</v>
      </c>
      <c r="O1089" s="7" t="s">
        <v>4</v>
      </c>
      <c r="P1089" s="149">
        <f t="shared" ca="1" si="33"/>
        <v>44008</v>
      </c>
      <c r="Q1089" s="155">
        <f ca="1">_xll.meDateYearFraction(H1089,I1089,$Q$11,TRUE)</f>
        <v>0.26111111111111113</v>
      </c>
      <c r="R1089" s="150">
        <f ca="1">IF(NOW(),_xll.meCurveForwardRatesFromYearFraction(P1089,Q1089,$Q$11,$Q$9,$Q$10))</f>
        <v>1.0408184309129904E-3</v>
      </c>
      <c r="S1089" s="134" t="s">
        <v>4</v>
      </c>
    </row>
    <row r="1090" spans="1:19" x14ac:dyDescent="0.25">
      <c r="A1090" s="128">
        <v>1074</v>
      </c>
      <c r="B1090" s="133"/>
      <c r="C1090" s="149">
        <f ca="1">_xll.meDateFromTenor(C1089,"1D","FOLLOWING",$D$11,"NORMAL")</f>
        <v>44011</v>
      </c>
      <c r="D1090" s="20">
        <f ca="1">_xll.meDateFromTenor(C1090,"1D","Following",$D$11,"Normal")</f>
        <v>44012</v>
      </c>
      <c r="E1090" s="99">
        <f ca="1"/>
        <v>1.3507643921946132E-2</v>
      </c>
      <c r="F1090" s="161">
        <f ca="1">_xll.meCurveForwardRates(C1090,$D$9,$D$10)</f>
        <v>1.3599027442918965E-2</v>
      </c>
      <c r="G1090" s="7" t="s">
        <v>4</v>
      </c>
      <c r="H1090" s="149">
        <f t="shared" ca="1" si="32"/>
        <v>44011</v>
      </c>
      <c r="I1090" s="20">
        <f ca="1">_xll.meDateFromTenor(H1090,"3M","Following",$I$11,"Normal")</f>
        <v>44103</v>
      </c>
      <c r="J1090" s="150">
        <f ca="1"/>
        <v>1.7771959986973351E-2</v>
      </c>
      <c r="K1090" s="7" t="s">
        <v>4</v>
      </c>
      <c r="L1090" s="149" t="e">
        <f ca="1">_xll.meDateFromTenor(L1089,"1D","FOLLOWING",#REF!,"NORMAL")</f>
        <v>#VALUE!</v>
      </c>
      <c r="M1090" s="155">
        <f ca="1">_xll.meDateYearFraction(C1090,D1090,$M$11)</f>
        <v>2.7777777777777779E-3</v>
      </c>
      <c r="N1090" s="150">
        <f ca="1"/>
        <v>-2.4300000000065936E-3</v>
      </c>
      <c r="O1090" s="7" t="s">
        <v>4</v>
      </c>
      <c r="P1090" s="149">
        <f t="shared" ca="1" si="33"/>
        <v>44011</v>
      </c>
      <c r="Q1090" s="155">
        <f ca="1">_xll.meDateYearFraction(H1090,I1090,$Q$11,TRUE)</f>
        <v>0.25555555555555554</v>
      </c>
      <c r="R1090" s="150">
        <f ca="1">IF(NOW(),_xll.meCurveForwardRatesFromYearFraction(P1090,Q1090,$Q$11,$Q$9,$Q$10))</f>
        <v>-3.7175485397107962E-3</v>
      </c>
      <c r="S1090" s="134" t="s">
        <v>4</v>
      </c>
    </row>
    <row r="1091" spans="1:19" x14ac:dyDescent="0.25">
      <c r="A1091" s="128">
        <v>1075</v>
      </c>
      <c r="B1091" s="133"/>
      <c r="C1091" s="149">
        <f ca="1">_xll.meDateFromTenor(C1090,"1D","FOLLOWING",$D$11,"NORMAL")</f>
        <v>44012</v>
      </c>
      <c r="D1091" s="20">
        <f ca="1">_xll.meDateFromTenor(C1091,"1D","Following",$D$11,"Normal")</f>
        <v>44013</v>
      </c>
      <c r="E1091" s="99">
        <f ca="1"/>
        <v>1.3512093492094143E-2</v>
      </c>
      <c r="F1091" s="161">
        <f ca="1">_xll.meCurveForwardRates(C1091,$D$9,$D$10)</f>
        <v>1.3603537363681362E-2</v>
      </c>
      <c r="G1091" s="7" t="s">
        <v>4</v>
      </c>
      <c r="H1091" s="149">
        <f t="shared" ca="1" si="32"/>
        <v>44012</v>
      </c>
      <c r="I1091" s="20">
        <f ca="1">_xll.meDateFromTenor(H1091,"3M","Following",$I$11,"Normal")</f>
        <v>44104</v>
      </c>
      <c r="J1091" s="150">
        <f ca="1"/>
        <v>1.7776075896113325E-2</v>
      </c>
      <c r="K1091" s="7" t="s">
        <v>4</v>
      </c>
      <c r="L1091" s="149" t="e">
        <f ca="1">_xll.meDateFromTenor(L1090,"1D","FOLLOWING",#REF!,"NORMAL")</f>
        <v>#VALUE!</v>
      </c>
      <c r="M1091" s="155">
        <f ca="1">_xll.meDateYearFraction(C1091,D1091,$M$11)</f>
        <v>2.7777777777777779E-3</v>
      </c>
      <c r="N1091" s="150">
        <f ca="1"/>
        <v>-2.4300000000065936E-3</v>
      </c>
      <c r="O1091" s="7" t="s">
        <v>4</v>
      </c>
      <c r="P1091" s="149">
        <f t="shared" ca="1" si="33"/>
        <v>44012</v>
      </c>
      <c r="Q1091" s="155">
        <f ca="1">_xll.meDateYearFraction(H1091,I1091,$Q$11,TRUE)</f>
        <v>0.25555555555555554</v>
      </c>
      <c r="R1091" s="150">
        <f ca="1">IF(NOW(),_xll.meCurveForwardRatesFromYearFraction(P1091,Q1091,$Q$11,$Q$9,$Q$10))</f>
        <v>1.0674973114575379E-3</v>
      </c>
      <c r="S1091" s="134" t="s">
        <v>4</v>
      </c>
    </row>
    <row r="1092" spans="1:19" x14ac:dyDescent="0.25">
      <c r="A1092" s="128">
        <v>1076</v>
      </c>
      <c r="B1092" s="133"/>
      <c r="C1092" s="149">
        <f ca="1">_xll.meDateFromTenor(C1091,"1D","FOLLOWING",$D$11,"NORMAL")</f>
        <v>44013</v>
      </c>
      <c r="D1092" s="20">
        <f ca="1">_xll.meDateFromTenor(C1092,"1D","Following",$D$11,"Normal")</f>
        <v>44014</v>
      </c>
      <c r="E1092" s="99">
        <f ca="1"/>
        <v>1.3516549312531089E-2</v>
      </c>
      <c r="F1092" s="161">
        <f ca="1">_xll.meCurveForwardRates(C1092,$D$9,$D$10)</f>
        <v>1.3608053639559969E-2</v>
      </c>
      <c r="G1092" s="7" t="s">
        <v>4</v>
      </c>
      <c r="H1092" s="149">
        <f t="shared" ca="1" si="32"/>
        <v>44013</v>
      </c>
      <c r="I1092" s="20">
        <f ca="1">_xll.meDateFromTenor(H1092,"3M","Following",$I$11,"Normal")</f>
        <v>44105</v>
      </c>
      <c r="J1092" s="150">
        <f ca="1"/>
        <v>1.7780181979062663E-2</v>
      </c>
      <c r="K1092" s="7" t="s">
        <v>4</v>
      </c>
      <c r="L1092" s="149" t="e">
        <f ca="1">_xll.meDateFromTenor(L1091,"1D","FOLLOWING",#REF!,"NORMAL")</f>
        <v>#VALUE!</v>
      </c>
      <c r="M1092" s="155">
        <f ca="1">_xll.meDateYearFraction(C1092,D1092,$M$11)</f>
        <v>2.7777777777777779E-3</v>
      </c>
      <c r="N1092" s="150">
        <f ca="1"/>
        <v>-2.4300000000065936E-3</v>
      </c>
      <c r="O1092" s="7" t="s">
        <v>4</v>
      </c>
      <c r="P1092" s="149">
        <f t="shared" ca="1" si="33"/>
        <v>44013</v>
      </c>
      <c r="Q1092" s="155">
        <f ca="1">_xll.meDateYearFraction(H1092,I1092,$Q$11,TRUE)</f>
        <v>0.25555555555555554</v>
      </c>
      <c r="R1092" s="150">
        <f ca="1">IF(NOW(),_xll.meCurveForwardRatesFromYearFraction(P1092,Q1092,$Q$11,$Q$9,$Q$10))</f>
        <v>-3.7175485397107962E-3</v>
      </c>
      <c r="S1092" s="134" t="s">
        <v>4</v>
      </c>
    </row>
    <row r="1093" spans="1:19" x14ac:dyDescent="0.25">
      <c r="A1093" s="128">
        <v>1077</v>
      </c>
      <c r="B1093" s="133"/>
      <c r="C1093" s="149">
        <f ca="1">_xll.meDateFromTenor(C1092,"1D","FOLLOWING",$D$11,"NORMAL")</f>
        <v>44014</v>
      </c>
      <c r="D1093" s="20">
        <f ca="1">_xll.meDateFromTenor(C1093,"1D","Following",$D$11,"Normal")</f>
        <v>44015</v>
      </c>
      <c r="E1093" s="99">
        <f ca="1"/>
        <v>1.3521011384118983E-2</v>
      </c>
      <c r="F1093" s="161">
        <f ca="1">_xll.meCurveForwardRates(C1093,$D$9,$D$10)</f>
        <v>1.3612576271512911E-2</v>
      </c>
      <c r="G1093" s="7" t="s">
        <v>4</v>
      </c>
      <c r="H1093" s="149">
        <f t="shared" ca="1" si="32"/>
        <v>44014</v>
      </c>
      <c r="I1093" s="20">
        <f ca="1">_xll.meDateFromTenor(H1093,"3M","Following",$I$11,"Normal")</f>
        <v>44106</v>
      </c>
      <c r="J1093" s="150">
        <f ca="1"/>
        <v>1.7784278318104332E-2</v>
      </c>
      <c r="K1093" s="7" t="s">
        <v>4</v>
      </c>
      <c r="L1093" s="149" t="e">
        <f ca="1">_xll.meDateFromTenor(L1092,"1D","FOLLOWING",#REF!,"NORMAL")</f>
        <v>#VALUE!</v>
      </c>
      <c r="M1093" s="155">
        <f ca="1">_xll.meDateYearFraction(C1093,D1093,$M$11)</f>
        <v>2.7777777777777779E-3</v>
      </c>
      <c r="N1093" s="150">
        <f ca="1"/>
        <v>-2.4300000000065936E-3</v>
      </c>
      <c r="O1093" s="7" t="s">
        <v>4</v>
      </c>
      <c r="P1093" s="149">
        <f t="shared" ca="1" si="33"/>
        <v>44014</v>
      </c>
      <c r="Q1093" s="155">
        <f ca="1">_xll.meDateYearFraction(H1093,I1093,$Q$11,TRUE)</f>
        <v>0.25555555555555554</v>
      </c>
      <c r="R1093" s="150">
        <f ca="1">IF(NOW(),_xll.meCurveForwardRatesFromYearFraction(P1093,Q1093,$Q$11,$Q$9,$Q$10))</f>
        <v>1.0808539978257247E-3</v>
      </c>
      <c r="S1093" s="134" t="s">
        <v>4</v>
      </c>
    </row>
    <row r="1094" spans="1:19" x14ac:dyDescent="0.25">
      <c r="A1094" s="128">
        <v>1078</v>
      </c>
      <c r="B1094" s="133"/>
      <c r="C1094" s="149">
        <f ca="1">_xll.meDateFromTenor(C1093,"1D","FOLLOWING",$D$11,"NORMAL")</f>
        <v>44015</v>
      </c>
      <c r="D1094" s="20">
        <f ca="1">_xll.meDateFromTenor(C1094,"1D","Following",$D$11,"Normal")</f>
        <v>44018</v>
      </c>
      <c r="E1094" s="99">
        <f ca="1"/>
        <v>1.3530464876031148E-2</v>
      </c>
      <c r="F1094" s="161">
        <f ca="1">_xll.meCurveForwardRates(C1094,$D$9,$D$10)</f>
        <v>1.3617105260938844E-2</v>
      </c>
      <c r="G1094" s="7" t="s">
        <v>4</v>
      </c>
      <c r="H1094" s="149">
        <f t="shared" ca="1" si="32"/>
        <v>44015</v>
      </c>
      <c r="I1094" s="20">
        <f ca="1">_xll.meDateFromTenor(H1094,"3M","Following",$I$11,"Normal")</f>
        <v>44109</v>
      </c>
      <c r="J1094" s="150">
        <f ca="1"/>
        <v>1.7788364995521319E-2</v>
      </c>
      <c r="K1094" s="7" t="s">
        <v>4</v>
      </c>
      <c r="L1094" s="149" t="e">
        <f ca="1">_xll.meDateFromTenor(L1093,"1D","FOLLOWING",#REF!,"NORMAL")</f>
        <v>#VALUE!</v>
      </c>
      <c r="M1094" s="155">
        <f ca="1">_xll.meDateYearFraction(C1094,D1094,$M$11)</f>
        <v>8.3333333333333332E-3</v>
      </c>
      <c r="N1094" s="150">
        <f ca="1"/>
        <v>-2.4300000000065936E-3</v>
      </c>
      <c r="O1094" s="7" t="s">
        <v>4</v>
      </c>
      <c r="P1094" s="149">
        <f t="shared" ca="1" si="33"/>
        <v>44015</v>
      </c>
      <c r="Q1094" s="155">
        <f ca="1">_xll.meDateYearFraction(H1094,I1094,$Q$11,TRUE)</f>
        <v>0.26111111111111113</v>
      </c>
      <c r="R1094" s="150">
        <f ca="1">IF(NOW(),_xll.meCurveForwardRatesFromYearFraction(P1094,Q1094,$Q$11,$Q$9,$Q$10))</f>
        <v>-3.7175485397107962E-3</v>
      </c>
      <c r="S1094" s="134" t="s">
        <v>4</v>
      </c>
    </row>
    <row r="1095" spans="1:19" x14ac:dyDescent="0.25">
      <c r="A1095" s="128">
        <v>1079</v>
      </c>
      <c r="B1095" s="133"/>
      <c r="C1095" s="149">
        <f ca="1">_xll.meDateFromTenor(C1094,"1D","FOLLOWING",$D$11,"NORMAL")</f>
        <v>44018</v>
      </c>
      <c r="D1095" s="20">
        <f ca="1">_xll.meDateFromTenor(C1095,"1D","Following",$D$11,"Normal")</f>
        <v>44019</v>
      </c>
      <c r="E1095" s="99">
        <f ca="1"/>
        <v>1.3538922205025387E-2</v>
      </c>
      <c r="F1095" s="161">
        <f ca="1">_xll.meCurveForwardRates(C1095,$D$9,$D$10)</f>
        <v>1.3630730385121748E-2</v>
      </c>
      <c r="G1095" s="7" t="s">
        <v>4</v>
      </c>
      <c r="H1095" s="149">
        <f t="shared" ca="1" si="32"/>
        <v>44018</v>
      </c>
      <c r="I1095" s="20">
        <f ca="1">_xll.meDateFromTenor(H1095,"3M","Following",$I$11,"Normal")</f>
        <v>44110</v>
      </c>
      <c r="J1095" s="150">
        <f ca="1"/>
        <v>1.7800567880853956E-2</v>
      </c>
      <c r="K1095" s="7" t="s">
        <v>4</v>
      </c>
      <c r="L1095" s="149" t="e">
        <f ca="1">_xll.meDateFromTenor(L1094,"1D","FOLLOWING",#REF!,"NORMAL")</f>
        <v>#VALUE!</v>
      </c>
      <c r="M1095" s="155">
        <f ca="1">_xll.meDateYearFraction(C1095,D1095,$M$11)</f>
        <v>2.7777777777777779E-3</v>
      </c>
      <c r="N1095" s="150">
        <f ca="1"/>
        <v>-2.4300000000065936E-3</v>
      </c>
      <c r="O1095" s="7" t="s">
        <v>4</v>
      </c>
      <c r="P1095" s="149">
        <f t="shared" ca="1" si="33"/>
        <v>44018</v>
      </c>
      <c r="Q1095" s="155">
        <f ca="1">_xll.meDateYearFraction(H1095,I1095,$Q$11,TRUE)</f>
        <v>0.25555555555555554</v>
      </c>
      <c r="R1095" s="150">
        <f ca="1">IF(NOW(),_xll.meCurveForwardRatesFromYearFraction(P1095,Q1095,$Q$11,$Q$9,$Q$10))</f>
        <v>-3.7175485397107962E-3</v>
      </c>
      <c r="S1095" s="134" t="s">
        <v>4</v>
      </c>
    </row>
    <row r="1096" spans="1:19" x14ac:dyDescent="0.25">
      <c r="A1096" s="128">
        <v>1080</v>
      </c>
      <c r="B1096" s="133"/>
      <c r="C1096" s="149">
        <f ca="1">_xll.meDateFromTenor(C1095,"1D","FOLLOWING",$D$11,"NORMAL")</f>
        <v>44019</v>
      </c>
      <c r="D1096" s="20">
        <f ca="1">_xll.meDateFromTenor(C1096,"1D","Following",$D$11,"Normal")</f>
        <v>44020</v>
      </c>
      <c r="E1096" s="99">
        <f ca="1"/>
        <v>1.3543415549206454E-2</v>
      </c>
      <c r="F1096" s="161">
        <f ca="1">_xll.meCurveForwardRates(C1096,$D$9,$D$10)</f>
        <v>1.3635284815786131E-2</v>
      </c>
      <c r="G1096" s="7" t="s">
        <v>4</v>
      </c>
      <c r="H1096" s="149">
        <f t="shared" ca="1" si="32"/>
        <v>44019</v>
      </c>
      <c r="I1096" s="20">
        <f ca="1">_xll.meDateFromTenor(H1096,"3M","Following",$I$11,"Normal")</f>
        <v>44111</v>
      </c>
      <c r="J1096" s="150">
        <f ca="1"/>
        <v>1.7804616734601989E-2</v>
      </c>
      <c r="K1096" s="7" t="s">
        <v>4</v>
      </c>
      <c r="L1096" s="149" t="e">
        <f ca="1">_xll.meDateFromTenor(L1095,"1D","FOLLOWING",#REF!,"NORMAL")</f>
        <v>#VALUE!</v>
      </c>
      <c r="M1096" s="155">
        <f ca="1">_xll.meDateYearFraction(C1096,D1096,$M$11)</f>
        <v>2.7777777777777779E-3</v>
      </c>
      <c r="N1096" s="150">
        <f ca="1"/>
        <v>-2.4300000000065936E-3</v>
      </c>
      <c r="O1096" s="7" t="s">
        <v>4</v>
      </c>
      <c r="P1096" s="149">
        <f t="shared" ca="1" si="33"/>
        <v>44019</v>
      </c>
      <c r="Q1096" s="155">
        <f ca="1">_xll.meDateYearFraction(H1096,I1096,$Q$11,TRUE)</f>
        <v>0.25555555555555554</v>
      </c>
      <c r="R1096" s="150">
        <f ca="1">IF(NOW(),_xll.meCurveForwardRatesFromYearFraction(P1096,Q1096,$Q$11,$Q$9,$Q$10))</f>
        <v>-3.7175485397107962E-3</v>
      </c>
      <c r="S1096" s="134" t="s">
        <v>4</v>
      </c>
    </row>
    <row r="1097" spans="1:19" x14ac:dyDescent="0.25">
      <c r="A1097" s="128">
        <v>1081</v>
      </c>
      <c r="B1097" s="133"/>
      <c r="C1097" s="149">
        <f ca="1">_xll.meDateFromTenor(C1096,"1D","FOLLOWING",$D$11,"NORMAL")</f>
        <v>44020</v>
      </c>
      <c r="D1097" s="20">
        <f ca="1">_xll.meDateFromTenor(C1097,"1D","Following",$D$11,"Normal")</f>
        <v>44021</v>
      </c>
      <c r="E1097" s="99">
        <f ca="1"/>
        <v>1.354791515101327E-2</v>
      </c>
      <c r="F1097" s="161">
        <f ca="1">_xll.meCurveForwardRates(C1097,$D$9,$D$10)</f>
        <v>1.3639845609597634E-2</v>
      </c>
      <c r="G1097" s="7" t="s">
        <v>4</v>
      </c>
      <c r="H1097" s="149">
        <f t="shared" ca="1" si="32"/>
        <v>44020</v>
      </c>
      <c r="I1097" s="20">
        <f ca="1">_xll.meDateFromTenor(H1097,"3M","Following",$I$11,"Normal")</f>
        <v>44112</v>
      </c>
      <c r="J1097" s="150">
        <f ca="1"/>
        <v>1.7808656338140227E-2</v>
      </c>
      <c r="K1097" s="7" t="s">
        <v>4</v>
      </c>
      <c r="L1097" s="149" t="e">
        <f ca="1">_xll.meDateFromTenor(L1096,"1D","FOLLOWING",#REF!,"NORMAL")</f>
        <v>#VALUE!</v>
      </c>
      <c r="M1097" s="155">
        <f ca="1">_xll.meDateYearFraction(C1097,D1097,$M$11)</f>
        <v>2.7777777777777779E-3</v>
      </c>
      <c r="N1097" s="150">
        <f ca="1"/>
        <v>-2.4300000000065936E-3</v>
      </c>
      <c r="O1097" s="7" t="s">
        <v>4</v>
      </c>
      <c r="P1097" s="149">
        <f t="shared" ca="1" si="33"/>
        <v>44020</v>
      </c>
      <c r="Q1097" s="155">
        <f ca="1">_xll.meDateYearFraction(H1097,I1097,$Q$11,TRUE)</f>
        <v>0.25555555555555554</v>
      </c>
      <c r="R1097" s="150">
        <f ca="1">IF(NOW(),_xll.meCurveForwardRatesFromYearFraction(P1097,Q1097,$Q$11,$Q$9,$Q$10))</f>
        <v>1.1209907996007763E-3</v>
      </c>
      <c r="S1097" s="134" t="s">
        <v>4</v>
      </c>
    </row>
    <row r="1098" spans="1:19" x14ac:dyDescent="0.25">
      <c r="A1098" s="128">
        <v>1082</v>
      </c>
      <c r="B1098" s="133"/>
      <c r="C1098" s="149">
        <f ca="1">_xll.meDateFromTenor(C1097,"1D","FOLLOWING",$D$11,"NORMAL")</f>
        <v>44021</v>
      </c>
      <c r="D1098" s="20">
        <f ca="1">_xll.meDateFromTenor(C1098,"1D","Following",$D$11,"Normal")</f>
        <v>44022</v>
      </c>
      <c r="E1098" s="99">
        <f ca="1"/>
        <v>1.3552421011742139E-2</v>
      </c>
      <c r="F1098" s="161">
        <f ca="1">_xll.meCurveForwardRates(C1098,$D$9,$D$10)</f>
        <v>1.3644412767955805E-2</v>
      </c>
      <c r="G1098" s="7" t="s">
        <v>4</v>
      </c>
      <c r="H1098" s="149">
        <f t="shared" ca="1" si="32"/>
        <v>44021</v>
      </c>
      <c r="I1098" s="20">
        <f ca="1">_xll.meDateFromTenor(H1098,"3M","Following",$I$11,"Normal")</f>
        <v>44113</v>
      </c>
      <c r="J1098" s="150">
        <f ca="1"/>
        <v>1.7812686773751651E-2</v>
      </c>
      <c r="K1098" s="7" t="s">
        <v>4</v>
      </c>
      <c r="L1098" s="149" t="e">
        <f ca="1">_xll.meDateFromTenor(L1097,"1D","FOLLOWING",#REF!,"NORMAL")</f>
        <v>#VALUE!</v>
      </c>
      <c r="M1098" s="155">
        <f ca="1">_xll.meDateYearFraction(C1098,D1098,$M$11)</f>
        <v>2.7777777777777779E-3</v>
      </c>
      <c r="N1098" s="150">
        <f ca="1"/>
        <v>-2.4300000000065936E-3</v>
      </c>
      <c r="O1098" s="7" t="s">
        <v>4</v>
      </c>
      <c r="P1098" s="149">
        <f t="shared" ca="1" si="33"/>
        <v>44021</v>
      </c>
      <c r="Q1098" s="155">
        <f ca="1">_xll.meDateYearFraction(H1098,I1098,$Q$11,TRUE)</f>
        <v>0.25555555555555554</v>
      </c>
      <c r="R1098" s="150">
        <f ca="1">IF(NOW(),_xll.meCurveForwardRatesFromYearFraction(P1098,Q1098,$Q$11,$Q$9,$Q$10))</f>
        <v>1.1276897546820218E-3</v>
      </c>
      <c r="S1098" s="134" t="s">
        <v>4</v>
      </c>
    </row>
    <row r="1099" spans="1:19" x14ac:dyDescent="0.25">
      <c r="A1099" s="128">
        <v>1083</v>
      </c>
      <c r="B1099" s="133"/>
      <c r="C1099" s="149">
        <f ca="1">_xll.meDateFromTenor(C1098,"1D","FOLLOWING",$D$11,"NORMAL")</f>
        <v>44022</v>
      </c>
      <c r="D1099" s="20">
        <f ca="1">_xll.meDateFromTenor(C1099,"1D","Following",$D$11,"Normal")</f>
        <v>44025</v>
      </c>
      <c r="E1099" s="99">
        <f ca="1"/>
        <v>1.3561964476797464E-2</v>
      </c>
      <c r="F1099" s="161">
        <f ca="1">_xll.meCurveForwardRates(C1099,$D$9,$D$10)</f>
        <v>1.3648986291657783E-2</v>
      </c>
      <c r="G1099" s="7" t="s">
        <v>4</v>
      </c>
      <c r="H1099" s="149">
        <f t="shared" ca="1" si="32"/>
        <v>44022</v>
      </c>
      <c r="I1099" s="20">
        <f ca="1">_xll.meDateFromTenor(H1099,"3M","Following",$I$11,"Normal")</f>
        <v>44117</v>
      </c>
      <c r="J1099" s="150">
        <f ca="1"/>
        <v>1.781670812371924E-2</v>
      </c>
      <c r="K1099" s="7" t="s">
        <v>4</v>
      </c>
      <c r="L1099" s="149" t="e">
        <f ca="1">_xll.meDateFromTenor(L1098,"1D","FOLLOWING",#REF!,"NORMAL")</f>
        <v>#VALUE!</v>
      </c>
      <c r="M1099" s="155">
        <f ca="1">_xll.meDateYearFraction(C1099,D1099,$M$11)</f>
        <v>8.3333333333333332E-3</v>
      </c>
      <c r="N1099" s="150">
        <f ca="1"/>
        <v>-2.4300000000065936E-3</v>
      </c>
      <c r="O1099" s="7" t="s">
        <v>4</v>
      </c>
      <c r="P1099" s="149">
        <f t="shared" ca="1" si="33"/>
        <v>44022</v>
      </c>
      <c r="Q1099" s="155">
        <f ca="1">_xll.meDateYearFraction(H1099,I1099,$Q$11,TRUE)</f>
        <v>0.2638888888888889</v>
      </c>
      <c r="R1099" s="150">
        <f ca="1">IF(NOW(),_xll.meCurveForwardRatesFromYearFraction(P1099,Q1099,$Q$11,$Q$9,$Q$10))</f>
        <v>-3.7175485397107962E-3</v>
      </c>
      <c r="S1099" s="134" t="s">
        <v>4</v>
      </c>
    </row>
    <row r="1100" spans="1:19" x14ac:dyDescent="0.25">
      <c r="A1100" s="128">
        <v>1084</v>
      </c>
      <c r="B1100" s="133"/>
      <c r="C1100" s="149">
        <f ca="1">_xll.meDateFromTenor(C1099,"1D","FOLLOWING",$D$11,"NORMAL")</f>
        <v>44025</v>
      </c>
      <c r="D1100" s="20">
        <f ca="1">_xll.meDateFromTenor(C1100,"1D","Following",$D$11,"Normal")</f>
        <v>44026</v>
      </c>
      <c r="E1100" s="99">
        <f ca="1"/>
        <v>1.3570507063438427E-2</v>
      </c>
      <c r="F1100" s="161">
        <f ca="1">_xll.meCurveForwardRates(C1100,$D$9,$D$10)</f>
        <v>1.3662745068394599E-2</v>
      </c>
      <c r="G1100" s="7" t="s">
        <v>4</v>
      </c>
      <c r="H1100" s="149">
        <f t="shared" ca="1" si="32"/>
        <v>44025</v>
      </c>
      <c r="I1100" s="20">
        <f ca="1">_xll.meDateFromTenor(H1100,"3M","Following",$I$11,"Normal")</f>
        <v>44117</v>
      </c>
      <c r="J1100" s="150">
        <f ca="1"/>
        <v>1.7828718482588761E-2</v>
      </c>
      <c r="K1100" s="7" t="s">
        <v>4</v>
      </c>
      <c r="L1100" s="149" t="e">
        <f ca="1">_xll.meDateFromTenor(L1099,"1D","FOLLOWING",#REF!,"NORMAL")</f>
        <v>#VALUE!</v>
      </c>
      <c r="M1100" s="155">
        <f ca="1">_xll.meDateYearFraction(C1100,D1100,$M$11)</f>
        <v>2.7777777777777779E-3</v>
      </c>
      <c r="N1100" s="150">
        <f ca="1"/>
        <v>-2.4300000000065936E-3</v>
      </c>
      <c r="O1100" s="7" t="s">
        <v>4</v>
      </c>
      <c r="P1100" s="149">
        <f t="shared" ca="1" si="33"/>
        <v>44025</v>
      </c>
      <c r="Q1100" s="155">
        <f ca="1">_xll.meDateYearFraction(H1100,I1100,$Q$11,TRUE)</f>
        <v>0.25555555555555554</v>
      </c>
      <c r="R1100" s="150">
        <f ca="1">IF(NOW(),_xll.meCurveForwardRatesFromYearFraction(P1100,Q1100,$Q$11,$Q$9,$Q$10))</f>
        <v>-3.7175485397107962E-3</v>
      </c>
      <c r="S1100" s="134" t="s">
        <v>4</v>
      </c>
    </row>
    <row r="1101" spans="1:19" x14ac:dyDescent="0.25">
      <c r="A1101" s="128">
        <v>1085</v>
      </c>
      <c r="B1101" s="133"/>
      <c r="C1101" s="149">
        <f ca="1">_xll.meDateFromTenor(C1100,"1D","FOLLOWING",$D$11,"NORMAL")</f>
        <v>44026</v>
      </c>
      <c r="D1101" s="20">
        <f ca="1">_xll.meDateFromTenor(C1101,"1D","Following",$D$11,"Normal")</f>
        <v>44027</v>
      </c>
      <c r="E1101" s="99">
        <f ca="1"/>
        <v>1.3575044234153221E-2</v>
      </c>
      <c r="F1101" s="161">
        <f ca="1">_xll.meCurveForwardRates(C1101,$D$9,$D$10)</f>
        <v>1.3667344066357279E-2</v>
      </c>
      <c r="G1101" s="7" t="s">
        <v>4</v>
      </c>
      <c r="H1101" s="149">
        <f t="shared" ca="1" si="32"/>
        <v>44026</v>
      </c>
      <c r="I1101" s="20">
        <f ca="1">_xll.meDateFromTenor(H1101,"3M","Following",$I$11,"Normal")</f>
        <v>44118</v>
      </c>
      <c r="J1101" s="150">
        <f ca="1"/>
        <v>1.7832704312810786E-2</v>
      </c>
      <c r="K1101" s="7" t="s">
        <v>4</v>
      </c>
      <c r="L1101" s="149" t="e">
        <f ca="1">_xll.meDateFromTenor(L1100,"1D","FOLLOWING",#REF!,"NORMAL")</f>
        <v>#VALUE!</v>
      </c>
      <c r="M1101" s="155">
        <f ca="1">_xll.meDateYearFraction(C1101,D1101,$M$11)</f>
        <v>2.7777777777777779E-3</v>
      </c>
      <c r="N1101" s="150">
        <f ca="1"/>
        <v>-2.4300000000065936E-3</v>
      </c>
      <c r="O1101" s="7" t="s">
        <v>4</v>
      </c>
      <c r="P1101" s="149">
        <f t="shared" ca="1" si="33"/>
        <v>44026</v>
      </c>
      <c r="Q1101" s="155">
        <f ca="1">_xll.meDateYearFraction(H1101,I1101,$Q$11,TRUE)</f>
        <v>0.25555555555555554</v>
      </c>
      <c r="R1101" s="150">
        <f ca="1">IF(NOW(),_xll.meCurveForwardRatesFromYearFraction(P1101,Q1101,$Q$11,$Q$9,$Q$10))</f>
        <v>1.1612237923835519E-3</v>
      </c>
      <c r="S1101" s="134" t="s">
        <v>4</v>
      </c>
    </row>
    <row r="1102" spans="1:19" x14ac:dyDescent="0.25">
      <c r="A1102" s="128">
        <v>1086</v>
      </c>
      <c r="B1102" s="133"/>
      <c r="C1102" s="149">
        <f ca="1">_xll.meDateFromTenor(C1101,"1D","FOLLOWING",$D$11,"NORMAL")</f>
        <v>44027</v>
      </c>
      <c r="D1102" s="20">
        <f ca="1">_xll.meDateFromTenor(C1102,"1D","Following",$D$11,"Normal")</f>
        <v>44028</v>
      </c>
      <c r="E1102" s="99">
        <f ca="1"/>
        <v>1.3579587670025093E-2</v>
      </c>
      <c r="F1102" s="161">
        <f ca="1">_xll.meCurveForwardRates(C1102,$D$9,$D$10)</f>
        <v>1.3671949435702047E-2</v>
      </c>
      <c r="G1102" s="7" t="s">
        <v>4</v>
      </c>
      <c r="H1102" s="149">
        <f t="shared" ca="1" si="32"/>
        <v>44027</v>
      </c>
      <c r="I1102" s="20">
        <f ca="1">_xll.meDateFromTenor(H1102,"3M","Following",$I$11,"Normal")</f>
        <v>44119</v>
      </c>
      <c r="J1102" s="150">
        <f ca="1"/>
        <v>1.783668146880386E-2</v>
      </c>
      <c r="K1102" s="7" t="s">
        <v>4</v>
      </c>
      <c r="L1102" s="149" t="e">
        <f ca="1">_xll.meDateFromTenor(L1101,"1D","FOLLOWING",#REF!,"NORMAL")</f>
        <v>#VALUE!</v>
      </c>
      <c r="M1102" s="155">
        <f ca="1">_xll.meDateYearFraction(C1102,D1102,$M$11)</f>
        <v>2.7777777777777779E-3</v>
      </c>
      <c r="N1102" s="150">
        <f ca="1"/>
        <v>-2.4300000000065936E-3</v>
      </c>
      <c r="O1102" s="7" t="s">
        <v>4</v>
      </c>
      <c r="P1102" s="149">
        <f t="shared" ca="1" si="33"/>
        <v>44027</v>
      </c>
      <c r="Q1102" s="155">
        <f ca="1">_xll.meDateYearFraction(H1102,I1102,$Q$11,TRUE)</f>
        <v>0.25555555555555554</v>
      </c>
      <c r="R1102" s="150">
        <f ca="1">IF(NOW(),_xll.meCurveForwardRatesFromYearFraction(P1102,Q1102,$Q$11,$Q$9,$Q$10))</f>
        <v>-3.7175485397107962E-3</v>
      </c>
      <c r="S1102" s="134" t="s">
        <v>4</v>
      </c>
    </row>
    <row r="1103" spans="1:19" x14ac:dyDescent="0.25">
      <c r="A1103" s="128">
        <v>1087</v>
      </c>
      <c r="B1103" s="133"/>
      <c r="C1103" s="149">
        <f ca="1">_xll.meDateFromTenor(C1102,"1D","FOLLOWING",$D$11,"NORMAL")</f>
        <v>44028</v>
      </c>
      <c r="D1103" s="20">
        <f ca="1">_xll.meDateFromTenor(C1103,"1D","Following",$D$11,"Normal")</f>
        <v>44029</v>
      </c>
      <c r="E1103" s="99">
        <f ca="1"/>
        <v>1.3584137372395597E-2</v>
      </c>
      <c r="F1103" s="161">
        <f ca="1">_xll.meCurveForwardRates(C1103,$D$9,$D$10)</f>
        <v>1.3676561177875302E-2</v>
      </c>
      <c r="G1103" s="7" t="s">
        <v>4</v>
      </c>
      <c r="H1103" s="149">
        <f t="shared" ca="1" si="32"/>
        <v>44028</v>
      </c>
      <c r="I1103" s="20">
        <f ca="1">_xll.meDateFromTenor(H1103,"3M","Following",$I$11,"Normal")</f>
        <v>44120</v>
      </c>
      <c r="J1103" s="150">
        <f ca="1"/>
        <v>1.7840650032850972E-2</v>
      </c>
      <c r="K1103" s="7" t="s">
        <v>4</v>
      </c>
      <c r="L1103" s="149" t="e">
        <f ca="1">_xll.meDateFromTenor(L1102,"1D","FOLLOWING",#REF!,"NORMAL")</f>
        <v>#VALUE!</v>
      </c>
      <c r="M1103" s="155">
        <f ca="1">_xll.meDateYearFraction(C1103,D1103,$M$11)</f>
        <v>2.7777777777777779E-3</v>
      </c>
      <c r="N1103" s="150">
        <f ca="1"/>
        <v>-2.4300000000065936E-3</v>
      </c>
      <c r="O1103" s="7" t="s">
        <v>4</v>
      </c>
      <c r="P1103" s="149">
        <f t="shared" ca="1" si="33"/>
        <v>44028</v>
      </c>
      <c r="Q1103" s="155">
        <f ca="1">_xll.meDateYearFraction(H1103,I1103,$Q$11,TRUE)</f>
        <v>0.25555555555555554</v>
      </c>
      <c r="R1103" s="150">
        <f ca="1">IF(NOW(),_xll.meCurveForwardRatesFromYearFraction(P1103,Q1103,$Q$11,$Q$9,$Q$10))</f>
        <v>1.1746552939799683E-3</v>
      </c>
      <c r="S1103" s="134" t="s">
        <v>4</v>
      </c>
    </row>
    <row r="1104" spans="1:19" x14ac:dyDescent="0.25">
      <c r="A1104" s="128">
        <v>1088</v>
      </c>
      <c r="B1104" s="133"/>
      <c r="C1104" s="149">
        <f ca="1">_xll.meDateFromTenor(C1103,"1D","FOLLOWING",$D$11,"NORMAL")</f>
        <v>44029</v>
      </c>
      <c r="D1104" s="20">
        <f ca="1">_xll.meDateFromTenor(C1104,"1D","Following",$D$11,"Normal")</f>
        <v>44032</v>
      </c>
      <c r="E1104" s="99">
        <f ca="1"/>
        <v>1.3593770944791634E-2</v>
      </c>
      <c r="F1104" s="161">
        <f ca="1">_xll.meCurveForwardRates(C1104,$D$9,$D$10)</f>
        <v>1.3681179293629331E-2</v>
      </c>
      <c r="G1104" s="7" t="s">
        <v>4</v>
      </c>
      <c r="H1104" s="149">
        <f t="shared" ca="1" si="32"/>
        <v>44029</v>
      </c>
      <c r="I1104" s="20">
        <f ca="1">_xll.meDateFromTenor(H1104,"3M","Following",$I$11,"Normal")</f>
        <v>44123</v>
      </c>
      <c r="J1104" s="150">
        <f ca="1"/>
        <v>1.7844610087235091E-2</v>
      </c>
      <c r="K1104" s="7" t="s">
        <v>4</v>
      </c>
      <c r="L1104" s="149" t="e">
        <f ca="1">_xll.meDateFromTenor(L1103,"1D","FOLLOWING",#REF!,"NORMAL")</f>
        <v>#VALUE!</v>
      </c>
      <c r="M1104" s="155">
        <f ca="1">_xll.meDateYearFraction(C1104,D1104,$M$11)</f>
        <v>8.3333333333333332E-3</v>
      </c>
      <c r="N1104" s="150">
        <f ca="1"/>
        <v>-2.4300000000065936E-3</v>
      </c>
      <c r="O1104" s="7" t="s">
        <v>4</v>
      </c>
      <c r="P1104" s="149">
        <f t="shared" ca="1" si="33"/>
        <v>44029</v>
      </c>
      <c r="Q1104" s="155">
        <f ca="1">_xll.meDateYearFraction(H1104,I1104,$Q$11,TRUE)</f>
        <v>0.26111111111111113</v>
      </c>
      <c r="R1104" s="150">
        <f ca="1">IF(NOW(),_xll.meCurveForwardRatesFromYearFraction(P1104,Q1104,$Q$11,$Q$9,$Q$10))</f>
        <v>-3.7175485397107962E-3</v>
      </c>
      <c r="S1104" s="134" t="s">
        <v>4</v>
      </c>
    </row>
    <row r="1105" spans="1:19" x14ac:dyDescent="0.25">
      <c r="A1105" s="128">
        <v>1089</v>
      </c>
      <c r="B1105" s="133"/>
      <c r="C1105" s="149">
        <f ca="1">_xll.meDateFromTenor(C1104,"1D","FOLLOWING",$D$11,"NORMAL")</f>
        <v>44032</v>
      </c>
      <c r="D1105" s="20">
        <f ca="1">_xll.meDateFromTenor(C1105,"1D","Following",$D$11,"Normal")</f>
        <v>44033</v>
      </c>
      <c r="E1105" s="99">
        <f ca="1"/>
        <v>1.3602398865992887E-2</v>
      </c>
      <c r="F1105" s="161">
        <f ca="1">_xll.meCurveForwardRates(C1105,$D$9,$D$10)</f>
        <v>1.369507189597563E-2</v>
      </c>
      <c r="G1105" s="7" t="s">
        <v>4</v>
      </c>
      <c r="H1105" s="149">
        <f t="shared" ref="H1105:H1168" ca="1" si="34">$C1105</f>
        <v>44032</v>
      </c>
      <c r="I1105" s="20">
        <f ca="1">_xll.meDateFromTenor(H1105,"3M","Following",$I$11,"Normal")</f>
        <v>44124</v>
      </c>
      <c r="J1105" s="150">
        <f ca="1"/>
        <v>1.7856440015239301E-2</v>
      </c>
      <c r="K1105" s="7" t="s">
        <v>4</v>
      </c>
      <c r="L1105" s="149" t="e">
        <f ca="1">_xll.meDateFromTenor(L1104,"1D","FOLLOWING",#REF!,"NORMAL")</f>
        <v>#VALUE!</v>
      </c>
      <c r="M1105" s="155">
        <f ca="1">_xll.meDateYearFraction(C1105,D1105,$M$11)</f>
        <v>2.7777777777777779E-3</v>
      </c>
      <c r="N1105" s="150">
        <f ca="1"/>
        <v>-2.4300000000065936E-3</v>
      </c>
      <c r="O1105" s="7" t="s">
        <v>4</v>
      </c>
      <c r="P1105" s="149">
        <f t="shared" ref="P1105:P1168" ca="1" si="35">$C1105</f>
        <v>44032</v>
      </c>
      <c r="Q1105" s="155">
        <f ca="1">_xll.meDateYearFraction(H1105,I1105,$Q$11,TRUE)</f>
        <v>0.25555555555555554</v>
      </c>
      <c r="R1105" s="150">
        <f ca="1">IF(NOW(),_xll.meCurveForwardRatesFromYearFraction(P1105,Q1105,$Q$11,$Q$9,$Q$10))</f>
        <v>1.201547932319458E-3</v>
      </c>
      <c r="S1105" s="134" t="s">
        <v>4</v>
      </c>
    </row>
    <row r="1106" spans="1:19" x14ac:dyDescent="0.25">
      <c r="A1106" s="128">
        <v>1090</v>
      </c>
      <c r="B1106" s="133"/>
      <c r="C1106" s="149">
        <f ca="1">_xll.meDateFromTenor(C1105,"1D","FOLLOWING",$D$11,"NORMAL")</f>
        <v>44033</v>
      </c>
      <c r="D1106" s="20">
        <f ca="1">_xll.meDateFromTenor(C1106,"1D","Following",$D$11,"Normal")</f>
        <v>44034</v>
      </c>
      <c r="E1106" s="99">
        <f ca="1"/>
        <v>1.3606979916016563E-2</v>
      </c>
      <c r="F1106" s="161">
        <f ca="1">_xll.meCurveForwardRates(C1106,$D$9,$D$10)</f>
        <v>1.3699715518958655E-2</v>
      </c>
      <c r="G1106" s="7" t="s">
        <v>4</v>
      </c>
      <c r="H1106" s="149">
        <f t="shared" ca="1" si="34"/>
        <v>44033</v>
      </c>
      <c r="I1106" s="20">
        <f ca="1">_xll.meDateFromTenor(H1106,"3M","Following",$I$11,"Normal")</f>
        <v>44125</v>
      </c>
      <c r="J1106" s="150">
        <f ca="1"/>
        <v>1.7860366853801247E-2</v>
      </c>
      <c r="K1106" s="7" t="s">
        <v>4</v>
      </c>
      <c r="L1106" s="149" t="e">
        <f ca="1">_xll.meDateFromTenor(L1105,"1D","FOLLOWING",#REF!,"NORMAL")</f>
        <v>#VALUE!</v>
      </c>
      <c r="M1106" s="155">
        <f ca="1">_xll.meDateYearFraction(C1106,D1106,$M$11)</f>
        <v>2.7777777777777779E-3</v>
      </c>
      <c r="N1106" s="150">
        <f ca="1"/>
        <v>-2.4300000000065936E-3</v>
      </c>
      <c r="O1106" s="7" t="s">
        <v>4</v>
      </c>
      <c r="P1106" s="149">
        <f t="shared" ca="1" si="35"/>
        <v>44033</v>
      </c>
      <c r="Q1106" s="155">
        <f ca="1">_xll.meDateYearFraction(H1106,I1106,$Q$11,TRUE)</f>
        <v>0.25555555555555554</v>
      </c>
      <c r="R1106" s="150">
        <f ca="1">IF(NOW(),_xll.meCurveForwardRatesFromYearFraction(P1106,Q1106,$Q$11,$Q$9,$Q$10))</f>
        <v>-3.7175485397107962E-3</v>
      </c>
      <c r="S1106" s="134" t="s">
        <v>4</v>
      </c>
    </row>
    <row r="1107" spans="1:19" x14ac:dyDescent="0.25">
      <c r="A1107" s="128">
        <v>1091</v>
      </c>
      <c r="B1107" s="133"/>
      <c r="C1107" s="149">
        <f ca="1">_xll.meDateFromTenor(C1106,"1D","FOLLOWING",$D$11,"NORMAL")</f>
        <v>44034</v>
      </c>
      <c r="D1107" s="20">
        <f ca="1">_xll.meDateFromTenor(C1107,"1D","Following",$D$11,"Normal")</f>
        <v>44035</v>
      </c>
      <c r="E1107" s="99">
        <f ca="1"/>
        <v>1.361156723901367E-2</v>
      </c>
      <c r="F1107" s="161">
        <f ca="1">_xll.meCurveForwardRates(C1107,$D$9,$D$10)</f>
        <v>1.3704365521854944E-2</v>
      </c>
      <c r="G1107" s="7" t="s">
        <v>4</v>
      </c>
      <c r="H1107" s="149">
        <f t="shared" ca="1" si="34"/>
        <v>44034</v>
      </c>
      <c r="I1107" s="20">
        <f ca="1">_xll.meDateFromTenor(H1107,"3M","Following",$I$11,"Normal")</f>
        <v>44126</v>
      </c>
      <c r="J1107" s="150">
        <f ca="1"/>
        <v>1.7864285594115095E-2</v>
      </c>
      <c r="K1107" s="7" t="s">
        <v>4</v>
      </c>
      <c r="L1107" s="149" t="e">
        <f ca="1">_xll.meDateFromTenor(L1106,"1D","FOLLOWING",#REF!,"NORMAL")</f>
        <v>#VALUE!</v>
      </c>
      <c r="M1107" s="155">
        <f ca="1">_xll.meDateYearFraction(C1107,D1107,$M$11)</f>
        <v>2.7777777777777779E-3</v>
      </c>
      <c r="N1107" s="150">
        <f ca="1"/>
        <v>-2.4300000000065936E-3</v>
      </c>
      <c r="O1107" s="7" t="s">
        <v>4</v>
      </c>
      <c r="P1107" s="149">
        <f t="shared" ca="1" si="35"/>
        <v>44034</v>
      </c>
      <c r="Q1107" s="155">
        <f ca="1">_xll.meDateYearFraction(H1107,I1107,$Q$11,TRUE)</f>
        <v>0.25555555555555554</v>
      </c>
      <c r="R1107" s="150">
        <f ca="1">IF(NOW(),_xll.meCurveForwardRatesFromYearFraction(P1107,Q1107,$Q$11,$Q$9,$Q$10))</f>
        <v>1.2150086954436749E-3</v>
      </c>
      <c r="S1107" s="134" t="s">
        <v>4</v>
      </c>
    </row>
    <row r="1108" spans="1:19" x14ac:dyDescent="0.25">
      <c r="A1108" s="128">
        <v>1092</v>
      </c>
      <c r="B1108" s="133"/>
      <c r="C1108" s="149">
        <f ca="1">_xll.meDateFromTenor(C1107,"1D","FOLLOWING",$D$11,"NORMAL")</f>
        <v>44035</v>
      </c>
      <c r="D1108" s="20">
        <f ca="1">_xll.meDateFromTenor(C1108,"1D","Following",$D$11,"Normal")</f>
        <v>44036</v>
      </c>
      <c r="E1108" s="99">
        <f ca="1"/>
        <v>1.3616160835721041E-2</v>
      </c>
      <c r="F1108" s="161">
        <f ca="1">_xll.meCurveForwardRates(C1108,$D$9,$D$10)</f>
        <v>1.3709021905498053E-2</v>
      </c>
      <c r="G1108" s="7" t="s">
        <v>4</v>
      </c>
      <c r="H1108" s="149">
        <f t="shared" ca="1" si="34"/>
        <v>44035</v>
      </c>
      <c r="I1108" s="20">
        <f ca="1">_xll.meDateFromTenor(H1108,"3M","Following",$I$11,"Normal")</f>
        <v>44127</v>
      </c>
      <c r="J1108" s="150">
        <f ca="1"/>
        <v>1.7868196318463824E-2</v>
      </c>
      <c r="K1108" s="7" t="s">
        <v>4</v>
      </c>
      <c r="L1108" s="149" t="e">
        <f ca="1">_xll.meDateFromTenor(L1107,"1D","FOLLOWING",#REF!,"NORMAL")</f>
        <v>#VALUE!</v>
      </c>
      <c r="M1108" s="155">
        <f ca="1">_xll.meDateYearFraction(C1108,D1108,$M$11)</f>
        <v>2.7777777777777779E-3</v>
      </c>
      <c r="N1108" s="150">
        <f ca="1"/>
        <v>-2.4300000000065936E-3</v>
      </c>
      <c r="O1108" s="7" t="s">
        <v>4</v>
      </c>
      <c r="P1108" s="149">
        <f t="shared" ca="1" si="35"/>
        <v>44035</v>
      </c>
      <c r="Q1108" s="155">
        <f ca="1">_xll.meDateYearFraction(H1108,I1108,$Q$11,TRUE)</f>
        <v>0.25555555555555554</v>
      </c>
      <c r="R1108" s="150">
        <f ca="1">IF(NOW(),_xll.meCurveForwardRatesFromYearFraction(P1108,Q1108,$Q$11,$Q$9,$Q$10))</f>
        <v>1.2217426062652765E-3</v>
      </c>
      <c r="S1108" s="134" t="s">
        <v>4</v>
      </c>
    </row>
    <row r="1109" spans="1:19" x14ac:dyDescent="0.25">
      <c r="A1109" s="128">
        <v>1093</v>
      </c>
      <c r="B1109" s="133"/>
      <c r="C1109" s="149">
        <f ca="1">_xll.meDateFromTenor(C1108,"1D","FOLLOWING",$D$11,"NORMAL")</f>
        <v>44036</v>
      </c>
      <c r="D1109" s="20">
        <f ca="1">_xll.meDateFromTenor(C1109,"1D","Following",$D$11,"Normal")</f>
        <v>44039</v>
      </c>
      <c r="E1109" s="99">
        <f ca="1"/>
        <v>1.3625884650458208E-2</v>
      </c>
      <c r="F1109" s="161">
        <f ca="1">_xll.meCurveForwardRates(C1109,$D$9,$D$10)</f>
        <v>1.3713684671254889E-2</v>
      </c>
      <c r="G1109" s="7" t="s">
        <v>4</v>
      </c>
      <c r="H1109" s="149">
        <f t="shared" ca="1" si="34"/>
        <v>44036</v>
      </c>
      <c r="I1109" s="20">
        <f ca="1">_xll.meDateFromTenor(H1109,"3M","Following",$I$11,"Normal")</f>
        <v>44130</v>
      </c>
      <c r="J1109" s="150">
        <f ca="1"/>
        <v>1.7872099109130415E-2</v>
      </c>
      <c r="K1109" s="7" t="s">
        <v>4</v>
      </c>
      <c r="L1109" s="149" t="e">
        <f ca="1">_xll.meDateFromTenor(L1108,"1D","FOLLOWING",#REF!,"NORMAL")</f>
        <v>#VALUE!</v>
      </c>
      <c r="M1109" s="155">
        <f ca="1">_xll.meDateYearFraction(C1109,D1109,$M$11)</f>
        <v>8.3333333333333332E-3</v>
      </c>
      <c r="N1109" s="150">
        <f ca="1"/>
        <v>-2.4300000000065936E-3</v>
      </c>
      <c r="O1109" s="7" t="s">
        <v>4</v>
      </c>
      <c r="P1109" s="149">
        <f t="shared" ca="1" si="35"/>
        <v>44036</v>
      </c>
      <c r="Q1109" s="155">
        <f ca="1">_xll.meDateYearFraction(H1109,I1109,$Q$11,TRUE)</f>
        <v>0.26111111111111113</v>
      </c>
      <c r="R1109" s="150">
        <f ca="1">IF(NOW(),_xll.meCurveForwardRatesFromYearFraction(P1109,Q1109,$Q$11,$Q$9,$Q$10))</f>
        <v>1.228478838791633E-3</v>
      </c>
      <c r="S1109" s="134" t="s">
        <v>4</v>
      </c>
    </row>
    <row r="1110" spans="1:19" x14ac:dyDescent="0.25">
      <c r="A1110" s="128">
        <v>1094</v>
      </c>
      <c r="B1110" s="133"/>
      <c r="C1110" s="149">
        <f ca="1">_xll.meDateFromTenor(C1109,"1D","FOLLOWING",$D$11,"NORMAL")</f>
        <v>44039</v>
      </c>
      <c r="D1110" s="20">
        <f ca="1">_xll.meDateFromTenor(C1110,"1D","Following",$D$11,"Normal")</f>
        <v>44040</v>
      </c>
      <c r="E1110" s="99">
        <f ca="1"/>
        <v>1.363459798360509E-2</v>
      </c>
      <c r="F1110" s="161">
        <f ca="1">_xll.meCurveForwardRates(C1110,$D$9,$D$10)</f>
        <v>1.372771127357475E-2</v>
      </c>
      <c r="G1110" s="7" t="s">
        <v>4</v>
      </c>
      <c r="H1110" s="149">
        <f t="shared" ca="1" si="34"/>
        <v>44039</v>
      </c>
      <c r="I1110" s="20">
        <f ca="1">_xll.meDateFromTenor(H1110,"3M","Following",$I$11,"Normal")</f>
        <v>44131</v>
      </c>
      <c r="J1110" s="150">
        <f ca="1"/>
        <v>1.7883760701867112E-2</v>
      </c>
      <c r="K1110" s="7" t="s">
        <v>4</v>
      </c>
      <c r="L1110" s="149" t="e">
        <f ca="1">_xll.meDateFromTenor(L1109,"1D","FOLLOWING",#REF!,"NORMAL")</f>
        <v>#VALUE!</v>
      </c>
      <c r="M1110" s="155">
        <f ca="1">_xll.meDateYearFraction(C1110,D1110,$M$11)</f>
        <v>2.7777777777777779E-3</v>
      </c>
      <c r="N1110" s="150">
        <f ca="1"/>
        <v>-2.4300000000065936E-3</v>
      </c>
      <c r="O1110" s="7" t="s">
        <v>4</v>
      </c>
      <c r="P1110" s="149">
        <f t="shared" ca="1" si="35"/>
        <v>44039</v>
      </c>
      <c r="Q1110" s="155">
        <f ca="1">_xll.meDateYearFraction(H1110,I1110,$Q$11,TRUE)</f>
        <v>0.25555555555555554</v>
      </c>
      <c r="R1110" s="150">
        <f ca="1">IF(NOW(),_xll.meCurveForwardRatesFromYearFraction(P1110,Q1110,$Q$11,$Q$9,$Q$10))</f>
        <v>-3.7175485397107962E-3</v>
      </c>
      <c r="S1110" s="134" t="s">
        <v>4</v>
      </c>
    </row>
    <row r="1111" spans="1:19" x14ac:dyDescent="0.25">
      <c r="A1111" s="128">
        <v>1095</v>
      </c>
      <c r="B1111" s="133"/>
      <c r="C1111" s="149">
        <f ca="1">_xll.meDateFromTenor(C1110,"1D","FOLLOWING",$D$11,"NORMAL")</f>
        <v>44040</v>
      </c>
      <c r="D1111" s="20">
        <f ca="1">_xll.meDateFromTenor(C1111,"1D","Following",$D$11,"Normal")</f>
        <v>44041</v>
      </c>
      <c r="E1111" s="99">
        <f ca="1"/>
        <v>1.3639222966086448E-2</v>
      </c>
      <c r="F1111" s="161">
        <f ca="1">_xll.meCurveForwardRates(C1111,$D$9,$D$10)</f>
        <v>1.3732399579727605E-2</v>
      </c>
      <c r="G1111" s="7" t="s">
        <v>4</v>
      </c>
      <c r="H1111" s="149">
        <f t="shared" ca="1" si="34"/>
        <v>44040</v>
      </c>
      <c r="I1111" s="20">
        <f ca="1">_xll.meDateFromTenor(H1111,"3M","Following",$I$11,"Normal")</f>
        <v>44132</v>
      </c>
      <c r="J1111" s="150">
        <f ca="1"/>
        <v>1.7887632580634916E-2</v>
      </c>
      <c r="K1111" s="7" t="s">
        <v>4</v>
      </c>
      <c r="L1111" s="149" t="e">
        <f ca="1">_xll.meDateFromTenor(L1110,"1D","FOLLOWING",#REF!,"NORMAL")</f>
        <v>#VALUE!</v>
      </c>
      <c r="M1111" s="155">
        <f ca="1">_xll.meDateYearFraction(C1111,D1111,$M$11)</f>
        <v>2.7777777777777779E-3</v>
      </c>
      <c r="N1111" s="150">
        <f ca="1"/>
        <v>-2.4300000000065936E-3</v>
      </c>
      <c r="O1111" s="7" t="s">
        <v>4</v>
      </c>
      <c r="P1111" s="149">
        <f t="shared" ca="1" si="35"/>
        <v>44040</v>
      </c>
      <c r="Q1111" s="155">
        <f ca="1">_xll.meDateYearFraction(H1111,I1111,$Q$11,TRUE)</f>
        <v>0.25555555555555554</v>
      </c>
      <c r="R1111" s="150">
        <f ca="1">IF(NOW(),_xll.meCurveForwardRatesFromYearFraction(P1111,Q1111,$Q$11,$Q$9,$Q$10))</f>
        <v>-3.7175485397107962E-3</v>
      </c>
      <c r="S1111" s="134" t="s">
        <v>4</v>
      </c>
    </row>
    <row r="1112" spans="1:19" x14ac:dyDescent="0.25">
      <c r="A1112" s="128">
        <v>1096</v>
      </c>
      <c r="B1112" s="133"/>
      <c r="C1112" s="149">
        <f ca="1">_xll.meDateFromTenor(C1111,"1D","FOLLOWING",$D$11,"NORMAL")</f>
        <v>44041</v>
      </c>
      <c r="D1112" s="20">
        <f ca="1">_xll.meDateFromTenor(C1112,"1D","Following",$D$11,"Normal")</f>
        <v>44042</v>
      </c>
      <c r="E1112" s="99">
        <f ca="1"/>
        <v>1.3643854229135144E-2</v>
      </c>
      <c r="F1112" s="161">
        <f ca="1">_xll.meCurveForwardRates(C1112,$D$9,$D$10)</f>
        <v>1.3737094274105299E-2</v>
      </c>
      <c r="G1112" s="7" t="s">
        <v>4</v>
      </c>
      <c r="H1112" s="149">
        <f t="shared" ca="1" si="34"/>
        <v>44041</v>
      </c>
      <c r="I1112" s="20">
        <f ca="1">_xll.meDateFromTenor(H1112,"3M","Following",$I$11,"Normal")</f>
        <v>44133</v>
      </c>
      <c r="J1112" s="150">
        <f ca="1"/>
        <v>1.789149693713547E-2</v>
      </c>
      <c r="K1112" s="7" t="s">
        <v>4</v>
      </c>
      <c r="L1112" s="149" t="e">
        <f ca="1">_xll.meDateFromTenor(L1111,"1D","FOLLOWING",#REF!,"NORMAL")</f>
        <v>#VALUE!</v>
      </c>
      <c r="M1112" s="155">
        <f ca="1">_xll.meDateYearFraction(C1112,D1112,$M$11)</f>
        <v>2.7777777777777779E-3</v>
      </c>
      <c r="N1112" s="150">
        <f ca="1"/>
        <v>-2.4300000000065936E-3</v>
      </c>
      <c r="O1112" s="7" t="s">
        <v>4</v>
      </c>
      <c r="P1112" s="149">
        <f t="shared" ca="1" si="35"/>
        <v>44041</v>
      </c>
      <c r="Q1112" s="155">
        <f ca="1">_xll.meDateYearFraction(H1112,I1112,$Q$11,TRUE)</f>
        <v>0.25555555555555554</v>
      </c>
      <c r="R1112" s="150">
        <f ca="1">IF(NOW(),_xll.meCurveForwardRatesFromYearFraction(P1112,Q1112,$Q$11,$Q$9,$Q$10))</f>
        <v>-3.7175485397107962E-3</v>
      </c>
      <c r="S1112" s="134" t="s">
        <v>4</v>
      </c>
    </row>
    <row r="1113" spans="1:19" x14ac:dyDescent="0.25">
      <c r="A1113" s="128">
        <v>1097</v>
      </c>
      <c r="B1113" s="133"/>
      <c r="C1113" s="149">
        <f ca="1">_xll.meDateFromTenor(C1112,"1D","FOLLOWING",$D$11,"NORMAL")</f>
        <v>44042</v>
      </c>
      <c r="D1113" s="20">
        <f ca="1">_xll.meDateFromTenor(C1113,"1D","Following",$D$11,"Normal")</f>
        <v>44043</v>
      </c>
      <c r="E1113" s="99">
        <f ca="1"/>
        <v>1.3648491773647919E-2</v>
      </c>
      <c r="F1113" s="161">
        <f ca="1">_xll.meCurveForwardRates(C1113,$D$9,$D$10)</f>
        <v>1.3741795357705477E-2</v>
      </c>
      <c r="G1113" s="7" t="s">
        <v>4</v>
      </c>
      <c r="H1113" s="149">
        <f t="shared" ca="1" si="34"/>
        <v>44042</v>
      </c>
      <c r="I1113" s="20">
        <f ca="1">_xll.meDateFromTenor(H1113,"3M","Following",$I$11,"Normal")</f>
        <v>44134</v>
      </c>
      <c r="J1113" s="150">
        <f ca="1"/>
        <v>1.7895353853651753E-2</v>
      </c>
      <c r="K1113" s="7" t="s">
        <v>4</v>
      </c>
      <c r="L1113" s="149" t="e">
        <f ca="1">_xll.meDateFromTenor(L1112,"1D","FOLLOWING",#REF!,"NORMAL")</f>
        <v>#VALUE!</v>
      </c>
      <c r="M1113" s="155">
        <f ca="1">_xll.meDateYearFraction(C1113,D1113,$M$11)</f>
        <v>2.7777777777777779E-3</v>
      </c>
      <c r="N1113" s="150">
        <f ca="1"/>
        <v>-2.4300000000065936E-3</v>
      </c>
      <c r="O1113" s="7" t="s">
        <v>4</v>
      </c>
      <c r="P1113" s="149">
        <f t="shared" ca="1" si="35"/>
        <v>44042</v>
      </c>
      <c r="Q1113" s="155">
        <f ca="1">_xll.meDateYearFraction(H1113,I1113,$Q$11,TRUE)</f>
        <v>0.25555555555555554</v>
      </c>
      <c r="R1113" s="150">
        <f ca="1">IF(NOW(),_xll.meCurveForwardRatesFromYearFraction(P1113,Q1113,$Q$11,$Q$9,$Q$10))</f>
        <v>1.26894368208366E-3</v>
      </c>
      <c r="S1113" s="134" t="s">
        <v>4</v>
      </c>
    </row>
    <row r="1114" spans="1:19" x14ac:dyDescent="0.25">
      <c r="A1114" s="128">
        <v>1098</v>
      </c>
      <c r="B1114" s="133"/>
      <c r="C1114" s="149">
        <f ca="1">_xll.meDateFromTenor(C1113,"1D","FOLLOWING",$D$11,"NORMAL")</f>
        <v>44043</v>
      </c>
      <c r="D1114" s="20">
        <f ca="1">_xll.meDateFromTenor(C1114,"1D","Following",$D$11,"Normal")</f>
        <v>44046</v>
      </c>
      <c r="E1114" s="99">
        <f ca="1"/>
        <v>1.3658305966356851E-2</v>
      </c>
      <c r="F1114" s="161">
        <f ca="1">_xll.meCurveForwardRates(C1114,$D$9,$D$10)</f>
        <v>1.3746502831814444E-2</v>
      </c>
      <c r="G1114" s="7" t="s">
        <v>4</v>
      </c>
      <c r="H1114" s="149">
        <f t="shared" ca="1" si="34"/>
        <v>44043</v>
      </c>
      <c r="I1114" s="20">
        <f ca="1">_xll.meDateFromTenor(H1114,"3M","Following",$I$11,"Normal")</f>
        <v>44137</v>
      </c>
      <c r="J1114" s="150">
        <f ca="1"/>
        <v>1.7899203412466744E-2</v>
      </c>
      <c r="K1114" s="7" t="s">
        <v>4</v>
      </c>
      <c r="L1114" s="149" t="e">
        <f ca="1">_xll.meDateFromTenor(L1113,"1D","FOLLOWING",#REF!,"NORMAL")</f>
        <v>#VALUE!</v>
      </c>
      <c r="M1114" s="155">
        <f ca="1">_xll.meDateYearFraction(C1114,D1114,$M$11)</f>
        <v>8.3333333333333332E-3</v>
      </c>
      <c r="N1114" s="150">
        <f ca="1"/>
        <v>-2.4300000000065936E-3</v>
      </c>
      <c r="O1114" s="7" t="s">
        <v>4</v>
      </c>
      <c r="P1114" s="149">
        <f t="shared" ca="1" si="35"/>
        <v>44043</v>
      </c>
      <c r="Q1114" s="155">
        <f ca="1">_xll.meDateYearFraction(H1114,I1114,$Q$11,TRUE)</f>
        <v>0.26111111111111113</v>
      </c>
      <c r="R1114" s="150">
        <f ca="1">IF(NOW(),_xll.meCurveForwardRatesFromYearFraction(P1114,Q1114,$Q$11,$Q$9,$Q$10))</f>
        <v>-3.7175485397107962E-3</v>
      </c>
      <c r="S1114" s="134" t="s">
        <v>4</v>
      </c>
    </row>
    <row r="1115" spans="1:19" x14ac:dyDescent="0.25">
      <c r="A1115" s="128">
        <v>1099</v>
      </c>
      <c r="B1115" s="133"/>
      <c r="C1115" s="149">
        <f ca="1">_xll.meDateFromTenor(C1114,"1D","FOLLOWING",$D$11,"NORMAL")</f>
        <v>44046</v>
      </c>
      <c r="D1115" s="20">
        <f ca="1">_xll.meDateFromTenor(C1115,"1D","Following",$D$11,"Normal")</f>
        <v>44047</v>
      </c>
      <c r="E1115" s="99">
        <f ca="1"/>
        <v>1.3667104788936971E-2</v>
      </c>
      <c r="F1115" s="161">
        <f ca="1">_xll.meCurveForwardRates(C1115,$D$9,$D$10)</f>
        <v>1.376066360900885E-2</v>
      </c>
      <c r="G1115" s="7" t="s">
        <v>4</v>
      </c>
      <c r="H1115" s="149">
        <f t="shared" ca="1" si="34"/>
        <v>44046</v>
      </c>
      <c r="I1115" s="20">
        <f ca="1">_xll.meDateFromTenor(H1115,"3M","Following",$I$11,"Normal")</f>
        <v>44138</v>
      </c>
      <c r="J1115" s="150">
        <f ca="1"/>
        <v>1.7910708765533728E-2</v>
      </c>
      <c r="K1115" s="7" t="s">
        <v>4</v>
      </c>
      <c r="L1115" s="149" t="e">
        <f ca="1">_xll.meDateFromTenor(L1114,"1D","FOLLOWING",#REF!,"NORMAL")</f>
        <v>#VALUE!</v>
      </c>
      <c r="M1115" s="155">
        <f ca="1">_xll.meDateYearFraction(C1115,D1115,$M$11)</f>
        <v>2.7777777777777779E-3</v>
      </c>
      <c r="N1115" s="150">
        <f ca="1"/>
        <v>-2.4300000000065936E-3</v>
      </c>
      <c r="O1115" s="7" t="s">
        <v>4</v>
      </c>
      <c r="P1115" s="149">
        <f t="shared" ca="1" si="35"/>
        <v>44046</v>
      </c>
      <c r="Q1115" s="155">
        <f ca="1">_xll.meDateYearFraction(H1115,I1115,$Q$11,TRUE)</f>
        <v>0.25555555555555554</v>
      </c>
      <c r="R1115" s="150">
        <f ca="1">IF(NOW(),_xll.meCurveForwardRatesFromYearFraction(P1115,Q1115,$Q$11,$Q$9,$Q$10))</f>
        <v>1.2959637205575141E-3</v>
      </c>
      <c r="S1115" s="134" t="s">
        <v>4</v>
      </c>
    </row>
    <row r="1116" spans="1:19" x14ac:dyDescent="0.25">
      <c r="A1116" s="128">
        <v>1100</v>
      </c>
      <c r="B1116" s="133"/>
      <c r="C1116" s="149">
        <f ca="1">_xll.meDateFromTenor(C1115,"1D","FOLLOWING",$D$11,"NORMAL")</f>
        <v>44047</v>
      </c>
      <c r="D1116" s="20">
        <f ca="1">_xll.meDateFromTenor(C1116,"1D","Following",$D$11,"Normal")</f>
        <v>44048</v>
      </c>
      <c r="E1116" s="99">
        <f ca="1"/>
        <v>1.3671773757504363E-2</v>
      </c>
      <c r="F1116" s="161">
        <f ca="1">_xll.meCurveForwardRates(C1116,$D$9,$D$10)</f>
        <v>1.3765396657014373E-2</v>
      </c>
      <c r="G1116" s="7" t="s">
        <v>4</v>
      </c>
      <c r="H1116" s="149">
        <f t="shared" ca="1" si="34"/>
        <v>44047</v>
      </c>
      <c r="I1116" s="20">
        <f ca="1">_xll.meDateFromTenor(H1116,"3M","Following",$I$11,"Normal")</f>
        <v>44139</v>
      </c>
      <c r="J1116" s="150">
        <f ca="1"/>
        <v>1.7914529716373327E-2</v>
      </c>
      <c r="K1116" s="7" t="s">
        <v>4</v>
      </c>
      <c r="L1116" s="149" t="e">
        <f ca="1">_xll.meDateFromTenor(L1115,"1D","FOLLOWING",#REF!,"NORMAL")</f>
        <v>#VALUE!</v>
      </c>
      <c r="M1116" s="155">
        <f ca="1">_xll.meDateYearFraction(C1116,D1116,$M$11)</f>
        <v>2.7777777777777779E-3</v>
      </c>
      <c r="N1116" s="150">
        <f ca="1"/>
        <v>-2.4300000000065936E-3</v>
      </c>
      <c r="O1116" s="7" t="s">
        <v>4</v>
      </c>
      <c r="P1116" s="149">
        <f t="shared" ca="1" si="35"/>
        <v>44047</v>
      </c>
      <c r="Q1116" s="155">
        <f ca="1">_xll.meDateYearFraction(H1116,I1116,$Q$11,TRUE)</f>
        <v>0.25555555555555554</v>
      </c>
      <c r="R1116" s="150">
        <f ca="1">IF(NOW(),_xll.meCurveForwardRatesFromYearFraction(P1116,Q1116,$Q$11,$Q$9,$Q$10))</f>
        <v>1.3027239506584014E-3</v>
      </c>
      <c r="S1116" s="134" t="s">
        <v>4</v>
      </c>
    </row>
    <row r="1117" spans="1:19" x14ac:dyDescent="0.25">
      <c r="A1117" s="128">
        <v>1101</v>
      </c>
      <c r="B1117" s="133"/>
      <c r="C1117" s="149">
        <f ca="1">_xll.meDateFromTenor(C1116,"1D","FOLLOWING",$D$11,"NORMAL")</f>
        <v>44048</v>
      </c>
      <c r="D1117" s="20">
        <f ca="1">_xll.meDateFromTenor(C1117,"1D","Following",$D$11,"Normal")</f>
        <v>44049</v>
      </c>
      <c r="E1117" s="99">
        <f ca="1"/>
        <v>1.3676449014090611E-2</v>
      </c>
      <c r="F1117" s="161">
        <f ca="1">_xll.meCurveForwardRates(C1117,$D$9,$D$10)</f>
        <v>1.3770136101419528E-2</v>
      </c>
      <c r="G1117" s="7" t="s">
        <v>4</v>
      </c>
      <c r="H1117" s="149">
        <f t="shared" ca="1" si="34"/>
        <v>44048</v>
      </c>
      <c r="I1117" s="20">
        <f ca="1">_xll.meDateFromTenor(H1117,"3M","Following",$I$11,"Normal")</f>
        <v>44140</v>
      </c>
      <c r="J1117" s="150">
        <f ca="1"/>
        <v>1.7918343720926516E-2</v>
      </c>
      <c r="K1117" s="7" t="s">
        <v>4</v>
      </c>
      <c r="L1117" s="149" t="e">
        <f ca="1">_xll.meDateFromTenor(L1116,"1D","FOLLOWING",#REF!,"NORMAL")</f>
        <v>#VALUE!</v>
      </c>
      <c r="M1117" s="155">
        <f ca="1">_xll.meDateYearFraction(C1117,D1117,$M$11)</f>
        <v>2.7777777777777779E-3</v>
      </c>
      <c r="N1117" s="150">
        <f ca="1"/>
        <v>-2.4300000000065936E-3</v>
      </c>
      <c r="O1117" s="7" t="s">
        <v>4</v>
      </c>
      <c r="P1117" s="149">
        <f t="shared" ca="1" si="35"/>
        <v>44048</v>
      </c>
      <c r="Q1117" s="155">
        <f ca="1">_xll.meDateYearFraction(H1117,I1117,$Q$11,TRUE)</f>
        <v>0.25555555555555554</v>
      </c>
      <c r="R1117" s="150">
        <f ca="1">IF(NOW(),_xll.meCurveForwardRatesFromYearFraction(P1117,Q1117,$Q$11,$Q$9,$Q$10))</f>
        <v>1.3094862222499011E-3</v>
      </c>
      <c r="S1117" s="134" t="s">
        <v>4</v>
      </c>
    </row>
    <row r="1118" spans="1:19" x14ac:dyDescent="0.25">
      <c r="A1118" s="128">
        <v>1102</v>
      </c>
      <c r="B1118" s="133"/>
      <c r="C1118" s="149">
        <f ca="1">_xll.meDateFromTenor(C1117,"1D","FOLLOWING",$D$11,"NORMAL")</f>
        <v>44049</v>
      </c>
      <c r="D1118" s="20">
        <f ca="1">_xll.meDateFromTenor(C1118,"1D","Following",$D$11,"Normal")</f>
        <v>44050</v>
      </c>
      <c r="E1118" s="99">
        <f ca="1"/>
        <v>1.3681130559957204E-2</v>
      </c>
      <c r="F1118" s="161">
        <f ca="1">_xll.meCurveForwardRates(C1118,$D$9,$D$10)</f>
        <v>1.3774881943592776E-2</v>
      </c>
      <c r="G1118" s="7" t="s">
        <v>4</v>
      </c>
      <c r="H1118" s="149">
        <f t="shared" ca="1" si="34"/>
        <v>44049</v>
      </c>
      <c r="I1118" s="20">
        <f ca="1">_xll.meDateFromTenor(H1118,"3M","Following",$I$11,"Normal")</f>
        <v>44141</v>
      </c>
      <c r="J1118" s="150">
        <f ca="1"/>
        <v>1.7922150861476287E-2</v>
      </c>
      <c r="K1118" s="7" t="s">
        <v>4</v>
      </c>
      <c r="L1118" s="149" t="e">
        <f ca="1">_xll.meDateFromTenor(L1117,"1D","FOLLOWING",#REF!,"NORMAL")</f>
        <v>#VALUE!</v>
      </c>
      <c r="M1118" s="155">
        <f ca="1">_xll.meDateYearFraction(C1118,D1118,$M$11)</f>
        <v>2.7777777777777779E-3</v>
      </c>
      <c r="N1118" s="150">
        <f ca="1"/>
        <v>-2.4300000000065936E-3</v>
      </c>
      <c r="O1118" s="7" t="s">
        <v>4</v>
      </c>
      <c r="P1118" s="149">
        <f t="shared" ca="1" si="35"/>
        <v>44049</v>
      </c>
      <c r="Q1118" s="155">
        <f ca="1">_xll.meDateYearFraction(H1118,I1118,$Q$11,TRUE)</f>
        <v>0.25555555555555554</v>
      </c>
      <c r="R1118" s="150">
        <f ca="1">IF(NOW(),_xll.meCurveForwardRatesFromYearFraction(P1118,Q1118,$Q$11,$Q$9,$Q$10))</f>
        <v>-3.7175485397107962E-3</v>
      </c>
      <c r="S1118" s="134" t="s">
        <v>4</v>
      </c>
    </row>
    <row r="1119" spans="1:19" x14ac:dyDescent="0.25">
      <c r="A1119" s="128">
        <v>1103</v>
      </c>
      <c r="B1119" s="133"/>
      <c r="C1119" s="149">
        <f ca="1">_xll.meDateFromTenor(C1118,"1D","FOLLOWING",$D$11,"NORMAL")</f>
        <v>44050</v>
      </c>
      <c r="D1119" s="20">
        <f ca="1">_xll.meDateFromTenor(C1119,"1D","Following",$D$11,"Normal")</f>
        <v>44053</v>
      </c>
      <c r="E1119" s="99">
        <f ca="1"/>
        <v>1.3691035267174525E-2</v>
      </c>
      <c r="F1119" s="161">
        <f ca="1">_xll.meCurveForwardRates(C1119,$D$9,$D$10)</f>
        <v>1.3779634184694523E-2</v>
      </c>
      <c r="G1119" s="7" t="s">
        <v>4</v>
      </c>
      <c r="H1119" s="149">
        <f t="shared" ca="1" si="34"/>
        <v>44050</v>
      </c>
      <c r="I1119" s="20">
        <f ca="1">_xll.meDateFromTenor(H1119,"3M","Following",$I$11,"Normal")</f>
        <v>44144</v>
      </c>
      <c r="J1119" s="150">
        <f ca="1"/>
        <v>1.7925951220305613E-2</v>
      </c>
      <c r="K1119" s="7" t="s">
        <v>4</v>
      </c>
      <c r="L1119" s="149" t="e">
        <f ca="1">_xll.meDateFromTenor(L1118,"1D","FOLLOWING",#REF!,"NORMAL")</f>
        <v>#VALUE!</v>
      </c>
      <c r="M1119" s="155">
        <f ca="1">_xll.meDateYearFraction(C1119,D1119,$M$11)</f>
        <v>8.3333333333333332E-3</v>
      </c>
      <c r="N1119" s="150">
        <f ca="1"/>
        <v>-2.4300000000065936E-3</v>
      </c>
      <c r="O1119" s="7" t="s">
        <v>4</v>
      </c>
      <c r="P1119" s="149">
        <f t="shared" ca="1" si="35"/>
        <v>44050</v>
      </c>
      <c r="Q1119" s="155">
        <f ca="1">_xll.meDateYearFraction(H1119,I1119,$Q$11,TRUE)</f>
        <v>0.26111111111111113</v>
      </c>
      <c r="R1119" s="150">
        <f ca="1">IF(NOW(),_xll.meCurveForwardRatesFromYearFraction(P1119,Q1119,$Q$11,$Q$9,$Q$10))</f>
        <v>-3.7175485397107962E-3</v>
      </c>
      <c r="S1119" s="134" t="s">
        <v>4</v>
      </c>
    </row>
    <row r="1120" spans="1:19" x14ac:dyDescent="0.25">
      <c r="A1120" s="128">
        <v>1104</v>
      </c>
      <c r="B1120" s="133"/>
      <c r="C1120" s="149">
        <f ca="1">_xll.meDateFromTenor(C1119,"1D","FOLLOWING",$D$11,"NORMAL")</f>
        <v>44053</v>
      </c>
      <c r="D1120" s="20">
        <f ca="1">_xll.meDateFromTenor(C1120,"1D","Following",$D$11,"Normal")</f>
        <v>44054</v>
      </c>
      <c r="E1120" s="99">
        <f ca="1"/>
        <v>1.3699919657355142E-2</v>
      </c>
      <c r="F1120" s="161">
        <f ca="1">_xll.meCurveForwardRates(C1120,$D$9,$D$10)</f>
        <v>1.3793929313173248E-2</v>
      </c>
      <c r="G1120" s="7" t="s">
        <v>4</v>
      </c>
      <c r="H1120" s="149">
        <f t="shared" ca="1" si="34"/>
        <v>44053</v>
      </c>
      <c r="I1120" s="20">
        <f ca="1">_xll.meDateFromTenor(H1120,"3M","Following",$I$11,"Normal")</f>
        <v>44145</v>
      </c>
      <c r="J1120" s="150">
        <f ca="1"/>
        <v>1.7937312429300689E-2</v>
      </c>
      <c r="K1120" s="7" t="s">
        <v>4</v>
      </c>
      <c r="L1120" s="149" t="e">
        <f ca="1">_xll.meDateFromTenor(L1119,"1D","FOLLOWING",#REF!,"NORMAL")</f>
        <v>#VALUE!</v>
      </c>
      <c r="M1120" s="155">
        <f ca="1">_xll.meDateYearFraction(C1120,D1120,$M$11)</f>
        <v>2.7777777777777779E-3</v>
      </c>
      <c r="N1120" s="150">
        <f ca="1"/>
        <v>-2.4300000000065936E-3</v>
      </c>
      <c r="O1120" s="7" t="s">
        <v>4</v>
      </c>
      <c r="P1120" s="149">
        <f t="shared" ca="1" si="35"/>
        <v>44053</v>
      </c>
      <c r="Q1120" s="155">
        <f ca="1">_xll.meDateYearFraction(H1120,I1120,$Q$11,TRUE)</f>
        <v>0.25555555555555554</v>
      </c>
      <c r="R1120" s="150">
        <f ca="1">IF(NOW(),_xll.meCurveForwardRatesFromYearFraction(P1120,Q1120,$Q$11,$Q$9,$Q$10))</f>
        <v>-3.7175485397107962E-3</v>
      </c>
      <c r="S1120" s="134" t="s">
        <v>4</v>
      </c>
    </row>
    <row r="1121" spans="1:19" x14ac:dyDescent="0.25">
      <c r="A1121" s="128">
        <v>1105</v>
      </c>
      <c r="B1121" s="133"/>
      <c r="C1121" s="149">
        <f ca="1">_xll.meDateFromTenor(C1120,"1D","FOLLOWING",$D$11,"NORMAL")</f>
        <v>44054</v>
      </c>
      <c r="D1121" s="20">
        <f ca="1">_xll.meDateFromTenor(C1121,"1D","Following",$D$11,"Normal")</f>
        <v>44055</v>
      </c>
      <c r="E1121" s="99">
        <f ca="1"/>
        <v>1.3704632665663149E-2</v>
      </c>
      <c r="F1121" s="161">
        <f ca="1">_xll.meCurveForwardRates(C1121,$D$9,$D$10)</f>
        <v>1.3798707161789769E-2</v>
      </c>
      <c r="G1121" s="7" t="s">
        <v>4</v>
      </c>
      <c r="H1121" s="149">
        <f t="shared" ca="1" si="34"/>
        <v>44054</v>
      </c>
      <c r="I1121" s="20">
        <f ca="1">_xll.meDateFromTenor(H1121,"3M","Following",$I$11,"Normal")</f>
        <v>44147</v>
      </c>
      <c r="J1121" s="150">
        <f ca="1"/>
        <v>1.7941086484078012E-2</v>
      </c>
      <c r="K1121" s="7" t="s">
        <v>4</v>
      </c>
      <c r="L1121" s="149" t="e">
        <f ca="1">_xll.meDateFromTenor(L1120,"1D","FOLLOWING",#REF!,"NORMAL")</f>
        <v>#VALUE!</v>
      </c>
      <c r="M1121" s="155">
        <f ca="1">_xll.meDateYearFraction(C1121,D1121,$M$11)</f>
        <v>2.7777777777777779E-3</v>
      </c>
      <c r="N1121" s="150">
        <f ca="1"/>
        <v>-2.4300000000065936E-3</v>
      </c>
      <c r="O1121" s="7" t="s">
        <v>4</v>
      </c>
      <c r="P1121" s="149">
        <f t="shared" ca="1" si="35"/>
        <v>44054</v>
      </c>
      <c r="Q1121" s="155">
        <f ca="1">_xll.meDateYearFraction(H1121,I1121,$Q$11,TRUE)</f>
        <v>0.25833333333333336</v>
      </c>
      <c r="R1121" s="150">
        <f ca="1">IF(NOW(),_xll.meCurveForwardRatesFromYearFraction(P1121,Q1121,$Q$11,$Q$9,$Q$10))</f>
        <v>1.3501014154357653E-3</v>
      </c>
      <c r="S1121" s="134" t="s">
        <v>4</v>
      </c>
    </row>
    <row r="1122" spans="1:19" x14ac:dyDescent="0.25">
      <c r="A1122" s="128">
        <v>1106</v>
      </c>
      <c r="B1122" s="133"/>
      <c r="C1122" s="149">
        <f ca="1">_xll.meDateFromTenor(C1121,"1D","FOLLOWING",$D$11,"NORMAL")</f>
        <v>44055</v>
      </c>
      <c r="D1122" s="20">
        <f ca="1">_xll.meDateFromTenor(C1122,"1D","Following",$D$11,"Normal")</f>
        <v>44056</v>
      </c>
      <c r="E1122" s="99">
        <f ca="1"/>
        <v>1.3709351969806239E-2</v>
      </c>
      <c r="F1122" s="161">
        <f ca="1">_xll.meCurveForwardRates(C1122,$D$9,$D$10)</f>
        <v>1.3803491415357527E-2</v>
      </c>
      <c r="G1122" s="7" t="s">
        <v>4</v>
      </c>
      <c r="H1122" s="149">
        <f t="shared" ca="1" si="34"/>
        <v>44055</v>
      </c>
      <c r="I1122" s="20">
        <f ca="1">_xll.meDateFromTenor(H1122,"3M","Following",$I$11,"Normal")</f>
        <v>44147</v>
      </c>
      <c r="J1122" s="150">
        <f ca="1"/>
        <v>1.7944854168549778E-2</v>
      </c>
      <c r="K1122" s="7" t="s">
        <v>4</v>
      </c>
      <c r="L1122" s="149" t="e">
        <f ca="1">_xll.meDateFromTenor(L1121,"1D","FOLLOWING",#REF!,"NORMAL")</f>
        <v>#VALUE!</v>
      </c>
      <c r="M1122" s="155">
        <f ca="1">_xll.meDateYearFraction(C1122,D1122,$M$11)</f>
        <v>2.7777777777777779E-3</v>
      </c>
      <c r="N1122" s="150">
        <f ca="1"/>
        <v>-2.4300000000065936E-3</v>
      </c>
      <c r="O1122" s="7" t="s">
        <v>4</v>
      </c>
      <c r="P1122" s="149">
        <f t="shared" ca="1" si="35"/>
        <v>44055</v>
      </c>
      <c r="Q1122" s="155">
        <f ca="1">_xll.meDateYearFraction(H1122,I1122,$Q$11,TRUE)</f>
        <v>0.25555555555555554</v>
      </c>
      <c r="R1122" s="150">
        <f ca="1">IF(NOW(),_xll.meCurveForwardRatesFromYearFraction(P1122,Q1122,$Q$11,$Q$9,$Q$10))</f>
        <v>-3.7175485397107962E-3</v>
      </c>
      <c r="S1122" s="134" t="s">
        <v>4</v>
      </c>
    </row>
    <row r="1123" spans="1:19" x14ac:dyDescent="0.25">
      <c r="A1123" s="128">
        <v>1107</v>
      </c>
      <c r="B1123" s="133"/>
      <c r="C1123" s="149">
        <f ca="1">_xll.meDateFromTenor(C1122,"1D","FOLLOWING",$D$11,"NORMAL")</f>
        <v>44056</v>
      </c>
      <c r="D1123" s="20">
        <f ca="1">_xll.meDateFromTenor(C1123,"1D","Following",$D$11,"Normal")</f>
        <v>44057</v>
      </c>
      <c r="E1123" s="99">
        <f ca="1"/>
        <v>1.3714077570761173E-2</v>
      </c>
      <c r="F1123" s="161">
        <f ca="1">_xll.meCurveForwardRates(C1123,$D$9,$D$10)</f>
        <v>1.380828207495699E-2</v>
      </c>
      <c r="G1123" s="7" t="s">
        <v>4</v>
      </c>
      <c r="H1123" s="149">
        <f t="shared" ca="1" si="34"/>
        <v>44056</v>
      </c>
      <c r="I1123" s="20">
        <f ca="1">_xll.meDateFromTenor(H1123,"3M","Following",$I$11,"Normal")</f>
        <v>44148</v>
      </c>
      <c r="J1123" s="150">
        <f ca="1"/>
        <v>1.7948615564998969E-2</v>
      </c>
      <c r="K1123" s="7" t="s">
        <v>4</v>
      </c>
      <c r="L1123" s="149" t="e">
        <f ca="1">_xll.meDateFromTenor(L1122,"1D","FOLLOWING",#REF!,"NORMAL")</f>
        <v>#VALUE!</v>
      </c>
      <c r="M1123" s="155">
        <f ca="1">_xll.meDateYearFraction(C1123,D1123,$M$11)</f>
        <v>2.7777777777777779E-3</v>
      </c>
      <c r="N1123" s="150">
        <f ca="1"/>
        <v>-2.4300000000065936E-3</v>
      </c>
      <c r="O1123" s="7" t="s">
        <v>4</v>
      </c>
      <c r="P1123" s="149">
        <f t="shared" ca="1" si="35"/>
        <v>44056</v>
      </c>
      <c r="Q1123" s="155">
        <f ca="1">_xll.meDateYearFraction(H1123,I1123,$Q$11,TRUE)</f>
        <v>0.25555555555555554</v>
      </c>
      <c r="R1123" s="150">
        <f ca="1">IF(NOW(),_xll.meCurveForwardRatesFromYearFraction(P1123,Q1123,$Q$11,$Q$9,$Q$10))</f>
        <v>1.3636550865025209E-3</v>
      </c>
      <c r="S1123" s="134" t="s">
        <v>4</v>
      </c>
    </row>
    <row r="1124" spans="1:19" x14ac:dyDescent="0.25">
      <c r="A1124" s="128">
        <v>1108</v>
      </c>
      <c r="B1124" s="133"/>
      <c r="C1124" s="149">
        <f ca="1">_xll.meDateFromTenor(C1123,"1D","FOLLOWING",$D$11,"NORMAL")</f>
        <v>44057</v>
      </c>
      <c r="D1124" s="20">
        <f ca="1">_xll.meDateFromTenor(C1124,"1D","Following",$D$11,"Normal")</f>
        <v>44060</v>
      </c>
      <c r="E1124" s="99">
        <f ca="1"/>
        <v>1.3724072929725424E-2</v>
      </c>
      <c r="F1124" s="161">
        <f ca="1">_xll.meCurveForwardRates(C1124,$D$9,$D$10)</f>
        <v>1.3813079141957063E-2</v>
      </c>
      <c r="G1124" s="7" t="s">
        <v>4</v>
      </c>
      <c r="H1124" s="149">
        <f t="shared" ca="1" si="34"/>
        <v>44057</v>
      </c>
      <c r="I1124" s="20">
        <f ca="1">_xll.meDateFromTenor(H1124,"3M","Following",$I$11,"Normal")</f>
        <v>44151</v>
      </c>
      <c r="J1124" s="150">
        <f ca="1"/>
        <v>1.7952370755708564E-2</v>
      </c>
      <c r="K1124" s="7" t="s">
        <v>4</v>
      </c>
      <c r="L1124" s="149" t="e">
        <f ca="1">_xll.meDateFromTenor(L1123,"1D","FOLLOWING",#REF!,"NORMAL")</f>
        <v>#VALUE!</v>
      </c>
      <c r="M1124" s="155">
        <f ca="1">_xll.meDateYearFraction(C1124,D1124,$M$11)</f>
        <v>8.3333333333333332E-3</v>
      </c>
      <c r="N1124" s="150">
        <f ca="1"/>
        <v>-2.4300000000065936E-3</v>
      </c>
      <c r="O1124" s="7" t="s">
        <v>4</v>
      </c>
      <c r="P1124" s="149">
        <f t="shared" ca="1" si="35"/>
        <v>44057</v>
      </c>
      <c r="Q1124" s="155">
        <f ca="1">_xll.meDateYearFraction(H1124,I1124,$Q$11,TRUE)</f>
        <v>0.26111111111111113</v>
      </c>
      <c r="R1124" s="150">
        <f ca="1">IF(NOW(),_xll.meCurveForwardRatesFromYearFraction(P1124,Q1124,$Q$11,$Q$9,$Q$10))</f>
        <v>-3.7175485397107962E-3</v>
      </c>
      <c r="S1124" s="134" t="s">
        <v>4</v>
      </c>
    </row>
    <row r="1125" spans="1:19" x14ac:dyDescent="0.25">
      <c r="A1125" s="128">
        <v>1109</v>
      </c>
      <c r="B1125" s="133"/>
      <c r="C1125" s="149">
        <f ca="1">_xll.meDateFromTenor(C1124,"1D","FOLLOWING",$D$11,"NORMAL")</f>
        <v>44060</v>
      </c>
      <c r="D1125" s="20">
        <f ca="1">_xll.meDateFromTenor(C1125,"1D","Following",$D$11,"Normal")</f>
        <v>44061</v>
      </c>
      <c r="E1125" s="99">
        <f ca="1"/>
        <v>1.3733042966015432E-2</v>
      </c>
      <c r="F1125" s="161">
        <f ca="1">_xll.meCurveForwardRates(C1125,$D$9,$D$10)</f>
        <v>1.3827508799117316E-2</v>
      </c>
      <c r="G1125" s="7" t="s">
        <v>4</v>
      </c>
      <c r="H1125" s="149">
        <f t="shared" ca="1" si="34"/>
        <v>44060</v>
      </c>
      <c r="I1125" s="20">
        <f ca="1">_xll.meDateFromTenor(H1125,"3M","Following",$I$11,"Normal")</f>
        <v>44152</v>
      </c>
      <c r="J1125" s="150">
        <f ca="1"/>
        <v>1.7963599916229533E-2</v>
      </c>
      <c r="K1125" s="7" t="s">
        <v>4</v>
      </c>
      <c r="L1125" s="149" t="e">
        <f ca="1">_xll.meDateFromTenor(L1124,"1D","FOLLOWING",#REF!,"NORMAL")</f>
        <v>#VALUE!</v>
      </c>
      <c r="M1125" s="155">
        <f ca="1">_xll.meDateYearFraction(C1125,D1125,$M$11)</f>
        <v>2.7777777777777779E-3</v>
      </c>
      <c r="N1125" s="150">
        <f ca="1"/>
        <v>-2.4300000000065936E-3</v>
      </c>
      <c r="O1125" s="7" t="s">
        <v>4</v>
      </c>
      <c r="P1125" s="149">
        <f t="shared" ca="1" si="35"/>
        <v>44060</v>
      </c>
      <c r="Q1125" s="155">
        <f ca="1">_xll.meDateYearFraction(H1125,I1125,$Q$11,TRUE)</f>
        <v>0.25555555555555554</v>
      </c>
      <c r="R1125" s="150">
        <f ca="1">IF(NOW(),_xll.meCurveForwardRatesFromYearFraction(P1125,Q1125,$Q$11,$Q$9,$Q$10))</f>
        <v>1.3907842177866548E-3</v>
      </c>
      <c r="S1125" s="134" t="s">
        <v>4</v>
      </c>
    </row>
    <row r="1126" spans="1:19" x14ac:dyDescent="0.25">
      <c r="A1126" s="128">
        <v>1110</v>
      </c>
      <c r="B1126" s="133"/>
      <c r="C1126" s="149">
        <f ca="1">_xll.meDateFromTenor(C1125,"1D","FOLLOWING",$D$11,"NORMAL")</f>
        <v>44061</v>
      </c>
      <c r="D1126" s="20">
        <f ca="1">_xll.meDateFromTenor(C1126,"1D","Following",$D$11,"Normal")</f>
        <v>44062</v>
      </c>
      <c r="E1126" s="99">
        <f ca="1"/>
        <v>1.3737800068163237E-2</v>
      </c>
      <c r="F1126" s="161">
        <f ca="1">_xll.meCurveForwardRates(C1126,$D$9,$D$10)</f>
        <v>1.3832331507602547E-2</v>
      </c>
      <c r="G1126" s="7" t="s">
        <v>4</v>
      </c>
      <c r="H1126" s="149">
        <f t="shared" ca="1" si="34"/>
        <v>44061</v>
      </c>
      <c r="I1126" s="20">
        <f ca="1">_xll.meDateFromTenor(H1126,"3M","Following",$I$11,"Normal")</f>
        <v>44153</v>
      </c>
      <c r="J1126" s="150">
        <f ca="1"/>
        <v>1.7967331106810511E-2</v>
      </c>
      <c r="K1126" s="7" t="s">
        <v>4</v>
      </c>
      <c r="L1126" s="149" t="e">
        <f ca="1">_xll.meDateFromTenor(L1125,"1D","FOLLOWING",#REF!,"NORMAL")</f>
        <v>#VALUE!</v>
      </c>
      <c r="M1126" s="155">
        <f ca="1">_xll.meDateYearFraction(C1126,D1126,$M$11)</f>
        <v>2.7777777777777779E-3</v>
      </c>
      <c r="N1126" s="150">
        <f ca="1"/>
        <v>-2.4300000000065936E-3</v>
      </c>
      <c r="O1126" s="7" t="s">
        <v>4</v>
      </c>
      <c r="P1126" s="149">
        <f t="shared" ca="1" si="35"/>
        <v>44061</v>
      </c>
      <c r="Q1126" s="155">
        <f ca="1">_xll.meDateYearFraction(H1126,I1126,$Q$11,TRUE)</f>
        <v>0.25555555555555554</v>
      </c>
      <c r="R1126" s="150">
        <f ca="1">IF(NOW(),_xll.meCurveForwardRatesFromYearFraction(P1126,Q1126,$Q$11,$Q$9,$Q$10))</f>
        <v>-3.7175485397107962E-3</v>
      </c>
      <c r="S1126" s="134" t="s">
        <v>4</v>
      </c>
    </row>
    <row r="1127" spans="1:19" x14ac:dyDescent="0.25">
      <c r="A1127" s="128">
        <v>1111</v>
      </c>
      <c r="B1127" s="133"/>
      <c r="C1127" s="149">
        <f ca="1">_xll.meDateFromTenor(C1126,"1D","FOLLOWING",$D$11,"NORMAL")</f>
        <v>44062</v>
      </c>
      <c r="D1127" s="20">
        <f ca="1">_xll.meDateFromTenor(C1127,"1D","Following",$D$11,"Normal")</f>
        <v>44063</v>
      </c>
      <c r="E1127" s="99">
        <f ca="1"/>
        <v>1.3742563473917472E-2</v>
      </c>
      <c r="F1127" s="161">
        <f ca="1">_xll.meCurveForwardRates(C1127,$D$9,$D$10)</f>
        <v>1.3837160629551759E-2</v>
      </c>
      <c r="G1127" s="7" t="s">
        <v>4</v>
      </c>
      <c r="H1127" s="149">
        <f t="shared" ca="1" si="34"/>
        <v>44062</v>
      </c>
      <c r="I1127" s="20">
        <f ca="1">_xll.meDateFromTenor(H1127,"3M","Following",$I$11,"Normal")</f>
        <v>44154</v>
      </c>
      <c r="J1127" s="150">
        <f ca="1"/>
        <v>1.7971056503066789E-2</v>
      </c>
      <c r="K1127" s="7" t="s">
        <v>4</v>
      </c>
      <c r="L1127" s="149" t="e">
        <f ca="1">_xll.meDateFromTenor(L1126,"1D","FOLLOWING",#REF!,"NORMAL")</f>
        <v>#VALUE!</v>
      </c>
      <c r="M1127" s="155">
        <f ca="1">_xll.meDateYearFraction(C1127,D1127,$M$11)</f>
        <v>2.7777777777777779E-3</v>
      </c>
      <c r="N1127" s="150">
        <f ca="1"/>
        <v>-2.4300000000065936E-3</v>
      </c>
      <c r="O1127" s="7" t="s">
        <v>4</v>
      </c>
      <c r="P1127" s="149">
        <f t="shared" ca="1" si="35"/>
        <v>44062</v>
      </c>
      <c r="Q1127" s="155">
        <f ca="1">_xll.meDateYearFraction(H1127,I1127,$Q$11,TRUE)</f>
        <v>0.25555555555555554</v>
      </c>
      <c r="R1127" s="150">
        <f ca="1">IF(NOW(),_xll.meCurveForwardRatesFromYearFraction(P1127,Q1127,$Q$11,$Q$9,$Q$10))</f>
        <v>1.4043593043851766E-3</v>
      </c>
      <c r="S1127" s="134" t="s">
        <v>4</v>
      </c>
    </row>
    <row r="1128" spans="1:19" x14ac:dyDescent="0.25">
      <c r="A1128" s="128">
        <v>1112</v>
      </c>
      <c r="B1128" s="133"/>
      <c r="C1128" s="149">
        <f ca="1">_xll.meDateFromTenor(C1127,"1D","FOLLOWING",$D$11,"NORMAL")</f>
        <v>44063</v>
      </c>
      <c r="D1128" s="20">
        <f ca="1">_xll.meDateFromTenor(C1128,"1D","Following",$D$11,"Normal")</f>
        <v>44064</v>
      </c>
      <c r="E1128" s="99">
        <f ca="1"/>
        <v>1.3747333184219794E-2</v>
      </c>
      <c r="F1128" s="161">
        <f ca="1">_xll.meCurveForwardRates(C1128,$D$9,$D$10)</f>
        <v>1.3841996166011006E-2</v>
      </c>
      <c r="G1128" s="7" t="s">
        <v>4</v>
      </c>
      <c r="H1128" s="149">
        <f t="shared" ca="1" si="34"/>
        <v>44063</v>
      </c>
      <c r="I1128" s="20">
        <f ca="1">_xll.meDateFromTenor(H1128,"3M","Following",$I$11,"Normal")</f>
        <v>44155</v>
      </c>
      <c r="J1128" s="150">
        <f ca="1"/>
        <v>1.7974776187281334E-2</v>
      </c>
      <c r="K1128" s="7" t="s">
        <v>4</v>
      </c>
      <c r="L1128" s="149" t="e">
        <f ca="1">_xll.meDateFromTenor(L1127,"1D","FOLLOWING",#REF!,"NORMAL")</f>
        <v>#VALUE!</v>
      </c>
      <c r="M1128" s="155">
        <f ca="1">_xll.meDateYearFraction(C1128,D1128,$M$11)</f>
        <v>2.7777777777777779E-3</v>
      </c>
      <c r="N1128" s="150">
        <f ca="1"/>
        <v>-2.4300000000065936E-3</v>
      </c>
      <c r="O1128" s="7" t="s">
        <v>4</v>
      </c>
      <c r="P1128" s="149">
        <f t="shared" ca="1" si="35"/>
        <v>44063</v>
      </c>
      <c r="Q1128" s="155">
        <f ca="1">_xll.meDateYearFraction(H1128,I1128,$Q$11,TRUE)</f>
        <v>0.25555555555555554</v>
      </c>
      <c r="R1128" s="150">
        <f ca="1">IF(NOW(),_xll.meCurveForwardRatesFromYearFraction(P1128,Q1128,$Q$11,$Q$9,$Q$10))</f>
        <v>1.4111493961944243E-3</v>
      </c>
      <c r="S1128" s="134" t="s">
        <v>4</v>
      </c>
    </row>
    <row r="1129" spans="1:19" x14ac:dyDescent="0.25">
      <c r="A1129" s="128">
        <v>1113</v>
      </c>
      <c r="B1129" s="133"/>
      <c r="C1129" s="149">
        <f ca="1">_xll.meDateFromTenor(C1128,"1D","FOLLOWING",$D$11,"NORMAL")</f>
        <v>44064</v>
      </c>
      <c r="D1129" s="20">
        <f ca="1">_xll.meDateFromTenor(C1129,"1D","Following",$D$11,"Normal")</f>
        <v>44067</v>
      </c>
      <c r="E1129" s="99">
        <f ca="1"/>
        <v>1.3757419333072179E-2</v>
      </c>
      <c r="F1129" s="161">
        <f ca="1">_xll.meCurveForwardRates(C1129,$D$9,$D$10)</f>
        <v>1.3846838118466875E-2</v>
      </c>
      <c r="G1129" s="7" t="s">
        <v>4</v>
      </c>
      <c r="H1129" s="149">
        <f t="shared" ca="1" si="34"/>
        <v>44064</v>
      </c>
      <c r="I1129" s="20">
        <f ca="1">_xll.meDateFromTenor(H1129,"3M","Following",$I$11,"Normal")</f>
        <v>44158</v>
      </c>
      <c r="J1129" s="150">
        <f ca="1"/>
        <v>1.797849024173713E-2</v>
      </c>
      <c r="K1129" s="7" t="s">
        <v>4</v>
      </c>
      <c r="L1129" s="149" t="e">
        <f ca="1">_xll.meDateFromTenor(L1128,"1D","FOLLOWING",#REF!,"NORMAL")</f>
        <v>#VALUE!</v>
      </c>
      <c r="M1129" s="155">
        <f ca="1">_xll.meDateYearFraction(C1129,D1129,$M$11)</f>
        <v>8.3333333333333332E-3</v>
      </c>
      <c r="N1129" s="150">
        <f ca="1"/>
        <v>-2.4300000000065936E-3</v>
      </c>
      <c r="O1129" s="7" t="s">
        <v>4</v>
      </c>
      <c r="P1129" s="149">
        <f t="shared" ca="1" si="35"/>
        <v>44064</v>
      </c>
      <c r="Q1129" s="155">
        <f ca="1">_xll.meDateYearFraction(H1129,I1129,$Q$11,TRUE)</f>
        <v>0.26111111111111113</v>
      </c>
      <c r="R1129" s="150">
        <f ca="1">IF(NOW(),_xll.meCurveForwardRatesFromYearFraction(P1129,Q1129,$Q$11,$Q$9,$Q$10))</f>
        <v>1.4179411558754261E-3</v>
      </c>
      <c r="S1129" s="134" t="s">
        <v>4</v>
      </c>
    </row>
    <row r="1130" spans="1:19" x14ac:dyDescent="0.25">
      <c r="A1130" s="128">
        <v>1114</v>
      </c>
      <c r="B1130" s="133"/>
      <c r="C1130" s="149">
        <f ca="1">_xll.meDateFromTenor(C1129,"1D","FOLLOWING",$D$11,"NORMAL")</f>
        <v>44067</v>
      </c>
      <c r="D1130" s="20">
        <f ca="1">_xll.meDateFromTenor(C1130,"1D","Following",$D$11,"Normal")</f>
        <v>44068</v>
      </c>
      <c r="E1130" s="99">
        <f ca="1"/>
        <v>1.3766261095857836E-2</v>
      </c>
      <c r="F1130" s="161">
        <f ca="1">_xll.meCurveForwardRates(C1130,$D$9,$D$10)</f>
        <v>1.3861185526046871E-2</v>
      </c>
      <c r="G1130" s="7" t="s">
        <v>4</v>
      </c>
      <c r="H1130" s="149">
        <f t="shared" ca="1" si="34"/>
        <v>44067</v>
      </c>
      <c r="I1130" s="20">
        <f ca="1">_xll.meDateFromTenor(H1130,"3M","Following",$I$11,"Normal")</f>
        <v>44159</v>
      </c>
      <c r="J1130" s="150">
        <f ca="1"/>
        <v>1.7989599449381794E-2</v>
      </c>
      <c r="K1130" s="7" t="s">
        <v>4</v>
      </c>
      <c r="L1130" s="149" t="e">
        <f ca="1">_xll.meDateFromTenor(L1129,"1D","FOLLOWING",#REF!,"NORMAL")</f>
        <v>#VALUE!</v>
      </c>
      <c r="M1130" s="155">
        <f ca="1">_xll.meDateYearFraction(C1130,D1130,$M$11)</f>
        <v>2.7777777777777779E-3</v>
      </c>
      <c r="N1130" s="150">
        <f ca="1"/>
        <v>-2.4300000000065936E-3</v>
      </c>
      <c r="O1130" s="7" t="s">
        <v>4</v>
      </c>
      <c r="P1130" s="149">
        <f t="shared" ca="1" si="35"/>
        <v>44067</v>
      </c>
      <c r="Q1130" s="155">
        <f ca="1">_xll.meDateYearFraction(H1130,I1130,$Q$11,TRUE)</f>
        <v>0.25555555555555554</v>
      </c>
      <c r="R1130" s="150">
        <f ca="1">IF(NOW(),_xll.meCurveForwardRatesFromYearFraction(P1130,Q1130,$Q$11,$Q$9,$Q$10))</f>
        <v>-3.7175485397107962E-3</v>
      </c>
      <c r="S1130" s="134" t="s">
        <v>4</v>
      </c>
    </row>
    <row r="1131" spans="1:19" x14ac:dyDescent="0.25">
      <c r="A1131" s="128">
        <v>1115</v>
      </c>
      <c r="B1131" s="133"/>
      <c r="C1131" s="149">
        <f ca="1">_xll.meDateFromTenor(C1130,"1D","FOLLOWING",$D$11,"NORMAL")</f>
        <v>44068</v>
      </c>
      <c r="D1131" s="20">
        <f ca="1">_xll.meDateFromTenor(C1131,"1D","Following",$D$11,"Normal")</f>
        <v>44069</v>
      </c>
      <c r="E1131" s="99">
        <f ca="1"/>
        <v>1.3770636077758998E-2</v>
      </c>
      <c r="F1131" s="161">
        <f ca="1">_xll.meCurveForwardRates(C1131,$D$9,$D$10)</f>
        <v>1.3865620990448857E-2</v>
      </c>
      <c r="G1131" s="7" t="s">
        <v>4</v>
      </c>
      <c r="H1131" s="149">
        <f t="shared" ca="1" si="34"/>
        <v>44068</v>
      </c>
      <c r="I1131" s="20">
        <f ca="1">_xll.meDateFromTenor(H1131,"3M","Following",$I$11,"Normal")</f>
        <v>44160</v>
      </c>
      <c r="J1131" s="150">
        <f ca="1"/>
        <v>1.7993282300483176E-2</v>
      </c>
      <c r="K1131" s="7" t="s">
        <v>4</v>
      </c>
      <c r="L1131" s="149" t="e">
        <f ca="1">_xll.meDateFromTenor(L1130,"1D","FOLLOWING",#REF!,"NORMAL")</f>
        <v>#VALUE!</v>
      </c>
      <c r="M1131" s="155">
        <f ca="1">_xll.meDateYearFraction(C1131,D1131,$M$11)</f>
        <v>2.7777777777777779E-3</v>
      </c>
      <c r="N1131" s="150">
        <f ca="1"/>
        <v>-2.4300000000065936E-3</v>
      </c>
      <c r="O1131" s="7" t="s">
        <v>4</v>
      </c>
      <c r="P1131" s="149">
        <f t="shared" ca="1" si="35"/>
        <v>44068</v>
      </c>
      <c r="Q1131" s="155">
        <f ca="1">_xll.meDateYearFraction(H1131,I1131,$Q$11,TRUE)</f>
        <v>0.25555555555555554</v>
      </c>
      <c r="R1131" s="150">
        <f ca="1">IF(NOW(),_xll.meCurveForwardRatesFromYearFraction(P1131,Q1131,$Q$11,$Q$9,$Q$10))</f>
        <v>1.445126151936057E-3</v>
      </c>
      <c r="S1131" s="134" t="s">
        <v>4</v>
      </c>
    </row>
    <row r="1132" spans="1:19" x14ac:dyDescent="0.25">
      <c r="A1132" s="128">
        <v>1116</v>
      </c>
      <c r="B1132" s="133"/>
      <c r="C1132" s="149">
        <f ca="1">_xll.meDateFromTenor(C1131,"1D","FOLLOWING",$D$11,"NORMAL")</f>
        <v>44069</v>
      </c>
      <c r="D1132" s="20">
        <f ca="1">_xll.meDateFromTenor(C1132,"1D","Following",$D$11,"Normal")</f>
        <v>44070</v>
      </c>
      <c r="E1132" s="99">
        <f ca="1"/>
        <v>1.3775019964688063E-2</v>
      </c>
      <c r="F1132" s="161">
        <f ca="1">_xll.meCurveForwardRates(C1132,$D$9,$D$10)</f>
        <v>1.3870065502397333E-2</v>
      </c>
      <c r="G1132" s="7" t="s">
        <v>4</v>
      </c>
      <c r="H1132" s="149">
        <f t="shared" ca="1" si="34"/>
        <v>44069</v>
      </c>
      <c r="I1132" s="20">
        <f ca="1">_xll.meDateFromTenor(H1132,"3M","Following",$I$11,"Normal")</f>
        <v>44162</v>
      </c>
      <c r="J1132" s="150">
        <f ca="1"/>
        <v>1.7996941249852315E-2</v>
      </c>
      <c r="K1132" s="7" t="s">
        <v>4</v>
      </c>
      <c r="L1132" s="149" t="e">
        <f ca="1">_xll.meDateFromTenor(L1131,"1D","FOLLOWING",#REF!,"NORMAL")</f>
        <v>#VALUE!</v>
      </c>
      <c r="M1132" s="155">
        <f ca="1">_xll.meDateYearFraction(C1132,D1132,$M$11)</f>
        <v>2.7777777777777779E-3</v>
      </c>
      <c r="N1132" s="150">
        <f ca="1"/>
        <v>-2.4300000000065936E-3</v>
      </c>
      <c r="O1132" s="7" t="s">
        <v>4</v>
      </c>
      <c r="P1132" s="149">
        <f t="shared" ca="1" si="35"/>
        <v>44069</v>
      </c>
      <c r="Q1132" s="155">
        <f ca="1">_xll.meDateYearFraction(H1132,I1132,$Q$11,TRUE)</f>
        <v>0.25833333333333336</v>
      </c>
      <c r="R1132" s="150">
        <f ca="1">IF(NOW(),_xll.meCurveForwardRatesFromYearFraction(P1132,Q1132,$Q$11,$Q$9,$Q$10))</f>
        <v>1.4519311072939587E-3</v>
      </c>
      <c r="S1132" s="134" t="s">
        <v>4</v>
      </c>
    </row>
    <row r="1133" spans="1:19" x14ac:dyDescent="0.25">
      <c r="A1133" s="128">
        <v>1117</v>
      </c>
      <c r="B1133" s="133"/>
      <c r="C1133" s="149">
        <f ca="1">_xll.meDateFromTenor(C1132,"1D","FOLLOWING",$D$11,"NORMAL")</f>
        <v>44070</v>
      </c>
      <c r="D1133" s="20">
        <f ca="1">_xll.meDateFromTenor(C1133,"1D","Following",$D$11,"Normal")</f>
        <v>44071</v>
      </c>
      <c r="E1133" s="99">
        <f ca="1"/>
        <v>1.3779412758101493E-2</v>
      </c>
      <c r="F1133" s="161">
        <f ca="1">_xll.meCurveForwardRates(C1133,$D$9,$D$10)</f>
        <v>1.3874519063486801E-2</v>
      </c>
      <c r="G1133" s="7" t="s">
        <v>4</v>
      </c>
      <c r="H1133" s="149">
        <f t="shared" ca="1" si="34"/>
        <v>44070</v>
      </c>
      <c r="I1133" s="20">
        <f ca="1">_xll.meDateFromTenor(H1133,"3M","Following",$I$11,"Normal")</f>
        <v>44162</v>
      </c>
      <c r="J1133" s="150">
        <f ca="1"/>
        <v>1.8000576876137212E-2</v>
      </c>
      <c r="K1133" s="7" t="s">
        <v>4</v>
      </c>
      <c r="L1133" s="149" t="e">
        <f ca="1">_xll.meDateFromTenor(L1132,"1D","FOLLOWING",#REF!,"NORMAL")</f>
        <v>#VALUE!</v>
      </c>
      <c r="M1133" s="155">
        <f ca="1">_xll.meDateYearFraction(C1133,D1133,$M$11)</f>
        <v>2.7777777777777779E-3</v>
      </c>
      <c r="N1133" s="150">
        <f ca="1"/>
        <v>-2.4300000000065936E-3</v>
      </c>
      <c r="O1133" s="7" t="s">
        <v>4</v>
      </c>
      <c r="P1133" s="149">
        <f t="shared" ca="1" si="35"/>
        <v>44070</v>
      </c>
      <c r="Q1133" s="155">
        <f ca="1">_xll.meDateYearFraction(H1133,I1133,$Q$11,TRUE)</f>
        <v>0.25555555555555554</v>
      </c>
      <c r="R1133" s="150">
        <f ca="1">IF(NOW(),_xll.meCurveForwardRatesFromYearFraction(P1133,Q1133,$Q$11,$Q$9,$Q$10))</f>
        <v>1.4587410058464641E-3</v>
      </c>
      <c r="S1133" s="134" t="s">
        <v>4</v>
      </c>
    </row>
    <row r="1134" spans="1:19" x14ac:dyDescent="0.25">
      <c r="A1134" s="128">
        <v>1118</v>
      </c>
      <c r="B1134" s="133"/>
      <c r="C1134" s="149">
        <f ca="1">_xll.meDateFromTenor(C1133,"1D","FOLLOWING",$D$11,"NORMAL")</f>
        <v>44071</v>
      </c>
      <c r="D1134" s="20">
        <f ca="1">_xll.meDateFromTenor(C1134,"1D","Following",$D$11,"Normal")</f>
        <v>44075</v>
      </c>
      <c r="E1134" s="99">
        <f ca="1"/>
        <v>1.3791231708157929E-2</v>
      </c>
      <c r="F1134" s="161">
        <f ca="1">_xll.meCurveForwardRates(C1134,$D$9,$D$10)</f>
        <v>1.3878981675358393E-2</v>
      </c>
      <c r="G1134" s="7" t="s">
        <v>4</v>
      </c>
      <c r="H1134" s="149">
        <f t="shared" ca="1" si="34"/>
        <v>44071</v>
      </c>
      <c r="I1134" s="20">
        <f ca="1">_xll.meDateFromTenor(H1134,"3M","Following",$I$11,"Normal")</f>
        <v>44165</v>
      </c>
      <c r="J1134" s="150">
        <f ca="1"/>
        <v>1.8004189757985858E-2</v>
      </c>
      <c r="K1134" s="7" t="s">
        <v>4</v>
      </c>
      <c r="L1134" s="149" t="e">
        <f ca="1">_xll.meDateFromTenor(L1133,"1D","FOLLOWING",#REF!,"NORMAL")</f>
        <v>#VALUE!</v>
      </c>
      <c r="M1134" s="155">
        <f ca="1">_xll.meDateYearFraction(C1134,D1134,$M$11)</f>
        <v>1.1111111111111112E-2</v>
      </c>
      <c r="N1134" s="150">
        <f ca="1"/>
        <v>-2.4300000000065936E-3</v>
      </c>
      <c r="O1134" s="7" t="s">
        <v>4</v>
      </c>
      <c r="P1134" s="149">
        <f t="shared" ca="1" si="35"/>
        <v>44071</v>
      </c>
      <c r="Q1134" s="155">
        <f ca="1">_xll.meDateYearFraction(H1134,I1134,$Q$11,TRUE)</f>
        <v>0.26111111111111113</v>
      </c>
      <c r="R1134" s="150">
        <f ca="1">IF(NOW(),_xll.meCurveForwardRatesFromYearFraction(P1134,Q1134,$Q$11,$Q$9,$Q$10))</f>
        <v>-3.7175485397107962E-3</v>
      </c>
      <c r="S1134" s="134" t="s">
        <v>4</v>
      </c>
    </row>
    <row r="1135" spans="1:19" x14ac:dyDescent="0.25">
      <c r="A1135" s="128">
        <v>1119</v>
      </c>
      <c r="B1135" s="133"/>
      <c r="C1135" s="149">
        <f ca="1">_xll.meDateFromTenor(C1134,"1D","FOLLOWING",$D$11,"NORMAL")</f>
        <v>44075</v>
      </c>
      <c r="D1135" s="20">
        <f ca="1">_xll.meDateFromTenor(C1135,"1D","Following",$D$11,"Normal")</f>
        <v>44076</v>
      </c>
      <c r="E1135" s="99">
        <f ca="1"/>
        <v>1.3801510374473809E-2</v>
      </c>
      <c r="F1135" s="161">
        <f ca="1">_xll.meCurveForwardRates(C1135,$D$9,$D$10)</f>
        <v>1.3896922662979927E-2</v>
      </c>
      <c r="G1135" s="7" t="s">
        <v>4</v>
      </c>
      <c r="H1135" s="149">
        <f t="shared" ca="1" si="34"/>
        <v>44075</v>
      </c>
      <c r="I1135" s="20">
        <f ca="1">_xll.meDateFromTenor(H1135,"3M","Following",$I$11,"Normal")</f>
        <v>44166</v>
      </c>
      <c r="J1135" s="150">
        <f ca="1"/>
        <v>1.8018425413977811E-2</v>
      </c>
      <c r="K1135" s="7" t="s">
        <v>4</v>
      </c>
      <c r="L1135" s="149" t="e">
        <f ca="1">_xll.meDateFromTenor(L1134,"1D","FOLLOWING",#REF!,"NORMAL")</f>
        <v>#VALUE!</v>
      </c>
      <c r="M1135" s="155">
        <f ca="1">_xll.meDateYearFraction(C1135,D1135,$M$11)</f>
        <v>2.7777777777777779E-3</v>
      </c>
      <c r="N1135" s="150">
        <f ca="1"/>
        <v>-2.4300000000065936E-3</v>
      </c>
      <c r="O1135" s="7" t="s">
        <v>4</v>
      </c>
      <c r="P1135" s="149">
        <f t="shared" ca="1" si="35"/>
        <v>44075</v>
      </c>
      <c r="Q1135" s="155">
        <f ca="1">_xll.meDateYearFraction(H1135,I1135,$Q$11,TRUE)</f>
        <v>0.25277777777777777</v>
      </c>
      <c r="R1135" s="150">
        <f ca="1">IF(NOW(),_xll.meCurveForwardRatesFromYearFraction(P1135,Q1135,$Q$11,$Q$9,$Q$10))</f>
        <v>-3.7175485397107962E-3</v>
      </c>
      <c r="S1135" s="134" t="s">
        <v>4</v>
      </c>
    </row>
    <row r="1136" spans="1:19" x14ac:dyDescent="0.25">
      <c r="A1136" s="128">
        <v>1120</v>
      </c>
      <c r="B1136" s="133"/>
      <c r="C1136" s="149">
        <f ca="1">_xll.meDateFromTenor(C1135,"1D","FOLLOWING",$D$11,"NORMAL")</f>
        <v>44076</v>
      </c>
      <c r="D1136" s="20">
        <f ca="1">_xll.meDateFromTenor(C1136,"1D","Following",$D$11,"Normal")</f>
        <v>44077</v>
      </c>
      <c r="E1136" s="99">
        <f ca="1"/>
        <v>1.3805956638075526E-2</v>
      </c>
      <c r="F1136" s="161">
        <f ca="1">_xll.meCurveForwardRates(C1136,$D$9,$D$10)</f>
        <v>1.390143055313553E-2</v>
      </c>
      <c r="G1136" s="7" t="s">
        <v>4</v>
      </c>
      <c r="H1136" s="149">
        <f t="shared" ca="1" si="34"/>
        <v>44076</v>
      </c>
      <c r="I1136" s="20">
        <f ca="1">_xll.meDateFromTenor(H1136,"3M","Following",$I$11,"Normal")</f>
        <v>44167</v>
      </c>
      <c r="J1136" s="150">
        <f ca="1"/>
        <v>1.8021933253365114E-2</v>
      </c>
      <c r="K1136" s="7" t="s">
        <v>4</v>
      </c>
      <c r="L1136" s="149" t="e">
        <f ca="1">_xll.meDateFromTenor(L1135,"1D","FOLLOWING",#REF!,"NORMAL")</f>
        <v>#VALUE!</v>
      </c>
      <c r="M1136" s="155">
        <f ca="1">_xll.meDateYearFraction(C1136,D1136,$M$11)</f>
        <v>2.7777777777777779E-3</v>
      </c>
      <c r="N1136" s="150">
        <f ca="1"/>
        <v>-2.4300000000065936E-3</v>
      </c>
      <c r="O1136" s="7" t="s">
        <v>4</v>
      </c>
      <c r="P1136" s="149">
        <f t="shared" ca="1" si="35"/>
        <v>44076</v>
      </c>
      <c r="Q1136" s="155">
        <f ca="1">_xll.meDateYearFraction(H1136,I1136,$Q$11,TRUE)</f>
        <v>0.25277777777777777</v>
      </c>
      <c r="R1136" s="150">
        <f ca="1">IF(NOW(),_xll.meCurveForwardRatesFromYearFraction(P1136,Q1136,$Q$11,$Q$9,$Q$10))</f>
        <v>-3.7175485397107962E-3</v>
      </c>
      <c r="S1136" s="134" t="s">
        <v>4</v>
      </c>
    </row>
    <row r="1137" spans="1:19" x14ac:dyDescent="0.25">
      <c r="A1137" s="128">
        <v>1121</v>
      </c>
      <c r="B1137" s="133"/>
      <c r="C1137" s="149">
        <f ca="1">_xll.meDateFromTenor(C1136,"1D","FOLLOWING",$D$11,"NORMAL")</f>
        <v>44077</v>
      </c>
      <c r="D1137" s="20">
        <f ca="1">_xll.meDateFromTenor(C1137,"1D","Following",$D$11,"Normal")</f>
        <v>44078</v>
      </c>
      <c r="E1137" s="99">
        <f ca="1"/>
        <v>1.3810411818535658E-2</v>
      </c>
      <c r="F1137" s="161">
        <f ca="1">_xll.meCurveForwardRates(C1137,$D$9,$D$10)</f>
        <v>1.390594750378682E-2</v>
      </c>
      <c r="G1137" s="7" t="s">
        <v>4</v>
      </c>
      <c r="H1137" s="149">
        <f t="shared" ca="1" si="34"/>
        <v>44077</v>
      </c>
      <c r="I1137" s="20">
        <f ca="1">_xll.meDateFromTenor(H1137,"3M","Following",$I$11,"Normal")</f>
        <v>44168</v>
      </c>
      <c r="J1137" s="150">
        <f ca="1"/>
        <v>1.8025421820204127E-2</v>
      </c>
      <c r="K1137" s="7" t="s">
        <v>4</v>
      </c>
      <c r="L1137" s="149" t="e">
        <f ca="1">_xll.meDateFromTenor(L1136,"1D","FOLLOWING",#REF!,"NORMAL")</f>
        <v>#VALUE!</v>
      </c>
      <c r="M1137" s="155">
        <f ca="1">_xll.meDateYearFraction(C1137,D1137,$M$11)</f>
        <v>2.7777777777777779E-3</v>
      </c>
      <c r="N1137" s="150">
        <f ca="1"/>
        <v>-2.4300000000065936E-3</v>
      </c>
      <c r="O1137" s="7" t="s">
        <v>4</v>
      </c>
      <c r="P1137" s="149">
        <f t="shared" ca="1" si="35"/>
        <v>44077</v>
      </c>
      <c r="Q1137" s="155">
        <f ca="1">_xll.meDateYearFraction(H1137,I1137,$Q$11,TRUE)</f>
        <v>0.25277777777777777</v>
      </c>
      <c r="R1137" s="150">
        <f ca="1">IF(NOW(),_xll.meCurveForwardRatesFromYearFraction(P1137,Q1137,$Q$11,$Q$9,$Q$10))</f>
        <v>1.5065429205523336E-3</v>
      </c>
      <c r="S1137" s="134" t="s">
        <v>4</v>
      </c>
    </row>
    <row r="1138" spans="1:19" x14ac:dyDescent="0.25">
      <c r="A1138" s="128">
        <v>1122</v>
      </c>
      <c r="B1138" s="133"/>
      <c r="C1138" s="149">
        <f ca="1">_xll.meDateFromTenor(C1137,"1D","FOLLOWING",$D$11,"NORMAL")</f>
        <v>44078</v>
      </c>
      <c r="D1138" s="20">
        <f ca="1">_xll.meDateFromTenor(C1138,"1D","Following",$D$11,"Normal")</f>
        <v>44082</v>
      </c>
      <c r="E1138" s="99">
        <f ca="1"/>
        <v>1.382239037314608E-2</v>
      </c>
      <c r="F1138" s="161">
        <f ca="1">_xll.meCurveForwardRates(C1138,$D$9,$D$10)</f>
        <v>1.3910473516693278E-2</v>
      </c>
      <c r="G1138" s="7" t="s">
        <v>4</v>
      </c>
      <c r="H1138" s="149">
        <f t="shared" ca="1" si="34"/>
        <v>44078</v>
      </c>
      <c r="I1138" s="20">
        <f ca="1">_xll.meDateFromTenor(H1138,"3M","Following",$I$11,"Normal")</f>
        <v>44169</v>
      </c>
      <c r="J1138" s="150">
        <f ca="1"/>
        <v>1.802889169314285E-2</v>
      </c>
      <c r="K1138" s="7" t="s">
        <v>4</v>
      </c>
      <c r="L1138" s="149" t="e">
        <f ca="1">_xll.meDateFromTenor(L1137,"1D","FOLLOWING",#REF!,"NORMAL")</f>
        <v>#VALUE!</v>
      </c>
      <c r="M1138" s="155">
        <f ca="1">_xll.meDateYearFraction(C1138,D1138,$M$11)</f>
        <v>1.1111111111111112E-2</v>
      </c>
      <c r="N1138" s="150">
        <f ca="1"/>
        <v>-2.4300000000065936E-3</v>
      </c>
      <c r="O1138" s="7" t="s">
        <v>4</v>
      </c>
      <c r="P1138" s="149">
        <f t="shared" ca="1" si="35"/>
        <v>44078</v>
      </c>
      <c r="Q1138" s="155">
        <f ca="1">_xll.meDateYearFraction(H1138,I1138,$Q$11,TRUE)</f>
        <v>0.25277777777777777</v>
      </c>
      <c r="R1138" s="150">
        <f ca="1">IF(NOW(),_xll.meCurveForwardRatesFromYearFraction(P1138,Q1138,$Q$11,$Q$9,$Q$10))</f>
        <v>1.5133898855428493E-3</v>
      </c>
      <c r="S1138" s="134" t="s">
        <v>4</v>
      </c>
    </row>
    <row r="1139" spans="1:19" x14ac:dyDescent="0.25">
      <c r="A1139" s="128">
        <v>1123</v>
      </c>
      <c r="B1139" s="133"/>
      <c r="C1139" s="149">
        <f ca="1">_xll.meDateFromTenor(C1138,"1D","FOLLOWING",$D$11,"NORMAL")</f>
        <v>44082</v>
      </c>
      <c r="D1139" s="20">
        <f ca="1">_xll.meDateFromTenor(C1139,"1D","Following",$D$11,"Normal")</f>
        <v>44083</v>
      </c>
      <c r="E1139" s="99">
        <f ca="1"/>
        <v>1.3832821527188828E-2</v>
      </c>
      <c r="F1139" s="161">
        <f ca="1">_xll.meCurveForwardRates(C1139,$D$9,$D$10)</f>
        <v>1.3928668222928264E-2</v>
      </c>
      <c r="G1139" s="7" t="s">
        <v>4</v>
      </c>
      <c r="H1139" s="149">
        <f t="shared" ca="1" si="34"/>
        <v>44082</v>
      </c>
      <c r="I1139" s="20">
        <f ca="1">_xll.meDateFromTenor(H1139,"3M","Following",$I$11,"Normal")</f>
        <v>44173</v>
      </c>
      <c r="J1139" s="150">
        <f ca="1"/>
        <v>1.8042595818854677E-2</v>
      </c>
      <c r="K1139" s="7" t="s">
        <v>4</v>
      </c>
      <c r="L1139" s="149" t="e">
        <f ca="1">_xll.meDateFromTenor(L1138,"1D","FOLLOWING",#REF!,"NORMAL")</f>
        <v>#VALUE!</v>
      </c>
      <c r="M1139" s="155">
        <f ca="1">_xll.meDateYearFraction(C1139,D1139,$M$11)</f>
        <v>2.7777777777777779E-3</v>
      </c>
      <c r="N1139" s="150">
        <f ca="1"/>
        <v>-2.4300000000065936E-3</v>
      </c>
      <c r="O1139" s="7" t="s">
        <v>4</v>
      </c>
      <c r="P1139" s="149">
        <f t="shared" ca="1" si="35"/>
        <v>44082</v>
      </c>
      <c r="Q1139" s="155">
        <f ca="1">_xll.meDateYearFraction(H1139,I1139,$Q$11,TRUE)</f>
        <v>0.25277777777777777</v>
      </c>
      <c r="R1139" s="150">
        <f ca="1">IF(NOW(),_xll.meCurveForwardRatesFromYearFraction(P1139,Q1139,$Q$11,$Q$9,$Q$10))</f>
        <v>1.5408202910097662E-3</v>
      </c>
      <c r="S1139" s="134" t="s">
        <v>4</v>
      </c>
    </row>
    <row r="1140" spans="1:19" x14ac:dyDescent="0.25">
      <c r="A1140" s="128">
        <v>1124</v>
      </c>
      <c r="B1140" s="133"/>
      <c r="C1140" s="149">
        <f ca="1">_xll.meDateFromTenor(C1139,"1D","FOLLOWING",$D$11,"NORMAL")</f>
        <v>44083</v>
      </c>
      <c r="D1140" s="20">
        <f ca="1">_xll.meDateFromTenor(C1140,"1D","Following",$D$11,"Normal")</f>
        <v>44084</v>
      </c>
      <c r="E1140" s="99">
        <f ca="1"/>
        <v>1.3837330240666969E-2</v>
      </c>
      <c r="F1140" s="161">
        <f ca="1">_xll.meCurveForwardRates(C1140,$D$9,$D$10)</f>
        <v>1.3933239571405576E-2</v>
      </c>
      <c r="G1140" s="7" t="s">
        <v>4</v>
      </c>
      <c r="H1140" s="149">
        <f t="shared" ca="1" si="34"/>
        <v>44083</v>
      </c>
      <c r="I1140" s="20">
        <f ca="1">_xll.meDateFromTenor(H1140,"3M","Following",$I$11,"Normal")</f>
        <v>44174</v>
      </c>
      <c r="J1140" s="150">
        <f ca="1"/>
        <v>1.8045980902011843E-2</v>
      </c>
      <c r="K1140" s="7" t="s">
        <v>4</v>
      </c>
      <c r="L1140" s="149" t="e">
        <f ca="1">_xll.meDateFromTenor(L1139,"1D","FOLLOWING",#REF!,"NORMAL")</f>
        <v>#VALUE!</v>
      </c>
      <c r="M1140" s="155">
        <f ca="1">_xll.meDateYearFraction(C1140,D1140,$M$11)</f>
        <v>2.7777777777777779E-3</v>
      </c>
      <c r="N1140" s="150">
        <f ca="1"/>
        <v>-2.4300000000065936E-3</v>
      </c>
      <c r="O1140" s="7" t="s">
        <v>4</v>
      </c>
      <c r="P1140" s="149">
        <f t="shared" ca="1" si="35"/>
        <v>44083</v>
      </c>
      <c r="Q1140" s="155">
        <f ca="1">_xll.meDateYearFraction(H1140,I1140,$Q$11,TRUE)</f>
        <v>0.25277777777777777</v>
      </c>
      <c r="R1140" s="150">
        <f ca="1">IF(NOW(),_xll.meCurveForwardRatesFromYearFraction(P1140,Q1140,$Q$11,$Q$9,$Q$10))</f>
        <v>1.5476881844306534E-3</v>
      </c>
      <c r="S1140" s="134" t="s">
        <v>4</v>
      </c>
    </row>
    <row r="1141" spans="1:19" x14ac:dyDescent="0.25">
      <c r="A1141" s="128">
        <v>1125</v>
      </c>
      <c r="B1141" s="133"/>
      <c r="C1141" s="149">
        <f ca="1">_xll.meDateFromTenor(C1140,"1D","FOLLOWING",$D$11,"NORMAL")</f>
        <v>44084</v>
      </c>
      <c r="D1141" s="20">
        <f ca="1">_xll.meDateFromTenor(C1141,"1D","Following",$D$11,"Normal")</f>
        <v>44085</v>
      </c>
      <c r="E1141" s="99">
        <f ca="1"/>
        <v>1.3841847881568338E-2</v>
      </c>
      <c r="F1141" s="161">
        <f ca="1">_xll.meCurveForwardRates(C1141,$D$9,$D$10)</f>
        <v>1.3937819991939771E-2</v>
      </c>
      <c r="G1141" s="7" t="s">
        <v>4</v>
      </c>
      <c r="H1141" s="149">
        <f t="shared" ca="1" si="34"/>
        <v>44084</v>
      </c>
      <c r="I1141" s="20">
        <f ca="1">_xll.meDateFromTenor(H1141,"3M","Following",$I$11,"Normal")</f>
        <v>44175</v>
      </c>
      <c r="J1141" s="150">
        <f ca="1"/>
        <v>1.8049350763156679E-2</v>
      </c>
      <c r="K1141" s="7" t="s">
        <v>4</v>
      </c>
      <c r="L1141" s="149" t="e">
        <f ca="1">_xll.meDateFromTenor(L1140,"1D","FOLLOWING",#REF!,"NORMAL")</f>
        <v>#VALUE!</v>
      </c>
      <c r="M1141" s="155">
        <f ca="1">_xll.meDateYearFraction(C1141,D1141,$M$11)</f>
        <v>2.7777777777777779E-3</v>
      </c>
      <c r="N1141" s="150">
        <f ca="1"/>
        <v>-2.4300000000065936E-3</v>
      </c>
      <c r="O1141" s="7" t="s">
        <v>4</v>
      </c>
      <c r="P1141" s="149">
        <f t="shared" ca="1" si="35"/>
        <v>44084</v>
      </c>
      <c r="Q1141" s="155">
        <f ca="1">_xll.meDateYearFraction(H1141,I1141,$Q$11,TRUE)</f>
        <v>0.25277777777777777</v>
      </c>
      <c r="R1141" s="150">
        <f ca="1">IF(NOW(),_xll.meCurveForwardRatesFromYearFraction(P1141,Q1141,$Q$11,$Q$9,$Q$10))</f>
        <v>1.5545600569443771E-3</v>
      </c>
      <c r="S1141" s="134" t="s">
        <v>4</v>
      </c>
    </row>
    <row r="1142" spans="1:19" x14ac:dyDescent="0.25">
      <c r="A1142" s="128">
        <v>1126</v>
      </c>
      <c r="B1142" s="133"/>
      <c r="C1142" s="149">
        <f ca="1">_xll.meDateFromTenor(C1141,"1D","FOLLOWING",$D$11,"NORMAL")</f>
        <v>44085</v>
      </c>
      <c r="D1142" s="20">
        <f ca="1">_xll.meDateFromTenor(C1142,"1D","Following",$D$11,"Normal")</f>
        <v>44088</v>
      </c>
      <c r="E1142" s="99">
        <f ca="1"/>
        <v>1.3851445846181042E-2</v>
      </c>
      <c r="F1142" s="161">
        <f ca="1">_xll.meCurveForwardRates(C1142,$D$9,$D$10)</f>
        <v>1.3942409486112028E-2</v>
      </c>
      <c r="G1142" s="7" t="s">
        <v>4</v>
      </c>
      <c r="H1142" s="149">
        <f t="shared" ca="1" si="34"/>
        <v>44085</v>
      </c>
      <c r="I1142" s="20">
        <f ca="1">_xll.meDateFromTenor(H1142,"3M","Following",$I$11,"Normal")</f>
        <v>44176</v>
      </c>
      <c r="J1142" s="150">
        <f ca="1"/>
        <v>1.8052705980937174E-2</v>
      </c>
      <c r="K1142" s="7" t="s">
        <v>4</v>
      </c>
      <c r="L1142" s="149" t="e">
        <f ca="1">_xll.meDateFromTenor(L1141,"1D","FOLLOWING",#REF!,"NORMAL")</f>
        <v>#VALUE!</v>
      </c>
      <c r="M1142" s="155">
        <f ca="1">_xll.meDateYearFraction(C1142,D1142,$M$11)</f>
        <v>8.3333333333333332E-3</v>
      </c>
      <c r="N1142" s="150">
        <f ca="1"/>
        <v>-2.4300000000065936E-3</v>
      </c>
      <c r="O1142" s="7" t="s">
        <v>4</v>
      </c>
      <c r="P1142" s="149">
        <f t="shared" ca="1" si="35"/>
        <v>44085</v>
      </c>
      <c r="Q1142" s="155">
        <f ca="1">_xll.meDateYearFraction(H1142,I1142,$Q$11,TRUE)</f>
        <v>0.25277777777777777</v>
      </c>
      <c r="R1142" s="150">
        <f ca="1">IF(NOW(),_xll.meCurveForwardRatesFromYearFraction(P1142,Q1142,$Q$11,$Q$9,$Q$10))</f>
        <v>-3.7175485397107962E-3</v>
      </c>
      <c r="S1142" s="134" t="s">
        <v>4</v>
      </c>
    </row>
    <row r="1143" spans="1:19" x14ac:dyDescent="0.25">
      <c r="A1143" s="128">
        <v>1127</v>
      </c>
      <c r="B1143" s="133"/>
      <c r="C1143" s="149">
        <f ca="1">_xll.meDateFromTenor(C1142,"1D","FOLLOWING",$D$11,"NORMAL")</f>
        <v>44088</v>
      </c>
      <c r="D1143" s="20">
        <f ca="1">_xll.meDateFromTenor(C1143,"1D","Following",$D$11,"Normal")</f>
        <v>44089</v>
      </c>
      <c r="E1143" s="99">
        <f ca="1"/>
        <v>1.3860007749257939E-2</v>
      </c>
      <c r="F1143" s="161">
        <f ca="1">_xll.meCurveForwardRates(C1143,$D$9,$D$10)</f>
        <v>1.3956232427364768E-2</v>
      </c>
      <c r="G1143" s="7" t="s">
        <v>4</v>
      </c>
      <c r="H1143" s="149">
        <f t="shared" ca="1" si="34"/>
        <v>44088</v>
      </c>
      <c r="I1143" s="20">
        <f ca="1">_xll.meDateFromTenor(H1143,"3M","Following",$I$11,"Normal")</f>
        <v>44179</v>
      </c>
      <c r="J1143" s="150">
        <f ca="1"/>
        <v>1.8062689560572599E-2</v>
      </c>
      <c r="K1143" s="7" t="s">
        <v>4</v>
      </c>
      <c r="L1143" s="149" t="e">
        <f ca="1">_xll.meDateFromTenor(L1142,"1D","FOLLOWING",#REF!,"NORMAL")</f>
        <v>#VALUE!</v>
      </c>
      <c r="M1143" s="155">
        <f ca="1">_xll.meDateYearFraction(C1143,D1143,$M$11)</f>
        <v>2.7777777777777779E-3</v>
      </c>
      <c r="N1143" s="150">
        <f ca="1"/>
        <v>-2.4300000000065936E-3</v>
      </c>
      <c r="O1143" s="7" t="s">
        <v>4</v>
      </c>
      <c r="P1143" s="149">
        <f t="shared" ca="1" si="35"/>
        <v>44088</v>
      </c>
      <c r="Q1143" s="155">
        <f ca="1">_xll.meDateYearFraction(H1143,I1143,$Q$11,TRUE)</f>
        <v>0.25277777777777777</v>
      </c>
      <c r="R1143" s="150">
        <f ca="1">IF(NOW(),_xll.meCurveForwardRatesFromYearFraction(P1143,Q1143,$Q$11,$Q$9,$Q$10))</f>
        <v>-3.7175485397107962E-3</v>
      </c>
      <c r="S1143" s="134" t="s">
        <v>4</v>
      </c>
    </row>
    <row r="1144" spans="1:19" x14ac:dyDescent="0.25">
      <c r="A1144" s="128">
        <v>1128</v>
      </c>
      <c r="B1144" s="133"/>
      <c r="C1144" s="149">
        <f ca="1">_xll.meDateFromTenor(C1143,"1D","FOLLOWING",$D$11,"NORMAL")</f>
        <v>44089</v>
      </c>
      <c r="D1144" s="20">
        <f ca="1">_xll.meDateFromTenor(C1144,"1D","Following",$D$11,"Normal")</f>
        <v>44090</v>
      </c>
      <c r="E1144" s="99">
        <f ca="1"/>
        <v>1.3864570049719794E-2</v>
      </c>
      <c r="F1144" s="161">
        <f ca="1">_xll.meCurveForwardRates(C1144,$D$9,$D$10)</f>
        <v>1.3960858232781481E-2</v>
      </c>
      <c r="G1144" s="7" t="s">
        <v>4</v>
      </c>
      <c r="H1144" s="149">
        <f t="shared" ca="1" si="34"/>
        <v>44089</v>
      </c>
      <c r="I1144" s="20">
        <f ca="1">_xll.meDateFromTenor(H1144,"3M","Following",$I$11,"Normal")</f>
        <v>44180</v>
      </c>
      <c r="J1144" s="150">
        <f ca="1"/>
        <v>1.8065991991375693E-2</v>
      </c>
      <c r="K1144" s="7" t="s">
        <v>4</v>
      </c>
      <c r="L1144" s="149" t="e">
        <f ca="1">_xll.meDateFromTenor(L1143,"1D","FOLLOWING",#REF!,"NORMAL")</f>
        <v>#VALUE!</v>
      </c>
      <c r="M1144" s="155">
        <f ca="1">_xll.meDateYearFraction(C1144,D1144,$M$11)</f>
        <v>2.7777777777777779E-3</v>
      </c>
      <c r="N1144" s="150">
        <f ca="1"/>
        <v>-2.4300000000065936E-3</v>
      </c>
      <c r="O1144" s="7" t="s">
        <v>4</v>
      </c>
      <c r="P1144" s="149">
        <f t="shared" ca="1" si="35"/>
        <v>44089</v>
      </c>
      <c r="Q1144" s="155">
        <f ca="1">_xll.meDateYearFraction(H1144,I1144,$Q$11,TRUE)</f>
        <v>0.25277777777777777</v>
      </c>
      <c r="R1144" s="150">
        <f ca="1">IF(NOW(),_xll.meCurveForwardRatesFromYearFraction(P1144,Q1144,$Q$11,$Q$9,$Q$10))</f>
        <v>-3.7175485397107962E-3</v>
      </c>
      <c r="S1144" s="134" t="s">
        <v>4</v>
      </c>
    </row>
    <row r="1145" spans="1:19" x14ac:dyDescent="0.25">
      <c r="A1145" s="128">
        <v>1129</v>
      </c>
      <c r="B1145" s="133"/>
      <c r="C1145" s="149">
        <f ca="1">_xll.meDateFromTenor(C1144,"1D","FOLLOWING",$D$11,"NORMAL")</f>
        <v>44090</v>
      </c>
      <c r="D1145" s="20">
        <f ca="1">_xll.meDateFromTenor(C1145,"1D","Following",$D$11,"Normal")</f>
        <v>44091</v>
      </c>
      <c r="E1145" s="99">
        <f ca="1"/>
        <v>1.3869141286704297E-2</v>
      </c>
      <c r="F1145" s="161">
        <f ca="1">_xll.meCurveForwardRates(C1145,$D$9,$D$10)</f>
        <v>1.3965493120219552E-2</v>
      </c>
      <c r="G1145" s="7" t="s">
        <v>4</v>
      </c>
      <c r="H1145" s="149">
        <f t="shared" ca="1" si="34"/>
        <v>44090</v>
      </c>
      <c r="I1145" s="20">
        <f ca="1">_xll.meDateFromTenor(H1145,"3M","Following",$I$11,"Normal")</f>
        <v>44181</v>
      </c>
      <c r="J1145" s="150">
        <f ca="1"/>
        <v>1.8069282672054425E-2</v>
      </c>
      <c r="K1145" s="7" t="s">
        <v>4</v>
      </c>
      <c r="L1145" s="149" t="e">
        <f ca="1">_xll.meDateFromTenor(L1144,"1D","FOLLOWING",#REF!,"NORMAL")</f>
        <v>#VALUE!</v>
      </c>
      <c r="M1145" s="155">
        <f ca="1">_xll.meDateYearFraction(C1145,D1145,$M$11)</f>
        <v>2.7777777777777779E-3</v>
      </c>
      <c r="N1145" s="150">
        <f ca="1"/>
        <v>-2.4300000000065936E-3</v>
      </c>
      <c r="O1145" s="7" t="s">
        <v>4</v>
      </c>
      <c r="P1145" s="149">
        <f t="shared" ca="1" si="35"/>
        <v>44090</v>
      </c>
      <c r="Q1145" s="155">
        <f ca="1">_xll.meDateYearFraction(H1145,I1145,$Q$11,TRUE)</f>
        <v>0.25277777777777777</v>
      </c>
      <c r="R1145" s="150">
        <f ca="1">IF(NOW(),_xll.meCurveForwardRatesFromYearFraction(P1145,Q1145,$Q$11,$Q$9,$Q$10))</f>
        <v>1.5958709965692786E-3</v>
      </c>
      <c r="S1145" s="134" t="s">
        <v>4</v>
      </c>
    </row>
    <row r="1146" spans="1:19" x14ac:dyDescent="0.25">
      <c r="A1146" s="128">
        <v>1130</v>
      </c>
      <c r="B1146" s="133"/>
      <c r="C1146" s="149">
        <f ca="1">_xll.meDateFromTenor(C1145,"1D","FOLLOWING",$D$11,"NORMAL")</f>
        <v>44091</v>
      </c>
      <c r="D1146" s="20">
        <f ca="1">_xll.meDateFromTenor(C1146,"1D","Following",$D$11,"Normal")</f>
        <v>44092</v>
      </c>
      <c r="E1146" s="99">
        <f ca="1"/>
        <v>1.3873721461668034E-2</v>
      </c>
      <c r="F1146" s="161">
        <f ca="1">_xll.meCurveForwardRates(C1146,$D$9,$D$10)</f>
        <v>1.3970137091279922E-2</v>
      </c>
      <c r="G1146" s="7" t="s">
        <v>4</v>
      </c>
      <c r="H1146" s="149">
        <f t="shared" ca="1" si="34"/>
        <v>44091</v>
      </c>
      <c r="I1146" s="20">
        <f ca="1">_xll.meDateFromTenor(H1146,"3M","Following",$I$11,"Normal")</f>
        <v>44182</v>
      </c>
      <c r="J1146" s="150">
        <f ca="1"/>
        <v>1.8072562181256784E-2</v>
      </c>
      <c r="K1146" s="7" t="s">
        <v>4</v>
      </c>
      <c r="L1146" s="149" t="e">
        <f ca="1">_xll.meDateFromTenor(L1145,"1D","FOLLOWING",#REF!,"NORMAL")</f>
        <v>#VALUE!</v>
      </c>
      <c r="M1146" s="155">
        <f ca="1">_xll.meDateYearFraction(C1146,D1146,$M$11)</f>
        <v>2.7777777777777779E-3</v>
      </c>
      <c r="N1146" s="150">
        <f ca="1"/>
        <v>-2.4300000000065936E-3</v>
      </c>
      <c r="O1146" s="7" t="s">
        <v>4</v>
      </c>
      <c r="P1146" s="149">
        <f t="shared" ca="1" si="35"/>
        <v>44091</v>
      </c>
      <c r="Q1146" s="155">
        <f ca="1">_xll.meDateYearFraction(H1146,I1146,$Q$11,TRUE)</f>
        <v>0.25277777777777777</v>
      </c>
      <c r="R1146" s="150">
        <f ca="1">IF(NOW(),_xll.meCurveForwardRatesFromYearFraction(P1146,Q1146,$Q$11,$Q$9,$Q$10))</f>
        <v>-3.7175485397107962E-3</v>
      </c>
      <c r="S1146" s="134" t="s">
        <v>4</v>
      </c>
    </row>
    <row r="1147" spans="1:19" x14ac:dyDescent="0.25">
      <c r="A1147" s="128">
        <v>1131</v>
      </c>
      <c r="B1147" s="133"/>
      <c r="C1147" s="149">
        <f ca="1">_xll.meDateFromTenor(C1146,"1D","FOLLOWING",$D$11,"NORMAL")</f>
        <v>44092</v>
      </c>
      <c r="D1147" s="20">
        <f ca="1">_xll.meDateFromTenor(C1147,"1D","Following",$D$11,"Normal")</f>
        <v>44095</v>
      </c>
      <c r="E1147" s="99">
        <f ca="1"/>
        <v>1.3883446994763935E-2</v>
      </c>
      <c r="F1147" s="161">
        <f ca="1">_xll.meCurveForwardRates(C1147,$D$9,$D$10)</f>
        <v>1.3974790147528005E-2</v>
      </c>
      <c r="G1147" s="7" t="s">
        <v>4</v>
      </c>
      <c r="H1147" s="149">
        <f t="shared" ca="1" si="34"/>
        <v>44092</v>
      </c>
      <c r="I1147" s="20">
        <f ca="1">_xll.meDateFromTenor(H1147,"3M","Following",$I$11,"Normal")</f>
        <v>44183</v>
      </c>
      <c r="J1147" s="150">
        <f ca="1"/>
        <v>1.8075831097630765E-2</v>
      </c>
      <c r="K1147" s="7" t="s">
        <v>4</v>
      </c>
      <c r="L1147" s="149" t="e">
        <f ca="1">_xll.meDateFromTenor(L1146,"1D","FOLLOWING",#REF!,"NORMAL")</f>
        <v>#VALUE!</v>
      </c>
      <c r="M1147" s="155">
        <f ca="1">_xll.meDateYearFraction(C1147,D1147,$M$11)</f>
        <v>8.3333333333333332E-3</v>
      </c>
      <c r="N1147" s="150">
        <f ca="1"/>
        <v>-2.4300000000065936E-3</v>
      </c>
      <c r="O1147" s="7" t="s">
        <v>4</v>
      </c>
      <c r="P1147" s="149">
        <f t="shared" ca="1" si="35"/>
        <v>44092</v>
      </c>
      <c r="Q1147" s="155">
        <f ca="1">_xll.meDateYearFraction(H1147,I1147,$Q$11,TRUE)</f>
        <v>0.25277777777777777</v>
      </c>
      <c r="R1147" s="150">
        <f ca="1">IF(NOW(),_xll.meCurveForwardRatesFromYearFraction(P1147,Q1147,$Q$11,$Q$9,$Q$10))</f>
        <v>-3.7175485397107962E-3</v>
      </c>
      <c r="S1147" s="134" t="s">
        <v>4</v>
      </c>
    </row>
    <row r="1148" spans="1:19" x14ac:dyDescent="0.25">
      <c r="A1148" s="128">
        <v>1132</v>
      </c>
      <c r="B1148" s="133"/>
      <c r="C1148" s="149">
        <f ca="1">_xll.meDateFromTenor(C1147,"1D","FOLLOWING",$D$11,"NORMAL")</f>
        <v>44095</v>
      </c>
      <c r="D1148" s="20">
        <f ca="1">_xll.meDateFromTenor(C1148,"1D","Following",$D$11,"Normal")</f>
        <v>44096</v>
      </c>
      <c r="E1148" s="99">
        <f ca="1"/>
        <v>1.3892131571264838E-2</v>
      </c>
      <c r="F1148" s="161">
        <f ca="1">_xll.meCurveForwardRates(C1148,$D$9,$D$10)</f>
        <v>1.3988803844600994E-2</v>
      </c>
      <c r="G1148" s="7" t="s">
        <v>4</v>
      </c>
      <c r="H1148" s="149">
        <f t="shared" ca="1" si="34"/>
        <v>44095</v>
      </c>
      <c r="I1148" s="20">
        <f ca="1">_xll.meDateFromTenor(H1148,"3M","Following",$I$11,"Normal")</f>
        <v>44186</v>
      </c>
      <c r="J1148" s="150">
        <f ca="1"/>
        <v>1.8085580076262379E-2</v>
      </c>
      <c r="K1148" s="7" t="s">
        <v>4</v>
      </c>
      <c r="L1148" s="149" t="e">
        <f ca="1">_xll.meDateFromTenor(L1147,"1D","FOLLOWING",#REF!,"NORMAL")</f>
        <v>#VALUE!</v>
      </c>
      <c r="M1148" s="155">
        <f ca="1">_xll.meDateYearFraction(C1148,D1148,$M$11)</f>
        <v>2.7777777777777779E-3</v>
      </c>
      <c r="N1148" s="150">
        <f ca="1"/>
        <v>-2.4300000000065936E-3</v>
      </c>
      <c r="O1148" s="7" t="s">
        <v>4</v>
      </c>
      <c r="P1148" s="149">
        <f t="shared" ca="1" si="35"/>
        <v>44095</v>
      </c>
      <c r="Q1148" s="155">
        <f ca="1">_xll.meDateYearFraction(H1148,I1148,$Q$11,TRUE)</f>
        <v>0.25277777777777777</v>
      </c>
      <c r="R1148" s="150">
        <f ca="1">IF(NOW(),_xll.meCurveForwardRatesFromYearFraction(P1148,Q1148,$Q$11,$Q$9,$Q$10))</f>
        <v>-3.7175485397107962E-3</v>
      </c>
      <c r="S1148" s="134" t="s">
        <v>4</v>
      </c>
    </row>
    <row r="1149" spans="1:19" x14ac:dyDescent="0.25">
      <c r="A1149" s="128">
        <v>1133</v>
      </c>
      <c r="B1149" s="133"/>
      <c r="C1149" s="149">
        <f ca="1">_xll.meDateFromTenor(C1148,"1D","FOLLOWING",$D$11,"NORMAL")</f>
        <v>44096</v>
      </c>
      <c r="D1149" s="20">
        <f ca="1">_xll.meDateFromTenor(C1149,"1D","Following",$D$11,"Normal")</f>
        <v>44097</v>
      </c>
      <c r="E1149" s="99">
        <f ca="1"/>
        <v>1.3896756458773356E-2</v>
      </c>
      <c r="F1149" s="161">
        <f ca="1">_xll.meCurveForwardRates(C1149,$D$9,$D$10)</f>
        <v>1.3993493258606549E-2</v>
      </c>
      <c r="G1149" s="7" t="s">
        <v>4</v>
      </c>
      <c r="H1149" s="149">
        <f t="shared" ca="1" si="34"/>
        <v>44096</v>
      </c>
      <c r="I1149" s="20">
        <f ca="1">_xll.meDateFromTenor(H1149,"3M","Following",$I$11,"Normal")</f>
        <v>44187</v>
      </c>
      <c r="J1149" s="150">
        <f ca="1"/>
        <v>1.8088812407802787E-2</v>
      </c>
      <c r="K1149" s="7" t="s">
        <v>4</v>
      </c>
      <c r="L1149" s="149" t="e">
        <f ca="1">_xll.meDateFromTenor(L1148,"1D","FOLLOWING",#REF!,"NORMAL")</f>
        <v>#VALUE!</v>
      </c>
      <c r="M1149" s="155">
        <f ca="1">_xll.meDateYearFraction(C1149,D1149,$M$11)</f>
        <v>2.7777777777777779E-3</v>
      </c>
      <c r="N1149" s="150">
        <f ca="1"/>
        <v>-2.4300000000065936E-3</v>
      </c>
      <c r="O1149" s="7" t="s">
        <v>4</v>
      </c>
      <c r="P1149" s="149">
        <f t="shared" ca="1" si="35"/>
        <v>44096</v>
      </c>
      <c r="Q1149" s="155">
        <f ca="1">_xll.meDateYearFraction(H1149,I1149,$Q$11,TRUE)</f>
        <v>0.25277777777777777</v>
      </c>
      <c r="R1149" s="150">
        <f ca="1">IF(NOW(),_xll.meCurveForwardRatesFromYearFraction(P1149,Q1149,$Q$11,$Q$9,$Q$10))</f>
        <v>1.6373078297046045E-3</v>
      </c>
      <c r="S1149" s="134" t="s">
        <v>4</v>
      </c>
    </row>
    <row r="1150" spans="1:19" x14ac:dyDescent="0.25">
      <c r="A1150" s="128">
        <v>1134</v>
      </c>
      <c r="B1150" s="133"/>
      <c r="C1150" s="149">
        <f ca="1">_xll.meDateFromTenor(C1149,"1D","FOLLOWING",$D$11,"NORMAL")</f>
        <v>44097</v>
      </c>
      <c r="D1150" s="20">
        <f ca="1">_xll.meDateFromTenor(C1150,"1D","Following",$D$11,"Normal")</f>
        <v>44098</v>
      </c>
      <c r="E1150" s="99">
        <f ca="1"/>
        <v>1.3901390293293899E-2</v>
      </c>
      <c r="F1150" s="161">
        <f ca="1">_xll.meCurveForwardRates(C1150,$D$9,$D$10)</f>
        <v>1.3998191766142698E-2</v>
      </c>
      <c r="G1150" s="7" t="s">
        <v>4</v>
      </c>
      <c r="H1150" s="149">
        <f t="shared" ca="1" si="34"/>
        <v>44097</v>
      </c>
      <c r="I1150" s="20">
        <f ca="1">_xll.meDateFromTenor(H1150,"3M","Following",$I$11,"Normal")</f>
        <v>44188</v>
      </c>
      <c r="J1150" s="150">
        <f ca="1"/>
        <v>1.8092037039754788E-2</v>
      </c>
      <c r="K1150" s="7" t="s">
        <v>4</v>
      </c>
      <c r="L1150" s="149" t="e">
        <f ca="1">_xll.meDateFromTenor(L1149,"1D","FOLLOWING",#REF!,"NORMAL")</f>
        <v>#VALUE!</v>
      </c>
      <c r="M1150" s="155">
        <f ca="1">_xll.meDateYearFraction(C1150,D1150,$M$11)</f>
        <v>2.7777777777777779E-3</v>
      </c>
      <c r="N1150" s="150">
        <f ca="1"/>
        <v>-2.4300000000065936E-3</v>
      </c>
      <c r="O1150" s="7" t="s">
        <v>4</v>
      </c>
      <c r="P1150" s="149">
        <f t="shared" ca="1" si="35"/>
        <v>44097</v>
      </c>
      <c r="Q1150" s="155">
        <f ca="1">_xll.meDateYearFraction(H1150,I1150,$Q$11,TRUE)</f>
        <v>0.25277777777777777</v>
      </c>
      <c r="R1150" s="150">
        <f ca="1">IF(NOW(),_xll.meCurveForwardRatesFromYearFraction(P1150,Q1150,$Q$11,$Q$9,$Q$10))</f>
        <v>-3.7175485397107962E-3</v>
      </c>
      <c r="S1150" s="134" t="s">
        <v>4</v>
      </c>
    </row>
    <row r="1151" spans="1:19" x14ac:dyDescent="0.25">
      <c r="A1151" s="128">
        <v>1135</v>
      </c>
      <c r="B1151" s="133"/>
      <c r="C1151" s="149">
        <f ca="1">_xll.meDateFromTenor(C1150,"1D","FOLLOWING",$D$11,"NORMAL")</f>
        <v>44098</v>
      </c>
      <c r="D1151" s="20">
        <f ca="1">_xll.meDateFromTenor(C1151,"1D","Following",$D$11,"Normal")</f>
        <v>44099</v>
      </c>
      <c r="E1151" s="99">
        <f ca="1"/>
        <v>1.3906033076407412E-2</v>
      </c>
      <c r="F1151" s="161">
        <f ca="1">_xll.meCurveForwardRates(C1151,$D$9,$D$10)</f>
        <v>1.4002899368938504E-2</v>
      </c>
      <c r="G1151" s="7" t="s">
        <v>4</v>
      </c>
      <c r="H1151" s="149">
        <f t="shared" ca="1" si="34"/>
        <v>44098</v>
      </c>
      <c r="I1151" s="20">
        <f ca="1">_xll.meDateFromTenor(H1151,"3M","Following",$I$11,"Normal")</f>
        <v>44189</v>
      </c>
      <c r="J1151" s="150">
        <f ca="1"/>
        <v>1.8095254550766375E-2</v>
      </c>
      <c r="K1151" s="7" t="s">
        <v>4</v>
      </c>
      <c r="L1151" s="149" t="e">
        <f ca="1">_xll.meDateFromTenor(L1150,"1D","FOLLOWING",#REF!,"NORMAL")</f>
        <v>#VALUE!</v>
      </c>
      <c r="M1151" s="155">
        <f ca="1">_xll.meDateYearFraction(C1151,D1151,$M$11)</f>
        <v>2.7777777777777779E-3</v>
      </c>
      <c r="N1151" s="150">
        <f ca="1"/>
        <v>-2.4300000000065936E-3</v>
      </c>
      <c r="O1151" s="7" t="s">
        <v>4</v>
      </c>
      <c r="P1151" s="149">
        <f t="shared" ca="1" si="35"/>
        <v>44098</v>
      </c>
      <c r="Q1151" s="155">
        <f ca="1">_xll.meDateYearFraction(H1151,I1151,$Q$11,TRUE)</f>
        <v>0.25277777777777777</v>
      </c>
      <c r="R1151" s="150">
        <f ca="1">IF(NOW(),_xll.meCurveForwardRatesFromYearFraction(P1151,Q1151,$Q$11,$Q$9,$Q$10))</f>
        <v>-3.7175485397107962E-3</v>
      </c>
      <c r="S1151" s="134" t="s">
        <v>4</v>
      </c>
    </row>
    <row r="1152" spans="1:19" x14ac:dyDescent="0.25">
      <c r="A1152" s="128">
        <v>1136</v>
      </c>
      <c r="B1152" s="133"/>
      <c r="C1152" s="149">
        <f ca="1">_xll.meDateFromTenor(C1151,"1D","FOLLOWING",$D$11,"NORMAL")</f>
        <v>44099</v>
      </c>
      <c r="D1152" s="20">
        <f ca="1">_xll.meDateFromTenor(C1152,"1D","Following",$D$11,"Normal")</f>
        <v>44102</v>
      </c>
      <c r="E1152" s="99">
        <f ca="1"/>
        <v>1.391588636611453E-2</v>
      </c>
      <c r="F1152" s="161">
        <f ca="1">_xll.meCurveForwardRates(C1152,$D$9,$D$10)</f>
        <v>1.4007616068677953E-2</v>
      </c>
      <c r="G1152" s="7" t="s">
        <v>4</v>
      </c>
      <c r="H1152" s="149">
        <f t="shared" ca="1" si="34"/>
        <v>44099</v>
      </c>
      <c r="I1152" s="20">
        <f ca="1">_xll.meDateFromTenor(H1152,"3M","Following",$I$11,"Normal")</f>
        <v>44194</v>
      </c>
      <c r="J1152" s="150">
        <f ca="1"/>
        <v>1.8098465519485539E-2</v>
      </c>
      <c r="K1152" s="7" t="s">
        <v>4</v>
      </c>
      <c r="L1152" s="149" t="e">
        <f ca="1">_xll.meDateFromTenor(L1151,"1D","FOLLOWING",#REF!,"NORMAL")</f>
        <v>#VALUE!</v>
      </c>
      <c r="M1152" s="155">
        <f ca="1">_xll.meDateYearFraction(C1152,D1152,$M$11)</f>
        <v>8.3333333333333332E-3</v>
      </c>
      <c r="N1152" s="150">
        <f ca="1"/>
        <v>-2.4300000000065936E-3</v>
      </c>
      <c r="O1152" s="7" t="s">
        <v>4</v>
      </c>
      <c r="P1152" s="149">
        <f t="shared" ca="1" si="35"/>
        <v>44099</v>
      </c>
      <c r="Q1152" s="155">
        <f ca="1">_xll.meDateYearFraction(H1152,I1152,$Q$11,TRUE)</f>
        <v>0.2638888888888889</v>
      </c>
      <c r="R1152" s="150">
        <f ca="1">IF(NOW(),_xll.meCurveForwardRatesFromYearFraction(P1152,Q1152,$Q$11,$Q$9,$Q$10))</f>
        <v>1.6580688079908814E-3</v>
      </c>
      <c r="S1152" s="134" t="s">
        <v>4</v>
      </c>
    </row>
    <row r="1153" spans="1:19" x14ac:dyDescent="0.25">
      <c r="A1153" s="128">
        <v>1137</v>
      </c>
      <c r="B1153" s="133"/>
      <c r="C1153" s="149">
        <f ca="1">_xll.meDateFromTenor(C1152,"1D","FOLLOWING",$D$11,"NORMAL")</f>
        <v>44102</v>
      </c>
      <c r="D1153" s="20">
        <f ca="1">_xll.meDateFromTenor(C1153,"1D","Following",$D$11,"Normal")</f>
        <v>44103</v>
      </c>
      <c r="E1153" s="99">
        <f ca="1"/>
        <v>1.3924693725193603E-2</v>
      </c>
      <c r="F1153" s="161">
        <f ca="1">_xll.meCurveForwardRates(C1153,$D$9,$D$10)</f>
        <v>1.4021820766070281E-2</v>
      </c>
      <c r="G1153" s="7" t="s">
        <v>4</v>
      </c>
      <c r="H1153" s="149">
        <f t="shared" ca="1" si="34"/>
        <v>44102</v>
      </c>
      <c r="I1153" s="20">
        <f ca="1">_xll.meDateFromTenor(H1153,"3M","Following",$I$11,"Normal")</f>
        <v>44194</v>
      </c>
      <c r="J1153" s="150">
        <f ca="1"/>
        <v>1.8108064958368454E-2</v>
      </c>
      <c r="K1153" s="7" t="s">
        <v>4</v>
      </c>
      <c r="L1153" s="149" t="e">
        <f ca="1">_xll.meDateFromTenor(L1152,"1D","FOLLOWING",#REF!,"NORMAL")</f>
        <v>#VALUE!</v>
      </c>
      <c r="M1153" s="155">
        <f ca="1">_xll.meDateYearFraction(C1153,D1153,$M$11)</f>
        <v>2.7777777777777779E-3</v>
      </c>
      <c r="N1153" s="150">
        <f ca="1"/>
        <v>-2.4300000000065936E-3</v>
      </c>
      <c r="O1153" s="7" t="s">
        <v>4</v>
      </c>
      <c r="P1153" s="149">
        <f t="shared" ca="1" si="35"/>
        <v>44102</v>
      </c>
      <c r="Q1153" s="155">
        <f ca="1">_xll.meDateYearFraction(H1153,I1153,$Q$11,TRUE)</f>
        <v>0.25555555555555554</v>
      </c>
      <c r="R1153" s="150">
        <f ca="1">IF(NOW(),_xll.meCurveForwardRatesFromYearFraction(P1153,Q1153,$Q$11,$Q$9,$Q$10))</f>
        <v>1.6788556816374042E-3</v>
      </c>
      <c r="S1153" s="134" t="s">
        <v>4</v>
      </c>
    </row>
    <row r="1154" spans="1:19" x14ac:dyDescent="0.25">
      <c r="A1154" s="128">
        <v>1138</v>
      </c>
      <c r="B1154" s="133"/>
      <c r="C1154" s="149">
        <f ca="1">_xll.meDateFromTenor(C1153,"1D","FOLLOWING",$D$11,"NORMAL")</f>
        <v>44103</v>
      </c>
      <c r="D1154" s="20">
        <f ca="1">_xll.meDateFromTenor(C1154,"1D","Following",$D$11,"Normal")</f>
        <v>44104</v>
      </c>
      <c r="E1154" s="99">
        <f ca="1"/>
        <v>1.3929381274107089E-2</v>
      </c>
      <c r="F1154" s="161">
        <f ca="1">_xll.meCurveForwardRates(C1154,$D$9,$D$10)</f>
        <v>1.4026573870214998E-2</v>
      </c>
      <c r="G1154" s="7" t="s">
        <v>4</v>
      </c>
      <c r="H1154" s="149">
        <f t="shared" ca="1" si="34"/>
        <v>44103</v>
      </c>
      <c r="I1154" s="20">
        <f ca="1">_xll.meDateFromTenor(H1154,"3M","Following",$I$11,"Normal")</f>
        <v>44194</v>
      </c>
      <c r="J1154" s="150">
        <f ca="1"/>
        <v>1.8111255544397881E-2</v>
      </c>
      <c r="K1154" s="7" t="s">
        <v>4</v>
      </c>
      <c r="L1154" s="149" t="e">
        <f ca="1">_xll.meDateFromTenor(L1153,"1D","FOLLOWING",#REF!,"NORMAL")</f>
        <v>#VALUE!</v>
      </c>
      <c r="M1154" s="155">
        <f ca="1">_xll.meDateYearFraction(C1154,D1154,$M$11)</f>
        <v>2.7777777777777779E-3</v>
      </c>
      <c r="N1154" s="150">
        <f ca="1"/>
        <v>-2.4300000000065936E-3</v>
      </c>
      <c r="O1154" s="7" t="s">
        <v>4</v>
      </c>
      <c r="P1154" s="149">
        <f t="shared" ca="1" si="35"/>
        <v>44103</v>
      </c>
      <c r="Q1154" s="155">
        <f ca="1">_xll.meDateYearFraction(H1154,I1154,$Q$11,TRUE)</f>
        <v>0.25277777777777777</v>
      </c>
      <c r="R1154" s="150">
        <f ca="1">IF(NOW(),_xll.meCurveForwardRatesFromYearFraction(P1154,Q1154,$Q$11,$Q$9,$Q$10))</f>
        <v>1.6857900726768257E-3</v>
      </c>
      <c r="S1154" s="134" t="s">
        <v>4</v>
      </c>
    </row>
    <row r="1155" spans="1:19" x14ac:dyDescent="0.25">
      <c r="A1155" s="128">
        <v>1139</v>
      </c>
      <c r="B1155" s="133"/>
      <c r="C1155" s="149">
        <f ca="1">_xll.meDateFromTenor(C1154,"1D","FOLLOWING",$D$11,"NORMAL")</f>
        <v>44104</v>
      </c>
      <c r="D1155" s="20">
        <f ca="1">_xll.meDateFromTenor(C1155,"1D","Following",$D$11,"Normal")</f>
        <v>44105</v>
      </c>
      <c r="E1155" s="99">
        <f ca="1"/>
        <v>1.3934077780646301E-2</v>
      </c>
      <c r="F1155" s="161">
        <f ca="1">_xll.meCurveForwardRates(C1155,$D$9,$D$10)</f>
        <v>1.4031336079539214E-2</v>
      </c>
      <c r="G1155" s="7" t="s">
        <v>4</v>
      </c>
      <c r="H1155" s="149">
        <f t="shared" ca="1" si="34"/>
        <v>44104</v>
      </c>
      <c r="I1155" s="20">
        <f ca="1">_xll.meDateFromTenor(H1155,"3M","Following",$I$11,"Normal")</f>
        <v>44195</v>
      </c>
      <c r="J1155" s="150">
        <f ca="1"/>
        <v>1.8114442481374851E-2</v>
      </c>
      <c r="K1155" s="7" t="s">
        <v>4</v>
      </c>
      <c r="L1155" s="149" t="e">
        <f ca="1">_xll.meDateFromTenor(L1154,"1D","FOLLOWING",#REF!,"NORMAL")</f>
        <v>#VALUE!</v>
      </c>
      <c r="M1155" s="155">
        <f ca="1">_xll.meDateYearFraction(C1155,D1155,$M$11)</f>
        <v>2.7777777777777779E-3</v>
      </c>
      <c r="N1155" s="150">
        <f ca="1"/>
        <v>-2.4300000000065936E-3</v>
      </c>
      <c r="O1155" s="7" t="s">
        <v>4</v>
      </c>
      <c r="P1155" s="149">
        <f t="shared" ca="1" si="35"/>
        <v>44104</v>
      </c>
      <c r="Q1155" s="155">
        <f ca="1">_xll.meDateYearFraction(H1155,I1155,$Q$11,TRUE)</f>
        <v>0.25277777777777777</v>
      </c>
      <c r="R1155" s="150">
        <f ca="1">IF(NOW(),_xll.meCurveForwardRatesFromYearFraction(P1155,Q1155,$Q$11,$Q$9,$Q$10))</f>
        <v>1.6927270655208476E-3</v>
      </c>
      <c r="S1155" s="134" t="s">
        <v>4</v>
      </c>
    </row>
    <row r="1156" spans="1:19" x14ac:dyDescent="0.25">
      <c r="A1156" s="128">
        <v>1140</v>
      </c>
      <c r="B1156" s="133"/>
      <c r="C1156" s="149">
        <f ca="1">_xll.meDateFromTenor(C1155,"1D","FOLLOWING",$D$11,"NORMAL")</f>
        <v>44105</v>
      </c>
      <c r="D1156" s="20">
        <f ca="1">_xll.meDateFromTenor(C1156,"1D","Following",$D$11,"Normal")</f>
        <v>44106</v>
      </c>
      <c r="E1156" s="99">
        <f ca="1"/>
        <v>1.3938783246587651E-2</v>
      </c>
      <c r="F1156" s="161">
        <f ca="1">_xll.meCurveForwardRates(C1156,$D$9,$D$10)</f>
        <v>1.4036107395971387E-2</v>
      </c>
      <c r="G1156" s="7" t="s">
        <v>4</v>
      </c>
      <c r="H1156" s="149">
        <f t="shared" ca="1" si="34"/>
        <v>44105</v>
      </c>
      <c r="I1156" s="20">
        <f ca="1">_xll.meDateFromTenor(H1156,"3M","Following",$I$11,"Normal")</f>
        <v>44200</v>
      </c>
      <c r="J1156" s="150">
        <f ca="1"/>
        <v>1.811762634794737E-2</v>
      </c>
      <c r="K1156" s="7" t="s">
        <v>4</v>
      </c>
      <c r="L1156" s="149" t="e">
        <f ca="1">_xll.meDateFromTenor(L1155,"1D","FOLLOWING",#REF!,"NORMAL")</f>
        <v>#VALUE!</v>
      </c>
      <c r="M1156" s="155">
        <f ca="1">_xll.meDateYearFraction(C1156,D1156,$M$11)</f>
        <v>2.7777777777777779E-3</v>
      </c>
      <c r="N1156" s="150">
        <f ca="1"/>
        <v>-2.4300000000065936E-3</v>
      </c>
      <c r="O1156" s="7" t="s">
        <v>4</v>
      </c>
      <c r="P1156" s="149">
        <f t="shared" ca="1" si="35"/>
        <v>44105</v>
      </c>
      <c r="Q1156" s="155">
        <f ca="1">_xll.meDateYearFraction(H1156,I1156,$Q$11,TRUE)</f>
        <v>0.2638888888888889</v>
      </c>
      <c r="R1156" s="150">
        <f ca="1">IF(NOW(),_xll.meCurveForwardRatesFromYearFraction(P1156,Q1156,$Q$11,$Q$9,$Q$10))</f>
        <v>-3.7175485397107962E-3</v>
      </c>
      <c r="S1156" s="134" t="s">
        <v>4</v>
      </c>
    </row>
    <row r="1157" spans="1:19" x14ac:dyDescent="0.25">
      <c r="A1157" s="128">
        <v>1141</v>
      </c>
      <c r="B1157" s="133"/>
      <c r="C1157" s="149">
        <f ca="1">_xll.meDateFromTenor(C1156,"1D","FOLLOWING",$D$11,"NORMAL")</f>
        <v>44106</v>
      </c>
      <c r="D1157" s="20">
        <f ca="1">_xll.meDateFromTenor(C1157,"1D","Following",$D$11,"Normal")</f>
        <v>44109</v>
      </c>
      <c r="E1157" s="99">
        <f ca="1"/>
        <v>1.3948764481996195E-2</v>
      </c>
      <c r="F1157" s="161">
        <f ca="1">_xll.meCurveForwardRates(C1157,$D$9,$D$10)</f>
        <v>1.4040887820918835E-2</v>
      </c>
      <c r="G1157" s="7" t="s">
        <v>4</v>
      </c>
      <c r="H1157" s="149">
        <f t="shared" ca="1" si="34"/>
        <v>44106</v>
      </c>
      <c r="I1157" s="20">
        <f ca="1">_xll.meDateFromTenor(H1157,"3M","Following",$I$11,"Normal")</f>
        <v>44200</v>
      </c>
      <c r="J1157" s="150">
        <f ca="1"/>
        <v>1.8120807722763425E-2</v>
      </c>
      <c r="K1157" s="7" t="s">
        <v>4</v>
      </c>
      <c r="L1157" s="149" t="e">
        <f ca="1">_xll.meDateFromTenor(L1156,"1D","FOLLOWING",#REF!,"NORMAL")</f>
        <v>#VALUE!</v>
      </c>
      <c r="M1157" s="155">
        <f ca="1">_xll.meDateYearFraction(C1157,D1157,$M$11)</f>
        <v>8.3333333333333332E-3</v>
      </c>
      <c r="N1157" s="150">
        <f ca="1"/>
        <v>-2.4300000000065936E-3</v>
      </c>
      <c r="O1157" s="7" t="s">
        <v>4</v>
      </c>
      <c r="P1157" s="149">
        <f t="shared" ca="1" si="35"/>
        <v>44106</v>
      </c>
      <c r="Q1157" s="155">
        <f ca="1">_xll.meDateYearFraction(H1157,I1157,$Q$11,TRUE)</f>
        <v>0.26111111111111113</v>
      </c>
      <c r="R1157" s="150">
        <f ca="1">IF(NOW(),_xll.meCurveForwardRatesFromYearFraction(P1157,Q1157,$Q$11,$Q$9,$Q$10))</f>
        <v>1.7066085811650545E-3</v>
      </c>
      <c r="S1157" s="134" t="s">
        <v>4</v>
      </c>
    </row>
    <row r="1158" spans="1:19" x14ac:dyDescent="0.25">
      <c r="A1158" s="128">
        <v>1142</v>
      </c>
      <c r="B1158" s="133"/>
      <c r="C1158" s="149">
        <f ca="1">_xll.meDateFromTenor(C1157,"1D","FOLLOWING",$D$11,"NORMAL")</f>
        <v>44109</v>
      </c>
      <c r="D1158" s="20">
        <f ca="1">_xll.meDateFromTenor(C1158,"1D","Following",$D$11,"Normal")</f>
        <v>44110</v>
      </c>
      <c r="E1158" s="99">
        <f ca="1"/>
        <v>1.3957694733364228E-2</v>
      </c>
      <c r="F1158" s="161">
        <f ca="1">_xll.meCurveForwardRates(C1158,$D$9,$D$10)</f>
        <v>1.4055283764743187E-2</v>
      </c>
      <c r="G1158" s="7" t="s">
        <v>4</v>
      </c>
      <c r="H1158" s="149">
        <f t="shared" ca="1" si="34"/>
        <v>44109</v>
      </c>
      <c r="I1158" s="20">
        <f ca="1">_xll.meDateFromTenor(H1158,"3M","Following",$I$11,"Normal")</f>
        <v>44201</v>
      </c>
      <c r="J1158" s="150">
        <f ca="1"/>
        <v>1.813034268315275E-2</v>
      </c>
      <c r="K1158" s="7" t="s">
        <v>4</v>
      </c>
      <c r="L1158" s="149" t="e">
        <f ca="1">_xll.meDateFromTenor(L1157,"1D","FOLLOWING",#REF!,"NORMAL")</f>
        <v>#VALUE!</v>
      </c>
      <c r="M1158" s="155">
        <f ca="1">_xll.meDateYearFraction(C1158,D1158,$M$11)</f>
        <v>2.7777777777777779E-3</v>
      </c>
      <c r="N1158" s="150">
        <f ca="1"/>
        <v>-2.4300000000065936E-3</v>
      </c>
      <c r="O1158" s="7" t="s">
        <v>4</v>
      </c>
      <c r="P1158" s="149">
        <f t="shared" ca="1" si="35"/>
        <v>44109</v>
      </c>
      <c r="Q1158" s="155">
        <f ca="1">_xll.meDateYearFraction(H1158,I1158,$Q$11,TRUE)</f>
        <v>0.25555555555555554</v>
      </c>
      <c r="R1158" s="150">
        <f ca="1">IF(NOW(),_xll.meCurveForwardRatesFromYearFraction(P1158,Q1158,$Q$11,$Q$9,$Q$10))</f>
        <v>-3.7175485397107962E-3</v>
      </c>
      <c r="S1158" s="134" t="s">
        <v>4</v>
      </c>
    </row>
    <row r="1159" spans="1:19" x14ac:dyDescent="0.25">
      <c r="A1159" s="128">
        <v>1143</v>
      </c>
      <c r="B1159" s="133"/>
      <c r="C1159" s="149">
        <f ca="1">_xll.meDateFromTenor(C1158,"1D","FOLLOWING",$D$11,"NORMAL")</f>
        <v>44110</v>
      </c>
      <c r="D1159" s="20">
        <f ca="1">_xll.meDateFromTenor(C1159,"1D","Following",$D$11,"Normal")</f>
        <v>44111</v>
      </c>
      <c r="E1159" s="99">
        <f ca="1"/>
        <v>1.3962445018405083E-2</v>
      </c>
      <c r="F1159" s="161">
        <f ca="1">_xll.meCurveForwardRates(C1159,$D$9,$D$10)</f>
        <v>1.4060100641040352E-2</v>
      </c>
      <c r="G1159" s="7" t="s">
        <v>4</v>
      </c>
      <c r="H1159" s="149">
        <f t="shared" ca="1" si="34"/>
        <v>44110</v>
      </c>
      <c r="I1159" s="20">
        <f ca="1">_xll.meDateFromTenor(H1159,"3M","Following",$I$11,"Normal")</f>
        <v>44202</v>
      </c>
      <c r="J1159" s="150">
        <f ca="1"/>
        <v>1.8133519867348544E-2</v>
      </c>
      <c r="K1159" s="7" t="s">
        <v>4</v>
      </c>
      <c r="L1159" s="149" t="e">
        <f ca="1">_xll.meDateFromTenor(L1158,"1D","FOLLOWING",#REF!,"NORMAL")</f>
        <v>#VALUE!</v>
      </c>
      <c r="M1159" s="155">
        <f ca="1">_xll.meDateYearFraction(C1159,D1159,$M$11)</f>
        <v>2.7777777777777779E-3</v>
      </c>
      <c r="N1159" s="150">
        <f ca="1"/>
        <v>-2.4300000000065936E-3</v>
      </c>
      <c r="O1159" s="7" t="s">
        <v>4</v>
      </c>
      <c r="P1159" s="149">
        <f t="shared" ca="1" si="35"/>
        <v>44110</v>
      </c>
      <c r="Q1159" s="155">
        <f ca="1">_xll.meDateYearFraction(H1159,I1159,$Q$11,TRUE)</f>
        <v>0.25555555555555554</v>
      </c>
      <c r="R1159" s="150">
        <f ca="1">IF(NOW(),_xll.meCurveForwardRatesFromYearFraction(P1159,Q1159,$Q$11,$Q$9,$Q$10))</f>
        <v>-3.7175485397107962E-3</v>
      </c>
      <c r="S1159" s="134" t="s">
        <v>4</v>
      </c>
    </row>
    <row r="1160" spans="1:19" x14ac:dyDescent="0.25">
      <c r="A1160" s="128">
        <v>1144</v>
      </c>
      <c r="B1160" s="133"/>
      <c r="C1160" s="149">
        <f ca="1">_xll.meDateFromTenor(C1159,"1D","FOLLOWING",$D$11,"NORMAL")</f>
        <v>44111</v>
      </c>
      <c r="D1160" s="20">
        <f ca="1">_xll.meDateFromTenor(C1160,"1D","Following",$D$11,"Normal")</f>
        <v>44112</v>
      </c>
      <c r="E1160" s="99">
        <f ca="1"/>
        <v>1.3967204272120677E-2</v>
      </c>
      <c r="F1160" s="161">
        <f ca="1">_xll.meCurveForwardRates(C1160,$D$9,$D$10)</f>
        <v>1.4064926634620223E-2</v>
      </c>
      <c r="G1160" s="7" t="s">
        <v>4</v>
      </c>
      <c r="H1160" s="149">
        <f t="shared" ca="1" si="34"/>
        <v>44111</v>
      </c>
      <c r="I1160" s="20">
        <f ca="1">_xll.meDateFromTenor(H1160,"3M","Following",$I$11,"Normal")</f>
        <v>44203</v>
      </c>
      <c r="J1160" s="150">
        <f ca="1"/>
        <v>1.8136697326599203E-2</v>
      </c>
      <c r="K1160" s="7" t="s">
        <v>4</v>
      </c>
      <c r="L1160" s="149" t="e">
        <f ca="1">_xll.meDateFromTenor(L1159,"1D","FOLLOWING",#REF!,"NORMAL")</f>
        <v>#VALUE!</v>
      </c>
      <c r="M1160" s="155">
        <f ca="1">_xll.meDateYearFraction(C1160,D1160,$M$11)</f>
        <v>2.7777777777777779E-3</v>
      </c>
      <c r="N1160" s="150">
        <f ca="1"/>
        <v>-2.4300000000065936E-3</v>
      </c>
      <c r="O1160" s="7" t="s">
        <v>4</v>
      </c>
      <c r="P1160" s="149">
        <f t="shared" ca="1" si="35"/>
        <v>44111</v>
      </c>
      <c r="Q1160" s="155">
        <f ca="1">_xll.meDateYearFraction(H1160,I1160,$Q$11,TRUE)</f>
        <v>0.25555555555555554</v>
      </c>
      <c r="R1160" s="150">
        <f ca="1">IF(NOW(),_xll.meCurveForwardRatesFromYearFraction(P1160,Q1160,$Q$11,$Q$9,$Q$10))</f>
        <v>1.7413530813472937E-3</v>
      </c>
      <c r="S1160" s="134" t="s">
        <v>4</v>
      </c>
    </row>
    <row r="1161" spans="1:19" x14ac:dyDescent="0.25">
      <c r="A1161" s="128">
        <v>1145</v>
      </c>
      <c r="B1161" s="133"/>
      <c r="C1161" s="149">
        <f ca="1">_xll.meDateFromTenor(C1160,"1D","FOLLOWING",$D$11,"NORMAL")</f>
        <v>44112</v>
      </c>
      <c r="D1161" s="20">
        <f ca="1">_xll.meDateFromTenor(C1161,"1D","Following",$D$11,"Normal")</f>
        <v>44113</v>
      </c>
      <c r="E1161" s="99">
        <f ca="1"/>
        <v>1.3971972495772126E-2</v>
      </c>
      <c r="F1161" s="161">
        <f ca="1">_xll.meCurveForwardRates(C1161,$D$9,$D$10)</f>
        <v>1.4069761746891229E-2</v>
      </c>
      <c r="G1161" s="7" t="s">
        <v>4</v>
      </c>
      <c r="H1161" s="149">
        <f t="shared" ca="1" si="34"/>
        <v>44112</v>
      </c>
      <c r="I1161" s="20">
        <f ca="1">_xll.meDateFromTenor(H1161,"3M","Following",$I$11,"Normal")</f>
        <v>44204</v>
      </c>
      <c r="J1161" s="150">
        <f ca="1"/>
        <v>1.8139875459447619E-2</v>
      </c>
      <c r="K1161" s="7" t="s">
        <v>4</v>
      </c>
      <c r="L1161" s="149" t="e">
        <f ca="1">_xll.meDateFromTenor(L1160,"1D","FOLLOWING",#REF!,"NORMAL")</f>
        <v>#VALUE!</v>
      </c>
      <c r="M1161" s="155">
        <f ca="1">_xll.meDateYearFraction(C1161,D1161,$M$11)</f>
        <v>2.7777777777777779E-3</v>
      </c>
      <c r="N1161" s="150">
        <f ca="1"/>
        <v>-2.4300000000065936E-3</v>
      </c>
      <c r="O1161" s="7" t="s">
        <v>4</v>
      </c>
      <c r="P1161" s="149">
        <f t="shared" ca="1" si="35"/>
        <v>44112</v>
      </c>
      <c r="Q1161" s="155">
        <f ca="1">_xll.meDateYearFraction(H1161,I1161,$Q$11,TRUE)</f>
        <v>0.25555555555555554</v>
      </c>
      <c r="R1161" s="150">
        <f ca="1">IF(NOW(),_xll.meCurveForwardRatesFromYearFraction(P1161,Q1161,$Q$11,$Q$9,$Q$10))</f>
        <v>1.7483084095093128E-3</v>
      </c>
      <c r="S1161" s="134" t="s">
        <v>4</v>
      </c>
    </row>
    <row r="1162" spans="1:19" x14ac:dyDescent="0.25">
      <c r="A1162" s="128">
        <v>1146</v>
      </c>
      <c r="B1162" s="133"/>
      <c r="C1162" s="149">
        <f ca="1">_xll.meDateFromTenor(C1161,"1D","FOLLOWING",$D$11,"NORMAL")</f>
        <v>44113</v>
      </c>
      <c r="D1162" s="20">
        <f ca="1">_xll.meDateFromTenor(C1162,"1D","Following",$D$11,"Normal")</f>
        <v>44117</v>
      </c>
      <c r="E1162" s="99">
        <f ca="1"/>
        <v>1.3984752733242673E-2</v>
      </c>
      <c r="F1162" s="161">
        <f ca="1">_xll.meCurveForwardRates(C1162,$D$9,$D$10)</f>
        <v>1.4074605979541577E-2</v>
      </c>
      <c r="G1162" s="7" t="s">
        <v>4</v>
      </c>
      <c r="H1162" s="149">
        <f t="shared" ca="1" si="34"/>
        <v>44113</v>
      </c>
      <c r="I1162" s="20">
        <f ca="1">_xll.meDateFromTenor(H1162,"3M","Following",$I$11,"Normal")</f>
        <v>44207</v>
      </c>
      <c r="J1162" s="150">
        <f ca="1"/>
        <v>1.8143054663571027E-2</v>
      </c>
      <c r="K1162" s="7" t="s">
        <v>4</v>
      </c>
      <c r="L1162" s="149" t="e">
        <f ca="1">_xll.meDateFromTenor(L1161,"1D","FOLLOWING",#REF!,"NORMAL")</f>
        <v>#VALUE!</v>
      </c>
      <c r="M1162" s="155">
        <f ca="1">_xll.meDateYearFraction(C1162,D1162,$M$11)</f>
        <v>1.1111111111111112E-2</v>
      </c>
      <c r="N1162" s="150">
        <f ca="1"/>
        <v>-2.4300000000065936E-3</v>
      </c>
      <c r="O1162" s="7" t="s">
        <v>4</v>
      </c>
      <c r="P1162" s="149">
        <f t="shared" ca="1" si="35"/>
        <v>44113</v>
      </c>
      <c r="Q1162" s="155">
        <f ca="1">_xll.meDateYearFraction(H1162,I1162,$Q$11,TRUE)</f>
        <v>0.26111111111111113</v>
      </c>
      <c r="R1162" s="150">
        <f ca="1">IF(NOW(),_xll.meCurveForwardRatesFromYearFraction(P1162,Q1162,$Q$11,$Q$9,$Q$10))</f>
        <v>-3.7175485397107962E-3</v>
      </c>
      <c r="S1162" s="134" t="s">
        <v>4</v>
      </c>
    </row>
    <row r="1163" spans="1:19" x14ac:dyDescent="0.25">
      <c r="A1163" s="128">
        <v>1147</v>
      </c>
      <c r="B1163" s="133"/>
      <c r="C1163" s="149">
        <f ca="1">_xll.meDateFromTenor(C1162,"1D","FOLLOWING",$D$11,"NORMAL")</f>
        <v>44117</v>
      </c>
      <c r="D1163" s="20">
        <f ca="1">_xll.meDateFromTenor(C1163,"1D","Following",$D$11,"Normal")</f>
        <v>44118</v>
      </c>
      <c r="E1163" s="99">
        <f ca="1"/>
        <v>1.3995948217984179E-2</v>
      </c>
      <c r="F1163" s="161">
        <f ca="1">_xll.meCurveForwardRates(C1163,$D$9,$D$10)</f>
        <v>1.4094074148855995E-2</v>
      </c>
      <c r="G1163" s="7" t="s">
        <v>4</v>
      </c>
      <c r="H1163" s="149">
        <f t="shared" ca="1" si="34"/>
        <v>44117</v>
      </c>
      <c r="I1163" s="20">
        <f ca="1">_xll.meDateFromTenor(H1163,"3M","Following",$I$11,"Normal")</f>
        <v>44209</v>
      </c>
      <c r="J1163" s="150">
        <f ca="1"/>
        <v>1.8155790146359395E-2</v>
      </c>
      <c r="K1163" s="7" t="s">
        <v>4</v>
      </c>
      <c r="L1163" s="149" t="e">
        <f ca="1">_xll.meDateFromTenor(L1162,"1D","FOLLOWING",#REF!,"NORMAL")</f>
        <v>#VALUE!</v>
      </c>
      <c r="M1163" s="155">
        <f ca="1">_xll.meDateYearFraction(C1163,D1163,$M$11)</f>
        <v>2.7777777777777779E-3</v>
      </c>
      <c r="N1163" s="150">
        <f ca="1"/>
        <v>-2.4300000000065936E-3</v>
      </c>
      <c r="O1163" s="7" t="s">
        <v>4</v>
      </c>
      <c r="P1163" s="149">
        <f t="shared" ca="1" si="35"/>
        <v>44117</v>
      </c>
      <c r="Q1163" s="155">
        <f ca="1">_xll.meDateYearFraction(H1163,I1163,$Q$11,TRUE)</f>
        <v>0.25555555555555554</v>
      </c>
      <c r="R1163" s="150">
        <f ca="1">IF(NOW(),_xll.meCurveForwardRatesFromYearFraction(P1163,Q1163,$Q$11,$Q$9,$Q$10))</f>
        <v>-3.7175485397107962E-3</v>
      </c>
      <c r="S1163" s="134" t="s">
        <v>4</v>
      </c>
    </row>
    <row r="1164" spans="1:19" x14ac:dyDescent="0.25">
      <c r="A1164" s="128">
        <v>1148</v>
      </c>
      <c r="B1164" s="133"/>
      <c r="C1164" s="149">
        <f ca="1">_xll.meDateFromTenor(C1163,"1D","FOLLOWING",$D$11,"NORMAL")</f>
        <v>44118</v>
      </c>
      <c r="D1164" s="20">
        <f ca="1">_xll.meDateFromTenor(C1164,"1D","Following",$D$11,"Normal")</f>
        <v>44119</v>
      </c>
      <c r="E1164" s="99">
        <f ca="1"/>
        <v>1.4000770293998186E-2</v>
      </c>
      <c r="F1164" s="161">
        <f ca="1">_xll.meCurveForwardRates(C1164,$D$9,$D$10)</f>
        <v>1.4098964009217507E-2</v>
      </c>
      <c r="G1164" s="7" t="s">
        <v>4</v>
      </c>
      <c r="H1164" s="149">
        <f t="shared" ca="1" si="34"/>
        <v>44118</v>
      </c>
      <c r="I1164" s="20">
        <f ca="1">_xll.meDateFromTenor(H1164,"3M","Following",$I$11,"Normal")</f>
        <v>44210</v>
      </c>
      <c r="J1164" s="150">
        <f ca="1"/>
        <v>1.8158980672016368E-2</v>
      </c>
      <c r="K1164" s="7" t="s">
        <v>4</v>
      </c>
      <c r="L1164" s="149" t="e">
        <f ca="1">_xll.meDateFromTenor(L1163,"1D","FOLLOWING",#REF!,"NORMAL")</f>
        <v>#VALUE!</v>
      </c>
      <c r="M1164" s="155">
        <f ca="1">_xll.meDateYearFraction(C1164,D1164,$M$11)</f>
        <v>2.7777777777777779E-3</v>
      </c>
      <c r="N1164" s="150">
        <f ca="1"/>
        <v>-2.4300000000065936E-3</v>
      </c>
      <c r="O1164" s="7" t="s">
        <v>4</v>
      </c>
      <c r="P1164" s="149">
        <f t="shared" ca="1" si="35"/>
        <v>44118</v>
      </c>
      <c r="Q1164" s="155">
        <f ca="1">_xll.meDateYearFraction(H1164,I1164,$Q$11,TRUE)</f>
        <v>0.25555555555555554</v>
      </c>
      <c r="R1164" s="150">
        <f ca="1">IF(NOW(),_xll.meCurveForwardRatesFromYearFraction(P1164,Q1164,$Q$11,$Q$9,$Q$10))</f>
        <v>-3.7175485397107962E-3</v>
      </c>
      <c r="S1164" s="134" t="s">
        <v>4</v>
      </c>
    </row>
    <row r="1165" spans="1:19" x14ac:dyDescent="0.25">
      <c r="A1165" s="128">
        <v>1149</v>
      </c>
      <c r="B1165" s="133"/>
      <c r="C1165" s="149">
        <f ca="1">_xll.meDateFromTenor(C1164,"1D","FOLLOWING",$D$11,"NORMAL")</f>
        <v>44119</v>
      </c>
      <c r="D1165" s="20">
        <f ca="1">_xll.meDateFromTenor(C1165,"1D","Following",$D$11,"Normal")</f>
        <v>44120</v>
      </c>
      <c r="E1165" s="99">
        <f ca="1"/>
        <v>1.4005601350837239E-2</v>
      </c>
      <c r="F1165" s="161">
        <f ca="1">_xll.meCurveForwardRates(C1165,$D$9,$D$10)</f>
        <v>1.4103863000227035E-2</v>
      </c>
      <c r="G1165" s="7" t="s">
        <v>4</v>
      </c>
      <c r="H1165" s="149">
        <f t="shared" ca="1" si="34"/>
        <v>44119</v>
      </c>
      <c r="I1165" s="20">
        <f ca="1">_xll.meDateFromTenor(H1165,"3M","Following",$I$11,"Normal")</f>
        <v>44211</v>
      </c>
      <c r="J1165" s="150">
        <f ca="1"/>
        <v>1.8162174655011777E-2</v>
      </c>
      <c r="K1165" s="7" t="s">
        <v>4</v>
      </c>
      <c r="L1165" s="149" t="e">
        <f ca="1">_xll.meDateFromTenor(L1164,"1D","FOLLOWING",#REF!,"NORMAL")</f>
        <v>#VALUE!</v>
      </c>
      <c r="M1165" s="155">
        <f ca="1">_xll.meDateYearFraction(C1165,D1165,$M$11)</f>
        <v>2.7777777777777779E-3</v>
      </c>
      <c r="N1165" s="150">
        <f ca="1"/>
        <v>-2.4300000000065936E-3</v>
      </c>
      <c r="O1165" s="7" t="s">
        <v>4</v>
      </c>
      <c r="P1165" s="149">
        <f t="shared" ca="1" si="35"/>
        <v>44119</v>
      </c>
      <c r="Q1165" s="155">
        <f ca="1">_xll.meDateYearFraction(H1165,I1165,$Q$11,TRUE)</f>
        <v>0.25555555555555554</v>
      </c>
      <c r="R1165" s="150">
        <f ca="1">IF(NOW(),_xll.meCurveForwardRatesFromYearFraction(P1165,Q1165,$Q$11,$Q$9,$Q$10))</f>
        <v>1.7970473469334951E-3</v>
      </c>
      <c r="S1165" s="134" t="s">
        <v>4</v>
      </c>
    </row>
    <row r="1166" spans="1:19" x14ac:dyDescent="0.25">
      <c r="A1166" s="128">
        <v>1150</v>
      </c>
      <c r="B1166" s="133"/>
      <c r="C1166" s="149">
        <f ca="1">_xll.meDateFromTenor(C1165,"1D","FOLLOWING",$D$11,"NORMAL")</f>
        <v>44120</v>
      </c>
      <c r="D1166" s="20">
        <f ca="1">_xll.meDateFromTenor(C1166,"1D","Following",$D$11,"Normal")</f>
        <v>44123</v>
      </c>
      <c r="E1166" s="99">
        <f ca="1"/>
        <v>1.4015839050029313E-2</v>
      </c>
      <c r="F1166" s="161">
        <f ca="1">_xll.meCurveForwardRates(C1166,$D$9,$D$10)</f>
        <v>1.4108771123700459E-2</v>
      </c>
      <c r="G1166" s="7" t="s">
        <v>4</v>
      </c>
      <c r="H1166" s="149">
        <f t="shared" ca="1" si="34"/>
        <v>44120</v>
      </c>
      <c r="I1166" s="20">
        <f ca="1">_xll.meDateFromTenor(H1166,"3M","Following",$I$11,"Normal")</f>
        <v>44215</v>
      </c>
      <c r="J1166" s="150">
        <f ca="1"/>
        <v>1.8165372493022854E-2</v>
      </c>
      <c r="K1166" s="7" t="s">
        <v>4</v>
      </c>
      <c r="L1166" s="149" t="e">
        <f ca="1">_xll.meDateFromTenor(L1165,"1D","FOLLOWING",#REF!,"NORMAL")</f>
        <v>#VALUE!</v>
      </c>
      <c r="M1166" s="155">
        <f ca="1">_xll.meDateYearFraction(C1166,D1166,$M$11)</f>
        <v>8.3333333333333332E-3</v>
      </c>
      <c r="N1166" s="150">
        <f ca="1"/>
        <v>-2.4300000000065936E-3</v>
      </c>
      <c r="O1166" s="7" t="s">
        <v>4</v>
      </c>
      <c r="P1166" s="149">
        <f t="shared" ca="1" si="35"/>
        <v>44120</v>
      </c>
      <c r="Q1166" s="155">
        <f ca="1">_xll.meDateYearFraction(H1166,I1166,$Q$11,TRUE)</f>
        <v>0.2638888888888889</v>
      </c>
      <c r="R1166" s="150">
        <f ca="1">IF(NOW(),_xll.meCurveForwardRatesFromYearFraction(P1166,Q1166,$Q$11,$Q$9,$Q$10))</f>
        <v>-3.7175485397107962E-3</v>
      </c>
      <c r="S1166" s="134" t="s">
        <v>4</v>
      </c>
    </row>
    <row r="1167" spans="1:19" x14ac:dyDescent="0.25">
      <c r="A1167" s="128">
        <v>1151</v>
      </c>
      <c r="B1167" s="133"/>
      <c r="C1167" s="149">
        <f ca="1">_xll.meDateFromTenor(C1166,"1D","FOLLOWING",$D$11,"NORMAL")</f>
        <v>44123</v>
      </c>
      <c r="D1167" s="20">
        <f ca="1">_xll.meDateFromTenor(C1167,"1D","Following",$D$11,"Normal")</f>
        <v>44124</v>
      </c>
      <c r="E1167" s="99">
        <f ca="1"/>
        <v>1.4025015417511515E-2</v>
      </c>
      <c r="F1167" s="161">
        <f ca="1">_xll.meCurveForwardRates(C1167,$D$9,$D$10)</f>
        <v>1.4123550304888211E-2</v>
      </c>
      <c r="G1167" s="7" t="s">
        <v>4</v>
      </c>
      <c r="H1167" s="149">
        <f t="shared" ca="1" si="34"/>
        <v>44123</v>
      </c>
      <c r="I1167" s="20">
        <f ca="1">_xll.meDateFromTenor(H1167,"3M","Following",$I$11,"Normal")</f>
        <v>44215</v>
      </c>
      <c r="J1167" s="150">
        <f ca="1"/>
        <v>1.8174993113922511E-2</v>
      </c>
      <c r="K1167" s="7" t="s">
        <v>4</v>
      </c>
      <c r="L1167" s="149" t="e">
        <f ca="1">_xll.meDateFromTenor(L1166,"1D","FOLLOWING",#REF!,"NORMAL")</f>
        <v>#VALUE!</v>
      </c>
      <c r="M1167" s="155">
        <f ca="1">_xll.meDateYearFraction(C1167,D1167,$M$11)</f>
        <v>2.7777777777777779E-3</v>
      </c>
      <c r="N1167" s="150">
        <f ca="1"/>
        <v>-2.4300000000065936E-3</v>
      </c>
      <c r="O1167" s="7" t="s">
        <v>4</v>
      </c>
      <c r="P1167" s="149">
        <f t="shared" ca="1" si="35"/>
        <v>44123</v>
      </c>
      <c r="Q1167" s="155">
        <f ca="1">_xll.meDateYearFraction(H1167,I1167,$Q$11,TRUE)</f>
        <v>0.25555555555555554</v>
      </c>
      <c r="R1167" s="150">
        <f ca="1">IF(NOW(),_xll.meCurveForwardRatesFromYearFraction(P1167,Q1167,$Q$11,$Q$9,$Q$10))</f>
        <v>1.8249326827641063E-3</v>
      </c>
      <c r="S1167" s="134" t="s">
        <v>4</v>
      </c>
    </row>
    <row r="1168" spans="1:19" x14ac:dyDescent="0.25">
      <c r="A1168" s="128">
        <v>1152</v>
      </c>
      <c r="B1168" s="133"/>
      <c r="C1168" s="149">
        <f ca="1">_xll.meDateFromTenor(C1167,"1D","FOLLOWING",$D$11,"NORMAL")</f>
        <v>44124</v>
      </c>
      <c r="D1168" s="20">
        <f ca="1">_xll.meDateFromTenor(C1168,"1D","Following",$D$11,"Normal")</f>
        <v>44125</v>
      </c>
      <c r="E1168" s="99">
        <f ca="1"/>
        <v>1.4029891401603517E-2</v>
      </c>
      <c r="F1168" s="161">
        <f ca="1">_xll.meCurveForwardRates(C1168,$D$9,$D$10)</f>
        <v>1.4128494974572137E-2</v>
      </c>
      <c r="G1168" s="7" t="s">
        <v>4</v>
      </c>
      <c r="H1168" s="149">
        <f t="shared" ca="1" si="34"/>
        <v>44124</v>
      </c>
      <c r="I1168" s="20">
        <f ca="1">_xll.meDateFromTenor(H1168,"3M","Following",$I$11,"Normal")</f>
        <v>44216</v>
      </c>
      <c r="J1168" s="150">
        <f ca="1"/>
        <v>1.817821034876867E-2</v>
      </c>
      <c r="K1168" s="7" t="s">
        <v>4</v>
      </c>
      <c r="L1168" s="149" t="e">
        <f ca="1">_xll.meDateFromTenor(L1167,"1D","FOLLOWING",#REF!,"NORMAL")</f>
        <v>#VALUE!</v>
      </c>
      <c r="M1168" s="155">
        <f ca="1">_xll.meDateYearFraction(C1168,D1168,$M$11)</f>
        <v>2.7777777777777779E-3</v>
      </c>
      <c r="N1168" s="150">
        <f ca="1"/>
        <v>-2.4300000000065936E-3</v>
      </c>
      <c r="O1168" s="7" t="s">
        <v>4</v>
      </c>
      <c r="P1168" s="149">
        <f t="shared" ca="1" si="35"/>
        <v>44124</v>
      </c>
      <c r="Q1168" s="155">
        <f ca="1">_xll.meDateYearFraction(H1168,I1168,$Q$11,TRUE)</f>
        <v>0.25555555555555554</v>
      </c>
      <c r="R1168" s="150">
        <f ca="1">IF(NOW(),_xll.meCurveForwardRatesFromYearFraction(P1168,Q1168,$Q$11,$Q$9,$Q$10))</f>
        <v>1.8319072501737069E-3</v>
      </c>
      <c r="S1168" s="134" t="s">
        <v>4</v>
      </c>
    </row>
    <row r="1169" spans="1:19" x14ac:dyDescent="0.25">
      <c r="A1169" s="128">
        <v>1153</v>
      </c>
      <c r="B1169" s="133"/>
      <c r="C1169" s="149">
        <f ca="1">_xll.meDateFromTenor(C1168,"1D","FOLLOWING",$D$11,"NORMAL")</f>
        <v>44125</v>
      </c>
      <c r="D1169" s="20">
        <f ca="1">_xll.meDateFromTenor(C1169,"1D","Following",$D$11,"Normal")</f>
        <v>44126</v>
      </c>
      <c r="E1169" s="99">
        <f ca="1"/>
        <v>1.4034776375953035E-2</v>
      </c>
      <c r="F1169" s="161">
        <f ca="1">_xll.meCurveForwardRates(C1169,$D$9,$D$10)</f>
        <v>1.4133448785263569E-2</v>
      </c>
      <c r="G1169" s="7" t="s">
        <v>4</v>
      </c>
      <c r="H1169" s="149">
        <f t="shared" ref="H1169:H1232" ca="1" si="36">$C1169</f>
        <v>44125</v>
      </c>
      <c r="I1169" s="20">
        <f ca="1">_xll.meDateFromTenor(H1169,"3M","Following",$I$11,"Normal")</f>
        <v>44217</v>
      </c>
      <c r="J1169" s="150">
        <f ca="1"/>
        <v>1.81814334270167E-2</v>
      </c>
      <c r="K1169" s="7" t="s">
        <v>4</v>
      </c>
      <c r="L1169" s="149" t="e">
        <f ca="1">_xll.meDateFromTenor(L1168,"1D","FOLLOWING",#REF!,"NORMAL")</f>
        <v>#VALUE!</v>
      </c>
      <c r="M1169" s="155">
        <f ca="1">_xll.meDateYearFraction(C1169,D1169,$M$11)</f>
        <v>2.7777777777777779E-3</v>
      </c>
      <c r="N1169" s="150">
        <f ca="1"/>
        <v>-2.4300000000065936E-3</v>
      </c>
      <c r="O1169" s="7" t="s">
        <v>4</v>
      </c>
      <c r="P1169" s="149">
        <f t="shared" ref="P1169:P1232" ca="1" si="37">$C1169</f>
        <v>44125</v>
      </c>
      <c r="Q1169" s="155">
        <f ca="1">_xll.meDateYearFraction(H1169,I1169,$Q$11,TRUE)</f>
        <v>0.25555555555555554</v>
      </c>
      <c r="R1169" s="150">
        <f ca="1">IF(NOW(),_xll.meCurveForwardRatesFromYearFraction(P1169,Q1169,$Q$11,$Q$9,$Q$10))</f>
        <v>1.8388829732352604E-3</v>
      </c>
      <c r="S1169" s="134" t="s">
        <v>4</v>
      </c>
    </row>
    <row r="1170" spans="1:19" x14ac:dyDescent="0.25">
      <c r="A1170" s="128">
        <v>1154</v>
      </c>
      <c r="B1170" s="133"/>
      <c r="C1170" s="149">
        <f ca="1">_xll.meDateFromTenor(C1169,"1D","FOLLOWING",$D$11,"NORMAL")</f>
        <v>44126</v>
      </c>
      <c r="D1170" s="20">
        <f ca="1">_xll.meDateFromTenor(C1170,"1D","Following",$D$11,"Normal")</f>
        <v>44127</v>
      </c>
      <c r="E1170" s="99">
        <f ca="1"/>
        <v>1.4039670341901038E-2</v>
      </c>
      <c r="F1170" s="161">
        <f ca="1">_xll.meCurveForwardRates(C1170,$D$9,$D$10)</f>
        <v>1.413841173845598E-2</v>
      </c>
      <c r="G1170" s="7" t="s">
        <v>4</v>
      </c>
      <c r="H1170" s="149">
        <f t="shared" ca="1" si="36"/>
        <v>44126</v>
      </c>
      <c r="I1170" s="20">
        <f ca="1">_xll.meDateFromTenor(H1170,"3M","Following",$I$11,"Normal")</f>
        <v>44218</v>
      </c>
      <c r="J1170" s="150">
        <f ca="1"/>
        <v>1.8184662746343838E-2</v>
      </c>
      <c r="K1170" s="7" t="s">
        <v>4</v>
      </c>
      <c r="L1170" s="149" t="e">
        <f ca="1">_xll.meDateFromTenor(L1169,"1D","FOLLOWING",#REF!,"NORMAL")</f>
        <v>#VALUE!</v>
      </c>
      <c r="M1170" s="155">
        <f ca="1">_xll.meDateYearFraction(C1170,D1170,$M$11)</f>
        <v>2.7777777777777779E-3</v>
      </c>
      <c r="N1170" s="150">
        <f ca="1"/>
        <v>-2.4300000000065936E-3</v>
      </c>
      <c r="O1170" s="7" t="s">
        <v>4</v>
      </c>
      <c r="P1170" s="149">
        <f t="shared" ca="1" si="37"/>
        <v>44126</v>
      </c>
      <c r="Q1170" s="155">
        <f ca="1">_xll.meDateYearFraction(H1170,I1170,$Q$11,TRUE)</f>
        <v>0.25555555555555554</v>
      </c>
      <c r="R1170" s="150">
        <f ca="1">IF(NOW(),_xll.meCurveForwardRatesFromYearFraction(P1170,Q1170,$Q$11,$Q$9,$Q$10))</f>
        <v>-3.7175485397107962E-3</v>
      </c>
      <c r="S1170" s="134" t="s">
        <v>4</v>
      </c>
    </row>
    <row r="1171" spans="1:19" x14ac:dyDescent="0.25">
      <c r="A1171" s="128">
        <v>1155</v>
      </c>
      <c r="B1171" s="133"/>
      <c r="C1171" s="149">
        <f ca="1">_xll.meDateFromTenor(C1170,"1D","FOLLOWING",$D$11,"NORMAL")</f>
        <v>44127</v>
      </c>
      <c r="D1171" s="20">
        <f ca="1">_xll.meDateFromTenor(C1171,"1D","Following",$D$11,"Normal")</f>
        <v>44130</v>
      </c>
      <c r="E1171" s="99">
        <f ca="1"/>
        <v>1.4050036561491919E-2</v>
      </c>
      <c r="F1171" s="161">
        <f ca="1">_xll.meCurveForwardRates(C1171,$D$9,$D$10)</f>
        <v>1.4143383836084711E-2</v>
      </c>
      <c r="G1171" s="7" t="s">
        <v>4</v>
      </c>
      <c r="H1171" s="149">
        <f t="shared" ca="1" si="36"/>
        <v>44127</v>
      </c>
      <c r="I1171" s="20">
        <f ca="1">_xll.meDateFromTenor(H1171,"3M","Following",$I$11,"Normal")</f>
        <v>44221</v>
      </c>
      <c r="J1171" s="150">
        <f ca="1"/>
        <v>1.8187898704427323E-2</v>
      </c>
      <c r="K1171" s="7" t="s">
        <v>4</v>
      </c>
      <c r="L1171" s="149" t="e">
        <f ca="1">_xll.meDateFromTenor(L1170,"1D","FOLLOWING",#REF!,"NORMAL")</f>
        <v>#VALUE!</v>
      </c>
      <c r="M1171" s="155">
        <f ca="1">_xll.meDateYearFraction(C1171,D1171,$M$11)</f>
        <v>8.3333333333333332E-3</v>
      </c>
      <c r="N1171" s="150">
        <f ca="1"/>
        <v>-2.4300000000065936E-3</v>
      </c>
      <c r="O1171" s="7" t="s">
        <v>4</v>
      </c>
      <c r="P1171" s="149">
        <f t="shared" ca="1" si="37"/>
        <v>44127</v>
      </c>
      <c r="Q1171" s="155">
        <f ca="1">_xll.meDateYearFraction(H1171,I1171,$Q$11,TRUE)</f>
        <v>0.26111111111111113</v>
      </c>
      <c r="R1171" s="150">
        <f ca="1">IF(NOW(),_xll.meCurveForwardRatesFromYearFraction(P1171,Q1171,$Q$11,$Q$9,$Q$10))</f>
        <v>-3.7175485397107962E-3</v>
      </c>
      <c r="S1171" s="134" t="s">
        <v>4</v>
      </c>
    </row>
    <row r="1172" spans="1:19" x14ac:dyDescent="0.25">
      <c r="A1172" s="128">
        <v>1156</v>
      </c>
      <c r="B1172" s="133"/>
      <c r="C1172" s="149">
        <f ca="1">_xll.meDateFromTenor(C1171,"1D","FOLLOWING",$D$11,"NORMAL")</f>
        <v>44130</v>
      </c>
      <c r="D1172" s="20">
        <f ca="1">_xll.meDateFromTenor(C1172,"1D","Following",$D$11,"Normal")</f>
        <v>44131</v>
      </c>
      <c r="E1172" s="99">
        <f ca="1"/>
        <v>1.405933615400431E-2</v>
      </c>
      <c r="F1172" s="161">
        <f ca="1">_xll.meCurveForwardRates(C1172,$D$9,$D$10)</f>
        <v>1.4158355011693491E-2</v>
      </c>
      <c r="G1172" s="7" t="s">
        <v>4</v>
      </c>
      <c r="H1172" s="149">
        <f t="shared" ca="1" si="36"/>
        <v>44130</v>
      </c>
      <c r="I1172" s="20">
        <f ca="1">_xll.meDateFromTenor(H1172,"3M","Following",$I$11,"Normal")</f>
        <v>44222</v>
      </c>
      <c r="J1172" s="150">
        <f ca="1"/>
        <v>1.8197650387988266E-2</v>
      </c>
      <c r="K1172" s="7" t="s">
        <v>4</v>
      </c>
      <c r="L1172" s="149" t="e">
        <f ca="1">_xll.meDateFromTenor(L1171,"1D","FOLLOWING",#REF!,"NORMAL")</f>
        <v>#VALUE!</v>
      </c>
      <c r="M1172" s="155">
        <f ca="1">_xll.meDateYearFraction(C1172,D1172,$M$11)</f>
        <v>2.7777777777777779E-3</v>
      </c>
      <c r="N1172" s="150">
        <f ca="1"/>
        <v>-2.4300000000065936E-3</v>
      </c>
      <c r="O1172" s="7" t="s">
        <v>4</v>
      </c>
      <c r="P1172" s="149">
        <f t="shared" ca="1" si="37"/>
        <v>44130</v>
      </c>
      <c r="Q1172" s="155">
        <f ca="1">_xll.meDateYearFraction(H1172,I1172,$Q$11,TRUE)</f>
        <v>0.25555555555555554</v>
      </c>
      <c r="R1172" s="150">
        <f ca="1">IF(NOW(),_xll.meCurveForwardRatesFromYearFraction(P1172,Q1172,$Q$11,$Q$9,$Q$10))</f>
        <v>-3.7175485397107962E-3</v>
      </c>
      <c r="S1172" s="134" t="s">
        <v>4</v>
      </c>
    </row>
    <row r="1173" spans="1:19" x14ac:dyDescent="0.25">
      <c r="A1173" s="128">
        <v>1157</v>
      </c>
      <c r="B1173" s="133"/>
      <c r="C1173" s="149">
        <f ca="1">_xll.meDateFromTenor(C1172,"1D","FOLLOWING",$D$11,"NORMAL")</f>
        <v>44131</v>
      </c>
      <c r="D1173" s="20">
        <f ca="1">_xll.meDateFromTenor(C1173,"1D","Following",$D$11,"Normal")</f>
        <v>44132</v>
      </c>
      <c r="E1173" s="99">
        <f ca="1"/>
        <v>1.4064275101810542E-2</v>
      </c>
      <c r="F1173" s="161">
        <f ca="1">_xll.meCurveForwardRates(C1173,$D$9,$D$10)</f>
        <v>1.4163363703602716E-2</v>
      </c>
      <c r="G1173" s="7" t="s">
        <v>4</v>
      </c>
      <c r="H1173" s="149">
        <f t="shared" ca="1" si="36"/>
        <v>44131</v>
      </c>
      <c r="I1173" s="20">
        <f ca="1">_xll.meDateFromTenor(H1173,"3M","Following",$I$11,"Normal")</f>
        <v>44223</v>
      </c>
      <c r="J1173" s="150">
        <f ca="1"/>
        <v>1.8200916877869538E-2</v>
      </c>
      <c r="K1173" s="7" t="s">
        <v>4</v>
      </c>
      <c r="L1173" s="149" t="e">
        <f ca="1">_xll.meDateFromTenor(L1172,"1D","FOLLOWING",#REF!,"NORMAL")</f>
        <v>#VALUE!</v>
      </c>
      <c r="M1173" s="155">
        <f ca="1">_xll.meDateYearFraction(C1173,D1173,$M$11)</f>
        <v>2.7777777777777779E-3</v>
      </c>
      <c r="N1173" s="150">
        <f ca="1"/>
        <v>-2.4300000000065936E-3</v>
      </c>
      <c r="O1173" s="7" t="s">
        <v>4</v>
      </c>
      <c r="P1173" s="149">
        <f t="shared" ca="1" si="37"/>
        <v>44131</v>
      </c>
      <c r="Q1173" s="155">
        <f ca="1">_xll.meDateYearFraction(H1173,I1173,$Q$11,TRUE)</f>
        <v>0.25555555555555554</v>
      </c>
      <c r="R1173" s="150">
        <f ca="1">IF(NOW(),_xll.meCurveForwardRatesFromYearFraction(P1173,Q1173,$Q$11,$Q$9,$Q$10))</f>
        <v>1.8807577238885763E-3</v>
      </c>
      <c r="S1173" s="134" t="s">
        <v>4</v>
      </c>
    </row>
    <row r="1174" spans="1:19" x14ac:dyDescent="0.25">
      <c r="A1174" s="128">
        <v>1158</v>
      </c>
      <c r="B1174" s="133"/>
      <c r="C1174" s="149">
        <f ca="1">_xll.meDateFromTenor(C1173,"1D","FOLLOWING",$D$11,"NORMAL")</f>
        <v>44132</v>
      </c>
      <c r="D1174" s="20">
        <f ca="1">_xll.meDateFromTenor(C1174,"1D","Following",$D$11,"Normal")</f>
        <v>44133</v>
      </c>
      <c r="E1174" s="99">
        <f ca="1"/>
        <v>1.406922305066568E-2</v>
      </c>
      <c r="F1174" s="161">
        <f ca="1">_xll.meCurveForwardRates(C1174,$D$9,$D$10)</f>
        <v>1.4168381548402387E-2</v>
      </c>
      <c r="G1174" s="7" t="s">
        <v>4</v>
      </c>
      <c r="H1174" s="149">
        <f t="shared" ca="1" si="36"/>
        <v>44132</v>
      </c>
      <c r="I1174" s="20">
        <f ca="1">_xll.meDateFromTenor(H1174,"3M","Following",$I$11,"Normal")</f>
        <v>44224</v>
      </c>
      <c r="J1174" s="150">
        <f ca="1"/>
        <v>1.820419199489336E-2</v>
      </c>
      <c r="K1174" s="7" t="s">
        <v>4</v>
      </c>
      <c r="L1174" s="149" t="e">
        <f ca="1">_xll.meDateFromTenor(L1173,"1D","FOLLOWING",#REF!,"NORMAL")</f>
        <v>#VALUE!</v>
      </c>
      <c r="M1174" s="155">
        <f ca="1">_xll.meDateYearFraction(C1174,D1174,$M$11)</f>
        <v>2.7777777777777779E-3</v>
      </c>
      <c r="N1174" s="150">
        <f ca="1"/>
        <v>-2.4300000000065936E-3</v>
      </c>
      <c r="O1174" s="7" t="s">
        <v>4</v>
      </c>
      <c r="P1174" s="149">
        <f t="shared" ca="1" si="37"/>
        <v>44132</v>
      </c>
      <c r="Q1174" s="155">
        <f ca="1">_xll.meDateYearFraction(H1174,I1174,$Q$11,TRUE)</f>
        <v>0.25555555555555554</v>
      </c>
      <c r="R1174" s="150">
        <f ca="1">IF(NOW(),_xll.meCurveForwardRatesFromYearFraction(P1174,Q1174,$Q$11,$Q$9,$Q$10))</f>
        <v>1.8877396083102856E-3</v>
      </c>
      <c r="S1174" s="134" t="s">
        <v>4</v>
      </c>
    </row>
    <row r="1175" spans="1:19" x14ac:dyDescent="0.25">
      <c r="A1175" s="128">
        <v>1159</v>
      </c>
      <c r="B1175" s="133"/>
      <c r="C1175" s="149">
        <f ca="1">_xll.meDateFromTenor(C1174,"1D","FOLLOWING",$D$11,"NORMAL")</f>
        <v>44133</v>
      </c>
      <c r="D1175" s="20">
        <f ca="1">_xll.meDateFromTenor(C1175,"1D","Following",$D$11,"Normal")</f>
        <v>44134</v>
      </c>
      <c r="E1175" s="99">
        <f ca="1"/>
        <v>1.4074180002230395E-2</v>
      </c>
      <c r="F1175" s="161">
        <f ca="1">_xll.meCurveForwardRates(C1175,$D$9,$D$10)</f>
        <v>1.4173408547911714E-2</v>
      </c>
      <c r="G1175" s="7" t="s">
        <v>4</v>
      </c>
      <c r="H1175" s="149">
        <f t="shared" ca="1" si="36"/>
        <v>44133</v>
      </c>
      <c r="I1175" s="20">
        <f ca="1">_xll.meDateFromTenor(H1175,"3M","Following",$I$11,"Normal")</f>
        <v>44225</v>
      </c>
      <c r="J1175" s="150">
        <f ca="1"/>
        <v>1.8207476136736966E-2</v>
      </c>
      <c r="K1175" s="7" t="s">
        <v>4</v>
      </c>
      <c r="L1175" s="149" t="e">
        <f ca="1">_xll.meDateFromTenor(L1174,"1D","FOLLOWING",#REF!,"NORMAL")</f>
        <v>#VALUE!</v>
      </c>
      <c r="M1175" s="155">
        <f ca="1">_xll.meDateYearFraction(C1175,D1175,$M$11)</f>
        <v>2.7777777777777779E-3</v>
      </c>
      <c r="N1175" s="150">
        <f ca="1"/>
        <v>-2.4300000000065936E-3</v>
      </c>
      <c r="O1175" s="7" t="s">
        <v>4</v>
      </c>
      <c r="P1175" s="149">
        <f t="shared" ca="1" si="37"/>
        <v>44133</v>
      </c>
      <c r="Q1175" s="155">
        <f ca="1">_xll.meDateYearFraction(H1175,I1175,$Q$11,TRUE)</f>
        <v>0.25555555555555554</v>
      </c>
      <c r="R1175" s="150">
        <f ca="1">IF(NOW(),_xll.meCurveForwardRatesFromYearFraction(P1175,Q1175,$Q$11,$Q$9,$Q$10))</f>
        <v>1.8947220974686531E-3</v>
      </c>
      <c r="S1175" s="134" t="s">
        <v>4</v>
      </c>
    </row>
    <row r="1176" spans="1:19" x14ac:dyDescent="0.25">
      <c r="A1176" s="128">
        <v>1160</v>
      </c>
      <c r="B1176" s="133"/>
      <c r="C1176" s="149">
        <f ca="1">_xll.meDateFromTenor(C1175,"1D","FOLLOWING",$D$11,"NORMAL")</f>
        <v>44134</v>
      </c>
      <c r="D1176" s="20">
        <f ca="1">_xll.meDateFromTenor(C1176,"1D","Following",$D$11,"Normal")</f>
        <v>44137</v>
      </c>
      <c r="E1176" s="99">
        <f ca="1"/>
        <v>1.4084674936035404E-2</v>
      </c>
      <c r="F1176" s="161">
        <f ca="1">_xll.meCurveForwardRates(C1176,$D$9,$D$10)</f>
        <v>1.4178444703743853E-2</v>
      </c>
      <c r="G1176" s="7" t="s">
        <v>4</v>
      </c>
      <c r="H1176" s="149">
        <f t="shared" ca="1" si="36"/>
        <v>44134</v>
      </c>
      <c r="I1176" s="20">
        <f ca="1">_xll.meDateFromTenor(H1176,"3M","Following",$I$11,"Normal")</f>
        <v>44228</v>
      </c>
      <c r="J1176" s="150">
        <f ca="1"/>
        <v>1.8210769701077597E-2</v>
      </c>
      <c r="K1176" s="7" t="s">
        <v>4</v>
      </c>
      <c r="L1176" s="149" t="e">
        <f ca="1">_xll.meDateFromTenor(L1175,"1D","FOLLOWING",#REF!,"NORMAL")</f>
        <v>#VALUE!</v>
      </c>
      <c r="M1176" s="155">
        <f ca="1">_xll.meDateYearFraction(C1176,D1176,$M$11)</f>
        <v>8.3333333333333332E-3</v>
      </c>
      <c r="N1176" s="150">
        <f ca="1"/>
        <v>-2.4300000000065936E-3</v>
      </c>
      <c r="O1176" s="7" t="s">
        <v>4</v>
      </c>
      <c r="P1176" s="149">
        <f t="shared" ca="1" si="37"/>
        <v>44134</v>
      </c>
      <c r="Q1176" s="155">
        <f ca="1">_xll.meDateYearFraction(H1176,I1176,$Q$11,TRUE)</f>
        <v>0.26111111111111113</v>
      </c>
      <c r="R1176" s="150">
        <f ca="1">IF(NOW(),_xll.meCurveForwardRatesFromYearFraction(P1176,Q1176,$Q$11,$Q$9,$Q$10))</f>
        <v>-3.7175485397107962E-3</v>
      </c>
      <c r="S1176" s="134" t="s">
        <v>4</v>
      </c>
    </row>
    <row r="1177" spans="1:19" x14ac:dyDescent="0.25">
      <c r="A1177" s="128">
        <v>1161</v>
      </c>
      <c r="B1177" s="133"/>
      <c r="C1177" s="149">
        <f ca="1">_xll.meDateFromTenor(C1176,"1D","FOLLOWING",$D$11,"NORMAL")</f>
        <v>44137</v>
      </c>
      <c r="D1177" s="20">
        <f ca="1">_xll.meDateFromTenor(C1177,"1D","Following",$D$11,"Normal")</f>
        <v>44138</v>
      </c>
      <c r="E1177" s="99">
        <f ca="1"/>
        <v>1.4094097865908779E-2</v>
      </c>
      <c r="F1177" s="161">
        <f ca="1">_xll.meCurveForwardRates(C1177,$D$9,$D$10)</f>
        <v>1.4193608126514823E-2</v>
      </c>
      <c r="G1177" s="7" t="s">
        <v>4</v>
      </c>
      <c r="H1177" s="149">
        <f t="shared" ca="1" si="36"/>
        <v>44137</v>
      </c>
      <c r="I1177" s="20">
        <f ca="1">_xll.meDateFromTenor(H1177,"3M","Following",$I$11,"Normal")</f>
        <v>44229</v>
      </c>
      <c r="J1177" s="150">
        <f ca="1"/>
        <v>1.8220710905854039E-2</v>
      </c>
      <c r="K1177" s="7" t="s">
        <v>4</v>
      </c>
      <c r="L1177" s="149" t="e">
        <f ca="1">_xll.meDateFromTenor(L1176,"1D","FOLLOWING",#REF!,"NORMAL")</f>
        <v>#VALUE!</v>
      </c>
      <c r="M1177" s="155">
        <f ca="1">_xll.meDateYearFraction(C1177,D1177,$M$11)</f>
        <v>2.7777777777777779E-3</v>
      </c>
      <c r="N1177" s="150">
        <f ca="1"/>
        <v>-2.4300000000065936E-3</v>
      </c>
      <c r="O1177" s="7" t="s">
        <v>4</v>
      </c>
      <c r="P1177" s="149">
        <f t="shared" ca="1" si="37"/>
        <v>44137</v>
      </c>
      <c r="Q1177" s="155">
        <f ca="1">_xll.meDateYearFraction(H1177,I1177,$Q$11,TRUE)</f>
        <v>0.25555555555555554</v>
      </c>
      <c r="R1177" s="150">
        <f ca="1">IF(NOW(),_xll.meCurveForwardRatesFromYearFraction(P1177,Q1177,$Q$11,$Q$9,$Q$10))</f>
        <v>1.922656724180496E-3</v>
      </c>
      <c r="S1177" s="134" t="s">
        <v>4</v>
      </c>
    </row>
    <row r="1178" spans="1:19" x14ac:dyDescent="0.25">
      <c r="A1178" s="128">
        <v>1162</v>
      </c>
      <c r="B1178" s="133"/>
      <c r="C1178" s="149">
        <f ca="1">_xll.meDateFromTenor(C1177,"1D","FOLLOWING",$D$11,"NORMAL")</f>
        <v>44138</v>
      </c>
      <c r="D1178" s="20">
        <f ca="1">_xll.meDateFromTenor(C1178,"1D","Following",$D$11,"Normal")</f>
        <v>44139</v>
      </c>
      <c r="E1178" s="99">
        <f ca="1"/>
        <v>1.4099099854017E-2</v>
      </c>
      <c r="F1178" s="161">
        <f ca="1">_xll.meCurveForwardRates(C1178,$D$9,$D$10)</f>
        <v>1.4198680924932372E-2</v>
      </c>
      <c r="G1178" s="7" t="s">
        <v>4</v>
      </c>
      <c r="H1178" s="149">
        <f t="shared" ca="1" si="36"/>
        <v>44138</v>
      </c>
      <c r="I1178" s="20">
        <f ca="1">_xll.meDateFromTenor(H1178,"3M","Following",$I$11,"Normal")</f>
        <v>44230</v>
      </c>
      <c r="J1178" s="150">
        <f ca="1"/>
        <v>1.8224046136955167E-2</v>
      </c>
      <c r="K1178" s="7" t="s">
        <v>4</v>
      </c>
      <c r="L1178" s="149" t="e">
        <f ca="1">_xll.meDateFromTenor(L1177,"1D","FOLLOWING",#REF!,"NORMAL")</f>
        <v>#VALUE!</v>
      </c>
      <c r="M1178" s="155">
        <f ca="1">_xll.meDateYearFraction(C1178,D1178,$M$11)</f>
        <v>2.7777777777777779E-3</v>
      </c>
      <c r="N1178" s="150">
        <f ca="1"/>
        <v>-2.4300000000065936E-3</v>
      </c>
      <c r="O1178" s="7" t="s">
        <v>4</v>
      </c>
      <c r="P1178" s="149">
        <f t="shared" ca="1" si="37"/>
        <v>44138</v>
      </c>
      <c r="Q1178" s="155">
        <f ca="1">_xll.meDateYearFraction(H1178,I1178,$Q$11,TRUE)</f>
        <v>0.25555555555555554</v>
      </c>
      <c r="R1178" s="150">
        <f ca="1">IF(NOW(),_xll.meCurveForwardRatesFromYearFraction(P1178,Q1178,$Q$11,$Q$9,$Q$10))</f>
        <v>-3.7175485397107962E-3</v>
      </c>
      <c r="S1178" s="134" t="s">
        <v>4</v>
      </c>
    </row>
    <row r="1179" spans="1:19" x14ac:dyDescent="0.25">
      <c r="A1179" s="128">
        <v>1163</v>
      </c>
      <c r="B1179" s="133"/>
      <c r="C1179" s="149">
        <f ca="1">_xll.meDateFromTenor(C1178,"1D","FOLLOWING",$D$11,"NORMAL")</f>
        <v>44139</v>
      </c>
      <c r="D1179" s="20">
        <f ca="1">_xll.meDateFromTenor(C1179,"1D","Following",$D$11,"Normal")</f>
        <v>44140</v>
      </c>
      <c r="E1179" s="99">
        <f ca="1"/>
        <v>1.4104110854267231E-2</v>
      </c>
      <c r="F1179" s="161">
        <f ca="1">_xll.meCurveForwardRates(C1179,$D$9,$D$10)</f>
        <v>1.4203762888442828E-2</v>
      </c>
      <c r="G1179" s="7" t="s">
        <v>4</v>
      </c>
      <c r="H1179" s="149">
        <f t="shared" ca="1" si="36"/>
        <v>44139</v>
      </c>
      <c r="I1179" s="20">
        <f ca="1">_xll.meDateFromTenor(H1179,"3M","Following",$I$11,"Normal")</f>
        <v>44231</v>
      </c>
      <c r="J1179" s="150">
        <f ca="1"/>
        <v>1.8227392778939519E-2</v>
      </c>
      <c r="K1179" s="7" t="s">
        <v>4</v>
      </c>
      <c r="L1179" s="149" t="e">
        <f ca="1">_xll.meDateFromTenor(L1178,"1D","FOLLOWING",#REF!,"NORMAL")</f>
        <v>#VALUE!</v>
      </c>
      <c r="M1179" s="155">
        <f ca="1">_xll.meDateYearFraction(C1179,D1179,$M$11)</f>
        <v>2.7777777777777779E-3</v>
      </c>
      <c r="N1179" s="150">
        <f ca="1"/>
        <v>-2.4300000000065936E-3</v>
      </c>
      <c r="O1179" s="7" t="s">
        <v>4</v>
      </c>
      <c r="P1179" s="149">
        <f t="shared" ca="1" si="37"/>
        <v>44139</v>
      </c>
      <c r="Q1179" s="155">
        <f ca="1">_xll.meDateYearFraction(H1179,I1179,$Q$11,TRUE)</f>
        <v>0.25555555555555554</v>
      </c>
      <c r="R1179" s="150">
        <f ca="1">IF(NOW(),_xll.meCurveForwardRatesFromYearFraction(P1179,Q1179,$Q$11,$Q$9,$Q$10))</f>
        <v>1.9366258754816709E-3</v>
      </c>
      <c r="S1179" s="134" t="s">
        <v>4</v>
      </c>
    </row>
    <row r="1180" spans="1:19" x14ac:dyDescent="0.25">
      <c r="A1180" s="128">
        <v>1164</v>
      </c>
      <c r="B1180" s="133"/>
      <c r="C1180" s="149">
        <f ca="1">_xll.meDateFromTenor(C1179,"1D","FOLLOWING",$D$11,"NORMAL")</f>
        <v>44140</v>
      </c>
      <c r="D1180" s="20">
        <f ca="1">_xll.meDateFromTenor(C1180,"1D","Following",$D$11,"Normal")</f>
        <v>44141</v>
      </c>
      <c r="E1180" s="99">
        <f ca="1"/>
        <v>1.4109130868116356E-2</v>
      </c>
      <c r="F1180" s="161">
        <f ca="1">_xll.meCurveForwardRates(C1180,$D$9,$D$10)</f>
        <v>1.4208854018660899E-2</v>
      </c>
      <c r="G1180" s="7" t="s">
        <v>4</v>
      </c>
      <c r="H1180" s="149">
        <f t="shared" ca="1" si="36"/>
        <v>44140</v>
      </c>
      <c r="I1180" s="20">
        <f ca="1">_xll.meDateFromTenor(H1180,"3M","Following",$I$11,"Normal")</f>
        <v>44232</v>
      </c>
      <c r="J1180" s="150">
        <f ca="1"/>
        <v>1.8230751229484334E-2</v>
      </c>
      <c r="K1180" s="7" t="s">
        <v>4</v>
      </c>
      <c r="L1180" s="149" t="e">
        <f ca="1">_xll.meDateFromTenor(L1179,"1D","FOLLOWING",#REF!,"NORMAL")</f>
        <v>#VALUE!</v>
      </c>
      <c r="M1180" s="155">
        <f ca="1">_xll.meDateYearFraction(C1180,D1180,$M$11)</f>
        <v>2.7777777777777779E-3</v>
      </c>
      <c r="N1180" s="150">
        <f ca="1"/>
        <v>-2.4300000000065936E-3</v>
      </c>
      <c r="O1180" s="7" t="s">
        <v>4</v>
      </c>
      <c r="P1180" s="149">
        <f t="shared" ca="1" si="37"/>
        <v>44140</v>
      </c>
      <c r="Q1180" s="155">
        <f ca="1">_xll.meDateYearFraction(H1180,I1180,$Q$11,TRUE)</f>
        <v>0.25555555555555554</v>
      </c>
      <c r="R1180" s="150">
        <f ca="1">IF(NOW(),_xll.meCurveForwardRatesFromYearFraction(P1180,Q1180,$Q$11,$Q$9,$Q$10))</f>
        <v>-3.7175485397107962E-3</v>
      </c>
      <c r="S1180" s="134" t="s">
        <v>4</v>
      </c>
    </row>
    <row r="1181" spans="1:19" x14ac:dyDescent="0.25">
      <c r="A1181" s="128">
        <v>1165</v>
      </c>
      <c r="B1181" s="133"/>
      <c r="C1181" s="149">
        <f ca="1">_xll.meDateFromTenor(C1180,"1D","FOLLOWING",$D$11,"NORMAL")</f>
        <v>44141</v>
      </c>
      <c r="D1181" s="20">
        <f ca="1">_xll.meDateFromTenor(C1181,"1D","Following",$D$11,"Normal")</f>
        <v>44144</v>
      </c>
      <c r="E1181" s="99">
        <f ca="1"/>
        <v>1.4119754711491702E-2</v>
      </c>
      <c r="F1181" s="161">
        <f ca="1">_xll.meCurveForwardRates(C1181,$D$9,$D$10)</f>
        <v>1.4213954317408239E-2</v>
      </c>
      <c r="G1181" s="7" t="s">
        <v>4</v>
      </c>
      <c r="H1181" s="149">
        <f t="shared" ca="1" si="36"/>
        <v>44141</v>
      </c>
      <c r="I1181" s="20">
        <f ca="1">_xll.meDateFromTenor(H1181,"3M","Following",$I$11,"Normal")</f>
        <v>44235</v>
      </c>
      <c r="J1181" s="150">
        <f ca="1"/>
        <v>1.8234121886266847E-2</v>
      </c>
      <c r="K1181" s="7" t="s">
        <v>4</v>
      </c>
      <c r="L1181" s="149" t="e">
        <f ca="1">_xll.meDateFromTenor(L1180,"1D","FOLLOWING",#REF!,"NORMAL")</f>
        <v>#VALUE!</v>
      </c>
      <c r="M1181" s="155">
        <f ca="1">_xll.meDateYearFraction(C1181,D1181,$M$11)</f>
        <v>8.3333333333333332E-3</v>
      </c>
      <c r="N1181" s="150">
        <f ca="1"/>
        <v>-2.4300000000065936E-3</v>
      </c>
      <c r="O1181" s="7" t="s">
        <v>4</v>
      </c>
      <c r="P1181" s="149">
        <f t="shared" ca="1" si="37"/>
        <v>44141</v>
      </c>
      <c r="Q1181" s="155">
        <f ca="1">_xll.meDateYearFraction(H1181,I1181,$Q$11,TRUE)</f>
        <v>0.26111111111111113</v>
      </c>
      <c r="R1181" s="150">
        <f ca="1">IF(NOW(),_xll.meCurveForwardRatesFromYearFraction(P1181,Q1181,$Q$11,$Q$9,$Q$10))</f>
        <v>1.9505955114637139E-3</v>
      </c>
      <c r="S1181" s="134" t="s">
        <v>4</v>
      </c>
    </row>
    <row r="1182" spans="1:19" x14ac:dyDescent="0.25">
      <c r="A1182" s="128">
        <v>1166</v>
      </c>
      <c r="B1182" s="133"/>
      <c r="C1182" s="149">
        <f ca="1">_xll.meDateFromTenor(C1181,"1D","FOLLOWING",$D$11,"NORMAL")</f>
        <v>44144</v>
      </c>
      <c r="D1182" s="20">
        <f ca="1">_xll.meDateFromTenor(C1182,"1D","Following",$D$11,"Normal")</f>
        <v>44145</v>
      </c>
      <c r="E1182" s="99">
        <f ca="1"/>
        <v>1.4129301091447921E-2</v>
      </c>
      <c r="F1182" s="161">
        <f ca="1">_xll.meCurveForwardRates(C1182,$D$9,$D$10)</f>
        <v>1.4229310241760107E-2</v>
      </c>
      <c r="G1182" s="7" t="s">
        <v>4</v>
      </c>
      <c r="H1182" s="149">
        <f t="shared" ca="1" si="36"/>
        <v>44144</v>
      </c>
      <c r="I1182" s="20">
        <f ca="1">_xll.meDateFromTenor(H1182,"3M","Following",$I$11,"Normal")</f>
        <v>44236</v>
      </c>
      <c r="J1182" s="150">
        <f ca="1"/>
        <v>1.8244311070813004E-2</v>
      </c>
      <c r="K1182" s="7" t="s">
        <v>4</v>
      </c>
      <c r="L1182" s="149" t="e">
        <f ca="1">_xll.meDateFromTenor(L1181,"1D","FOLLOWING",#REF!,"NORMAL")</f>
        <v>#VALUE!</v>
      </c>
      <c r="M1182" s="155">
        <f ca="1">_xll.meDateYearFraction(C1182,D1182,$M$11)</f>
        <v>2.7777777777777779E-3</v>
      </c>
      <c r="N1182" s="150">
        <f ca="1"/>
        <v>-2.4300000000065936E-3</v>
      </c>
      <c r="O1182" s="7" t="s">
        <v>4</v>
      </c>
      <c r="P1182" s="149">
        <f t="shared" ca="1" si="37"/>
        <v>44144</v>
      </c>
      <c r="Q1182" s="155">
        <f ca="1">_xll.meDateYearFraction(H1182,I1182,$Q$11,TRUE)</f>
        <v>0.25555555555555554</v>
      </c>
      <c r="R1182" s="150">
        <f ca="1">IF(NOW(),_xll.meCurveForwardRatesFromYearFraction(P1182,Q1182,$Q$11,$Q$9,$Q$10))</f>
        <v>-3.7175485397107962E-3</v>
      </c>
      <c r="S1182" s="134" t="s">
        <v>4</v>
      </c>
    </row>
    <row r="1183" spans="1:19" x14ac:dyDescent="0.25">
      <c r="A1183" s="128">
        <v>1167</v>
      </c>
      <c r="B1183" s="133"/>
      <c r="C1183" s="149">
        <f ca="1">_xll.meDateFromTenor(C1182,"1D","FOLLOWING",$D$11,"NORMAL")</f>
        <v>44145</v>
      </c>
      <c r="D1183" s="20">
        <f ca="1">_xll.meDateFromTenor(C1183,"1D","Following",$D$11,"Normal")</f>
        <v>44147</v>
      </c>
      <c r="E1183" s="99">
        <f ca="1"/>
        <v>1.4137180833824254E-2</v>
      </c>
      <c r="F1183" s="161">
        <f ca="1">_xll.meCurveForwardRates(C1183,$D$9,$D$10)</f>
        <v>1.4234447231767255E-2</v>
      </c>
      <c r="G1183" s="7" t="s">
        <v>4</v>
      </c>
      <c r="H1183" s="149">
        <f t="shared" ca="1" si="36"/>
        <v>44145</v>
      </c>
      <c r="I1183" s="20">
        <f ca="1">_xll.meDateFromTenor(H1183,"3M","Following",$I$11,"Normal")</f>
        <v>44237</v>
      </c>
      <c r="J1183" s="150">
        <f ca="1"/>
        <v>1.8247734529318722E-2</v>
      </c>
      <c r="K1183" s="7" t="s">
        <v>4</v>
      </c>
      <c r="L1183" s="149" t="e">
        <f ca="1">_xll.meDateFromTenor(L1182,"1D","FOLLOWING",#REF!,"NORMAL")</f>
        <v>#VALUE!</v>
      </c>
      <c r="M1183" s="155">
        <f ca="1">_xll.meDateYearFraction(C1183,D1183,$M$11)</f>
        <v>5.5555555555555558E-3</v>
      </c>
      <c r="N1183" s="150">
        <f ca="1"/>
        <v>-2.4300000000065936E-3</v>
      </c>
      <c r="O1183" s="7" t="s">
        <v>4</v>
      </c>
      <c r="P1183" s="149">
        <f t="shared" ca="1" si="37"/>
        <v>44145</v>
      </c>
      <c r="Q1183" s="155">
        <f ca="1">_xll.meDateYearFraction(H1183,I1183,$Q$11,TRUE)</f>
        <v>0.25555555555555554</v>
      </c>
      <c r="R1183" s="150">
        <f ca="1">IF(NOW(),_xll.meCurveForwardRatesFromYearFraction(P1183,Q1183,$Q$11,$Q$9,$Q$10))</f>
        <v>-3.7175485397107962E-3</v>
      </c>
      <c r="S1183" s="134" t="s">
        <v>4</v>
      </c>
    </row>
    <row r="1184" spans="1:19" x14ac:dyDescent="0.25">
      <c r="A1184" s="128">
        <v>1168</v>
      </c>
      <c r="B1184" s="133"/>
      <c r="C1184" s="149">
        <f ca="1">_xll.meDateFromTenor(C1183,"1D","FOLLOWING",$D$11,"NORMAL")</f>
        <v>44147</v>
      </c>
      <c r="D1184" s="20">
        <f ca="1">_xll.meDateFromTenor(C1184,"1D","Following",$D$11,"Normal")</f>
        <v>44148</v>
      </c>
      <c r="E1184" s="99">
        <f ca="1"/>
        <v>1.4144523479513458E-2</v>
      </c>
      <c r="F1184" s="161">
        <f ca="1">_xll.meCurveForwardRates(C1184,$D$9,$D$10)</f>
        <v>1.4244748745155356E-2</v>
      </c>
      <c r="G1184" s="7" t="s">
        <v>4</v>
      </c>
      <c r="H1184" s="149">
        <f t="shared" ca="1" si="36"/>
        <v>44147</v>
      </c>
      <c r="I1184" s="20">
        <f ca="1">_xll.meDateFromTenor(H1184,"3M","Following",$I$11,"Normal")</f>
        <v>44239</v>
      </c>
      <c r="J1184" s="150">
        <f ca="1"/>
        <v>1.8254624427879101E-2</v>
      </c>
      <c r="K1184" s="7" t="s">
        <v>4</v>
      </c>
      <c r="L1184" s="149" t="e">
        <f ca="1">_xll.meDateFromTenor(L1183,"1D","FOLLOWING",#REF!,"NORMAL")</f>
        <v>#VALUE!</v>
      </c>
      <c r="M1184" s="155">
        <f ca="1">_xll.meDateYearFraction(C1184,D1184,$M$11)</f>
        <v>2.7777777777777779E-3</v>
      </c>
      <c r="N1184" s="150">
        <f ca="1"/>
        <v>-2.4300000000065936E-3</v>
      </c>
      <c r="O1184" s="7" t="s">
        <v>4</v>
      </c>
      <c r="P1184" s="149">
        <f t="shared" ca="1" si="37"/>
        <v>44147</v>
      </c>
      <c r="Q1184" s="155">
        <f ca="1">_xll.meDateYearFraction(H1184,I1184,$Q$11,TRUE)</f>
        <v>0.25555555555555554</v>
      </c>
      <c r="R1184" s="150">
        <f ca="1">IF(NOW(),_xll.meCurveForwardRatesFromYearFraction(P1184,Q1184,$Q$11,$Q$9,$Q$10))</f>
        <v>1.9923620310513725E-3</v>
      </c>
      <c r="S1184" s="134" t="s">
        <v>4</v>
      </c>
    </row>
    <row r="1185" spans="1:19" x14ac:dyDescent="0.25">
      <c r="A1185" s="128">
        <v>1169</v>
      </c>
      <c r="B1185" s="133"/>
      <c r="C1185" s="149">
        <f ca="1">_xll.meDateFromTenor(C1184,"1D","FOLLOWING",$D$11,"NORMAL")</f>
        <v>44148</v>
      </c>
      <c r="D1185" s="20">
        <f ca="1">_xll.meDateFromTenor(C1185,"1D","Following",$D$11,"Normal")</f>
        <v>44151</v>
      </c>
      <c r="E1185" s="99">
        <f ca="1"/>
        <v>1.4155276428820779E-2</v>
      </c>
      <c r="F1185" s="161">
        <f ca="1">_xll.meCurveForwardRates(C1185,$D$9,$D$10)</f>
        <v>1.4249913271976444E-2</v>
      </c>
      <c r="G1185" s="7" t="s">
        <v>4</v>
      </c>
      <c r="H1185" s="149">
        <f t="shared" ca="1" si="36"/>
        <v>44148</v>
      </c>
      <c r="I1185" s="20">
        <f ca="1">_xll.meDateFromTenor(H1185,"3M","Following",$I$11,"Normal")</f>
        <v>44243</v>
      </c>
      <c r="J1185" s="150">
        <f ca="1"/>
        <v>1.8258091663288237E-2</v>
      </c>
      <c r="K1185" s="7" t="s">
        <v>4</v>
      </c>
      <c r="L1185" s="149" t="e">
        <f ca="1">_xll.meDateFromTenor(L1184,"1D","FOLLOWING",#REF!,"NORMAL")</f>
        <v>#VALUE!</v>
      </c>
      <c r="M1185" s="155">
        <f ca="1">_xll.meDateYearFraction(C1185,D1185,$M$11)</f>
        <v>8.3333333333333332E-3</v>
      </c>
      <c r="N1185" s="150">
        <f ca="1"/>
        <v>-2.4300000000065936E-3</v>
      </c>
      <c r="O1185" s="7" t="s">
        <v>4</v>
      </c>
      <c r="P1185" s="149">
        <f t="shared" ca="1" si="37"/>
        <v>44148</v>
      </c>
      <c r="Q1185" s="155">
        <f ca="1">_xll.meDateYearFraction(H1185,I1185,$Q$11,TRUE)</f>
        <v>0.2638888888888889</v>
      </c>
      <c r="R1185" s="150">
        <f ca="1">IF(NOW(),_xll.meCurveForwardRatesFromYearFraction(P1185,Q1185,$Q$11,$Q$9,$Q$10))</f>
        <v>1.9992664287131223E-3</v>
      </c>
      <c r="S1185" s="134" t="s">
        <v>4</v>
      </c>
    </row>
    <row r="1186" spans="1:19" x14ac:dyDescent="0.25">
      <c r="A1186" s="128">
        <v>1170</v>
      </c>
      <c r="B1186" s="133"/>
      <c r="C1186" s="149">
        <f ca="1">_xll.meDateFromTenor(C1185,"1D","FOLLOWING",$D$11,"NORMAL")</f>
        <v>44151</v>
      </c>
      <c r="D1186" s="20">
        <f ca="1">_xll.meDateFromTenor(C1186,"1D","Following",$D$11,"Normal")</f>
        <v>44152</v>
      </c>
      <c r="E1186" s="99">
        <f ca="1"/>
        <v>1.4164946372410288E-2</v>
      </c>
      <c r="F1186" s="161">
        <f ca="1">_xll.meCurveForwardRates(C1186,$D$9,$D$10)</f>
        <v>1.4265461954124703E-2</v>
      </c>
      <c r="G1186" s="7" t="s">
        <v>4</v>
      </c>
      <c r="H1186" s="149">
        <f t="shared" ca="1" si="36"/>
        <v>44151</v>
      </c>
      <c r="I1186" s="20">
        <f ca="1">_xll.meDateFromTenor(H1186,"3M","Following",$I$11,"Normal")</f>
        <v>44243</v>
      </c>
      <c r="J1186" s="150">
        <f ca="1"/>
        <v>1.8268587286158319E-2</v>
      </c>
      <c r="K1186" s="7" t="s">
        <v>4</v>
      </c>
      <c r="L1186" s="149" t="e">
        <f ca="1">_xll.meDateFromTenor(L1185,"1D","FOLLOWING",#REF!,"NORMAL")</f>
        <v>#VALUE!</v>
      </c>
      <c r="M1186" s="155">
        <f ca="1">_xll.meDateYearFraction(C1186,D1186,$M$11)</f>
        <v>2.7777777777777779E-3</v>
      </c>
      <c r="N1186" s="150">
        <f ca="1"/>
        <v>-2.4300000000065936E-3</v>
      </c>
      <c r="O1186" s="7" t="s">
        <v>4</v>
      </c>
      <c r="P1186" s="149">
        <f t="shared" ca="1" si="37"/>
        <v>44151</v>
      </c>
      <c r="Q1186" s="155">
        <f ca="1">_xll.meDateYearFraction(H1186,I1186,$Q$11,TRUE)</f>
        <v>0.25555555555555554</v>
      </c>
      <c r="R1186" s="150">
        <f ca="1">IF(NOW(),_xll.meCurveForwardRatesFromYearFraction(P1186,Q1186,$Q$11,$Q$9,$Q$10))</f>
        <v>-3.7175485397107962E-3</v>
      </c>
      <c r="S1186" s="134" t="s">
        <v>4</v>
      </c>
    </row>
    <row r="1187" spans="1:19" x14ac:dyDescent="0.25">
      <c r="A1187" s="128">
        <v>1171</v>
      </c>
      <c r="B1187" s="133"/>
      <c r="C1187" s="149">
        <f ca="1">_xll.meDateFromTenor(C1186,"1D","FOLLOWING",$D$11,"NORMAL")</f>
        <v>44152</v>
      </c>
      <c r="D1187" s="20">
        <f ca="1">_xll.meDateFromTenor(C1187,"1D","Following",$D$11,"Normal")</f>
        <v>44153</v>
      </c>
      <c r="E1187" s="99">
        <f ca="1"/>
        <v>1.4170074673318751E-2</v>
      </c>
      <c r="F1187" s="161">
        <f ca="1">_xll.meCurveForwardRates(C1187,$D$9,$D$10)</f>
        <v>1.4270663221259694E-2</v>
      </c>
      <c r="G1187" s="7" t="s">
        <v>4</v>
      </c>
      <c r="H1187" s="149">
        <f t="shared" ca="1" si="36"/>
        <v>44152</v>
      </c>
      <c r="I1187" s="20">
        <f ca="1">_xll.meDateFromTenor(H1187,"3M","Following",$I$11,"Normal")</f>
        <v>44244</v>
      </c>
      <c r="J1187" s="150">
        <f ca="1"/>
        <v>1.8272118458253366E-2</v>
      </c>
      <c r="K1187" s="7" t="s">
        <v>4</v>
      </c>
      <c r="L1187" s="149" t="e">
        <f ca="1">_xll.meDateFromTenor(L1186,"1D","FOLLOWING",#REF!,"NORMAL")</f>
        <v>#VALUE!</v>
      </c>
      <c r="M1187" s="155">
        <f ca="1">_xll.meDateYearFraction(C1187,D1187,$M$11)</f>
        <v>2.7777777777777779E-3</v>
      </c>
      <c r="N1187" s="150">
        <f ca="1"/>
        <v>-2.4300000000065936E-3</v>
      </c>
      <c r="O1187" s="7" t="s">
        <v>4</v>
      </c>
      <c r="P1187" s="149">
        <f t="shared" ca="1" si="37"/>
        <v>44152</v>
      </c>
      <c r="Q1187" s="155">
        <f ca="1">_xll.meDateYearFraction(H1187,I1187,$Q$11,TRUE)</f>
        <v>0.25555555555555554</v>
      </c>
      <c r="R1187" s="150">
        <f ca="1">IF(NOW(),_xll.meCurveForwardRatesFromYearFraction(P1187,Q1187,$Q$11,$Q$9,$Q$10))</f>
        <v>-3.7175485397107962E-3</v>
      </c>
      <c r="S1187" s="134" t="s">
        <v>4</v>
      </c>
    </row>
    <row r="1188" spans="1:19" x14ac:dyDescent="0.25">
      <c r="A1188" s="128">
        <v>1172</v>
      </c>
      <c r="B1188" s="133"/>
      <c r="C1188" s="149">
        <f ca="1">_xll.meDateFromTenor(C1187,"1D","FOLLOWING",$D$11,"NORMAL")</f>
        <v>44153</v>
      </c>
      <c r="D1188" s="20">
        <f ca="1">_xll.meDateFromTenor(C1188,"1D","Following",$D$11,"Normal")</f>
        <v>44154</v>
      </c>
      <c r="E1188" s="99">
        <f ca="1"/>
        <v>1.4175212008431531E-2</v>
      </c>
      <c r="F1188" s="161">
        <f ca="1">_xll.meCurveForwardRates(C1188,$D$9,$D$10)</f>
        <v>1.4275873677808137E-2</v>
      </c>
      <c r="G1188" s="7" t="s">
        <v>4</v>
      </c>
      <c r="H1188" s="149">
        <f t="shared" ca="1" si="36"/>
        <v>44153</v>
      </c>
      <c r="I1188" s="20">
        <f ca="1">_xll.meDateFromTenor(H1188,"3M","Following",$I$11,"Normal")</f>
        <v>44245</v>
      </c>
      <c r="J1188" s="150">
        <f ca="1"/>
        <v>1.8275666608712993E-2</v>
      </c>
      <c r="K1188" s="7" t="s">
        <v>4</v>
      </c>
      <c r="L1188" s="149" t="e">
        <f ca="1">_xll.meDateFromTenor(L1187,"1D","FOLLOWING",#REF!,"NORMAL")</f>
        <v>#VALUE!</v>
      </c>
      <c r="M1188" s="155">
        <f ca="1">_xll.meDateYearFraction(C1188,D1188,$M$11)</f>
        <v>2.7777777777777779E-3</v>
      </c>
      <c r="N1188" s="150">
        <f ca="1"/>
        <v>-2.4300000000065936E-3</v>
      </c>
      <c r="O1188" s="7" t="s">
        <v>4</v>
      </c>
      <c r="P1188" s="149">
        <f t="shared" ca="1" si="37"/>
        <v>44153</v>
      </c>
      <c r="Q1188" s="155">
        <f ca="1">_xll.meDateYearFraction(H1188,I1188,$Q$11,TRUE)</f>
        <v>0.25555555555555554</v>
      </c>
      <c r="R1188" s="150">
        <f ca="1">IF(NOW(),_xll.meCurveForwardRatesFromYearFraction(P1188,Q1188,$Q$11,$Q$9,$Q$10))</f>
        <v>2.0333319631668785E-3</v>
      </c>
      <c r="S1188" s="134" t="s">
        <v>4</v>
      </c>
    </row>
    <row r="1189" spans="1:19" x14ac:dyDescent="0.25">
      <c r="A1189" s="128">
        <v>1173</v>
      </c>
      <c r="B1189" s="133"/>
      <c r="C1189" s="149">
        <f ca="1">_xll.meDateFromTenor(C1188,"1D","FOLLOWING",$D$11,"NORMAL")</f>
        <v>44154</v>
      </c>
      <c r="D1189" s="20">
        <f ca="1">_xll.meDateFromTenor(C1189,"1D","Following",$D$11,"Normal")</f>
        <v>44155</v>
      </c>
      <c r="E1189" s="99">
        <f ca="1"/>
        <v>1.418035837944541E-2</v>
      </c>
      <c r="F1189" s="161">
        <f ca="1">_xll.meCurveForwardRates(C1189,$D$9,$D$10)</f>
        <v>1.4281093325631655E-2</v>
      </c>
      <c r="G1189" s="7" t="s">
        <v>4</v>
      </c>
      <c r="H1189" s="149">
        <f t="shared" ca="1" si="36"/>
        <v>44154</v>
      </c>
      <c r="I1189" s="20">
        <f ca="1">_xll.meDateFromTenor(H1189,"3M","Following",$I$11,"Normal")</f>
        <v>44246</v>
      </c>
      <c r="J1189" s="150">
        <f ca="1"/>
        <v>1.8279232135214436E-2</v>
      </c>
      <c r="K1189" s="7" t="s">
        <v>4</v>
      </c>
      <c r="L1189" s="149" t="e">
        <f ca="1">_xll.meDateFromTenor(L1188,"1D","FOLLOWING",#REF!,"NORMAL")</f>
        <v>#VALUE!</v>
      </c>
      <c r="M1189" s="155">
        <f ca="1">_xll.meDateYearFraction(C1189,D1189,$M$11)</f>
        <v>2.7777777777777779E-3</v>
      </c>
      <c r="N1189" s="150">
        <f ca="1"/>
        <v>-2.4300000000065936E-3</v>
      </c>
      <c r="O1189" s="7" t="s">
        <v>4</v>
      </c>
      <c r="P1189" s="149">
        <f t="shared" ca="1" si="37"/>
        <v>44154</v>
      </c>
      <c r="Q1189" s="155">
        <f ca="1">_xll.meDateYearFraction(H1189,I1189,$Q$11,TRUE)</f>
        <v>0.25555555555555554</v>
      </c>
      <c r="R1189" s="150">
        <f ca="1">IF(NOW(),_xll.meCurveForwardRatesFromYearFraction(P1189,Q1189,$Q$11,$Q$9,$Q$10))</f>
        <v>2.0400288708049812E-3</v>
      </c>
      <c r="S1189" s="134" t="s">
        <v>4</v>
      </c>
    </row>
    <row r="1190" spans="1:19" x14ac:dyDescent="0.25">
      <c r="A1190" s="128">
        <v>1174</v>
      </c>
      <c r="B1190" s="133"/>
      <c r="C1190" s="149">
        <f ca="1">_xll.meDateFromTenor(C1189,"1D","FOLLOWING",$D$11,"NORMAL")</f>
        <v>44155</v>
      </c>
      <c r="D1190" s="20">
        <f ca="1">_xll.meDateFromTenor(C1190,"1D","Following",$D$11,"Normal")</f>
        <v>44158</v>
      </c>
      <c r="E1190" s="99">
        <f ca="1"/>
        <v>1.4191240632434448E-2</v>
      </c>
      <c r="F1190" s="161">
        <f ca="1">_xll.meCurveForwardRates(C1190,$D$9,$D$10)</f>
        <v>1.4286322166393361E-2</v>
      </c>
      <c r="G1190" s="7" t="s">
        <v>4</v>
      </c>
      <c r="H1190" s="149">
        <f t="shared" ca="1" si="36"/>
        <v>44155</v>
      </c>
      <c r="I1190" s="20">
        <f ca="1">_xll.meDateFromTenor(H1190,"3M","Following",$I$11,"Normal")</f>
        <v>44249</v>
      </c>
      <c r="J1190" s="150">
        <f ca="1"/>
        <v>1.8282815435434932E-2</v>
      </c>
      <c r="K1190" s="7" t="s">
        <v>4</v>
      </c>
      <c r="L1190" s="149" t="e">
        <f ca="1">_xll.meDateFromTenor(L1189,"1D","FOLLOWING",#REF!,"NORMAL")</f>
        <v>#VALUE!</v>
      </c>
      <c r="M1190" s="155">
        <f ca="1">_xll.meDateYearFraction(C1190,D1190,$M$11)</f>
        <v>8.3333333333333332E-3</v>
      </c>
      <c r="N1190" s="150">
        <f ca="1"/>
        <v>-2.4300000000065936E-3</v>
      </c>
      <c r="O1190" s="7" t="s">
        <v>4</v>
      </c>
      <c r="P1190" s="149">
        <f t="shared" ca="1" si="37"/>
        <v>44155</v>
      </c>
      <c r="Q1190" s="155">
        <f ca="1">_xll.meDateYearFraction(H1190,I1190,$Q$11,TRUE)</f>
        <v>0.26111111111111113</v>
      </c>
      <c r="R1190" s="150">
        <f ca="1">IF(NOW(),_xll.meCurveForwardRatesFromYearFraction(P1190,Q1190,$Q$11,$Q$9,$Q$10))</f>
        <v>-3.7175485397107962E-3</v>
      </c>
      <c r="S1190" s="134" t="s">
        <v>4</v>
      </c>
    </row>
    <row r="1191" spans="1:19" x14ac:dyDescent="0.25">
      <c r="A1191" s="128">
        <v>1175</v>
      </c>
      <c r="B1191" s="133"/>
      <c r="C1191" s="149">
        <f ca="1">_xll.meDateFromTenor(C1190,"1D","FOLLOWING",$D$11,"NORMAL")</f>
        <v>44158</v>
      </c>
      <c r="D1191" s="20">
        <f ca="1">_xll.meDateFromTenor(C1191,"1D","Following",$D$11,"Normal")</f>
        <v>44159</v>
      </c>
      <c r="E1191" s="99">
        <f ca="1"/>
        <v>1.4201659857706706E-2</v>
      </c>
      <c r="F1191" s="161">
        <f ca="1">_xll.meCurveForwardRates(C1191,$D$9,$D$10)</f>
        <v>1.4302698390740831E-2</v>
      </c>
      <c r="G1191" s="7" t="s">
        <v>4</v>
      </c>
      <c r="H1191" s="149">
        <f t="shared" ca="1" si="36"/>
        <v>44158</v>
      </c>
      <c r="I1191" s="20">
        <f ca="1">_xll.meDateFromTenor(H1191,"3M","Following",$I$11,"Normal")</f>
        <v>44250</v>
      </c>
      <c r="J1191" s="150">
        <f ca="1"/>
        <v>1.8293675955183154E-2</v>
      </c>
      <c r="K1191" s="7" t="s">
        <v>4</v>
      </c>
      <c r="L1191" s="149" t="e">
        <f ca="1">_xll.meDateFromTenor(L1190,"1D","FOLLOWING",#REF!,"NORMAL")</f>
        <v>#VALUE!</v>
      </c>
      <c r="M1191" s="155">
        <f ca="1">_xll.meDateYearFraction(C1191,D1191,$M$11)</f>
        <v>2.7777777777777779E-3</v>
      </c>
      <c r="N1191" s="150">
        <f ca="1"/>
        <v>-2.4300000000065936E-3</v>
      </c>
      <c r="O1191" s="7" t="s">
        <v>4</v>
      </c>
      <c r="P1191" s="149">
        <f t="shared" ca="1" si="37"/>
        <v>44158</v>
      </c>
      <c r="Q1191" s="155">
        <f ca="1">_xll.meDateYearFraction(H1191,I1191,$Q$11,TRUE)</f>
        <v>0.25555555555555554</v>
      </c>
      <c r="R1191" s="150">
        <f ca="1">IF(NOW(),_xll.meCurveForwardRatesFromYearFraction(P1191,Q1191,$Q$11,$Q$9,$Q$10))</f>
        <v>2.0663105586978515E-3</v>
      </c>
      <c r="S1191" s="134" t="s">
        <v>4</v>
      </c>
    </row>
    <row r="1192" spans="1:19" x14ac:dyDescent="0.25">
      <c r="A1192" s="128">
        <v>1176</v>
      </c>
      <c r="B1192" s="133"/>
      <c r="C1192" s="149">
        <f ca="1">_xll.meDateFromTenor(C1191,"1D","FOLLOWING",$D$11,"NORMAL")</f>
        <v>44159</v>
      </c>
      <c r="D1192" s="20">
        <f ca="1">_xll.meDateFromTenor(C1192,"1D","Following",$D$11,"Normal")</f>
        <v>44160</v>
      </c>
      <c r="E1192" s="99">
        <f ca="1"/>
        <v>1.4208063960150508E-2</v>
      </c>
      <c r="F1192" s="161">
        <f ca="1">_xll.meCurveForwardRates(C1192,$D$9,$D$10)</f>
        <v>1.4309193853631497E-2</v>
      </c>
      <c r="G1192" s="7" t="s">
        <v>4</v>
      </c>
      <c r="H1192" s="149">
        <f t="shared" ca="1" si="36"/>
        <v>44159</v>
      </c>
      <c r="I1192" s="20">
        <f ca="1">_xll.meDateFromTenor(H1192,"3M","Following",$I$11,"Normal")</f>
        <v>44251</v>
      </c>
      <c r="J1192" s="150">
        <f ca="1"/>
        <v>1.8297325459668071E-2</v>
      </c>
      <c r="K1192" s="7" t="s">
        <v>4</v>
      </c>
      <c r="L1192" s="149" t="e">
        <f ca="1">_xll.meDateFromTenor(L1191,"1D","FOLLOWING",#REF!,"NORMAL")</f>
        <v>#VALUE!</v>
      </c>
      <c r="M1192" s="155">
        <f ca="1">_xll.meDateYearFraction(C1192,D1192,$M$11)</f>
        <v>2.7777777777777779E-3</v>
      </c>
      <c r="N1192" s="150">
        <f ca="1"/>
        <v>-2.4300000000065936E-3</v>
      </c>
      <c r="O1192" s="7" t="s">
        <v>4</v>
      </c>
      <c r="P1192" s="149">
        <f t="shared" ca="1" si="37"/>
        <v>44159</v>
      </c>
      <c r="Q1192" s="155">
        <f ca="1">_xll.meDateYearFraction(H1192,I1192,$Q$11,TRUE)</f>
        <v>0.25555555555555554</v>
      </c>
      <c r="R1192" s="150">
        <f ca="1">IF(NOW(),_xll.meCurveForwardRatesFromYearFraction(P1192,Q1192,$Q$11,$Q$9,$Q$10))</f>
        <v>-3.7175485397107962E-3</v>
      </c>
      <c r="S1192" s="134" t="s">
        <v>4</v>
      </c>
    </row>
    <row r="1193" spans="1:19" x14ac:dyDescent="0.25">
      <c r="A1193" s="128">
        <v>1177</v>
      </c>
      <c r="B1193" s="133"/>
      <c r="C1193" s="149">
        <f ca="1">_xll.meDateFromTenor(C1192,"1D","FOLLOWING",$D$11,"NORMAL")</f>
        <v>44160</v>
      </c>
      <c r="D1193" s="20">
        <f ca="1">_xll.meDateFromTenor(C1193,"1D","Following",$D$11,"Normal")</f>
        <v>44162</v>
      </c>
      <c r="E1193" s="99">
        <f ca="1"/>
        <v>1.4217852898132982E-2</v>
      </c>
      <c r="F1193" s="161">
        <f ca="1">_xll.meCurveForwardRates(C1193,$D$9,$D$10)</f>
        <v>1.4315639678285308E-2</v>
      </c>
      <c r="G1193" s="7" t="s">
        <v>4</v>
      </c>
      <c r="H1193" s="149">
        <f t="shared" ca="1" si="36"/>
        <v>44160</v>
      </c>
      <c r="I1193" s="20">
        <f ca="1">_xll.meDateFromTenor(H1193,"3M","Following",$I$11,"Normal")</f>
        <v>44252</v>
      </c>
      <c r="J1193" s="150">
        <f ca="1"/>
        <v>1.8300976835814508E-2</v>
      </c>
      <c r="K1193" s="7" t="s">
        <v>4</v>
      </c>
      <c r="L1193" s="149" t="e">
        <f ca="1">_xll.meDateFromTenor(L1192,"1D","FOLLOWING",#REF!,"NORMAL")</f>
        <v>#VALUE!</v>
      </c>
      <c r="M1193" s="155">
        <f ca="1">_xll.meDateYearFraction(C1193,D1193,$M$11)</f>
        <v>5.5555555555555558E-3</v>
      </c>
      <c r="N1193" s="150">
        <f ca="1"/>
        <v>-2.4300000000065936E-3</v>
      </c>
      <c r="O1193" s="7" t="s">
        <v>4</v>
      </c>
      <c r="P1193" s="149">
        <f t="shared" ca="1" si="37"/>
        <v>44160</v>
      </c>
      <c r="Q1193" s="155">
        <f ca="1">_xll.meDateYearFraction(H1193,I1193,$Q$11,TRUE)</f>
        <v>0.25555555555555554</v>
      </c>
      <c r="R1193" s="150">
        <f ca="1">IF(NOW(),_xll.meCurveForwardRatesFromYearFraction(P1193,Q1193,$Q$11,$Q$9,$Q$10))</f>
        <v>2.0791193390209649E-3</v>
      </c>
      <c r="S1193" s="134" t="s">
        <v>4</v>
      </c>
    </row>
    <row r="1194" spans="1:19" x14ac:dyDescent="0.25">
      <c r="A1194" s="128">
        <v>1178</v>
      </c>
      <c r="B1194" s="133"/>
      <c r="C1194" s="149">
        <f ca="1">_xll.meDateFromTenor(C1193,"1D","FOLLOWING",$D$11,"NORMAL")</f>
        <v>44162</v>
      </c>
      <c r="D1194" s="20">
        <f ca="1">_xll.meDateFromTenor(C1194,"1D","Following",$D$11,"Normal")</f>
        <v>44165</v>
      </c>
      <c r="E1194" s="99">
        <f ca="1"/>
        <v>1.4233736891827418E-2</v>
      </c>
      <c r="F1194" s="161">
        <f ca="1">_xll.meCurveForwardRates(C1194,$D$9,$D$10)</f>
        <v>1.43283823786724E-2</v>
      </c>
      <c r="G1194" s="7" t="s">
        <v>4</v>
      </c>
      <c r="H1194" s="149">
        <f t="shared" ca="1" si="36"/>
        <v>44162</v>
      </c>
      <c r="I1194" s="20">
        <f ca="1">_xll.meDateFromTenor(H1194,"3M","Following",$I$11,"Normal")</f>
        <v>44256</v>
      </c>
      <c r="J1194" s="150">
        <f ca="1"/>
        <v>1.8308285859748884E-2</v>
      </c>
      <c r="K1194" s="7" t="s">
        <v>4</v>
      </c>
      <c r="L1194" s="149" t="e">
        <f ca="1">_xll.meDateFromTenor(L1193,"1D","FOLLOWING",#REF!,"NORMAL")</f>
        <v>#VALUE!</v>
      </c>
      <c r="M1194" s="155">
        <f ca="1">_xll.meDateYearFraction(C1194,D1194,$M$11)</f>
        <v>8.3333333333333332E-3</v>
      </c>
      <c r="N1194" s="150">
        <f ca="1"/>
        <v>-2.4300000000065936E-3</v>
      </c>
      <c r="O1194" s="7" t="s">
        <v>4</v>
      </c>
      <c r="P1194" s="149">
        <f t="shared" ca="1" si="37"/>
        <v>44162</v>
      </c>
      <c r="Q1194" s="155">
        <f ca="1">_xll.meDateYearFraction(H1194,I1194,$Q$11,TRUE)</f>
        <v>0.26111111111111113</v>
      </c>
      <c r="R1194" s="150">
        <f ca="1">IF(NOW(),_xll.meCurveForwardRatesFromYearFraction(P1194,Q1194,$Q$11,$Q$9,$Q$10))</f>
        <v>-3.7175485397107962E-3</v>
      </c>
      <c r="S1194" s="134" t="s">
        <v>4</v>
      </c>
    </row>
    <row r="1195" spans="1:19" x14ac:dyDescent="0.25">
      <c r="A1195" s="128">
        <v>1179</v>
      </c>
      <c r="B1195" s="133"/>
      <c r="C1195" s="149">
        <f ca="1">_xll.meDateFromTenor(C1194,"1D","FOLLOWING",$D$11,"NORMAL")</f>
        <v>44165</v>
      </c>
      <c r="D1195" s="20">
        <f ca="1">_xll.meDateFromTenor(C1195,"1D","Following",$D$11,"Normal")</f>
        <v>44166</v>
      </c>
      <c r="E1195" s="99">
        <f ca="1"/>
        <v>1.4245459722237445E-2</v>
      </c>
      <c r="F1195" s="161">
        <f ca="1">_xll.meCurveForwardRates(C1195,$D$9,$D$10)</f>
        <v>1.434712392918458E-2</v>
      </c>
      <c r="G1195" s="7" t="s">
        <v>4</v>
      </c>
      <c r="H1195" s="149">
        <f t="shared" ca="1" si="36"/>
        <v>44165</v>
      </c>
      <c r="I1195" s="20">
        <f ca="1">_xll.meDateFromTenor(H1195,"3M","Following",$I$11,"Normal")</f>
        <v>44256</v>
      </c>
      <c r="J1195" s="150">
        <f ca="1"/>
        <v>1.8319267537217701E-2</v>
      </c>
      <c r="K1195" s="7" t="s">
        <v>4</v>
      </c>
      <c r="L1195" s="149" t="e">
        <f ca="1">_xll.meDateFromTenor(L1194,"1D","FOLLOWING",#REF!,"NORMAL")</f>
        <v>#VALUE!</v>
      </c>
      <c r="M1195" s="155">
        <f ca="1">_xll.meDateYearFraction(C1195,D1195,$M$11)</f>
        <v>2.7777777777777779E-3</v>
      </c>
      <c r="N1195" s="150">
        <f ca="1"/>
        <v>-2.4300000000065936E-3</v>
      </c>
      <c r="O1195" s="7" t="s">
        <v>4</v>
      </c>
      <c r="P1195" s="149">
        <f t="shared" ca="1" si="37"/>
        <v>44165</v>
      </c>
      <c r="Q1195" s="155">
        <f ca="1">_xll.meDateYearFraction(H1195,I1195,$Q$11,TRUE)</f>
        <v>0.25277777777777777</v>
      </c>
      <c r="R1195" s="150">
        <f ca="1">IF(NOW(),_xll.meCurveForwardRatesFromYearFraction(P1195,Q1195,$Q$11,$Q$9,$Q$10))</f>
        <v>2.1103263967803322E-3</v>
      </c>
      <c r="S1195" s="134" t="s">
        <v>4</v>
      </c>
    </row>
    <row r="1196" spans="1:19" x14ac:dyDescent="0.25">
      <c r="A1196" s="128">
        <v>1180</v>
      </c>
      <c r="B1196" s="133"/>
      <c r="C1196" s="149">
        <f ca="1">_xll.meDateFromTenor(C1195,"1D","FOLLOWING",$D$11,"NORMAL")</f>
        <v>44166</v>
      </c>
      <c r="D1196" s="20">
        <f ca="1">_xll.meDateFromTenor(C1196,"1D","Following",$D$11,"Normal")</f>
        <v>44167</v>
      </c>
      <c r="E1196" s="99">
        <f ca="1"/>
        <v>1.4251520804038463E-2</v>
      </c>
      <c r="F1196" s="161">
        <f ca="1">_xll.meCurveForwardRates(C1196,$D$9,$D$10)</f>
        <v>1.4353271745383367E-2</v>
      </c>
      <c r="G1196" s="7" t="s">
        <v>4</v>
      </c>
      <c r="H1196" s="149">
        <f t="shared" ca="1" si="36"/>
        <v>44166</v>
      </c>
      <c r="I1196" s="20">
        <f ca="1">_xll.meDateFromTenor(H1196,"3M","Following",$I$11,"Normal")</f>
        <v>44256</v>
      </c>
      <c r="J1196" s="150">
        <f ca="1"/>
        <v>1.832293359078218E-2</v>
      </c>
      <c r="K1196" s="7" t="s">
        <v>4</v>
      </c>
      <c r="L1196" s="149" t="e">
        <f ca="1">_xll.meDateFromTenor(L1195,"1D","FOLLOWING",#REF!,"NORMAL")</f>
        <v>#VALUE!</v>
      </c>
      <c r="M1196" s="155">
        <f ca="1">_xll.meDateYearFraction(C1196,D1196,$M$11)</f>
        <v>2.7777777777777779E-3</v>
      </c>
      <c r="N1196" s="150">
        <f ca="1"/>
        <v>-2.4300000000065936E-3</v>
      </c>
      <c r="O1196" s="7" t="s">
        <v>4</v>
      </c>
      <c r="P1196" s="149">
        <f t="shared" ca="1" si="37"/>
        <v>44166</v>
      </c>
      <c r="Q1196" s="155">
        <f ca="1">_xll.meDateYearFraction(H1196,I1196,$Q$11,TRUE)</f>
        <v>0.25</v>
      </c>
      <c r="R1196" s="150">
        <f ca="1">IF(NOW(),_xll.meCurveForwardRatesFromYearFraction(P1196,Q1196,$Q$11,$Q$9,$Q$10))</f>
        <v>-3.7175485397107962E-3</v>
      </c>
      <c r="S1196" s="134" t="s">
        <v>4</v>
      </c>
    </row>
    <row r="1197" spans="1:19" x14ac:dyDescent="0.25">
      <c r="A1197" s="128">
        <v>1181</v>
      </c>
      <c r="B1197" s="133"/>
      <c r="C1197" s="149">
        <f ca="1">_xll.meDateFromTenor(C1196,"1D","FOLLOWING",$D$11,"NORMAL")</f>
        <v>44167</v>
      </c>
      <c r="D1197" s="20">
        <f ca="1">_xll.meDateFromTenor(C1197,"1D","Following",$D$11,"Normal")</f>
        <v>44168</v>
      </c>
      <c r="E1197" s="99">
        <f ca="1"/>
        <v>1.4257532852732782E-2</v>
      </c>
      <c r="F1197" s="161">
        <f ca="1">_xll.meCurveForwardRates(C1197,$D$9,$D$10)</f>
        <v>1.4359369863516713E-2</v>
      </c>
      <c r="G1197" s="7" t="s">
        <v>4</v>
      </c>
      <c r="H1197" s="149">
        <f t="shared" ca="1" si="36"/>
        <v>44167</v>
      </c>
      <c r="I1197" s="20">
        <f ca="1">_xll.meDateFromTenor(H1197,"3M","Following",$I$11,"Normal")</f>
        <v>44257</v>
      </c>
      <c r="J1197" s="150">
        <f ca="1"/>
        <v>1.8326602665157812E-2</v>
      </c>
      <c r="K1197" s="7" t="s">
        <v>4</v>
      </c>
      <c r="L1197" s="149" t="e">
        <f ca="1">_xll.meDateFromTenor(L1196,"1D","FOLLOWING",#REF!,"NORMAL")</f>
        <v>#VALUE!</v>
      </c>
      <c r="M1197" s="155">
        <f ca="1">_xll.meDateYearFraction(C1197,D1197,$M$11)</f>
        <v>2.7777777777777779E-3</v>
      </c>
      <c r="N1197" s="150">
        <f ca="1"/>
        <v>-2.4300000000065936E-3</v>
      </c>
      <c r="O1197" s="7" t="s">
        <v>4</v>
      </c>
      <c r="P1197" s="149">
        <f t="shared" ca="1" si="37"/>
        <v>44167</v>
      </c>
      <c r="Q1197" s="155">
        <f ca="1">_xll.meDateYearFraction(H1197,I1197,$Q$11,TRUE)</f>
        <v>0.25</v>
      </c>
      <c r="R1197" s="150">
        <f ca="1">IF(NOW(),_xll.meCurveForwardRatesFromYearFraction(P1197,Q1197,$Q$11,$Q$9,$Q$10))</f>
        <v>2.1225410136933749E-3</v>
      </c>
      <c r="S1197" s="134" t="s">
        <v>4</v>
      </c>
    </row>
    <row r="1198" spans="1:19" x14ac:dyDescent="0.25">
      <c r="A1198" s="128">
        <v>1182</v>
      </c>
      <c r="B1198" s="133"/>
      <c r="C1198" s="149">
        <f ca="1">_xll.meDateFromTenor(C1197,"1D","FOLLOWING",$D$11,"NORMAL")</f>
        <v>44168</v>
      </c>
      <c r="D1198" s="20">
        <f ca="1">_xll.meDateFromTenor(C1198,"1D","Following",$D$11,"Normal")</f>
        <v>44169</v>
      </c>
      <c r="E1198" s="99">
        <f ca="1"/>
        <v>1.4263495861144393E-2</v>
      </c>
      <c r="F1198" s="161">
        <f ca="1">_xll.meCurveForwardRates(C1198,$D$9,$D$10)</f>
        <v>1.4365418275412045E-2</v>
      </c>
      <c r="G1198" s="7" t="s">
        <v>4</v>
      </c>
      <c r="H1198" s="149">
        <f t="shared" ca="1" si="36"/>
        <v>44168</v>
      </c>
      <c r="I1198" s="20">
        <f ca="1">_xll.meDateFromTenor(H1198,"3M","Following",$I$11,"Normal")</f>
        <v>44258</v>
      </c>
      <c r="J1198" s="150">
        <f ca="1"/>
        <v>1.8330274924508838E-2</v>
      </c>
      <c r="K1198" s="7" t="s">
        <v>4</v>
      </c>
      <c r="L1198" s="149" t="e">
        <f ca="1">_xll.meDateFromTenor(L1197,"1D","FOLLOWING",#REF!,"NORMAL")</f>
        <v>#VALUE!</v>
      </c>
      <c r="M1198" s="155">
        <f ca="1">_xll.meDateYearFraction(C1198,D1198,$M$11)</f>
        <v>2.7777777777777779E-3</v>
      </c>
      <c r="N1198" s="150">
        <f ca="1"/>
        <v>-2.4300000000065936E-3</v>
      </c>
      <c r="O1198" s="7" t="s">
        <v>4</v>
      </c>
      <c r="P1198" s="149">
        <f t="shared" ca="1" si="37"/>
        <v>44168</v>
      </c>
      <c r="Q1198" s="155">
        <f ca="1">_xll.meDateYearFraction(H1198,I1198,$Q$11,TRUE)</f>
        <v>0.25</v>
      </c>
      <c r="R1198" s="150">
        <f ca="1">IF(NOW(),_xll.meCurveForwardRatesFromYearFraction(P1198,Q1198,$Q$11,$Q$9,$Q$10))</f>
        <v>-3.7175485397107962E-3</v>
      </c>
      <c r="S1198" s="134" t="s">
        <v>4</v>
      </c>
    </row>
    <row r="1199" spans="1:19" x14ac:dyDescent="0.25">
      <c r="A1199" s="128">
        <v>1183</v>
      </c>
      <c r="B1199" s="133"/>
      <c r="C1199" s="149">
        <f ca="1">_xll.meDateFromTenor(C1198,"1D","FOLLOWING",$D$11,"NORMAL")</f>
        <v>44169</v>
      </c>
      <c r="D1199" s="20">
        <f ca="1">_xll.meDateFromTenor(C1199,"1D","Following",$D$11,"Normal")</f>
        <v>44172</v>
      </c>
      <c r="E1199" s="99">
        <f ca="1"/>
        <v>1.4275824443216579E-2</v>
      </c>
      <c r="F1199" s="161">
        <f ca="1">_xll.meCurveForwardRates(C1199,$D$9,$D$10)</f>
        <v>1.4371416972217554E-2</v>
      </c>
      <c r="G1199" s="7" t="s">
        <v>4</v>
      </c>
      <c r="H1199" s="149">
        <f t="shared" ca="1" si="36"/>
        <v>44169</v>
      </c>
      <c r="I1199" s="20">
        <f ca="1">_xll.meDateFromTenor(H1199,"3M","Following",$I$11,"Normal")</f>
        <v>44259</v>
      </c>
      <c r="J1199" s="150">
        <f ca="1"/>
        <v>1.833395053299949E-2</v>
      </c>
      <c r="K1199" s="7" t="s">
        <v>4</v>
      </c>
      <c r="L1199" s="149" t="e">
        <f ca="1">_xll.meDateFromTenor(L1198,"1D","FOLLOWING",#REF!,"NORMAL")</f>
        <v>#VALUE!</v>
      </c>
      <c r="M1199" s="155">
        <f ca="1">_xll.meDateYearFraction(C1199,D1199,$M$11)</f>
        <v>8.3333333333333332E-3</v>
      </c>
      <c r="N1199" s="150">
        <f ca="1"/>
        <v>-2.4300000000065936E-3</v>
      </c>
      <c r="O1199" s="7" t="s">
        <v>4</v>
      </c>
      <c r="P1199" s="149">
        <f t="shared" ca="1" si="37"/>
        <v>44169</v>
      </c>
      <c r="Q1199" s="155">
        <f ca="1">_xll.meDateYearFraction(H1199,I1199,$Q$11,TRUE)</f>
        <v>0.25</v>
      </c>
      <c r="R1199" s="150">
        <f ca="1">IF(NOW(),_xll.meCurveForwardRatesFromYearFraction(P1199,Q1199,$Q$11,$Q$9,$Q$10))</f>
        <v>-3.7175485397107962E-3</v>
      </c>
      <c r="S1199" s="134" t="s">
        <v>4</v>
      </c>
    </row>
    <row r="1200" spans="1:19" x14ac:dyDescent="0.25">
      <c r="A1200" s="128">
        <v>1184</v>
      </c>
      <c r="B1200" s="133"/>
      <c r="C1200" s="149">
        <f ca="1">_xll.meDateFromTenor(C1199,"1D","FOLLOWING",$D$11,"NORMAL")</f>
        <v>44172</v>
      </c>
      <c r="D1200" s="20">
        <f ca="1">_xll.meDateFromTenor(C1200,"1D","Following",$D$11,"Normal")</f>
        <v>44173</v>
      </c>
      <c r="E1200" s="99">
        <f ca="1"/>
        <v>1.4286857338936646E-2</v>
      </c>
      <c r="F1200" s="161">
        <f ca="1">_xll.meCurveForwardRates(C1200,$D$9,$D$10)</f>
        <v>1.4389114687754612E-2</v>
      </c>
      <c r="G1200" s="7" t="s">
        <v>4</v>
      </c>
      <c r="H1200" s="149">
        <f t="shared" ca="1" si="36"/>
        <v>44172</v>
      </c>
      <c r="I1200" s="20">
        <f ca="1">_xll.meDateFromTenor(H1200,"3M","Following",$I$11,"Normal")</f>
        <v>44263</v>
      </c>
      <c r="J1200" s="150">
        <f ca="1"/>
        <v>1.834499909495154E-2</v>
      </c>
      <c r="K1200" s="7" t="s">
        <v>4</v>
      </c>
      <c r="L1200" s="149" t="e">
        <f ca="1">_xll.meDateFromTenor(L1199,"1D","FOLLOWING",#REF!,"NORMAL")</f>
        <v>#VALUE!</v>
      </c>
      <c r="M1200" s="155">
        <f ca="1">_xll.meDateYearFraction(C1200,D1200,$M$11)</f>
        <v>2.7777777777777779E-3</v>
      </c>
      <c r="N1200" s="150">
        <f ca="1"/>
        <v>-2.4300000000065936E-3</v>
      </c>
      <c r="O1200" s="7" t="s">
        <v>4</v>
      </c>
      <c r="P1200" s="149">
        <f t="shared" ca="1" si="37"/>
        <v>44172</v>
      </c>
      <c r="Q1200" s="155">
        <f ca="1">_xll.meDateYearFraction(H1200,I1200,$Q$11,TRUE)</f>
        <v>0.25277777777777777</v>
      </c>
      <c r="R1200" s="150">
        <f ca="1">IF(NOW(),_xll.meCurveForwardRatesFromYearFraction(P1200,Q1200,$Q$11,$Q$9,$Q$10))</f>
        <v>-3.7175485397107962E-3</v>
      </c>
      <c r="S1200" s="134" t="s">
        <v>4</v>
      </c>
    </row>
    <row r="1201" spans="1:19" x14ac:dyDescent="0.25">
      <c r="A1201" s="128">
        <v>1185</v>
      </c>
      <c r="B1201" s="133"/>
      <c r="C1201" s="149">
        <f ca="1">_xll.meDateFromTenor(C1200,"1D","FOLLOWING",$D$11,"NORMAL")</f>
        <v>44173</v>
      </c>
      <c r="D1201" s="20">
        <f ca="1">_xll.meDateFromTenor(C1201,"1D","Following",$D$11,"Normal")</f>
        <v>44174</v>
      </c>
      <c r="E1201" s="99">
        <f ca="1"/>
        <v>1.42925750317313E-2</v>
      </c>
      <c r="F1201" s="161">
        <f ca="1">_xll.meCurveForwardRates(C1201,$D$9,$D$10)</f>
        <v>1.4394914439453954E-2</v>
      </c>
      <c r="G1201" s="7" t="s">
        <v>4</v>
      </c>
      <c r="H1201" s="149">
        <f t="shared" ca="1" si="36"/>
        <v>44173</v>
      </c>
      <c r="I1201" s="20">
        <f ca="1">_xll.meDateFromTenor(H1201,"3M","Following",$I$11,"Normal")</f>
        <v>44263</v>
      </c>
      <c r="J1201" s="150">
        <f ca="1"/>
        <v>1.8348689741643037E-2</v>
      </c>
      <c r="K1201" s="7" t="s">
        <v>4</v>
      </c>
      <c r="L1201" s="149" t="e">
        <f ca="1">_xll.meDateFromTenor(L1200,"1D","FOLLOWING",#REF!,"NORMAL")</f>
        <v>#VALUE!</v>
      </c>
      <c r="M1201" s="155">
        <f ca="1">_xll.meDateYearFraction(C1201,D1201,$M$11)</f>
        <v>2.7777777777777779E-3</v>
      </c>
      <c r="N1201" s="150">
        <f ca="1"/>
        <v>-2.4300000000065936E-3</v>
      </c>
      <c r="O1201" s="7" t="s">
        <v>4</v>
      </c>
      <c r="P1201" s="149">
        <f t="shared" ca="1" si="37"/>
        <v>44173</v>
      </c>
      <c r="Q1201" s="155">
        <f ca="1">_xll.meDateYearFraction(H1201,I1201,$Q$11,TRUE)</f>
        <v>0.25</v>
      </c>
      <c r="R1201" s="150">
        <f ca="1">IF(NOW(),_xll.meCurveForwardRatesFromYearFraction(P1201,Q1201,$Q$11,$Q$9,$Q$10))</f>
        <v>2.1585513054444062E-3</v>
      </c>
      <c r="S1201" s="134" t="s">
        <v>4</v>
      </c>
    </row>
    <row r="1202" spans="1:19" x14ac:dyDescent="0.25">
      <c r="A1202" s="128">
        <v>1186</v>
      </c>
      <c r="B1202" s="133"/>
      <c r="C1202" s="149">
        <f ca="1">_xll.meDateFromTenor(C1201,"1D","FOLLOWING",$D$11,"NORMAL")</f>
        <v>44174</v>
      </c>
      <c r="D1202" s="20">
        <f ca="1">_xll.meDateFromTenor(C1202,"1D","Following",$D$11,"Normal")</f>
        <v>44175</v>
      </c>
      <c r="E1202" s="99">
        <f ca="1"/>
        <v>1.4298243638835015E-2</v>
      </c>
      <c r="F1202" s="161">
        <f ca="1">_xll.meCurveForwardRates(C1202,$D$9,$D$10)</f>
        <v>1.4400664433639854E-2</v>
      </c>
      <c r="G1202" s="7" t="s">
        <v>4</v>
      </c>
      <c r="H1202" s="149">
        <f t="shared" ca="1" si="36"/>
        <v>44174</v>
      </c>
      <c r="I1202" s="20">
        <f ca="1">_xll.meDateFromTenor(H1202,"3M","Following",$I$11,"Normal")</f>
        <v>44264</v>
      </c>
      <c r="J1202" s="150">
        <f ca="1"/>
        <v>1.8352384558295326E-2</v>
      </c>
      <c r="K1202" s="7" t="s">
        <v>4</v>
      </c>
      <c r="L1202" s="149" t="e">
        <f ca="1">_xll.meDateFromTenor(L1201,"1D","FOLLOWING",#REF!,"NORMAL")</f>
        <v>#VALUE!</v>
      </c>
      <c r="M1202" s="155">
        <f ca="1">_xll.meDateYearFraction(C1202,D1202,$M$11)</f>
        <v>2.7777777777777779E-3</v>
      </c>
      <c r="N1202" s="150">
        <f ca="1"/>
        <v>-2.4300000000065936E-3</v>
      </c>
      <c r="O1202" s="7" t="s">
        <v>4</v>
      </c>
      <c r="P1202" s="149">
        <f t="shared" ca="1" si="37"/>
        <v>44174</v>
      </c>
      <c r="Q1202" s="155">
        <f ca="1">_xll.meDateYearFraction(H1202,I1202,$Q$11,TRUE)</f>
        <v>0.25</v>
      </c>
      <c r="R1202" s="150">
        <f ca="1">IF(NOW(),_xll.meCurveForwardRatesFromYearFraction(P1202,Q1202,$Q$11,$Q$9,$Q$10))</f>
        <v>-3.7175485397107962E-3</v>
      </c>
      <c r="S1202" s="134" t="s">
        <v>4</v>
      </c>
    </row>
    <row r="1203" spans="1:19" x14ac:dyDescent="0.25">
      <c r="A1203" s="128">
        <v>1187</v>
      </c>
      <c r="B1203" s="133"/>
      <c r="C1203" s="149">
        <f ca="1">_xll.meDateFromTenor(C1202,"1D","FOLLOWING",$D$11,"NORMAL")</f>
        <v>44175</v>
      </c>
      <c r="D1203" s="20">
        <f ca="1">_xll.meDateFromTenor(C1203,"1D","Following",$D$11,"Normal")</f>
        <v>44176</v>
      </c>
      <c r="E1203" s="99">
        <f ca="1"/>
        <v>1.4303863152414061E-2</v>
      </c>
      <c r="F1203" s="161">
        <f ca="1">_xll.meCurveForwardRates(C1203,$D$9,$D$10)</f>
        <v>1.4406364661522009E-2</v>
      </c>
      <c r="G1203" s="7" t="s">
        <v>4</v>
      </c>
      <c r="H1203" s="149">
        <f t="shared" ca="1" si="36"/>
        <v>44175</v>
      </c>
      <c r="I1203" s="20">
        <f ca="1">_xll.meDateFromTenor(H1203,"3M","Following",$I$11,"Normal")</f>
        <v>44265</v>
      </c>
      <c r="J1203" s="150">
        <f ca="1"/>
        <v>1.8356083709072647E-2</v>
      </c>
      <c r="K1203" s="7" t="s">
        <v>4</v>
      </c>
      <c r="L1203" s="149" t="e">
        <f ca="1">_xll.meDateFromTenor(L1202,"1D","FOLLOWING",#REF!,"NORMAL")</f>
        <v>#VALUE!</v>
      </c>
      <c r="M1203" s="155">
        <f ca="1">_xll.meDateYearFraction(C1203,D1203,$M$11)</f>
        <v>2.7777777777777779E-3</v>
      </c>
      <c r="N1203" s="150">
        <f ca="1"/>
        <v>-2.4300000000065936E-3</v>
      </c>
      <c r="O1203" s="7" t="s">
        <v>4</v>
      </c>
      <c r="P1203" s="149">
        <f t="shared" ca="1" si="37"/>
        <v>44175</v>
      </c>
      <c r="Q1203" s="155">
        <f ca="1">_xll.meDateYearFraction(H1203,I1203,$Q$11,TRUE)</f>
        <v>0.25</v>
      </c>
      <c r="R1203" s="150">
        <f ca="1">IF(NOW(),_xll.meCurveForwardRatesFromYearFraction(P1203,Q1203,$Q$11,$Q$9,$Q$10))</f>
        <v>-3.7175485397107962E-3</v>
      </c>
      <c r="S1203" s="134" t="s">
        <v>4</v>
      </c>
    </row>
    <row r="1204" spans="1:19" x14ac:dyDescent="0.25">
      <c r="A1204" s="128">
        <v>1188</v>
      </c>
      <c r="B1204" s="133"/>
      <c r="C1204" s="149">
        <f ca="1">_xll.meDateFromTenor(C1203,"1D","FOLLOWING",$D$11,"NORMAL")</f>
        <v>44176</v>
      </c>
      <c r="D1204" s="20">
        <f ca="1">_xll.meDateFromTenor(C1204,"1D","Following",$D$11,"Normal")</f>
        <v>44179</v>
      </c>
      <c r="E1204" s="99">
        <f ca="1"/>
        <v>1.4315507719881281E-2</v>
      </c>
      <c r="F1204" s="161">
        <f ca="1">_xll.meCurveForwardRates(C1204,$D$9,$D$10)</f>
        <v>1.4412015114789956E-2</v>
      </c>
      <c r="G1204" s="7" t="s">
        <v>4</v>
      </c>
      <c r="H1204" s="149">
        <f t="shared" ca="1" si="36"/>
        <v>44176</v>
      </c>
      <c r="I1204" s="20">
        <f ca="1">_xll.meDateFromTenor(H1204,"3M","Following",$I$11,"Normal")</f>
        <v>44266</v>
      </c>
      <c r="J1204" s="150">
        <f ca="1"/>
        <v>1.8359787358139229E-2</v>
      </c>
      <c r="K1204" s="7" t="s">
        <v>4</v>
      </c>
      <c r="L1204" s="149" t="e">
        <f ca="1">_xll.meDateFromTenor(L1203,"1D","FOLLOWING",#REF!,"NORMAL")</f>
        <v>#VALUE!</v>
      </c>
      <c r="M1204" s="155">
        <f ca="1">_xll.meDateYearFraction(C1204,D1204,$M$11)</f>
        <v>8.3333333333333332E-3</v>
      </c>
      <c r="N1204" s="150">
        <f ca="1"/>
        <v>-2.4300000000065936E-3</v>
      </c>
      <c r="O1204" s="7" t="s">
        <v>4</v>
      </c>
      <c r="P1204" s="149">
        <f t="shared" ca="1" si="37"/>
        <v>44176</v>
      </c>
      <c r="Q1204" s="155">
        <f ca="1">_xll.meDateYearFraction(H1204,I1204,$Q$11,TRUE)</f>
        <v>0.25</v>
      </c>
      <c r="R1204" s="150">
        <f ca="1">IF(NOW(),_xll.meCurveForwardRatesFromYearFraction(P1204,Q1204,$Q$11,$Q$9,$Q$10))</f>
        <v>2.1763362018138188E-3</v>
      </c>
      <c r="S1204" s="134" t="s">
        <v>4</v>
      </c>
    </row>
    <row r="1205" spans="1:19" x14ac:dyDescent="0.25">
      <c r="A1205" s="128">
        <v>1189</v>
      </c>
      <c r="B1205" s="133"/>
      <c r="C1205" s="149">
        <f ca="1">_xll.meDateFromTenor(C1204,"1D","FOLLOWING",$D$11,"NORMAL")</f>
        <v>44179</v>
      </c>
      <c r="D1205" s="20">
        <f ca="1">_xll.meDateFromTenor(C1205,"1D","Following",$D$11,"Normal")</f>
        <v>44180</v>
      </c>
      <c r="E1205" s="99">
        <f ca="1"/>
        <v>1.4325850121299621E-2</v>
      </c>
      <c r="F1205" s="161">
        <f ca="1">_xll.meCurveForwardRates(C1205,$D$9,$D$10)</f>
        <v>1.442866774103857E-2</v>
      </c>
      <c r="G1205" s="7" t="s">
        <v>4</v>
      </c>
      <c r="H1205" s="149">
        <f t="shared" ca="1" si="36"/>
        <v>44179</v>
      </c>
      <c r="I1205" s="20">
        <f ca="1">_xll.meDateFromTenor(H1205,"3M","Following",$I$11,"Normal")</f>
        <v>44270</v>
      </c>
      <c r="J1205" s="150">
        <f ca="1"/>
        <v>1.8370926936716898E-2</v>
      </c>
      <c r="K1205" s="7" t="s">
        <v>4</v>
      </c>
      <c r="L1205" s="149" t="e">
        <f ca="1">_xll.meDateFromTenor(L1204,"1D","FOLLOWING",#REF!,"NORMAL")</f>
        <v>#VALUE!</v>
      </c>
      <c r="M1205" s="155">
        <f ca="1">_xll.meDateYearFraction(C1205,D1205,$M$11)</f>
        <v>2.7777777777777779E-3</v>
      </c>
      <c r="N1205" s="150">
        <f ca="1"/>
        <v>-2.4300000000065936E-3</v>
      </c>
      <c r="O1205" s="7" t="s">
        <v>4</v>
      </c>
      <c r="P1205" s="149">
        <f t="shared" ca="1" si="37"/>
        <v>44179</v>
      </c>
      <c r="Q1205" s="155">
        <f ca="1">_xll.meDateYearFraction(H1205,I1205,$Q$11,TRUE)</f>
        <v>0.25277777777777777</v>
      </c>
      <c r="R1205" s="150">
        <f ca="1">IF(NOW(),_xll.meCurveForwardRatesFromYearFraction(P1205,Q1205,$Q$11,$Q$9,$Q$10))</f>
        <v>2.1940727266367872E-3</v>
      </c>
      <c r="S1205" s="134" t="s">
        <v>4</v>
      </c>
    </row>
    <row r="1206" spans="1:19" x14ac:dyDescent="0.25">
      <c r="A1206" s="128">
        <v>1190</v>
      </c>
      <c r="B1206" s="133"/>
      <c r="C1206" s="149">
        <f ca="1">_xll.meDateFromTenor(C1205,"1D","FOLLOWING",$D$11,"NORMAL")</f>
        <v>44180</v>
      </c>
      <c r="D1206" s="20">
        <f ca="1">_xll.meDateFromTenor(C1206,"1D","Following",$D$11,"Normal")</f>
        <v>44181</v>
      </c>
      <c r="E1206" s="99">
        <f ca="1"/>
        <v>1.4331224054033845E-2</v>
      </c>
      <c r="F1206" s="161">
        <f ca="1">_xll.meCurveForwardRates(C1206,$D$9,$D$10)</f>
        <v>1.4434119010141355E-2</v>
      </c>
      <c r="G1206" s="7" t="s">
        <v>4</v>
      </c>
      <c r="H1206" s="149">
        <f t="shared" ca="1" si="36"/>
        <v>44180</v>
      </c>
      <c r="I1206" s="20">
        <f ca="1">_xll.meDateFromTenor(H1206,"3M","Following",$I$11,"Normal")</f>
        <v>44270</v>
      </c>
      <c r="J1206" s="150">
        <f ca="1"/>
        <v>1.8374650220582874E-2</v>
      </c>
      <c r="K1206" s="7" t="s">
        <v>4</v>
      </c>
      <c r="L1206" s="149" t="e">
        <f ca="1">_xll.meDateFromTenor(L1205,"1D","FOLLOWING",#REF!,"NORMAL")</f>
        <v>#VALUE!</v>
      </c>
      <c r="M1206" s="155">
        <f ca="1">_xll.meDateYearFraction(C1206,D1206,$M$11)</f>
        <v>2.7777777777777779E-3</v>
      </c>
      <c r="N1206" s="150">
        <f ca="1"/>
        <v>-2.4300000000065936E-3</v>
      </c>
      <c r="O1206" s="7" t="s">
        <v>4</v>
      </c>
      <c r="P1206" s="149">
        <f t="shared" ca="1" si="37"/>
        <v>44180</v>
      </c>
      <c r="Q1206" s="155">
        <f ca="1">_xll.meDateYearFraction(H1206,I1206,$Q$11,TRUE)</f>
        <v>0.25</v>
      </c>
      <c r="R1206" s="150">
        <f ca="1">IF(NOW(),_xll.meCurveForwardRatesFromYearFraction(P1206,Q1206,$Q$11,$Q$9,$Q$10))</f>
        <v>-3.7175485397107962E-3</v>
      </c>
      <c r="S1206" s="134" t="s">
        <v>4</v>
      </c>
    </row>
    <row r="1207" spans="1:19" x14ac:dyDescent="0.25">
      <c r="A1207" s="128">
        <v>1191</v>
      </c>
      <c r="B1207" s="133"/>
      <c r="C1207" s="149">
        <f ca="1">_xll.meDateFromTenor(C1206,"1D","FOLLOWING",$D$11,"NORMAL")</f>
        <v>44181</v>
      </c>
      <c r="D1207" s="20">
        <f ca="1">_xll.meDateFromTenor(C1207,"1D","Following",$D$11,"Normal")</f>
        <v>44182</v>
      </c>
      <c r="E1207" s="99">
        <f ca="1"/>
        <v>1.4336548847604503E-2</v>
      </c>
      <c r="F1207" s="161">
        <f ca="1">_xll.meCurveForwardRates(C1207,$D$9,$D$10)</f>
        <v>1.4439520461730915E-2</v>
      </c>
      <c r="G1207" s="7" t="s">
        <v>4</v>
      </c>
      <c r="H1207" s="149">
        <f t="shared" ca="1" si="36"/>
        <v>44181</v>
      </c>
      <c r="I1207" s="20">
        <f ca="1">_xll.meDateFromTenor(H1207,"3M","Following",$I$11,"Normal")</f>
        <v>44271</v>
      </c>
      <c r="J1207" s="150">
        <f ca="1"/>
        <v>1.8378378823559281E-2</v>
      </c>
      <c r="K1207" s="7" t="s">
        <v>4</v>
      </c>
      <c r="L1207" s="149" t="e">
        <f ca="1">_xll.meDateFromTenor(L1206,"1D","FOLLOWING",#REF!,"NORMAL")</f>
        <v>#VALUE!</v>
      </c>
      <c r="M1207" s="155">
        <f ca="1">_xll.meDateYearFraction(C1207,D1207,$M$11)</f>
        <v>2.7777777777777779E-3</v>
      </c>
      <c r="N1207" s="150">
        <f ca="1"/>
        <v>-2.4300000000065936E-3</v>
      </c>
      <c r="O1207" s="7" t="s">
        <v>4</v>
      </c>
      <c r="P1207" s="149">
        <f t="shared" ca="1" si="37"/>
        <v>44181</v>
      </c>
      <c r="Q1207" s="155">
        <f ca="1">_xll.meDateYearFraction(H1207,I1207,$Q$11,TRUE)</f>
        <v>0.25</v>
      </c>
      <c r="R1207" s="150">
        <f ca="1">IF(NOW(),_xll.meCurveForwardRatesFromYearFraction(P1207,Q1207,$Q$11,$Q$9,$Q$10))</f>
        <v>2.2058952504254883E-3</v>
      </c>
      <c r="S1207" s="134" t="s">
        <v>4</v>
      </c>
    </row>
    <row r="1208" spans="1:19" x14ac:dyDescent="0.25">
      <c r="A1208" s="128">
        <v>1192</v>
      </c>
      <c r="B1208" s="133"/>
      <c r="C1208" s="149">
        <f ca="1">_xll.meDateFromTenor(C1207,"1D","FOLLOWING",$D$11,"NORMAL")</f>
        <v>44182</v>
      </c>
      <c r="D1208" s="20">
        <f ca="1">_xll.meDateFromTenor(C1208,"1D","Following",$D$11,"Normal")</f>
        <v>44183</v>
      </c>
      <c r="E1208" s="99">
        <f ca="1"/>
        <v>1.4341824494559209E-2</v>
      </c>
      <c r="F1208" s="161">
        <f ca="1">_xll.meCurveForwardRates(C1208,$D$9,$D$10)</f>
        <v>1.4444872087453486E-2</v>
      </c>
      <c r="G1208" s="7" t="s">
        <v>4</v>
      </c>
      <c r="H1208" s="149">
        <f t="shared" ca="1" si="36"/>
        <v>44182</v>
      </c>
      <c r="I1208" s="20">
        <f ca="1">_xll.meDateFromTenor(H1208,"3M","Following",$I$11,"Normal")</f>
        <v>44272</v>
      </c>
      <c r="J1208" s="150">
        <f ca="1"/>
        <v>1.8382112909810358E-2</v>
      </c>
      <c r="K1208" s="7" t="s">
        <v>4</v>
      </c>
      <c r="L1208" s="149" t="e">
        <f ca="1">_xll.meDateFromTenor(L1207,"1D","FOLLOWING",#REF!,"NORMAL")</f>
        <v>#VALUE!</v>
      </c>
      <c r="M1208" s="155">
        <f ca="1">_xll.meDateYearFraction(C1208,D1208,$M$11)</f>
        <v>2.7777777777777779E-3</v>
      </c>
      <c r="N1208" s="150">
        <f ca="1"/>
        <v>-2.4300000000065936E-3</v>
      </c>
      <c r="O1208" s="7" t="s">
        <v>4</v>
      </c>
      <c r="P1208" s="149">
        <f t="shared" ca="1" si="37"/>
        <v>44182</v>
      </c>
      <c r="Q1208" s="155">
        <f ca="1">_xll.meDateYearFraction(H1208,I1208,$Q$11,TRUE)</f>
        <v>0.25</v>
      </c>
      <c r="R1208" s="150">
        <f ca="1">IF(NOW(),_xll.meCurveForwardRatesFromYearFraction(P1208,Q1208,$Q$11,$Q$9,$Q$10))</f>
        <v>2.2118068601150506E-3</v>
      </c>
      <c r="S1208" s="134" t="s">
        <v>4</v>
      </c>
    </row>
    <row r="1209" spans="1:19" x14ac:dyDescent="0.25">
      <c r="A1209" s="128">
        <v>1193</v>
      </c>
      <c r="B1209" s="133"/>
      <c r="C1209" s="149">
        <f ca="1">_xll.meDateFromTenor(C1208,"1D","FOLLOWING",$D$11,"NORMAL")</f>
        <v>44183</v>
      </c>
      <c r="D1209" s="20">
        <f ca="1">_xll.meDateFromTenor(C1209,"1D","Following",$D$11,"Normal")</f>
        <v>44186</v>
      </c>
      <c r="E1209" s="99">
        <f ca="1"/>
        <v>1.4352784118703815E-2</v>
      </c>
      <c r="F1209" s="161">
        <f ca="1">_xll.meCurveForwardRates(C1209,$D$9,$D$10)</f>
        <v>1.445017387867531E-2</v>
      </c>
      <c r="G1209" s="7" t="s">
        <v>4</v>
      </c>
      <c r="H1209" s="149">
        <f t="shared" ca="1" si="36"/>
        <v>44183</v>
      </c>
      <c r="I1209" s="20">
        <f ca="1">_xll.meDateFromTenor(H1209,"3M","Following",$I$11,"Normal")</f>
        <v>44273</v>
      </c>
      <c r="J1209" s="150">
        <f ca="1"/>
        <v>1.8385852643500331E-2</v>
      </c>
      <c r="K1209" s="7" t="s">
        <v>4</v>
      </c>
      <c r="L1209" s="149" t="e">
        <f ca="1">_xll.meDateFromTenor(L1208,"1D","FOLLOWING",#REF!,"NORMAL")</f>
        <v>#VALUE!</v>
      </c>
      <c r="M1209" s="155">
        <f ca="1">_xll.meDateYearFraction(C1209,D1209,$M$11)</f>
        <v>8.3333333333333332E-3</v>
      </c>
      <c r="N1209" s="150">
        <f ca="1"/>
        <v>-2.4300000000065936E-3</v>
      </c>
      <c r="O1209" s="7" t="s">
        <v>4</v>
      </c>
      <c r="P1209" s="149">
        <f t="shared" ca="1" si="37"/>
        <v>44183</v>
      </c>
      <c r="Q1209" s="155">
        <f ca="1">_xll.meDateYearFraction(H1209,I1209,$Q$11,TRUE)</f>
        <v>0.25</v>
      </c>
      <c r="R1209" s="150">
        <f ca="1">IF(NOW(),_xll.meCurveForwardRatesFromYearFraction(P1209,Q1209,$Q$11,$Q$9,$Q$10))</f>
        <v>2.217718814739443E-3</v>
      </c>
      <c r="S1209" s="134" t="s">
        <v>4</v>
      </c>
    </row>
    <row r="1210" spans="1:19" x14ac:dyDescent="0.25">
      <c r="A1210" s="128">
        <v>1194</v>
      </c>
      <c r="B1210" s="133"/>
      <c r="C1210" s="149">
        <f ca="1">_xll.meDateFromTenor(C1209,"1D","FOLLOWING",$D$11,"NORMAL")</f>
        <v>44186</v>
      </c>
      <c r="D1210" s="20">
        <f ca="1">_xll.meDateFromTenor(C1210,"1D","Following",$D$11,"Normal")</f>
        <v>44187</v>
      </c>
      <c r="E1210" s="99">
        <f ca="1"/>
        <v>1.4362435462211807E-2</v>
      </c>
      <c r="F1210" s="161">
        <f ca="1">_xll.meCurveForwardRates(C1210,$D$9,$D$10)</f>
        <v>1.4465780159821584E-2</v>
      </c>
      <c r="G1210" s="7" t="s">
        <v>4</v>
      </c>
      <c r="H1210" s="149">
        <f t="shared" ca="1" si="36"/>
        <v>44186</v>
      </c>
      <c r="I1210" s="20">
        <f ca="1">_xll.meDateFromTenor(H1210,"3M","Following",$I$11,"Normal")</f>
        <v>44277</v>
      </c>
      <c r="J1210" s="150">
        <f ca="1"/>
        <v>1.8397107370845999E-2</v>
      </c>
      <c r="K1210" s="7" t="s">
        <v>4</v>
      </c>
      <c r="L1210" s="149" t="e">
        <f ca="1">_xll.meDateFromTenor(L1209,"1D","FOLLOWING",#REF!,"NORMAL")</f>
        <v>#VALUE!</v>
      </c>
      <c r="M1210" s="155">
        <f ca="1">_xll.meDateYearFraction(C1210,D1210,$M$11)</f>
        <v>2.7777777777777779E-3</v>
      </c>
      <c r="N1210" s="150">
        <f ca="1"/>
        <v>-2.4300000000065936E-3</v>
      </c>
      <c r="O1210" s="7" t="s">
        <v>4</v>
      </c>
      <c r="P1210" s="149">
        <f t="shared" ca="1" si="37"/>
        <v>44186</v>
      </c>
      <c r="Q1210" s="155">
        <f ca="1">_xll.meDateYearFraction(H1210,I1210,$Q$11,TRUE)</f>
        <v>0.25277777777777777</v>
      </c>
      <c r="R1210" s="150">
        <f ca="1">IF(NOW(),_xll.meCurveForwardRatesFromYearFraction(P1210,Q1210,$Q$11,$Q$9,$Q$10))</f>
        <v>2.2354575962567724E-3</v>
      </c>
      <c r="S1210" s="134" t="s">
        <v>4</v>
      </c>
    </row>
    <row r="1211" spans="1:19" x14ac:dyDescent="0.25">
      <c r="A1211" s="128">
        <v>1195</v>
      </c>
      <c r="B1211" s="133"/>
      <c r="C1211" s="149">
        <f ca="1">_xll.meDateFromTenor(C1210,"1D","FOLLOWING",$D$11,"NORMAL")</f>
        <v>44187</v>
      </c>
      <c r="D1211" s="20">
        <f ca="1">_xll.meDateFromTenor(C1211,"1D","Following",$D$11,"Normal")</f>
        <v>44188</v>
      </c>
      <c r="E1211" s="99">
        <f ca="1"/>
        <v>1.4367465260714102E-2</v>
      </c>
      <c r="F1211" s="161">
        <f ca="1">_xll.meCurveForwardRates(C1211,$D$9,$D$10)</f>
        <v>1.447088252751727E-2</v>
      </c>
      <c r="G1211" s="7" t="s">
        <v>4</v>
      </c>
      <c r="H1211" s="149">
        <f t="shared" ca="1" si="36"/>
        <v>44187</v>
      </c>
      <c r="I1211" s="20">
        <f ca="1">_xll.meDateFromTenor(H1211,"3M","Following",$I$11,"Normal")</f>
        <v>44277</v>
      </c>
      <c r="J1211" s="150">
        <f ca="1"/>
        <v>1.8400871335933919E-2</v>
      </c>
      <c r="K1211" s="7" t="s">
        <v>4</v>
      </c>
      <c r="L1211" s="149" t="e">
        <f ca="1">_xll.meDateFromTenor(L1210,"1D","FOLLOWING",#REF!,"NORMAL")</f>
        <v>#VALUE!</v>
      </c>
      <c r="M1211" s="155">
        <f ca="1">_xll.meDateYearFraction(C1211,D1211,$M$11)</f>
        <v>2.7777777777777779E-3</v>
      </c>
      <c r="N1211" s="150">
        <f ca="1"/>
        <v>-2.4300000000065936E-3</v>
      </c>
      <c r="O1211" s="7" t="s">
        <v>4</v>
      </c>
      <c r="P1211" s="149">
        <f t="shared" ca="1" si="37"/>
        <v>44187</v>
      </c>
      <c r="Q1211" s="155">
        <f ca="1">_xll.meDateYearFraction(H1211,I1211,$Q$11,TRUE)</f>
        <v>0.25</v>
      </c>
      <c r="R1211" s="150">
        <f ca="1">IF(NOW(),_xll.meCurveForwardRatesFromYearFraction(P1211,Q1211,$Q$11,$Q$9,$Q$10))</f>
        <v>-3.7175485397107962E-3</v>
      </c>
      <c r="S1211" s="134" t="s">
        <v>4</v>
      </c>
    </row>
    <row r="1212" spans="1:19" x14ac:dyDescent="0.25">
      <c r="A1212" s="128">
        <v>1196</v>
      </c>
      <c r="B1212" s="133"/>
      <c r="C1212" s="149">
        <f ca="1">_xll.meDateFromTenor(C1211,"1D","FOLLOWING",$D$11,"NORMAL")</f>
        <v>44188</v>
      </c>
      <c r="D1212" s="20">
        <f ca="1">_xll.meDateFromTenor(C1212,"1D","Following",$D$11,"Normal")</f>
        <v>44189</v>
      </c>
      <c r="E1212" s="99">
        <f ca="1"/>
        <v>1.437244586647732E-2</v>
      </c>
      <c r="F1212" s="161">
        <f ca="1">_xll.meCurveForwardRates(C1212,$D$9,$D$10)</f>
        <v>1.4475935017945751E-2</v>
      </c>
      <c r="G1212" s="7" t="s">
        <v>4</v>
      </c>
      <c r="H1212" s="149">
        <f t="shared" ca="1" si="36"/>
        <v>44188</v>
      </c>
      <c r="I1212" s="20">
        <f ca="1">_xll.meDateFromTenor(H1212,"3M","Following",$I$11,"Normal")</f>
        <v>44278</v>
      </c>
      <c r="J1212" s="150">
        <f ca="1"/>
        <v>1.8404641769281905E-2</v>
      </c>
      <c r="K1212" s="7" t="s">
        <v>4</v>
      </c>
      <c r="L1212" s="149" t="e">
        <f ca="1">_xll.meDateFromTenor(L1211,"1D","FOLLOWING",#REF!,"NORMAL")</f>
        <v>#VALUE!</v>
      </c>
      <c r="M1212" s="155">
        <f ca="1">_xll.meDateYearFraction(C1212,D1212,$M$11)</f>
        <v>2.7777777777777779E-3</v>
      </c>
      <c r="N1212" s="150">
        <f ca="1"/>
        <v>-2.4300000000065936E-3</v>
      </c>
      <c r="O1212" s="7" t="s">
        <v>4</v>
      </c>
      <c r="P1212" s="149">
        <f t="shared" ca="1" si="37"/>
        <v>44188</v>
      </c>
      <c r="Q1212" s="155">
        <f ca="1">_xll.meDateYearFraction(H1212,I1212,$Q$11,TRUE)</f>
        <v>0.25</v>
      </c>
      <c r="R1212" s="150">
        <f ca="1">IF(NOW(),_xll.meCurveForwardRatesFromYearFraction(P1212,Q1212,$Q$11,$Q$9,$Q$10))</f>
        <v>-3.7175485397107962E-3</v>
      </c>
      <c r="S1212" s="134" t="s">
        <v>4</v>
      </c>
    </row>
    <row r="1213" spans="1:19" x14ac:dyDescent="0.25">
      <c r="A1213" s="128">
        <v>1197</v>
      </c>
      <c r="B1213" s="133"/>
      <c r="C1213" s="149">
        <f ca="1">_xll.meDateFromTenor(C1212,"1D","FOLLOWING",$D$11,"NORMAL")</f>
        <v>44189</v>
      </c>
      <c r="D1213" s="20">
        <f ca="1">_xll.meDateFromTenor(C1213,"1D","Following",$D$11,"Normal")</f>
        <v>44194</v>
      </c>
      <c r="E1213" s="99">
        <f ca="1"/>
        <v>1.4388193200716671E-2</v>
      </c>
      <c r="F1213" s="161">
        <f ca="1">_xll.meCurveForwardRates(C1213,$D$9,$D$10)</f>
        <v>1.448093762259739E-2</v>
      </c>
      <c r="G1213" s="7" t="s">
        <v>4</v>
      </c>
      <c r="H1213" s="149">
        <f t="shared" ca="1" si="36"/>
        <v>44189</v>
      </c>
      <c r="I1213" s="20">
        <f ca="1">_xll.meDateFromTenor(H1213,"3M","Following",$I$11,"Normal")</f>
        <v>44279</v>
      </c>
      <c r="J1213" s="150">
        <f ca="1"/>
        <v>1.8408418835054195E-2</v>
      </c>
      <c r="K1213" s="7" t="s">
        <v>4</v>
      </c>
      <c r="L1213" s="149" t="e">
        <f ca="1">_xll.meDateFromTenor(L1212,"1D","FOLLOWING",#REF!,"NORMAL")</f>
        <v>#VALUE!</v>
      </c>
      <c r="M1213" s="155">
        <f ca="1">_xll.meDateYearFraction(C1213,D1213,$M$11)</f>
        <v>1.3888888888888888E-2</v>
      </c>
      <c r="N1213" s="150">
        <f ca="1"/>
        <v>-2.4300000000065936E-3</v>
      </c>
      <c r="O1213" s="7" t="s">
        <v>4</v>
      </c>
      <c r="P1213" s="149">
        <f t="shared" ca="1" si="37"/>
        <v>44189</v>
      </c>
      <c r="Q1213" s="155">
        <f ca="1">_xll.meDateYearFraction(H1213,I1213,$Q$11,TRUE)</f>
        <v>0.25</v>
      </c>
      <c r="R1213" s="150">
        <f ca="1">IF(NOW(),_xll.meCurveForwardRatesFromYearFraction(P1213,Q1213,$Q$11,$Q$9,$Q$10))</f>
        <v>2.253202535114171E-3</v>
      </c>
      <c r="S1213" s="134" t="s">
        <v>4</v>
      </c>
    </row>
    <row r="1214" spans="1:19" x14ac:dyDescent="0.25">
      <c r="A1214" s="128">
        <v>1198</v>
      </c>
      <c r="B1214" s="133"/>
      <c r="C1214" s="149">
        <f ca="1">_xll.meDateFromTenor(C1213,"1D","FOLLOWING",$D$11,"NORMAL")</f>
        <v>44194</v>
      </c>
      <c r="D1214" s="20">
        <f ca="1">_xll.meDateFromTenor(C1214,"1D","Following",$D$11,"Normal")</f>
        <v>44195</v>
      </c>
      <c r="E1214" s="99">
        <f ca="1"/>
        <v>1.4401296022501477E-2</v>
      </c>
      <c r="F1214" s="161">
        <f ca="1">_xll.meCurveForwardRates(C1214,$D$9,$D$10)</f>
        <v>1.4505202059516886E-2</v>
      </c>
      <c r="G1214" s="7" t="s">
        <v>4</v>
      </c>
      <c r="H1214" s="149">
        <f t="shared" ca="1" si="36"/>
        <v>44194</v>
      </c>
      <c r="I1214" s="20">
        <f ca="1">_xll.meDateFromTenor(H1214,"3M","Following",$I$11,"Normal")</f>
        <v>44284</v>
      </c>
      <c r="J1214" s="150">
        <f ca="1"/>
        <v>1.84274093960284E-2</v>
      </c>
      <c r="K1214" s="7" t="s">
        <v>4</v>
      </c>
      <c r="L1214" s="149" t="e">
        <f ca="1">_xll.meDateFromTenor(L1213,"1D","FOLLOWING",#REF!,"NORMAL")</f>
        <v>#VALUE!</v>
      </c>
      <c r="M1214" s="155">
        <f ca="1">_xll.meDateYearFraction(C1214,D1214,$M$11)</f>
        <v>2.7777777777777779E-3</v>
      </c>
      <c r="N1214" s="150">
        <f ca="1"/>
        <v>-2.4300000000065936E-3</v>
      </c>
      <c r="O1214" s="7" t="s">
        <v>4</v>
      </c>
      <c r="P1214" s="149">
        <f t="shared" ca="1" si="37"/>
        <v>44194</v>
      </c>
      <c r="Q1214" s="155">
        <f ca="1">_xll.meDateYearFraction(H1214,I1214,$Q$11,TRUE)</f>
        <v>0.25</v>
      </c>
      <c r="R1214" s="150">
        <f ca="1">IF(NOW(),_xll.meCurveForwardRatesFromYearFraction(P1214,Q1214,$Q$11,$Q$9,$Q$10))</f>
        <v>-3.7175485397107962E-3</v>
      </c>
      <c r="S1214" s="134" t="s">
        <v>4</v>
      </c>
    </row>
    <row r="1215" spans="1:19" x14ac:dyDescent="0.25">
      <c r="A1215" s="128">
        <v>1199</v>
      </c>
      <c r="B1215" s="133"/>
      <c r="C1215" s="149">
        <f ca="1">_xll.meDateFromTenor(C1214,"1D","FOLLOWING",$D$11,"NORMAL")</f>
        <v>44195</v>
      </c>
      <c r="D1215" s="20">
        <f ca="1">_xll.meDateFromTenor(C1215,"1D","Following",$D$11,"Normal")</f>
        <v>44196</v>
      </c>
      <c r="E1215" s="99">
        <f ca="1"/>
        <v>1.4405932063417249E-2</v>
      </c>
      <c r="F1215" s="161">
        <f ca="1">_xll.meCurveForwardRates(C1215,$D$9,$D$10)</f>
        <v>1.4509905169873161E-2</v>
      </c>
      <c r="G1215" s="7" t="s">
        <v>4</v>
      </c>
      <c r="H1215" s="149">
        <f t="shared" ca="1" si="36"/>
        <v>44195</v>
      </c>
      <c r="I1215" s="20">
        <f ca="1">_xll.meDateFromTenor(H1215,"3M","Following",$I$11,"Normal")</f>
        <v>44285</v>
      </c>
      <c r="J1215" s="150">
        <f ca="1"/>
        <v>1.8431229703795429E-2</v>
      </c>
      <c r="K1215" s="7" t="s">
        <v>4</v>
      </c>
      <c r="L1215" s="149" t="e">
        <f ca="1">_xll.meDateFromTenor(L1214,"1D","FOLLOWING",#REF!,"NORMAL")</f>
        <v>#VALUE!</v>
      </c>
      <c r="M1215" s="155">
        <f ca="1">_xll.meDateYearFraction(C1215,D1215,$M$11)</f>
        <v>2.7777777777777779E-3</v>
      </c>
      <c r="N1215" s="150">
        <f ca="1"/>
        <v>-2.4300000000065936E-3</v>
      </c>
      <c r="O1215" s="7" t="s">
        <v>4</v>
      </c>
      <c r="P1215" s="149">
        <f t="shared" ca="1" si="37"/>
        <v>44195</v>
      </c>
      <c r="Q1215" s="155">
        <f ca="1">_xll.meDateYearFraction(H1215,I1215,$Q$11,TRUE)</f>
        <v>0.25</v>
      </c>
      <c r="R1215" s="150">
        <f ca="1">IF(NOW(),_xll.meCurveForwardRatesFromYearFraction(P1215,Q1215,$Q$11,$Q$9,$Q$10))</f>
        <v>2.2887200436289713E-3</v>
      </c>
      <c r="S1215" s="134" t="s">
        <v>4</v>
      </c>
    </row>
    <row r="1216" spans="1:19" x14ac:dyDescent="0.25">
      <c r="A1216" s="128">
        <v>1200</v>
      </c>
      <c r="B1216" s="133"/>
      <c r="C1216" s="149">
        <f ca="1">_xll.meDateFromTenor(C1215,"1D","FOLLOWING",$D$11,"NORMAL")</f>
        <v>44196</v>
      </c>
      <c r="D1216" s="20">
        <f ca="1">_xll.meDateFromTenor(C1216,"1D","Following",$D$11,"Normal")</f>
        <v>44200</v>
      </c>
      <c r="E1216" s="99">
        <f ca="1"/>
        <v>1.4457671374610345E-2</v>
      </c>
      <c r="F1216" s="161">
        <f ca="1">_xll.meCurveForwardRates(C1216,$D$9,$D$10)</f>
        <v>1.4554618590444379E-2</v>
      </c>
      <c r="G1216" s="7" t="s">
        <v>4</v>
      </c>
      <c r="H1216" s="149">
        <f t="shared" ca="1" si="36"/>
        <v>44196</v>
      </c>
      <c r="I1216" s="20">
        <f ca="1">_xll.meDateFromTenor(H1216,"3M","Following",$I$11,"Normal")</f>
        <v>44286</v>
      </c>
      <c r="J1216" s="150">
        <f ca="1"/>
        <v>1.8435057793136398E-2</v>
      </c>
      <c r="K1216" s="7" t="s">
        <v>4</v>
      </c>
      <c r="L1216" s="149" t="e">
        <f ca="1">_xll.meDateFromTenor(L1215,"1D","FOLLOWING",#REF!,"NORMAL")</f>
        <v>#VALUE!</v>
      </c>
      <c r="M1216" s="155">
        <f ca="1">_xll.meDateYearFraction(C1216,D1216,$M$11)</f>
        <v>1.1111111111111112E-2</v>
      </c>
      <c r="N1216" s="150">
        <f ca="1"/>
        <v>-2.4300000000065936E-3</v>
      </c>
      <c r="O1216" s="7" t="s">
        <v>4</v>
      </c>
      <c r="P1216" s="149">
        <f t="shared" ca="1" si="37"/>
        <v>44196</v>
      </c>
      <c r="Q1216" s="155">
        <f ca="1">_xll.meDateYearFraction(H1216,I1216,$Q$11,TRUE)</f>
        <v>0.25</v>
      </c>
      <c r="R1216" s="150">
        <f ca="1">IF(NOW(),_xll.meCurveForwardRatesFromYearFraction(P1216,Q1216,$Q$11,$Q$9,$Q$10))</f>
        <v>-3.7175485397107962E-3</v>
      </c>
      <c r="S1216" s="134" t="s">
        <v>4</v>
      </c>
    </row>
    <row r="1217" spans="1:19" x14ac:dyDescent="0.25">
      <c r="A1217" s="128">
        <v>1201</v>
      </c>
      <c r="B1217" s="133"/>
      <c r="C1217" s="149">
        <f ca="1">_xll.meDateFromTenor(C1216,"1D","FOLLOWING",$D$11,"NORMAL")</f>
        <v>44200</v>
      </c>
      <c r="D1217" s="20">
        <f ca="1">_xll.meDateFromTenor(C1217,"1D","Following",$D$11,"Normal")</f>
        <v>44201</v>
      </c>
      <c r="E1217" s="99">
        <f ca="1"/>
        <v>1.4467957826738112E-2</v>
      </c>
      <c r="F1217" s="161">
        <f ca="1">_xll.meCurveForwardRates(C1217,$D$9,$D$10)</f>
        <v>1.4572830349143917E-2</v>
      </c>
      <c r="G1217" s="7" t="s">
        <v>4</v>
      </c>
      <c r="H1217" s="149">
        <f t="shared" ca="1" si="36"/>
        <v>44200</v>
      </c>
      <c r="I1217" s="20">
        <f ca="1">_xll.meDateFromTenor(H1217,"3M","Following",$I$11,"Normal")</f>
        <v>44292</v>
      </c>
      <c r="J1217" s="150">
        <f ca="1"/>
        <v>1.8450493607642234E-2</v>
      </c>
      <c r="K1217" s="7" t="s">
        <v>4</v>
      </c>
      <c r="L1217" s="149" t="e">
        <f ca="1">_xll.meDateFromTenor(L1216,"1D","FOLLOWING",#REF!,"NORMAL")</f>
        <v>#VALUE!</v>
      </c>
      <c r="M1217" s="155">
        <f ca="1">_xll.meDateYearFraction(C1217,D1217,$M$11)</f>
        <v>2.7777777777777779E-3</v>
      </c>
      <c r="N1217" s="150">
        <f ca="1"/>
        <v>-2.4300000000065936E-3</v>
      </c>
      <c r="O1217" s="7" t="s">
        <v>4</v>
      </c>
      <c r="P1217" s="149">
        <f t="shared" ca="1" si="37"/>
        <v>44200</v>
      </c>
      <c r="Q1217" s="155">
        <f ca="1">_xll.meDateYearFraction(H1217,I1217,$Q$11,TRUE)</f>
        <v>0.25555555555555554</v>
      </c>
      <c r="R1217" s="150">
        <f ca="1">IF(NOW(),_xll.meCurveForwardRatesFromYearFraction(P1217,Q1217,$Q$11,$Q$9,$Q$10))</f>
        <v>2.3184219981992513E-3</v>
      </c>
      <c r="S1217" s="134" t="s">
        <v>4</v>
      </c>
    </row>
    <row r="1218" spans="1:19" x14ac:dyDescent="0.25">
      <c r="A1218" s="128">
        <v>1202</v>
      </c>
      <c r="B1218" s="133"/>
      <c r="C1218" s="149">
        <f ca="1">_xll.meDateFromTenor(C1217,"1D","FOLLOWING",$D$11,"NORMAL")</f>
        <v>44201</v>
      </c>
      <c r="D1218" s="20">
        <f ca="1">_xll.meDateFromTenor(C1218,"1D","Following",$D$11,"Normal")</f>
        <v>44202</v>
      </c>
      <c r="E1218" s="99">
        <f ca="1"/>
        <v>1.4472321361156537E-2</v>
      </c>
      <c r="F1218" s="161">
        <f ca="1">_xll.meCurveForwardRates(C1218,$D$9,$D$10)</f>
        <v>1.4577257304327018E-2</v>
      </c>
      <c r="G1218" s="7" t="s">
        <v>4</v>
      </c>
      <c r="H1218" s="149">
        <f t="shared" ca="1" si="36"/>
        <v>44201</v>
      </c>
      <c r="I1218" s="20">
        <f ca="1">_xll.meDateFromTenor(H1218,"3M","Following",$I$11,"Normal")</f>
        <v>44292</v>
      </c>
      <c r="J1218" s="150">
        <f ca="1"/>
        <v>1.845437377598818E-2</v>
      </c>
      <c r="K1218" s="7" t="s">
        <v>4</v>
      </c>
      <c r="L1218" s="149" t="e">
        <f ca="1">_xll.meDateFromTenor(L1217,"1D","FOLLOWING",#REF!,"NORMAL")</f>
        <v>#VALUE!</v>
      </c>
      <c r="M1218" s="155">
        <f ca="1">_xll.meDateYearFraction(C1218,D1218,$M$11)</f>
        <v>2.7777777777777779E-3</v>
      </c>
      <c r="N1218" s="150">
        <f ca="1"/>
        <v>-2.4300000000065936E-3</v>
      </c>
      <c r="O1218" s="7" t="s">
        <v>4</v>
      </c>
      <c r="P1218" s="149">
        <f t="shared" ca="1" si="37"/>
        <v>44201</v>
      </c>
      <c r="Q1218" s="155">
        <f ca="1">_xll.meDateYearFraction(H1218,I1218,$Q$11,TRUE)</f>
        <v>0.25277777777777777</v>
      </c>
      <c r="R1218" s="150">
        <f ca="1">IF(NOW(),_xll.meCurveForwardRatesFromYearFraction(P1218,Q1218,$Q$11,$Q$9,$Q$10))</f>
        <v>-3.7175485397107962E-3</v>
      </c>
      <c r="S1218" s="134" t="s">
        <v>4</v>
      </c>
    </row>
    <row r="1219" spans="1:19" x14ac:dyDescent="0.25">
      <c r="A1219" s="128">
        <v>1203</v>
      </c>
      <c r="B1219" s="133"/>
      <c r="C1219" s="149">
        <f ca="1">_xll.meDateFromTenor(C1218,"1D","FOLLOWING",$D$11,"NORMAL")</f>
        <v>44202</v>
      </c>
      <c r="D1219" s="20">
        <f ca="1">_xll.meDateFromTenor(C1219,"1D","Following",$D$11,"Normal")</f>
        <v>44203</v>
      </c>
      <c r="E1219" s="99">
        <f ca="1"/>
        <v>1.4476635187887733E-2</v>
      </c>
      <c r="F1219" s="161">
        <f ca="1">_xll.meCurveForwardRates(C1219,$D$9,$D$10)</f>
        <v>1.4581633848293141E-2</v>
      </c>
      <c r="G1219" s="7" t="s">
        <v>4</v>
      </c>
      <c r="H1219" s="149">
        <f t="shared" ca="1" si="36"/>
        <v>44202</v>
      </c>
      <c r="I1219" s="20">
        <f ca="1">_xll.meDateFromTenor(H1219,"3M","Following",$I$11,"Normal")</f>
        <v>44292</v>
      </c>
      <c r="J1219" s="150">
        <f ca="1"/>
        <v>1.845826276125638E-2</v>
      </c>
      <c r="K1219" s="7" t="s">
        <v>4</v>
      </c>
      <c r="L1219" s="149" t="e">
        <f ca="1">_xll.meDateFromTenor(L1218,"1D","FOLLOWING",#REF!,"NORMAL")</f>
        <v>#VALUE!</v>
      </c>
      <c r="M1219" s="155">
        <f ca="1">_xll.meDateYearFraction(C1219,D1219,$M$11)</f>
        <v>2.7777777777777779E-3</v>
      </c>
      <c r="N1219" s="150">
        <f ca="1"/>
        <v>-2.4300000000065936E-3</v>
      </c>
      <c r="O1219" s="7" t="s">
        <v>4</v>
      </c>
      <c r="P1219" s="149">
        <f t="shared" ca="1" si="37"/>
        <v>44202</v>
      </c>
      <c r="Q1219" s="155">
        <f ca="1">_xll.meDateYearFraction(H1219,I1219,$Q$11,TRUE)</f>
        <v>0.25</v>
      </c>
      <c r="R1219" s="150">
        <f ca="1">IF(NOW(),_xll.meCurveForwardRatesFromYearFraction(P1219,Q1219,$Q$11,$Q$9,$Q$10))</f>
        <v>2.3303218511312104E-3</v>
      </c>
      <c r="S1219" s="134" t="s">
        <v>4</v>
      </c>
    </row>
    <row r="1220" spans="1:19" x14ac:dyDescent="0.25">
      <c r="A1220" s="128">
        <v>1204</v>
      </c>
      <c r="B1220" s="133"/>
      <c r="C1220" s="149">
        <f ca="1">_xll.meDateFromTenor(C1219,"1D","FOLLOWING",$D$11,"NORMAL")</f>
        <v>44203</v>
      </c>
      <c r="D1220" s="20">
        <f ca="1">_xll.meDateFromTenor(C1220,"1D","Following",$D$11,"Normal")</f>
        <v>44204</v>
      </c>
      <c r="E1220" s="99">
        <f ca="1"/>
        <v>1.4480899299196416E-2</v>
      </c>
      <c r="F1220" s="161">
        <f ca="1">_xll.meCurveForwardRates(C1220,$D$9,$D$10)</f>
        <v>1.4585959972543527E-2</v>
      </c>
      <c r="G1220" s="7" t="s">
        <v>4</v>
      </c>
      <c r="H1220" s="149">
        <f t="shared" ca="1" si="36"/>
        <v>44203</v>
      </c>
      <c r="I1220" s="20">
        <f ca="1">_xll.meDateFromTenor(H1220,"3M","Following",$I$11,"Normal")</f>
        <v>44293</v>
      </c>
      <c r="J1220" s="150">
        <f ca="1"/>
        <v>1.8462160728964064E-2</v>
      </c>
      <c r="K1220" s="7" t="s">
        <v>4</v>
      </c>
      <c r="L1220" s="149" t="e">
        <f ca="1">_xll.meDateFromTenor(L1219,"1D","FOLLOWING",#REF!,"NORMAL")</f>
        <v>#VALUE!</v>
      </c>
      <c r="M1220" s="155">
        <f ca="1">_xll.meDateYearFraction(C1220,D1220,$M$11)</f>
        <v>2.7777777777777779E-3</v>
      </c>
      <c r="N1220" s="150">
        <f ca="1"/>
        <v>-2.4300000000065936E-3</v>
      </c>
      <c r="O1220" s="7" t="s">
        <v>4</v>
      </c>
      <c r="P1220" s="149">
        <f t="shared" ca="1" si="37"/>
        <v>44203</v>
      </c>
      <c r="Q1220" s="155">
        <f ca="1">_xll.meDateYearFraction(H1220,I1220,$Q$11,TRUE)</f>
        <v>0.25</v>
      </c>
      <c r="R1220" s="150">
        <f ca="1">IF(NOW(),_xll.meCurveForwardRatesFromYearFraction(P1220,Q1220,$Q$11,$Q$9,$Q$10))</f>
        <v>-3.7175485397107962E-3</v>
      </c>
      <c r="S1220" s="134" t="s">
        <v>4</v>
      </c>
    </row>
    <row r="1221" spans="1:19" x14ac:dyDescent="0.25">
      <c r="A1221" s="128">
        <v>1205</v>
      </c>
      <c r="B1221" s="133"/>
      <c r="C1221" s="149">
        <f ca="1">_xll.meDateFromTenor(C1220,"1D","FOLLOWING",$D$11,"NORMAL")</f>
        <v>44204</v>
      </c>
      <c r="D1221" s="20">
        <f ca="1">_xll.meDateFromTenor(C1221,"1D","Following",$D$11,"Normal")</f>
        <v>44207</v>
      </c>
      <c r="E1221" s="99">
        <f ca="1"/>
        <v>1.4489844934972131E-2</v>
      </c>
      <c r="F1221" s="161">
        <f ca="1">_xll.meCurveForwardRates(C1221,$D$9,$D$10)</f>
        <v>1.4590235668387574E-2</v>
      </c>
      <c r="G1221" s="7" t="s">
        <v>4</v>
      </c>
      <c r="H1221" s="149">
        <f t="shared" ca="1" si="36"/>
        <v>44204</v>
      </c>
      <c r="I1221" s="20">
        <f ca="1">_xll.meDateFromTenor(H1221,"3M","Following",$I$11,"Normal")</f>
        <v>44294</v>
      </c>
      <c r="J1221" s="150">
        <f ca="1"/>
        <v>1.846606784462846E-2</v>
      </c>
      <c r="K1221" s="7" t="s">
        <v>4</v>
      </c>
      <c r="L1221" s="149" t="e">
        <f ca="1">_xll.meDateFromTenor(L1220,"1D","FOLLOWING",#REF!,"NORMAL")</f>
        <v>#VALUE!</v>
      </c>
      <c r="M1221" s="155">
        <f ca="1">_xll.meDateYearFraction(C1221,D1221,$M$11)</f>
        <v>8.3333333333333332E-3</v>
      </c>
      <c r="N1221" s="150">
        <f ca="1"/>
        <v>-2.4300000000065936E-3</v>
      </c>
      <c r="O1221" s="7" t="s">
        <v>4</v>
      </c>
      <c r="P1221" s="149">
        <f t="shared" ca="1" si="37"/>
        <v>44204</v>
      </c>
      <c r="Q1221" s="155">
        <f ca="1">_xll.meDateYearFraction(H1221,I1221,$Q$11,TRUE)</f>
        <v>0.25</v>
      </c>
      <c r="R1221" s="150">
        <f ca="1">IF(NOW(),_xll.meCurveForwardRatesFromYearFraction(P1221,Q1221,$Q$11,$Q$9,$Q$10))</f>
        <v>2.3422299184861733E-3</v>
      </c>
      <c r="S1221" s="134" t="s">
        <v>4</v>
      </c>
    </row>
    <row r="1222" spans="1:19" x14ac:dyDescent="0.25">
      <c r="A1222" s="128">
        <v>1206</v>
      </c>
      <c r="B1222" s="133"/>
      <c r="C1222" s="149">
        <f ca="1">_xll.meDateFromTenor(C1221,"1D","FOLLOWING",$D$11,"NORMAL")</f>
        <v>44207</v>
      </c>
      <c r="D1222" s="20">
        <f ca="1">_xll.meDateFromTenor(C1222,"1D","Following",$D$11,"Normal")</f>
        <v>44208</v>
      </c>
      <c r="E1222" s="99">
        <f ca="1"/>
        <v>1.4497458431821524E-2</v>
      </c>
      <c r="F1222" s="161">
        <f ca="1">_xll.meCurveForwardRates(C1222,$D$9,$D$10)</f>
        <v>1.46027600989449E-2</v>
      </c>
      <c r="G1222" s="7" t="s">
        <v>4</v>
      </c>
      <c r="H1222" s="149">
        <f t="shared" ca="1" si="36"/>
        <v>44207</v>
      </c>
      <c r="I1222" s="20">
        <f ca="1">_xll.meDateFromTenor(H1222,"3M","Following",$I$11,"Normal")</f>
        <v>44298</v>
      </c>
      <c r="J1222" s="150">
        <f ca="1"/>
        <v>1.8477845734534204E-2</v>
      </c>
      <c r="K1222" s="7" t="s">
        <v>4</v>
      </c>
      <c r="L1222" s="149" t="e">
        <f ca="1">_xll.meDateFromTenor(L1221,"1D","FOLLOWING",#REF!,"NORMAL")</f>
        <v>#VALUE!</v>
      </c>
      <c r="M1222" s="155">
        <f ca="1">_xll.meDateYearFraction(C1222,D1222,$M$11)</f>
        <v>2.7777777777777779E-3</v>
      </c>
      <c r="N1222" s="150">
        <f ca="1"/>
        <v>-2.4300000000065936E-3</v>
      </c>
      <c r="O1222" s="7" t="s">
        <v>4</v>
      </c>
      <c r="P1222" s="149">
        <f t="shared" ca="1" si="37"/>
        <v>44207</v>
      </c>
      <c r="Q1222" s="155">
        <f ca="1">_xll.meDateYearFraction(H1222,I1222,$Q$11,TRUE)</f>
        <v>0.25277777777777777</v>
      </c>
      <c r="R1222" s="150">
        <f ca="1">IF(NOW(),_xll.meCurveForwardRatesFromYearFraction(P1222,Q1222,$Q$11,$Q$9,$Q$10))</f>
        <v>-3.7175485397107962E-3</v>
      </c>
      <c r="S1222" s="134" t="s">
        <v>4</v>
      </c>
    </row>
    <row r="1223" spans="1:19" x14ac:dyDescent="0.25">
      <c r="A1223" s="128">
        <v>1207</v>
      </c>
      <c r="B1223" s="133"/>
      <c r="C1223" s="149">
        <f ca="1">_xll.meDateFromTenor(C1222,"1D","FOLLOWING",$D$11,"NORMAL")</f>
        <v>44208</v>
      </c>
      <c r="D1223" s="20">
        <f ca="1">_xll.meDateFromTenor(C1223,"1D","Following",$D$11,"Normal")</f>
        <v>44209</v>
      </c>
      <c r="E1223" s="99">
        <f ca="1"/>
        <v>1.4501473847177102E-2</v>
      </c>
      <c r="F1223" s="161">
        <f ca="1">_xll.meCurveForwardRates(C1223,$D$9,$D$10)</f>
        <v>1.4606833994545321E-2</v>
      </c>
      <c r="G1223" s="7" t="s">
        <v>4</v>
      </c>
      <c r="H1223" s="149">
        <f t="shared" ca="1" si="36"/>
        <v>44208</v>
      </c>
      <c r="I1223" s="20">
        <f ca="1">_xll.meDateFromTenor(H1223,"3M","Following",$I$11,"Normal")</f>
        <v>44298</v>
      </c>
      <c r="J1223" s="150">
        <f ca="1"/>
        <v>1.8481791097197737E-2</v>
      </c>
      <c r="K1223" s="7" t="s">
        <v>4</v>
      </c>
      <c r="L1223" s="149" t="e">
        <f ca="1">_xll.meDateFromTenor(L1222,"1D","FOLLOWING",#REF!,"NORMAL")</f>
        <v>#VALUE!</v>
      </c>
      <c r="M1223" s="155">
        <f ca="1">_xll.meDateYearFraction(C1223,D1223,$M$11)</f>
        <v>2.7777777777777779E-3</v>
      </c>
      <c r="N1223" s="150">
        <f ca="1"/>
        <v>-2.4300000000065936E-3</v>
      </c>
      <c r="O1223" s="7" t="s">
        <v>4</v>
      </c>
      <c r="P1223" s="149">
        <f t="shared" ca="1" si="37"/>
        <v>44208</v>
      </c>
      <c r="Q1223" s="155">
        <f ca="1">_xll.meDateYearFraction(H1223,I1223,$Q$11,TRUE)</f>
        <v>0.25</v>
      </c>
      <c r="R1223" s="150">
        <f ca="1">IF(NOW(),_xll.meCurveForwardRatesFromYearFraction(P1223,Q1223,$Q$11,$Q$9,$Q$10))</f>
        <v>2.3660734325433E-3</v>
      </c>
      <c r="S1223" s="134" t="s">
        <v>4</v>
      </c>
    </row>
    <row r="1224" spans="1:19" x14ac:dyDescent="0.25">
      <c r="A1224" s="128">
        <v>1208</v>
      </c>
      <c r="B1224" s="133"/>
      <c r="C1224" s="149">
        <f ca="1">_xll.meDateFromTenor(C1223,"1D","FOLLOWING",$D$11,"NORMAL")</f>
        <v>44209</v>
      </c>
      <c r="D1224" s="20">
        <f ca="1">_xll.meDateFromTenor(C1224,"1D","Following",$D$11,"Normal")</f>
        <v>44210</v>
      </c>
      <c r="E1224" s="99">
        <f ca="1"/>
        <v>1.4505439499788038E-2</v>
      </c>
      <c r="F1224" s="161">
        <f ca="1">_xll.meCurveForwardRates(C1224,$D$9,$D$10)</f>
        <v>1.4610857418670298E-2</v>
      </c>
      <c r="G1224" s="7" t="s">
        <v>4</v>
      </c>
      <c r="H1224" s="149">
        <f t="shared" ca="1" si="36"/>
        <v>44209</v>
      </c>
      <c r="I1224" s="20">
        <f ca="1">_xll.meDateFromTenor(H1224,"3M","Following",$I$11,"Normal")</f>
        <v>44299</v>
      </c>
      <c r="J1224" s="150">
        <f ca="1"/>
        <v>1.8485746435404123E-2</v>
      </c>
      <c r="K1224" s="7" t="s">
        <v>4</v>
      </c>
      <c r="L1224" s="149" t="e">
        <f ca="1">_xll.meDateFromTenor(L1223,"1D","FOLLOWING",#REF!,"NORMAL")</f>
        <v>#VALUE!</v>
      </c>
      <c r="M1224" s="155">
        <f ca="1">_xll.meDateYearFraction(C1224,D1224,$M$11)</f>
        <v>2.7777777777777779E-3</v>
      </c>
      <c r="N1224" s="150">
        <f ca="1"/>
        <v>-2.4300000000065936E-3</v>
      </c>
      <c r="O1224" s="7" t="s">
        <v>4</v>
      </c>
      <c r="P1224" s="149">
        <f t="shared" ca="1" si="37"/>
        <v>44209</v>
      </c>
      <c r="Q1224" s="155">
        <f ca="1">_xll.meDateYearFraction(H1224,I1224,$Q$11,TRUE)</f>
        <v>0.25</v>
      </c>
      <c r="R1224" s="150">
        <f ca="1">IF(NOW(),_xll.meCurveForwardRatesFromYearFraction(P1224,Q1224,$Q$11,$Q$9,$Q$10))</f>
        <v>2.3720405138525002E-3</v>
      </c>
      <c r="S1224" s="134" t="s">
        <v>4</v>
      </c>
    </row>
    <row r="1225" spans="1:19" x14ac:dyDescent="0.25">
      <c r="A1225" s="128">
        <v>1209</v>
      </c>
      <c r="B1225" s="133"/>
      <c r="C1225" s="149">
        <f ca="1">_xll.meDateFromTenor(C1224,"1D","FOLLOWING",$D$11,"NORMAL")</f>
        <v>44210</v>
      </c>
      <c r="D1225" s="20">
        <f ca="1">_xll.meDateFromTenor(C1225,"1D","Following",$D$11,"Normal")</f>
        <v>44211</v>
      </c>
      <c r="E1225" s="99">
        <f ca="1"/>
        <v>1.45093553814823E-2</v>
      </c>
      <c r="F1225" s="161">
        <f ca="1">_xll.meCurveForwardRates(C1225,$D$9,$D$10)</f>
        <v>1.4614830362429387E-2</v>
      </c>
      <c r="G1225" s="7" t="s">
        <v>4</v>
      </c>
      <c r="H1225" s="149">
        <f t="shared" ca="1" si="36"/>
        <v>44210</v>
      </c>
      <c r="I1225" s="20">
        <f ca="1">_xll.meDateFromTenor(H1225,"3M","Following",$I$11,"Normal")</f>
        <v>44300</v>
      </c>
      <c r="J1225" s="150">
        <f ca="1"/>
        <v>1.8489711914670599E-2</v>
      </c>
      <c r="K1225" s="7" t="s">
        <v>4</v>
      </c>
      <c r="L1225" s="149" t="e">
        <f ca="1">_xll.meDateFromTenor(L1224,"1D","FOLLOWING",#REF!,"NORMAL")</f>
        <v>#VALUE!</v>
      </c>
      <c r="M1225" s="155">
        <f ca="1">_xll.meDateYearFraction(C1225,D1225,$M$11)</f>
        <v>2.7777777777777779E-3</v>
      </c>
      <c r="N1225" s="150">
        <f ca="1"/>
        <v>-2.4300000000065936E-3</v>
      </c>
      <c r="O1225" s="7" t="s">
        <v>4</v>
      </c>
      <c r="P1225" s="149">
        <f t="shared" ca="1" si="37"/>
        <v>44210</v>
      </c>
      <c r="Q1225" s="155">
        <f ca="1">_xll.meDateYearFraction(H1225,I1225,$Q$11,TRUE)</f>
        <v>0.25</v>
      </c>
      <c r="R1225" s="150">
        <f ca="1">IF(NOW(),_xll.meCurveForwardRatesFromYearFraction(P1225,Q1225,$Q$11,$Q$9,$Q$10))</f>
        <v>2.3780102472845534E-3</v>
      </c>
      <c r="S1225" s="134" t="s">
        <v>4</v>
      </c>
    </row>
    <row r="1226" spans="1:19" x14ac:dyDescent="0.25">
      <c r="A1226" s="128">
        <v>1210</v>
      </c>
      <c r="B1226" s="133"/>
      <c r="C1226" s="149">
        <f ca="1">_xll.meDateFromTenor(C1225,"1D","FOLLOWING",$D$11,"NORMAL")</f>
        <v>44211</v>
      </c>
      <c r="D1226" s="20">
        <f ca="1">_xll.meDateFromTenor(C1226,"1D","Following",$D$11,"Normal")</f>
        <v>44215</v>
      </c>
      <c r="E1226" s="99">
        <f ca="1"/>
        <v>1.4519774512202818E-2</v>
      </c>
      <c r="F1226" s="161">
        <f ca="1">_xll.meCurveForwardRates(C1226,$D$9,$D$10)</f>
        <v>1.4618752817302294E-2</v>
      </c>
      <c r="G1226" s="7" t="s">
        <v>4</v>
      </c>
      <c r="H1226" s="149">
        <f t="shared" ca="1" si="36"/>
        <v>44211</v>
      </c>
      <c r="I1226" s="20">
        <f ca="1">_xll.meDateFromTenor(H1226,"3M","Following",$I$11,"Normal")</f>
        <v>44301</v>
      </c>
      <c r="J1226" s="150">
        <f ca="1"/>
        <v>1.8493687700514388E-2</v>
      </c>
      <c r="K1226" s="7" t="s">
        <v>4</v>
      </c>
      <c r="L1226" s="149" t="e">
        <f ca="1">_xll.meDateFromTenor(L1225,"1D","FOLLOWING",#REF!,"NORMAL")</f>
        <v>#VALUE!</v>
      </c>
      <c r="M1226" s="155">
        <f ca="1">_xll.meDateYearFraction(C1226,D1226,$M$11)</f>
        <v>1.1111111111111112E-2</v>
      </c>
      <c r="N1226" s="150">
        <f ca="1"/>
        <v>-2.4300000000065936E-3</v>
      </c>
      <c r="O1226" s="7" t="s">
        <v>4</v>
      </c>
      <c r="P1226" s="149">
        <f t="shared" ca="1" si="37"/>
        <v>44211</v>
      </c>
      <c r="Q1226" s="155">
        <f ca="1">_xll.meDateYearFraction(H1226,I1226,$Q$11,TRUE)</f>
        <v>0.25</v>
      </c>
      <c r="R1226" s="150">
        <f ca="1">IF(NOW(),_xll.meCurveForwardRatesFromYearFraction(P1226,Q1226,$Q$11,$Q$9,$Q$10))</f>
        <v>2.3839827183419035E-3</v>
      </c>
      <c r="S1226" s="134" t="s">
        <v>4</v>
      </c>
    </row>
    <row r="1227" spans="1:19" x14ac:dyDescent="0.25">
      <c r="A1227" s="128">
        <v>1211</v>
      </c>
      <c r="B1227" s="133"/>
      <c r="C1227" s="149">
        <f ca="1">_xll.meDateFromTenor(C1226,"1D","FOLLOWING",$D$11,"NORMAL")</f>
        <v>44215</v>
      </c>
      <c r="D1227" s="20">
        <f ca="1">_xll.meDateFromTenor(C1227,"1D","Following",$D$11,"Normal")</f>
        <v>44216</v>
      </c>
      <c r="E1227" s="99">
        <f ca="1"/>
        <v>1.4528187949631887E-2</v>
      </c>
      <c r="F1227" s="161">
        <f ca="1">_xll.meCurveForwardRates(C1227,$D$9,$D$10)</f>
        <v>1.4633937574693778E-2</v>
      </c>
      <c r="G1227" s="7" t="s">
        <v>4</v>
      </c>
      <c r="H1227" s="149">
        <f t="shared" ca="1" si="36"/>
        <v>44215</v>
      </c>
      <c r="I1227" s="20">
        <f ca="1">_xll.meDateFromTenor(H1227,"3M","Following",$I$11,"Normal")</f>
        <v>44305</v>
      </c>
      <c r="J1227" s="150">
        <f ca="1"/>
        <v>1.8509697220007271E-2</v>
      </c>
      <c r="K1227" s="7" t="s">
        <v>4</v>
      </c>
      <c r="L1227" s="149" t="e">
        <f ca="1">_xll.meDateFromTenor(L1226,"1D","FOLLOWING",#REF!,"NORMAL")</f>
        <v>#VALUE!</v>
      </c>
      <c r="M1227" s="155">
        <f ca="1">_xll.meDateYearFraction(C1227,D1227,$M$11)</f>
        <v>2.7777777777777779E-3</v>
      </c>
      <c r="N1227" s="150">
        <f ca="1"/>
        <v>-2.4300000000065936E-3</v>
      </c>
      <c r="O1227" s="7" t="s">
        <v>4</v>
      </c>
      <c r="P1227" s="149">
        <f t="shared" ca="1" si="37"/>
        <v>44215</v>
      </c>
      <c r="Q1227" s="155">
        <f ca="1">_xll.meDateYearFraction(H1227,I1227,$Q$11,TRUE)</f>
        <v>0.25</v>
      </c>
      <c r="R1227" s="150">
        <f ca="1">IF(NOW(),_xll.meCurveForwardRatesFromYearFraction(P1227,Q1227,$Q$11,$Q$9,$Q$10))</f>
        <v>-3.7175485397107962E-3</v>
      </c>
      <c r="S1227" s="134" t="s">
        <v>4</v>
      </c>
    </row>
    <row r="1228" spans="1:19" x14ac:dyDescent="0.25">
      <c r="A1228" s="128">
        <v>1212</v>
      </c>
      <c r="B1228" s="133"/>
      <c r="C1228" s="149">
        <f ca="1">_xll.meDateFromTenor(C1227,"1D","FOLLOWING",$D$11,"NORMAL")</f>
        <v>44216</v>
      </c>
      <c r="D1228" s="20">
        <f ca="1">_xll.meDateFromTenor(C1228,"1D","Following",$D$11,"Normal")</f>
        <v>44217</v>
      </c>
      <c r="E1228" s="99">
        <f ca="1"/>
        <v>1.4531805039534834E-2</v>
      </c>
      <c r="F1228" s="161">
        <f ca="1">_xll.meCurveForwardRates(C1228,$D$9,$D$10)</f>
        <v>1.4637607455381341E-2</v>
      </c>
      <c r="G1228" s="7" t="s">
        <v>4</v>
      </c>
      <c r="H1228" s="149">
        <f t="shared" ca="1" si="36"/>
        <v>44216</v>
      </c>
      <c r="I1228" s="20">
        <f ca="1">_xll.meDateFromTenor(H1228,"3M","Following",$I$11,"Normal")</f>
        <v>44306</v>
      </c>
      <c r="J1228" s="150">
        <f ca="1"/>
        <v>1.8513727021496073E-2</v>
      </c>
      <c r="K1228" s="7" t="s">
        <v>4</v>
      </c>
      <c r="L1228" s="149" t="e">
        <f ca="1">_xll.meDateFromTenor(L1227,"1D","FOLLOWING",#REF!,"NORMAL")</f>
        <v>#VALUE!</v>
      </c>
      <c r="M1228" s="155">
        <f ca="1">_xll.meDateYearFraction(C1228,D1228,$M$11)</f>
        <v>2.7777777777777779E-3</v>
      </c>
      <c r="N1228" s="150">
        <f ca="1"/>
        <v>-2.4300000000065936E-3</v>
      </c>
      <c r="O1228" s="7" t="s">
        <v>4</v>
      </c>
      <c r="P1228" s="149">
        <f t="shared" ca="1" si="37"/>
        <v>44216</v>
      </c>
      <c r="Q1228" s="155">
        <f ca="1">_xll.meDateYearFraction(H1228,I1228,$Q$11,TRUE)</f>
        <v>0.25</v>
      </c>
      <c r="R1228" s="150">
        <f ca="1">IF(NOW(),_xll.meCurveForwardRatesFromYearFraction(P1228,Q1228,$Q$11,$Q$9,$Q$10))</f>
        <v>-3.7175485397107962E-3</v>
      </c>
      <c r="S1228" s="134" t="s">
        <v>4</v>
      </c>
    </row>
    <row r="1229" spans="1:19" x14ac:dyDescent="0.25">
      <c r="A1229" s="128">
        <v>1213</v>
      </c>
      <c r="B1229" s="133"/>
      <c r="C1229" s="149">
        <f ca="1">_xll.meDateFromTenor(C1228,"1D","FOLLOWING",$D$11,"NORMAL")</f>
        <v>44217</v>
      </c>
      <c r="D1229" s="20">
        <f ca="1">_xll.meDateFromTenor(C1229,"1D","Following",$D$11,"Normal")</f>
        <v>44218</v>
      </c>
      <c r="E1229" s="99">
        <f ca="1"/>
        <v>1.453537230290418E-2</v>
      </c>
      <c r="F1229" s="161">
        <f ca="1">_xll.meCurveForwardRates(C1229,$D$9,$D$10)</f>
        <v>1.4641226795290452E-2</v>
      </c>
      <c r="G1229" s="7" t="s">
        <v>4</v>
      </c>
      <c r="H1229" s="149">
        <f t="shared" ca="1" si="36"/>
        <v>44217</v>
      </c>
      <c r="I1229" s="20">
        <f ca="1">_xll.meDateFromTenor(H1229,"3M","Following",$I$11,"Normal")</f>
        <v>44307</v>
      </c>
      <c r="J1229" s="150">
        <f ca="1"/>
        <v>1.8517768122665559E-2</v>
      </c>
      <c r="K1229" s="7" t="s">
        <v>4</v>
      </c>
      <c r="L1229" s="149" t="e">
        <f ca="1">_xll.meDateFromTenor(L1228,"1D","FOLLOWING",#REF!,"NORMAL")</f>
        <v>#VALUE!</v>
      </c>
      <c r="M1229" s="155">
        <f ca="1">_xll.meDateYearFraction(C1229,D1229,$M$11)</f>
        <v>2.7777777777777779E-3</v>
      </c>
      <c r="N1229" s="150">
        <f ca="1"/>
        <v>-2.4300000000065936E-3</v>
      </c>
      <c r="O1229" s="7" t="s">
        <v>4</v>
      </c>
      <c r="P1229" s="149">
        <f t="shared" ca="1" si="37"/>
        <v>44217</v>
      </c>
      <c r="Q1229" s="155">
        <f ca="1">_xll.meDateYearFraction(H1229,I1229,$Q$11,TRUE)</f>
        <v>0.25</v>
      </c>
      <c r="R1229" s="150">
        <f ca="1">IF(NOW(),_xll.meCurveForwardRatesFromYearFraction(P1229,Q1229,$Q$11,$Q$9,$Q$10))</f>
        <v>2.419879822954048E-3</v>
      </c>
      <c r="S1229" s="134" t="s">
        <v>4</v>
      </c>
    </row>
    <row r="1230" spans="1:19" x14ac:dyDescent="0.25">
      <c r="A1230" s="128">
        <v>1214</v>
      </c>
      <c r="B1230" s="133"/>
      <c r="C1230" s="149">
        <f ca="1">_xll.meDateFromTenor(C1229,"1D","FOLLOWING",$D$11,"NORMAL")</f>
        <v>44218</v>
      </c>
      <c r="D1230" s="20">
        <f ca="1">_xll.meDateFromTenor(C1230,"1D","Following",$D$11,"Normal")</f>
        <v>44221</v>
      </c>
      <c r="E1230" s="99">
        <f ca="1"/>
        <v>1.4542928152873445E-2</v>
      </c>
      <c r="F1230" s="161">
        <f ca="1">_xll.meCurveForwardRates(C1230,$D$9,$D$10)</f>
        <v>1.4644795585833759E-2</v>
      </c>
      <c r="G1230" s="7" t="s">
        <v>4</v>
      </c>
      <c r="H1230" s="149">
        <f t="shared" ca="1" si="36"/>
        <v>44218</v>
      </c>
      <c r="I1230" s="20">
        <f ca="1">_xll.meDateFromTenor(H1230,"3M","Following",$I$11,"Normal")</f>
        <v>44308</v>
      </c>
      <c r="J1230" s="150">
        <f ca="1"/>
        <v>1.8521820689032964E-2</v>
      </c>
      <c r="K1230" s="7" t="s">
        <v>4</v>
      </c>
      <c r="L1230" s="149" t="e">
        <f ca="1">_xll.meDateFromTenor(L1229,"1D","FOLLOWING",#REF!,"NORMAL")</f>
        <v>#VALUE!</v>
      </c>
      <c r="M1230" s="155">
        <f ca="1">_xll.meDateYearFraction(C1230,D1230,$M$11)</f>
        <v>8.3333333333333332E-3</v>
      </c>
      <c r="N1230" s="150">
        <f ca="1"/>
        <v>-2.4300000000065936E-3</v>
      </c>
      <c r="O1230" s="7" t="s">
        <v>4</v>
      </c>
      <c r="P1230" s="149">
        <f t="shared" ca="1" si="37"/>
        <v>44218</v>
      </c>
      <c r="Q1230" s="155">
        <f ca="1">_xll.meDateYearFraction(H1230,I1230,$Q$11,TRUE)</f>
        <v>0.25</v>
      </c>
      <c r="R1230" s="150">
        <f ca="1">IF(NOW(),_xll.meCurveForwardRatesFromYearFraction(P1230,Q1230,$Q$11,$Q$9,$Q$10))</f>
        <v>-3.7175485397107962E-3</v>
      </c>
      <c r="S1230" s="134" t="s">
        <v>4</v>
      </c>
    </row>
    <row r="1231" spans="1:19" x14ac:dyDescent="0.25">
      <c r="A1231" s="128">
        <v>1215</v>
      </c>
      <c r="B1231" s="133"/>
      <c r="C1231" s="149">
        <f ca="1">_xll.meDateFromTenor(C1230,"1D","FOLLOWING",$D$11,"NORMAL")</f>
        <v>44221</v>
      </c>
      <c r="D1231" s="20">
        <f ca="1">_xll.meDateFromTenor(C1231,"1D","Following",$D$11,"Normal")</f>
        <v>44222</v>
      </c>
      <c r="E1231" s="99">
        <f ca="1"/>
        <v>1.4549142931776728E-2</v>
      </c>
      <c r="F1231" s="161">
        <f ca="1">_xll.meCurveForwardRates(C1231,$D$9,$D$10)</f>
        <v>1.4655198574871076E-2</v>
      </c>
      <c r="G1231" s="7" t="s">
        <v>4</v>
      </c>
      <c r="H1231" s="149">
        <f t="shared" ca="1" si="36"/>
        <v>44221</v>
      </c>
      <c r="I1231" s="20">
        <f ca="1">_xll.meDateFromTenor(H1231,"3M","Following",$I$11,"Normal")</f>
        <v>44312</v>
      </c>
      <c r="J1231" s="150">
        <f ca="1"/>
        <v>1.8534048834494988E-2</v>
      </c>
      <c r="K1231" s="7" t="s">
        <v>4</v>
      </c>
      <c r="L1231" s="149" t="e">
        <f ca="1">_xll.meDateFromTenor(L1230,"1D","FOLLOWING",#REF!,"NORMAL")</f>
        <v>#VALUE!</v>
      </c>
      <c r="M1231" s="155">
        <f ca="1">_xll.meDateYearFraction(C1231,D1231,$M$11)</f>
        <v>2.7777777777777779E-3</v>
      </c>
      <c r="N1231" s="150">
        <f ca="1"/>
        <v>-2.4300000000065936E-3</v>
      </c>
      <c r="O1231" s="7" t="s">
        <v>4</v>
      </c>
      <c r="P1231" s="149">
        <f t="shared" ca="1" si="37"/>
        <v>44221</v>
      </c>
      <c r="Q1231" s="155">
        <f ca="1">_xll.meDateYearFraction(H1231,I1231,$Q$11,TRUE)</f>
        <v>0.25277777777777777</v>
      </c>
      <c r="R1231" s="150">
        <f ca="1">IF(NOW(),_xll.meCurveForwardRatesFromYearFraction(P1231,Q1231,$Q$11,$Q$9,$Q$10))</f>
        <v>2.4438768088442123E-3</v>
      </c>
      <c r="S1231" s="134" t="s">
        <v>4</v>
      </c>
    </row>
    <row r="1232" spans="1:19" x14ac:dyDescent="0.25">
      <c r="A1232" s="128">
        <v>1216</v>
      </c>
      <c r="B1232" s="133"/>
      <c r="C1232" s="149">
        <f ca="1">_xll.meDateFromTenor(C1231,"1D","FOLLOWING",$D$11,"NORMAL")</f>
        <v>44222</v>
      </c>
      <c r="D1232" s="20">
        <f ca="1">_xll.meDateFromTenor(C1232,"1D","Following",$D$11,"Normal")</f>
        <v>44223</v>
      </c>
      <c r="E1232" s="99">
        <f ca="1"/>
        <v>1.4552460942927217E-2</v>
      </c>
      <c r="F1232" s="161">
        <f ca="1">_xll.meCurveForwardRates(C1232,$D$9,$D$10)</f>
        <v>1.4658565081648423E-2</v>
      </c>
      <c r="G1232" s="7" t="s">
        <v>4</v>
      </c>
      <c r="H1232" s="149">
        <f t="shared" ca="1" si="36"/>
        <v>44222</v>
      </c>
      <c r="I1232" s="20">
        <f ca="1">_xll.meDateFromTenor(H1232,"3M","Following",$I$11,"Normal")</f>
        <v>44312</v>
      </c>
      <c r="J1232" s="150">
        <f ca="1"/>
        <v>1.8538148916826355E-2</v>
      </c>
      <c r="K1232" s="7" t="s">
        <v>4</v>
      </c>
      <c r="L1232" s="149" t="e">
        <f ca="1">_xll.meDateFromTenor(L1231,"1D","FOLLOWING",#REF!,"NORMAL")</f>
        <v>#VALUE!</v>
      </c>
      <c r="M1232" s="155">
        <f ca="1">_xll.meDateYearFraction(C1232,D1232,$M$11)</f>
        <v>2.7777777777777779E-3</v>
      </c>
      <c r="N1232" s="150">
        <f ca="1"/>
        <v>-2.4300000000065936E-3</v>
      </c>
      <c r="O1232" s="7" t="s">
        <v>4</v>
      </c>
      <c r="P1232" s="149">
        <f t="shared" ca="1" si="37"/>
        <v>44222</v>
      </c>
      <c r="Q1232" s="155">
        <f ca="1">_xll.meDateYearFraction(H1232,I1232,$Q$11,TRUE)</f>
        <v>0.25</v>
      </c>
      <c r="R1232" s="150">
        <f ca="1">IF(NOW(),_xll.meCurveForwardRatesFromYearFraction(P1232,Q1232,$Q$11,$Q$9,$Q$10))</f>
        <v>-3.7175485397107962E-3</v>
      </c>
      <c r="S1232" s="134" t="s">
        <v>4</v>
      </c>
    </row>
    <row r="1233" spans="1:19" x14ac:dyDescent="0.25">
      <c r="A1233" s="128">
        <v>1217</v>
      </c>
      <c r="B1233" s="133"/>
      <c r="C1233" s="149">
        <f ca="1">_xll.meDateFromTenor(C1232,"1D","FOLLOWING",$D$11,"NORMAL")</f>
        <v>44223</v>
      </c>
      <c r="D1233" s="20">
        <f ca="1">_xll.meDateFromTenor(C1233,"1D","Following",$D$11,"Normal")</f>
        <v>44224</v>
      </c>
      <c r="E1233" s="99">
        <f ca="1"/>
        <v>1.4555729079643809E-2</v>
      </c>
      <c r="F1233" s="161">
        <f ca="1">_xll.meCurveForwardRates(C1233,$D$9,$D$10)</f>
        <v>1.466188099592225E-2</v>
      </c>
      <c r="G1233" s="7" t="s">
        <v>4</v>
      </c>
      <c r="H1233" s="149">
        <f t="shared" ref="H1233:H1296" ca="1" si="38">$C1233</f>
        <v>44223</v>
      </c>
      <c r="I1233" s="20">
        <f ca="1">_xll.meDateFromTenor(H1233,"3M","Following",$I$11,"Normal")</f>
        <v>44313</v>
      </c>
      <c r="J1233" s="150">
        <f ca="1"/>
        <v>1.8542261291941788E-2</v>
      </c>
      <c r="K1233" s="7" t="s">
        <v>4</v>
      </c>
      <c r="L1233" s="149" t="e">
        <f ca="1">_xll.meDateFromTenor(L1232,"1D","FOLLOWING",#REF!,"NORMAL")</f>
        <v>#VALUE!</v>
      </c>
      <c r="M1233" s="155">
        <f ca="1">_xll.meDateYearFraction(C1233,D1233,$M$11)</f>
        <v>2.7777777777777779E-3</v>
      </c>
      <c r="N1233" s="150">
        <f ca="1"/>
        <v>-2.4300000000065936E-3</v>
      </c>
      <c r="O1233" s="7" t="s">
        <v>4</v>
      </c>
      <c r="P1233" s="149">
        <f t="shared" ref="P1233:P1296" ca="1" si="39">$C1233</f>
        <v>44223</v>
      </c>
      <c r="Q1233" s="155">
        <f ca="1">_xll.meDateYearFraction(H1233,I1233,$Q$11,TRUE)</f>
        <v>0.25</v>
      </c>
      <c r="R1233" s="150">
        <f ca="1">IF(NOW(),_xll.meCurveForwardRatesFromYearFraction(P1233,Q1233,$Q$11,$Q$9,$Q$10))</f>
        <v>2.4558970286925491E-3</v>
      </c>
      <c r="S1233" s="134" t="s">
        <v>4</v>
      </c>
    </row>
    <row r="1234" spans="1:19" x14ac:dyDescent="0.25">
      <c r="A1234" s="128">
        <v>1218</v>
      </c>
      <c r="B1234" s="133"/>
      <c r="C1234" s="149">
        <f ca="1">_xll.meDateFromTenor(C1233,"1D","FOLLOWING",$D$11,"NORMAL")</f>
        <v>44224</v>
      </c>
      <c r="D1234" s="20">
        <f ca="1">_xll.meDateFromTenor(C1234,"1D","Following",$D$11,"Normal")</f>
        <v>44225</v>
      </c>
      <c r="E1234" s="99">
        <f ca="1"/>
        <v>1.4558947333871579E-2</v>
      </c>
      <c r="F1234" s="161">
        <f ca="1">_xll.meCurveForwardRates(C1234,$D$9,$D$10)</f>
        <v>1.4665146309025046E-2</v>
      </c>
      <c r="G1234" s="7" t="s">
        <v>4</v>
      </c>
      <c r="H1234" s="149">
        <f t="shared" ca="1" si="38"/>
        <v>44224</v>
      </c>
      <c r="I1234" s="20">
        <f ca="1">_xll.meDateFromTenor(H1234,"3M","Following",$I$11,"Normal")</f>
        <v>44314</v>
      </c>
      <c r="J1234" s="150">
        <f ca="1"/>
        <v>1.8546386125358513E-2</v>
      </c>
      <c r="K1234" s="7" t="s">
        <v>4</v>
      </c>
      <c r="L1234" s="149" t="e">
        <f ca="1">_xll.meDateFromTenor(L1233,"1D","FOLLOWING",#REF!,"NORMAL")</f>
        <v>#VALUE!</v>
      </c>
      <c r="M1234" s="155">
        <f ca="1">_xll.meDateYearFraction(C1234,D1234,$M$11)</f>
        <v>2.7777777777777779E-3</v>
      </c>
      <c r="N1234" s="150">
        <f ca="1"/>
        <v>-2.4300000000065936E-3</v>
      </c>
      <c r="O1234" s="7" t="s">
        <v>4</v>
      </c>
      <c r="P1234" s="149">
        <f t="shared" ca="1" si="39"/>
        <v>44224</v>
      </c>
      <c r="Q1234" s="155">
        <f ca="1">_xll.meDateYearFraction(H1234,I1234,$Q$11,TRUE)</f>
        <v>0.25</v>
      </c>
      <c r="R1234" s="150">
        <f ca="1">IF(NOW(),_xll.meCurveForwardRatesFromYearFraction(P1234,Q1234,$Q$11,$Q$9,$Q$10))</f>
        <v>-3.7175485397107962E-3</v>
      </c>
      <c r="S1234" s="134" t="s">
        <v>4</v>
      </c>
    </row>
    <row r="1235" spans="1:19" x14ac:dyDescent="0.25">
      <c r="A1235" s="128">
        <v>1219</v>
      </c>
      <c r="B1235" s="133"/>
      <c r="C1235" s="149">
        <f ca="1">_xll.meDateFromTenor(C1234,"1D","FOLLOWING",$D$11,"NORMAL")</f>
        <v>44225</v>
      </c>
      <c r="D1235" s="20">
        <f ca="1">_xll.meDateFromTenor(C1235,"1D","Following",$D$11,"Normal")</f>
        <v>44228</v>
      </c>
      <c r="E1235" s="99">
        <f ca="1"/>
        <v>1.4565806828520763E-2</v>
      </c>
      <c r="F1235" s="161">
        <f ca="1">_xll.meCurveForwardRates(C1235,$D$9,$D$10)</f>
        <v>1.4668361012259323E-2</v>
      </c>
      <c r="G1235" s="7" t="s">
        <v>4</v>
      </c>
      <c r="H1235" s="149">
        <f t="shared" ca="1" si="38"/>
        <v>44225</v>
      </c>
      <c r="I1235" s="20">
        <f ca="1">_xll.meDateFromTenor(H1235,"3M","Following",$I$11,"Normal")</f>
        <v>44315</v>
      </c>
      <c r="J1235" s="150">
        <f ca="1"/>
        <v>1.8550523582593761E-2</v>
      </c>
      <c r="K1235" s="7" t="s">
        <v>4</v>
      </c>
      <c r="L1235" s="149" t="e">
        <f ca="1">_xll.meDateFromTenor(L1234,"1D","FOLLOWING",#REF!,"NORMAL")</f>
        <v>#VALUE!</v>
      </c>
      <c r="M1235" s="155">
        <f ca="1">_xll.meDateYearFraction(C1235,D1235,$M$11)</f>
        <v>8.3333333333333332E-3</v>
      </c>
      <c r="N1235" s="150">
        <f ca="1"/>
        <v>-2.4300000000065936E-3</v>
      </c>
      <c r="O1235" s="7" t="s">
        <v>4</v>
      </c>
      <c r="P1235" s="149">
        <f t="shared" ca="1" si="39"/>
        <v>44225</v>
      </c>
      <c r="Q1235" s="155">
        <f ca="1">_xll.meDateYearFraction(H1235,I1235,$Q$11,TRUE)</f>
        <v>0.25</v>
      </c>
      <c r="R1235" s="150">
        <f ca="1">IF(NOW(),_xll.meCurveForwardRatesFromYearFraction(P1235,Q1235,$Q$11,$Q$9,$Q$10))</f>
        <v>-3.7175485397107962E-3</v>
      </c>
      <c r="S1235" s="134" t="s">
        <v>4</v>
      </c>
    </row>
    <row r="1236" spans="1:19" x14ac:dyDescent="0.25">
      <c r="A1236" s="128">
        <v>1220</v>
      </c>
      <c r="B1236" s="133"/>
      <c r="C1236" s="149">
        <f ca="1">_xll.meDateFromTenor(C1235,"1D","FOLLOWING",$D$11,"NORMAL")</f>
        <v>44228</v>
      </c>
      <c r="D1236" s="20">
        <f ca="1">_xll.meDateFromTenor(C1236,"1D","Following",$D$11,"Normal")</f>
        <v>44229</v>
      </c>
      <c r="E1236" s="99">
        <f ca="1"/>
        <v>1.45713213659106E-2</v>
      </c>
      <c r="F1236" s="161">
        <f ca="1">_xll.meCurveForwardRates(C1236,$D$9,$D$10)</f>
        <v>1.4677701377770802E-2</v>
      </c>
      <c r="G1236" s="7" t="s">
        <v>4</v>
      </c>
      <c r="H1236" s="149">
        <f t="shared" ca="1" si="38"/>
        <v>44228</v>
      </c>
      <c r="I1236" s="20">
        <f ca="1">_xll.meDateFromTenor(H1236,"3M","Following",$I$11,"Normal")</f>
        <v>44320</v>
      </c>
      <c r="J1236" s="150">
        <f ca="1"/>
        <v>1.8563013352382925E-2</v>
      </c>
      <c r="K1236" s="7" t="s">
        <v>4</v>
      </c>
      <c r="L1236" s="149" t="e">
        <f ca="1">_xll.meDateFromTenor(L1235,"1D","FOLLOWING",#REF!,"NORMAL")</f>
        <v>#VALUE!</v>
      </c>
      <c r="M1236" s="155">
        <f ca="1">_xll.meDateYearFraction(C1236,D1236,$M$11)</f>
        <v>2.7777777777777779E-3</v>
      </c>
      <c r="N1236" s="150">
        <f ca="1"/>
        <v>-2.4300000000065936E-3</v>
      </c>
      <c r="O1236" s="7" t="s">
        <v>4</v>
      </c>
      <c r="P1236" s="149">
        <f t="shared" ca="1" si="39"/>
        <v>44228</v>
      </c>
      <c r="Q1236" s="155">
        <f ca="1">_xll.meDateYearFraction(H1236,I1236,$Q$11,TRUE)</f>
        <v>0.25555555555555554</v>
      </c>
      <c r="R1236" s="150">
        <f ca="1">IF(NOW(),_xll.meCurveForwardRatesFromYearFraction(P1236,Q1236,$Q$11,$Q$9,$Q$10))</f>
        <v>-3.7175485397107962E-3</v>
      </c>
      <c r="S1236" s="134" t="s">
        <v>4</v>
      </c>
    </row>
    <row r="1237" spans="1:19" x14ac:dyDescent="0.25">
      <c r="A1237" s="128">
        <v>1221</v>
      </c>
      <c r="B1237" s="133"/>
      <c r="C1237" s="149">
        <f ca="1">_xll.meDateFromTenor(C1236,"1D","FOLLOWING",$D$11,"NORMAL")</f>
        <v>44229</v>
      </c>
      <c r="D1237" s="20">
        <f ca="1">_xll.meDateFromTenor(C1237,"1D","Following",$D$11,"Normal")</f>
        <v>44230</v>
      </c>
      <c r="E1237" s="99">
        <f ca="1"/>
        <v>1.45742900874945E-2</v>
      </c>
      <c r="F1237" s="161">
        <f ca="1">_xll.meCurveForwardRates(C1237,$D$9,$D$10)</f>
        <v>1.4680713555901725E-2</v>
      </c>
      <c r="G1237" s="7" t="s">
        <v>4</v>
      </c>
      <c r="H1237" s="149">
        <f t="shared" ca="1" si="38"/>
        <v>44229</v>
      </c>
      <c r="I1237" s="20">
        <f ca="1">_xll.meDateFromTenor(H1237,"3M","Following",$I$11,"Normal")</f>
        <v>44320</v>
      </c>
      <c r="J1237" s="150">
        <f ca="1"/>
        <v>1.856720296006455E-2</v>
      </c>
      <c r="K1237" s="7" t="s">
        <v>4</v>
      </c>
      <c r="L1237" s="149" t="e">
        <f ca="1">_xll.meDateFromTenor(L1236,"1D","FOLLOWING",#REF!,"NORMAL")</f>
        <v>#VALUE!</v>
      </c>
      <c r="M1237" s="155">
        <f ca="1">_xll.meDateYearFraction(C1237,D1237,$M$11)</f>
        <v>2.7777777777777779E-3</v>
      </c>
      <c r="N1237" s="150">
        <f ca="1"/>
        <v>-2.4300000000065936E-3</v>
      </c>
      <c r="O1237" s="7" t="s">
        <v>4</v>
      </c>
      <c r="P1237" s="149">
        <f t="shared" ca="1" si="39"/>
        <v>44229</v>
      </c>
      <c r="Q1237" s="155">
        <f ca="1">_xll.meDateYearFraction(H1237,I1237,$Q$11,TRUE)</f>
        <v>0.25277777777777777</v>
      </c>
      <c r="R1237" s="150">
        <f ca="1">IF(NOW(),_xll.meCurveForwardRatesFromYearFraction(P1237,Q1237,$Q$11,$Q$9,$Q$10))</f>
        <v>2.4920528040851321E-3</v>
      </c>
      <c r="S1237" s="134" t="s">
        <v>4</v>
      </c>
    </row>
    <row r="1238" spans="1:19" x14ac:dyDescent="0.25">
      <c r="A1238" s="128">
        <v>1222</v>
      </c>
      <c r="B1238" s="133"/>
      <c r="C1238" s="149">
        <f ca="1">_xll.meDateFromTenor(C1237,"1D","FOLLOWING",$D$11,"NORMAL")</f>
        <v>44230</v>
      </c>
      <c r="D1238" s="20">
        <f ca="1">_xll.meDateFromTenor(C1238,"1D","Following",$D$11,"Normal")</f>
        <v>44231</v>
      </c>
      <c r="E1238" s="99">
        <f ca="1"/>
        <v>1.4577208878548015E-2</v>
      </c>
      <c r="F1238" s="161">
        <f ca="1">_xll.meCurveForwardRates(C1238,$D$9,$D$10)</f>
        <v>1.4683675081305969E-2</v>
      </c>
      <c r="G1238" s="7" t="s">
        <v>4</v>
      </c>
      <c r="H1238" s="149">
        <f t="shared" ca="1" si="38"/>
        <v>44230</v>
      </c>
      <c r="I1238" s="20">
        <f ca="1">_xll.meDateFromTenor(H1238,"3M","Following",$I$11,"Normal")</f>
        <v>44320</v>
      </c>
      <c r="J1238" s="150">
        <f ca="1"/>
        <v>1.8571406019150839E-2</v>
      </c>
      <c r="K1238" s="7" t="s">
        <v>4</v>
      </c>
      <c r="L1238" s="149" t="e">
        <f ca="1">_xll.meDateFromTenor(L1237,"1D","FOLLOWING",#REF!,"NORMAL")</f>
        <v>#VALUE!</v>
      </c>
      <c r="M1238" s="155">
        <f ca="1">_xll.meDateYearFraction(C1238,D1238,$M$11)</f>
        <v>2.7777777777777779E-3</v>
      </c>
      <c r="N1238" s="150">
        <f ca="1"/>
        <v>-2.4300000000065936E-3</v>
      </c>
      <c r="O1238" s="7" t="s">
        <v>4</v>
      </c>
      <c r="P1238" s="149">
        <f t="shared" ca="1" si="39"/>
        <v>44230</v>
      </c>
      <c r="Q1238" s="155">
        <f ca="1">_xll.meDateYearFraction(H1238,I1238,$Q$11,TRUE)</f>
        <v>0.25</v>
      </c>
      <c r="R1238" s="150">
        <f ca="1">IF(NOW(),_xll.meCurveForwardRatesFromYearFraction(P1238,Q1238,$Q$11,$Q$9,$Q$10))</f>
        <v>2.4980935354873197E-3</v>
      </c>
      <c r="S1238" s="134" t="s">
        <v>4</v>
      </c>
    </row>
    <row r="1239" spans="1:19" x14ac:dyDescent="0.25">
      <c r="A1239" s="128">
        <v>1223</v>
      </c>
      <c r="B1239" s="133"/>
      <c r="C1239" s="149">
        <f ca="1">_xll.meDateFromTenor(C1238,"1D","FOLLOWING",$D$11,"NORMAL")</f>
        <v>44231</v>
      </c>
      <c r="D1239" s="20">
        <f ca="1">_xll.meDateFromTenor(C1239,"1D","Following",$D$11,"Normal")</f>
        <v>44232</v>
      </c>
      <c r="E1239" s="99">
        <f ca="1"/>
        <v>1.4580077730899029E-2</v>
      </c>
      <c r="F1239" s="161">
        <f ca="1">_xll.meCurveForwardRates(C1239,$D$9,$D$10)</f>
        <v>1.4686585945249186E-2</v>
      </c>
      <c r="G1239" s="7" t="s">
        <v>4</v>
      </c>
      <c r="H1239" s="149">
        <f t="shared" ca="1" si="38"/>
        <v>44231</v>
      </c>
      <c r="I1239" s="20">
        <f ca="1">_xll.meDateFromTenor(H1239,"3M","Following",$I$11,"Normal")</f>
        <v>44320</v>
      </c>
      <c r="J1239" s="150">
        <f ca="1"/>
        <v>1.8575622695159028E-2</v>
      </c>
      <c r="K1239" s="7" t="s">
        <v>4</v>
      </c>
      <c r="L1239" s="149" t="e">
        <f ca="1">_xll.meDateFromTenor(L1238,"1D","FOLLOWING",#REF!,"NORMAL")</f>
        <v>#VALUE!</v>
      </c>
      <c r="M1239" s="155">
        <f ca="1">_xll.meDateYearFraction(C1239,D1239,$M$11)</f>
        <v>2.7777777777777779E-3</v>
      </c>
      <c r="N1239" s="150">
        <f ca="1"/>
        <v>-2.4300000000065936E-3</v>
      </c>
      <c r="O1239" s="7" t="s">
        <v>4</v>
      </c>
      <c r="P1239" s="149">
        <f t="shared" ca="1" si="39"/>
        <v>44231</v>
      </c>
      <c r="Q1239" s="155">
        <f ca="1">_xll.meDateYearFraction(H1239,I1239,$Q$11,TRUE)</f>
        <v>0.24722222222222223</v>
      </c>
      <c r="R1239" s="150">
        <f ca="1">IF(NOW(),_xll.meCurveForwardRatesFromYearFraction(P1239,Q1239,$Q$11,$Q$9,$Q$10))</f>
        <v>2.5041387145636643E-3</v>
      </c>
      <c r="S1239" s="134" t="s">
        <v>4</v>
      </c>
    </row>
    <row r="1240" spans="1:19" x14ac:dyDescent="0.25">
      <c r="A1240" s="128">
        <v>1224</v>
      </c>
      <c r="B1240" s="133"/>
      <c r="C1240" s="149">
        <f ca="1">_xll.meDateFromTenor(C1239,"1D","FOLLOWING",$D$11,"NORMAL")</f>
        <v>44232</v>
      </c>
      <c r="D1240" s="20">
        <f ca="1">_xll.meDateFromTenor(C1240,"1D","Following",$D$11,"Normal")</f>
        <v>44235</v>
      </c>
      <c r="E1240" s="99">
        <f ca="1"/>
        <v>1.4586239888832727E-2</v>
      </c>
      <c r="F1240" s="161">
        <f ca="1">_xll.meCurveForwardRates(C1240,$D$9,$D$10)</f>
        <v>1.4689446139204643E-2</v>
      </c>
      <c r="G1240" s="7" t="s">
        <v>4</v>
      </c>
      <c r="H1240" s="149">
        <f t="shared" ca="1" si="38"/>
        <v>44232</v>
      </c>
      <c r="I1240" s="20">
        <f ca="1">_xll.meDateFromTenor(H1240,"3M","Following",$I$11,"Normal")</f>
        <v>44321</v>
      </c>
      <c r="J1240" s="150">
        <f ca="1"/>
        <v>1.857985315360634E-2</v>
      </c>
      <c r="K1240" s="7" t="s">
        <v>4</v>
      </c>
      <c r="L1240" s="149" t="e">
        <f ca="1">_xll.meDateFromTenor(L1239,"1D","FOLLOWING",#REF!,"NORMAL")</f>
        <v>#VALUE!</v>
      </c>
      <c r="M1240" s="155">
        <f ca="1">_xll.meDateYearFraction(C1240,D1240,$M$11)</f>
        <v>8.3333333333333332E-3</v>
      </c>
      <c r="N1240" s="150">
        <f ca="1"/>
        <v>-2.4300000000065936E-3</v>
      </c>
      <c r="O1240" s="7" t="s">
        <v>4</v>
      </c>
      <c r="P1240" s="149">
        <f t="shared" ca="1" si="39"/>
        <v>44232</v>
      </c>
      <c r="Q1240" s="155">
        <f ca="1">_xll.meDateYearFraction(H1240,I1240,$Q$11,TRUE)</f>
        <v>0.24722222222222223</v>
      </c>
      <c r="R1240" s="150">
        <f ca="1">IF(NOW(),_xll.meCurveForwardRatesFromYearFraction(P1240,Q1240,$Q$11,$Q$9,$Q$10))</f>
        <v>2.510188426816615E-3</v>
      </c>
      <c r="S1240" s="134" t="s">
        <v>4</v>
      </c>
    </row>
    <row r="1241" spans="1:19" x14ac:dyDescent="0.25">
      <c r="A1241" s="128">
        <v>1225</v>
      </c>
      <c r="B1241" s="133"/>
      <c r="C1241" s="149">
        <f ca="1">_xll.meDateFromTenor(C1240,"1D","FOLLOWING",$D$11,"NORMAL")</f>
        <v>44235</v>
      </c>
      <c r="D1241" s="20">
        <f ca="1">_xll.meDateFromTenor(C1241,"1D","Following",$D$11,"Normal")</f>
        <v>44236</v>
      </c>
      <c r="E1241" s="99">
        <f ca="1"/>
        <v>1.4591053592718445E-2</v>
      </c>
      <c r="F1241" s="161">
        <f ca="1">_xll.meCurveForwardRates(C1241,$D$9,$D$10)</f>
        <v>1.4697722614916309E-2</v>
      </c>
      <c r="G1241" s="7" t="s">
        <v>4</v>
      </c>
      <c r="H1241" s="149">
        <f t="shared" ca="1" si="38"/>
        <v>44235</v>
      </c>
      <c r="I1241" s="20">
        <f ca="1">_xll.meDateFromTenor(H1241,"3M","Following",$I$11,"Normal")</f>
        <v>44326</v>
      </c>
      <c r="J1241" s="150">
        <f ca="1"/>
        <v>1.8592628878755318E-2</v>
      </c>
      <c r="K1241" s="7" t="s">
        <v>4</v>
      </c>
      <c r="L1241" s="149" t="e">
        <f ca="1">_xll.meDateFromTenor(L1240,"1D","FOLLOWING",#REF!,"NORMAL")</f>
        <v>#VALUE!</v>
      </c>
      <c r="M1241" s="155">
        <f ca="1">_xll.meDateYearFraction(C1241,D1241,$M$11)</f>
        <v>2.7777777777777779E-3</v>
      </c>
      <c r="N1241" s="150">
        <f ca="1"/>
        <v>-2.4300000000065936E-3</v>
      </c>
      <c r="O1241" s="7" t="s">
        <v>4</v>
      </c>
      <c r="P1241" s="149">
        <f t="shared" ca="1" si="39"/>
        <v>44235</v>
      </c>
      <c r="Q1241" s="155">
        <f ca="1">_xll.meDateYearFraction(H1241,I1241,$Q$11,TRUE)</f>
        <v>0.25277777777777777</v>
      </c>
      <c r="R1241" s="150">
        <f ca="1">IF(NOW(),_xll.meCurveForwardRatesFromYearFraction(P1241,Q1241,$Q$11,$Q$9,$Q$10))</f>
        <v>2.5283656176595154E-3</v>
      </c>
      <c r="S1241" s="134" t="s">
        <v>4</v>
      </c>
    </row>
    <row r="1242" spans="1:19" x14ac:dyDescent="0.25">
      <c r="A1242" s="128">
        <v>1226</v>
      </c>
      <c r="B1242" s="133"/>
      <c r="C1242" s="149">
        <f ca="1">_xll.meDateFromTenor(C1241,"1D","FOLLOWING",$D$11,"NORMAL")</f>
        <v>44236</v>
      </c>
      <c r="D1242" s="20">
        <f ca="1">_xll.meDateFromTenor(C1242,"1D","Following",$D$11,"Normal")</f>
        <v>44237</v>
      </c>
      <c r="E1242" s="99">
        <f ca="1"/>
        <v>1.4593672630989372E-2</v>
      </c>
      <c r="F1242" s="161">
        <f ca="1">_xll.meCurveForwardRates(C1242,$D$9,$D$10)</f>
        <v>1.4700380042848016E-2</v>
      </c>
      <c r="G1242" s="7" t="s">
        <v>4</v>
      </c>
      <c r="H1242" s="149">
        <f t="shared" ca="1" si="38"/>
        <v>44236</v>
      </c>
      <c r="I1242" s="20">
        <f ca="1">_xll.meDateFromTenor(H1242,"3M","Following",$I$11,"Normal")</f>
        <v>44326</v>
      </c>
      <c r="J1242" s="150">
        <f ca="1"/>
        <v>1.8596916122131421E-2</v>
      </c>
      <c r="K1242" s="7" t="s">
        <v>4</v>
      </c>
      <c r="L1242" s="149" t="e">
        <f ca="1">_xll.meDateFromTenor(L1241,"1D","FOLLOWING",#REF!,"NORMAL")</f>
        <v>#VALUE!</v>
      </c>
      <c r="M1242" s="155">
        <f ca="1">_xll.meDateYearFraction(C1242,D1242,$M$11)</f>
        <v>2.7777777777777779E-3</v>
      </c>
      <c r="N1242" s="150">
        <f ca="1"/>
        <v>-2.4300000000065936E-3</v>
      </c>
      <c r="O1242" s="7" t="s">
        <v>4</v>
      </c>
      <c r="P1242" s="149">
        <f t="shared" ca="1" si="39"/>
        <v>44236</v>
      </c>
      <c r="Q1242" s="155">
        <f ca="1">_xll.meDateYearFraction(H1242,I1242,$Q$11,TRUE)</f>
        <v>0.25</v>
      </c>
      <c r="R1242" s="150">
        <f ca="1">IF(NOW(),_xll.meCurveForwardRatesFromYearFraction(P1242,Q1242,$Q$11,$Q$9,$Q$10))</f>
        <v>-3.7175485397107962E-3</v>
      </c>
      <c r="S1242" s="134" t="s">
        <v>4</v>
      </c>
    </row>
    <row r="1243" spans="1:19" x14ac:dyDescent="0.25">
      <c r="A1243" s="128">
        <v>1227</v>
      </c>
      <c r="B1243" s="133"/>
      <c r="C1243" s="149">
        <f ca="1">_xll.meDateFromTenor(C1242,"1D","FOLLOWING",$D$11,"NORMAL")</f>
        <v>44237</v>
      </c>
      <c r="D1243" s="20">
        <f ca="1">_xll.meDateFromTenor(C1243,"1D","Following",$D$11,"Normal")</f>
        <v>44238</v>
      </c>
      <c r="E1243" s="99">
        <f ca="1"/>
        <v>1.4596241682196471E-2</v>
      </c>
      <c r="F1243" s="161">
        <f ca="1">_xll.meCurveForwardRates(C1243,$D$9,$D$10)</f>
        <v>1.470298675775239E-2</v>
      </c>
      <c r="G1243" s="7" t="s">
        <v>4</v>
      </c>
      <c r="H1243" s="149">
        <f t="shared" ca="1" si="38"/>
        <v>44237</v>
      </c>
      <c r="I1243" s="20">
        <f ca="1">_xll.meDateFromTenor(H1243,"3M","Following",$I$11,"Normal")</f>
        <v>44326</v>
      </c>
      <c r="J1243" s="150">
        <f ca="1"/>
        <v>1.8601217975532793E-2</v>
      </c>
      <c r="K1243" s="7" t="s">
        <v>4</v>
      </c>
      <c r="L1243" s="149" t="e">
        <f ca="1">_xll.meDateFromTenor(L1242,"1D","FOLLOWING",#REF!,"NORMAL")</f>
        <v>#VALUE!</v>
      </c>
      <c r="M1243" s="155">
        <f ca="1">_xll.meDateYearFraction(C1243,D1243,$M$11)</f>
        <v>2.7777777777777779E-3</v>
      </c>
      <c r="N1243" s="150">
        <f ca="1"/>
        <v>-2.4300000000065936E-3</v>
      </c>
      <c r="O1243" s="7" t="s">
        <v>4</v>
      </c>
      <c r="P1243" s="149">
        <f t="shared" ca="1" si="39"/>
        <v>44237</v>
      </c>
      <c r="Q1243" s="155">
        <f ca="1">_xll.meDateYearFraction(H1243,I1243,$Q$11,TRUE)</f>
        <v>0.24722222222222223</v>
      </c>
      <c r="R1243" s="150">
        <f ca="1">IF(NOW(),_xll.meCurveForwardRatesFromYearFraction(P1243,Q1243,$Q$11,$Q$9,$Q$10))</f>
        <v>-3.7175485397107962E-3</v>
      </c>
      <c r="S1243" s="134" t="s">
        <v>4</v>
      </c>
    </row>
    <row r="1244" spans="1:19" x14ac:dyDescent="0.25">
      <c r="A1244" s="128">
        <v>1228</v>
      </c>
      <c r="B1244" s="133"/>
      <c r="C1244" s="149">
        <f ca="1">_xll.meDateFromTenor(C1243,"1D","FOLLOWING",$D$11,"NORMAL")</f>
        <v>44238</v>
      </c>
      <c r="D1244" s="20">
        <f ca="1">_xll.meDateFromTenor(C1244,"1D","Following",$D$11,"Normal")</f>
        <v>44239</v>
      </c>
      <c r="E1244" s="99">
        <f ca="1"/>
        <v>1.4598760738284864E-2</v>
      </c>
      <c r="F1244" s="161">
        <f ca="1">_xll.meCurveForwardRates(C1244,$D$9,$D$10)</f>
        <v>1.4705542751066503E-2</v>
      </c>
      <c r="G1244" s="7" t="s">
        <v>4</v>
      </c>
      <c r="H1244" s="149">
        <f t="shared" ca="1" si="38"/>
        <v>44238</v>
      </c>
      <c r="I1244" s="20">
        <f ca="1">_xll.meDateFromTenor(H1244,"3M","Following",$I$11,"Normal")</f>
        <v>44327</v>
      </c>
      <c r="J1244" s="150">
        <f ca="1"/>
        <v>1.8605534604476663E-2</v>
      </c>
      <c r="K1244" s="7" t="s">
        <v>4</v>
      </c>
      <c r="L1244" s="149" t="e">
        <f ca="1">_xll.meDateFromTenor(L1243,"1D","FOLLOWING",#REF!,"NORMAL")</f>
        <v>#VALUE!</v>
      </c>
      <c r="M1244" s="155">
        <f ca="1">_xll.meDateYearFraction(C1244,D1244,$M$11)</f>
        <v>2.7777777777777779E-3</v>
      </c>
      <c r="N1244" s="150">
        <f ca="1"/>
        <v>-2.4300000000065936E-3</v>
      </c>
      <c r="O1244" s="7" t="s">
        <v>4</v>
      </c>
      <c r="P1244" s="149">
        <f t="shared" ca="1" si="39"/>
        <v>44238</v>
      </c>
      <c r="Q1244" s="155">
        <f ca="1">_xll.meDateYearFraction(H1244,I1244,$Q$11,TRUE)</f>
        <v>0.24722222222222223</v>
      </c>
      <c r="R1244" s="150">
        <f ca="1">IF(NOW(),_xll.meCurveForwardRatesFromYearFraction(P1244,Q1244,$Q$11,$Q$9,$Q$10))</f>
        <v>2.5465866851797979E-3</v>
      </c>
      <c r="S1244" s="134" t="s">
        <v>4</v>
      </c>
    </row>
    <row r="1245" spans="1:19" x14ac:dyDescent="0.25">
      <c r="A1245" s="128">
        <v>1229</v>
      </c>
      <c r="B1245" s="133"/>
      <c r="C1245" s="149">
        <f ca="1">_xll.meDateFromTenor(C1244,"1D","FOLLOWING",$D$11,"NORMAL")</f>
        <v>44239</v>
      </c>
      <c r="D1245" s="20">
        <f ca="1">_xll.meDateFromTenor(C1245,"1D","Following",$D$11,"Normal")</f>
        <v>44243</v>
      </c>
      <c r="E1245" s="99">
        <f ca="1"/>
        <v>1.4605697108081069E-2</v>
      </c>
      <c r="F1245" s="161">
        <f ca="1">_xll.meCurveForwardRates(C1245,$D$9,$D$10)</f>
        <v>1.4708048014278274E-2</v>
      </c>
      <c r="G1245" s="7" t="s">
        <v>4</v>
      </c>
      <c r="H1245" s="149">
        <f t="shared" ca="1" si="38"/>
        <v>44239</v>
      </c>
      <c r="I1245" s="20">
        <f ca="1">_xll.meDateFromTenor(H1245,"3M","Following",$I$11,"Normal")</f>
        <v>44328</v>
      </c>
      <c r="J1245" s="150">
        <f ca="1"/>
        <v>1.8609866174480263E-2</v>
      </c>
      <c r="K1245" s="7" t="s">
        <v>4</v>
      </c>
      <c r="L1245" s="149" t="e">
        <f ca="1">_xll.meDateFromTenor(L1244,"1D","FOLLOWING",#REF!,"NORMAL")</f>
        <v>#VALUE!</v>
      </c>
      <c r="M1245" s="155">
        <f ca="1">_xll.meDateYearFraction(C1245,D1245,$M$11)</f>
        <v>1.1111111111111112E-2</v>
      </c>
      <c r="N1245" s="150">
        <f ca="1"/>
        <v>-2.4300000000065936E-3</v>
      </c>
      <c r="O1245" s="7" t="s">
        <v>4</v>
      </c>
      <c r="P1245" s="149">
        <f t="shared" ca="1" si="39"/>
        <v>44239</v>
      </c>
      <c r="Q1245" s="155">
        <f ca="1">_xll.meDateYearFraction(H1245,I1245,$Q$11,TRUE)</f>
        <v>0.24722222222222223</v>
      </c>
      <c r="R1245" s="150">
        <f ca="1">IF(NOW(),_xll.meCurveForwardRatesFromYearFraction(P1245,Q1245,$Q$11,$Q$9,$Q$10))</f>
        <v>2.5526705237373781E-3</v>
      </c>
      <c r="S1245" s="134" t="s">
        <v>4</v>
      </c>
    </row>
    <row r="1246" spans="1:19" x14ac:dyDescent="0.25">
      <c r="A1246" s="128">
        <v>1230</v>
      </c>
      <c r="B1246" s="133"/>
      <c r="C1246" s="149">
        <f ca="1">_xll.meDateFromTenor(C1245,"1D","FOLLOWING",$D$11,"NORMAL")</f>
        <v>44243</v>
      </c>
      <c r="D1246" s="20">
        <f ca="1">_xll.meDateFromTenor(C1246,"1D","Following",$D$11,"Normal")</f>
        <v>44244</v>
      </c>
      <c r="E1246" s="99">
        <f ca="1"/>
        <v>1.4610605809204305E-2</v>
      </c>
      <c r="F1246" s="161">
        <f ca="1">_xll.meCurveForwardRates(C1246,$D$9,$D$10)</f>
        <v>1.4717561593777351E-2</v>
      </c>
      <c r="G1246" s="7" t="s">
        <v>4</v>
      </c>
      <c r="H1246" s="149">
        <f t="shared" ca="1" si="38"/>
        <v>44243</v>
      </c>
      <c r="I1246" s="20">
        <f ca="1">_xll.meDateFromTenor(H1246,"3M","Following",$I$11,"Normal")</f>
        <v>44333</v>
      </c>
      <c r="J1246" s="150">
        <f ca="1"/>
        <v>1.862734517543653E-2</v>
      </c>
      <c r="K1246" s="7" t="s">
        <v>4</v>
      </c>
      <c r="L1246" s="149" t="e">
        <f ca="1">_xll.meDateFromTenor(L1245,"1D","FOLLOWING",#REF!,"NORMAL")</f>
        <v>#VALUE!</v>
      </c>
      <c r="M1246" s="155">
        <f ca="1">_xll.meDateYearFraction(C1246,D1246,$M$11)</f>
        <v>2.7777777777777779E-3</v>
      </c>
      <c r="N1246" s="150">
        <f ca="1"/>
        <v>-2.4300000000065936E-3</v>
      </c>
      <c r="O1246" s="7" t="s">
        <v>4</v>
      </c>
      <c r="P1246" s="149">
        <f t="shared" ca="1" si="39"/>
        <v>44243</v>
      </c>
      <c r="Q1246" s="155">
        <f ca="1">_xll.meDateYearFraction(H1246,I1246,$Q$11,TRUE)</f>
        <v>0.25</v>
      </c>
      <c r="R1246" s="150">
        <f ca="1">IF(NOW(),_xll.meCurveForwardRatesFromYearFraction(P1246,Q1246,$Q$11,$Q$9,$Q$10))</f>
        <v>-3.7175485397107962E-3</v>
      </c>
      <c r="S1246" s="134" t="s">
        <v>4</v>
      </c>
    </row>
    <row r="1247" spans="1:19" x14ac:dyDescent="0.25">
      <c r="A1247" s="128">
        <v>1231</v>
      </c>
      <c r="B1247" s="133"/>
      <c r="C1247" s="149">
        <f ca="1">_xll.meDateFromTenor(C1246,"1D","FOLLOWING",$D$11,"NORMAL")</f>
        <v>44244</v>
      </c>
      <c r="D1247" s="20">
        <f ca="1">_xll.meDateFromTenor(C1247,"1D","Following",$D$11,"Normal")</f>
        <v>44245</v>
      </c>
      <c r="E1247" s="99">
        <f ca="1"/>
        <v>1.461282472482023E-2</v>
      </c>
      <c r="F1247" s="161">
        <f ca="1">_xll.meCurveForwardRates(C1247,$D$9,$D$10)</f>
        <v>1.4719813077535004E-2</v>
      </c>
      <c r="G1247" s="7" t="s">
        <v>4</v>
      </c>
      <c r="H1247" s="149">
        <f t="shared" ca="1" si="38"/>
        <v>44244</v>
      </c>
      <c r="I1247" s="20">
        <f ca="1">_xll.meDateFromTenor(H1247,"3M","Following",$I$11,"Normal")</f>
        <v>44333</v>
      </c>
      <c r="J1247" s="150">
        <f ca="1"/>
        <v>1.8631753933497208E-2</v>
      </c>
      <c r="K1247" s="7" t="s">
        <v>4</v>
      </c>
      <c r="L1247" s="149" t="e">
        <f ca="1">_xll.meDateFromTenor(L1246,"1D","FOLLOWING",#REF!,"NORMAL")</f>
        <v>#VALUE!</v>
      </c>
      <c r="M1247" s="155">
        <f ca="1">_xll.meDateYearFraction(C1247,D1247,$M$11)</f>
        <v>2.7777777777777779E-3</v>
      </c>
      <c r="N1247" s="150">
        <f ca="1"/>
        <v>-2.4300000000065936E-3</v>
      </c>
      <c r="O1247" s="7" t="s">
        <v>4</v>
      </c>
      <c r="P1247" s="149">
        <f t="shared" ca="1" si="39"/>
        <v>44244</v>
      </c>
      <c r="Q1247" s="155">
        <f ca="1">_xll.meDateYearFraction(H1247,I1247,$Q$11,TRUE)</f>
        <v>0.24722222222222223</v>
      </c>
      <c r="R1247" s="150">
        <f ca="1">IF(NOW(),_xll.meCurveForwardRatesFromYearFraction(P1247,Q1247,$Q$11,$Q$9,$Q$10))</f>
        <v>2.5831696845163656E-3</v>
      </c>
      <c r="S1247" s="134" t="s">
        <v>4</v>
      </c>
    </row>
    <row r="1248" spans="1:19" x14ac:dyDescent="0.25">
      <c r="A1248" s="128">
        <v>1232</v>
      </c>
      <c r="B1248" s="133"/>
      <c r="C1248" s="149">
        <f ca="1">_xll.meDateFromTenor(C1247,"1D","FOLLOWING",$D$11,"NORMAL")</f>
        <v>44245</v>
      </c>
      <c r="D1248" s="20">
        <f ca="1">_xll.meDateFromTenor(C1248,"1D","Following",$D$11,"Normal")</f>
        <v>44246</v>
      </c>
      <c r="E1248" s="99">
        <f ca="1"/>
        <v>1.4614993588704042E-2</v>
      </c>
      <c r="F1248" s="161">
        <f ca="1">_xll.meCurveForwardRates(C1248,$D$9,$D$10)</f>
        <v>1.4722013779740584E-2</v>
      </c>
      <c r="G1248" s="7" t="s">
        <v>4</v>
      </c>
      <c r="H1248" s="149">
        <f t="shared" ca="1" si="38"/>
        <v>44245</v>
      </c>
      <c r="I1248" s="20">
        <f ca="1">_xll.meDateFromTenor(H1248,"3M","Following",$I$11,"Normal")</f>
        <v>44334</v>
      </c>
      <c r="J1248" s="150">
        <f ca="1"/>
        <v>1.8636178625720985E-2</v>
      </c>
      <c r="K1248" s="7" t="s">
        <v>4</v>
      </c>
      <c r="L1248" s="149" t="e">
        <f ca="1">_xll.meDateFromTenor(L1247,"1D","FOLLOWING",#REF!,"NORMAL")</f>
        <v>#VALUE!</v>
      </c>
      <c r="M1248" s="155">
        <f ca="1">_xll.meDateYearFraction(C1248,D1248,$M$11)</f>
        <v>2.7777777777777779E-3</v>
      </c>
      <c r="N1248" s="150">
        <f ca="1"/>
        <v>-2.4300000000065936E-3</v>
      </c>
      <c r="O1248" s="7" t="s">
        <v>4</v>
      </c>
      <c r="P1248" s="149">
        <f t="shared" ca="1" si="39"/>
        <v>44245</v>
      </c>
      <c r="Q1248" s="155">
        <f ca="1">_xll.meDateYearFraction(H1248,I1248,$Q$11,TRUE)</f>
        <v>0.24722222222222223</v>
      </c>
      <c r="R1248" s="150">
        <f ca="1">IF(NOW(),_xll.meCurveForwardRatesFromYearFraction(P1248,Q1248,$Q$11,$Q$9,$Q$10))</f>
        <v>-3.7175485397107962E-3</v>
      </c>
      <c r="S1248" s="134" t="s">
        <v>4</v>
      </c>
    </row>
    <row r="1249" spans="1:19" x14ac:dyDescent="0.25">
      <c r="A1249" s="128">
        <v>1233</v>
      </c>
      <c r="B1249" s="133"/>
      <c r="C1249" s="149">
        <f ca="1">_xll.meDateFromTenor(C1248,"1D","FOLLOWING",$D$11,"NORMAL")</f>
        <v>44246</v>
      </c>
      <c r="D1249" s="20">
        <f ca="1">_xll.meDateFromTenor(C1249,"1D","Following",$D$11,"Normal")</f>
        <v>44249</v>
      </c>
      <c r="E1249" s="99">
        <f ca="1"/>
        <v>1.4619758111217017E-2</v>
      </c>
      <c r="F1249" s="161">
        <f ca="1">_xll.meCurveForwardRates(C1249,$D$9,$D$10)</f>
        <v>1.4724163691729242E-2</v>
      </c>
      <c r="G1249" s="7" t="s">
        <v>4</v>
      </c>
      <c r="H1249" s="149">
        <f t="shared" ca="1" si="38"/>
        <v>44246</v>
      </c>
      <c r="I1249" s="20">
        <f ca="1">_xll.meDateFromTenor(H1249,"3M","Following",$I$11,"Normal")</f>
        <v>44335</v>
      </c>
      <c r="J1249" s="150">
        <f ca="1"/>
        <v>1.8640619417625098E-2</v>
      </c>
      <c r="K1249" s="7" t="s">
        <v>4</v>
      </c>
      <c r="L1249" s="149" t="e">
        <f ca="1">_xll.meDateFromTenor(L1248,"1D","FOLLOWING",#REF!,"NORMAL")</f>
        <v>#VALUE!</v>
      </c>
      <c r="M1249" s="155">
        <f ca="1">_xll.meDateYearFraction(C1249,D1249,$M$11)</f>
        <v>8.3333333333333332E-3</v>
      </c>
      <c r="N1249" s="150">
        <f ca="1"/>
        <v>-2.4300000000065936E-3</v>
      </c>
      <c r="O1249" s="7" t="s">
        <v>4</v>
      </c>
      <c r="P1249" s="149">
        <f t="shared" ca="1" si="39"/>
        <v>44246</v>
      </c>
      <c r="Q1249" s="155">
        <f ca="1">_xll.meDateYearFraction(H1249,I1249,$Q$11,TRUE)</f>
        <v>0.24722222222222223</v>
      </c>
      <c r="R1249" s="150">
        <f ca="1">IF(NOW(),_xll.meCurveForwardRatesFromYearFraction(P1249,Q1249,$Q$11,$Q$9,$Q$10))</f>
        <v>2.5954082632694089E-3</v>
      </c>
      <c r="S1249" s="134" t="s">
        <v>4</v>
      </c>
    </row>
    <row r="1250" spans="1:19" x14ac:dyDescent="0.25">
      <c r="A1250" s="128">
        <v>1234</v>
      </c>
      <c r="B1250" s="133"/>
      <c r="C1250" s="149">
        <f ca="1">_xll.meDateFromTenor(C1249,"1D","FOLLOWING",$D$11,"NORMAL")</f>
        <v>44249</v>
      </c>
      <c r="D1250" s="20">
        <f ca="1">_xll.meDateFromTenor(C1250,"1D","Following",$D$11,"Normal")</f>
        <v>44250</v>
      </c>
      <c r="E1250" s="99">
        <f ca="1"/>
        <v>1.4623168364280504E-2</v>
      </c>
      <c r="F1250" s="161">
        <f ca="1">_xll.meCurveForwardRates(C1250,$D$9,$D$10)</f>
        <v>1.4730308601539122E-2</v>
      </c>
      <c r="G1250" s="7" t="s">
        <v>4</v>
      </c>
      <c r="H1250" s="149">
        <f t="shared" ca="1" si="38"/>
        <v>44249</v>
      </c>
      <c r="I1250" s="20">
        <f ca="1">_xll.meDateFromTenor(H1250,"3M","Following",$I$11,"Normal")</f>
        <v>44340</v>
      </c>
      <c r="J1250" s="150">
        <f ca="1"/>
        <v>1.8654040046591713E-2</v>
      </c>
      <c r="K1250" s="7" t="s">
        <v>4</v>
      </c>
      <c r="L1250" s="149" t="e">
        <f ca="1">_xll.meDateFromTenor(L1249,"1D","FOLLOWING",#REF!,"NORMAL")</f>
        <v>#VALUE!</v>
      </c>
      <c r="M1250" s="155">
        <f ca="1">_xll.meDateYearFraction(C1250,D1250,$M$11)</f>
        <v>2.7777777777777779E-3</v>
      </c>
      <c r="N1250" s="150">
        <f ca="1"/>
        <v>-2.4300000000065936E-3</v>
      </c>
      <c r="O1250" s="7" t="s">
        <v>4</v>
      </c>
      <c r="P1250" s="149">
        <f t="shared" ca="1" si="39"/>
        <v>44249</v>
      </c>
      <c r="Q1250" s="155">
        <f ca="1">_xll.meDateYearFraction(H1250,I1250,$Q$11,TRUE)</f>
        <v>0.25277777777777777</v>
      </c>
      <c r="R1250" s="150">
        <f ca="1">IF(NOW(),_xll.meCurveForwardRatesFromYearFraction(P1250,Q1250,$Q$11,$Q$9,$Q$10))</f>
        <v>2.6138099630044578E-3</v>
      </c>
      <c r="S1250" s="134" t="s">
        <v>4</v>
      </c>
    </row>
    <row r="1251" spans="1:19" x14ac:dyDescent="0.25">
      <c r="A1251" s="128">
        <v>1235</v>
      </c>
      <c r="B1251" s="133"/>
      <c r="C1251" s="149">
        <f ca="1">_xll.meDateFromTenor(C1250,"1D","FOLLOWING",$D$11,"NORMAL")</f>
        <v>44250</v>
      </c>
      <c r="D1251" s="20">
        <f ca="1">_xll.meDateFromTenor(C1251,"1D","Following",$D$11,"Normal")</f>
        <v>44251</v>
      </c>
      <c r="E1251" s="99">
        <f ca="1"/>
        <v>1.4625968784341029E-2</v>
      </c>
      <c r="F1251" s="161">
        <f ca="1">_xll.meCurveForwardRates(C1251,$D$9,$D$10)</f>
        <v>1.4733150161195141E-2</v>
      </c>
      <c r="G1251" s="7" t="s">
        <v>4</v>
      </c>
      <c r="H1251" s="149">
        <f t="shared" ca="1" si="38"/>
        <v>44250</v>
      </c>
      <c r="I1251" s="20">
        <f ca="1">_xll.meDateFromTenor(H1251,"3M","Following",$I$11,"Normal")</f>
        <v>44340</v>
      </c>
      <c r="J1251" s="150">
        <f ca="1"/>
        <v>1.8658546892389445E-2</v>
      </c>
      <c r="K1251" s="7" t="s">
        <v>4</v>
      </c>
      <c r="L1251" s="149" t="e">
        <f ca="1">_xll.meDateFromTenor(L1250,"1D","FOLLOWING",#REF!,"NORMAL")</f>
        <v>#VALUE!</v>
      </c>
      <c r="M1251" s="155">
        <f ca="1">_xll.meDateYearFraction(C1251,D1251,$M$11)</f>
        <v>2.7777777777777779E-3</v>
      </c>
      <c r="N1251" s="150">
        <f ca="1"/>
        <v>-2.4300000000065936E-3</v>
      </c>
      <c r="O1251" s="7" t="s">
        <v>4</v>
      </c>
      <c r="P1251" s="149">
        <f t="shared" ca="1" si="39"/>
        <v>44250</v>
      </c>
      <c r="Q1251" s="155">
        <f ca="1">_xll.meDateYearFraction(H1251,I1251,$Q$11,TRUE)</f>
        <v>0.25</v>
      </c>
      <c r="R1251" s="150">
        <f ca="1">IF(NOW(),_xll.meCurveForwardRatesFromYearFraction(P1251,Q1251,$Q$11,$Q$9,$Q$10))</f>
        <v>-3.7175485397107962E-3</v>
      </c>
      <c r="S1251" s="134" t="s">
        <v>4</v>
      </c>
    </row>
    <row r="1252" spans="1:19" x14ac:dyDescent="0.25">
      <c r="A1252" s="128">
        <v>1236</v>
      </c>
      <c r="B1252" s="133"/>
      <c r="C1252" s="149">
        <f ca="1">_xll.meDateFromTenor(C1251,"1D","FOLLOWING",$D$11,"NORMAL")</f>
        <v>44251</v>
      </c>
      <c r="D1252" s="20">
        <f ca="1">_xll.meDateFromTenor(C1252,"1D","Following",$D$11,"Normal")</f>
        <v>44252</v>
      </c>
      <c r="E1252" s="99">
        <f ca="1"/>
        <v>1.4629630093592128E-2</v>
      </c>
      <c r="F1252" s="161">
        <f ca="1">_xll.meCurveForwardRates(C1252,$D$9,$D$10)</f>
        <v>1.473686526891127E-2</v>
      </c>
      <c r="G1252" s="7" t="s">
        <v>4</v>
      </c>
      <c r="H1252" s="149">
        <f t="shared" ca="1" si="38"/>
        <v>44251</v>
      </c>
      <c r="I1252" s="20">
        <f ca="1">_xll.meDateFromTenor(H1252,"3M","Following",$I$11,"Normal")</f>
        <v>44340</v>
      </c>
      <c r="J1252" s="150">
        <f ca="1"/>
        <v>1.8663088452587396E-2</v>
      </c>
      <c r="K1252" s="7" t="s">
        <v>4</v>
      </c>
      <c r="L1252" s="149" t="e">
        <f ca="1">_xll.meDateFromTenor(L1251,"1D","FOLLOWING",#REF!,"NORMAL")</f>
        <v>#VALUE!</v>
      </c>
      <c r="M1252" s="155">
        <f ca="1">_xll.meDateYearFraction(C1252,D1252,$M$11)</f>
        <v>2.7777777777777779E-3</v>
      </c>
      <c r="N1252" s="150">
        <f ca="1"/>
        <v>-2.4300000000065936E-3</v>
      </c>
      <c r="O1252" s="7" t="s">
        <v>4</v>
      </c>
      <c r="P1252" s="149">
        <f t="shared" ca="1" si="39"/>
        <v>44251</v>
      </c>
      <c r="Q1252" s="155">
        <f ca="1">_xll.meDateYearFraction(H1252,I1252,$Q$11,TRUE)</f>
        <v>0.24722222222222223</v>
      </c>
      <c r="R1252" s="150">
        <f ca="1">IF(NOW(),_xll.meCurveForwardRatesFromYearFraction(P1252,Q1252,$Q$11,$Q$9,$Q$10))</f>
        <v>-3.7175485397107962E-3</v>
      </c>
      <c r="S1252" s="134" t="s">
        <v>4</v>
      </c>
    </row>
    <row r="1253" spans="1:19" x14ac:dyDescent="0.25">
      <c r="A1253" s="128">
        <v>1237</v>
      </c>
      <c r="B1253" s="133"/>
      <c r="C1253" s="149">
        <f ca="1">_xll.meDateFromTenor(C1252,"1D","FOLLOWING",$D$11,"NORMAL")</f>
        <v>44252</v>
      </c>
      <c r="D1253" s="20">
        <f ca="1">_xll.meDateFromTenor(C1253,"1D","Following",$D$11,"Normal")</f>
        <v>44253</v>
      </c>
      <c r="E1253" s="99">
        <f ca="1"/>
        <v>1.4633284878471547E-2</v>
      </c>
      <c r="F1253" s="161">
        <f ca="1">_xll.meCurveForwardRates(C1253,$D$9,$D$10)</f>
        <v>1.4740573769915555E-2</v>
      </c>
      <c r="G1253" s="7" t="s">
        <v>4</v>
      </c>
      <c r="H1253" s="149">
        <f t="shared" ca="1" si="38"/>
        <v>44252</v>
      </c>
      <c r="I1253" s="20">
        <f ca="1">_xll.meDateFromTenor(H1253,"3M","Following",$I$11,"Normal")</f>
        <v>44341</v>
      </c>
      <c r="J1253" s="150">
        <f ca="1"/>
        <v>1.8667681192791229E-2</v>
      </c>
      <c r="K1253" s="7" t="s">
        <v>4</v>
      </c>
      <c r="L1253" s="149" t="e">
        <f ca="1">_xll.meDateFromTenor(L1252,"1D","FOLLOWING",#REF!,"NORMAL")</f>
        <v>#VALUE!</v>
      </c>
      <c r="M1253" s="155">
        <f ca="1">_xll.meDateYearFraction(C1253,D1253,$M$11)</f>
        <v>2.7777777777777779E-3</v>
      </c>
      <c r="N1253" s="150">
        <f ca="1"/>
        <v>-2.4300000000065936E-3</v>
      </c>
      <c r="O1253" s="7" t="s">
        <v>4</v>
      </c>
      <c r="P1253" s="149">
        <f t="shared" ca="1" si="39"/>
        <v>44252</v>
      </c>
      <c r="Q1253" s="155">
        <f ca="1">_xll.meDateYearFraction(H1253,I1253,$Q$11,TRUE)</f>
        <v>0.24722222222222223</v>
      </c>
      <c r="R1253" s="150">
        <f ca="1">IF(NOW(),_xll.meCurveForwardRatesFromYearFraction(P1253,Q1253,$Q$11,$Q$9,$Q$10))</f>
        <v>2.6322538832754248E-3</v>
      </c>
      <c r="S1253" s="134" t="s">
        <v>4</v>
      </c>
    </row>
    <row r="1254" spans="1:19" x14ac:dyDescent="0.25">
      <c r="A1254" s="128">
        <v>1238</v>
      </c>
      <c r="B1254" s="133"/>
      <c r="C1254" s="149">
        <f ca="1">_xll.meDateFromTenor(C1253,"1D","FOLLOWING",$D$11,"NORMAL")</f>
        <v>44253</v>
      </c>
      <c r="D1254" s="20">
        <f ca="1">_xll.meDateFromTenor(C1254,"1D","Following",$D$11,"Normal")</f>
        <v>44256</v>
      </c>
      <c r="E1254" s="99">
        <f ca="1"/>
        <v>1.4641168110535556E-2</v>
      </c>
      <c r="F1254" s="161">
        <f ca="1">_xll.meCurveForwardRates(C1254,$D$9,$D$10)</f>
        <v>1.474427566322456E-2</v>
      </c>
      <c r="G1254" s="7" t="s">
        <v>4</v>
      </c>
      <c r="H1254" s="149">
        <f t="shared" ca="1" si="38"/>
        <v>44253</v>
      </c>
      <c r="I1254" s="20">
        <f ca="1">_xll.meDateFromTenor(H1254,"3M","Following",$I$11,"Normal")</f>
        <v>44342</v>
      </c>
      <c r="J1254" s="150">
        <f ca="1"/>
        <v>1.86723230479502E-2</v>
      </c>
      <c r="K1254" s="7" t="s">
        <v>4</v>
      </c>
      <c r="L1254" s="149" t="e">
        <f ca="1">_xll.meDateFromTenor(L1253,"1D","FOLLOWING",#REF!,"NORMAL")</f>
        <v>#VALUE!</v>
      </c>
      <c r="M1254" s="155">
        <f ca="1">_xll.meDateYearFraction(C1254,D1254,$M$11)</f>
        <v>8.3333333333333332E-3</v>
      </c>
      <c r="N1254" s="150">
        <f ca="1"/>
        <v>-2.4300000000065936E-3</v>
      </c>
      <c r="O1254" s="7" t="s">
        <v>4</v>
      </c>
      <c r="P1254" s="149">
        <f t="shared" ca="1" si="39"/>
        <v>44253</v>
      </c>
      <c r="Q1254" s="155">
        <f ca="1">_xll.meDateYearFraction(H1254,I1254,$Q$11,TRUE)</f>
        <v>0.24722222222222223</v>
      </c>
      <c r="R1254" s="150">
        <f ca="1">IF(NOW(),_xll.meCurveForwardRatesFromYearFraction(P1254,Q1254,$Q$11,$Q$9,$Q$10))</f>
        <v>-3.7175485397107962E-3</v>
      </c>
      <c r="S1254" s="134" t="s">
        <v>4</v>
      </c>
    </row>
    <row r="1255" spans="1:19" x14ac:dyDescent="0.25">
      <c r="A1255" s="128">
        <v>1239</v>
      </c>
      <c r="B1255" s="133"/>
      <c r="C1255" s="149">
        <f ca="1">_xll.meDateFromTenor(C1254,"1D","FOLLOWING",$D$11,"NORMAL")</f>
        <v>44256</v>
      </c>
      <c r="D1255" s="20">
        <f ca="1">_xll.meDateFromTenor(C1255,"1D","Following",$D$11,"Normal")</f>
        <v>44257</v>
      </c>
      <c r="E1255" s="99">
        <f ca="1"/>
        <v>1.4647838756094607E-2</v>
      </c>
      <c r="F1255" s="161">
        <f ca="1">_xll.meCurveForwardRates(C1255,$D$9,$D$10)</f>
        <v>1.4755341686925272E-2</v>
      </c>
      <c r="G1255" s="7" t="s">
        <v>4</v>
      </c>
      <c r="H1255" s="149">
        <f t="shared" ca="1" si="38"/>
        <v>44256</v>
      </c>
      <c r="I1255" s="20">
        <f ca="1">_xll.meDateFromTenor(H1255,"3M","Following",$I$11,"Normal")</f>
        <v>44348</v>
      </c>
      <c r="J1255" s="150">
        <f ca="1"/>
        <v>1.8686522652650469E-2</v>
      </c>
      <c r="K1255" s="7" t="s">
        <v>4</v>
      </c>
      <c r="L1255" s="149" t="e">
        <f ca="1">_xll.meDateFromTenor(L1254,"1D","FOLLOWING",#REF!,"NORMAL")</f>
        <v>#VALUE!</v>
      </c>
      <c r="M1255" s="155">
        <f ca="1">_xll.meDateYearFraction(C1255,D1255,$M$11)</f>
        <v>2.7777777777777779E-3</v>
      </c>
      <c r="N1255" s="150">
        <f ca="1"/>
        <v>-2.4300000000065936E-3</v>
      </c>
      <c r="O1255" s="7" t="s">
        <v>4</v>
      </c>
      <c r="P1255" s="149">
        <f t="shared" ca="1" si="39"/>
        <v>44256</v>
      </c>
      <c r="Q1255" s="155">
        <f ca="1">_xll.meDateYearFraction(H1255,I1255,$Q$11,TRUE)</f>
        <v>0.25555555555555554</v>
      </c>
      <c r="R1255" s="150">
        <f ca="1">IF(NOW(),_xll.meCurveForwardRatesFromYearFraction(P1255,Q1255,$Q$11,$Q$9,$Q$10))</f>
        <v>2.6568498631181865E-3</v>
      </c>
      <c r="S1255" s="134" t="s">
        <v>4</v>
      </c>
    </row>
    <row r="1256" spans="1:19" x14ac:dyDescent="0.25">
      <c r="A1256" s="128">
        <v>1240</v>
      </c>
      <c r="B1256" s="133"/>
      <c r="C1256" s="149">
        <f ca="1">_xll.meDateFromTenor(C1255,"1D","FOLLOWING",$D$11,"NORMAL")</f>
        <v>44257</v>
      </c>
      <c r="D1256" s="20">
        <f ca="1">_xll.meDateFromTenor(C1256,"1D","Following",$D$11,"Normal")</f>
        <v>44258</v>
      </c>
      <c r="E1256" s="99">
        <f ca="1"/>
        <v>1.465146090499074E-2</v>
      </c>
      <c r="F1256" s="161">
        <f ca="1">_xll.meCurveForwardRates(C1256,$D$9,$D$10)</f>
        <v>1.4759017138955555E-2</v>
      </c>
      <c r="G1256" s="7" t="s">
        <v>4</v>
      </c>
      <c r="H1256" s="149">
        <f t="shared" ca="1" si="38"/>
        <v>44257</v>
      </c>
      <c r="I1256" s="20">
        <f ca="1">_xll.meDateFromTenor(H1256,"3M","Following",$I$11,"Normal")</f>
        <v>44349</v>
      </c>
      <c r="J1256" s="150">
        <f ca="1"/>
        <v>1.8691340317122523E-2</v>
      </c>
      <c r="K1256" s="7" t="s">
        <v>4</v>
      </c>
      <c r="L1256" s="149" t="e">
        <f ca="1">_xll.meDateFromTenor(L1255,"1D","FOLLOWING",#REF!,"NORMAL")</f>
        <v>#VALUE!</v>
      </c>
      <c r="M1256" s="155">
        <f ca="1">_xll.meDateYearFraction(C1256,D1256,$M$11)</f>
        <v>2.7777777777777779E-3</v>
      </c>
      <c r="N1256" s="150">
        <f ca="1"/>
        <v>-2.4300000000065936E-3</v>
      </c>
      <c r="O1256" s="7" t="s">
        <v>4</v>
      </c>
      <c r="P1256" s="149">
        <f t="shared" ca="1" si="39"/>
        <v>44257</v>
      </c>
      <c r="Q1256" s="155">
        <f ca="1">_xll.meDateYearFraction(H1256,I1256,$Q$11,TRUE)</f>
        <v>0.25555555555555554</v>
      </c>
      <c r="R1256" s="150">
        <f ca="1">IF(NOW(),_xll.meCurveForwardRatesFromYearFraction(P1256,Q1256,$Q$11,$Q$9,$Q$10))</f>
        <v>-3.7175485397107962E-3</v>
      </c>
      <c r="S1256" s="134" t="s">
        <v>4</v>
      </c>
    </row>
    <row r="1257" spans="1:19" x14ac:dyDescent="0.25">
      <c r="A1257" s="128">
        <v>1241</v>
      </c>
      <c r="B1257" s="133"/>
      <c r="C1257" s="149">
        <f ca="1">_xll.meDateFromTenor(C1256,"1D","FOLLOWING",$D$11,"NORMAL")</f>
        <v>44258</v>
      </c>
      <c r="D1257" s="20">
        <f ca="1">_xll.meDateFromTenor(C1257,"1D","Following",$D$11,"Normal")</f>
        <v>44259</v>
      </c>
      <c r="E1257" s="99">
        <f ca="1"/>
        <v>1.4655076523759811E-2</v>
      </c>
      <c r="F1257" s="161">
        <f ca="1">_xll.meCurveForwardRates(C1257,$D$9,$D$10)</f>
        <v>1.4762685978001899E-2</v>
      </c>
      <c r="G1257" s="7" t="s">
        <v>4</v>
      </c>
      <c r="H1257" s="149">
        <f t="shared" ca="1" si="38"/>
        <v>44258</v>
      </c>
      <c r="I1257" s="20">
        <f ca="1">_xll.meDateFromTenor(H1257,"3M","Following",$I$11,"Normal")</f>
        <v>44350</v>
      </c>
      <c r="J1257" s="150">
        <f ca="1"/>
        <v>1.8696196771295987E-2</v>
      </c>
      <c r="K1257" s="7" t="s">
        <v>4</v>
      </c>
      <c r="L1257" s="149" t="e">
        <f ca="1">_xll.meDateFromTenor(L1256,"1D","FOLLOWING",#REF!,"NORMAL")</f>
        <v>#VALUE!</v>
      </c>
      <c r="M1257" s="155">
        <f ca="1">_xll.meDateYearFraction(C1257,D1257,$M$11)</f>
        <v>2.7777777777777779E-3</v>
      </c>
      <c r="N1257" s="150">
        <f ca="1"/>
        <v>-2.4300000000065936E-3</v>
      </c>
      <c r="O1257" s="7" t="s">
        <v>4</v>
      </c>
      <c r="P1257" s="149">
        <f t="shared" ca="1" si="39"/>
        <v>44258</v>
      </c>
      <c r="Q1257" s="155">
        <f ca="1">_xll.meDateYearFraction(H1257,I1257,$Q$11,TRUE)</f>
        <v>0.25555555555555554</v>
      </c>
      <c r="R1257" s="150">
        <f ca="1">IF(NOW(),_xll.meCurveForwardRatesFromYearFraction(P1257,Q1257,$Q$11,$Q$9,$Q$10))</f>
        <v>2.6691478530395654E-3</v>
      </c>
      <c r="S1257" s="134" t="s">
        <v>4</v>
      </c>
    </row>
    <row r="1258" spans="1:19" x14ac:dyDescent="0.25">
      <c r="A1258" s="128">
        <v>1242</v>
      </c>
      <c r="B1258" s="133"/>
      <c r="C1258" s="149">
        <f ca="1">_xll.meDateFromTenor(C1257,"1D","FOLLOWING",$D$11,"NORMAL")</f>
        <v>44259</v>
      </c>
      <c r="D1258" s="20">
        <f ca="1">_xll.meDateFromTenor(C1258,"1D","Following",$D$11,"Normal")</f>
        <v>44260</v>
      </c>
      <c r="E1258" s="99">
        <f ca="1"/>
        <v>1.4658685611423845E-2</v>
      </c>
      <c r="F1258" s="161">
        <f ca="1">_xll.meCurveForwardRates(C1258,$D$9,$D$10)</f>
        <v>1.4766348203000268E-2</v>
      </c>
      <c r="G1258" s="7" t="s">
        <v>4</v>
      </c>
      <c r="H1258" s="149">
        <f t="shared" ca="1" si="38"/>
        <v>44259</v>
      </c>
      <c r="I1258" s="20">
        <f ca="1">_xll.meDateFromTenor(H1258,"3M","Following",$I$11,"Normal")</f>
        <v>44351</v>
      </c>
      <c r="J1258" s="150">
        <f ca="1"/>
        <v>1.8701089950120122E-2</v>
      </c>
      <c r="K1258" s="7" t="s">
        <v>4</v>
      </c>
      <c r="L1258" s="149" t="e">
        <f ca="1">_xll.meDateFromTenor(L1257,"1D","FOLLOWING",#REF!,"NORMAL")</f>
        <v>#VALUE!</v>
      </c>
      <c r="M1258" s="155">
        <f ca="1">_xll.meDateYearFraction(C1258,D1258,$M$11)</f>
        <v>2.7777777777777779E-3</v>
      </c>
      <c r="N1258" s="150">
        <f ca="1"/>
        <v>-2.4300000000065936E-3</v>
      </c>
      <c r="O1258" s="7" t="s">
        <v>4</v>
      </c>
      <c r="P1258" s="149">
        <f t="shared" ca="1" si="39"/>
        <v>44259</v>
      </c>
      <c r="Q1258" s="155">
        <f ca="1">_xll.meDateYearFraction(H1258,I1258,$Q$11,TRUE)</f>
        <v>0.25555555555555554</v>
      </c>
      <c r="R1258" s="150">
        <f ca="1">IF(NOW(),_xll.meCurveForwardRatesFromYearFraction(P1258,Q1258,$Q$11,$Q$9,$Q$10))</f>
        <v>-3.7175485397107962E-3</v>
      </c>
      <c r="S1258" s="134" t="s">
        <v>4</v>
      </c>
    </row>
    <row r="1259" spans="1:19" x14ac:dyDescent="0.25">
      <c r="A1259" s="128">
        <v>1243</v>
      </c>
      <c r="B1259" s="133"/>
      <c r="C1259" s="149">
        <f ca="1">_xll.meDateFromTenor(C1258,"1D","FOLLOWING",$D$11,"NORMAL")</f>
        <v>44260</v>
      </c>
      <c r="D1259" s="20">
        <f ca="1">_xll.meDateFromTenor(C1259,"1D","Following",$D$11,"Normal")</f>
        <v>44263</v>
      </c>
      <c r="E1259" s="99">
        <f ca="1"/>
        <v>1.4666479486225849E-2</v>
      </c>
      <c r="F1259" s="161">
        <f ca="1">_xll.meCurveForwardRates(C1259,$D$9,$D$10)</f>
        <v>1.47700038127625E-2</v>
      </c>
      <c r="G1259" s="7" t="s">
        <v>4</v>
      </c>
      <c r="H1259" s="149">
        <f t="shared" ca="1" si="38"/>
        <v>44260</v>
      </c>
      <c r="I1259" s="20">
        <f ca="1">_xll.meDateFromTenor(H1259,"3M","Following",$I$11,"Normal")</f>
        <v>44354</v>
      </c>
      <c r="J1259" s="150">
        <f ca="1"/>
        <v>1.8706017788544166E-2</v>
      </c>
      <c r="K1259" s="7" t="s">
        <v>4</v>
      </c>
      <c r="L1259" s="149" t="e">
        <f ca="1">_xll.meDateFromTenor(L1258,"1D","FOLLOWING",#REF!,"NORMAL")</f>
        <v>#VALUE!</v>
      </c>
      <c r="M1259" s="155">
        <f ca="1">_xll.meDateYearFraction(C1259,D1259,$M$11)</f>
        <v>8.3333333333333332E-3</v>
      </c>
      <c r="N1259" s="150">
        <f ca="1"/>
        <v>-2.4300000000065936E-3</v>
      </c>
      <c r="O1259" s="7" t="s">
        <v>4</v>
      </c>
      <c r="P1259" s="149">
        <f t="shared" ca="1" si="39"/>
        <v>44260</v>
      </c>
      <c r="Q1259" s="155">
        <f ca="1">_xll.meDateYearFraction(H1259,I1259,$Q$11,TRUE)</f>
        <v>0.26111111111111113</v>
      </c>
      <c r="R1259" s="150">
        <f ca="1">IF(NOW(),_xll.meCurveForwardRatesFromYearFraction(P1259,Q1259,$Q$11,$Q$9,$Q$10))</f>
        <v>2.681445842960946E-3</v>
      </c>
      <c r="S1259" s="134" t="s">
        <v>4</v>
      </c>
    </row>
    <row r="1260" spans="1:19" x14ac:dyDescent="0.25">
      <c r="A1260" s="128">
        <v>1244</v>
      </c>
      <c r="B1260" s="133"/>
      <c r="C1260" s="149">
        <f ca="1">_xll.meDateFromTenor(C1259,"1D","FOLLOWING",$D$11,"NORMAL")</f>
        <v>44263</v>
      </c>
      <c r="D1260" s="20">
        <f ca="1">_xll.meDateFromTenor(C1260,"1D","Following",$D$11,"Normal")</f>
        <v>44264</v>
      </c>
      <c r="E1260" s="99">
        <f ca="1"/>
        <v>1.4673056630598518E-2</v>
      </c>
      <c r="F1260" s="161">
        <f ca="1">_xll.meCurveForwardRates(C1260,$D$9,$D$10)</f>
        <v>1.4780930940352821E-2</v>
      </c>
      <c r="G1260" s="7" t="s">
        <v>4</v>
      </c>
      <c r="H1260" s="149">
        <f t="shared" ca="1" si="38"/>
        <v>44263</v>
      </c>
      <c r="I1260" s="20">
        <f ca="1">_xll.meDateFromTenor(H1260,"3M","Following",$I$11,"Normal")</f>
        <v>44355</v>
      </c>
      <c r="J1260" s="150">
        <f ca="1"/>
        <v>1.8720988610908356E-2</v>
      </c>
      <c r="K1260" s="7" t="s">
        <v>4</v>
      </c>
      <c r="L1260" s="149" t="e">
        <f ca="1">_xll.meDateFromTenor(L1259,"1D","FOLLOWING",#REF!,"NORMAL")</f>
        <v>#VALUE!</v>
      </c>
      <c r="M1260" s="155">
        <f ca="1">_xll.meDateYearFraction(C1260,D1260,$M$11)</f>
        <v>2.7777777777777779E-3</v>
      </c>
      <c r="N1260" s="150">
        <f ca="1"/>
        <v>-2.4300000000065936E-3</v>
      </c>
      <c r="O1260" s="7" t="s">
        <v>4</v>
      </c>
      <c r="P1260" s="149">
        <f t="shared" ca="1" si="39"/>
        <v>44263</v>
      </c>
      <c r="Q1260" s="155">
        <f ca="1">_xll.meDateYearFraction(H1260,I1260,$Q$11,TRUE)</f>
        <v>0.25555555555555554</v>
      </c>
      <c r="R1260" s="150">
        <f ca="1">IF(NOW(),_xll.meCurveForwardRatesFromYearFraction(P1260,Q1260,$Q$11,$Q$9,$Q$10))</f>
        <v>-3.7175485397107962E-3</v>
      </c>
      <c r="S1260" s="134" t="s">
        <v>4</v>
      </c>
    </row>
    <row r="1261" spans="1:19" x14ac:dyDescent="0.25">
      <c r="A1261" s="128">
        <v>1245</v>
      </c>
      <c r="B1261" s="133"/>
      <c r="C1261" s="149">
        <f ca="1">_xll.meDateFromTenor(C1260,"1D","FOLLOWING",$D$11,"NORMAL")</f>
        <v>44264</v>
      </c>
      <c r="D1261" s="20">
        <f ca="1">_xll.meDateFromTenor(C1261,"1D","Following",$D$11,"Normal")</f>
        <v>44265</v>
      </c>
      <c r="E1261" s="99">
        <f ca="1"/>
        <v>1.4676633047681001E-2</v>
      </c>
      <c r="F1261" s="161">
        <f ca="1">_xll.meCurveForwardRates(C1261,$D$9,$D$10)</f>
        <v>1.4784560078762832E-2</v>
      </c>
      <c r="G1261" s="7" t="s">
        <v>4</v>
      </c>
      <c r="H1261" s="149">
        <f t="shared" ca="1" si="38"/>
        <v>44264</v>
      </c>
      <c r="I1261" s="20">
        <f ca="1">_xll.meDateFromTenor(H1261,"3M","Following",$I$11,"Normal")</f>
        <v>44356</v>
      </c>
      <c r="J1261" s="150">
        <f ca="1"/>
        <v>1.872603443722462E-2</v>
      </c>
      <c r="K1261" s="7" t="s">
        <v>4</v>
      </c>
      <c r="L1261" s="149" t="e">
        <f ca="1">_xll.meDateFromTenor(L1260,"1D","FOLLOWING",#REF!,"NORMAL")</f>
        <v>#VALUE!</v>
      </c>
      <c r="M1261" s="155">
        <f ca="1">_xll.meDateYearFraction(C1261,D1261,$M$11)</f>
        <v>2.7777777777777779E-3</v>
      </c>
      <c r="N1261" s="150">
        <f ca="1"/>
        <v>-2.4300000000065936E-3</v>
      </c>
      <c r="O1261" s="7" t="s">
        <v>4</v>
      </c>
      <c r="P1261" s="149">
        <f t="shared" ca="1" si="39"/>
        <v>44264</v>
      </c>
      <c r="Q1261" s="155">
        <f ca="1">_xll.meDateYearFraction(H1261,I1261,$Q$11,TRUE)</f>
        <v>0.25555555555555554</v>
      </c>
      <c r="R1261" s="150">
        <f ca="1">IF(NOW(),_xll.meCurveForwardRatesFromYearFraction(P1261,Q1261,$Q$11,$Q$9,$Q$10))</f>
        <v>2.7060418228037077E-3</v>
      </c>
      <c r="S1261" s="134" t="s">
        <v>4</v>
      </c>
    </row>
    <row r="1262" spans="1:19" x14ac:dyDescent="0.25">
      <c r="A1262" s="128">
        <v>1246</v>
      </c>
      <c r="B1262" s="133"/>
      <c r="C1262" s="149">
        <f ca="1">_xll.meDateFromTenor(C1261,"1D","FOLLOWING",$D$11,"NORMAL")</f>
        <v>44265</v>
      </c>
      <c r="D1262" s="20">
        <f ca="1">_xll.meDateFromTenor(C1262,"1D","Following",$D$11,"Normal")</f>
        <v>44266</v>
      </c>
      <c r="E1262" s="99">
        <f ca="1"/>
        <v>1.4680202927517439E-2</v>
      </c>
      <c r="F1262" s="161">
        <f ca="1">_xll.meCurveForwardRates(C1262,$D$9,$D$10)</f>
        <v>1.4788182596465749E-2</v>
      </c>
      <c r="G1262" s="7" t="s">
        <v>4</v>
      </c>
      <c r="H1262" s="149">
        <f t="shared" ca="1" si="38"/>
        <v>44265</v>
      </c>
      <c r="I1262" s="20">
        <f ca="1">_xll.meDateFromTenor(H1262,"3M","Following",$I$11,"Normal")</f>
        <v>44357</v>
      </c>
      <c r="J1262" s="150">
        <f ca="1"/>
        <v>1.8731104597887072E-2</v>
      </c>
      <c r="K1262" s="7" t="s">
        <v>4</v>
      </c>
      <c r="L1262" s="149" t="e">
        <f ca="1">_xll.meDateFromTenor(L1261,"1D","FOLLOWING",#REF!,"NORMAL")</f>
        <v>#VALUE!</v>
      </c>
      <c r="M1262" s="155">
        <f ca="1">_xll.meDateYearFraction(C1262,D1262,$M$11)</f>
        <v>2.7777777777777779E-3</v>
      </c>
      <c r="N1262" s="150">
        <f ca="1"/>
        <v>-2.4300000000065936E-3</v>
      </c>
      <c r="O1262" s="7" t="s">
        <v>4</v>
      </c>
      <c r="P1262" s="149">
        <f t="shared" ca="1" si="39"/>
        <v>44265</v>
      </c>
      <c r="Q1262" s="155">
        <f ca="1">_xll.meDateYearFraction(H1262,I1262,$Q$11,TRUE)</f>
        <v>0.25555555555555554</v>
      </c>
      <c r="R1262" s="150">
        <f ca="1">IF(NOW(),_xll.meCurveForwardRatesFromYearFraction(P1262,Q1262,$Q$11,$Q$9,$Q$10))</f>
        <v>2.7121908177643985E-3</v>
      </c>
      <c r="S1262" s="134" t="s">
        <v>4</v>
      </c>
    </row>
    <row r="1263" spans="1:19" x14ac:dyDescent="0.25">
      <c r="A1263" s="128">
        <v>1247</v>
      </c>
      <c r="B1263" s="133"/>
      <c r="C1263" s="149">
        <f ca="1">_xll.meDateFromTenor(C1262,"1D","FOLLOWING",$D$11,"NORMAL")</f>
        <v>44266</v>
      </c>
      <c r="D1263" s="20">
        <f ca="1">_xll.meDateFromTenor(C1263,"1D","Following",$D$11,"Normal")</f>
        <v>44267</v>
      </c>
      <c r="E1263" s="99">
        <f ca="1"/>
        <v>1.4683766269294388E-2</v>
      </c>
      <c r="F1263" s="161">
        <f ca="1">_xll.meCurveForwardRates(C1263,$D$9,$D$10)</f>
        <v>1.4791798492565844E-2</v>
      </c>
      <c r="G1263" s="7" t="s">
        <v>4</v>
      </c>
      <c r="H1263" s="149">
        <f t="shared" ca="1" si="38"/>
        <v>44266</v>
      </c>
      <c r="I1263" s="20">
        <f ca="1">_xll.meDateFromTenor(H1263,"3M","Following",$I$11,"Normal")</f>
        <v>44358</v>
      </c>
      <c r="J1263" s="150">
        <f ca="1"/>
        <v>1.8736197027844969E-2</v>
      </c>
      <c r="K1263" s="7" t="s">
        <v>4</v>
      </c>
      <c r="L1263" s="149" t="e">
        <f ca="1">_xll.meDateFromTenor(L1262,"1D","FOLLOWING",#REF!,"NORMAL")</f>
        <v>#VALUE!</v>
      </c>
      <c r="M1263" s="155">
        <f ca="1">_xll.meDateYearFraction(C1263,D1263,$M$11)</f>
        <v>2.7777777777777779E-3</v>
      </c>
      <c r="N1263" s="150">
        <f ca="1"/>
        <v>-2.4300000000065936E-3</v>
      </c>
      <c r="O1263" s="7" t="s">
        <v>4</v>
      </c>
      <c r="P1263" s="149">
        <f t="shared" ca="1" si="39"/>
        <v>44266</v>
      </c>
      <c r="Q1263" s="155">
        <f ca="1">_xll.meDateYearFraction(H1263,I1263,$Q$11,TRUE)</f>
        <v>0.25555555555555554</v>
      </c>
      <c r="R1263" s="150">
        <f ca="1">IF(NOW(),_xll.meCurveForwardRatesFromYearFraction(P1263,Q1263,$Q$11,$Q$9,$Q$10))</f>
        <v>-3.7175485397107962E-3</v>
      </c>
      <c r="S1263" s="134" t="s">
        <v>4</v>
      </c>
    </row>
    <row r="1264" spans="1:19" x14ac:dyDescent="0.25">
      <c r="A1264" s="128">
        <v>1248</v>
      </c>
      <c r="B1264" s="133"/>
      <c r="C1264" s="149">
        <f ca="1">_xll.meDateFromTenor(C1263,"1D","FOLLOWING",$D$11,"NORMAL")</f>
        <v>44267</v>
      </c>
      <c r="D1264" s="20">
        <f ca="1">_xll.meDateFromTenor(C1264,"1D","Following",$D$11,"Normal")</f>
        <v>44270</v>
      </c>
      <c r="E1264" s="99">
        <f ca="1"/>
        <v>1.469147066713722E-2</v>
      </c>
      <c r="F1264" s="161">
        <f ca="1">_xll.meCurveForwardRates(C1264,$D$9,$D$10)</f>
        <v>1.4795407766037716E-2</v>
      </c>
      <c r="G1264" s="7" t="s">
        <v>4</v>
      </c>
      <c r="H1264" s="149">
        <f t="shared" ca="1" si="38"/>
        <v>44267</v>
      </c>
      <c r="I1264" s="20">
        <f ca="1">_xll.meDateFromTenor(H1264,"3M","Following",$I$11,"Normal")</f>
        <v>44361</v>
      </c>
      <c r="J1264" s="150">
        <f ca="1"/>
        <v>1.874130966204756E-2</v>
      </c>
      <c r="K1264" s="7" t="s">
        <v>4</v>
      </c>
      <c r="L1264" s="149" t="e">
        <f ca="1">_xll.meDateFromTenor(L1263,"1D","FOLLOWING",#REF!,"NORMAL")</f>
        <v>#VALUE!</v>
      </c>
      <c r="M1264" s="155">
        <f ca="1">_xll.meDateYearFraction(C1264,D1264,$M$11)</f>
        <v>8.3333333333333332E-3</v>
      </c>
      <c r="N1264" s="150">
        <f ca="1"/>
        <v>-2.4300000000065936E-3</v>
      </c>
      <c r="O1264" s="7" t="s">
        <v>4</v>
      </c>
      <c r="P1264" s="149">
        <f t="shared" ca="1" si="39"/>
        <v>44267</v>
      </c>
      <c r="Q1264" s="155">
        <f ca="1">_xll.meDateYearFraction(H1264,I1264,$Q$11,TRUE)</f>
        <v>0.26111111111111113</v>
      </c>
      <c r="R1264" s="150">
        <f ca="1">IF(NOW(),_xll.meCurveForwardRatesFromYearFraction(P1264,Q1264,$Q$11,$Q$9,$Q$10))</f>
        <v>-3.7175485397107962E-3</v>
      </c>
      <c r="S1264" s="134" t="s">
        <v>4</v>
      </c>
    </row>
    <row r="1265" spans="1:19" x14ac:dyDescent="0.25">
      <c r="A1265" s="128">
        <v>1249</v>
      </c>
      <c r="B1265" s="133"/>
      <c r="C1265" s="149">
        <f ca="1">_xll.meDateFromTenor(C1264,"1D","FOLLOWING",$D$11,"NORMAL")</f>
        <v>44270</v>
      </c>
      <c r="D1265" s="20">
        <f ca="1">_xll.meDateFromTenor(C1265,"1D","Following",$D$11,"Normal")</f>
        <v>44271</v>
      </c>
      <c r="E1265" s="99">
        <f ca="1"/>
        <v>1.4697954235696122E-2</v>
      </c>
      <c r="F1265" s="161">
        <f ca="1">_xll.meCurveForwardRates(C1265,$D$9,$D$10)</f>
        <v>1.4806195839115688E-2</v>
      </c>
      <c r="G1265" s="7" t="s">
        <v>4</v>
      </c>
      <c r="H1265" s="149">
        <f t="shared" ca="1" si="38"/>
        <v>44270</v>
      </c>
      <c r="I1265" s="20">
        <f ca="1">_xll.meDateFromTenor(H1265,"3M","Following",$I$11,"Normal")</f>
        <v>44362</v>
      </c>
      <c r="J1265" s="150">
        <f ca="1"/>
        <v>1.8756748139616093E-2</v>
      </c>
      <c r="K1265" s="7" t="s">
        <v>4</v>
      </c>
      <c r="L1265" s="149" t="e">
        <f ca="1">_xll.meDateFromTenor(L1264,"1D","FOLLOWING",#REF!,"NORMAL")</f>
        <v>#VALUE!</v>
      </c>
      <c r="M1265" s="155">
        <f ca="1">_xll.meDateYearFraction(C1265,D1265,$M$11)</f>
        <v>2.7777777777777779E-3</v>
      </c>
      <c r="N1265" s="150">
        <f ca="1"/>
        <v>-2.4300000000065936E-3</v>
      </c>
      <c r="O1265" s="7" t="s">
        <v>4</v>
      </c>
      <c r="P1265" s="149">
        <f t="shared" ca="1" si="39"/>
        <v>44270</v>
      </c>
      <c r="Q1265" s="155">
        <f ca="1">_xll.meDateYearFraction(H1265,I1265,$Q$11,TRUE)</f>
        <v>0.25555555555555554</v>
      </c>
      <c r="R1265" s="150">
        <f ca="1">IF(NOW(),_xll.meCurveForwardRatesFromYearFraction(P1265,Q1265,$Q$11,$Q$9,$Q$10))</f>
        <v>2.7429357925678479E-3</v>
      </c>
      <c r="S1265" s="134" t="s">
        <v>4</v>
      </c>
    </row>
    <row r="1266" spans="1:19" x14ac:dyDescent="0.25">
      <c r="A1266" s="128">
        <v>1250</v>
      </c>
      <c r="B1266" s="133"/>
      <c r="C1266" s="149">
        <f ca="1">_xll.meDateFromTenor(C1265,"1D","FOLLOWING",$D$11,"NORMAL")</f>
        <v>44271</v>
      </c>
      <c r="D1266" s="20">
        <f ca="1">_xll.meDateFromTenor(C1266,"1D","Following",$D$11,"Normal")</f>
        <v>44272</v>
      </c>
      <c r="E1266" s="99">
        <f ca="1"/>
        <v>1.4701484872044106E-2</v>
      </c>
      <c r="F1266" s="161">
        <f ca="1">_xll.meCurveForwardRates(C1266,$D$9,$D$10)</f>
        <v>1.4809778610787916E-2</v>
      </c>
      <c r="G1266" s="7" t="s">
        <v>4</v>
      </c>
      <c r="H1266" s="149">
        <f t="shared" ca="1" si="38"/>
        <v>44271</v>
      </c>
      <c r="I1266" s="20">
        <f ca="1">_xll.meDateFromTenor(H1266,"3M","Following",$I$11,"Normal")</f>
        <v>44363</v>
      </c>
      <c r="J1266" s="150">
        <f ca="1"/>
        <v>1.8761920940290031E-2</v>
      </c>
      <c r="K1266" s="7" t="s">
        <v>4</v>
      </c>
      <c r="L1266" s="149" t="e">
        <f ca="1">_xll.meDateFromTenor(L1265,"1D","FOLLOWING",#REF!,"NORMAL")</f>
        <v>#VALUE!</v>
      </c>
      <c r="M1266" s="155">
        <f ca="1">_xll.meDateYearFraction(C1266,D1266,$M$11)</f>
        <v>2.7777777777777779E-3</v>
      </c>
      <c r="N1266" s="150">
        <f ca="1"/>
        <v>-2.4300000000065936E-3</v>
      </c>
      <c r="O1266" s="7" t="s">
        <v>4</v>
      </c>
      <c r="P1266" s="149">
        <f t="shared" ca="1" si="39"/>
        <v>44271</v>
      </c>
      <c r="Q1266" s="155">
        <f ca="1">_xll.meDateYearFraction(H1266,I1266,$Q$11,TRUE)</f>
        <v>0.25555555555555554</v>
      </c>
      <c r="R1266" s="150">
        <f ca="1">IF(NOW(),_xll.meCurveForwardRatesFromYearFraction(P1266,Q1266,$Q$11,$Q$9,$Q$10))</f>
        <v>-3.7175485397107962E-3</v>
      </c>
      <c r="S1266" s="134" t="s">
        <v>4</v>
      </c>
    </row>
    <row r="1267" spans="1:19" x14ac:dyDescent="0.25">
      <c r="A1267" s="128">
        <v>1251</v>
      </c>
      <c r="B1267" s="133"/>
      <c r="C1267" s="149">
        <f ca="1">_xll.meDateFromTenor(C1266,"1D","FOLLOWING",$D$11,"NORMAL")</f>
        <v>44272</v>
      </c>
      <c r="D1267" s="20">
        <f ca="1">_xll.meDateFromTenor(C1267,"1D","Following",$D$11,"Normal")</f>
        <v>44273</v>
      </c>
      <c r="E1267" s="99">
        <f ca="1"/>
        <v>1.4705008964337385E-2</v>
      </c>
      <c r="F1267" s="161">
        <f ca="1">_xll.meCurveForwardRates(C1267,$D$9,$D$10)</f>
        <v>1.4813354754350971E-2</v>
      </c>
      <c r="G1267" s="7" t="s">
        <v>4</v>
      </c>
      <c r="H1267" s="149">
        <f t="shared" ca="1" si="38"/>
        <v>44272</v>
      </c>
      <c r="I1267" s="20">
        <f ca="1">_xll.meDateFromTenor(H1267,"3M","Following",$I$11,"Normal")</f>
        <v>44364</v>
      </c>
      <c r="J1267" s="150">
        <f ca="1"/>
        <v>1.8767103619954938E-2</v>
      </c>
      <c r="K1267" s="7" t="s">
        <v>4</v>
      </c>
      <c r="L1267" s="149" t="e">
        <f ca="1">_xll.meDateFromTenor(L1266,"1D","FOLLOWING",#REF!,"NORMAL")</f>
        <v>#VALUE!</v>
      </c>
      <c r="M1267" s="155">
        <f ca="1">_xll.meDateYearFraction(C1267,D1267,$M$11)</f>
        <v>2.7777777777777779E-3</v>
      </c>
      <c r="N1267" s="150">
        <f ca="1"/>
        <v>-2.4300000000065936E-3</v>
      </c>
      <c r="O1267" s="7" t="s">
        <v>4</v>
      </c>
      <c r="P1267" s="149">
        <f t="shared" ca="1" si="39"/>
        <v>44272</v>
      </c>
      <c r="Q1267" s="155">
        <f ca="1">_xll.meDateYearFraction(H1267,I1267,$Q$11,TRUE)</f>
        <v>0.25555555555555554</v>
      </c>
      <c r="R1267" s="150">
        <f ca="1">IF(NOW(),_xll.meCurveForwardRatesFromYearFraction(P1267,Q1267,$Q$11,$Q$9,$Q$10))</f>
        <v>2.755233782489229E-3</v>
      </c>
      <c r="S1267" s="134" t="s">
        <v>4</v>
      </c>
    </row>
    <row r="1268" spans="1:19" x14ac:dyDescent="0.25">
      <c r="A1268" s="128">
        <v>1252</v>
      </c>
      <c r="B1268" s="133"/>
      <c r="C1268" s="149">
        <f ca="1">_xll.meDateFromTenor(C1267,"1D","FOLLOWING",$D$11,"NORMAL")</f>
        <v>44273</v>
      </c>
      <c r="D1268" s="20">
        <f ca="1">_xll.meDateFromTenor(C1268,"1D","Following",$D$11,"Normal")</f>
        <v>44274</v>
      </c>
      <c r="E1268" s="99">
        <f ca="1"/>
        <v>1.4708526511555593E-2</v>
      </c>
      <c r="F1268" s="161">
        <f ca="1">_xll.meCurveForwardRates(C1268,$D$9,$D$10)</f>
        <v>1.4816924268699738E-2</v>
      </c>
      <c r="G1268" s="7" t="s">
        <v>4</v>
      </c>
      <c r="H1268" s="149">
        <f t="shared" ca="1" si="38"/>
        <v>44273</v>
      </c>
      <c r="I1268" s="20">
        <f ca="1">_xll.meDateFromTenor(H1268,"3M","Following",$I$11,"Normal")</f>
        <v>44365</v>
      </c>
      <c r="J1268" s="150">
        <f ca="1"/>
        <v>1.8772294113560076E-2</v>
      </c>
      <c r="K1268" s="7" t="s">
        <v>4</v>
      </c>
      <c r="L1268" s="149" t="e">
        <f ca="1">_xll.meDateFromTenor(L1267,"1D","FOLLOWING",#REF!,"NORMAL")</f>
        <v>#VALUE!</v>
      </c>
      <c r="M1268" s="155">
        <f ca="1">_xll.meDateYearFraction(C1268,D1268,$M$11)</f>
        <v>2.7777777777777779E-3</v>
      </c>
      <c r="N1268" s="150">
        <f ca="1"/>
        <v>-2.4300000000065936E-3</v>
      </c>
      <c r="O1268" s="7" t="s">
        <v>4</v>
      </c>
      <c r="P1268" s="149">
        <f t="shared" ca="1" si="39"/>
        <v>44273</v>
      </c>
      <c r="Q1268" s="155">
        <f ca="1">_xll.meDateYearFraction(H1268,I1268,$Q$11,TRUE)</f>
        <v>0.25555555555555554</v>
      </c>
      <c r="R1268" s="150">
        <f ca="1">IF(NOW(),_xll.meCurveForwardRatesFromYearFraction(P1268,Q1268,$Q$11,$Q$9,$Q$10))</f>
        <v>-3.7175485397107962E-3</v>
      </c>
      <c r="S1268" s="134" t="s">
        <v>4</v>
      </c>
    </row>
    <row r="1269" spans="1:19" x14ac:dyDescent="0.25">
      <c r="A1269" s="128">
        <v>1253</v>
      </c>
      <c r="B1269" s="133"/>
      <c r="C1269" s="149">
        <f ca="1">_xll.meDateFromTenor(C1268,"1D","FOLLOWING",$D$11,"NORMAL")</f>
        <v>44274</v>
      </c>
      <c r="D1269" s="20">
        <f ca="1">_xll.meDateFromTenor(C1269,"1D","Following",$D$11,"Normal")</f>
        <v>44277</v>
      </c>
      <c r="E1269" s="99">
        <f ca="1"/>
        <v>1.4716141311916054E-2</v>
      </c>
      <c r="F1269" s="161">
        <f ca="1">_xll.meCurveForwardRates(C1269,$D$9,$D$10)</f>
        <v>1.4820487152609418E-2</v>
      </c>
      <c r="G1269" s="7" t="s">
        <v>4</v>
      </c>
      <c r="H1269" s="149">
        <f t="shared" ca="1" si="38"/>
        <v>44274</v>
      </c>
      <c r="I1269" s="20">
        <f ca="1">_xll.meDateFromTenor(H1269,"3M","Following",$I$11,"Normal")</f>
        <v>44368</v>
      </c>
      <c r="J1269" s="150">
        <f ca="1"/>
        <v>1.877749035605469E-2</v>
      </c>
      <c r="K1269" s="7" t="s">
        <v>4</v>
      </c>
      <c r="L1269" s="149" t="e">
        <f ca="1">_xll.meDateFromTenor(L1268,"1D","FOLLOWING",#REF!,"NORMAL")</f>
        <v>#VALUE!</v>
      </c>
      <c r="M1269" s="155">
        <f ca="1">_xll.meDateYearFraction(C1269,D1269,$M$11)</f>
        <v>8.3333333333333332E-3</v>
      </c>
      <c r="N1269" s="150">
        <f ca="1"/>
        <v>-2.4300000000065936E-3</v>
      </c>
      <c r="O1269" s="7" t="s">
        <v>4</v>
      </c>
      <c r="P1269" s="149">
        <f t="shared" ca="1" si="39"/>
        <v>44274</v>
      </c>
      <c r="Q1269" s="155">
        <f ca="1">_xll.meDateYearFraction(H1269,I1269,$Q$11,TRUE)</f>
        <v>0.26111111111111113</v>
      </c>
      <c r="R1269" s="150">
        <f ca="1">IF(NOW(),_xll.meCurveForwardRatesFromYearFraction(P1269,Q1269,$Q$11,$Q$9,$Q$10))</f>
        <v>2.76753177241061E-3</v>
      </c>
      <c r="S1269" s="134" t="s">
        <v>4</v>
      </c>
    </row>
    <row r="1270" spans="1:19" x14ac:dyDescent="0.25">
      <c r="A1270" s="128">
        <v>1254</v>
      </c>
      <c r="B1270" s="133"/>
      <c r="C1270" s="149">
        <f ca="1">_xll.meDateFromTenor(C1269,"1D","FOLLOWING",$D$11,"NORMAL")</f>
        <v>44277</v>
      </c>
      <c r="D1270" s="20">
        <f ca="1">_xll.meDateFromTenor(C1270,"1D","Following",$D$11,"Normal")</f>
        <v>44278</v>
      </c>
      <c r="E1270" s="99">
        <f ca="1"/>
        <v>1.4722531229500921E-2</v>
      </c>
      <c r="F1270" s="161">
        <f ca="1">_xll.meCurveForwardRates(C1270,$D$9,$D$10)</f>
        <v>1.483113601207986E-2</v>
      </c>
      <c r="G1270" s="7" t="s">
        <v>4</v>
      </c>
      <c r="H1270" s="149">
        <f t="shared" ca="1" si="38"/>
        <v>44277</v>
      </c>
      <c r="I1270" s="20">
        <f ca="1">_xll.meDateFromTenor(H1270,"3M","Following",$I$11,"Normal")</f>
        <v>44369</v>
      </c>
      <c r="J1270" s="150">
        <f ca="1"/>
        <v>1.8793093491998609E-2</v>
      </c>
      <c r="K1270" s="7" t="s">
        <v>4</v>
      </c>
      <c r="L1270" s="149" t="e">
        <f ca="1">_xll.meDateFromTenor(L1269,"1D","FOLLOWING",#REF!,"NORMAL")</f>
        <v>#VALUE!</v>
      </c>
      <c r="M1270" s="155">
        <f ca="1">_xll.meDateYearFraction(C1270,D1270,$M$11)</f>
        <v>2.7777777777777779E-3</v>
      </c>
      <c r="N1270" s="150">
        <f ca="1"/>
        <v>-2.4300000000065936E-3</v>
      </c>
      <c r="O1270" s="7" t="s">
        <v>4</v>
      </c>
      <c r="P1270" s="149">
        <f t="shared" ca="1" si="39"/>
        <v>44277</v>
      </c>
      <c r="Q1270" s="155">
        <f ca="1">_xll.meDateYearFraction(H1270,I1270,$Q$11,TRUE)</f>
        <v>0.25555555555555554</v>
      </c>
      <c r="R1270" s="150">
        <f ca="1">IF(NOW(),_xll.meCurveForwardRatesFromYearFraction(P1270,Q1270,$Q$11,$Q$9,$Q$10))</f>
        <v>2.7859787572926792E-3</v>
      </c>
      <c r="S1270" s="134" t="s">
        <v>4</v>
      </c>
    </row>
    <row r="1271" spans="1:19" x14ac:dyDescent="0.25">
      <c r="A1271" s="128">
        <v>1255</v>
      </c>
      <c r="B1271" s="133"/>
      <c r="C1271" s="149">
        <f ca="1">_xll.meDateFromTenor(C1270,"1D","FOLLOWING",$D$11,"NORMAL")</f>
        <v>44278</v>
      </c>
      <c r="D1271" s="20">
        <f ca="1">_xll.meDateFromTenor(C1271,"1D","Following",$D$11,"Normal")</f>
        <v>44279</v>
      </c>
      <c r="E1271" s="99">
        <f ca="1"/>
        <v>1.4726016036259367E-2</v>
      </c>
      <c r="F1271" s="161">
        <f ca="1">_xll.meCurveForwardRates(C1271,$D$9,$D$10)</f>
        <v>1.4834672364003598E-2</v>
      </c>
      <c r="G1271" s="7" t="s">
        <v>4</v>
      </c>
      <c r="H1271" s="149">
        <f t="shared" ca="1" si="38"/>
        <v>44278</v>
      </c>
      <c r="I1271" s="20">
        <f ca="1">_xll.meDateFromTenor(H1271,"3M","Following",$I$11,"Normal")</f>
        <v>44370</v>
      </c>
      <c r="J1271" s="150">
        <f ca="1"/>
        <v>1.8798294936794694E-2</v>
      </c>
      <c r="K1271" s="7" t="s">
        <v>4</v>
      </c>
      <c r="L1271" s="149" t="e">
        <f ca="1">_xll.meDateFromTenor(L1270,"1D","FOLLOWING",#REF!,"NORMAL")</f>
        <v>#VALUE!</v>
      </c>
      <c r="M1271" s="155">
        <f ca="1">_xll.meDateYearFraction(C1271,D1271,$M$11)</f>
        <v>2.7777777777777779E-3</v>
      </c>
      <c r="N1271" s="150">
        <f ca="1"/>
        <v>-2.4300000000065936E-3</v>
      </c>
      <c r="O1271" s="7" t="s">
        <v>4</v>
      </c>
      <c r="P1271" s="149">
        <f t="shared" ca="1" si="39"/>
        <v>44278</v>
      </c>
      <c r="Q1271" s="155">
        <f ca="1">_xll.meDateYearFraction(H1271,I1271,$Q$11,TRUE)</f>
        <v>0.25555555555555554</v>
      </c>
      <c r="R1271" s="150">
        <f ca="1">IF(NOW(),_xll.meCurveForwardRatesFromYearFraction(P1271,Q1271,$Q$11,$Q$9,$Q$10))</f>
        <v>-3.7175485397107962E-3</v>
      </c>
      <c r="S1271" s="134" t="s">
        <v>4</v>
      </c>
    </row>
    <row r="1272" spans="1:19" x14ac:dyDescent="0.25">
      <c r="A1272" s="128">
        <v>1256</v>
      </c>
      <c r="B1272" s="133"/>
      <c r="C1272" s="149">
        <f ca="1">_xll.meDateFromTenor(C1271,"1D","FOLLOWING",$D$11,"NORMAL")</f>
        <v>44279</v>
      </c>
      <c r="D1272" s="20">
        <f ca="1">_xll.meDateFromTenor(C1272,"1D","Following",$D$11,"Normal")</f>
        <v>44280</v>
      </c>
      <c r="E1272" s="99">
        <f ca="1"/>
        <v>1.4729494291947552E-2</v>
      </c>
      <c r="F1272" s="161">
        <f ca="1">_xll.meCurveForwardRates(C1272,$D$9,$D$10)</f>
        <v>1.4838202080211804E-2</v>
      </c>
      <c r="G1272" s="7" t="s">
        <v>4</v>
      </c>
      <c r="H1272" s="149">
        <f t="shared" ca="1" si="38"/>
        <v>44279</v>
      </c>
      <c r="I1272" s="20">
        <f ca="1">_xll.meDateFromTenor(H1272,"3M","Following",$I$11,"Normal")</f>
        <v>44371</v>
      </c>
      <c r="J1272" s="150">
        <f ca="1"/>
        <v>1.8803495987028102E-2</v>
      </c>
      <c r="K1272" s="7" t="s">
        <v>4</v>
      </c>
      <c r="L1272" s="149" t="e">
        <f ca="1">_xll.meDateFromTenor(L1271,"1D","FOLLOWING",#REF!,"NORMAL")</f>
        <v>#VALUE!</v>
      </c>
      <c r="M1272" s="155">
        <f ca="1">_xll.meDateYearFraction(C1272,D1272,$M$11)</f>
        <v>2.7777777777777779E-3</v>
      </c>
      <c r="N1272" s="150">
        <f ca="1"/>
        <v>-2.4300000000065936E-3</v>
      </c>
      <c r="O1272" s="7" t="s">
        <v>4</v>
      </c>
      <c r="P1272" s="149">
        <f t="shared" ca="1" si="39"/>
        <v>44279</v>
      </c>
      <c r="Q1272" s="155">
        <f ca="1">_xll.meDateYearFraction(H1272,I1272,$Q$11,TRUE)</f>
        <v>0.25555555555555554</v>
      </c>
      <c r="R1272" s="150">
        <f ca="1">IF(NOW(),_xll.meCurveForwardRatesFromYearFraction(P1272,Q1272,$Q$11,$Q$9,$Q$10))</f>
        <v>-3.7175485397107962E-3</v>
      </c>
      <c r="S1272" s="134" t="s">
        <v>4</v>
      </c>
    </row>
    <row r="1273" spans="1:19" x14ac:dyDescent="0.25">
      <c r="A1273" s="128">
        <v>1257</v>
      </c>
      <c r="B1273" s="133"/>
      <c r="C1273" s="149">
        <f ca="1">_xll.meDateFromTenor(C1272,"1D","FOLLOWING",$D$11,"NORMAL")</f>
        <v>44280</v>
      </c>
      <c r="D1273" s="20">
        <f ca="1">_xll.meDateFromTenor(C1273,"1D","Following",$D$11,"Normal")</f>
        <v>44281</v>
      </c>
      <c r="E1273" s="99">
        <f ca="1"/>
        <v>1.4732965995507469E-2</v>
      </c>
      <c r="F1273" s="161">
        <f ca="1">_xll.meCurveForwardRates(C1273,$D$9,$D$10)</f>
        <v>1.4841725159561392E-2</v>
      </c>
      <c r="G1273" s="7" t="s">
        <v>4</v>
      </c>
      <c r="H1273" s="149">
        <f t="shared" ca="1" si="38"/>
        <v>44280</v>
      </c>
      <c r="I1273" s="20">
        <f ca="1">_xll.meDateFromTenor(H1273,"3M","Following",$I$11,"Normal")</f>
        <v>44372</v>
      </c>
      <c r="J1273" s="150">
        <f ca="1"/>
        <v>1.8808696464655314E-2</v>
      </c>
      <c r="K1273" s="7" t="s">
        <v>4</v>
      </c>
      <c r="L1273" s="149" t="e">
        <f ca="1">_xll.meDateFromTenor(L1272,"1D","FOLLOWING",#REF!,"NORMAL")</f>
        <v>#VALUE!</v>
      </c>
      <c r="M1273" s="155">
        <f ca="1">_xll.meDateYearFraction(C1273,D1273,$M$11)</f>
        <v>2.7777777777777779E-3</v>
      </c>
      <c r="N1273" s="150">
        <f ca="1"/>
        <v>-2.4300000000065936E-3</v>
      </c>
      <c r="O1273" s="7" t="s">
        <v>4</v>
      </c>
      <c r="P1273" s="149">
        <f t="shared" ca="1" si="39"/>
        <v>44280</v>
      </c>
      <c r="Q1273" s="155">
        <f ca="1">_xll.meDateYearFraction(H1273,I1273,$Q$11,TRUE)</f>
        <v>0.25555555555555554</v>
      </c>
      <c r="R1273" s="150">
        <f ca="1">IF(NOW(),_xll.meCurveForwardRatesFromYearFraction(P1273,Q1273,$Q$11,$Q$9,$Q$10))</f>
        <v>2.8044257421747506E-3</v>
      </c>
      <c r="S1273" s="134" t="s">
        <v>4</v>
      </c>
    </row>
    <row r="1274" spans="1:19" x14ac:dyDescent="0.25">
      <c r="A1274" s="128">
        <v>1258</v>
      </c>
      <c r="B1274" s="133"/>
      <c r="C1274" s="149">
        <f ca="1">_xll.meDateFromTenor(C1273,"1D","FOLLOWING",$D$11,"NORMAL")</f>
        <v>44281</v>
      </c>
      <c r="D1274" s="20">
        <f ca="1">_xll.meDateFromTenor(C1274,"1D","Following",$D$11,"Normal")</f>
        <v>44284</v>
      </c>
      <c r="E1274" s="99">
        <f ca="1"/>
        <v>1.4740491077321621E-2</v>
      </c>
      <c r="F1274" s="161">
        <f ca="1">_xll.meCurveForwardRates(C1274,$D$9,$D$10)</f>
        <v>1.4845241600948356E-2</v>
      </c>
      <c r="G1274" s="7" t="s">
        <v>4</v>
      </c>
      <c r="H1274" s="149">
        <f t="shared" ca="1" si="38"/>
        <v>44281</v>
      </c>
      <c r="I1274" s="20">
        <f ca="1">_xll.meDateFromTenor(H1274,"3M","Following",$I$11,"Normal")</f>
        <v>44375</v>
      </c>
      <c r="J1274" s="150">
        <f ca="1"/>
        <v>1.8813896191632821E-2</v>
      </c>
      <c r="K1274" s="7" t="s">
        <v>4</v>
      </c>
      <c r="L1274" s="149" t="e">
        <f ca="1">_xll.meDateFromTenor(L1273,"1D","FOLLOWING",#REF!,"NORMAL")</f>
        <v>#VALUE!</v>
      </c>
      <c r="M1274" s="155">
        <f ca="1">_xll.meDateYearFraction(C1274,D1274,$M$11)</f>
        <v>8.3333333333333332E-3</v>
      </c>
      <c r="N1274" s="150">
        <f ca="1"/>
        <v>-2.4300000000065936E-3</v>
      </c>
      <c r="O1274" s="7" t="s">
        <v>4</v>
      </c>
      <c r="P1274" s="149">
        <f t="shared" ca="1" si="39"/>
        <v>44281</v>
      </c>
      <c r="Q1274" s="155">
        <f ca="1">_xll.meDateYearFraction(H1274,I1274,$Q$11,TRUE)</f>
        <v>0.26111111111111113</v>
      </c>
      <c r="R1274" s="150">
        <f ca="1">IF(NOW(),_xll.meCurveForwardRatesFromYearFraction(P1274,Q1274,$Q$11,$Q$9,$Q$10))</f>
        <v>-3.7175485397107962E-3</v>
      </c>
      <c r="S1274" s="134" t="s">
        <v>4</v>
      </c>
    </row>
    <row r="1275" spans="1:19" x14ac:dyDescent="0.25">
      <c r="A1275" s="128">
        <v>1259</v>
      </c>
      <c r="B1275" s="133"/>
      <c r="C1275" s="149">
        <f ca="1">_xll.meDateFromTenor(C1274,"1D","FOLLOWING",$D$11,"NORMAL")</f>
        <v>44284</v>
      </c>
      <c r="D1275" s="20">
        <f ca="1">_xll.meDateFromTenor(C1275,"1D","Following",$D$11,"Normal")</f>
        <v>44285</v>
      </c>
      <c r="E1275" s="99">
        <f ca="1"/>
        <v>1.4746787268513554E-2</v>
      </c>
      <c r="F1275" s="161">
        <f ca="1">_xll.meCurveForwardRates(C1275,$D$9,$D$10)</f>
        <v>1.4855751086751745E-2</v>
      </c>
      <c r="G1275" s="7" t="s">
        <v>4</v>
      </c>
      <c r="H1275" s="149">
        <f t="shared" ca="1" si="38"/>
        <v>44284</v>
      </c>
      <c r="I1275" s="20">
        <f ca="1">_xll.meDateFromTenor(H1275,"3M","Following",$I$11,"Normal")</f>
        <v>44376</v>
      </c>
      <c r="J1275" s="150">
        <f ca="1"/>
        <v>1.8829489088231996E-2</v>
      </c>
      <c r="K1275" s="7" t="s">
        <v>4</v>
      </c>
      <c r="L1275" s="149" t="e">
        <f ca="1">_xll.meDateFromTenor(L1274,"1D","FOLLOWING",#REF!,"NORMAL")</f>
        <v>#VALUE!</v>
      </c>
      <c r="M1275" s="155">
        <f ca="1">_xll.meDateYearFraction(C1275,D1275,$M$11)</f>
        <v>2.7777777777777779E-3</v>
      </c>
      <c r="N1275" s="150">
        <f ca="1"/>
        <v>-2.4300000000065936E-3</v>
      </c>
      <c r="O1275" s="7" t="s">
        <v>4</v>
      </c>
      <c r="P1275" s="149">
        <f t="shared" ca="1" si="39"/>
        <v>44284</v>
      </c>
      <c r="Q1275" s="155">
        <f ca="1">_xll.meDateYearFraction(H1275,I1275,$Q$11,TRUE)</f>
        <v>0.25555555555555554</v>
      </c>
      <c r="R1275" s="150">
        <f ca="1">IF(NOW(),_xll.meCurveForwardRatesFromYearFraction(P1275,Q1275,$Q$11,$Q$9,$Q$10))</f>
        <v>2.8290217220175123E-3</v>
      </c>
      <c r="S1275" s="134" t="s">
        <v>4</v>
      </c>
    </row>
    <row r="1276" spans="1:19" x14ac:dyDescent="0.25">
      <c r="A1276" s="128">
        <v>1260</v>
      </c>
      <c r="B1276" s="133"/>
      <c r="C1276" s="149">
        <f ca="1">_xll.meDateFromTenor(C1275,"1D","FOLLOWING",$D$11,"NORMAL")</f>
        <v>44285</v>
      </c>
      <c r="D1276" s="20">
        <f ca="1">_xll.meDateFromTenor(C1276,"1D","Following",$D$11,"Normal")</f>
        <v>44286</v>
      </c>
      <c r="E1276" s="99">
        <f ca="1"/>
        <v>1.4750226196460683E-2</v>
      </c>
      <c r="F1276" s="161">
        <f ca="1">_xll.meCurveForwardRates(C1276,$D$9,$D$10)</f>
        <v>1.4859240965583664E-2</v>
      </c>
      <c r="G1276" s="7" t="s">
        <v>4</v>
      </c>
      <c r="H1276" s="149">
        <f t="shared" ca="1" si="38"/>
        <v>44285</v>
      </c>
      <c r="I1276" s="20">
        <f ca="1">_xll.meDateFromTenor(H1276,"3M","Following",$I$11,"Normal")</f>
        <v>44377</v>
      </c>
      <c r="J1276" s="150">
        <f ca="1"/>
        <v>1.8834684032175565E-2</v>
      </c>
      <c r="K1276" s="7" t="s">
        <v>4</v>
      </c>
      <c r="L1276" s="149" t="e">
        <f ca="1">_xll.meDateFromTenor(L1275,"1D","FOLLOWING",#REF!,"NORMAL")</f>
        <v>#VALUE!</v>
      </c>
      <c r="M1276" s="155">
        <f ca="1">_xll.meDateYearFraction(C1276,D1276,$M$11)</f>
        <v>2.7777777777777779E-3</v>
      </c>
      <c r="N1276" s="150">
        <f ca="1"/>
        <v>-2.4300000000065936E-3</v>
      </c>
      <c r="O1276" s="7" t="s">
        <v>4</v>
      </c>
      <c r="P1276" s="149">
        <f t="shared" ca="1" si="39"/>
        <v>44285</v>
      </c>
      <c r="Q1276" s="155">
        <f ca="1">_xll.meDateYearFraction(H1276,I1276,$Q$11,TRUE)</f>
        <v>0.25555555555555554</v>
      </c>
      <c r="R1276" s="150">
        <f ca="1">IF(NOW(),_xll.meCurveForwardRatesFromYearFraction(P1276,Q1276,$Q$11,$Q$9,$Q$10))</f>
        <v>-3.7175485397107962E-3</v>
      </c>
      <c r="S1276" s="134" t="s">
        <v>4</v>
      </c>
    </row>
    <row r="1277" spans="1:19" x14ac:dyDescent="0.25">
      <c r="A1277" s="128">
        <v>1261</v>
      </c>
      <c r="B1277" s="133"/>
      <c r="C1277" s="149">
        <f ca="1">_xll.meDateFromTenor(C1276,"1D","FOLLOWING",$D$11,"NORMAL")</f>
        <v>44286</v>
      </c>
      <c r="D1277" s="20">
        <f ca="1">_xll.meDateFromTenor(C1277,"1D","Following",$D$11,"Normal")</f>
        <v>44287</v>
      </c>
      <c r="E1277" s="99">
        <f ca="1"/>
        <v>1.4753658566284326E-2</v>
      </c>
      <c r="F1277" s="161">
        <f ca="1">_xll.meCurveForwardRates(C1277,$D$9,$D$10)</f>
        <v>1.4862724201060606E-2</v>
      </c>
      <c r="G1277" s="7" t="s">
        <v>4</v>
      </c>
      <c r="H1277" s="149">
        <f t="shared" ca="1" si="38"/>
        <v>44286</v>
      </c>
      <c r="I1277" s="20">
        <f ca="1">_xll.meDateFromTenor(H1277,"3M","Following",$I$11,"Normal")</f>
        <v>44377</v>
      </c>
      <c r="J1277" s="150">
        <f ca="1"/>
        <v>1.8839877335251876E-2</v>
      </c>
      <c r="K1277" s="7" t="s">
        <v>4</v>
      </c>
      <c r="L1277" s="149" t="e">
        <f ca="1">_xll.meDateFromTenor(L1276,"1D","FOLLOWING",#REF!,"NORMAL")</f>
        <v>#VALUE!</v>
      </c>
      <c r="M1277" s="155">
        <f ca="1">_xll.meDateYearFraction(C1277,D1277,$M$11)</f>
        <v>2.7777777777777779E-3</v>
      </c>
      <c r="N1277" s="150">
        <f ca="1"/>
        <v>-2.4300000000065936E-3</v>
      </c>
      <c r="O1277" s="7" t="s">
        <v>4</v>
      </c>
      <c r="P1277" s="149">
        <f t="shared" ca="1" si="39"/>
        <v>44286</v>
      </c>
      <c r="Q1277" s="155">
        <f ca="1">_xll.meDateYearFraction(H1277,I1277,$Q$11,TRUE)</f>
        <v>0.25277777777777777</v>
      </c>
      <c r="R1277" s="150">
        <f ca="1">IF(NOW(),_xll.meCurveForwardRatesFromYearFraction(P1277,Q1277,$Q$11,$Q$9,$Q$10))</f>
        <v>2.8413197119388908E-3</v>
      </c>
      <c r="S1277" s="134" t="s">
        <v>4</v>
      </c>
    </row>
    <row r="1278" spans="1:19" x14ac:dyDescent="0.25">
      <c r="A1278" s="128">
        <v>1262</v>
      </c>
      <c r="B1278" s="133"/>
      <c r="C1278" s="149">
        <f ca="1">_xll.meDateFromTenor(C1277,"1D","FOLLOWING",$D$11,"NORMAL")</f>
        <v>44287</v>
      </c>
      <c r="D1278" s="20">
        <f ca="1">_xll.meDateFromTenor(C1278,"1D","Following",$D$11,"Normal")</f>
        <v>44292</v>
      </c>
      <c r="E1278" s="99">
        <f ca="1"/>
        <v>1.4765120765221153E-2</v>
      </c>
      <c r="F1278" s="161">
        <f ca="1">_xll.meCurveForwardRates(C1278,$D$9,$D$10)</f>
        <v>1.4866200791917139E-2</v>
      </c>
      <c r="G1278" s="7" t="s">
        <v>4</v>
      </c>
      <c r="H1278" s="149">
        <f t="shared" ca="1" si="38"/>
        <v>44287</v>
      </c>
      <c r="I1278" s="20">
        <f ca="1">_xll.meDateFromTenor(H1278,"3M","Following",$I$11,"Normal")</f>
        <v>44378</v>
      </c>
      <c r="J1278" s="150">
        <f ca="1"/>
        <v>1.8845068819417412E-2</v>
      </c>
      <c r="K1278" s="7" t="s">
        <v>4</v>
      </c>
      <c r="L1278" s="149" t="e">
        <f ca="1">_xll.meDateFromTenor(L1277,"1D","FOLLOWING",#REF!,"NORMAL")</f>
        <v>#VALUE!</v>
      </c>
      <c r="M1278" s="155">
        <f ca="1">_xll.meDateYearFraction(C1278,D1278,$M$11)</f>
        <v>1.3888888888888888E-2</v>
      </c>
      <c r="N1278" s="150">
        <f ca="1"/>
        <v>-2.4300000000065936E-3</v>
      </c>
      <c r="O1278" s="7" t="s">
        <v>4</v>
      </c>
      <c r="P1278" s="149">
        <f t="shared" ca="1" si="39"/>
        <v>44287</v>
      </c>
      <c r="Q1278" s="155">
        <f ca="1">_xll.meDateYearFraction(H1278,I1278,$Q$11,TRUE)</f>
        <v>0.25277777777777777</v>
      </c>
      <c r="R1278" s="150">
        <f ca="1">IF(NOW(),_xll.meCurveForwardRatesFromYearFraction(P1278,Q1278,$Q$11,$Q$9,$Q$10))</f>
        <v>-3.7175485397107962E-3</v>
      </c>
      <c r="S1278" s="134" t="s">
        <v>4</v>
      </c>
    </row>
    <row r="1279" spans="1:19" x14ac:dyDescent="0.25">
      <c r="A1279" s="128">
        <v>1263</v>
      </c>
      <c r="B1279" s="133"/>
      <c r="C1279" s="149">
        <f ca="1">_xll.meDateFromTenor(C1278,"1D","FOLLOWING",$D$11,"NORMAL")</f>
        <v>44292</v>
      </c>
      <c r="D1279" s="20">
        <f ca="1">_xll.meDateFromTenor(C1279,"1D","Following",$D$11,"Normal")</f>
        <v>44293</v>
      </c>
      <c r="E1279" s="99">
        <f ca="1"/>
        <v>1.4774115007065625E-2</v>
      </c>
      <c r="F1279" s="161">
        <f ca="1">_xll.meCurveForwardRates(C1279,$D$9,$D$10)</f>
        <v>1.4883484041237294E-2</v>
      </c>
      <c r="G1279" s="7" t="s">
        <v>4</v>
      </c>
      <c r="H1279" s="149">
        <f t="shared" ca="1" si="38"/>
        <v>44292</v>
      </c>
      <c r="I1279" s="20">
        <f ca="1">_xll.meDateFromTenor(H1279,"3M","Following",$I$11,"Normal")</f>
        <v>44383</v>
      </c>
      <c r="J1279" s="150">
        <f ca="1"/>
        <v>1.8870992725060567E-2</v>
      </c>
      <c r="K1279" s="7" t="s">
        <v>4</v>
      </c>
      <c r="L1279" s="149" t="e">
        <f ca="1">_xll.meDateFromTenor(L1278,"1D","FOLLOWING",#REF!,"NORMAL")</f>
        <v>#VALUE!</v>
      </c>
      <c r="M1279" s="155">
        <f ca="1">_xll.meDateYearFraction(C1279,D1279,$M$11)</f>
        <v>2.7777777777777779E-3</v>
      </c>
      <c r="N1279" s="150">
        <f ca="1"/>
        <v>-2.4300000000065936E-3</v>
      </c>
      <c r="O1279" s="7" t="s">
        <v>4</v>
      </c>
      <c r="P1279" s="149">
        <f t="shared" ca="1" si="39"/>
        <v>44292</v>
      </c>
      <c r="Q1279" s="155">
        <f ca="1">_xll.meDateYearFraction(H1279,I1279,$Q$11,TRUE)</f>
        <v>0.25277777777777777</v>
      </c>
      <c r="R1279" s="150">
        <f ca="1">IF(NOW(),_xll.meCurveForwardRatesFromYearFraction(P1279,Q1279,$Q$11,$Q$9,$Q$10))</f>
        <v>-3.7175485397107962E-3</v>
      </c>
      <c r="S1279" s="134" t="s">
        <v>4</v>
      </c>
    </row>
    <row r="1280" spans="1:19" x14ac:dyDescent="0.25">
      <c r="A1280" s="128">
        <v>1264</v>
      </c>
      <c r="B1280" s="133"/>
      <c r="C1280" s="149">
        <f ca="1">_xll.meDateFromTenor(C1279,"1D","FOLLOWING",$D$11,"NORMAL")</f>
        <v>44293</v>
      </c>
      <c r="D1280" s="20">
        <f ca="1">_xll.meDateFromTenor(C1280,"1D","Following",$D$11,"Normal")</f>
        <v>44294</v>
      </c>
      <c r="E1280" s="99">
        <f ca="1"/>
        <v>1.4777501441403301E-2</v>
      </c>
      <c r="F1280" s="161">
        <f ca="1">_xll.meCurveForwardRates(C1280,$D$9,$D$10)</f>
        <v>1.488692074227993E-2</v>
      </c>
      <c r="G1280" s="7" t="s">
        <v>4</v>
      </c>
      <c r="H1280" s="149">
        <f t="shared" ca="1" si="38"/>
        <v>44293</v>
      </c>
      <c r="I1280" s="20">
        <f ca="1">_xll.meDateFromTenor(H1280,"3M","Following",$I$11,"Normal")</f>
        <v>44384</v>
      </c>
      <c r="J1280" s="150">
        <f ca="1"/>
        <v>1.8876169556847712E-2</v>
      </c>
      <c r="K1280" s="7" t="s">
        <v>4</v>
      </c>
      <c r="L1280" s="149" t="e">
        <f ca="1">_xll.meDateFromTenor(L1279,"1D","FOLLOWING",#REF!,"NORMAL")</f>
        <v>#VALUE!</v>
      </c>
      <c r="M1280" s="155">
        <f ca="1">_xll.meDateYearFraction(C1280,D1280,$M$11)</f>
        <v>2.7777777777777779E-3</v>
      </c>
      <c r="N1280" s="150">
        <f ca="1"/>
        <v>-2.4300000000065936E-3</v>
      </c>
      <c r="O1280" s="7" t="s">
        <v>4</v>
      </c>
      <c r="P1280" s="149">
        <f t="shared" ca="1" si="39"/>
        <v>44293</v>
      </c>
      <c r="Q1280" s="155">
        <f ca="1">_xll.meDateYearFraction(H1280,I1280,$Q$11,TRUE)</f>
        <v>0.25277777777777777</v>
      </c>
      <c r="R1280" s="150">
        <f ca="1">IF(NOW(),_xll.meCurveForwardRatesFromYearFraction(P1280,Q1280,$Q$11,$Q$9,$Q$10))</f>
        <v>-3.7175485397107962E-3</v>
      </c>
      <c r="S1280" s="134" t="s">
        <v>4</v>
      </c>
    </row>
    <row r="1281" spans="1:19" x14ac:dyDescent="0.25">
      <c r="A1281" s="128">
        <v>1265</v>
      </c>
      <c r="B1281" s="133"/>
      <c r="C1281" s="149">
        <f ca="1">_xll.meDateFromTenor(C1280,"1D","FOLLOWING",$D$11,"NORMAL")</f>
        <v>44294</v>
      </c>
      <c r="D1281" s="20">
        <f ca="1">_xll.meDateFromTenor(C1281,"1D","Following",$D$11,"Normal")</f>
        <v>44295</v>
      </c>
      <c r="E1281" s="99">
        <f ca="1"/>
        <v>1.4780881309463999E-2</v>
      </c>
      <c r="F1281" s="161">
        <f ca="1">_xll.meCurveForwardRates(C1281,$D$9,$D$10)</f>
        <v>1.4890350791150198E-2</v>
      </c>
      <c r="G1281" s="7" t="s">
        <v>4</v>
      </c>
      <c r="H1281" s="149">
        <f t="shared" ca="1" si="38"/>
        <v>44294</v>
      </c>
      <c r="I1281" s="20">
        <f ca="1">_xll.meDateFromTenor(H1281,"3M","Following",$I$11,"Normal")</f>
        <v>44385</v>
      </c>
      <c r="J1281" s="150">
        <f ca="1"/>
        <v>1.8881343323419501E-2</v>
      </c>
      <c r="K1281" s="7" t="s">
        <v>4</v>
      </c>
      <c r="L1281" s="149" t="e">
        <f ca="1">_xll.meDateFromTenor(L1280,"1D","FOLLOWING",#REF!,"NORMAL")</f>
        <v>#VALUE!</v>
      </c>
      <c r="M1281" s="155">
        <f ca="1">_xll.meDateYearFraction(C1281,D1281,$M$11)</f>
        <v>2.7777777777777779E-3</v>
      </c>
      <c r="N1281" s="150">
        <f ca="1"/>
        <v>-2.4300000000065936E-3</v>
      </c>
      <c r="O1281" s="7" t="s">
        <v>4</v>
      </c>
      <c r="P1281" s="149">
        <f t="shared" ca="1" si="39"/>
        <v>44294</v>
      </c>
      <c r="Q1281" s="155">
        <f ca="1">_xll.meDateYearFraction(H1281,I1281,$Q$11,TRUE)</f>
        <v>0.25277777777777777</v>
      </c>
      <c r="R1281" s="150">
        <f ca="1">IF(NOW(),_xll.meCurveForwardRatesFromYearFraction(P1281,Q1281,$Q$11,$Q$9,$Q$10))</f>
        <v>2.8905116716244125E-3</v>
      </c>
      <c r="S1281" s="134" t="s">
        <v>4</v>
      </c>
    </row>
    <row r="1282" spans="1:19" x14ac:dyDescent="0.25">
      <c r="A1282" s="128">
        <v>1266</v>
      </c>
      <c r="B1282" s="133"/>
      <c r="C1282" s="149">
        <f ca="1">_xll.meDateFromTenor(C1281,"1D","FOLLOWING",$D$11,"NORMAL")</f>
        <v>44295</v>
      </c>
      <c r="D1282" s="20">
        <f ca="1">_xll.meDateFromTenor(C1282,"1D","Following",$D$11,"Normal")</f>
        <v>44298</v>
      </c>
      <c r="E1282" s="99">
        <f ca="1"/>
        <v>1.4788226588279005E-2</v>
      </c>
      <c r="F1282" s="161">
        <f ca="1">_xll.meCurveForwardRates(C1282,$D$9,$D$10)</f>
        <v>1.489377418690796E-2</v>
      </c>
      <c r="G1282" s="7" t="s">
        <v>4</v>
      </c>
      <c r="H1282" s="149">
        <f t="shared" ca="1" si="38"/>
        <v>44295</v>
      </c>
      <c r="I1282" s="20">
        <f ca="1">_xll.meDateFromTenor(H1282,"3M","Following",$I$11,"Normal")</f>
        <v>44386</v>
      </c>
      <c r="J1282" s="150">
        <f ca="1"/>
        <v>1.8886513846732428E-2</v>
      </c>
      <c r="K1282" s="7" t="s">
        <v>4</v>
      </c>
      <c r="L1282" s="149" t="e">
        <f ca="1">_xll.meDateFromTenor(L1281,"1D","FOLLOWING",#REF!,"NORMAL")</f>
        <v>#VALUE!</v>
      </c>
      <c r="M1282" s="155">
        <f ca="1">_xll.meDateYearFraction(C1282,D1282,$M$11)</f>
        <v>8.3333333333333332E-3</v>
      </c>
      <c r="N1282" s="150">
        <f ca="1"/>
        <v>-2.4300000000065936E-3</v>
      </c>
      <c r="O1282" s="7" t="s">
        <v>4</v>
      </c>
      <c r="P1282" s="149">
        <f t="shared" ca="1" si="39"/>
        <v>44295</v>
      </c>
      <c r="Q1282" s="155">
        <f ca="1">_xll.meDateYearFraction(H1282,I1282,$Q$11,TRUE)</f>
        <v>0.25277777777777777</v>
      </c>
      <c r="R1282" s="150">
        <f ca="1">IF(NOW(),_xll.meCurveForwardRatesFromYearFraction(P1282,Q1282,$Q$11,$Q$9,$Q$10))</f>
        <v>-3.7175485397107962E-3</v>
      </c>
      <c r="S1282" s="134" t="s">
        <v>4</v>
      </c>
    </row>
    <row r="1283" spans="1:19" x14ac:dyDescent="0.25">
      <c r="A1283" s="128">
        <v>1267</v>
      </c>
      <c r="B1283" s="133"/>
      <c r="C1283" s="149">
        <f ca="1">_xll.meDateFromTenor(C1282,"1D","FOLLOWING",$D$11,"NORMAL")</f>
        <v>44298</v>
      </c>
      <c r="D1283" s="20">
        <f ca="1">_xll.meDateFromTenor(C1283,"1D","Following",$D$11,"Normal")</f>
        <v>44299</v>
      </c>
      <c r="E1283" s="99">
        <f ca="1"/>
        <v>1.4794335099066377E-2</v>
      </c>
      <c r="F1283" s="161">
        <f ca="1">_xll.meCurveForwardRates(C1283,$D$9,$D$10)</f>
        <v>1.4904004443398788E-2</v>
      </c>
      <c r="G1283" s="7" t="s">
        <v>4</v>
      </c>
      <c r="H1283" s="149">
        <f t="shared" ca="1" si="38"/>
        <v>44298</v>
      </c>
      <c r="I1283" s="20">
        <f ca="1">_xll.meDateFromTenor(H1283,"3M","Following",$I$11,"Normal")</f>
        <v>44389</v>
      </c>
      <c r="J1283" s="150">
        <f ca="1"/>
        <v>1.8902004176682887E-2</v>
      </c>
      <c r="K1283" s="7" t="s">
        <v>4</v>
      </c>
      <c r="L1283" s="149" t="e">
        <f ca="1">_xll.meDateFromTenor(L1282,"1D","FOLLOWING",#REF!,"NORMAL")</f>
        <v>#VALUE!</v>
      </c>
      <c r="M1283" s="155">
        <f ca="1">_xll.meDateYearFraction(C1283,D1283,$M$11)</f>
        <v>2.7777777777777779E-3</v>
      </c>
      <c r="N1283" s="150">
        <f ca="1"/>
        <v>-2.4300000000065936E-3</v>
      </c>
      <c r="O1283" s="7" t="s">
        <v>4</v>
      </c>
      <c r="P1283" s="149">
        <f t="shared" ca="1" si="39"/>
        <v>44298</v>
      </c>
      <c r="Q1283" s="155">
        <f ca="1">_xll.meDateYearFraction(H1283,I1283,$Q$11,TRUE)</f>
        <v>0.25277777777777777</v>
      </c>
      <c r="R1283" s="150">
        <f ca="1">IF(NOW(),_xll.meCurveForwardRatesFromYearFraction(P1283,Q1283,$Q$11,$Q$9,$Q$10))</f>
        <v>2.9151076514671742E-3</v>
      </c>
      <c r="S1283" s="134" t="s">
        <v>4</v>
      </c>
    </row>
    <row r="1284" spans="1:19" x14ac:dyDescent="0.25">
      <c r="A1284" s="128">
        <v>1268</v>
      </c>
      <c r="B1284" s="133"/>
      <c r="C1284" s="149">
        <f ca="1">_xll.meDateFromTenor(C1283,"1D","FOLLOWING",$D$11,"NORMAL")</f>
        <v>44299</v>
      </c>
      <c r="D1284" s="20">
        <f ca="1">_xll.meDateFromTenor(C1284,"1D","Following",$D$11,"Normal")</f>
        <v>44300</v>
      </c>
      <c r="E1284" s="99">
        <f ca="1"/>
        <v>1.4797682120531095E-2</v>
      </c>
      <c r="F1284" s="161">
        <f ca="1">_xll.meCurveForwardRates(C1284,$D$9,$D$10)</f>
        <v>1.4907401214963478E-2</v>
      </c>
      <c r="G1284" s="7" t="s">
        <v>4</v>
      </c>
      <c r="H1284" s="149">
        <f t="shared" ca="1" si="38"/>
        <v>44299</v>
      </c>
      <c r="I1284" s="20">
        <f ca="1">_xll.meDateFromTenor(H1284,"3M","Following",$I$11,"Normal")</f>
        <v>44390</v>
      </c>
      <c r="J1284" s="150">
        <f ca="1"/>
        <v>1.8907159946525229E-2</v>
      </c>
      <c r="K1284" s="7" t="s">
        <v>4</v>
      </c>
      <c r="L1284" s="149" t="e">
        <f ca="1">_xll.meDateFromTenor(L1283,"1D","FOLLOWING",#REF!,"NORMAL")</f>
        <v>#VALUE!</v>
      </c>
      <c r="M1284" s="155">
        <f ca="1">_xll.meDateYearFraction(C1284,D1284,$M$11)</f>
        <v>2.7777777777777779E-3</v>
      </c>
      <c r="N1284" s="150">
        <f ca="1"/>
        <v>-2.4300000000065936E-3</v>
      </c>
      <c r="O1284" s="7" t="s">
        <v>4</v>
      </c>
      <c r="P1284" s="149">
        <f t="shared" ca="1" si="39"/>
        <v>44299</v>
      </c>
      <c r="Q1284" s="155">
        <f ca="1">_xll.meDateYearFraction(H1284,I1284,$Q$11,TRUE)</f>
        <v>0.25277777777777777</v>
      </c>
      <c r="R1284" s="150">
        <f ca="1">IF(NOW(),_xll.meCurveForwardRatesFromYearFraction(P1284,Q1284,$Q$11,$Q$9,$Q$10))</f>
        <v>2.9212566464278645E-3</v>
      </c>
      <c r="S1284" s="134" t="s">
        <v>4</v>
      </c>
    </row>
    <row r="1285" spans="1:19" x14ac:dyDescent="0.25">
      <c r="A1285" s="128">
        <v>1269</v>
      </c>
      <c r="B1285" s="133"/>
      <c r="C1285" s="149">
        <f ca="1">_xll.meDateFromTenor(C1284,"1D","FOLLOWING",$D$11,"NORMAL")</f>
        <v>44300</v>
      </c>
      <c r="D1285" s="20">
        <f ca="1">_xll.meDateFromTenor(C1285,"1D","Following",$D$11,"Normal")</f>
        <v>44301</v>
      </c>
      <c r="E1285" s="99">
        <f ca="1"/>
        <v>1.4801022569723616E-2</v>
      </c>
      <c r="F1285" s="161">
        <f ca="1">_xll.meCurveForwardRates(C1285,$D$9,$D$10)</f>
        <v>1.4910791327869433E-2</v>
      </c>
      <c r="G1285" s="7" t="s">
        <v>4</v>
      </c>
      <c r="H1285" s="149">
        <f t="shared" ca="1" si="38"/>
        <v>44300</v>
      </c>
      <c r="I1285" s="20">
        <f ca="1">_xll.meDateFromTenor(H1285,"3M","Following",$I$11,"Normal")</f>
        <v>44391</v>
      </c>
      <c r="J1285" s="150">
        <f ca="1"/>
        <v>1.891231158289115E-2</v>
      </c>
      <c r="K1285" s="7" t="s">
        <v>4</v>
      </c>
      <c r="L1285" s="149" t="e">
        <f ca="1">_xll.meDateFromTenor(L1284,"1D","FOLLOWING",#REF!,"NORMAL")</f>
        <v>#VALUE!</v>
      </c>
      <c r="M1285" s="155">
        <f ca="1">_xll.meDateYearFraction(C1285,D1285,$M$11)</f>
        <v>2.7777777777777779E-3</v>
      </c>
      <c r="N1285" s="150">
        <f ca="1"/>
        <v>-2.4300000000065936E-3</v>
      </c>
      <c r="O1285" s="7" t="s">
        <v>4</v>
      </c>
      <c r="P1285" s="149">
        <f t="shared" ca="1" si="39"/>
        <v>44300</v>
      </c>
      <c r="Q1285" s="155">
        <f ca="1">_xll.meDateYearFraction(H1285,I1285,$Q$11,TRUE)</f>
        <v>0.25277777777777777</v>
      </c>
      <c r="R1285" s="150">
        <f ca="1">IF(NOW(),_xll.meCurveForwardRatesFromYearFraction(P1285,Q1285,$Q$11,$Q$9,$Q$10))</f>
        <v>2.9274056413885552E-3</v>
      </c>
      <c r="S1285" s="134" t="s">
        <v>4</v>
      </c>
    </row>
    <row r="1286" spans="1:19" x14ac:dyDescent="0.25">
      <c r="A1286" s="128">
        <v>1270</v>
      </c>
      <c r="B1286" s="133"/>
      <c r="C1286" s="149">
        <f ca="1">_xll.meDateFromTenor(C1285,"1D","FOLLOWING",$D$11,"NORMAL")</f>
        <v>44301</v>
      </c>
      <c r="D1286" s="20">
        <f ca="1">_xll.meDateFromTenor(C1286,"1D","Following",$D$11,"Normal")</f>
        <v>44302</v>
      </c>
      <c r="E1286" s="99">
        <f ca="1"/>
        <v>1.4804356445543764E-2</v>
      </c>
      <c r="F1286" s="161">
        <f ca="1">_xll.meCurveForwardRates(C1286,$D$9,$D$10)</f>
        <v>1.4914174780933376E-2</v>
      </c>
      <c r="G1286" s="7" t="s">
        <v>4</v>
      </c>
      <c r="H1286" s="149">
        <f t="shared" ca="1" si="38"/>
        <v>44301</v>
      </c>
      <c r="I1286" s="20">
        <f ca="1">_xll.meDateFromTenor(H1286,"3M","Following",$I$11,"Normal")</f>
        <v>44392</v>
      </c>
      <c r="J1286" s="150">
        <f ca="1"/>
        <v>1.8917458907737134E-2</v>
      </c>
      <c r="K1286" s="7" t="s">
        <v>4</v>
      </c>
      <c r="L1286" s="149" t="e">
        <f ca="1">_xll.meDateFromTenor(L1285,"1D","FOLLOWING",#REF!,"NORMAL")</f>
        <v>#VALUE!</v>
      </c>
      <c r="M1286" s="155">
        <f ca="1">_xll.meDateYearFraction(C1286,D1286,$M$11)</f>
        <v>2.7777777777777779E-3</v>
      </c>
      <c r="N1286" s="150">
        <f ca="1"/>
        <v>-2.4300000000065936E-3</v>
      </c>
      <c r="O1286" s="7" t="s">
        <v>4</v>
      </c>
      <c r="P1286" s="149">
        <f t="shared" ca="1" si="39"/>
        <v>44301</v>
      </c>
      <c r="Q1286" s="155">
        <f ca="1">_xll.meDateYearFraction(H1286,I1286,$Q$11,TRUE)</f>
        <v>0.25277777777777777</v>
      </c>
      <c r="R1286" s="150">
        <f ca="1">IF(NOW(),_xll.meCurveForwardRatesFromYearFraction(P1286,Q1286,$Q$11,$Q$9,$Q$10))</f>
        <v>-3.7175485397107962E-3</v>
      </c>
      <c r="S1286" s="134" t="s">
        <v>4</v>
      </c>
    </row>
    <row r="1287" spans="1:19" x14ac:dyDescent="0.25">
      <c r="A1287" s="128">
        <v>1271</v>
      </c>
      <c r="B1287" s="133"/>
      <c r="C1287" s="149">
        <f ca="1">_xll.meDateFromTenor(C1286,"1D","FOLLOWING",$D$11,"NORMAL")</f>
        <v>44302</v>
      </c>
      <c r="D1287" s="20">
        <f ca="1">_xll.meDateFromTenor(C1287,"1D","Following",$D$11,"Normal")</f>
        <v>44305</v>
      </c>
      <c r="E1287" s="99">
        <f ca="1"/>
        <v>1.4811611638493689E-2</v>
      </c>
      <c r="F1287" s="161">
        <f ca="1">_xll.meCurveForwardRates(C1287,$D$9,$D$10)</f>
        <v>1.4917551573015331E-2</v>
      </c>
      <c r="G1287" s="7" t="s">
        <v>4</v>
      </c>
      <c r="H1287" s="149">
        <f t="shared" ca="1" si="38"/>
        <v>44302</v>
      </c>
      <c r="I1287" s="20">
        <f ca="1">_xll.meDateFromTenor(H1287,"3M","Following",$I$11,"Normal")</f>
        <v>44393</v>
      </c>
      <c r="J1287" s="150">
        <f ca="1"/>
        <v>1.8922601743019667E-2</v>
      </c>
      <c r="K1287" s="7" t="s">
        <v>4</v>
      </c>
      <c r="L1287" s="149" t="e">
        <f ca="1">_xll.meDateFromTenor(L1286,"1D","FOLLOWING",#REF!,"NORMAL")</f>
        <v>#VALUE!</v>
      </c>
      <c r="M1287" s="155">
        <f ca="1">_xll.meDateYearFraction(C1287,D1287,$M$11)</f>
        <v>8.3333333333333332E-3</v>
      </c>
      <c r="N1287" s="150">
        <f ca="1"/>
        <v>-2.4300000000065936E-3</v>
      </c>
      <c r="O1287" s="7" t="s">
        <v>4</v>
      </c>
      <c r="P1287" s="149">
        <f t="shared" ca="1" si="39"/>
        <v>44302</v>
      </c>
      <c r="Q1287" s="155">
        <f ca="1">_xll.meDateYearFraction(H1287,I1287,$Q$11,TRUE)</f>
        <v>0.25277777777777777</v>
      </c>
      <c r="R1287" s="150">
        <f ca="1">IF(NOW(),_xll.meCurveForwardRatesFromYearFraction(P1287,Q1287,$Q$11,$Q$9,$Q$10))</f>
        <v>-3.7175485397107962E-3</v>
      </c>
      <c r="S1287" s="134" t="s">
        <v>4</v>
      </c>
    </row>
    <row r="1288" spans="1:19" x14ac:dyDescent="0.25">
      <c r="A1288" s="128">
        <v>1272</v>
      </c>
      <c r="B1288" s="133"/>
      <c r="C1288" s="149">
        <f ca="1">_xll.meDateFromTenor(C1287,"1D","FOLLOWING",$D$11,"NORMAL")</f>
        <v>44305</v>
      </c>
      <c r="D1288" s="20">
        <f ca="1">_xll.meDateFromTenor(C1288,"1D","Following",$D$11,"Normal")</f>
        <v>44306</v>
      </c>
      <c r="E1288" s="99">
        <f ca="1"/>
        <v>1.4817626194363533E-2</v>
      </c>
      <c r="F1288" s="161">
        <f ca="1">_xll.meCurveForwardRates(C1288,$D$9,$D$10)</f>
        <v>1.4927641972396932E-2</v>
      </c>
      <c r="G1288" s="7" t="s">
        <v>4</v>
      </c>
      <c r="H1288" s="149">
        <f t="shared" ca="1" si="38"/>
        <v>44305</v>
      </c>
      <c r="I1288" s="20">
        <f ca="1">_xll.meDateFromTenor(H1288,"3M","Following",$I$11,"Normal")</f>
        <v>44396</v>
      </c>
      <c r="J1288" s="150">
        <f ca="1"/>
        <v>1.8938001531051477E-2</v>
      </c>
      <c r="K1288" s="7" t="s">
        <v>4</v>
      </c>
      <c r="L1288" s="149" t="e">
        <f ca="1">_xll.meDateFromTenor(L1287,"1D","FOLLOWING",#REF!,"NORMAL")</f>
        <v>#VALUE!</v>
      </c>
      <c r="M1288" s="155">
        <f ca="1">_xll.meDateYearFraction(C1288,D1288,$M$11)</f>
        <v>2.7777777777777779E-3</v>
      </c>
      <c r="N1288" s="150">
        <f ca="1"/>
        <v>-2.4300000000065936E-3</v>
      </c>
      <c r="O1288" s="7" t="s">
        <v>4</v>
      </c>
      <c r="P1288" s="149">
        <f t="shared" ca="1" si="39"/>
        <v>44305</v>
      </c>
      <c r="Q1288" s="155">
        <f ca="1">_xll.meDateYearFraction(H1288,I1288,$Q$11,TRUE)</f>
        <v>0.25277777777777777</v>
      </c>
      <c r="R1288" s="150">
        <f ca="1">IF(NOW(),_xll.meCurveForwardRatesFromYearFraction(P1288,Q1288,$Q$11,$Q$9,$Q$10))</f>
        <v>-3.7175485397107962E-3</v>
      </c>
      <c r="S1288" s="134" t="s">
        <v>4</v>
      </c>
    </row>
    <row r="1289" spans="1:19" x14ac:dyDescent="0.25">
      <c r="A1289" s="128">
        <v>1273</v>
      </c>
      <c r="B1289" s="133"/>
      <c r="C1289" s="149">
        <f ca="1">_xll.meDateFromTenor(C1288,"1D","FOLLOWING",$D$11,"NORMAL")</f>
        <v>44306</v>
      </c>
      <c r="D1289" s="20">
        <f ca="1">_xll.meDateFromTenor(C1289,"1D","Following",$D$11,"Normal")</f>
        <v>44307</v>
      </c>
      <c r="E1289" s="99">
        <f ca="1"/>
        <v>1.482092718791729E-2</v>
      </c>
      <c r="F1289" s="161">
        <f ca="1">_xll.meCurveForwardRates(C1289,$D$9,$D$10)</f>
        <v>1.4930992109622787E-2</v>
      </c>
      <c r="G1289" s="7" t="s">
        <v>4</v>
      </c>
      <c r="H1289" s="149">
        <f t="shared" ca="1" si="38"/>
        <v>44306</v>
      </c>
      <c r="I1289" s="20">
        <f ca="1">_xll.meDateFromTenor(H1289,"3M","Following",$I$11,"Normal")</f>
        <v>44397</v>
      </c>
      <c r="J1289" s="150">
        <f ca="1"/>
        <v>1.8943124627645105E-2</v>
      </c>
      <c r="K1289" s="7" t="s">
        <v>4</v>
      </c>
      <c r="L1289" s="149" t="e">
        <f ca="1">_xll.meDateFromTenor(L1288,"1D","FOLLOWING",#REF!,"NORMAL")</f>
        <v>#VALUE!</v>
      </c>
      <c r="M1289" s="155">
        <f ca="1">_xll.meDateYearFraction(C1289,D1289,$M$11)</f>
        <v>2.7777777777777779E-3</v>
      </c>
      <c r="N1289" s="150">
        <f ca="1"/>
        <v>-2.4300000000065936E-3</v>
      </c>
      <c r="O1289" s="7" t="s">
        <v>4</v>
      </c>
      <c r="P1289" s="149">
        <f t="shared" ca="1" si="39"/>
        <v>44306</v>
      </c>
      <c r="Q1289" s="155">
        <f ca="1">_xll.meDateYearFraction(H1289,I1289,$Q$11,TRUE)</f>
        <v>0.25277777777777777</v>
      </c>
      <c r="R1289" s="150">
        <f ca="1">IF(NOW(),_xll.meCurveForwardRatesFromYearFraction(P1289,Q1289,$Q$11,$Q$9,$Q$10))</f>
        <v>2.964299654415812E-3</v>
      </c>
      <c r="S1289" s="134" t="s">
        <v>4</v>
      </c>
    </row>
    <row r="1290" spans="1:19" x14ac:dyDescent="0.25">
      <c r="A1290" s="128">
        <v>1274</v>
      </c>
      <c r="B1290" s="133"/>
      <c r="C1290" s="149">
        <f ca="1">_xll.meDateFromTenor(C1289,"1D","FOLLOWING",$D$11,"NORMAL")</f>
        <v>44307</v>
      </c>
      <c r="D1290" s="20">
        <f ca="1">_xll.meDateFromTenor(C1290,"1D","Following",$D$11,"Normal")</f>
        <v>44308</v>
      </c>
      <c r="E1290" s="99">
        <f ca="1"/>
        <v>1.4824221601943613E-2</v>
      </c>
      <c r="F1290" s="161">
        <f ca="1">_xll.meCurveForwardRates(C1290,$D$9,$D$10)</f>
        <v>1.4934335580362834E-2</v>
      </c>
      <c r="G1290" s="7" t="s">
        <v>4</v>
      </c>
      <c r="H1290" s="149">
        <f t="shared" ca="1" si="38"/>
        <v>44307</v>
      </c>
      <c r="I1290" s="20">
        <f ca="1">_xll.meDateFromTenor(H1290,"3M","Following",$I$11,"Normal")</f>
        <v>44398</v>
      </c>
      <c r="J1290" s="150">
        <f ca="1"/>
        <v>1.894824234445773E-2</v>
      </c>
      <c r="K1290" s="7" t="s">
        <v>4</v>
      </c>
      <c r="L1290" s="149" t="e">
        <f ca="1">_xll.meDateFromTenor(L1289,"1D","FOLLOWING",#REF!,"NORMAL")</f>
        <v>#VALUE!</v>
      </c>
      <c r="M1290" s="155">
        <f ca="1">_xll.meDateYearFraction(C1290,D1290,$M$11)</f>
        <v>2.7777777777777779E-3</v>
      </c>
      <c r="N1290" s="150">
        <f ca="1"/>
        <v>-2.4300000000065936E-3</v>
      </c>
      <c r="O1290" s="7" t="s">
        <v>4</v>
      </c>
      <c r="P1290" s="149">
        <f t="shared" ca="1" si="39"/>
        <v>44307</v>
      </c>
      <c r="Q1290" s="155">
        <f ca="1">_xll.meDateYearFraction(H1290,I1290,$Q$11,TRUE)</f>
        <v>0.25277777777777777</v>
      </c>
      <c r="R1290" s="150">
        <f ca="1">IF(NOW(),_xll.meCurveForwardRatesFromYearFraction(P1290,Q1290,$Q$11,$Q$9,$Q$10))</f>
        <v>-3.7175485397107962E-3</v>
      </c>
      <c r="S1290" s="134" t="s">
        <v>4</v>
      </c>
    </row>
    <row r="1291" spans="1:19" x14ac:dyDescent="0.25">
      <c r="A1291" s="128">
        <v>1275</v>
      </c>
      <c r="B1291" s="133"/>
      <c r="C1291" s="149">
        <f ca="1">_xll.meDateFromTenor(C1290,"1D","FOLLOWING",$D$11,"NORMAL")</f>
        <v>44308</v>
      </c>
      <c r="D1291" s="20">
        <f ca="1">_xll.meDateFromTenor(C1291,"1D","Following",$D$11,"Normal")</f>
        <v>44309</v>
      </c>
      <c r="E1291" s="99">
        <f ca="1"/>
        <v>1.4827509435304434E-2</v>
      </c>
      <c r="F1291" s="161">
        <f ca="1">_xll.meCurveForwardRates(C1291,$D$9,$D$10)</f>
        <v>1.4937672383396494E-2</v>
      </c>
      <c r="G1291" s="7" t="s">
        <v>4</v>
      </c>
      <c r="H1291" s="149">
        <f t="shared" ca="1" si="38"/>
        <v>44308</v>
      </c>
      <c r="I1291" s="20">
        <f ca="1">_xll.meDateFromTenor(H1291,"3M","Following",$I$11,"Normal")</f>
        <v>44399</v>
      </c>
      <c r="J1291" s="150">
        <f ca="1"/>
        <v>1.8953354503445839E-2</v>
      </c>
      <c r="K1291" s="7" t="s">
        <v>4</v>
      </c>
      <c r="L1291" s="149" t="e">
        <f ca="1">_xll.meDateFromTenor(L1290,"1D","FOLLOWING",#REF!,"NORMAL")</f>
        <v>#VALUE!</v>
      </c>
      <c r="M1291" s="155">
        <f ca="1">_xll.meDateYearFraction(C1291,D1291,$M$11)</f>
        <v>2.7777777777777779E-3</v>
      </c>
      <c r="N1291" s="150">
        <f ca="1"/>
        <v>-2.4300000000065936E-3</v>
      </c>
      <c r="O1291" s="7" t="s">
        <v>4</v>
      </c>
      <c r="P1291" s="149">
        <f t="shared" ca="1" si="39"/>
        <v>44308</v>
      </c>
      <c r="Q1291" s="155">
        <f ca="1">_xll.meDateYearFraction(H1291,I1291,$Q$11,TRUE)</f>
        <v>0.25277777777777777</v>
      </c>
      <c r="R1291" s="150">
        <f ca="1">IF(NOW(),_xll.meCurveForwardRatesFromYearFraction(P1291,Q1291,$Q$11,$Q$9,$Q$10))</f>
        <v>2.9766019872759807E-3</v>
      </c>
      <c r="S1291" s="134" t="s">
        <v>4</v>
      </c>
    </row>
    <row r="1292" spans="1:19" x14ac:dyDescent="0.25">
      <c r="A1292" s="128">
        <v>1276</v>
      </c>
      <c r="B1292" s="133"/>
      <c r="C1292" s="149">
        <f ca="1">_xll.meDateFromTenor(C1291,"1D","FOLLOWING",$D$11,"NORMAL")</f>
        <v>44309</v>
      </c>
      <c r="D1292" s="20">
        <f ca="1">_xll.meDateFromTenor(C1292,"1D","Following",$D$11,"Normal")</f>
        <v>44312</v>
      </c>
      <c r="E1292" s="99">
        <f ca="1"/>
        <v>1.4834674418659306E-2</v>
      </c>
      <c r="F1292" s="161">
        <f ca="1">_xll.meCurveForwardRates(C1292,$D$9,$D$10)</f>
        <v>1.4941002517779856E-2</v>
      </c>
      <c r="G1292" s="7" t="s">
        <v>4</v>
      </c>
      <c r="H1292" s="149">
        <f t="shared" ca="1" si="38"/>
        <v>44309</v>
      </c>
      <c r="I1292" s="20">
        <f ca="1">_xll.meDateFromTenor(H1292,"3M","Following",$I$11,"Normal")</f>
        <v>44400</v>
      </c>
      <c r="J1292" s="150">
        <f ca="1"/>
        <v>1.8958460926565921E-2</v>
      </c>
      <c r="K1292" s="7" t="s">
        <v>4</v>
      </c>
      <c r="L1292" s="149" t="e">
        <f ca="1">_xll.meDateFromTenor(L1291,"1D","FOLLOWING",#REF!,"NORMAL")</f>
        <v>#VALUE!</v>
      </c>
      <c r="M1292" s="155">
        <f ca="1">_xll.meDateYearFraction(C1292,D1292,$M$11)</f>
        <v>8.3333333333333332E-3</v>
      </c>
      <c r="N1292" s="150">
        <f ca="1"/>
        <v>-2.4300000000065936E-3</v>
      </c>
      <c r="O1292" s="7" t="s">
        <v>4</v>
      </c>
      <c r="P1292" s="149">
        <f t="shared" ca="1" si="39"/>
        <v>44309</v>
      </c>
      <c r="Q1292" s="155">
        <f ca="1">_xll.meDateYearFraction(H1292,I1292,$Q$11,TRUE)</f>
        <v>0.25277777777777777</v>
      </c>
      <c r="R1292" s="150">
        <f ca="1">IF(NOW(),_xll.meCurveForwardRatesFromYearFraction(P1292,Q1292,$Q$11,$Q$9,$Q$10))</f>
        <v>2.9827584462865583E-3</v>
      </c>
      <c r="S1292" s="134" t="s">
        <v>4</v>
      </c>
    </row>
    <row r="1293" spans="1:19" x14ac:dyDescent="0.25">
      <c r="A1293" s="128">
        <v>1277</v>
      </c>
      <c r="B1293" s="133"/>
      <c r="C1293" s="149">
        <f ca="1">_xll.meDateFromTenor(C1292,"1D","FOLLOWING",$D$11,"NORMAL")</f>
        <v>44312</v>
      </c>
      <c r="D1293" s="20">
        <f ca="1">_xll.meDateFromTenor(C1293,"1D","Following",$D$11,"Normal")</f>
        <v>44313</v>
      </c>
      <c r="E1293" s="99">
        <f ca="1"/>
        <v>1.4840594942946633E-2</v>
      </c>
      <c r="F1293" s="161">
        <f ca="1">_xll.meCurveForwardRates(C1293,$D$9,$D$10)</f>
        <v>1.4950952897722747E-2</v>
      </c>
      <c r="G1293" s="7" t="s">
        <v>4</v>
      </c>
      <c r="H1293" s="149">
        <f t="shared" ca="1" si="38"/>
        <v>44312</v>
      </c>
      <c r="I1293" s="20">
        <f ca="1">_xll.meDateFromTenor(H1293,"3M","Following",$I$11,"Normal")</f>
        <v>44403</v>
      </c>
      <c r="J1293" s="150">
        <f ca="1"/>
        <v>1.8973744000282875E-2</v>
      </c>
      <c r="K1293" s="7" t="s">
        <v>4</v>
      </c>
      <c r="L1293" s="149" t="e">
        <f ca="1">_xll.meDateFromTenor(L1292,"1D","FOLLOWING",#REF!,"NORMAL")</f>
        <v>#VALUE!</v>
      </c>
      <c r="M1293" s="155">
        <f ca="1">_xll.meDateYearFraction(C1293,D1293,$M$11)</f>
        <v>2.7777777777777779E-3</v>
      </c>
      <c r="N1293" s="150">
        <f ca="1"/>
        <v>-2.4300000000065936E-3</v>
      </c>
      <c r="O1293" s="7" t="s">
        <v>4</v>
      </c>
      <c r="P1293" s="149">
        <f t="shared" ca="1" si="39"/>
        <v>44312</v>
      </c>
      <c r="Q1293" s="155">
        <f ca="1">_xll.meDateYearFraction(H1293,I1293,$Q$11,TRUE)</f>
        <v>0.25277777777777777</v>
      </c>
      <c r="R1293" s="150">
        <f ca="1">IF(NOW(),_xll.meCurveForwardRatesFromYearFraction(P1293,Q1293,$Q$11,$Q$9,$Q$10))</f>
        <v>3.0012681290909515E-3</v>
      </c>
      <c r="S1293" s="134" t="s">
        <v>4</v>
      </c>
    </row>
    <row r="1294" spans="1:19" x14ac:dyDescent="0.25">
      <c r="A1294" s="128">
        <v>1278</v>
      </c>
      <c r="B1294" s="133"/>
      <c r="C1294" s="149">
        <f ca="1">_xll.meDateFromTenor(C1293,"1D","FOLLOWING",$D$11,"NORMAL")</f>
        <v>44313</v>
      </c>
      <c r="D1294" s="20">
        <f ca="1">_xll.meDateFromTenor(C1294,"1D","Following",$D$11,"Normal")</f>
        <v>44314</v>
      </c>
      <c r="E1294" s="99">
        <f ca="1"/>
        <v>1.4843849858239177E-2</v>
      </c>
      <c r="F1294" s="161">
        <f ca="1">_xll.meCurveForwardRates(C1294,$D$9,$D$10)</f>
        <v>1.4954256346281003E-2</v>
      </c>
      <c r="G1294" s="7" t="s">
        <v>4</v>
      </c>
      <c r="H1294" s="149">
        <f t="shared" ca="1" si="38"/>
        <v>44313</v>
      </c>
      <c r="I1294" s="20">
        <f ca="1">_xll.meDateFromTenor(H1294,"3M","Following",$I$11,"Normal")</f>
        <v>44404</v>
      </c>
      <c r="J1294" s="150">
        <f ca="1"/>
        <v>1.8978825699495733E-2</v>
      </c>
      <c r="K1294" s="7" t="s">
        <v>4</v>
      </c>
      <c r="L1294" s="149" t="e">
        <f ca="1">_xll.meDateFromTenor(L1293,"1D","FOLLOWING",#REF!,"NORMAL")</f>
        <v>#VALUE!</v>
      </c>
      <c r="M1294" s="155">
        <f ca="1">_xll.meDateYearFraction(C1294,D1294,$M$11)</f>
        <v>2.7777777777777779E-3</v>
      </c>
      <c r="N1294" s="150">
        <f ca="1"/>
        <v>-2.4300000000065936E-3</v>
      </c>
      <c r="O1294" s="7" t="s">
        <v>4</v>
      </c>
      <c r="P1294" s="149">
        <f t="shared" ca="1" si="39"/>
        <v>44313</v>
      </c>
      <c r="Q1294" s="155">
        <f ca="1">_xll.meDateYearFraction(H1294,I1294,$Q$11,TRUE)</f>
        <v>0.25277777777777777</v>
      </c>
      <c r="R1294" s="150">
        <f ca="1">IF(NOW(),_xll.meCurveForwardRatesFromYearFraction(P1294,Q1294,$Q$11,$Q$9,$Q$10))</f>
        <v>3.0074567740196057E-3</v>
      </c>
      <c r="S1294" s="134" t="s">
        <v>4</v>
      </c>
    </row>
    <row r="1295" spans="1:19" x14ac:dyDescent="0.25">
      <c r="A1295" s="128">
        <v>1279</v>
      </c>
      <c r="B1295" s="133"/>
      <c r="C1295" s="149">
        <f ca="1">_xll.meDateFromTenor(C1294,"1D","FOLLOWING",$D$11,"NORMAL")</f>
        <v>44314</v>
      </c>
      <c r="D1295" s="20">
        <f ca="1">_xll.meDateFromTenor(C1295,"1D","Following",$D$11,"Normal")</f>
        <v>44315</v>
      </c>
      <c r="E1295" s="99">
        <f ca="1"/>
        <v>1.4847098186730119E-2</v>
      </c>
      <c r="F1295" s="161">
        <f ca="1">_xll.meCurveForwardRates(C1295,$D$9,$D$10)</f>
        <v>1.4957553120512834E-2</v>
      </c>
      <c r="G1295" s="7" t="s">
        <v>4</v>
      </c>
      <c r="H1295" s="149">
        <f t="shared" ca="1" si="38"/>
        <v>44314</v>
      </c>
      <c r="I1295" s="20">
        <f ca="1">_xll.meDateFromTenor(H1295,"3M","Following",$I$11,"Normal")</f>
        <v>44405</v>
      </c>
      <c r="J1295" s="150">
        <f ca="1"/>
        <v>1.8983900772622998E-2</v>
      </c>
      <c r="K1295" s="7" t="s">
        <v>4</v>
      </c>
      <c r="L1295" s="149" t="e">
        <f ca="1">_xll.meDateFromTenor(L1294,"1D","FOLLOWING",#REF!,"NORMAL")</f>
        <v>#VALUE!</v>
      </c>
      <c r="M1295" s="155">
        <f ca="1">_xll.meDateYearFraction(C1295,D1295,$M$11)</f>
        <v>2.7777777777777779E-3</v>
      </c>
      <c r="N1295" s="150">
        <f ca="1"/>
        <v>-2.4300000000065936E-3</v>
      </c>
      <c r="O1295" s="7" t="s">
        <v>4</v>
      </c>
      <c r="P1295" s="149">
        <f t="shared" ca="1" si="39"/>
        <v>44314</v>
      </c>
      <c r="Q1295" s="155">
        <f ca="1">_xll.meDateYearFraction(H1295,I1295,$Q$11,TRUE)</f>
        <v>0.25277777777777777</v>
      </c>
      <c r="R1295" s="150">
        <f ca="1">IF(NOW(),_xll.meCurveForwardRatesFromYearFraction(P1295,Q1295,$Q$11,$Q$9,$Q$10))</f>
        <v>-3.7175485397107962E-3</v>
      </c>
      <c r="S1295" s="134" t="s">
        <v>4</v>
      </c>
    </row>
    <row r="1296" spans="1:19" x14ac:dyDescent="0.25">
      <c r="A1296" s="128">
        <v>1280</v>
      </c>
      <c r="B1296" s="133"/>
      <c r="C1296" s="149">
        <f ca="1">_xll.meDateFromTenor(C1295,"1D","FOLLOWING",$D$11,"NORMAL")</f>
        <v>44315</v>
      </c>
      <c r="D1296" s="20">
        <f ca="1">_xll.meDateFromTenor(C1296,"1D","Following",$D$11,"Normal")</f>
        <v>44316</v>
      </c>
      <c r="E1296" s="99">
        <f ca="1"/>
        <v>1.4850339927441236E-2</v>
      </c>
      <c r="F1296" s="161">
        <f ca="1">_xll.meCurveForwardRates(C1296,$D$9,$D$10)</f>
        <v>1.4960843219360864E-2</v>
      </c>
      <c r="G1296" s="7" t="s">
        <v>4</v>
      </c>
      <c r="H1296" s="149">
        <f t="shared" ca="1" si="38"/>
        <v>44315</v>
      </c>
      <c r="I1296" s="20">
        <f ca="1">_xll.meDateFromTenor(H1296,"3M","Following",$I$11,"Normal")</f>
        <v>44406</v>
      </c>
      <c r="J1296" s="150">
        <f ca="1"/>
        <v>1.898896904162117E-2</v>
      </c>
      <c r="K1296" s="7" t="s">
        <v>4</v>
      </c>
      <c r="L1296" s="149" t="e">
        <f ca="1">_xll.meDateFromTenor(L1295,"1D","FOLLOWING",#REF!,"NORMAL")</f>
        <v>#VALUE!</v>
      </c>
      <c r="M1296" s="155">
        <f ca="1">_xll.meDateYearFraction(C1296,D1296,$M$11)</f>
        <v>2.7777777777777779E-3</v>
      </c>
      <c r="N1296" s="150">
        <f ca="1"/>
        <v>-2.4300000000065936E-3</v>
      </c>
      <c r="O1296" s="7" t="s">
        <v>4</v>
      </c>
      <c r="P1296" s="149">
        <f t="shared" ca="1" si="39"/>
        <v>44315</v>
      </c>
      <c r="Q1296" s="155">
        <f ca="1">_xll.meDateYearFraction(H1296,I1296,$Q$11,TRUE)</f>
        <v>0.25277777777777777</v>
      </c>
      <c r="R1296" s="150">
        <f ca="1">IF(NOW(),_xll.meCurveForwardRatesFromYearFraction(P1296,Q1296,$Q$11,$Q$9,$Q$10))</f>
        <v>-3.7175485397107962E-3</v>
      </c>
      <c r="S1296" s="134" t="s">
        <v>4</v>
      </c>
    </row>
    <row r="1297" spans="1:19" x14ac:dyDescent="0.25">
      <c r="A1297" s="128">
        <v>1281</v>
      </c>
      <c r="B1297" s="133"/>
      <c r="C1297" s="149">
        <f ca="1">_xll.meDateFromTenor(C1296,"1D","FOLLOWING",$D$11,"NORMAL")</f>
        <v>44316</v>
      </c>
      <c r="D1297" s="20">
        <f ca="1">_xll.meDateFromTenor(C1297,"1D","Following",$D$11,"Normal")</f>
        <v>44320</v>
      </c>
      <c r="E1297" s="99">
        <f ca="1"/>
        <v>1.4859331241796666E-2</v>
      </c>
      <c r="F1297" s="161">
        <f ca="1">_xll.meCurveForwardRates(C1297,$D$9,$D$10)</f>
        <v>1.4964126641886955E-2</v>
      </c>
      <c r="G1297" s="7" t="s">
        <v>4</v>
      </c>
      <c r="H1297" s="149">
        <f t="shared" ref="H1297:H1360" ca="1" si="40">$C1297</f>
        <v>44316</v>
      </c>
      <c r="I1297" s="20">
        <f ca="1">_xll.meDateFromTenor(H1297,"3M","Following",$I$11,"Normal")</f>
        <v>44407</v>
      </c>
      <c r="J1297" s="150">
        <f ca="1"/>
        <v>1.899403032844673E-2</v>
      </c>
      <c r="K1297" s="7" t="s">
        <v>4</v>
      </c>
      <c r="L1297" s="149" t="e">
        <f ca="1">_xll.meDateFromTenor(L1296,"1D","FOLLOWING",#REF!,"NORMAL")</f>
        <v>#VALUE!</v>
      </c>
      <c r="M1297" s="155">
        <f ca="1">_xll.meDateYearFraction(C1297,D1297,$M$11)</f>
        <v>1.1111111111111112E-2</v>
      </c>
      <c r="N1297" s="150">
        <f ca="1"/>
        <v>-2.4300000000065936E-3</v>
      </c>
      <c r="O1297" s="7" t="s">
        <v>4</v>
      </c>
      <c r="P1297" s="149">
        <f t="shared" ref="P1297:P1360" ca="1" si="41">$C1297</f>
        <v>44316</v>
      </c>
      <c r="Q1297" s="155">
        <f ca="1">_xll.meDateYearFraction(H1297,I1297,$Q$11,TRUE)</f>
        <v>0.25277777777777777</v>
      </c>
      <c r="R1297" s="150">
        <f ca="1">IF(NOW(),_xll.meCurveForwardRatesFromYearFraction(P1297,Q1297,$Q$11,$Q$9,$Q$10))</f>
        <v>3.0261012854796037E-3</v>
      </c>
      <c r="S1297" s="134" t="s">
        <v>4</v>
      </c>
    </row>
    <row r="1298" spans="1:19" x14ac:dyDescent="0.25">
      <c r="A1298" s="128">
        <v>1282</v>
      </c>
      <c r="B1298" s="133"/>
      <c r="C1298" s="149">
        <f ca="1">_xll.meDateFromTenor(C1297,"1D","FOLLOWING",$D$11,"NORMAL")</f>
        <v>44320</v>
      </c>
      <c r="D1298" s="20">
        <f ca="1">_xll.meDateFromTenor(C1298,"1D","Following",$D$11,"Normal")</f>
        <v>44321</v>
      </c>
      <c r="E1298" s="99">
        <f ca="1"/>
        <v>1.486644977881889E-2</v>
      </c>
      <c r="F1298" s="161">
        <f ca="1">_xll.meCurveForwardRates(C1298,$D$9,$D$10)</f>
        <v>1.497719354456728E-2</v>
      </c>
      <c r="G1298" s="7" t="s">
        <v>4</v>
      </c>
      <c r="H1298" s="149">
        <f t="shared" ca="1" si="40"/>
        <v>44320</v>
      </c>
      <c r="I1298" s="20">
        <f ca="1">_xll.meDateFromTenor(H1298,"3M","Following",$I$11,"Normal")</f>
        <v>44412</v>
      </c>
      <c r="J1298" s="150">
        <f ca="1"/>
        <v>1.9014202093152653E-2</v>
      </c>
      <c r="K1298" s="7" t="s">
        <v>4</v>
      </c>
      <c r="L1298" s="149" t="e">
        <f ca="1">_xll.meDateFromTenor(L1297,"1D","FOLLOWING",#REF!,"NORMAL")</f>
        <v>#VALUE!</v>
      </c>
      <c r="M1298" s="155">
        <f ca="1">_xll.meDateYearFraction(C1298,D1298,$M$11)</f>
        <v>2.7777777777777779E-3</v>
      </c>
      <c r="N1298" s="150">
        <f ca="1"/>
        <v>-2.4300000000065936E-3</v>
      </c>
      <c r="O1298" s="7" t="s">
        <v>4</v>
      </c>
      <c r="P1298" s="149">
        <f t="shared" ca="1" si="41"/>
        <v>44320</v>
      </c>
      <c r="Q1298" s="155">
        <f ca="1">_xll.meDateYearFraction(H1298,I1298,$Q$11,TRUE)</f>
        <v>0.25555555555555554</v>
      </c>
      <c r="R1298" s="150">
        <f ca="1">IF(NOW(),_xll.meCurveForwardRatesFromYearFraction(P1298,Q1298,$Q$11,$Q$9,$Q$10))</f>
        <v>-3.7175485397107962E-3</v>
      </c>
      <c r="S1298" s="134" t="s">
        <v>4</v>
      </c>
    </row>
    <row r="1299" spans="1:19" x14ac:dyDescent="0.25">
      <c r="A1299" s="128">
        <v>1283</v>
      </c>
      <c r="B1299" s="133"/>
      <c r="C1299" s="149">
        <f ca="1">_xll.meDateFromTenor(C1298,"1D","FOLLOWING",$D$11,"NORMAL")</f>
        <v>44321</v>
      </c>
      <c r="D1299" s="20">
        <f ca="1">_xll.meDateFromTenor(C1299,"1D","Following",$D$11,"Normal")</f>
        <v>44322</v>
      </c>
      <c r="E1299" s="99">
        <f ca="1"/>
        <v>1.4869651971325289E-2</v>
      </c>
      <c r="F1299" s="161">
        <f ca="1">_xll.meCurveForwardRates(C1299,$D$9,$D$10)</f>
        <v>1.4980443567907731E-2</v>
      </c>
      <c r="G1299" s="7" t="s">
        <v>4</v>
      </c>
      <c r="H1299" s="149">
        <f t="shared" ca="1" si="40"/>
        <v>44321</v>
      </c>
      <c r="I1299" s="20">
        <f ca="1">_xll.meDateFromTenor(H1299,"3M","Following",$I$11,"Normal")</f>
        <v>44413</v>
      </c>
      <c r="J1299" s="150">
        <f ca="1"/>
        <v>1.9019225798462491E-2</v>
      </c>
      <c r="K1299" s="7" t="s">
        <v>4</v>
      </c>
      <c r="L1299" s="149" t="e">
        <f ca="1">_xll.meDateFromTenor(L1298,"1D","FOLLOWING",#REF!,"NORMAL")</f>
        <v>#VALUE!</v>
      </c>
      <c r="M1299" s="155">
        <f ca="1">_xll.meDateYearFraction(C1299,D1299,$M$11)</f>
        <v>2.7777777777777779E-3</v>
      </c>
      <c r="N1299" s="150">
        <f ca="1"/>
        <v>-2.4300000000065936E-3</v>
      </c>
      <c r="O1299" s="7" t="s">
        <v>4</v>
      </c>
      <c r="P1299" s="149">
        <f t="shared" ca="1" si="41"/>
        <v>44321</v>
      </c>
      <c r="Q1299" s="155">
        <f ca="1">_xll.meDateYearFraction(H1299,I1299,$Q$11,TRUE)</f>
        <v>0.25555555555555554</v>
      </c>
      <c r="R1299" s="150">
        <f ca="1">IF(NOW(),_xll.meCurveForwardRatesFromYearFraction(P1299,Q1299,$Q$11,$Q$9,$Q$10))</f>
        <v>3.0575330707464893E-3</v>
      </c>
      <c r="S1299" s="134" t="s">
        <v>4</v>
      </c>
    </row>
    <row r="1300" spans="1:19" x14ac:dyDescent="0.25">
      <c r="A1300" s="128">
        <v>1284</v>
      </c>
      <c r="B1300" s="133"/>
      <c r="C1300" s="149">
        <f ca="1">_xll.meDateFromTenor(C1299,"1D","FOLLOWING",$D$11,"NORMAL")</f>
        <v>44322</v>
      </c>
      <c r="D1300" s="20">
        <f ca="1">_xll.meDateFromTenor(C1300,"1D","Following",$D$11,"Normal")</f>
        <v>44323</v>
      </c>
      <c r="E1300" s="99">
        <f ca="1"/>
        <v>1.4872847568876623E-2</v>
      </c>
      <c r="F1300" s="161">
        <f ca="1">_xll.meCurveForwardRates(C1300,$D$9,$D$10)</f>
        <v>1.4983686908131011E-2</v>
      </c>
      <c r="G1300" s="7" t="s">
        <v>4</v>
      </c>
      <c r="H1300" s="149">
        <f t="shared" ca="1" si="40"/>
        <v>44322</v>
      </c>
      <c r="I1300" s="20">
        <f ca="1">_xll.meDateFromTenor(H1300,"3M","Following",$I$11,"Normal")</f>
        <v>44414</v>
      </c>
      <c r="J1300" s="150">
        <f ca="1"/>
        <v>1.9024241453338659E-2</v>
      </c>
      <c r="K1300" s="7" t="s">
        <v>4</v>
      </c>
      <c r="L1300" s="149" t="e">
        <f ca="1">_xll.meDateFromTenor(L1299,"1D","FOLLOWING",#REF!,"NORMAL")</f>
        <v>#VALUE!</v>
      </c>
      <c r="M1300" s="155">
        <f ca="1">_xll.meDateYearFraction(C1300,D1300,$M$11)</f>
        <v>2.7777777777777779E-3</v>
      </c>
      <c r="N1300" s="150">
        <f ca="1"/>
        <v>-2.4300000000065936E-3</v>
      </c>
      <c r="O1300" s="7" t="s">
        <v>4</v>
      </c>
      <c r="P1300" s="149">
        <f t="shared" ca="1" si="41"/>
        <v>44322</v>
      </c>
      <c r="Q1300" s="155">
        <f ca="1">_xll.meDateYearFraction(H1300,I1300,$Q$11,TRUE)</f>
        <v>0.25555555555555554</v>
      </c>
      <c r="R1300" s="150">
        <f ca="1">IF(NOW(),_xll.meCurveForwardRatesFromYearFraction(P1300,Q1300,$Q$11,$Q$9,$Q$10))</f>
        <v>-3.7175485397107962E-3</v>
      </c>
      <c r="S1300" s="134" t="s">
        <v>4</v>
      </c>
    </row>
    <row r="1301" spans="1:19" x14ac:dyDescent="0.25">
      <c r="A1301" s="128">
        <v>1285</v>
      </c>
      <c r="B1301" s="133"/>
      <c r="C1301" s="149">
        <f ca="1">_xll.meDateFromTenor(C1300,"1D","FOLLOWING",$D$11,"NORMAL")</f>
        <v>44323</v>
      </c>
      <c r="D1301" s="20">
        <f ca="1">_xll.meDateFromTenor(C1301,"1D","Following",$D$11,"Normal")</f>
        <v>44326</v>
      </c>
      <c r="E1301" s="99">
        <f ca="1"/>
        <v>1.4879831759166221E-2</v>
      </c>
      <c r="F1301" s="161">
        <f ca="1">_xll.meCurveForwardRates(C1301,$D$9,$D$10)</f>
        <v>1.4986923564098698E-2</v>
      </c>
      <c r="G1301" s="7" t="s">
        <v>4</v>
      </c>
      <c r="H1301" s="149">
        <f t="shared" ca="1" si="40"/>
        <v>44323</v>
      </c>
      <c r="I1301" s="20">
        <f ca="1">_xll.meDateFromTenor(H1301,"3M","Following",$I$11,"Normal")</f>
        <v>44417</v>
      </c>
      <c r="J1301" s="150">
        <f ca="1"/>
        <v>1.9029248879737636E-2</v>
      </c>
      <c r="K1301" s="7" t="s">
        <v>4</v>
      </c>
      <c r="L1301" s="149" t="e">
        <f ca="1">_xll.meDateFromTenor(L1300,"1D","FOLLOWING",#REF!,"NORMAL")</f>
        <v>#VALUE!</v>
      </c>
      <c r="M1301" s="155">
        <f ca="1">_xll.meDateYearFraction(C1301,D1301,$M$11)</f>
        <v>8.3333333333333332E-3</v>
      </c>
      <c r="N1301" s="150">
        <f ca="1"/>
        <v>-2.4300000000065936E-3</v>
      </c>
      <c r="O1301" s="7" t="s">
        <v>4</v>
      </c>
      <c r="P1301" s="149">
        <f t="shared" ca="1" si="41"/>
        <v>44323</v>
      </c>
      <c r="Q1301" s="155">
        <f ca="1">_xll.meDateYearFraction(H1301,I1301,$Q$11,TRUE)</f>
        <v>0.26111111111111113</v>
      </c>
      <c r="R1301" s="150">
        <f ca="1">IF(NOW(),_xll.meCurveForwardRatesFromYearFraction(P1301,Q1301,$Q$11,$Q$9,$Q$10))</f>
        <v>3.0702681524991029E-3</v>
      </c>
      <c r="S1301" s="134" t="s">
        <v>4</v>
      </c>
    </row>
    <row r="1302" spans="1:19" x14ac:dyDescent="0.25">
      <c r="A1302" s="128">
        <v>1286</v>
      </c>
      <c r="B1302" s="133"/>
      <c r="C1302" s="149">
        <f ca="1">_xll.meDateFromTenor(C1301,"1D","FOLLOWING",$D$11,"NORMAL")</f>
        <v>44326</v>
      </c>
      <c r="D1302" s="20">
        <f ca="1">_xll.meDateFromTenor(C1302,"1D","Following",$D$11,"Normal")</f>
        <v>44327</v>
      </c>
      <c r="E1302" s="99">
        <f ca="1"/>
        <v>1.4885563988394013E-2</v>
      </c>
      <c r="F1302" s="161">
        <f ca="1">_xll.meCurveForwardRates(C1302,$D$9,$D$10)</f>
        <v>1.4996593415118609E-2</v>
      </c>
      <c r="G1302" s="7" t="s">
        <v>4</v>
      </c>
      <c r="H1302" s="149">
        <f t="shared" ca="1" si="40"/>
        <v>44326</v>
      </c>
      <c r="I1302" s="20">
        <f ca="1">_xll.meDateFromTenor(H1302,"3M","Following",$I$11,"Normal")</f>
        <v>44418</v>
      </c>
      <c r="J1302" s="150">
        <f ca="1"/>
        <v>1.9044220007636309E-2</v>
      </c>
      <c r="K1302" s="7" t="s">
        <v>4</v>
      </c>
      <c r="L1302" s="149" t="e">
        <f ca="1">_xll.meDateFromTenor(L1301,"1D","FOLLOWING",#REF!,"NORMAL")</f>
        <v>#VALUE!</v>
      </c>
      <c r="M1302" s="155">
        <f ca="1">_xll.meDateYearFraction(C1302,D1302,$M$11)</f>
        <v>2.7777777777777779E-3</v>
      </c>
      <c r="N1302" s="150">
        <f ca="1"/>
        <v>-2.4300000000065936E-3</v>
      </c>
      <c r="O1302" s="7" t="s">
        <v>4</v>
      </c>
      <c r="P1302" s="149">
        <f t="shared" ca="1" si="41"/>
        <v>44326</v>
      </c>
      <c r="Q1302" s="155">
        <f ca="1">_xll.meDateYearFraction(H1302,I1302,$Q$11,TRUE)</f>
        <v>0.25555555555555554</v>
      </c>
      <c r="R1302" s="150">
        <f ca="1">IF(NOW(),_xll.meCurveForwardRatesFromYearFraction(P1302,Q1302,$Q$11,$Q$9,$Q$10))</f>
        <v>-3.7175485397107962E-3</v>
      </c>
      <c r="S1302" s="134" t="s">
        <v>4</v>
      </c>
    </row>
    <row r="1303" spans="1:19" x14ac:dyDescent="0.25">
      <c r="A1303" s="128">
        <v>1287</v>
      </c>
      <c r="B1303" s="133"/>
      <c r="C1303" s="149">
        <f ca="1">_xll.meDateFromTenor(C1302,"1D","FOLLOWING",$D$11,"NORMAL")</f>
        <v>44327</v>
      </c>
      <c r="D1303" s="20">
        <f ca="1">_xll.meDateFromTenor(C1303,"1D","Following",$D$11,"Normal")</f>
        <v>44328</v>
      </c>
      <c r="E1303" s="99">
        <f ca="1"/>
        <v>1.4888726595365557E-2</v>
      </c>
      <c r="F1303" s="161">
        <f ca="1">_xll.meCurveForwardRates(C1303,$D$9,$D$10)</f>
        <v>1.4999803322756966E-2</v>
      </c>
      <c r="G1303" s="7" t="s">
        <v>4</v>
      </c>
      <c r="H1303" s="149">
        <f t="shared" ca="1" si="40"/>
        <v>44327</v>
      </c>
      <c r="I1303" s="20">
        <f ca="1">_xll.meDateFromTenor(H1303,"3M","Following",$I$11,"Normal")</f>
        <v>44419</v>
      </c>
      <c r="J1303" s="150">
        <f ca="1"/>
        <v>1.9049192739691408E-2</v>
      </c>
      <c r="K1303" s="7" t="s">
        <v>4</v>
      </c>
      <c r="L1303" s="149" t="e">
        <f ca="1">_xll.meDateFromTenor(L1302,"1D","FOLLOWING",#REF!,"NORMAL")</f>
        <v>#VALUE!</v>
      </c>
      <c r="M1303" s="155">
        <f ca="1">_xll.meDateYearFraction(C1303,D1303,$M$11)</f>
        <v>2.7777777777777779E-3</v>
      </c>
      <c r="N1303" s="150">
        <f ca="1"/>
        <v>-2.4300000000065936E-3</v>
      </c>
      <c r="O1303" s="7" t="s">
        <v>4</v>
      </c>
      <c r="P1303" s="149">
        <f t="shared" ca="1" si="41"/>
        <v>44327</v>
      </c>
      <c r="Q1303" s="155">
        <f ca="1">_xll.meDateYearFraction(H1303,I1303,$Q$11,TRUE)</f>
        <v>0.25555555555555554</v>
      </c>
      <c r="R1303" s="150">
        <f ca="1">IF(NOW(),_xll.meCurveForwardRatesFromYearFraction(P1303,Q1303,$Q$11,$Q$9,$Q$10))</f>
        <v>-3.7175485397107962E-3</v>
      </c>
      <c r="S1303" s="134" t="s">
        <v>4</v>
      </c>
    </row>
    <row r="1304" spans="1:19" x14ac:dyDescent="0.25">
      <c r="A1304" s="128">
        <v>1288</v>
      </c>
      <c r="B1304" s="133"/>
      <c r="C1304" s="149">
        <f ca="1">_xll.meDateFromTenor(C1303,"1D","FOLLOWING",$D$11,"NORMAL")</f>
        <v>44328</v>
      </c>
      <c r="D1304" s="20">
        <f ca="1">_xll.meDateFromTenor(C1304,"1D","Following",$D$11,"Normal")</f>
        <v>44329</v>
      </c>
      <c r="E1304" s="99">
        <f ca="1"/>
        <v>1.4891882601147035E-2</v>
      </c>
      <c r="F1304" s="161">
        <f ca="1">_xll.meCurveForwardRates(C1304,$D$9,$D$10)</f>
        <v>1.5003006540567743E-2</v>
      </c>
      <c r="G1304" s="7" t="s">
        <v>4</v>
      </c>
      <c r="H1304" s="149">
        <f t="shared" ca="1" si="40"/>
        <v>44328</v>
      </c>
      <c r="I1304" s="20">
        <f ca="1">_xll.meDateFromTenor(H1304,"3M","Following",$I$11,"Normal")</f>
        <v>44420</v>
      </c>
      <c r="J1304" s="150">
        <f ca="1"/>
        <v>1.9054156353051761E-2</v>
      </c>
      <c r="K1304" s="7" t="s">
        <v>4</v>
      </c>
      <c r="L1304" s="149" t="e">
        <f ca="1">_xll.meDateFromTenor(L1303,"1D","FOLLOWING",#REF!,"NORMAL")</f>
        <v>#VALUE!</v>
      </c>
      <c r="M1304" s="155">
        <f ca="1">_xll.meDateYearFraction(C1304,D1304,$M$11)</f>
        <v>2.7777777777777779E-3</v>
      </c>
      <c r="N1304" s="150">
        <f ca="1"/>
        <v>-2.4300000000065936E-3</v>
      </c>
      <c r="O1304" s="7" t="s">
        <v>4</v>
      </c>
      <c r="P1304" s="149">
        <f t="shared" ca="1" si="41"/>
        <v>44328</v>
      </c>
      <c r="Q1304" s="155">
        <f ca="1">_xll.meDateYearFraction(H1304,I1304,$Q$11,TRUE)</f>
        <v>0.25555555555555554</v>
      </c>
      <c r="R1304" s="150">
        <f ca="1">IF(NOW(),_xll.meCurveForwardRatesFromYearFraction(P1304,Q1304,$Q$11,$Q$9,$Q$10))</f>
        <v>3.1026233994576233E-3</v>
      </c>
      <c r="S1304" s="134" t="s">
        <v>4</v>
      </c>
    </row>
    <row r="1305" spans="1:19" x14ac:dyDescent="0.25">
      <c r="A1305" s="128">
        <v>1289</v>
      </c>
      <c r="B1305" s="133"/>
      <c r="C1305" s="149">
        <f ca="1">_xll.meDateFromTenor(C1304,"1D","FOLLOWING",$D$11,"NORMAL")</f>
        <v>44329</v>
      </c>
      <c r="D1305" s="20">
        <f ca="1">_xll.meDateFromTenor(C1305,"1D","Following",$D$11,"Normal")</f>
        <v>44330</v>
      </c>
      <c r="E1305" s="99">
        <f ca="1"/>
        <v>1.4895032004680234E-2</v>
      </c>
      <c r="F1305" s="161">
        <f ca="1">_xll.meCurveForwardRates(C1305,$D$9,$D$10)</f>
        <v>1.5006203067413626E-2</v>
      </c>
      <c r="G1305" s="7" t="s">
        <v>4</v>
      </c>
      <c r="H1305" s="149">
        <f t="shared" ca="1" si="40"/>
        <v>44329</v>
      </c>
      <c r="I1305" s="20">
        <f ca="1">_xll.meDateFromTenor(H1305,"3M","Following",$I$11,"Normal")</f>
        <v>44421</v>
      </c>
      <c r="J1305" s="150">
        <f ca="1"/>
        <v>1.9059110669673859E-2</v>
      </c>
      <c r="K1305" s="7" t="s">
        <v>4</v>
      </c>
      <c r="L1305" s="149" t="e">
        <f ca="1">_xll.meDateFromTenor(L1304,"1D","FOLLOWING",#REF!,"NORMAL")</f>
        <v>#VALUE!</v>
      </c>
      <c r="M1305" s="155">
        <f ca="1">_xll.meDateYearFraction(C1305,D1305,$M$11)</f>
        <v>2.7777777777777779E-3</v>
      </c>
      <c r="N1305" s="150">
        <f ca="1"/>
        <v>-2.4300000000065936E-3</v>
      </c>
      <c r="O1305" s="7" t="s">
        <v>4</v>
      </c>
      <c r="P1305" s="149">
        <f t="shared" ca="1" si="41"/>
        <v>44329</v>
      </c>
      <c r="Q1305" s="155">
        <f ca="1">_xll.meDateYearFraction(H1305,I1305,$Q$11,TRUE)</f>
        <v>0.25555555555555554</v>
      </c>
      <c r="R1305" s="150">
        <f ca="1">IF(NOW(),_xll.meCurveForwardRatesFromYearFraction(P1305,Q1305,$Q$11,$Q$9,$Q$10))</f>
        <v>3.1091959274010821E-3</v>
      </c>
      <c r="S1305" s="134" t="s">
        <v>4</v>
      </c>
    </row>
    <row r="1306" spans="1:19" x14ac:dyDescent="0.25">
      <c r="A1306" s="128">
        <v>1290</v>
      </c>
      <c r="B1306" s="133"/>
      <c r="C1306" s="149">
        <f ca="1">_xll.meDateFromTenor(C1305,"1D","FOLLOWING",$D$11,"NORMAL")</f>
        <v>44330</v>
      </c>
      <c r="D1306" s="20">
        <f ca="1">_xll.meDateFromTenor(C1306,"1D","Following",$D$11,"Normal")</f>
        <v>44333</v>
      </c>
      <c r="E1306" s="99">
        <f ca="1"/>
        <v>1.490192561028976E-2</v>
      </c>
      <c r="F1306" s="161">
        <f ca="1">_xll.meCurveForwardRates(C1306,$D$9,$D$10)</f>
        <v>1.5009392902115337E-2</v>
      </c>
      <c r="G1306" s="7" t="s">
        <v>4</v>
      </c>
      <c r="H1306" s="149">
        <f t="shared" ca="1" si="40"/>
        <v>44330</v>
      </c>
      <c r="I1306" s="20">
        <f ca="1">_xll.meDateFromTenor(H1306,"3M","Following",$I$11,"Normal")</f>
        <v>44424</v>
      </c>
      <c r="J1306" s="150">
        <f ca="1"/>
        <v>1.9064055511514178E-2</v>
      </c>
      <c r="K1306" s="7" t="s">
        <v>4</v>
      </c>
      <c r="L1306" s="149" t="e">
        <f ca="1">_xll.meDateFromTenor(L1305,"1D","FOLLOWING",#REF!,"NORMAL")</f>
        <v>#VALUE!</v>
      </c>
      <c r="M1306" s="155">
        <f ca="1">_xll.meDateYearFraction(C1306,D1306,$M$11)</f>
        <v>8.3333333333333332E-3</v>
      </c>
      <c r="N1306" s="150">
        <f ca="1"/>
        <v>-2.4300000000065936E-3</v>
      </c>
      <c r="O1306" s="7" t="s">
        <v>4</v>
      </c>
      <c r="P1306" s="149">
        <f t="shared" ca="1" si="41"/>
        <v>44330</v>
      </c>
      <c r="Q1306" s="155">
        <f ca="1">_xll.meDateYearFraction(H1306,I1306,$Q$11,TRUE)</f>
        <v>0.26111111111111113</v>
      </c>
      <c r="R1306" s="150">
        <f ca="1">IF(NOW(),_xll.meCurveForwardRatesFromYearFraction(P1306,Q1306,$Q$11,$Q$9,$Q$10))</f>
        <v>-3.7175485397107962E-3</v>
      </c>
      <c r="S1306" s="134" t="s">
        <v>4</v>
      </c>
    </row>
    <row r="1307" spans="1:19" x14ac:dyDescent="0.25">
      <c r="A1307" s="128">
        <v>1291</v>
      </c>
      <c r="B1307" s="133"/>
      <c r="C1307" s="149">
        <f ca="1">_xll.meDateFromTenor(C1306,"1D","FOLLOWING",$D$11,"NORMAL")</f>
        <v>44333</v>
      </c>
      <c r="D1307" s="20">
        <f ca="1">_xll.meDateFromTenor(C1307,"1D","Following",$D$11,"Normal")</f>
        <v>44334</v>
      </c>
      <c r="E1307" s="99">
        <f ca="1"/>
        <v>1.4907563575261464E-2</v>
      </c>
      <c r="F1307" s="161">
        <f ca="1">_xll.meCurveForwardRates(C1307,$D$9,$D$10)</f>
        <v>1.5018922242505006E-2</v>
      </c>
      <c r="G1307" s="7" t="s">
        <v>4</v>
      </c>
      <c r="H1307" s="149">
        <f t="shared" ca="1" si="40"/>
        <v>44333</v>
      </c>
      <c r="I1307" s="20">
        <f ca="1">_xll.meDateFromTenor(H1307,"3M","Following",$I$11,"Normal")</f>
        <v>44425</v>
      </c>
      <c r="J1307" s="150">
        <f ca="1"/>
        <v>1.9078831407909416E-2</v>
      </c>
      <c r="K1307" s="7" t="s">
        <v>4</v>
      </c>
      <c r="L1307" s="149" t="e">
        <f ca="1">_xll.meDateFromTenor(L1306,"1D","FOLLOWING",#REF!,"NORMAL")</f>
        <v>#VALUE!</v>
      </c>
      <c r="M1307" s="155">
        <f ca="1">_xll.meDateYearFraction(C1307,D1307,$M$11)</f>
        <v>2.7777777777777779E-3</v>
      </c>
      <c r="N1307" s="150">
        <f ca="1"/>
        <v>-2.4300000000065936E-3</v>
      </c>
      <c r="O1307" s="7" t="s">
        <v>4</v>
      </c>
      <c r="P1307" s="149">
        <f t="shared" ca="1" si="41"/>
        <v>44333</v>
      </c>
      <c r="Q1307" s="155">
        <f ca="1">_xll.meDateYearFraction(H1307,I1307,$Q$11,TRUE)</f>
        <v>0.25555555555555554</v>
      </c>
      <c r="R1307" s="150">
        <f ca="1">IF(NOW(),_xll.meCurveForwardRatesFromYearFraction(P1307,Q1307,$Q$11,$Q$9,$Q$10))</f>
        <v>3.1358774550437627E-3</v>
      </c>
      <c r="S1307" s="134" t="s">
        <v>4</v>
      </c>
    </row>
    <row r="1308" spans="1:19" x14ac:dyDescent="0.25">
      <c r="A1308" s="128">
        <v>1292</v>
      </c>
      <c r="B1308" s="133"/>
      <c r="C1308" s="149">
        <f ca="1">_xll.meDateFromTenor(C1307,"1D","FOLLOWING",$D$11,"NORMAL")</f>
        <v>44334</v>
      </c>
      <c r="D1308" s="20">
        <f ca="1">_xll.meDateFromTenor(C1308,"1D","Following",$D$11,"Normal")</f>
        <v>44335</v>
      </c>
      <c r="E1308" s="99">
        <f ca="1"/>
        <v>1.4910679951942946E-2</v>
      </c>
      <c r="F1308" s="161">
        <f ca="1">_xll.meCurveForwardRates(C1308,$D$9,$D$10)</f>
        <v>1.5022085297738519E-2</v>
      </c>
      <c r="G1308" s="7" t="s">
        <v>4</v>
      </c>
      <c r="H1308" s="149">
        <f t="shared" ca="1" si="40"/>
        <v>44334</v>
      </c>
      <c r="I1308" s="20">
        <f ca="1">_xll.meDateFromTenor(H1308,"3M","Following",$I$11,"Normal")</f>
        <v>44426</v>
      </c>
      <c r="J1308" s="150">
        <f ca="1"/>
        <v>1.9083736570187543E-2</v>
      </c>
      <c r="K1308" s="7" t="s">
        <v>4</v>
      </c>
      <c r="L1308" s="149" t="e">
        <f ca="1">_xll.meDateFromTenor(L1307,"1D","FOLLOWING",#REF!,"NORMAL")</f>
        <v>#VALUE!</v>
      </c>
      <c r="M1308" s="155">
        <f ca="1">_xll.meDateYearFraction(C1308,D1308,$M$11)</f>
        <v>2.7777777777777779E-3</v>
      </c>
      <c r="N1308" s="150">
        <f ca="1"/>
        <v>-2.4300000000065936E-3</v>
      </c>
      <c r="O1308" s="7" t="s">
        <v>4</v>
      </c>
      <c r="P1308" s="149">
        <f t="shared" ca="1" si="41"/>
        <v>44334</v>
      </c>
      <c r="Q1308" s="155">
        <f ca="1">_xll.meDateYearFraction(H1308,I1308,$Q$11,TRUE)</f>
        <v>0.25555555555555554</v>
      </c>
      <c r="R1308" s="150">
        <f ca="1">IF(NOW(),_xll.meCurveForwardRatesFromYearFraction(P1308,Q1308,$Q$11,$Q$9,$Q$10))</f>
        <v>3.1426536640261011E-3</v>
      </c>
      <c r="S1308" s="134" t="s">
        <v>4</v>
      </c>
    </row>
    <row r="1309" spans="1:19" x14ac:dyDescent="0.25">
      <c r="A1309" s="128">
        <v>1293</v>
      </c>
      <c r="B1309" s="133"/>
      <c r="C1309" s="149">
        <f ca="1">_xll.meDateFromTenor(C1308,"1D","FOLLOWING",$D$11,"NORMAL")</f>
        <v>44335</v>
      </c>
      <c r="D1309" s="20">
        <f ca="1">_xll.meDateFromTenor(C1309,"1D","Following",$D$11,"Normal")</f>
        <v>44336</v>
      </c>
      <c r="E1309" s="99">
        <f ca="1"/>
        <v>1.4913789719981252E-2</v>
      </c>
      <c r="F1309" s="161">
        <f ca="1">_xll.meCurveForwardRates(C1309,$D$9,$D$10)</f>
        <v>1.5025241655139965E-2</v>
      </c>
      <c r="G1309" s="7" t="s">
        <v>4</v>
      </c>
      <c r="H1309" s="149">
        <f t="shared" ca="1" si="40"/>
        <v>44335</v>
      </c>
      <c r="I1309" s="20">
        <f ca="1">_xll.meDateFromTenor(H1309,"3M","Following",$I$11,"Normal")</f>
        <v>44427</v>
      </c>
      <c r="J1309" s="150">
        <f ca="1"/>
        <v>1.908863136746634E-2</v>
      </c>
      <c r="K1309" s="7" t="s">
        <v>4</v>
      </c>
      <c r="L1309" s="149" t="e">
        <f ca="1">_xll.meDateFromTenor(L1308,"1D","FOLLOWING",#REF!,"NORMAL")</f>
        <v>#VALUE!</v>
      </c>
      <c r="M1309" s="155">
        <f ca="1">_xll.meDateYearFraction(C1309,D1309,$M$11)</f>
        <v>2.7777777777777779E-3</v>
      </c>
      <c r="N1309" s="150">
        <f ca="1"/>
        <v>-2.4300000000065936E-3</v>
      </c>
      <c r="O1309" s="7" t="s">
        <v>4</v>
      </c>
      <c r="P1309" s="149">
        <f t="shared" ca="1" si="41"/>
        <v>44335</v>
      </c>
      <c r="Q1309" s="155">
        <f ca="1">_xll.meDateYearFraction(H1309,I1309,$Q$11,TRUE)</f>
        <v>0.25555555555555554</v>
      </c>
      <c r="R1309" s="150">
        <f ca="1">IF(NOW(),_xll.meCurveForwardRatesFromYearFraction(P1309,Q1309,$Q$11,$Q$9,$Q$10))</f>
        <v>3.1494753930788877E-3</v>
      </c>
      <c r="S1309" s="134" t="s">
        <v>4</v>
      </c>
    </row>
    <row r="1310" spans="1:19" x14ac:dyDescent="0.25">
      <c r="A1310" s="128">
        <v>1294</v>
      </c>
      <c r="B1310" s="133"/>
      <c r="C1310" s="149">
        <f ca="1">_xll.meDateFromTenor(C1309,"1D","FOLLOWING",$D$11,"NORMAL")</f>
        <v>44336</v>
      </c>
      <c r="D1310" s="20">
        <f ca="1">_xll.meDateFromTenor(C1310,"1D","Following",$D$11,"Normal")</f>
        <v>44337</v>
      </c>
      <c r="E1310" s="99">
        <f ca="1"/>
        <v>1.4916892878436222E-2</v>
      </c>
      <c r="F1310" s="161">
        <f ca="1">_xll.meCurveForwardRates(C1310,$D$9,$D$10)</f>
        <v>1.5028391313692602E-2</v>
      </c>
      <c r="G1310" s="7" t="s">
        <v>4</v>
      </c>
      <c r="H1310" s="149">
        <f t="shared" ca="1" si="40"/>
        <v>44336</v>
      </c>
      <c r="I1310" s="20">
        <f ca="1">_xll.meDateFromTenor(H1310,"3M","Following",$I$11,"Normal")</f>
        <v>44428</v>
      </c>
      <c r="J1310" s="150">
        <f ca="1"/>
        <v>1.9093515621702299E-2</v>
      </c>
      <c r="K1310" s="7" t="s">
        <v>4</v>
      </c>
      <c r="L1310" s="149" t="e">
        <f ca="1">_xll.meDateFromTenor(L1309,"1D","FOLLOWING",#REF!,"NORMAL")</f>
        <v>#VALUE!</v>
      </c>
      <c r="M1310" s="155">
        <f ca="1">_xll.meDateYearFraction(C1310,D1310,$M$11)</f>
        <v>2.7777777777777779E-3</v>
      </c>
      <c r="N1310" s="150">
        <f ca="1"/>
        <v>-2.4300000000065936E-3</v>
      </c>
      <c r="O1310" s="7" t="s">
        <v>4</v>
      </c>
      <c r="P1310" s="149">
        <f t="shared" ca="1" si="41"/>
        <v>44336</v>
      </c>
      <c r="Q1310" s="155">
        <f ca="1">_xll.meDateYearFraction(H1310,I1310,$Q$11,TRUE)</f>
        <v>0.25555555555555554</v>
      </c>
      <c r="R1310" s="150">
        <f ca="1">IF(NOW(),_xll.meCurveForwardRatesFromYearFraction(P1310,Q1310,$Q$11,$Q$9,$Q$10))</f>
        <v>-3.7175485397107962E-3</v>
      </c>
      <c r="S1310" s="134" t="s">
        <v>4</v>
      </c>
    </row>
    <row r="1311" spans="1:19" x14ac:dyDescent="0.25">
      <c r="A1311" s="128">
        <v>1295</v>
      </c>
      <c r="B1311" s="133"/>
      <c r="C1311" s="149">
        <f ca="1">_xll.meDateFromTenor(C1310,"1D","FOLLOWING",$D$11,"NORMAL")</f>
        <v>44337</v>
      </c>
      <c r="D1311" s="20">
        <f ca="1">_xll.meDateFromTenor(C1311,"1D","Following",$D$11,"Normal")</f>
        <v>44340</v>
      </c>
      <c r="E1311" s="99">
        <f ca="1"/>
        <v>1.4923695773054003E-2</v>
      </c>
      <c r="F1311" s="161">
        <f ca="1">_xll.meCurveForwardRates(C1311,$D$9,$D$10)</f>
        <v>1.503153427234083E-2</v>
      </c>
      <c r="G1311" s="7" t="s">
        <v>4</v>
      </c>
      <c r="H1311" s="149">
        <f t="shared" ca="1" si="40"/>
        <v>44337</v>
      </c>
      <c r="I1311" s="20">
        <f ca="1">_xll.meDateFromTenor(H1311,"3M","Following",$I$11,"Normal")</f>
        <v>44431</v>
      </c>
      <c r="J1311" s="150">
        <f ca="1"/>
        <v>1.9098389154851906E-2</v>
      </c>
      <c r="K1311" s="7" t="s">
        <v>4</v>
      </c>
      <c r="L1311" s="149" t="e">
        <f ca="1">_xll.meDateFromTenor(L1310,"1D","FOLLOWING",#REF!,"NORMAL")</f>
        <v>#VALUE!</v>
      </c>
      <c r="M1311" s="155">
        <f ca="1">_xll.meDateYearFraction(C1311,D1311,$M$11)</f>
        <v>8.3333333333333332E-3</v>
      </c>
      <c r="N1311" s="150">
        <f ca="1"/>
        <v>-2.4300000000065936E-3</v>
      </c>
      <c r="O1311" s="7" t="s">
        <v>4</v>
      </c>
      <c r="P1311" s="149">
        <f t="shared" ca="1" si="41"/>
        <v>44337</v>
      </c>
      <c r="Q1311" s="155">
        <f ca="1">_xll.meDateYearFraction(H1311,I1311,$Q$11,TRUE)</f>
        <v>0.26111111111111113</v>
      </c>
      <c r="R1311" s="150">
        <f ca="1">IF(NOW(),_xll.meCurveForwardRatesFromYearFraction(P1311,Q1311,$Q$11,$Q$9,$Q$10))</f>
        <v>3.163261789879366E-3</v>
      </c>
      <c r="S1311" s="134" t="s">
        <v>4</v>
      </c>
    </row>
    <row r="1312" spans="1:19" x14ac:dyDescent="0.25">
      <c r="A1312" s="128">
        <v>1296</v>
      </c>
      <c r="B1312" s="133"/>
      <c r="C1312" s="149">
        <f ca="1">_xll.meDateFromTenor(C1311,"1D","FOLLOWING",$D$11,"NORMAL")</f>
        <v>44340</v>
      </c>
      <c r="D1312" s="20">
        <f ca="1">_xll.meDateFromTenor(C1312,"1D","Following",$D$11,"Normal")</f>
        <v>44341</v>
      </c>
      <c r="E1312" s="99">
        <f ca="1"/>
        <v>1.4929167885846747E-2</v>
      </c>
      <c r="F1312" s="161">
        <f ca="1">_xll.meCurveForwardRates(C1312,$D$9,$D$10)</f>
        <v>1.5040850354722135E-2</v>
      </c>
      <c r="G1312" s="7" t="s">
        <v>4</v>
      </c>
      <c r="H1312" s="149">
        <f t="shared" ca="1" si="40"/>
        <v>44340</v>
      </c>
      <c r="I1312" s="20">
        <f ca="1">_xll.meDateFromTenor(H1312,"3M","Following",$I$11,"Normal")</f>
        <v>44432</v>
      </c>
      <c r="J1312" s="150">
        <f ca="1"/>
        <v>1.9112943647347509E-2</v>
      </c>
      <c r="K1312" s="7" t="s">
        <v>4</v>
      </c>
      <c r="L1312" s="149" t="e">
        <f ca="1">_xll.meDateFromTenor(L1311,"1D","FOLLOWING",#REF!,"NORMAL")</f>
        <v>#VALUE!</v>
      </c>
      <c r="M1312" s="155">
        <f ca="1">_xll.meDateYearFraction(C1312,D1312,$M$11)</f>
        <v>2.7777777777777779E-3</v>
      </c>
      <c r="N1312" s="150">
        <f ca="1"/>
        <v>-2.4300000000065936E-3</v>
      </c>
      <c r="O1312" s="7" t="s">
        <v>4</v>
      </c>
      <c r="P1312" s="149">
        <f t="shared" ca="1" si="41"/>
        <v>44340</v>
      </c>
      <c r="Q1312" s="155">
        <f ca="1">_xll.meDateYearFraction(H1312,I1312,$Q$11,TRUE)</f>
        <v>0.25555555555555554</v>
      </c>
      <c r="R1312" s="150">
        <f ca="1">IF(NOW(),_xll.meCurveForwardRatesFromYearFraction(P1312,Q1312,$Q$11,$Q$9,$Q$10))</f>
        <v>-3.7175485397107962E-3</v>
      </c>
      <c r="S1312" s="134" t="s">
        <v>4</v>
      </c>
    </row>
    <row r="1313" spans="1:19" x14ac:dyDescent="0.25">
      <c r="A1313" s="128">
        <v>1297</v>
      </c>
      <c r="B1313" s="133"/>
      <c r="C1313" s="149">
        <f ca="1">_xll.meDateFromTenor(C1312,"1D","FOLLOWING",$D$11,"NORMAL")</f>
        <v>44341</v>
      </c>
      <c r="D1313" s="20">
        <f ca="1">_xll.meDateFromTenor(C1313,"1D","Following",$D$11,"Normal")</f>
        <v>44342</v>
      </c>
      <c r="E1313" s="99">
        <f ca="1"/>
        <v>1.4932107474894148E-2</v>
      </c>
      <c r="F1313" s="161">
        <f ca="1">_xll.meCurveForwardRates(C1313,$D$9,$D$10)</f>
        <v>1.5043834038328541E-2</v>
      </c>
      <c r="G1313" s="7" t="s">
        <v>4</v>
      </c>
      <c r="H1313" s="149">
        <f t="shared" ca="1" si="40"/>
        <v>44341</v>
      </c>
      <c r="I1313" s="20">
        <f ca="1">_xll.meDateFromTenor(H1313,"3M","Following",$I$11,"Normal")</f>
        <v>44433</v>
      </c>
      <c r="J1313" s="150">
        <f ca="1"/>
        <v>1.9117776028019388E-2</v>
      </c>
      <c r="K1313" s="7" t="s">
        <v>4</v>
      </c>
      <c r="L1313" s="149" t="e">
        <f ca="1">_xll.meDateFromTenor(L1312,"1D","FOLLOWING",#REF!,"NORMAL")</f>
        <v>#VALUE!</v>
      </c>
      <c r="M1313" s="155">
        <f ca="1">_xll.meDateYearFraction(C1313,D1313,$M$11)</f>
        <v>2.7777777777777779E-3</v>
      </c>
      <c r="N1313" s="150">
        <f ca="1"/>
        <v>-2.4300000000065936E-3</v>
      </c>
      <c r="O1313" s="7" t="s">
        <v>4</v>
      </c>
      <c r="P1313" s="149">
        <f t="shared" ca="1" si="41"/>
        <v>44341</v>
      </c>
      <c r="Q1313" s="155">
        <f ca="1">_xll.meDateYearFraction(H1313,I1313,$Q$11,TRUE)</f>
        <v>0.25555555555555554</v>
      </c>
      <c r="R1313" s="150">
        <f ca="1">IF(NOW(),_xll.meCurveForwardRatesFromYearFraction(P1313,Q1313,$Q$11,$Q$9,$Q$10))</f>
        <v>3.1914327098194078E-3</v>
      </c>
      <c r="S1313" s="134" t="s">
        <v>4</v>
      </c>
    </row>
    <row r="1314" spans="1:19" x14ac:dyDescent="0.25">
      <c r="A1314" s="128">
        <v>1298</v>
      </c>
      <c r="B1314" s="133"/>
      <c r="C1314" s="149">
        <f ca="1">_xll.meDateFromTenor(C1313,"1D","FOLLOWING",$D$11,"NORMAL")</f>
        <v>44342</v>
      </c>
      <c r="D1314" s="20">
        <f ca="1">_xll.meDateFromTenor(C1314,"1D","Following",$D$11,"Normal")</f>
        <v>44343</v>
      </c>
      <c r="E1314" s="99">
        <f ca="1"/>
        <v>1.4935059221585998E-2</v>
      </c>
      <c r="F1314" s="161">
        <f ca="1">_xll.meCurveForwardRates(C1314,$D$9,$D$10)</f>
        <v>1.5046830070747585E-2</v>
      </c>
      <c r="G1314" s="7" t="s">
        <v>4</v>
      </c>
      <c r="H1314" s="149">
        <f t="shared" ca="1" si="40"/>
        <v>44342</v>
      </c>
      <c r="I1314" s="20">
        <f ca="1">_xll.meDateFromTenor(H1314,"3M","Following",$I$11,"Normal")</f>
        <v>44434</v>
      </c>
      <c r="J1314" s="150">
        <f ca="1"/>
        <v>1.9122603934180946E-2</v>
      </c>
      <c r="K1314" s="7" t="s">
        <v>4</v>
      </c>
      <c r="L1314" s="149" t="e">
        <f ca="1">_xll.meDateFromTenor(L1313,"1D","FOLLOWING",#REF!,"NORMAL")</f>
        <v>#VALUE!</v>
      </c>
      <c r="M1314" s="155">
        <f ca="1">_xll.meDateYearFraction(C1314,D1314,$M$11)</f>
        <v>2.7777777777777779E-3</v>
      </c>
      <c r="N1314" s="150">
        <f ca="1"/>
        <v>-2.4300000000065936E-3</v>
      </c>
      <c r="O1314" s="7" t="s">
        <v>4</v>
      </c>
      <c r="P1314" s="149">
        <f t="shared" ca="1" si="41"/>
        <v>44342</v>
      </c>
      <c r="Q1314" s="155">
        <f ca="1">_xll.meDateYearFraction(H1314,I1314,$Q$11,TRUE)</f>
        <v>0.25555555555555554</v>
      </c>
      <c r="R1314" s="150">
        <f ca="1">IF(NOW(),_xll.meCurveForwardRatesFromYearFraction(P1314,Q1314,$Q$11,$Q$9,$Q$10))</f>
        <v>3.198561818326191E-3</v>
      </c>
      <c r="S1314" s="134" t="s">
        <v>4</v>
      </c>
    </row>
    <row r="1315" spans="1:19" x14ac:dyDescent="0.25">
      <c r="A1315" s="128">
        <v>1299</v>
      </c>
      <c r="B1315" s="133"/>
      <c r="C1315" s="149">
        <f ca="1">_xll.meDateFromTenor(C1314,"1D","FOLLOWING",$D$11,"NORMAL")</f>
        <v>44343</v>
      </c>
      <c r="D1315" s="20">
        <f ca="1">_xll.meDateFromTenor(C1315,"1D","Following",$D$11,"Normal")</f>
        <v>44344</v>
      </c>
      <c r="E1315" s="99">
        <f ca="1"/>
        <v>1.4938023127821661E-2</v>
      </c>
      <c r="F1315" s="161">
        <f ca="1">_xll.meCurveForwardRates(C1315,$D$9,$D$10)</f>
        <v>1.5049838454016085E-2</v>
      </c>
      <c r="G1315" s="7" t="s">
        <v>4</v>
      </c>
      <c r="H1315" s="149">
        <f t="shared" ca="1" si="40"/>
        <v>44343</v>
      </c>
      <c r="I1315" s="20">
        <f ca="1">_xll.meDateFromTenor(H1315,"3M","Following",$I$11,"Normal")</f>
        <v>44435</v>
      </c>
      <c r="J1315" s="150">
        <f ca="1"/>
        <v>1.9127427356070668E-2</v>
      </c>
      <c r="K1315" s="7" t="s">
        <v>4</v>
      </c>
      <c r="L1315" s="149" t="e">
        <f ca="1">_xll.meDateFromTenor(L1314,"1D","FOLLOWING",#REF!,"NORMAL")</f>
        <v>#VALUE!</v>
      </c>
      <c r="M1315" s="155">
        <f ca="1">_xll.meDateYearFraction(C1315,D1315,$M$11)</f>
        <v>2.7777777777777779E-3</v>
      </c>
      <c r="N1315" s="150">
        <f ca="1"/>
        <v>-2.4300000000065936E-3</v>
      </c>
      <c r="O1315" s="7" t="s">
        <v>4</v>
      </c>
      <c r="P1315" s="149">
        <f t="shared" ca="1" si="41"/>
        <v>44343</v>
      </c>
      <c r="Q1315" s="155">
        <f ca="1">_xll.meDateYearFraction(H1315,I1315,$Q$11,TRUE)</f>
        <v>0.25555555555555554</v>
      </c>
      <c r="R1315" s="150">
        <f ca="1">IF(NOW(),_xll.meCurveForwardRatesFromYearFraction(P1315,Q1315,$Q$11,$Q$9,$Q$10))</f>
        <v>-3.7175485397107962E-3</v>
      </c>
      <c r="S1315" s="134" t="s">
        <v>4</v>
      </c>
    </row>
    <row r="1316" spans="1:19" x14ac:dyDescent="0.25">
      <c r="A1316" s="128">
        <v>1300</v>
      </c>
      <c r="B1316" s="133"/>
      <c r="C1316" s="149">
        <f ca="1">_xll.meDateFromTenor(C1315,"1D","FOLLOWING",$D$11,"NORMAL")</f>
        <v>44344</v>
      </c>
      <c r="D1316" s="20">
        <f ca="1">_xll.meDateFromTenor(C1316,"1D","Following",$D$11,"Normal")</f>
        <v>44348</v>
      </c>
      <c r="E1316" s="99">
        <f ca="1"/>
        <v>1.4946424434534365E-2</v>
      </c>
      <c r="F1316" s="161">
        <f ca="1">_xll.meCurveForwardRates(C1316,$D$9,$D$10)</f>
        <v>1.5052859190534562E-2</v>
      </c>
      <c r="G1316" s="7" t="s">
        <v>4</v>
      </c>
      <c r="H1316" s="149">
        <f t="shared" ca="1" si="40"/>
        <v>44344</v>
      </c>
      <c r="I1316" s="20">
        <f ca="1">_xll.meDateFromTenor(H1316,"3M","Following",$I$11,"Normal")</f>
        <v>44439</v>
      </c>
      <c r="J1316" s="150">
        <f ca="1"/>
        <v>1.9132246283927044E-2</v>
      </c>
      <c r="K1316" s="7" t="s">
        <v>4</v>
      </c>
      <c r="L1316" s="149" t="e">
        <f ca="1">_xll.meDateFromTenor(L1315,"1D","FOLLOWING",#REF!,"NORMAL")</f>
        <v>#VALUE!</v>
      </c>
      <c r="M1316" s="155">
        <f ca="1">_xll.meDateYearFraction(C1316,D1316,$M$11)</f>
        <v>1.1111111111111112E-2</v>
      </c>
      <c r="N1316" s="150">
        <f ca="1"/>
        <v>-2.4300000000065936E-3</v>
      </c>
      <c r="O1316" s="7" t="s">
        <v>4</v>
      </c>
      <c r="P1316" s="149">
        <f t="shared" ca="1" si="41"/>
        <v>44344</v>
      </c>
      <c r="Q1316" s="155">
        <f ca="1">_xll.meDateYearFraction(H1316,I1316,$Q$11,TRUE)</f>
        <v>0.2638888888888889</v>
      </c>
      <c r="R1316" s="150">
        <f ca="1">IF(NOW(),_xll.meCurveForwardRatesFromYearFraction(P1316,Q1316,$Q$11,$Q$9,$Q$10))</f>
        <v>-3.7175485397107962E-3</v>
      </c>
      <c r="S1316" s="134" t="s">
        <v>4</v>
      </c>
    </row>
    <row r="1317" spans="1:19" x14ac:dyDescent="0.25">
      <c r="A1317" s="128">
        <v>1301</v>
      </c>
      <c r="B1317" s="133"/>
      <c r="C1317" s="149">
        <f ca="1">_xll.meDateFromTenor(C1316,"1D","FOLLOWING",$D$11,"NORMAL")</f>
        <v>44348</v>
      </c>
      <c r="D1317" s="20">
        <f ca="1">_xll.meDateFromTenor(C1317,"1D","Following",$D$11,"Normal")</f>
        <v>44349</v>
      </c>
      <c r="E1317" s="99">
        <f ca="1"/>
        <v>1.4953025125870269E-2</v>
      </c>
      <c r="F1317" s="161">
        <f ca="1">_xll.meCurveForwardRates(C1317,$D$9,$D$10)</f>
        <v>1.5065065711766357E-2</v>
      </c>
      <c r="G1317" s="7" t="s">
        <v>4</v>
      </c>
      <c r="H1317" s="149">
        <f t="shared" ca="1" si="40"/>
        <v>44348</v>
      </c>
      <c r="I1317" s="20">
        <f ca="1">_xll.meDateFromTenor(H1317,"3M","Following",$I$11,"Normal")</f>
        <v>44440</v>
      </c>
      <c r="J1317" s="150">
        <f ca="1"/>
        <v>1.9151476859788852E-2</v>
      </c>
      <c r="K1317" s="7" t="s">
        <v>4</v>
      </c>
      <c r="L1317" s="149" t="e">
        <f ca="1">_xll.meDateFromTenor(L1316,"1D","FOLLOWING",#REF!,"NORMAL")</f>
        <v>#VALUE!</v>
      </c>
      <c r="M1317" s="155">
        <f ca="1">_xll.meDateYearFraction(C1317,D1317,$M$11)</f>
        <v>2.7777777777777779E-3</v>
      </c>
      <c r="N1317" s="150">
        <f ca="1"/>
        <v>-2.4300000000065936E-3</v>
      </c>
      <c r="O1317" s="7" t="s">
        <v>4</v>
      </c>
      <c r="P1317" s="149">
        <f t="shared" ca="1" si="41"/>
        <v>44348</v>
      </c>
      <c r="Q1317" s="155">
        <f ca="1">_xll.meDateYearFraction(H1317,I1317,$Q$11,TRUE)</f>
        <v>0.25555555555555554</v>
      </c>
      <c r="R1317" s="150">
        <f ca="1">IF(NOW(),_xll.meCurveForwardRatesFromYearFraction(P1317,Q1317,$Q$11,$Q$9,$Q$10))</f>
        <v>3.2417353507161769E-3</v>
      </c>
      <c r="S1317" s="134" t="s">
        <v>4</v>
      </c>
    </row>
    <row r="1318" spans="1:19" x14ac:dyDescent="0.25">
      <c r="A1318" s="128">
        <v>1302</v>
      </c>
      <c r="B1318" s="133"/>
      <c r="C1318" s="149">
        <f ca="1">_xll.meDateFromTenor(C1317,"1D","FOLLOWING",$D$11,"NORMAL")</f>
        <v>44349</v>
      </c>
      <c r="D1318" s="20">
        <f ca="1">_xll.meDateFromTenor(C1318,"1D","Following",$D$11,"Normal")</f>
        <v>44350</v>
      </c>
      <c r="E1318" s="99">
        <f ca="1"/>
        <v>1.4956062033151134E-2</v>
      </c>
      <c r="F1318" s="161">
        <f ca="1">_xll.meCurveForwardRates(C1318,$D$9,$D$10)</f>
        <v>1.5068148246885738E-2</v>
      </c>
      <c r="G1318" s="7" t="s">
        <v>4</v>
      </c>
      <c r="H1318" s="149">
        <f t="shared" ca="1" si="40"/>
        <v>44349</v>
      </c>
      <c r="I1318" s="20">
        <f ca="1">_xll.meDateFromTenor(H1318,"3M","Following",$I$11,"Normal")</f>
        <v>44441</v>
      </c>
      <c r="J1318" s="150">
        <f ca="1"/>
        <v>1.9156273171055824E-2</v>
      </c>
      <c r="K1318" s="7" t="s">
        <v>4</v>
      </c>
      <c r="L1318" s="149" t="e">
        <f ca="1">_xll.meDateFromTenor(L1317,"1D","FOLLOWING",#REF!,"NORMAL")</f>
        <v>#VALUE!</v>
      </c>
      <c r="M1318" s="155">
        <f ca="1">_xll.meDateYearFraction(C1318,D1318,$M$11)</f>
        <v>2.7777777777777779E-3</v>
      </c>
      <c r="N1318" s="150">
        <f ca="1"/>
        <v>-2.4300000000065936E-3</v>
      </c>
      <c r="O1318" s="7" t="s">
        <v>4</v>
      </c>
      <c r="P1318" s="149">
        <f t="shared" ca="1" si="41"/>
        <v>44349</v>
      </c>
      <c r="Q1318" s="155">
        <f ca="1">_xll.meDateYearFraction(H1318,I1318,$Q$11,TRUE)</f>
        <v>0.25555555555555554</v>
      </c>
      <c r="R1318" s="150">
        <f ca="1">IF(NOW(),_xll.meCurveForwardRatesFromYearFraction(P1318,Q1318,$Q$11,$Q$9,$Q$10))</f>
        <v>-3.7175485397107962E-3</v>
      </c>
      <c r="S1318" s="134" t="s">
        <v>4</v>
      </c>
    </row>
    <row r="1319" spans="1:19" x14ac:dyDescent="0.25">
      <c r="A1319" s="128">
        <v>1303</v>
      </c>
      <c r="B1319" s="133"/>
      <c r="C1319" s="149">
        <f ca="1">_xll.meDateFromTenor(C1318,"1D","FOLLOWING",$D$11,"NORMAL")</f>
        <v>44350</v>
      </c>
      <c r="D1319" s="20">
        <f ca="1">_xll.meDateFromTenor(C1319,"1D","Following",$D$11,"Normal")</f>
        <v>44351</v>
      </c>
      <c r="E1319" s="99">
        <f ca="1"/>
        <v>1.4959111114703163E-2</v>
      </c>
      <c r="F1319" s="161">
        <f ca="1">_xll.meCurveForwardRates(C1319,$D$9,$D$10)</f>
        <v>1.5071243148579327E-2</v>
      </c>
      <c r="G1319" s="7" t="s">
        <v>4</v>
      </c>
      <c r="H1319" s="149">
        <f t="shared" ca="1" si="40"/>
        <v>44350</v>
      </c>
      <c r="I1319" s="20">
        <f ca="1">_xll.meDateFromTenor(H1319,"3M","Following",$I$11,"Normal")</f>
        <v>44442</v>
      </c>
      <c r="J1319" s="150">
        <f ca="1"/>
        <v>1.9161064929720379E-2</v>
      </c>
      <c r="K1319" s="7" t="s">
        <v>4</v>
      </c>
      <c r="L1319" s="149" t="e">
        <f ca="1">_xll.meDateFromTenor(L1318,"1D","FOLLOWING",#REF!,"NORMAL")</f>
        <v>#VALUE!</v>
      </c>
      <c r="M1319" s="155">
        <f ca="1">_xll.meDateYearFraction(C1319,D1319,$M$11)</f>
        <v>2.7777777777777779E-3</v>
      </c>
      <c r="N1319" s="150">
        <f ca="1"/>
        <v>-2.4300000000065936E-3</v>
      </c>
      <c r="O1319" s="7" t="s">
        <v>4</v>
      </c>
      <c r="P1319" s="149">
        <f t="shared" ca="1" si="41"/>
        <v>44350</v>
      </c>
      <c r="Q1319" s="155">
        <f ca="1">_xll.meDateYearFraction(H1319,I1319,$Q$11,TRUE)</f>
        <v>0.25555555555555554</v>
      </c>
      <c r="R1319" s="150">
        <f ca="1">IF(NOW(),_xll.meCurveForwardRatesFromYearFraction(P1319,Q1319,$Q$11,$Q$9,$Q$10))</f>
        <v>-3.7175485397107962E-3</v>
      </c>
      <c r="S1319" s="134" t="s">
        <v>4</v>
      </c>
    </row>
    <row r="1320" spans="1:19" x14ac:dyDescent="0.25">
      <c r="A1320" s="128">
        <v>1304</v>
      </c>
      <c r="B1320" s="133"/>
      <c r="C1320" s="149">
        <f ca="1">_xll.meDateFromTenor(C1319,"1D","FOLLOWING",$D$11,"NORMAL")</f>
        <v>44351</v>
      </c>
      <c r="D1320" s="20">
        <f ca="1">_xll.meDateFromTenor(C1320,"1D","Following",$D$11,"Normal")</f>
        <v>44354</v>
      </c>
      <c r="E1320" s="99">
        <f ca="1"/>
        <v>1.4965871984350764E-2</v>
      </c>
      <c r="F1320" s="161">
        <f ca="1">_xll.meCurveForwardRates(C1320,$D$9,$D$10)</f>
        <v>1.5074350418644133E-2</v>
      </c>
      <c r="G1320" s="7" t="s">
        <v>4</v>
      </c>
      <c r="H1320" s="149">
        <f t="shared" ca="1" si="40"/>
        <v>44351</v>
      </c>
      <c r="I1320" s="20">
        <f ca="1">_xll.meDateFromTenor(H1320,"3M","Following",$I$11,"Normal")</f>
        <v>44446</v>
      </c>
      <c r="J1320" s="150">
        <f ca="1"/>
        <v>1.916585212602101E-2</v>
      </c>
      <c r="K1320" s="7" t="s">
        <v>4</v>
      </c>
      <c r="L1320" s="149" t="e">
        <f ca="1">_xll.meDateFromTenor(L1319,"1D","FOLLOWING",#REF!,"NORMAL")</f>
        <v>#VALUE!</v>
      </c>
      <c r="M1320" s="155">
        <f ca="1">_xll.meDateYearFraction(C1320,D1320,$M$11)</f>
        <v>8.3333333333333332E-3</v>
      </c>
      <c r="N1320" s="150">
        <f ca="1"/>
        <v>-2.4300000000065936E-3</v>
      </c>
      <c r="O1320" s="7" t="s">
        <v>4</v>
      </c>
      <c r="P1320" s="149">
        <f t="shared" ca="1" si="41"/>
        <v>44351</v>
      </c>
      <c r="Q1320" s="155">
        <f ca="1">_xll.meDateYearFraction(H1320,I1320,$Q$11,TRUE)</f>
        <v>0.2638888888888889</v>
      </c>
      <c r="R1320" s="150">
        <f ca="1">IF(NOW(),_xll.meCurveForwardRatesFromYearFraction(P1320,Q1320,$Q$11,$Q$9,$Q$10))</f>
        <v>-3.7175485397107962E-3</v>
      </c>
      <c r="S1320" s="134" t="s">
        <v>4</v>
      </c>
    </row>
    <row r="1321" spans="1:19" x14ac:dyDescent="0.25">
      <c r="A1321" s="128">
        <v>1305</v>
      </c>
      <c r="B1321" s="133"/>
      <c r="C1321" s="149">
        <f ca="1">_xll.meDateFromTenor(C1320,"1D","FOLLOWING",$D$11,"NORMAL")</f>
        <v>44354</v>
      </c>
      <c r="D1321" s="20">
        <f ca="1">_xll.meDateFromTenor(C1321,"1D","Following",$D$11,"Normal")</f>
        <v>44355</v>
      </c>
      <c r="E1321" s="99">
        <f ca="1"/>
        <v>1.4971429222751955E-2</v>
      </c>
      <c r="F1321" s="161">
        <f ca="1">_xll.meCurveForwardRates(C1321,$D$9,$D$10)</f>
        <v>1.5083746463072867E-2</v>
      </c>
      <c r="G1321" s="7" t="s">
        <v>4</v>
      </c>
      <c r="H1321" s="149">
        <f t="shared" ca="1" si="40"/>
        <v>44354</v>
      </c>
      <c r="I1321" s="20">
        <f ca="1">_xll.meDateFromTenor(H1321,"3M","Following",$I$11,"Normal")</f>
        <v>44446</v>
      </c>
      <c r="J1321" s="150">
        <f ca="1"/>
        <v>1.9180186243124231E-2</v>
      </c>
      <c r="K1321" s="7" t="s">
        <v>4</v>
      </c>
      <c r="L1321" s="149" t="e">
        <f ca="1">_xll.meDateFromTenor(L1320,"1D","FOLLOWING",#REF!,"NORMAL")</f>
        <v>#VALUE!</v>
      </c>
      <c r="M1321" s="155">
        <f ca="1">_xll.meDateYearFraction(C1321,D1321,$M$11)</f>
        <v>2.7777777777777779E-3</v>
      </c>
      <c r="N1321" s="150">
        <f ca="1"/>
        <v>-2.4300000000065936E-3</v>
      </c>
      <c r="O1321" s="7" t="s">
        <v>4</v>
      </c>
      <c r="P1321" s="149">
        <f t="shared" ca="1" si="41"/>
        <v>44354</v>
      </c>
      <c r="Q1321" s="155">
        <f ca="1">_xll.meDateYearFraction(H1321,I1321,$Q$11,TRUE)</f>
        <v>0.25555555555555554</v>
      </c>
      <c r="R1321" s="150">
        <f ca="1">IF(NOW(),_xll.meCurveForwardRatesFromYearFraction(P1321,Q1321,$Q$11,$Q$9,$Q$10))</f>
        <v>3.2855894348197382E-3</v>
      </c>
      <c r="S1321" s="134" t="s">
        <v>4</v>
      </c>
    </row>
    <row r="1322" spans="1:19" x14ac:dyDescent="0.25">
      <c r="A1322" s="128">
        <v>1306</v>
      </c>
      <c r="B1322" s="133"/>
      <c r="C1322" s="149">
        <f ca="1">_xll.meDateFromTenor(C1321,"1D","FOLLOWING",$D$11,"NORMAL")</f>
        <v>44355</v>
      </c>
      <c r="D1322" s="20">
        <f ca="1">_xll.meDateFromTenor(C1322,"1D","Following",$D$11,"Normal")</f>
        <v>44356</v>
      </c>
      <c r="E1322" s="99">
        <f ca="1"/>
        <v>1.4974539205827813E-2</v>
      </c>
      <c r="F1322" s="161">
        <f ca="1">_xll.meCurveForwardRates(C1322,$D$9,$D$10)</f>
        <v>1.5086903229958759E-2</v>
      </c>
      <c r="G1322" s="7" t="s">
        <v>4</v>
      </c>
      <c r="H1322" s="149">
        <f t="shared" ca="1" si="40"/>
        <v>44355</v>
      </c>
      <c r="I1322" s="20">
        <f ca="1">_xll.meDateFromTenor(H1322,"3M","Following",$I$11,"Normal")</f>
        <v>44447</v>
      </c>
      <c r="J1322" s="150">
        <f ca="1"/>
        <v>1.9184955092354041E-2</v>
      </c>
      <c r="K1322" s="7" t="s">
        <v>4</v>
      </c>
      <c r="L1322" s="149" t="e">
        <f ca="1">_xll.meDateFromTenor(L1321,"1D","FOLLOWING",#REF!,"NORMAL")</f>
        <v>#VALUE!</v>
      </c>
      <c r="M1322" s="155">
        <f ca="1">_xll.meDateYearFraction(C1322,D1322,$M$11)</f>
        <v>2.7777777777777779E-3</v>
      </c>
      <c r="N1322" s="150">
        <f ca="1"/>
        <v>-2.4300000000065936E-3</v>
      </c>
      <c r="O1322" s="7" t="s">
        <v>4</v>
      </c>
      <c r="P1322" s="149">
        <f t="shared" ca="1" si="41"/>
        <v>44355</v>
      </c>
      <c r="Q1322" s="155">
        <f ca="1">_xll.meDateYearFraction(H1322,I1322,$Q$11,TRUE)</f>
        <v>0.25555555555555554</v>
      </c>
      <c r="R1322" s="150">
        <f ca="1">IF(NOW(),_xll.meCurveForwardRatesFromYearFraction(P1322,Q1322,$Q$11,$Q$9,$Q$10))</f>
        <v>-3.7175485397107962E-3</v>
      </c>
      <c r="S1322" s="134" t="s">
        <v>4</v>
      </c>
    </row>
    <row r="1323" spans="1:19" x14ac:dyDescent="0.25">
      <c r="A1323" s="128">
        <v>1307</v>
      </c>
      <c r="B1323" s="133"/>
      <c r="C1323" s="149">
        <f ca="1">_xll.meDateFromTenor(C1322,"1D","FOLLOWING",$D$11,"NORMAL")</f>
        <v>44356</v>
      </c>
      <c r="D1323" s="20">
        <f ca="1">_xll.meDateFromTenor(C1323,"1D","Following",$D$11,"Normal")</f>
        <v>44357</v>
      </c>
      <c r="E1323" s="99">
        <f ca="1"/>
        <v>1.4977661375305974E-2</v>
      </c>
      <c r="F1323" s="161">
        <f ca="1">_xll.meCurveForwardRates(C1323,$D$9,$D$10)</f>
        <v>1.5090072376415575E-2</v>
      </c>
      <c r="G1323" s="7" t="s">
        <v>4</v>
      </c>
      <c r="H1323" s="149">
        <f t="shared" ca="1" si="40"/>
        <v>44356</v>
      </c>
      <c r="I1323" s="20">
        <f ca="1">_xll.meDateFromTenor(H1323,"3M","Following",$I$11,"Normal")</f>
        <v>44448</v>
      </c>
      <c r="J1323" s="150">
        <f ca="1"/>
        <v>1.9189719330412369E-2</v>
      </c>
      <c r="K1323" s="7" t="s">
        <v>4</v>
      </c>
      <c r="L1323" s="149" t="e">
        <f ca="1">_xll.meDateFromTenor(L1322,"1D","FOLLOWING",#REF!,"NORMAL")</f>
        <v>#VALUE!</v>
      </c>
      <c r="M1323" s="155">
        <f ca="1">_xll.meDateYearFraction(C1323,D1323,$M$11)</f>
        <v>2.7777777777777779E-3</v>
      </c>
      <c r="N1323" s="150">
        <f ca="1"/>
        <v>-2.4300000000065936E-3</v>
      </c>
      <c r="O1323" s="7" t="s">
        <v>4</v>
      </c>
      <c r="P1323" s="149">
        <f t="shared" ca="1" si="41"/>
        <v>44356</v>
      </c>
      <c r="Q1323" s="155">
        <f ca="1">_xll.meDateYearFraction(H1323,I1323,$Q$11,TRUE)</f>
        <v>0.25555555555555554</v>
      </c>
      <c r="R1323" s="150">
        <f ca="1">IF(NOW(),_xll.meCurveForwardRatesFromYearFraction(P1323,Q1323,$Q$11,$Q$9,$Q$10))</f>
        <v>3.300357920014662E-3</v>
      </c>
      <c r="S1323" s="134" t="s">
        <v>4</v>
      </c>
    </row>
    <row r="1324" spans="1:19" x14ac:dyDescent="0.25">
      <c r="A1324" s="128">
        <v>1308</v>
      </c>
      <c r="B1324" s="133"/>
      <c r="C1324" s="149">
        <f ca="1">_xll.meDateFromTenor(C1323,"1D","FOLLOWING",$D$11,"NORMAL")</f>
        <v>44357</v>
      </c>
      <c r="D1324" s="20">
        <f ca="1">_xll.meDateFromTenor(C1324,"1D","Following",$D$11,"Normal")</f>
        <v>44358</v>
      </c>
      <c r="E1324" s="99">
        <f ca="1"/>
        <v>1.4980795733443802E-2</v>
      </c>
      <c r="F1324" s="161">
        <f ca="1">_xll.meCurveForwardRates(C1324,$D$9,$D$10)</f>
        <v>1.5093253904850501E-2</v>
      </c>
      <c r="G1324" s="7" t="s">
        <v>4</v>
      </c>
      <c r="H1324" s="149">
        <f t="shared" ca="1" si="40"/>
        <v>44357</v>
      </c>
      <c r="I1324" s="20">
        <f ca="1">_xll.meDateFromTenor(H1324,"3M","Following",$I$11,"Normal")</f>
        <v>44449</v>
      </c>
      <c r="J1324" s="150">
        <f ca="1"/>
        <v>1.9194478947537699E-2</v>
      </c>
      <c r="K1324" s="7" t="s">
        <v>4</v>
      </c>
      <c r="L1324" s="149" t="e">
        <f ca="1">_xll.meDateFromTenor(L1323,"1D","FOLLOWING",#REF!,"NORMAL")</f>
        <v>#VALUE!</v>
      </c>
      <c r="M1324" s="155">
        <f ca="1">_xll.meDateYearFraction(C1324,D1324,$M$11)</f>
        <v>2.7777777777777779E-3</v>
      </c>
      <c r="N1324" s="150">
        <f ca="1"/>
        <v>-2.4300000000065936E-3</v>
      </c>
      <c r="O1324" s="7" t="s">
        <v>4</v>
      </c>
      <c r="P1324" s="149">
        <f t="shared" ca="1" si="41"/>
        <v>44357</v>
      </c>
      <c r="Q1324" s="155">
        <f ca="1">_xll.meDateYearFraction(H1324,I1324,$Q$11,TRUE)</f>
        <v>0.25555555555555554</v>
      </c>
      <c r="R1324" s="150">
        <f ca="1">IF(NOW(),_xll.meCurveForwardRatesFromYearFraction(P1324,Q1324,$Q$11,$Q$9,$Q$10))</f>
        <v>-3.7175485397107962E-3</v>
      </c>
      <c r="S1324" s="134" t="s">
        <v>4</v>
      </c>
    </row>
    <row r="1325" spans="1:19" x14ac:dyDescent="0.25">
      <c r="A1325" s="128">
        <v>1309</v>
      </c>
      <c r="B1325" s="133"/>
      <c r="C1325" s="149">
        <f ca="1">_xll.meDateFromTenor(C1324,"1D","FOLLOWING",$D$11,"NORMAL")</f>
        <v>44358</v>
      </c>
      <c r="D1325" s="20">
        <f ca="1">_xll.meDateFromTenor(C1325,"1D","Following",$D$11,"Normal")</f>
        <v>44361</v>
      </c>
      <c r="E1325" s="99">
        <f ca="1"/>
        <v>1.4987729023302841E-2</v>
      </c>
      <c r="F1325" s="161">
        <f ca="1">_xll.meCurveForwardRates(C1325,$D$9,$D$10)</f>
        <v>1.5096447817388503E-2</v>
      </c>
      <c r="G1325" s="7" t="s">
        <v>4</v>
      </c>
      <c r="H1325" s="149">
        <f t="shared" ca="1" si="40"/>
        <v>44358</v>
      </c>
      <c r="I1325" s="20">
        <f ca="1">_xll.meDateFromTenor(H1325,"3M","Following",$I$11,"Normal")</f>
        <v>44452</v>
      </c>
      <c r="J1325" s="150">
        <f ca="1"/>
        <v>1.9199233933968524E-2</v>
      </c>
      <c r="K1325" s="7" t="s">
        <v>4</v>
      </c>
      <c r="L1325" s="149" t="e">
        <f ca="1">_xll.meDateFromTenor(L1324,"1D","FOLLOWING",#REF!,"NORMAL")</f>
        <v>#VALUE!</v>
      </c>
      <c r="M1325" s="155">
        <f ca="1">_xll.meDateYearFraction(C1325,D1325,$M$11)</f>
        <v>8.3333333333333332E-3</v>
      </c>
      <c r="N1325" s="150">
        <f ca="1"/>
        <v>-2.4300000000065936E-3</v>
      </c>
      <c r="O1325" s="7" t="s">
        <v>4</v>
      </c>
      <c r="P1325" s="149">
        <f t="shared" ca="1" si="41"/>
        <v>44358</v>
      </c>
      <c r="Q1325" s="155">
        <f ca="1">_xll.meDateYearFraction(H1325,I1325,$Q$11,TRUE)</f>
        <v>0.26111111111111113</v>
      </c>
      <c r="R1325" s="150">
        <f ca="1">IF(NOW(),_xll.meCurveForwardRatesFromYearFraction(P1325,Q1325,$Q$11,$Q$9,$Q$10))</f>
        <v>3.3152013564491699E-3</v>
      </c>
      <c r="S1325" s="134" t="s">
        <v>4</v>
      </c>
    </row>
    <row r="1326" spans="1:19" x14ac:dyDescent="0.25">
      <c r="A1326" s="128">
        <v>1310</v>
      </c>
      <c r="B1326" s="133"/>
      <c r="C1326" s="149">
        <f ca="1">_xll.meDateFromTenor(C1325,"1D","FOLLOWING",$D$11,"NORMAL")</f>
        <v>44361</v>
      </c>
      <c r="D1326" s="20">
        <f ca="1">_xll.meDateFromTenor(C1326,"1D","Following",$D$11,"Normal")</f>
        <v>44362</v>
      </c>
      <c r="E1326" s="99">
        <f ca="1"/>
        <v>1.4993455093563987E-2</v>
      </c>
      <c r="F1326" s="161">
        <f ca="1">_xll.meCurveForwardRates(C1326,$D$9,$D$10)</f>
        <v>1.5106103882287059E-2</v>
      </c>
      <c r="G1326" s="7" t="s">
        <v>4</v>
      </c>
      <c r="H1326" s="149">
        <f t="shared" ca="1" si="40"/>
        <v>44361</v>
      </c>
      <c r="I1326" s="20">
        <f ca="1">_xll.meDateFromTenor(H1326,"3M","Following",$I$11,"Normal")</f>
        <v>44453</v>
      </c>
      <c r="J1326" s="150">
        <f ca="1"/>
        <v>1.9213471011478845E-2</v>
      </c>
      <c r="K1326" s="7" t="s">
        <v>4</v>
      </c>
      <c r="L1326" s="149" t="e">
        <f ca="1">_xll.meDateFromTenor(L1325,"1D","FOLLOWING",#REF!,"NORMAL")</f>
        <v>#VALUE!</v>
      </c>
      <c r="M1326" s="155">
        <f ca="1">_xll.meDateYearFraction(C1326,D1326,$M$11)</f>
        <v>2.7777777777777779E-3</v>
      </c>
      <c r="N1326" s="150">
        <f ca="1"/>
        <v>-2.4300000000065936E-3</v>
      </c>
      <c r="O1326" s="7" t="s">
        <v>4</v>
      </c>
      <c r="P1326" s="149">
        <f t="shared" ca="1" si="41"/>
        <v>44361</v>
      </c>
      <c r="Q1326" s="155">
        <f ca="1">_xll.meDateYearFraction(H1326,I1326,$Q$11,TRUE)</f>
        <v>0.25555555555555554</v>
      </c>
      <c r="R1326" s="150">
        <f ca="1">IF(NOW(),_xll.meCurveForwardRatesFromYearFraction(P1326,Q1326,$Q$11,$Q$9,$Q$10))</f>
        <v>-3.7175485397107962E-3</v>
      </c>
      <c r="S1326" s="134" t="s">
        <v>4</v>
      </c>
    </row>
    <row r="1327" spans="1:19" x14ac:dyDescent="0.25">
      <c r="A1327" s="128">
        <v>1311</v>
      </c>
      <c r="B1327" s="133"/>
      <c r="C1327" s="149">
        <f ca="1">_xll.meDateFromTenor(C1326,"1D","FOLLOWING",$D$11,"NORMAL")</f>
        <v>44362</v>
      </c>
      <c r="D1327" s="20">
        <f ca="1">_xll.meDateFromTenor(C1327,"1D","Following",$D$11,"Normal")</f>
        <v>44363</v>
      </c>
      <c r="E1327" s="99">
        <f ca="1"/>
        <v>1.4996650425957868E-2</v>
      </c>
      <c r="F1327" s="161">
        <f ca="1">_xll.meCurveForwardRates(C1327,$D$9,$D$10)</f>
        <v>1.5109347353785996E-2</v>
      </c>
      <c r="G1327" s="7" t="s">
        <v>4</v>
      </c>
      <c r="H1327" s="149">
        <f t="shared" ca="1" si="40"/>
        <v>44362</v>
      </c>
      <c r="I1327" s="20">
        <f ca="1">_xll.meDateFromTenor(H1327,"3M","Following",$I$11,"Normal")</f>
        <v>44454</v>
      </c>
      <c r="J1327" s="150">
        <f ca="1"/>
        <v>1.9218207377516529E-2</v>
      </c>
      <c r="K1327" s="7" t="s">
        <v>4</v>
      </c>
      <c r="L1327" s="149" t="e">
        <f ca="1">_xll.meDateFromTenor(L1326,"1D","FOLLOWING",#REF!,"NORMAL")</f>
        <v>#VALUE!</v>
      </c>
      <c r="M1327" s="155">
        <f ca="1">_xll.meDateYearFraction(C1327,D1327,$M$11)</f>
        <v>2.7777777777777779E-3</v>
      </c>
      <c r="N1327" s="150">
        <f ca="1"/>
        <v>-2.4300000000065936E-3</v>
      </c>
      <c r="O1327" s="7" t="s">
        <v>4</v>
      </c>
      <c r="P1327" s="149">
        <f t="shared" ca="1" si="41"/>
        <v>44362</v>
      </c>
      <c r="Q1327" s="155">
        <f ca="1">_xll.meDateYearFraction(H1327,I1327,$Q$11,TRUE)</f>
        <v>0.25555555555555554</v>
      </c>
      <c r="R1327" s="150">
        <f ca="1">IF(NOW(),_xll.meCurveForwardRatesFromYearFraction(P1327,Q1327,$Q$11,$Q$9,$Q$10))</f>
        <v>-3.7175485397107962E-3</v>
      </c>
      <c r="S1327" s="134" t="s">
        <v>4</v>
      </c>
    </row>
    <row r="1328" spans="1:19" x14ac:dyDescent="0.25">
      <c r="A1328" s="128">
        <v>1312</v>
      </c>
      <c r="B1328" s="133"/>
      <c r="C1328" s="149">
        <f ca="1">_xll.meDateFromTenor(C1327,"1D","FOLLOWING",$D$11,"NORMAL")</f>
        <v>44363</v>
      </c>
      <c r="D1328" s="20">
        <f ca="1">_xll.meDateFromTenor(C1328,"1D","Following",$D$11,"Normal")</f>
        <v>44364</v>
      </c>
      <c r="E1328" s="99">
        <f ca="1"/>
        <v>1.4999857959401517E-2</v>
      </c>
      <c r="F1328" s="161">
        <f ca="1">_xll.meCurveForwardRates(C1328,$D$9,$D$10)</f>
        <v>1.5112603220542864E-2</v>
      </c>
      <c r="G1328" s="7" t="s">
        <v>4</v>
      </c>
      <c r="H1328" s="149">
        <f t="shared" ca="1" si="40"/>
        <v>44363</v>
      </c>
      <c r="I1328" s="20">
        <f ca="1">_xll.meDateFromTenor(H1328,"3M","Following",$I$11,"Normal")</f>
        <v>44455</v>
      </c>
      <c r="J1328" s="150">
        <f ca="1"/>
        <v>1.922293906405215E-2</v>
      </c>
      <c r="K1328" s="7" t="s">
        <v>4</v>
      </c>
      <c r="L1328" s="149" t="e">
        <f ca="1">_xll.meDateFromTenor(L1327,"1D","FOLLOWING",#REF!,"NORMAL")</f>
        <v>#VALUE!</v>
      </c>
      <c r="M1328" s="155">
        <f ca="1">_xll.meDateYearFraction(C1328,D1328,$M$11)</f>
        <v>2.7777777777777779E-3</v>
      </c>
      <c r="N1328" s="150">
        <f ca="1"/>
        <v>-2.4300000000065936E-3</v>
      </c>
      <c r="O1328" s="7" t="s">
        <v>4</v>
      </c>
      <c r="P1328" s="149">
        <f t="shared" ca="1" si="41"/>
        <v>44363</v>
      </c>
      <c r="Q1328" s="155">
        <f ca="1">_xll.meDateYearFraction(H1328,I1328,$Q$11,TRUE)</f>
        <v>0.25555555555555554</v>
      </c>
      <c r="R1328" s="150">
        <f ca="1">IF(NOW(),_xll.meCurveForwardRatesFromYearFraction(P1328,Q1328,$Q$11,$Q$9,$Q$10))</f>
        <v>3.3526367671799602E-3</v>
      </c>
      <c r="S1328" s="134" t="s">
        <v>4</v>
      </c>
    </row>
    <row r="1329" spans="1:19" x14ac:dyDescent="0.25">
      <c r="A1329" s="128">
        <v>1313</v>
      </c>
      <c r="B1329" s="133"/>
      <c r="C1329" s="149">
        <f ca="1">_xll.meDateFromTenor(C1328,"1D","FOLLOWING",$D$11,"NORMAL")</f>
        <v>44364</v>
      </c>
      <c r="D1329" s="20">
        <f ca="1">_xll.meDateFromTenor(C1329,"1D","Following",$D$11,"Normal")</f>
        <v>44365</v>
      </c>
      <c r="E1329" s="99">
        <f ca="1"/>
        <v>1.5003077696113962E-2</v>
      </c>
      <c r="F1329" s="161">
        <f ca="1">_xll.meCurveForwardRates(C1329,$D$9,$D$10)</f>
        <v>1.5115871484929322E-2</v>
      </c>
      <c r="G1329" s="7" t="s">
        <v>4</v>
      </c>
      <c r="H1329" s="149">
        <f t="shared" ca="1" si="40"/>
        <v>44364</v>
      </c>
      <c r="I1329" s="20">
        <f ca="1">_xll.meDateFromTenor(H1329,"3M","Following",$I$11,"Normal")</f>
        <v>44456</v>
      </c>
      <c r="J1329" s="150">
        <f ca="1"/>
        <v>1.9227666061324193E-2</v>
      </c>
      <c r="K1329" s="7" t="s">
        <v>4</v>
      </c>
      <c r="L1329" s="149" t="e">
        <f ca="1">_xll.meDateFromTenor(L1328,"1D","FOLLOWING",#REF!,"NORMAL")</f>
        <v>#VALUE!</v>
      </c>
      <c r="M1329" s="155">
        <f ca="1">_xll.meDateYearFraction(C1329,D1329,$M$11)</f>
        <v>2.7777777777777779E-3</v>
      </c>
      <c r="N1329" s="150">
        <f ca="1"/>
        <v>-2.4300000000065936E-3</v>
      </c>
      <c r="O1329" s="7" t="s">
        <v>4</v>
      </c>
      <c r="P1329" s="149">
        <f t="shared" ca="1" si="41"/>
        <v>44364</v>
      </c>
      <c r="Q1329" s="155">
        <f ca="1">_xll.meDateYearFraction(H1329,I1329,$Q$11,TRUE)</f>
        <v>0.25555555555555554</v>
      </c>
      <c r="R1329" s="150">
        <f ca="1">IF(NOW(),_xll.meCurveForwardRatesFromYearFraction(P1329,Q1329,$Q$11,$Q$9,$Q$10))</f>
        <v>3.3601797091465197E-3</v>
      </c>
      <c r="S1329" s="134" t="s">
        <v>4</v>
      </c>
    </row>
    <row r="1330" spans="1:19" x14ac:dyDescent="0.25">
      <c r="A1330" s="128">
        <v>1314</v>
      </c>
      <c r="B1330" s="133"/>
      <c r="C1330" s="149">
        <f ca="1">_xll.meDateFromTenor(C1329,"1D","FOLLOWING",$D$11,"NORMAL")</f>
        <v>44365</v>
      </c>
      <c r="D1330" s="20">
        <f ca="1">_xll.meDateFromTenor(C1330,"1D","Following",$D$11,"Normal")</f>
        <v>44368</v>
      </c>
      <c r="E1330" s="99">
        <f ca="1"/>
        <v>1.5010183662625708E-2</v>
      </c>
      <c r="F1330" s="161">
        <f ca="1">_xll.meCurveForwardRates(C1330,$D$9,$D$10)</f>
        <v>1.5119152149031256E-2</v>
      </c>
      <c r="G1330" s="7" t="s">
        <v>4</v>
      </c>
      <c r="H1330" s="149">
        <f t="shared" ca="1" si="40"/>
        <v>44365</v>
      </c>
      <c r="I1330" s="20">
        <f ca="1">_xll.meDateFromTenor(H1330,"3M","Following",$I$11,"Normal")</f>
        <v>44459</v>
      </c>
      <c r="J1330" s="150">
        <f ca="1"/>
        <v>1.9232388359571154E-2</v>
      </c>
      <c r="K1330" s="7" t="s">
        <v>4</v>
      </c>
      <c r="L1330" s="149" t="e">
        <f ca="1">_xll.meDateFromTenor(L1329,"1D","FOLLOWING",#REF!,"NORMAL")</f>
        <v>#VALUE!</v>
      </c>
      <c r="M1330" s="155">
        <f ca="1">_xll.meDateYearFraction(C1330,D1330,$M$11)</f>
        <v>8.3333333333333332E-3</v>
      </c>
      <c r="N1330" s="150">
        <f ca="1"/>
        <v>-2.4300000000065936E-3</v>
      </c>
      <c r="O1330" s="7" t="s">
        <v>4</v>
      </c>
      <c r="P1330" s="149">
        <f t="shared" ca="1" si="41"/>
        <v>44365</v>
      </c>
      <c r="Q1330" s="155">
        <f ca="1">_xll.meDateYearFraction(H1330,I1330,$Q$11,TRUE)</f>
        <v>0.26111111111111113</v>
      </c>
      <c r="R1330" s="150">
        <f ca="1">IF(NOW(),_xll.meCurveForwardRatesFromYearFraction(P1330,Q1330,$Q$11,$Q$9,$Q$10))</f>
        <v>3.3677412225186121E-3</v>
      </c>
      <c r="S1330" s="134" t="s">
        <v>4</v>
      </c>
    </row>
    <row r="1331" spans="1:19" x14ac:dyDescent="0.25">
      <c r="A1331" s="128">
        <v>1315</v>
      </c>
      <c r="B1331" s="133"/>
      <c r="C1331" s="149">
        <f ca="1">_xll.meDateFromTenor(C1330,"1D","FOLLOWING",$D$11,"NORMAL")</f>
        <v>44368</v>
      </c>
      <c r="D1331" s="20">
        <f ca="1">_xll.meDateFromTenor(C1331,"1D","Following",$D$11,"Normal")</f>
        <v>44369</v>
      </c>
      <c r="E1331" s="99">
        <f ca="1"/>
        <v>1.5016078716454257E-2</v>
      </c>
      <c r="F1331" s="161">
        <f ca="1">_xll.meCurveForwardRates(C1331,$D$9,$D$10)</f>
        <v>1.512906856258045E-2</v>
      </c>
      <c r="G1331" s="7" t="s">
        <v>4</v>
      </c>
      <c r="H1331" s="149">
        <f t="shared" ca="1" si="40"/>
        <v>44368</v>
      </c>
      <c r="I1331" s="20">
        <f ca="1">_xll.meDateFromTenor(H1331,"3M","Following",$I$11,"Normal")</f>
        <v>44460</v>
      </c>
      <c r="J1331" s="150">
        <f ca="1"/>
        <v>1.9246526962546393E-2</v>
      </c>
      <c r="K1331" s="7" t="s">
        <v>4</v>
      </c>
      <c r="L1331" s="149" t="e">
        <f ca="1">_xll.meDateFromTenor(L1330,"1D","FOLLOWING",#REF!,"NORMAL")</f>
        <v>#VALUE!</v>
      </c>
      <c r="M1331" s="155">
        <f ca="1">_xll.meDateYearFraction(C1331,D1331,$M$11)</f>
        <v>2.7777777777777779E-3</v>
      </c>
      <c r="N1331" s="150">
        <f ca="1"/>
        <v>-2.4300000000065936E-3</v>
      </c>
      <c r="O1331" s="7" t="s">
        <v>4</v>
      </c>
      <c r="P1331" s="149">
        <f t="shared" ca="1" si="41"/>
        <v>44368</v>
      </c>
      <c r="Q1331" s="155">
        <f ca="1">_xll.meDateYearFraction(H1331,I1331,$Q$11,TRUE)</f>
        <v>0.25555555555555554</v>
      </c>
      <c r="R1331" s="150">
        <f ca="1">IF(NOW(),_xll.meCurveForwardRatesFromYearFraction(P1331,Q1331,$Q$11,$Q$9,$Q$10))</f>
        <v>-3.7175485397107962E-3</v>
      </c>
      <c r="S1331" s="134" t="s">
        <v>4</v>
      </c>
    </row>
    <row r="1332" spans="1:19" x14ac:dyDescent="0.25">
      <c r="A1332" s="128">
        <v>1316</v>
      </c>
      <c r="B1332" s="133"/>
      <c r="C1332" s="149">
        <f ca="1">_xll.meDateFromTenor(C1331,"1D","FOLLOWING",$D$11,"NORMAL")</f>
        <v>44369</v>
      </c>
      <c r="D1332" s="20">
        <f ca="1">_xll.meDateFromTenor(C1332,"1D","Following",$D$11,"Normal")</f>
        <v>44370</v>
      </c>
      <c r="E1332" s="99">
        <f ca="1"/>
        <v>1.5019359500503494E-2</v>
      </c>
      <c r="F1332" s="161">
        <f ca="1">_xll.meCurveForwardRates(C1332,$D$9,$D$10)</f>
        <v>1.5132398848373585E-2</v>
      </c>
      <c r="G1332" s="7" t="s">
        <v>4</v>
      </c>
      <c r="H1332" s="149">
        <f t="shared" ca="1" si="40"/>
        <v>44369</v>
      </c>
      <c r="I1332" s="20">
        <f ca="1">_xll.meDateFromTenor(H1332,"3M","Following",$I$11,"Normal")</f>
        <v>44461</v>
      </c>
      <c r="J1332" s="150">
        <f ca="1"/>
        <v>1.9251230367077894E-2</v>
      </c>
      <c r="K1332" s="7" t="s">
        <v>4</v>
      </c>
      <c r="L1332" s="149" t="e">
        <f ca="1">_xll.meDateFromTenor(L1331,"1D","FOLLOWING",#REF!,"NORMAL")</f>
        <v>#VALUE!</v>
      </c>
      <c r="M1332" s="155">
        <f ca="1">_xll.meDateYearFraction(C1332,D1332,$M$11)</f>
        <v>2.7777777777777779E-3</v>
      </c>
      <c r="N1332" s="150">
        <f ca="1"/>
        <v>-2.4300000000065936E-3</v>
      </c>
      <c r="O1332" s="7" t="s">
        <v>4</v>
      </c>
      <c r="P1332" s="149">
        <f t="shared" ca="1" si="41"/>
        <v>44369</v>
      </c>
      <c r="Q1332" s="155">
        <f ca="1">_xll.meDateYearFraction(H1332,I1332,$Q$11,TRUE)</f>
        <v>0.25555555555555554</v>
      </c>
      <c r="R1332" s="150">
        <f ca="1">IF(NOW(),_xll.meCurveForwardRatesFromYearFraction(P1332,Q1332,$Q$11,$Q$9,$Q$10))</f>
        <v>-3.7175485397107962E-3</v>
      </c>
      <c r="S1332" s="134" t="s">
        <v>4</v>
      </c>
    </row>
    <row r="1333" spans="1:19" x14ac:dyDescent="0.25">
      <c r="A1333" s="128">
        <v>1317</v>
      </c>
      <c r="B1333" s="133"/>
      <c r="C1333" s="149">
        <f ca="1">_xll.meDateFromTenor(C1332,"1D","FOLLOWING",$D$11,"NORMAL")</f>
        <v>44370</v>
      </c>
      <c r="D1333" s="20">
        <f ca="1">_xll.meDateFromTenor(C1333,"1D","Following",$D$11,"Normal")</f>
        <v>44371</v>
      </c>
      <c r="E1333" s="99">
        <f ca="1"/>
        <v>1.5022652500131666E-2</v>
      </c>
      <c r="F1333" s="161">
        <f ca="1">_xll.meCurveForwardRates(C1333,$D$9,$D$10)</f>
        <v>1.5135741545015291E-2</v>
      </c>
      <c r="G1333" s="7" t="s">
        <v>4</v>
      </c>
      <c r="H1333" s="149">
        <f t="shared" ca="1" si="40"/>
        <v>44370</v>
      </c>
      <c r="I1333" s="20">
        <f ca="1">_xll.meDateFromTenor(H1333,"3M","Following",$I$11,"Normal")</f>
        <v>44462</v>
      </c>
      <c r="J1333" s="150">
        <f ca="1"/>
        <v>1.9255929023776746E-2</v>
      </c>
      <c r="K1333" s="7" t="s">
        <v>4</v>
      </c>
      <c r="L1333" s="149" t="e">
        <f ca="1">_xll.meDateFromTenor(L1332,"1D","FOLLOWING",#REF!,"NORMAL")</f>
        <v>#VALUE!</v>
      </c>
      <c r="M1333" s="155">
        <f ca="1">_xll.meDateYearFraction(C1333,D1333,$M$11)</f>
        <v>2.7777777777777779E-3</v>
      </c>
      <c r="N1333" s="150">
        <f ca="1"/>
        <v>-2.4300000000065936E-3</v>
      </c>
      <c r="O1333" s="7" t="s">
        <v>4</v>
      </c>
      <c r="P1333" s="149">
        <f t="shared" ca="1" si="41"/>
        <v>44370</v>
      </c>
      <c r="Q1333" s="155">
        <f ca="1">_xll.meDateYearFraction(H1333,I1333,$Q$11,TRUE)</f>
        <v>0.25555555555555554</v>
      </c>
      <c r="R1333" s="150">
        <f ca="1">IF(NOW(),_xll.meCurveForwardRatesFromYearFraction(P1333,Q1333,$Q$11,$Q$9,$Q$10))</f>
        <v>3.4058266324428492E-3</v>
      </c>
      <c r="S1333" s="134" t="s">
        <v>4</v>
      </c>
    </row>
    <row r="1334" spans="1:19" x14ac:dyDescent="0.25">
      <c r="A1334" s="128">
        <v>1318</v>
      </c>
      <c r="B1334" s="133"/>
      <c r="C1334" s="149">
        <f ca="1">_xll.meDateFromTenor(C1333,"1D","FOLLOWING",$D$11,"NORMAL")</f>
        <v>44371</v>
      </c>
      <c r="D1334" s="20">
        <f ca="1">_xll.meDateFromTenor(C1334,"1D","Following",$D$11,"Normal")</f>
        <v>44372</v>
      </c>
      <c r="E1334" s="99">
        <f ca="1"/>
        <v>1.5025957717756069E-2</v>
      </c>
      <c r="F1334" s="161">
        <f ca="1">_xll.meCurveForwardRates(C1334,$D$9,$D$10)</f>
        <v>1.5139096655081286E-2</v>
      </c>
      <c r="G1334" s="7" t="s">
        <v>4</v>
      </c>
      <c r="H1334" s="149">
        <f t="shared" ca="1" si="40"/>
        <v>44371</v>
      </c>
      <c r="I1334" s="20">
        <f ca="1">_xll.meDateFromTenor(H1334,"3M","Following",$I$11,"Normal")</f>
        <v>44463</v>
      </c>
      <c r="J1334" s="150">
        <f ca="1"/>
        <v>1.9260622922881443E-2</v>
      </c>
      <c r="K1334" s="7" t="s">
        <v>4</v>
      </c>
      <c r="L1334" s="149" t="e">
        <f ca="1">_xll.meDateFromTenor(L1333,"1D","FOLLOWING",#REF!,"NORMAL")</f>
        <v>#VALUE!</v>
      </c>
      <c r="M1334" s="155">
        <f ca="1">_xll.meDateYearFraction(C1334,D1334,$M$11)</f>
        <v>2.7777777777777779E-3</v>
      </c>
      <c r="N1334" s="150">
        <f ca="1"/>
        <v>-2.4300000000065936E-3</v>
      </c>
      <c r="O1334" s="7" t="s">
        <v>4</v>
      </c>
      <c r="P1334" s="149">
        <f t="shared" ca="1" si="41"/>
        <v>44371</v>
      </c>
      <c r="Q1334" s="155">
        <f ca="1">_xll.meDateYearFraction(H1334,I1334,$Q$11,TRUE)</f>
        <v>0.25555555555555554</v>
      </c>
      <c r="R1334" s="150">
        <f ca="1">IF(NOW(),_xll.meCurveForwardRatesFromYearFraction(P1334,Q1334,$Q$11,$Q$9,$Q$10))</f>
        <v>-3.7175485397107962E-3</v>
      </c>
      <c r="S1334" s="134" t="s">
        <v>4</v>
      </c>
    </row>
    <row r="1335" spans="1:19" x14ac:dyDescent="0.25">
      <c r="A1335" s="128">
        <v>1319</v>
      </c>
      <c r="B1335" s="133"/>
      <c r="C1335" s="149">
        <f ca="1">_xll.meDateFromTenor(C1334,"1D","FOLLOWING",$D$11,"NORMAL")</f>
        <v>44372</v>
      </c>
      <c r="D1335" s="20">
        <f ca="1">_xll.meDateFromTenor(C1335,"1D","Following",$D$11,"Normal")</f>
        <v>44375</v>
      </c>
      <c r="E1335" s="99">
        <f ca="1"/>
        <v>1.5033236618541642E-2</v>
      </c>
      <c r="F1335" s="161">
        <f ca="1">_xll.meCurveForwardRates(C1335,$D$9,$D$10)</f>
        <v>1.5142464180541104E-2</v>
      </c>
      <c r="G1335" s="7" t="s">
        <v>4</v>
      </c>
      <c r="H1335" s="149">
        <f t="shared" ca="1" si="40"/>
        <v>44372</v>
      </c>
      <c r="I1335" s="20">
        <f ca="1">_xll.meDateFromTenor(H1335,"3M","Following",$I$11,"Normal")</f>
        <v>44466</v>
      </c>
      <c r="J1335" s="150">
        <f ca="1"/>
        <v>1.9265312054630473E-2</v>
      </c>
      <c r="K1335" s="7" t="s">
        <v>4</v>
      </c>
      <c r="L1335" s="149" t="e">
        <f ca="1">_xll.meDateFromTenor(L1334,"1D","FOLLOWING",#REF!,"NORMAL")</f>
        <v>#VALUE!</v>
      </c>
      <c r="M1335" s="155">
        <f ca="1">_xll.meDateYearFraction(C1335,D1335,$M$11)</f>
        <v>8.3333333333333332E-3</v>
      </c>
      <c r="N1335" s="150">
        <f ca="1"/>
        <v>-2.4300000000065936E-3</v>
      </c>
      <c r="O1335" s="7" t="s">
        <v>4</v>
      </c>
      <c r="P1335" s="149">
        <f t="shared" ca="1" si="41"/>
        <v>44372</v>
      </c>
      <c r="Q1335" s="155">
        <f ca="1">_xll.meDateYearFraction(H1335,I1335,$Q$11,TRUE)</f>
        <v>0.26111111111111113</v>
      </c>
      <c r="R1335" s="150">
        <f ca="1">IF(NOW(),_xll.meCurveForwardRatesFromYearFraction(P1335,Q1335,$Q$11,$Q$9,$Q$10))</f>
        <v>-3.7175485397107962E-3</v>
      </c>
      <c r="S1335" s="134" t="s">
        <v>4</v>
      </c>
    </row>
    <row r="1336" spans="1:19" x14ac:dyDescent="0.25">
      <c r="A1336" s="128">
        <v>1320</v>
      </c>
      <c r="B1336" s="133"/>
      <c r="C1336" s="149">
        <f ca="1">_xll.meDateFromTenor(C1335,"1D","FOLLOWING",$D$11,"NORMAL")</f>
        <v>44375</v>
      </c>
      <c r="D1336" s="20">
        <f ca="1">_xll.meDateFromTenor(C1336,"1D","Following",$D$11,"Normal")</f>
        <v>44376</v>
      </c>
      <c r="E1336" s="99">
        <f ca="1"/>
        <v>1.5039300808228588E-2</v>
      </c>
      <c r="F1336" s="161">
        <f ca="1">_xll.meCurveForwardRates(C1336,$D$9,$D$10)</f>
        <v>1.51526412726668E-2</v>
      </c>
      <c r="G1336" s="7" t="s">
        <v>4</v>
      </c>
      <c r="H1336" s="149">
        <f t="shared" ca="1" si="40"/>
        <v>44375</v>
      </c>
      <c r="I1336" s="20">
        <f ca="1">_xll.meDateFromTenor(H1336,"3M","Following",$I$11,"Normal")</f>
        <v>44467</v>
      </c>
      <c r="J1336" s="150">
        <f ca="1"/>
        <v>1.9279350748128449E-2</v>
      </c>
      <c r="K1336" s="7" t="s">
        <v>4</v>
      </c>
      <c r="L1336" s="149" t="e">
        <f ca="1">_xll.meDateFromTenor(L1335,"1D","FOLLOWING",#REF!,"NORMAL")</f>
        <v>#VALUE!</v>
      </c>
      <c r="M1336" s="155">
        <f ca="1">_xll.meDateYearFraction(C1336,D1336,$M$11)</f>
        <v>2.7777777777777779E-3</v>
      </c>
      <c r="N1336" s="150">
        <f ca="1"/>
        <v>-2.4300000000065936E-3</v>
      </c>
      <c r="O1336" s="7" t="s">
        <v>4</v>
      </c>
      <c r="P1336" s="149">
        <f t="shared" ca="1" si="41"/>
        <v>44375</v>
      </c>
      <c r="Q1336" s="155">
        <f ca="1">_xll.meDateYearFraction(H1336,I1336,$Q$11,TRUE)</f>
        <v>0.25555555555555554</v>
      </c>
      <c r="R1336" s="150">
        <f ca="1">IF(NOW(),_xll.meCurveForwardRatesFromYearFraction(P1336,Q1336,$Q$11,$Q$9,$Q$10))</f>
        <v>-3.7175485397107962E-3</v>
      </c>
      <c r="S1336" s="134" t="s">
        <v>4</v>
      </c>
    </row>
    <row r="1337" spans="1:19" x14ac:dyDescent="0.25">
      <c r="A1337" s="128">
        <v>1321</v>
      </c>
      <c r="B1337" s="133"/>
      <c r="C1337" s="149">
        <f ca="1">_xll.meDateFromTenor(C1336,"1D","FOLLOWING",$D$11,"NORMAL")</f>
        <v>44376</v>
      </c>
      <c r="D1337" s="20">
        <f ca="1">_xll.meDateFromTenor(C1337,"1D","Following",$D$11,"Normal")</f>
        <v>44377</v>
      </c>
      <c r="E1337" s="99">
        <f ca="1"/>
        <v>1.504266714655187E-2</v>
      </c>
      <c r="F1337" s="161">
        <f ca="1">_xll.meCurveForwardRates(C1337,$D$9,$D$10)</f>
        <v>1.5156058482886037E-2</v>
      </c>
      <c r="G1337" s="7" t="s">
        <v>4</v>
      </c>
      <c r="H1337" s="149">
        <f t="shared" ca="1" si="40"/>
        <v>44376</v>
      </c>
      <c r="I1337" s="20">
        <f ca="1">_xll.meDateFromTenor(H1337,"3M","Following",$I$11,"Normal")</f>
        <v>44468</v>
      </c>
      <c r="J1337" s="150">
        <f ca="1"/>
        <v>1.9284020712839699E-2</v>
      </c>
      <c r="K1337" s="7" t="s">
        <v>4</v>
      </c>
      <c r="L1337" s="149" t="e">
        <f ca="1">_xll.meDateFromTenor(L1336,"1D","FOLLOWING",#REF!,"NORMAL")</f>
        <v>#VALUE!</v>
      </c>
      <c r="M1337" s="155">
        <f ca="1">_xll.meDateYearFraction(C1337,D1337,$M$11)</f>
        <v>2.7777777777777779E-3</v>
      </c>
      <c r="N1337" s="150">
        <f ca="1"/>
        <v>-2.4300000000065936E-3</v>
      </c>
      <c r="O1337" s="7" t="s">
        <v>4</v>
      </c>
      <c r="P1337" s="149">
        <f t="shared" ca="1" si="41"/>
        <v>44376</v>
      </c>
      <c r="Q1337" s="155">
        <f ca="1">_xll.meDateYearFraction(H1337,I1337,$Q$11,TRUE)</f>
        <v>0.25555555555555554</v>
      </c>
      <c r="R1337" s="150">
        <f ca="1">IF(NOW(),_xll.meCurveForwardRatesFromYearFraction(P1337,Q1337,$Q$11,$Q$9,$Q$10))</f>
        <v>3.4521376334201775E-3</v>
      </c>
      <c r="S1337" s="134" t="s">
        <v>4</v>
      </c>
    </row>
    <row r="1338" spans="1:19" x14ac:dyDescent="0.25">
      <c r="A1338" s="128">
        <v>1322</v>
      </c>
      <c r="B1338" s="133"/>
      <c r="C1338" s="149">
        <f ca="1">_xll.meDateFromTenor(C1337,"1D","FOLLOWING",$D$11,"NORMAL")</f>
        <v>44377</v>
      </c>
      <c r="D1338" s="20">
        <f ca="1">_xll.meDateFromTenor(C1338,"1D","Following",$D$11,"Normal")</f>
        <v>44378</v>
      </c>
      <c r="E1338" s="99">
        <f ca="1"/>
        <v>1.5046045715261485E-2</v>
      </c>
      <c r="F1338" s="161">
        <f ca="1">_xll.meCurveForwardRates(C1338,$D$9,$D$10)</f>
        <v>1.5159488119850018E-2</v>
      </c>
      <c r="G1338" s="7" t="s">
        <v>4</v>
      </c>
      <c r="H1338" s="149">
        <f t="shared" ca="1" si="40"/>
        <v>44377</v>
      </c>
      <c r="I1338" s="20">
        <f ca="1">_xll.meDateFromTenor(H1338,"3M","Following",$I$11,"Normal")</f>
        <v>44469</v>
      </c>
      <c r="J1338" s="150">
        <f ca="1"/>
        <v>1.9288685861387725E-2</v>
      </c>
      <c r="K1338" s="7" t="s">
        <v>4</v>
      </c>
      <c r="L1338" s="149" t="e">
        <f ca="1">_xll.meDateFromTenor(L1337,"1D","FOLLOWING",#REF!,"NORMAL")</f>
        <v>#VALUE!</v>
      </c>
      <c r="M1338" s="155">
        <f ca="1">_xll.meDateYearFraction(C1338,D1338,$M$11)</f>
        <v>2.7777777777777779E-3</v>
      </c>
      <c r="N1338" s="150">
        <f ca="1"/>
        <v>-2.4300000000065936E-3</v>
      </c>
      <c r="O1338" s="7" t="s">
        <v>4</v>
      </c>
      <c r="P1338" s="149">
        <f t="shared" ca="1" si="41"/>
        <v>44377</v>
      </c>
      <c r="Q1338" s="155">
        <f ca="1">_xll.meDateYearFraction(H1338,I1338,$Q$11,TRUE)</f>
        <v>0.25555555555555554</v>
      </c>
      <c r="R1338" s="150">
        <f ca="1">IF(NOW(),_xll.meCurveForwardRatesFromYearFraction(P1338,Q1338,$Q$11,$Q$9,$Q$10))</f>
        <v>-3.7175485397107962E-3</v>
      </c>
      <c r="S1338" s="134" t="s">
        <v>4</v>
      </c>
    </row>
    <row r="1339" spans="1:19" x14ac:dyDescent="0.25">
      <c r="A1339" s="128">
        <v>1323</v>
      </c>
      <c r="B1339" s="133"/>
      <c r="C1339" s="149">
        <f ca="1">_xll.meDateFromTenor(C1338,"1D","FOLLOWING",$D$11,"NORMAL")</f>
        <v>44378</v>
      </c>
      <c r="D1339" s="20">
        <f ca="1">_xll.meDateFromTenor(C1339,"1D","Following",$D$11,"Normal")</f>
        <v>44379</v>
      </c>
      <c r="E1339" s="99">
        <f ca="1"/>
        <v>1.5049436516416527E-2</v>
      </c>
      <c r="F1339" s="161">
        <f ca="1">_xll.meCurveForwardRates(C1339,$D$9,$D$10)</f>
        <v>1.5162930185774748E-2</v>
      </c>
      <c r="G1339" s="7" t="s">
        <v>4</v>
      </c>
      <c r="H1339" s="149">
        <f t="shared" ca="1" si="40"/>
        <v>44378</v>
      </c>
      <c r="I1339" s="20">
        <f ca="1">_xll.meDateFromTenor(H1339,"3M","Following",$I$11,"Normal")</f>
        <v>44470</v>
      </c>
      <c r="J1339" s="150">
        <f ca="1"/>
        <v>1.9293346184011014E-2</v>
      </c>
      <c r="K1339" s="7" t="s">
        <v>4</v>
      </c>
      <c r="L1339" s="149" t="e">
        <f ca="1">_xll.meDateFromTenor(L1338,"1D","FOLLOWING",#REF!,"NORMAL")</f>
        <v>#VALUE!</v>
      </c>
      <c r="M1339" s="155">
        <f ca="1">_xll.meDateYearFraction(C1339,D1339,$M$11)</f>
        <v>2.7777777777777779E-3</v>
      </c>
      <c r="N1339" s="150">
        <f ca="1"/>
        <v>-2.4300000000065936E-3</v>
      </c>
      <c r="O1339" s="7" t="s">
        <v>4</v>
      </c>
      <c r="P1339" s="149">
        <f t="shared" ca="1" si="41"/>
        <v>44378</v>
      </c>
      <c r="Q1339" s="155">
        <f ca="1">_xll.meDateYearFraction(H1339,I1339,$Q$11,TRUE)</f>
        <v>0.25555555555555554</v>
      </c>
      <c r="R1339" s="150">
        <f ca="1">IF(NOW(),_xll.meCurveForwardRatesFromYearFraction(P1339,Q1339,$Q$11,$Q$9,$Q$10))</f>
        <v>3.4677214300102314E-3</v>
      </c>
      <c r="S1339" s="134" t="s">
        <v>4</v>
      </c>
    </row>
    <row r="1340" spans="1:19" x14ac:dyDescent="0.25">
      <c r="A1340" s="128">
        <v>1324</v>
      </c>
      <c r="B1340" s="133"/>
      <c r="C1340" s="149">
        <f ca="1">_xll.meDateFromTenor(C1339,"1D","FOLLOWING",$D$11,"NORMAL")</f>
        <v>44379</v>
      </c>
      <c r="D1340" s="20">
        <f ca="1">_xll.meDateFromTenor(C1340,"1D","Following",$D$11,"Normal")</f>
        <v>44383</v>
      </c>
      <c r="E1340" s="99">
        <f ca="1"/>
        <v>1.5058919487847043E-2</v>
      </c>
      <c r="F1340" s="161">
        <f ca="1">_xll.meCurveForwardRates(C1340,$D$9,$D$10)</f>
        <v>1.5166384683077627E-2</v>
      </c>
      <c r="G1340" s="7" t="s">
        <v>4</v>
      </c>
      <c r="H1340" s="149">
        <f t="shared" ca="1" si="40"/>
        <v>44379</v>
      </c>
      <c r="I1340" s="20">
        <f ca="1">_xll.meDateFromTenor(H1340,"3M","Following",$I$11,"Normal")</f>
        <v>44473</v>
      </c>
      <c r="J1340" s="150">
        <f ca="1"/>
        <v>1.929800167094806E-2</v>
      </c>
      <c r="K1340" s="7" t="s">
        <v>4</v>
      </c>
      <c r="L1340" s="149" t="e">
        <f ca="1">_xll.meDateFromTenor(L1339,"1D","FOLLOWING",#REF!,"NORMAL")</f>
        <v>#VALUE!</v>
      </c>
      <c r="M1340" s="155">
        <f ca="1">_xll.meDateYearFraction(C1340,D1340,$M$11)</f>
        <v>1.1111111111111112E-2</v>
      </c>
      <c r="N1340" s="150">
        <f ca="1"/>
        <v>-2.4300000000065936E-3</v>
      </c>
      <c r="O1340" s="7" t="s">
        <v>4</v>
      </c>
      <c r="P1340" s="149">
        <f t="shared" ca="1" si="41"/>
        <v>44379</v>
      </c>
      <c r="Q1340" s="155">
        <f ca="1">_xll.meDateYearFraction(H1340,I1340,$Q$11,TRUE)</f>
        <v>0.26111111111111113</v>
      </c>
      <c r="R1340" s="150">
        <f ca="1">IF(NOW(),_xll.meCurveForwardRatesFromYearFraction(P1340,Q1340,$Q$11,$Q$9,$Q$10))</f>
        <v>3.4755407590023519E-3</v>
      </c>
      <c r="S1340" s="134" t="s">
        <v>4</v>
      </c>
    </row>
    <row r="1341" spans="1:19" x14ac:dyDescent="0.25">
      <c r="A1341" s="128">
        <v>1325</v>
      </c>
      <c r="B1341" s="133"/>
      <c r="C1341" s="149">
        <f ca="1">_xll.meDateFromTenor(C1340,"1D","FOLLOWING",$D$11,"NORMAL")</f>
        <v>44383</v>
      </c>
      <c r="D1341" s="20">
        <f ca="1">_xll.meDateFromTenor(C1341,"1D","Following",$D$11,"Normal")</f>
        <v>44384</v>
      </c>
      <c r="E1341" s="99">
        <f ca="1"/>
        <v>1.5066574084585912E-2</v>
      </c>
      <c r="F1341" s="161">
        <f ca="1">_xll.meCurveForwardRates(C1341,$D$9,$D$10)</f>
        <v>1.5180327031091512E-2</v>
      </c>
      <c r="G1341" s="7" t="s">
        <v>4</v>
      </c>
      <c r="H1341" s="149">
        <f t="shared" ca="1" si="40"/>
        <v>44383</v>
      </c>
      <c r="I1341" s="20">
        <f ca="1">_xll.meDateFromTenor(H1341,"3M","Following",$I$11,"Normal")</f>
        <v>44475</v>
      </c>
      <c r="J1341" s="150">
        <f ca="1"/>
        <v>1.9316575066603534E-2</v>
      </c>
      <c r="K1341" s="7" t="s">
        <v>4</v>
      </c>
      <c r="L1341" s="149" t="e">
        <f ca="1">_xll.meDateFromTenor(L1340,"1D","FOLLOWING",#REF!,"NORMAL")</f>
        <v>#VALUE!</v>
      </c>
      <c r="M1341" s="155">
        <f ca="1">_xll.meDateYearFraction(C1341,D1341,$M$11)</f>
        <v>2.7777777777777779E-3</v>
      </c>
      <c r="N1341" s="150">
        <f ca="1"/>
        <v>-2.4300000000065936E-3</v>
      </c>
      <c r="O1341" s="7" t="s">
        <v>4</v>
      </c>
      <c r="P1341" s="149">
        <f t="shared" ca="1" si="41"/>
        <v>44383</v>
      </c>
      <c r="Q1341" s="155">
        <f ca="1">_xll.meDateYearFraction(H1341,I1341,$Q$11,TRUE)</f>
        <v>0.25555555555555554</v>
      </c>
      <c r="R1341" s="150">
        <f ca="1">IF(NOW(),_xll.meCurveForwardRatesFromYearFraction(P1341,Q1341,$Q$11,$Q$9,$Q$10))</f>
        <v>3.5070004609387188E-3</v>
      </c>
      <c r="S1341" s="134" t="s">
        <v>4</v>
      </c>
    </row>
    <row r="1342" spans="1:19" x14ac:dyDescent="0.25">
      <c r="A1342" s="128">
        <v>1326</v>
      </c>
      <c r="B1342" s="133"/>
      <c r="C1342" s="149">
        <f ca="1">_xll.meDateFromTenor(C1341,"1D","FOLLOWING",$D$11,"NORMAL")</f>
        <v>44384</v>
      </c>
      <c r="D1342" s="20">
        <f ca="1">_xll.meDateFromTenor(C1342,"1D","Following",$D$11,"Normal")</f>
        <v>44385</v>
      </c>
      <c r="E1342" s="99">
        <f ca="1"/>
        <v>1.5070038325395305E-2</v>
      </c>
      <c r="F1342" s="161">
        <f ca="1">_xll.meCurveForwardRates(C1342,$D$9,$D$10)</f>
        <v>1.518384371910475E-2</v>
      </c>
      <c r="G1342" s="7" t="s">
        <v>4</v>
      </c>
      <c r="H1342" s="149">
        <f t="shared" ca="1" si="40"/>
        <v>44384</v>
      </c>
      <c r="I1342" s="20">
        <f ca="1">_xll.meDateFromTenor(H1342,"3M","Following",$I$11,"Normal")</f>
        <v>44476</v>
      </c>
      <c r="J1342" s="150">
        <f ca="1"/>
        <v>1.9321206228686671E-2</v>
      </c>
      <c r="K1342" s="7" t="s">
        <v>4</v>
      </c>
      <c r="L1342" s="149" t="e">
        <f ca="1">_xll.meDateFromTenor(L1341,"1D","FOLLOWING",#REF!,"NORMAL")</f>
        <v>#VALUE!</v>
      </c>
      <c r="M1342" s="155">
        <f ca="1">_xll.meDateYearFraction(C1342,D1342,$M$11)</f>
        <v>2.7777777777777779E-3</v>
      </c>
      <c r="N1342" s="150">
        <f ca="1"/>
        <v>-2.4300000000065936E-3</v>
      </c>
      <c r="O1342" s="7" t="s">
        <v>4</v>
      </c>
      <c r="P1342" s="149">
        <f t="shared" ca="1" si="41"/>
        <v>44384</v>
      </c>
      <c r="Q1342" s="155">
        <f ca="1">_xll.meDateYearFraction(H1342,I1342,$Q$11,TRUE)</f>
        <v>0.25555555555555554</v>
      </c>
      <c r="R1342" s="150">
        <f ca="1">IF(NOW(),_xll.meCurveForwardRatesFromYearFraction(P1342,Q1342,$Q$11,$Q$9,$Q$10))</f>
        <v>3.5149108789120473E-3</v>
      </c>
      <c r="S1342" s="134" t="s">
        <v>4</v>
      </c>
    </row>
    <row r="1343" spans="1:19" x14ac:dyDescent="0.25">
      <c r="A1343" s="128">
        <v>1327</v>
      </c>
      <c r="B1343" s="133"/>
      <c r="C1343" s="149">
        <f ca="1">_xll.meDateFromTenor(C1342,"1D","FOLLOWING",$D$11,"NORMAL")</f>
        <v>44385</v>
      </c>
      <c r="D1343" s="20">
        <f ca="1">_xll.meDateFromTenor(C1343,"1D","Following",$D$11,"Normal")</f>
        <v>44386</v>
      </c>
      <c r="E1343" s="99">
        <f ca="1"/>
        <v>1.5073514813537491E-2</v>
      </c>
      <c r="F1343" s="161">
        <f ca="1">_xll.meCurveForwardRates(C1343,$D$9,$D$10)</f>
        <v>1.518737285208327E-2</v>
      </c>
      <c r="G1343" s="7" t="s">
        <v>4</v>
      </c>
      <c r="H1343" s="149">
        <f t="shared" ca="1" si="40"/>
        <v>44385</v>
      </c>
      <c r="I1343" s="20">
        <f ca="1">_xll.meDateFromTenor(H1343,"3M","Following",$I$11,"Normal")</f>
        <v>44477</v>
      </c>
      <c r="J1343" s="150">
        <f ca="1"/>
        <v>1.9325832496514494E-2</v>
      </c>
      <c r="K1343" s="7" t="s">
        <v>4</v>
      </c>
      <c r="L1343" s="149" t="e">
        <f ca="1">_xll.meDateFromTenor(L1342,"1D","FOLLOWING",#REF!,"NORMAL")</f>
        <v>#VALUE!</v>
      </c>
      <c r="M1343" s="155">
        <f ca="1">_xll.meDateYearFraction(C1343,D1343,$M$11)</f>
        <v>2.7777777777777779E-3</v>
      </c>
      <c r="N1343" s="150">
        <f ca="1"/>
        <v>-2.4300000000065936E-3</v>
      </c>
      <c r="O1343" s="7" t="s">
        <v>4</v>
      </c>
      <c r="P1343" s="149">
        <f t="shared" ca="1" si="41"/>
        <v>44385</v>
      </c>
      <c r="Q1343" s="155">
        <f ca="1">_xll.meDateYearFraction(H1343,I1343,$Q$11,TRUE)</f>
        <v>0.25555555555555554</v>
      </c>
      <c r="R1343" s="150">
        <f ca="1">IF(NOW(),_xll.meCurveForwardRatesFromYearFraction(P1343,Q1343,$Q$11,$Q$9,$Q$10))</f>
        <v>-3.7175485397107962E-3</v>
      </c>
      <c r="S1343" s="134" t="s">
        <v>4</v>
      </c>
    </row>
    <row r="1344" spans="1:19" x14ac:dyDescent="0.25">
      <c r="A1344" s="128">
        <v>1328</v>
      </c>
      <c r="B1344" s="133"/>
      <c r="C1344" s="149">
        <f ca="1">_xll.meDateFromTenor(C1343,"1D","FOLLOWING",$D$11,"NORMAL")</f>
        <v>44386</v>
      </c>
      <c r="D1344" s="20">
        <f ca="1">_xll.meDateFromTenor(C1344,"1D","Following",$D$11,"Normal")</f>
        <v>44389</v>
      </c>
      <c r="E1344" s="99">
        <f ca="1"/>
        <v>1.5081140360688E-2</v>
      </c>
      <c r="F1344" s="161">
        <f ca="1">_xll.meCurveForwardRates(C1344,$D$9,$D$10)</f>
        <v>1.5190914432327673E-2</v>
      </c>
      <c r="G1344" s="7" t="s">
        <v>4</v>
      </c>
      <c r="H1344" s="149">
        <f t="shared" ca="1" si="40"/>
        <v>44386</v>
      </c>
      <c r="I1344" s="20">
        <f ca="1">_xll.meDateFromTenor(H1344,"3M","Following",$I$11,"Normal")</f>
        <v>44481</v>
      </c>
      <c r="J1344" s="150">
        <f ca="1"/>
        <v>1.9330453860325489E-2</v>
      </c>
      <c r="K1344" s="7" t="s">
        <v>4</v>
      </c>
      <c r="L1344" s="149" t="e">
        <f ca="1">_xll.meDateFromTenor(L1343,"1D","FOLLOWING",#REF!,"NORMAL")</f>
        <v>#VALUE!</v>
      </c>
      <c r="M1344" s="155">
        <f ca="1">_xll.meDateYearFraction(C1344,D1344,$M$11)</f>
        <v>8.3333333333333332E-3</v>
      </c>
      <c r="N1344" s="150">
        <f ca="1"/>
        <v>-2.4300000000065936E-3</v>
      </c>
      <c r="O1344" s="7" t="s">
        <v>4</v>
      </c>
      <c r="P1344" s="149">
        <f t="shared" ca="1" si="41"/>
        <v>44386</v>
      </c>
      <c r="Q1344" s="155">
        <f ca="1">_xll.meDateYearFraction(H1344,I1344,$Q$11,TRUE)</f>
        <v>0.2638888888888889</v>
      </c>
      <c r="R1344" s="150">
        <f ca="1">IF(NOW(),_xll.meCurveForwardRatesFromYearFraction(P1344,Q1344,$Q$11,$Q$9,$Q$10))</f>
        <v>-3.7175485397107962E-3</v>
      </c>
      <c r="S1344" s="134" t="s">
        <v>4</v>
      </c>
    </row>
    <row r="1345" spans="1:19" x14ac:dyDescent="0.25">
      <c r="A1345" s="128">
        <v>1329</v>
      </c>
      <c r="B1345" s="133"/>
      <c r="C1345" s="149">
        <f ca="1">_xll.meDateFromTenor(C1344,"1D","FOLLOWING",$D$11,"NORMAL")</f>
        <v>44389</v>
      </c>
      <c r="D1345" s="20">
        <f ca="1">_xll.meDateFromTenor(C1345,"1D","Following",$D$11,"Normal")</f>
        <v>44390</v>
      </c>
      <c r="E1345" s="99">
        <f ca="1"/>
        <v>1.5087543281684624E-2</v>
      </c>
      <c r="F1345" s="161">
        <f ca="1">_xll.meCurveForwardRates(C1345,$D$9,$D$10)</f>
        <v>1.5201613879134657E-2</v>
      </c>
      <c r="G1345" s="7" t="s">
        <v>4</v>
      </c>
      <c r="H1345" s="149">
        <f t="shared" ca="1" si="40"/>
        <v>44389</v>
      </c>
      <c r="I1345" s="20">
        <f ca="1">_xll.meDateFromTenor(H1345,"3M","Following",$I$11,"Normal")</f>
        <v>44481</v>
      </c>
      <c r="J1345" s="150">
        <f ca="1"/>
        <v>1.9344288430042395E-2</v>
      </c>
      <c r="K1345" s="7" t="s">
        <v>4</v>
      </c>
      <c r="L1345" s="149" t="e">
        <f ca="1">_xll.meDateFromTenor(L1344,"1D","FOLLOWING",#REF!,"NORMAL")</f>
        <v>#VALUE!</v>
      </c>
      <c r="M1345" s="155">
        <f ca="1">_xll.meDateYearFraction(C1345,D1345,$M$11)</f>
        <v>2.7777777777777779E-3</v>
      </c>
      <c r="N1345" s="150">
        <f ca="1"/>
        <v>-2.4300000000065936E-3</v>
      </c>
      <c r="O1345" s="7" t="s">
        <v>4</v>
      </c>
      <c r="P1345" s="149">
        <f t="shared" ca="1" si="41"/>
        <v>44389</v>
      </c>
      <c r="Q1345" s="155">
        <f ca="1">_xll.meDateYearFraction(H1345,I1345,$Q$11,TRUE)</f>
        <v>0.25555555555555554</v>
      </c>
      <c r="R1345" s="150">
        <f ca="1">IF(NOW(),_xll.meCurveForwardRatesFromYearFraction(P1345,Q1345,$Q$11,$Q$9,$Q$10))</f>
        <v>3.5547348836868354E-3</v>
      </c>
      <c r="S1345" s="134" t="s">
        <v>4</v>
      </c>
    </row>
    <row r="1346" spans="1:19" x14ac:dyDescent="0.25">
      <c r="A1346" s="128">
        <v>1330</v>
      </c>
      <c r="B1346" s="133"/>
      <c r="C1346" s="149">
        <f ca="1">_xll.meDateFromTenor(C1345,"1D","FOLLOWING",$D$11,"NORMAL")</f>
        <v>44390</v>
      </c>
      <c r="D1346" s="20">
        <f ca="1">_xll.meDateFromTenor(C1346,"1D","Following",$D$11,"Normal")</f>
        <v>44391</v>
      </c>
      <c r="E1346" s="99">
        <f ca="1"/>
        <v>1.5091081038247495E-2</v>
      </c>
      <c r="F1346" s="161">
        <f ca="1">_xll.meCurveForwardRates(C1346,$D$9,$D$10)</f>
        <v>1.520520527112712E-2</v>
      </c>
      <c r="G1346" s="7" t="s">
        <v>4</v>
      </c>
      <c r="H1346" s="149">
        <f t="shared" ca="1" si="40"/>
        <v>44390</v>
      </c>
      <c r="I1346" s="20">
        <f ca="1">_xll.meDateFromTenor(H1346,"3M","Following",$I$11,"Normal")</f>
        <v>44482</v>
      </c>
      <c r="J1346" s="150">
        <f ca="1"/>
        <v>1.9348890080170968E-2</v>
      </c>
      <c r="K1346" s="7" t="s">
        <v>4</v>
      </c>
      <c r="L1346" s="149" t="e">
        <f ca="1">_xll.meDateFromTenor(L1345,"1D","FOLLOWING",#REF!,"NORMAL")</f>
        <v>#VALUE!</v>
      </c>
      <c r="M1346" s="155">
        <f ca="1">_xll.meDateYearFraction(C1346,D1346,$M$11)</f>
        <v>2.7777777777777779E-3</v>
      </c>
      <c r="N1346" s="150">
        <f ca="1"/>
        <v>-2.4300000000065936E-3</v>
      </c>
      <c r="O1346" s="7" t="s">
        <v>4</v>
      </c>
      <c r="P1346" s="149">
        <f t="shared" ca="1" si="41"/>
        <v>44390</v>
      </c>
      <c r="Q1346" s="155">
        <f ca="1">_xll.meDateYearFraction(H1346,I1346,$Q$11,TRUE)</f>
        <v>0.25555555555555554</v>
      </c>
      <c r="R1346" s="150">
        <f ca="1">IF(NOW(),_xll.meCurveForwardRatesFromYearFraction(P1346,Q1346,$Q$11,$Q$9,$Q$10))</f>
        <v>-3.7175485397107962E-3</v>
      </c>
      <c r="S1346" s="134" t="s">
        <v>4</v>
      </c>
    </row>
    <row r="1347" spans="1:19" x14ac:dyDescent="0.25">
      <c r="A1347" s="128">
        <v>1331</v>
      </c>
      <c r="B1347" s="133"/>
      <c r="C1347" s="149">
        <f ca="1">_xll.meDateFromTenor(C1346,"1D","FOLLOWING",$D$11,"NORMAL")</f>
        <v>44391</v>
      </c>
      <c r="D1347" s="20">
        <f ca="1">_xll.meDateFromTenor(C1347,"1D","Following",$D$11,"Normal")</f>
        <v>44392</v>
      </c>
      <c r="E1347" s="99">
        <f ca="1"/>
        <v>1.5094631054932941E-2</v>
      </c>
      <c r="F1347" s="161">
        <f ca="1">_xll.meCurveForwardRates(C1347,$D$9,$D$10)</f>
        <v>1.5208809121851852E-2</v>
      </c>
      <c r="G1347" s="7" t="s">
        <v>4</v>
      </c>
      <c r="H1347" s="149">
        <f t="shared" ca="1" si="40"/>
        <v>44391</v>
      </c>
      <c r="I1347" s="20">
        <f ca="1">_xll.meDateFromTenor(H1347,"3M","Following",$I$11,"Normal")</f>
        <v>44483</v>
      </c>
      <c r="J1347" s="150">
        <f ca="1"/>
        <v>1.935348677747515E-2</v>
      </c>
      <c r="K1347" s="7" t="s">
        <v>4</v>
      </c>
      <c r="L1347" s="149" t="e">
        <f ca="1">_xll.meDateFromTenor(L1346,"1D","FOLLOWING",#REF!,"NORMAL")</f>
        <v>#VALUE!</v>
      </c>
      <c r="M1347" s="155">
        <f ca="1">_xll.meDateYearFraction(C1347,D1347,$M$11)</f>
        <v>2.7777777777777779E-3</v>
      </c>
      <c r="N1347" s="150">
        <f ca="1"/>
        <v>-2.4300000000065936E-3</v>
      </c>
      <c r="O1347" s="7" t="s">
        <v>4</v>
      </c>
      <c r="P1347" s="149">
        <f t="shared" ca="1" si="41"/>
        <v>44391</v>
      </c>
      <c r="Q1347" s="155">
        <f ca="1">_xll.meDateYearFraction(H1347,I1347,$Q$11,TRUE)</f>
        <v>0.25555555555555554</v>
      </c>
      <c r="R1347" s="150">
        <f ca="1">IF(NOW(),_xll.meCurveForwardRatesFromYearFraction(P1347,Q1347,$Q$11,$Q$9,$Q$10))</f>
        <v>3.5707909909436803E-3</v>
      </c>
      <c r="S1347" s="134" t="s">
        <v>4</v>
      </c>
    </row>
    <row r="1348" spans="1:19" x14ac:dyDescent="0.25">
      <c r="A1348" s="128">
        <v>1332</v>
      </c>
      <c r="B1348" s="133"/>
      <c r="C1348" s="149">
        <f ca="1">_xll.meDateFromTenor(C1347,"1D","FOLLOWING",$D$11,"NORMAL")</f>
        <v>44392</v>
      </c>
      <c r="D1348" s="20">
        <f ca="1">_xll.meDateFromTenor(C1348,"1D","Following",$D$11,"Normal")</f>
        <v>44393</v>
      </c>
      <c r="E1348" s="99">
        <f ca="1"/>
        <v>1.5098193333640124E-2</v>
      </c>
      <c r="F1348" s="161">
        <f ca="1">_xll.meCurveForwardRates(C1348,$D$9,$D$10)</f>
        <v>1.5212425433368981E-2</v>
      </c>
      <c r="G1348" s="7" t="s">
        <v>4</v>
      </c>
      <c r="H1348" s="149">
        <f t="shared" ca="1" si="40"/>
        <v>44392</v>
      </c>
      <c r="I1348" s="20">
        <f ca="1">_xll.meDateFromTenor(H1348,"3M","Following",$I$11,"Normal")</f>
        <v>44484</v>
      </c>
      <c r="J1348" s="150">
        <f ca="1"/>
        <v>1.9358078512193445E-2</v>
      </c>
      <c r="K1348" s="7" t="s">
        <v>4</v>
      </c>
      <c r="L1348" s="149" t="e">
        <f ca="1">_xll.meDateFromTenor(L1347,"1D","FOLLOWING",#REF!,"NORMAL")</f>
        <v>#VALUE!</v>
      </c>
      <c r="M1348" s="155">
        <f ca="1">_xll.meDateYearFraction(C1348,D1348,$M$11)</f>
        <v>2.7777777777777779E-3</v>
      </c>
      <c r="N1348" s="150">
        <f ca="1"/>
        <v>-2.4300000000065936E-3</v>
      </c>
      <c r="O1348" s="7" t="s">
        <v>4</v>
      </c>
      <c r="P1348" s="149">
        <f t="shared" ca="1" si="41"/>
        <v>44392</v>
      </c>
      <c r="Q1348" s="155">
        <f ca="1">_xll.meDateYearFraction(H1348,I1348,$Q$11,TRUE)</f>
        <v>0.25555555555555554</v>
      </c>
      <c r="R1348" s="150">
        <f ca="1">IF(NOW(),_xll.meCurveForwardRatesFromYearFraction(P1348,Q1348,$Q$11,$Q$9,$Q$10))</f>
        <v>-3.7175485397107962E-3</v>
      </c>
      <c r="S1348" s="134" t="s">
        <v>4</v>
      </c>
    </row>
    <row r="1349" spans="1:19" x14ac:dyDescent="0.25">
      <c r="A1349" s="128">
        <v>1333</v>
      </c>
      <c r="B1349" s="133"/>
      <c r="C1349" s="149">
        <f ca="1">_xll.meDateFromTenor(C1348,"1D","FOLLOWING",$D$11,"NORMAL")</f>
        <v>44393</v>
      </c>
      <c r="D1349" s="20">
        <f ca="1">_xll.meDateFromTenor(C1349,"1D","Following",$D$11,"Normal")</f>
        <v>44396</v>
      </c>
      <c r="E1349" s="99">
        <f ca="1"/>
        <v>1.5105992595386445E-2</v>
      </c>
      <c r="F1349" s="161">
        <f ca="1">_xll.meCurveForwardRates(C1349,$D$9,$D$10)</f>
        <v>1.5216054208265106E-2</v>
      </c>
      <c r="G1349" s="7" t="s">
        <v>4</v>
      </c>
      <c r="H1349" s="149">
        <f t="shared" ca="1" si="40"/>
        <v>44393</v>
      </c>
      <c r="I1349" s="20">
        <f ca="1">_xll.meDateFromTenor(H1349,"3M","Following",$I$11,"Normal")</f>
        <v>44487</v>
      </c>
      <c r="J1349" s="150">
        <f ca="1"/>
        <v>1.9362665274564327E-2</v>
      </c>
      <c r="K1349" s="7" t="s">
        <v>4</v>
      </c>
      <c r="L1349" s="149" t="e">
        <f ca="1">_xll.meDateFromTenor(L1348,"1D","FOLLOWING",#REF!,"NORMAL")</f>
        <v>#VALUE!</v>
      </c>
      <c r="M1349" s="155">
        <f ca="1">_xll.meDateYearFraction(C1349,D1349,$M$11)</f>
        <v>8.3333333333333332E-3</v>
      </c>
      <c r="N1349" s="150">
        <f ca="1"/>
        <v>-2.4300000000065936E-3</v>
      </c>
      <c r="O1349" s="7" t="s">
        <v>4</v>
      </c>
      <c r="P1349" s="149">
        <f t="shared" ca="1" si="41"/>
        <v>44393</v>
      </c>
      <c r="Q1349" s="155">
        <f ca="1">_xll.meDateYearFraction(H1349,I1349,$Q$11,TRUE)</f>
        <v>0.26111111111111113</v>
      </c>
      <c r="R1349" s="150">
        <f ca="1">IF(NOW(),_xll.meCurveForwardRatesFromYearFraction(P1349,Q1349,$Q$11,$Q$9,$Q$10))</f>
        <v>3.5869191373636491E-3</v>
      </c>
      <c r="S1349" s="134" t="s">
        <v>4</v>
      </c>
    </row>
    <row r="1350" spans="1:19" x14ac:dyDescent="0.25">
      <c r="A1350" s="128">
        <v>1334</v>
      </c>
      <c r="B1350" s="133"/>
      <c r="C1350" s="149">
        <f ca="1">_xll.meDateFromTenor(C1349,"1D","FOLLOWING",$D$11,"NORMAL")</f>
        <v>44396</v>
      </c>
      <c r="D1350" s="20">
        <f ca="1">_xll.meDateFromTenor(C1350,"1D","Following",$D$11,"Normal")</f>
        <v>44397</v>
      </c>
      <c r="E1350" s="99">
        <f ca="1"/>
        <v>1.5112565113166578E-2</v>
      </c>
      <c r="F1350" s="161">
        <f ca="1">_xll.meCurveForwardRates(C1350,$D$9,$D$10)</f>
        <v>1.5227015335177674E-2</v>
      </c>
      <c r="G1350" s="7" t="s">
        <v>4</v>
      </c>
      <c r="H1350" s="149">
        <f t="shared" ca="1" si="40"/>
        <v>44396</v>
      </c>
      <c r="I1350" s="20">
        <f ca="1">_xll.meDateFromTenor(H1350,"3M","Following",$I$11,"Normal")</f>
        <v>44488</v>
      </c>
      <c r="J1350" s="150">
        <f ca="1"/>
        <v>1.9376395629977426E-2</v>
      </c>
      <c r="K1350" s="7" t="s">
        <v>4</v>
      </c>
      <c r="L1350" s="149" t="e">
        <f ca="1">_xll.meDateFromTenor(L1349,"1D","FOLLOWING",#REF!,"NORMAL")</f>
        <v>#VALUE!</v>
      </c>
      <c r="M1350" s="155">
        <f ca="1">_xll.meDateYearFraction(C1350,D1350,$M$11)</f>
        <v>2.7777777777777779E-3</v>
      </c>
      <c r="N1350" s="150">
        <f ca="1"/>
        <v>-2.4300000000065936E-3</v>
      </c>
      <c r="O1350" s="7" t="s">
        <v>4</v>
      </c>
      <c r="P1350" s="149">
        <f t="shared" ca="1" si="41"/>
        <v>44396</v>
      </c>
      <c r="Q1350" s="155">
        <f ca="1">_xll.meDateYearFraction(H1350,I1350,$Q$11,TRUE)</f>
        <v>0.25555555555555554</v>
      </c>
      <c r="R1350" s="150">
        <f ca="1">IF(NOW(),_xll.meCurveForwardRatesFromYearFraction(P1350,Q1350,$Q$11,$Q$9,$Q$10))</f>
        <v>-3.7175485397107962E-3</v>
      </c>
      <c r="S1350" s="134" t="s">
        <v>4</v>
      </c>
    </row>
    <row r="1351" spans="1:19" x14ac:dyDescent="0.25">
      <c r="A1351" s="128">
        <v>1335</v>
      </c>
      <c r="B1351" s="133"/>
      <c r="C1351" s="149">
        <f ca="1">_xll.meDateFromTenor(C1350,"1D","FOLLOWING",$D$11,"NORMAL")</f>
        <v>44397</v>
      </c>
      <c r="D1351" s="20">
        <f ca="1">_xll.meDateFromTenor(C1351,"1D","Following",$D$11,"Normal")</f>
        <v>44398</v>
      </c>
      <c r="E1351" s="99">
        <f ca="1"/>
        <v>1.5116188734654284E-2</v>
      </c>
      <c r="F1351" s="161">
        <f ca="1">_xll.meCurveForwardRates(C1351,$D$9,$D$10)</f>
        <v>1.5230693985824439E-2</v>
      </c>
      <c r="G1351" s="7" t="s">
        <v>4</v>
      </c>
      <c r="H1351" s="149">
        <f t="shared" ca="1" si="40"/>
        <v>44397</v>
      </c>
      <c r="I1351" s="20">
        <f ca="1">_xll.meDateFromTenor(H1351,"3M","Following",$I$11,"Normal")</f>
        <v>44489</v>
      </c>
      <c r="J1351" s="150">
        <f ca="1"/>
        <v>1.9380962405343566E-2</v>
      </c>
      <c r="K1351" s="7" t="s">
        <v>4</v>
      </c>
      <c r="L1351" s="149" t="e">
        <f ca="1">_xll.meDateFromTenor(L1350,"1D","FOLLOWING",#REF!,"NORMAL")</f>
        <v>#VALUE!</v>
      </c>
      <c r="M1351" s="155">
        <f ca="1">_xll.meDateYearFraction(C1351,D1351,$M$11)</f>
        <v>2.7777777777777779E-3</v>
      </c>
      <c r="N1351" s="150">
        <f ca="1"/>
        <v>-2.4300000000065936E-3</v>
      </c>
      <c r="O1351" s="7" t="s">
        <v>4</v>
      </c>
      <c r="P1351" s="149">
        <f t="shared" ca="1" si="41"/>
        <v>44397</v>
      </c>
      <c r="Q1351" s="155">
        <f ca="1">_xll.meDateYearFraction(H1351,I1351,$Q$11,TRUE)</f>
        <v>0.25555555555555554</v>
      </c>
      <c r="R1351" s="150">
        <f ca="1">IF(NOW(),_xll.meCurveForwardRatesFromYearFraction(P1351,Q1351,$Q$11,$Q$9,$Q$10))</f>
        <v>3.619390882075474E-3</v>
      </c>
      <c r="S1351" s="134" t="s">
        <v>4</v>
      </c>
    </row>
    <row r="1352" spans="1:19" x14ac:dyDescent="0.25">
      <c r="A1352" s="128">
        <v>1336</v>
      </c>
      <c r="B1352" s="133"/>
      <c r="C1352" s="149">
        <f ca="1">_xll.meDateFromTenor(C1351,"1D","FOLLOWING",$D$11,"NORMAL")</f>
        <v>44398</v>
      </c>
      <c r="D1352" s="20">
        <f ca="1">_xll.meDateFromTenor(C1352,"1D","Following",$D$11,"Normal")</f>
        <v>44399</v>
      </c>
      <c r="E1352" s="99">
        <f ca="1"/>
        <v>1.5119824631193293E-2</v>
      </c>
      <c r="F1352" s="161">
        <f ca="1">_xll.meCurveForwardRates(C1352,$D$9,$D$10)</f>
        <v>1.523438511129438E-2</v>
      </c>
      <c r="G1352" s="7" t="s">
        <v>4</v>
      </c>
      <c r="H1352" s="149">
        <f t="shared" ca="1" si="40"/>
        <v>44398</v>
      </c>
      <c r="I1352" s="20">
        <f ca="1">_xll.meDateFromTenor(H1352,"3M","Following",$I$11,"Normal")</f>
        <v>44490</v>
      </c>
      <c r="J1352" s="150">
        <f ca="1"/>
        <v>1.9385524159554742E-2</v>
      </c>
      <c r="K1352" s="7" t="s">
        <v>4</v>
      </c>
      <c r="L1352" s="149" t="e">
        <f ca="1">_xll.meDateFromTenor(L1351,"1D","FOLLOWING",#REF!,"NORMAL")</f>
        <v>#VALUE!</v>
      </c>
      <c r="M1352" s="155">
        <f ca="1">_xll.meDateYearFraction(C1352,D1352,$M$11)</f>
        <v>2.7777777777777779E-3</v>
      </c>
      <c r="N1352" s="150">
        <f ca="1"/>
        <v>-2.4300000000065936E-3</v>
      </c>
      <c r="O1352" s="7" t="s">
        <v>4</v>
      </c>
      <c r="P1352" s="149">
        <f t="shared" ca="1" si="41"/>
        <v>44398</v>
      </c>
      <c r="Q1352" s="155">
        <f ca="1">_xll.meDateYearFraction(H1352,I1352,$Q$11,TRUE)</f>
        <v>0.25555555555555554</v>
      </c>
      <c r="R1352" s="150">
        <f ca="1">IF(NOW(),_xll.meCurveForwardRatesFromYearFraction(P1352,Q1352,$Q$11,$Q$9,$Q$10))</f>
        <v>-3.7175485397107962E-3</v>
      </c>
      <c r="S1352" s="134" t="s">
        <v>4</v>
      </c>
    </row>
    <row r="1353" spans="1:19" x14ac:dyDescent="0.25">
      <c r="A1353" s="128">
        <v>1337</v>
      </c>
      <c r="B1353" s="133"/>
      <c r="C1353" s="149">
        <f ca="1">_xll.meDateFromTenor(C1352,"1D","FOLLOWING",$D$11,"NORMAL")</f>
        <v>44399</v>
      </c>
      <c r="D1353" s="20">
        <f ca="1">_xll.meDateFromTenor(C1353,"1D","Following",$D$11,"Normal")</f>
        <v>44400</v>
      </c>
      <c r="E1353" s="99">
        <f ca="1"/>
        <v>1.5123472804796501E-2</v>
      </c>
      <c r="F1353" s="161">
        <f ca="1">_xll.meCurveForwardRates(C1353,$D$9,$D$10)</f>
        <v>1.523808871376664E-2</v>
      </c>
      <c r="G1353" s="7" t="s">
        <v>4</v>
      </c>
      <c r="H1353" s="149">
        <f t="shared" ca="1" si="40"/>
        <v>44399</v>
      </c>
      <c r="I1353" s="20">
        <f ca="1">_xll.meDateFromTenor(H1353,"3M","Following",$I$11,"Normal")</f>
        <v>44491</v>
      </c>
      <c r="J1353" s="150">
        <f ca="1"/>
        <v>1.9390080882849447E-2</v>
      </c>
      <c r="K1353" s="7" t="s">
        <v>4</v>
      </c>
      <c r="L1353" s="149" t="e">
        <f ca="1">_xll.meDateFromTenor(L1352,"1D","FOLLOWING",#REF!,"NORMAL")</f>
        <v>#VALUE!</v>
      </c>
      <c r="M1353" s="155">
        <f ca="1">_xll.meDateYearFraction(C1353,D1353,$M$11)</f>
        <v>2.7777777777777779E-3</v>
      </c>
      <c r="N1353" s="150">
        <f ca="1"/>
        <v>-2.4300000000065936E-3</v>
      </c>
      <c r="O1353" s="7" t="s">
        <v>4</v>
      </c>
      <c r="P1353" s="149">
        <f t="shared" ca="1" si="41"/>
        <v>44399</v>
      </c>
      <c r="Q1353" s="155">
        <f ca="1">_xll.meDateYearFraction(H1353,I1353,$Q$11,TRUE)</f>
        <v>0.25555555555555554</v>
      </c>
      <c r="R1353" s="150">
        <f ca="1">IF(NOW(),_xll.meCurveForwardRatesFromYearFraction(P1353,Q1353,$Q$11,$Q$9,$Q$10))</f>
        <v>3.6357341475585906E-3</v>
      </c>
      <c r="S1353" s="134" t="s">
        <v>4</v>
      </c>
    </row>
    <row r="1354" spans="1:19" x14ac:dyDescent="0.25">
      <c r="A1354" s="128">
        <v>1338</v>
      </c>
      <c r="B1354" s="133"/>
      <c r="C1354" s="149">
        <f ca="1">_xll.meDateFromTenor(C1353,"1D","FOLLOWING",$D$11,"NORMAL")</f>
        <v>44400</v>
      </c>
      <c r="D1354" s="20">
        <f ca="1">_xll.meDateFromTenor(C1354,"1D","Following",$D$11,"Normal")</f>
        <v>44403</v>
      </c>
      <c r="E1354" s="99">
        <f ca="1"/>
        <v>1.5131446043668867E-2</v>
      </c>
      <c r="F1354" s="161">
        <f ca="1">_xll.meCurveForwardRates(C1354,$D$9,$D$10)</f>
        <v>1.5241804795649516E-2</v>
      </c>
      <c r="G1354" s="7" t="s">
        <v>4</v>
      </c>
      <c r="H1354" s="149">
        <f t="shared" ca="1" si="40"/>
        <v>44400</v>
      </c>
      <c r="I1354" s="20">
        <f ca="1">_xll.meDateFromTenor(H1354,"3M","Following",$I$11,"Normal")</f>
        <v>44494</v>
      </c>
      <c r="J1354" s="150">
        <f ca="1"/>
        <v>1.9394632565466158E-2</v>
      </c>
      <c r="K1354" s="7" t="s">
        <v>4</v>
      </c>
      <c r="L1354" s="149" t="e">
        <f ca="1">_xll.meDateFromTenor(L1353,"1D","FOLLOWING",#REF!,"NORMAL")</f>
        <v>#VALUE!</v>
      </c>
      <c r="M1354" s="155">
        <f ca="1">_xll.meDateYearFraction(C1354,D1354,$M$11)</f>
        <v>8.3333333333333332E-3</v>
      </c>
      <c r="N1354" s="150">
        <f ca="1"/>
        <v>-2.4300000000065936E-3</v>
      </c>
      <c r="O1354" s="7" t="s">
        <v>4</v>
      </c>
      <c r="P1354" s="149">
        <f t="shared" ca="1" si="41"/>
        <v>44400</v>
      </c>
      <c r="Q1354" s="155">
        <f ca="1">_xll.meDateYearFraction(H1354,I1354,$Q$11,TRUE)</f>
        <v>0.26111111111111113</v>
      </c>
      <c r="R1354" s="150">
        <f ca="1">IF(NOW(),_xll.meCurveForwardRatesFromYearFraction(P1354,Q1354,$Q$11,$Q$9,$Q$10))</f>
        <v>-3.7175485397107962E-3</v>
      </c>
      <c r="S1354" s="134" t="s">
        <v>4</v>
      </c>
    </row>
    <row r="1355" spans="1:19" x14ac:dyDescent="0.25">
      <c r="A1355" s="128">
        <v>1339</v>
      </c>
      <c r="B1355" s="133"/>
      <c r="C1355" s="149">
        <f ca="1">_xll.meDateFromTenor(C1354,"1D","FOLLOWING",$D$11,"NORMAL")</f>
        <v>44403</v>
      </c>
      <c r="D1355" s="20">
        <f ca="1">_xll.meDateFromTenor(C1355,"1D","Following",$D$11,"Normal")</f>
        <v>44404</v>
      </c>
      <c r="E1355" s="99">
        <f ca="1"/>
        <v>1.5138188313048438E-2</v>
      </c>
      <c r="F1355" s="161">
        <f ca="1">_xll.meCurveForwardRates(C1355,$D$9,$D$10)</f>
        <v>1.5253027940260733E-2</v>
      </c>
      <c r="G1355" s="7" t="s">
        <v>4</v>
      </c>
      <c r="H1355" s="149">
        <f t="shared" ca="1" si="40"/>
        <v>44403</v>
      </c>
      <c r="I1355" s="20">
        <f ca="1">_xll.meDateFromTenor(H1355,"3M","Following",$I$11,"Normal")</f>
        <v>44495</v>
      </c>
      <c r="J1355" s="150">
        <f ca="1"/>
        <v>1.9408257271633266E-2</v>
      </c>
      <c r="K1355" s="7" t="s">
        <v>4</v>
      </c>
      <c r="L1355" s="149" t="e">
        <f ca="1">_xll.meDateFromTenor(L1354,"1D","FOLLOWING",#REF!,"NORMAL")</f>
        <v>#VALUE!</v>
      </c>
      <c r="M1355" s="155">
        <f ca="1">_xll.meDateYearFraction(C1355,D1355,$M$11)</f>
        <v>2.7777777777777779E-3</v>
      </c>
      <c r="N1355" s="150">
        <f ca="1"/>
        <v>-2.4300000000065936E-3</v>
      </c>
      <c r="O1355" s="7" t="s">
        <v>4</v>
      </c>
      <c r="P1355" s="149">
        <f t="shared" ca="1" si="41"/>
        <v>44403</v>
      </c>
      <c r="Q1355" s="155">
        <f ca="1">_xll.meDateYearFraction(H1355,I1355,$Q$11,TRUE)</f>
        <v>0.25555555555555554</v>
      </c>
      <c r="R1355" s="150">
        <f ca="1">IF(NOW(),_xll.meCurveForwardRatesFromYearFraction(P1355,Q1355,$Q$11,$Q$9,$Q$10))</f>
        <v>3.6686346327573839E-3</v>
      </c>
      <c r="S1355" s="134" t="s">
        <v>4</v>
      </c>
    </row>
    <row r="1356" spans="1:19" x14ac:dyDescent="0.25">
      <c r="A1356" s="128">
        <v>1340</v>
      </c>
      <c r="B1356" s="133"/>
      <c r="C1356" s="149">
        <f ca="1">_xll.meDateFromTenor(C1355,"1D","FOLLOWING",$D$11,"NORMAL")</f>
        <v>44404</v>
      </c>
      <c r="D1356" s="20">
        <f ca="1">_xll.meDateFromTenor(C1356,"1D","Following",$D$11,"Normal")</f>
        <v>44405</v>
      </c>
      <c r="E1356" s="99">
        <f ca="1"/>
        <v>1.5141897904167565E-2</v>
      </c>
      <c r="F1356" s="161">
        <f ca="1">_xll.meCurveForwardRates(C1356,$D$9,$D$10)</f>
        <v>1.5256793962479476E-2</v>
      </c>
      <c r="G1356" s="7" t="s">
        <v>4</v>
      </c>
      <c r="H1356" s="149">
        <f t="shared" ca="1" si="40"/>
        <v>44404</v>
      </c>
      <c r="I1356" s="20">
        <f ca="1">_xll.meDateFromTenor(H1356,"3M","Following",$I$11,"Normal")</f>
        <v>44496</v>
      </c>
      <c r="J1356" s="150">
        <f ca="1"/>
        <v>1.9412788693922916E-2</v>
      </c>
      <c r="K1356" s="7" t="s">
        <v>4</v>
      </c>
      <c r="L1356" s="149" t="e">
        <f ca="1">_xll.meDateFromTenor(L1355,"1D","FOLLOWING",#REF!,"NORMAL")</f>
        <v>#VALUE!</v>
      </c>
      <c r="M1356" s="155">
        <f ca="1">_xll.meDateYearFraction(C1356,D1356,$M$11)</f>
        <v>2.7777777777777779E-3</v>
      </c>
      <c r="N1356" s="150">
        <f ca="1"/>
        <v>-2.4300000000065936E-3</v>
      </c>
      <c r="O1356" s="7" t="s">
        <v>4</v>
      </c>
      <c r="P1356" s="149">
        <f t="shared" ca="1" si="41"/>
        <v>44404</v>
      </c>
      <c r="Q1356" s="155">
        <f ca="1">_xll.meDateYearFraction(H1356,I1356,$Q$11,TRUE)</f>
        <v>0.25555555555555554</v>
      </c>
      <c r="R1356" s="150">
        <f ca="1">IF(NOW(),_xll.meCurveForwardRatesFromYearFraction(P1356,Q1356,$Q$11,$Q$9,$Q$10))</f>
        <v>-3.7175485397107962E-3</v>
      </c>
      <c r="S1356" s="134" t="s">
        <v>4</v>
      </c>
    </row>
    <row r="1357" spans="1:19" x14ac:dyDescent="0.25">
      <c r="A1357" s="128">
        <v>1341</v>
      </c>
      <c r="B1357" s="133"/>
      <c r="C1357" s="149">
        <f ca="1">_xll.meDateFromTenor(C1356,"1D","FOLLOWING",$D$11,"NORMAL")</f>
        <v>44405</v>
      </c>
      <c r="D1357" s="20">
        <f ca="1">_xll.meDateFromTenor(C1357,"1D","Following",$D$11,"Normal")</f>
        <v>44406</v>
      </c>
      <c r="E1357" s="99">
        <f ca="1"/>
        <v>1.5145619785206085E-2</v>
      </c>
      <c r="F1357" s="161">
        <f ca="1">_xll.meCurveForwardRates(C1357,$D$9,$D$10)</f>
        <v>1.5260572475574774E-2</v>
      </c>
      <c r="G1357" s="7" t="s">
        <v>4</v>
      </c>
      <c r="H1357" s="149">
        <f t="shared" ca="1" si="40"/>
        <v>44405</v>
      </c>
      <c r="I1357" s="20">
        <f ca="1">_xll.meDateFromTenor(H1357,"3M","Following",$I$11,"Normal")</f>
        <v>44497</v>
      </c>
      <c r="J1357" s="150">
        <f ca="1"/>
        <v>1.9417315026727024E-2</v>
      </c>
      <c r="K1357" s="7" t="s">
        <v>4</v>
      </c>
      <c r="L1357" s="149" t="e">
        <f ca="1">_xll.meDateFromTenor(L1356,"1D","FOLLOWING",#REF!,"NORMAL")</f>
        <v>#VALUE!</v>
      </c>
      <c r="M1357" s="155">
        <f ca="1">_xll.meDateYearFraction(C1357,D1357,$M$11)</f>
        <v>2.7777777777777779E-3</v>
      </c>
      <c r="N1357" s="150">
        <f ca="1"/>
        <v>-2.4300000000065936E-3</v>
      </c>
      <c r="O1357" s="7" t="s">
        <v>4</v>
      </c>
      <c r="P1357" s="149">
        <f t="shared" ca="1" si="41"/>
        <v>44405</v>
      </c>
      <c r="Q1357" s="155">
        <f ca="1">_xll.meDateYearFraction(H1357,I1357,$Q$11,TRUE)</f>
        <v>0.25555555555555554</v>
      </c>
      <c r="R1357" s="150">
        <f ca="1">IF(NOW(),_xll.meCurveForwardRatesFromYearFraction(P1357,Q1357,$Q$11,$Q$9,$Q$10))</f>
        <v>3.6851915196643237E-3</v>
      </c>
      <c r="S1357" s="134" t="s">
        <v>4</v>
      </c>
    </row>
    <row r="1358" spans="1:19" x14ac:dyDescent="0.25">
      <c r="A1358" s="128">
        <v>1342</v>
      </c>
      <c r="B1358" s="133"/>
      <c r="C1358" s="149">
        <f ca="1">_xll.meDateFromTenor(C1357,"1D","FOLLOWING",$D$11,"NORMAL")</f>
        <v>44406</v>
      </c>
      <c r="D1358" s="20">
        <f ca="1">_xll.meDateFromTenor(C1358,"1D","Following",$D$11,"Normal")</f>
        <v>44407</v>
      </c>
      <c r="E1358" s="99">
        <f ca="1"/>
        <v>1.5149353958421574E-2</v>
      </c>
      <c r="F1358" s="161">
        <f ca="1">_xll.meCurveForwardRates(C1358,$D$9,$D$10)</f>
        <v>1.5264363481977794E-2</v>
      </c>
      <c r="G1358" s="7" t="s">
        <v>4</v>
      </c>
      <c r="H1358" s="149">
        <f t="shared" ca="1" si="40"/>
        <v>44406</v>
      </c>
      <c r="I1358" s="20">
        <f ca="1">_xll.meDateFromTenor(H1358,"3M","Following",$I$11,"Normal")</f>
        <v>44498</v>
      </c>
      <c r="J1358" s="150">
        <f ca="1"/>
        <v>1.9421836260284073E-2</v>
      </c>
      <c r="K1358" s="7" t="s">
        <v>4</v>
      </c>
      <c r="L1358" s="149" t="e">
        <f ca="1">_xll.meDateFromTenor(L1357,"1D","FOLLOWING",#REF!,"NORMAL")</f>
        <v>#VALUE!</v>
      </c>
      <c r="M1358" s="155">
        <f ca="1">_xll.meDateYearFraction(C1358,D1358,$M$11)</f>
        <v>2.7777777777777779E-3</v>
      </c>
      <c r="N1358" s="150">
        <f ca="1"/>
        <v>-2.4300000000065936E-3</v>
      </c>
      <c r="O1358" s="7" t="s">
        <v>4</v>
      </c>
      <c r="P1358" s="149">
        <f t="shared" ca="1" si="41"/>
        <v>44406</v>
      </c>
      <c r="Q1358" s="155">
        <f ca="1">_xll.meDateYearFraction(H1358,I1358,$Q$11,TRUE)</f>
        <v>0.25555555555555554</v>
      </c>
      <c r="R1358" s="150">
        <f ca="1">IF(NOW(),_xll.meCurveForwardRatesFromYearFraction(P1358,Q1358,$Q$11,$Q$9,$Q$10))</f>
        <v>-3.7175485397107962E-3</v>
      </c>
      <c r="S1358" s="134" t="s">
        <v>4</v>
      </c>
    </row>
    <row r="1359" spans="1:19" x14ac:dyDescent="0.25">
      <c r="A1359" s="128">
        <v>1343</v>
      </c>
      <c r="B1359" s="133"/>
      <c r="C1359" s="149">
        <f ca="1">_xll.meDateFromTenor(C1358,"1D","FOLLOWING",$D$11,"NORMAL")</f>
        <v>44407</v>
      </c>
      <c r="D1359" s="20">
        <f ca="1">_xll.meDateFromTenor(C1359,"1D","Following",$D$11,"Normal")</f>
        <v>44410</v>
      </c>
      <c r="E1359" s="99">
        <f ca="1"/>
        <v>1.5157501438282451E-2</v>
      </c>
      <c r="F1359" s="161">
        <f ca="1">_xll.meCurveForwardRates(C1359,$D$9,$D$10)</f>
        <v>1.5268166983836817E-2</v>
      </c>
      <c r="G1359" s="7" t="s">
        <v>4</v>
      </c>
      <c r="H1359" s="149">
        <f t="shared" ca="1" si="40"/>
        <v>44407</v>
      </c>
      <c r="I1359" s="20">
        <f ca="1">_xll.meDateFromTenor(H1359,"3M","Following",$I$11,"Normal")</f>
        <v>44501</v>
      </c>
      <c r="J1359" s="150">
        <f ca="1"/>
        <v>1.9426352384832556E-2</v>
      </c>
      <c r="K1359" s="7" t="s">
        <v>4</v>
      </c>
      <c r="L1359" s="149" t="e">
        <f ca="1">_xll.meDateFromTenor(L1358,"1D","FOLLOWING",#REF!,"NORMAL")</f>
        <v>#VALUE!</v>
      </c>
      <c r="M1359" s="155">
        <f ca="1">_xll.meDateYearFraction(C1359,D1359,$M$11)</f>
        <v>8.3333333333333332E-3</v>
      </c>
      <c r="N1359" s="150">
        <f ca="1"/>
        <v>-2.4300000000065936E-3</v>
      </c>
      <c r="O1359" s="7" t="s">
        <v>4</v>
      </c>
      <c r="P1359" s="149">
        <f t="shared" ca="1" si="41"/>
        <v>44407</v>
      </c>
      <c r="Q1359" s="155">
        <f ca="1">_xll.meDateYearFraction(H1359,I1359,$Q$11,TRUE)</f>
        <v>0.26111111111111113</v>
      </c>
      <c r="R1359" s="150">
        <f ca="1">IF(NOW(),_xll.meCurveForwardRatesFromYearFraction(P1359,Q1359,$Q$11,$Q$9,$Q$10))</f>
        <v>-3.7175485397107962E-3</v>
      </c>
      <c r="S1359" s="134" t="s">
        <v>4</v>
      </c>
    </row>
    <row r="1360" spans="1:19" x14ac:dyDescent="0.25">
      <c r="A1360" s="128">
        <v>1344</v>
      </c>
      <c r="B1360" s="133"/>
      <c r="C1360" s="149">
        <f ca="1">_xll.meDateFromTenor(C1359,"1D","FOLLOWING",$D$11,"NORMAL")</f>
        <v>44410</v>
      </c>
      <c r="D1360" s="20">
        <f ca="1">_xll.meDateFromTenor(C1360,"1D","Following",$D$11,"Normal")</f>
        <v>44411</v>
      </c>
      <c r="E1360" s="99">
        <f ca="1"/>
        <v>1.5164413614823494E-2</v>
      </c>
      <c r="F1360" s="161">
        <f ca="1">_xll.meCurveForwardRates(C1360,$D$9,$D$10)</f>
        <v>1.5279652485867601E-2</v>
      </c>
      <c r="G1360" s="7" t="s">
        <v>4</v>
      </c>
      <c r="H1360" s="149">
        <f t="shared" ca="1" si="40"/>
        <v>44410</v>
      </c>
      <c r="I1360" s="20">
        <f ca="1">_xll.meDateFromTenor(H1360,"3M","Following",$I$11,"Normal")</f>
        <v>44502</v>
      </c>
      <c r="J1360" s="150">
        <f ca="1"/>
        <v>1.9439870006811487E-2</v>
      </c>
      <c r="K1360" s="7" t="s">
        <v>4</v>
      </c>
      <c r="L1360" s="149" t="e">
        <f ca="1">_xll.meDateFromTenor(L1359,"1D","FOLLOWING",#REF!,"NORMAL")</f>
        <v>#VALUE!</v>
      </c>
      <c r="M1360" s="155">
        <f ca="1">_xll.meDateYearFraction(C1360,D1360,$M$11)</f>
        <v>2.7777777777777779E-3</v>
      </c>
      <c r="N1360" s="150">
        <f ca="1"/>
        <v>-2.4300000000065936E-3</v>
      </c>
      <c r="O1360" s="7" t="s">
        <v>4</v>
      </c>
      <c r="P1360" s="149">
        <f t="shared" ca="1" si="41"/>
        <v>44410</v>
      </c>
      <c r="Q1360" s="155">
        <f ca="1">_xll.meDateYearFraction(H1360,I1360,$Q$11,TRUE)</f>
        <v>0.25555555555555554</v>
      </c>
      <c r="R1360" s="150">
        <f ca="1">IF(NOW(),_xll.meCurveForwardRatesFromYearFraction(P1360,Q1360,$Q$11,$Q$9,$Q$10))</f>
        <v>-3.7175485397107962E-3</v>
      </c>
      <c r="S1360" s="134" t="s">
        <v>4</v>
      </c>
    </row>
    <row r="1361" spans="1:19" x14ac:dyDescent="0.25">
      <c r="A1361" s="128">
        <v>1345</v>
      </c>
      <c r="B1361" s="133"/>
      <c r="C1361" s="149">
        <f ca="1">_xll.meDateFromTenor(C1360,"1D","FOLLOWING",$D$11,"NORMAL")</f>
        <v>44411</v>
      </c>
      <c r="D1361" s="20">
        <f ca="1">_xll.meDateFromTenor(C1361,"1D","Following",$D$11,"Normal")</f>
        <v>44412</v>
      </c>
      <c r="E1361" s="99">
        <f ca="1"/>
        <v>1.5168209280600324E-2</v>
      </c>
      <c r="F1361" s="161">
        <f ca="1">_xll.meCurveForwardRates(C1361,$D$9,$D$10)</f>
        <v>1.5283505993068713E-2</v>
      </c>
      <c r="G1361" s="7" t="s">
        <v>4</v>
      </c>
      <c r="H1361" s="149">
        <f t="shared" ref="H1361:H1424" ca="1" si="42">$C1361</f>
        <v>44411</v>
      </c>
      <c r="I1361" s="20">
        <f ca="1">_xll.meDateFromTenor(H1361,"3M","Following",$I$11,"Normal")</f>
        <v>44503</v>
      </c>
      <c r="J1361" s="150">
        <f ca="1"/>
        <v>1.9444365597710588E-2</v>
      </c>
      <c r="K1361" s="7" t="s">
        <v>4</v>
      </c>
      <c r="L1361" s="149" t="e">
        <f ca="1">_xll.meDateFromTenor(L1360,"1D","FOLLOWING",#REF!,"NORMAL")</f>
        <v>#VALUE!</v>
      </c>
      <c r="M1361" s="155">
        <f ca="1">_xll.meDateYearFraction(C1361,D1361,$M$11)</f>
        <v>2.7777777777777779E-3</v>
      </c>
      <c r="N1361" s="150">
        <f ca="1"/>
        <v>-2.4300000000065936E-3</v>
      </c>
      <c r="O1361" s="7" t="s">
        <v>4</v>
      </c>
      <c r="P1361" s="149">
        <f t="shared" ref="P1361:P1424" ca="1" si="43">$C1361</f>
        <v>44411</v>
      </c>
      <c r="Q1361" s="155">
        <f ca="1">_xll.meDateYearFraction(H1361,I1361,$Q$11,TRUE)</f>
        <v>0.25555555555555554</v>
      </c>
      <c r="R1361" s="150">
        <f ca="1">IF(NOW(),_xll.meCurveForwardRatesFromYearFraction(P1361,Q1361,$Q$11,$Q$9,$Q$10))</f>
        <v>3.735286760762878E-3</v>
      </c>
      <c r="S1361" s="134" t="s">
        <v>4</v>
      </c>
    </row>
    <row r="1362" spans="1:19" x14ac:dyDescent="0.25">
      <c r="A1362" s="128">
        <v>1346</v>
      </c>
      <c r="B1362" s="133"/>
      <c r="C1362" s="149">
        <f ca="1">_xll.meDateFromTenor(C1361,"1D","FOLLOWING",$D$11,"NORMAL")</f>
        <v>44412</v>
      </c>
      <c r="D1362" s="20">
        <f ca="1">_xll.meDateFromTenor(C1362,"1D","Following",$D$11,"Normal")</f>
        <v>44413</v>
      </c>
      <c r="E1362" s="99">
        <f ca="1"/>
        <v>1.5172017251423845E-2</v>
      </c>
      <c r="F1362" s="161">
        <f ca="1">_xll.meCurveForwardRates(C1362,$D$9,$D$10)</f>
        <v>1.5287372007487088E-2</v>
      </c>
      <c r="G1362" s="7" t="s">
        <v>4</v>
      </c>
      <c r="H1362" s="149">
        <f t="shared" ca="1" si="42"/>
        <v>44412</v>
      </c>
      <c r="I1362" s="20">
        <f ca="1">_xll.meDateFromTenor(H1362,"3M","Following",$I$11,"Normal")</f>
        <v>44504</v>
      </c>
      <c r="J1362" s="150">
        <f ca="1"/>
        <v>1.9448856030793563E-2</v>
      </c>
      <c r="K1362" s="7" t="s">
        <v>4</v>
      </c>
      <c r="L1362" s="149" t="e">
        <f ca="1">_xll.meDateFromTenor(L1361,"1D","FOLLOWING",#REF!,"NORMAL")</f>
        <v>#VALUE!</v>
      </c>
      <c r="M1362" s="155">
        <f ca="1">_xll.meDateYearFraction(C1362,D1362,$M$11)</f>
        <v>2.7777777777777779E-3</v>
      </c>
      <c r="N1362" s="150">
        <f ca="1"/>
        <v>-2.4300000000065936E-3</v>
      </c>
      <c r="O1362" s="7" t="s">
        <v>4</v>
      </c>
      <c r="P1362" s="149">
        <f t="shared" ca="1" si="43"/>
        <v>44412</v>
      </c>
      <c r="Q1362" s="155">
        <f ca="1">_xll.meDateYearFraction(H1362,I1362,$Q$11,TRUE)</f>
        <v>0.25555555555555554</v>
      </c>
      <c r="R1362" s="150">
        <f ca="1">IF(NOW(),_xll.meCurveForwardRatesFromYearFraction(P1362,Q1362,$Q$11,$Q$9,$Q$10))</f>
        <v>-3.7175485397107962E-3</v>
      </c>
      <c r="S1362" s="134" t="s">
        <v>4</v>
      </c>
    </row>
    <row r="1363" spans="1:19" x14ac:dyDescent="0.25">
      <c r="A1363" s="128">
        <v>1347</v>
      </c>
      <c r="B1363" s="133"/>
      <c r="C1363" s="149">
        <f ca="1">_xll.meDateFromTenor(C1362,"1D","FOLLOWING",$D$11,"NORMAL")</f>
        <v>44413</v>
      </c>
      <c r="D1363" s="20">
        <f ca="1">_xll.meDateFromTenor(C1363,"1D","Following",$D$11,"Normal")</f>
        <v>44414</v>
      </c>
      <c r="E1363" s="99">
        <f ca="1"/>
        <v>1.5175837529273054E-2</v>
      </c>
      <c r="F1363" s="161">
        <f ca="1">_xll.meCurveForwardRates(C1363,$D$9,$D$10)</f>
        <v>1.5291250531274558E-2</v>
      </c>
      <c r="G1363" s="7" t="s">
        <v>4</v>
      </c>
      <c r="H1363" s="149">
        <f t="shared" ca="1" si="42"/>
        <v>44413</v>
      </c>
      <c r="I1363" s="20">
        <f ca="1">_xll.meDateFromTenor(H1363,"3M","Following",$I$11,"Normal")</f>
        <v>44505</v>
      </c>
      <c r="J1363" s="150">
        <f ca="1"/>
        <v>1.9453341296298901E-2</v>
      </c>
      <c r="K1363" s="7" t="s">
        <v>4</v>
      </c>
      <c r="L1363" s="149" t="e">
        <f ca="1">_xll.meDateFromTenor(L1362,"1D","FOLLOWING",#REF!,"NORMAL")</f>
        <v>#VALUE!</v>
      </c>
      <c r="M1363" s="155">
        <f ca="1">_xll.meDateYearFraction(C1363,D1363,$M$11)</f>
        <v>2.7777777777777779E-3</v>
      </c>
      <c r="N1363" s="150">
        <f ca="1"/>
        <v>-2.4300000000065936E-3</v>
      </c>
      <c r="O1363" s="7" t="s">
        <v>4</v>
      </c>
      <c r="P1363" s="149">
        <f t="shared" ca="1" si="43"/>
        <v>44413</v>
      </c>
      <c r="Q1363" s="155">
        <f ca="1">_xll.meDateYearFraction(H1363,I1363,$Q$11,TRUE)</f>
        <v>0.25555555555555554</v>
      </c>
      <c r="R1363" s="150">
        <f ca="1">IF(NOW(),_xll.meCurveForwardRatesFromYearFraction(P1363,Q1363,$Q$11,$Q$9,$Q$10))</f>
        <v>3.7521261465737442E-3</v>
      </c>
      <c r="S1363" s="134" t="s">
        <v>4</v>
      </c>
    </row>
    <row r="1364" spans="1:19" x14ac:dyDescent="0.25">
      <c r="A1364" s="128">
        <v>1348</v>
      </c>
      <c r="B1364" s="133"/>
      <c r="C1364" s="149">
        <f ca="1">_xll.meDateFromTenor(C1363,"1D","FOLLOWING",$D$11,"NORMAL")</f>
        <v>44414</v>
      </c>
      <c r="D1364" s="20">
        <f ca="1">_xll.meDateFromTenor(C1364,"1D","Following",$D$11,"Normal")</f>
        <v>44417</v>
      </c>
      <c r="E1364" s="99">
        <f ca="1"/>
        <v>1.5184159515496429E-2</v>
      </c>
      <c r="F1364" s="161">
        <f ca="1">_xll.meCurveForwardRates(C1364,$D$9,$D$10)</f>
        <v>1.529514156694689E-2</v>
      </c>
      <c r="G1364" s="7" t="s">
        <v>4</v>
      </c>
      <c r="H1364" s="149">
        <f t="shared" ca="1" si="42"/>
        <v>44414</v>
      </c>
      <c r="I1364" s="20">
        <f ca="1">_xll.meDateFromTenor(H1364,"3M","Following",$I$11,"Normal")</f>
        <v>44508</v>
      </c>
      <c r="J1364" s="150">
        <f ca="1"/>
        <v>1.9457821384465092E-2</v>
      </c>
      <c r="K1364" s="7" t="s">
        <v>4</v>
      </c>
      <c r="L1364" s="149" t="e">
        <f ca="1">_xll.meDateFromTenor(L1363,"1D","FOLLOWING",#REF!,"NORMAL")</f>
        <v>#VALUE!</v>
      </c>
      <c r="M1364" s="155">
        <f ca="1">_xll.meDateYearFraction(C1364,D1364,$M$11)</f>
        <v>8.3333333333333332E-3</v>
      </c>
      <c r="N1364" s="150">
        <f ca="1"/>
        <v>-2.4300000000065936E-3</v>
      </c>
      <c r="O1364" s="7" t="s">
        <v>4</v>
      </c>
      <c r="P1364" s="149">
        <f t="shared" ca="1" si="43"/>
        <v>44414</v>
      </c>
      <c r="Q1364" s="155">
        <f ca="1">_xll.meDateYearFraction(H1364,I1364,$Q$11,TRUE)</f>
        <v>0.26111111111111113</v>
      </c>
      <c r="R1364" s="150">
        <f ca="1">IF(NOW(),_xll.meCurveForwardRatesFromYearFraction(P1364,Q1364,$Q$11,$Q$9,$Q$10))</f>
        <v>-3.7175485397107962E-3</v>
      </c>
      <c r="S1364" s="134" t="s">
        <v>4</v>
      </c>
    </row>
    <row r="1365" spans="1:19" x14ac:dyDescent="0.25">
      <c r="A1365" s="128">
        <v>1349</v>
      </c>
      <c r="B1365" s="133"/>
      <c r="C1365" s="149">
        <f ca="1">_xll.meDateFromTenor(C1364,"1D","FOLLOWING",$D$11,"NORMAL")</f>
        <v>44417</v>
      </c>
      <c r="D1365" s="20">
        <f ca="1">_xll.meDateFromTenor(C1365,"1D","Following",$D$11,"Normal")</f>
        <v>44418</v>
      </c>
      <c r="E1365" s="99">
        <f ca="1"/>
        <v>1.5191241755487651E-2</v>
      </c>
      <c r="F1365" s="161">
        <f ca="1">_xll.meCurveForwardRates(C1365,$D$9,$D$10)</f>
        <v>1.5306889768218035E-2</v>
      </c>
      <c r="G1365" s="7" t="s">
        <v>4</v>
      </c>
      <c r="H1365" s="149">
        <f t="shared" ca="1" si="42"/>
        <v>44417</v>
      </c>
      <c r="I1365" s="20">
        <f ca="1">_xll.meDateFromTenor(H1365,"3M","Following",$I$11,"Normal")</f>
        <v>44509</v>
      </c>
      <c r="J1365" s="150">
        <f ca="1"/>
        <v>1.9471230487313668E-2</v>
      </c>
      <c r="K1365" s="7" t="s">
        <v>4</v>
      </c>
      <c r="L1365" s="149" t="e">
        <f ca="1">_xll.meDateFromTenor(L1364,"1D","FOLLOWING",#REF!,"NORMAL")</f>
        <v>#VALUE!</v>
      </c>
      <c r="M1365" s="155">
        <f ca="1">_xll.meDateYearFraction(C1365,D1365,$M$11)</f>
        <v>2.7777777777777779E-3</v>
      </c>
      <c r="N1365" s="150">
        <f ca="1"/>
        <v>-2.4300000000065936E-3</v>
      </c>
      <c r="O1365" s="7" t="s">
        <v>4</v>
      </c>
      <c r="P1365" s="149">
        <f t="shared" ca="1" si="43"/>
        <v>44417</v>
      </c>
      <c r="Q1365" s="155">
        <f ca="1">_xll.meDateYearFraction(H1365,I1365,$Q$11,TRUE)</f>
        <v>0.25555555555555554</v>
      </c>
      <c r="R1365" s="150">
        <f ca="1">IF(NOW(),_xll.meCurveForwardRatesFromYearFraction(P1365,Q1365,$Q$11,$Q$9,$Q$10))</f>
        <v>3.7860153779362814E-3</v>
      </c>
      <c r="S1365" s="134" t="s">
        <v>4</v>
      </c>
    </row>
    <row r="1366" spans="1:19" x14ac:dyDescent="0.25">
      <c r="A1366" s="128">
        <v>1350</v>
      </c>
      <c r="B1366" s="133"/>
      <c r="C1366" s="149">
        <f ca="1">_xll.meDateFromTenor(C1365,"1D","FOLLOWING",$D$11,"NORMAL")</f>
        <v>44418</v>
      </c>
      <c r="D1366" s="20">
        <f ca="1">_xll.meDateFromTenor(C1366,"1D","Following",$D$11,"Normal")</f>
        <v>44419</v>
      </c>
      <c r="E1366" s="99">
        <f ca="1"/>
        <v>1.5195123601457181E-2</v>
      </c>
      <c r="F1366" s="161">
        <f ca="1">_xll.meCurveForwardRates(C1366,$D$9,$D$10)</f>
        <v>1.5310830874497583E-2</v>
      </c>
      <c r="G1366" s="7" t="s">
        <v>4</v>
      </c>
      <c r="H1366" s="149">
        <f t="shared" ca="1" si="42"/>
        <v>44418</v>
      </c>
      <c r="I1366" s="20">
        <f ca="1">_xll.meDateFromTenor(H1366,"3M","Following",$I$11,"Normal")</f>
        <v>44510</v>
      </c>
      <c r="J1366" s="150">
        <f ca="1"/>
        <v>1.947568976850815E-2</v>
      </c>
      <c r="K1366" s="7" t="s">
        <v>4</v>
      </c>
      <c r="L1366" s="149" t="e">
        <f ca="1">_xll.meDateFromTenor(L1365,"1D","FOLLOWING",#REF!,"NORMAL")</f>
        <v>#VALUE!</v>
      </c>
      <c r="M1366" s="155">
        <f ca="1">_xll.meDateYearFraction(C1366,D1366,$M$11)</f>
        <v>2.7777777777777779E-3</v>
      </c>
      <c r="N1366" s="150">
        <f ca="1"/>
        <v>-2.4300000000065936E-3</v>
      </c>
      <c r="O1366" s="7" t="s">
        <v>4</v>
      </c>
      <c r="P1366" s="149">
        <f t="shared" ca="1" si="43"/>
        <v>44418</v>
      </c>
      <c r="Q1366" s="155">
        <f ca="1">_xll.meDateYearFraction(H1366,I1366,$Q$11,TRUE)</f>
        <v>0.25555555555555554</v>
      </c>
      <c r="R1366" s="150">
        <f ca="1">IF(NOW(),_xll.meCurveForwardRatesFromYearFraction(P1366,Q1366,$Q$11,$Q$9,$Q$10))</f>
        <v>-3.7175485397107962E-3</v>
      </c>
      <c r="S1366" s="134" t="s">
        <v>4</v>
      </c>
    </row>
    <row r="1367" spans="1:19" x14ac:dyDescent="0.25">
      <c r="A1367" s="128">
        <v>1351</v>
      </c>
      <c r="B1367" s="133"/>
      <c r="C1367" s="149">
        <f ca="1">_xll.meDateFromTenor(C1366,"1D","FOLLOWING",$D$11,"NORMAL")</f>
        <v>44419</v>
      </c>
      <c r="D1367" s="20">
        <f ca="1">_xll.meDateFromTenor(C1367,"1D","Following",$D$11,"Normal")</f>
        <v>44420</v>
      </c>
      <c r="E1367" s="99">
        <f ca="1"/>
        <v>1.5199017767641831E-2</v>
      </c>
      <c r="F1367" s="161">
        <f ca="1">_xll.meCurveForwardRates(C1367,$D$9,$D$10)</f>
        <v>1.5314784504401269E-2</v>
      </c>
      <c r="G1367" s="7" t="s">
        <v>4</v>
      </c>
      <c r="H1367" s="149">
        <f t="shared" ca="1" si="42"/>
        <v>44419</v>
      </c>
      <c r="I1367" s="20">
        <f ca="1">_xll.meDateFromTenor(H1367,"3M","Following",$I$11,"Normal")</f>
        <v>44512</v>
      </c>
      <c r="J1367" s="150">
        <f ca="1"/>
        <v>1.9480143823555934E-2</v>
      </c>
      <c r="K1367" s="7" t="s">
        <v>4</v>
      </c>
      <c r="L1367" s="149" t="e">
        <f ca="1">_xll.meDateFromTenor(L1366,"1D","FOLLOWING",#REF!,"NORMAL")</f>
        <v>#VALUE!</v>
      </c>
      <c r="M1367" s="155">
        <f ca="1">_xll.meDateYearFraction(C1367,D1367,$M$11)</f>
        <v>2.7777777777777779E-3</v>
      </c>
      <c r="N1367" s="150">
        <f ca="1"/>
        <v>-2.4300000000065936E-3</v>
      </c>
      <c r="O1367" s="7" t="s">
        <v>4</v>
      </c>
      <c r="P1367" s="149">
        <f t="shared" ca="1" si="43"/>
        <v>44419</v>
      </c>
      <c r="Q1367" s="155">
        <f ca="1">_xll.meDateYearFraction(H1367,I1367,$Q$11,TRUE)</f>
        <v>0.25833333333333336</v>
      </c>
      <c r="R1367" s="150">
        <f ca="1">IF(NOW(),_xll.meCurveForwardRatesFromYearFraction(P1367,Q1367,$Q$11,$Q$9,$Q$10))</f>
        <v>3.8030648906792106E-3</v>
      </c>
      <c r="S1367" s="134" t="s">
        <v>4</v>
      </c>
    </row>
    <row r="1368" spans="1:19" x14ac:dyDescent="0.25">
      <c r="A1368" s="128">
        <v>1352</v>
      </c>
      <c r="B1368" s="133"/>
      <c r="C1368" s="149">
        <f ca="1">_xll.meDateFromTenor(C1367,"1D","FOLLOWING",$D$11,"NORMAL")</f>
        <v>44420</v>
      </c>
      <c r="D1368" s="20">
        <f ca="1">_xll.meDateFromTenor(C1368,"1D","Following",$D$11,"Normal")</f>
        <v>44421</v>
      </c>
      <c r="E1368" s="99">
        <f ca="1"/>
        <v>1.5202924255979508E-2</v>
      </c>
      <c r="F1368" s="161">
        <f ca="1">_xll.meCurveForwardRates(C1368,$D$9,$D$10)</f>
        <v>1.5318750660042291E-2</v>
      </c>
      <c r="G1368" s="7" t="s">
        <v>4</v>
      </c>
      <c r="H1368" s="149">
        <f t="shared" ca="1" si="42"/>
        <v>44420</v>
      </c>
      <c r="I1368" s="20">
        <f ca="1">_xll.meDateFromTenor(H1368,"3M","Following",$I$11,"Normal")</f>
        <v>44512</v>
      </c>
      <c r="J1368" s="150">
        <f ca="1"/>
        <v>1.9484592642695499E-2</v>
      </c>
      <c r="K1368" s="7" t="s">
        <v>4</v>
      </c>
      <c r="L1368" s="149" t="e">
        <f ca="1">_xll.meDateFromTenor(L1367,"1D","FOLLOWING",#REF!,"NORMAL")</f>
        <v>#VALUE!</v>
      </c>
      <c r="M1368" s="155">
        <f ca="1">_xll.meDateYearFraction(C1368,D1368,$M$11)</f>
        <v>2.7777777777777779E-3</v>
      </c>
      <c r="N1368" s="150">
        <f ca="1"/>
        <v>-2.4300000000065936E-3</v>
      </c>
      <c r="O1368" s="7" t="s">
        <v>4</v>
      </c>
      <c r="P1368" s="149">
        <f t="shared" ca="1" si="43"/>
        <v>44420</v>
      </c>
      <c r="Q1368" s="155">
        <f ca="1">_xll.meDateYearFraction(H1368,I1368,$Q$11,TRUE)</f>
        <v>0.25555555555555554</v>
      </c>
      <c r="R1368" s="150">
        <f ca="1">IF(NOW(),_xll.meCurveForwardRatesFromYearFraction(P1368,Q1368,$Q$11,$Q$9,$Q$10))</f>
        <v>-3.7175485397107962E-3</v>
      </c>
      <c r="S1368" s="134" t="s">
        <v>4</v>
      </c>
    </row>
    <row r="1369" spans="1:19" x14ac:dyDescent="0.25">
      <c r="A1369" s="128">
        <v>1353</v>
      </c>
      <c r="B1369" s="133"/>
      <c r="C1369" s="149">
        <f ca="1">_xll.meDateFromTenor(C1368,"1D","FOLLOWING",$D$11,"NORMAL")</f>
        <v>44421</v>
      </c>
      <c r="D1369" s="20">
        <f ca="1">_xll.meDateFromTenor(C1369,"1D","Following",$D$11,"Normal")</f>
        <v>44424</v>
      </c>
      <c r="E1369" s="99">
        <f ca="1"/>
        <v>1.5211421015139191E-2</v>
      </c>
      <c r="F1369" s="161">
        <f ca="1">_xll.meCurveForwardRates(C1369,$D$9,$D$10)</f>
        <v>1.5322729343900665E-2</v>
      </c>
      <c r="G1369" s="7" t="s">
        <v>4</v>
      </c>
      <c r="H1369" s="149">
        <f t="shared" ca="1" si="42"/>
        <v>44421</v>
      </c>
      <c r="I1369" s="20">
        <f ca="1">_xll.meDateFromTenor(H1369,"3M","Following",$I$11,"Normal")</f>
        <v>44515</v>
      </c>
      <c r="J1369" s="150">
        <f ca="1"/>
        <v>1.9489036216165337E-2</v>
      </c>
      <c r="K1369" s="7" t="s">
        <v>4</v>
      </c>
      <c r="L1369" s="149" t="e">
        <f ca="1">_xll.meDateFromTenor(L1368,"1D","FOLLOWING",#REF!,"NORMAL")</f>
        <v>#VALUE!</v>
      </c>
      <c r="M1369" s="155">
        <f ca="1">_xll.meDateYearFraction(C1369,D1369,$M$11)</f>
        <v>8.3333333333333332E-3</v>
      </c>
      <c r="N1369" s="150">
        <f ca="1"/>
        <v>-2.4300000000065936E-3</v>
      </c>
      <c r="O1369" s="7" t="s">
        <v>4</v>
      </c>
      <c r="P1369" s="149">
        <f t="shared" ca="1" si="43"/>
        <v>44421</v>
      </c>
      <c r="Q1369" s="155">
        <f ca="1">_xll.meDateYearFraction(H1369,I1369,$Q$11,TRUE)</f>
        <v>0.26111111111111113</v>
      </c>
      <c r="R1369" s="150">
        <f ca="1">IF(NOW(),_xll.meCurveForwardRatesFromYearFraction(P1369,Q1369,$Q$11,$Q$9,$Q$10))</f>
        <v>3.8201841129240923E-3</v>
      </c>
      <c r="S1369" s="134" t="s">
        <v>4</v>
      </c>
    </row>
    <row r="1370" spans="1:19" x14ac:dyDescent="0.25">
      <c r="A1370" s="128">
        <v>1354</v>
      </c>
      <c r="B1370" s="133"/>
      <c r="C1370" s="149">
        <f ca="1">_xll.meDateFromTenor(C1369,"1D","FOLLOWING",$D$11,"NORMAL")</f>
        <v>44424</v>
      </c>
      <c r="D1370" s="20">
        <f ca="1">_xll.meDateFromTenor(C1370,"1D","Following",$D$11,"Normal")</f>
        <v>44425</v>
      </c>
      <c r="E1370" s="99">
        <f ca="1"/>
        <v>1.5218673475587963E-2</v>
      </c>
      <c r="F1370" s="161">
        <f ca="1">_xll.meCurveForwardRates(C1370,$D$9,$D$10)</f>
        <v>1.5334740588323292E-2</v>
      </c>
      <c r="G1370" s="7" t="s">
        <v>4</v>
      </c>
      <c r="H1370" s="149">
        <f t="shared" ca="1" si="42"/>
        <v>44424</v>
      </c>
      <c r="I1370" s="20">
        <f ca="1">_xll.meDateFromTenor(H1370,"3M","Following",$I$11,"Normal")</f>
        <v>44516</v>
      </c>
      <c r="J1370" s="150">
        <f ca="1"/>
        <v>1.9502335364941375E-2</v>
      </c>
      <c r="K1370" s="7" t="s">
        <v>4</v>
      </c>
      <c r="L1370" s="149" t="e">
        <f ca="1">_xll.meDateFromTenor(L1369,"1D","FOLLOWING",#REF!,"NORMAL")</f>
        <v>#VALUE!</v>
      </c>
      <c r="M1370" s="155">
        <f ca="1">_xll.meDateYearFraction(C1370,D1370,$M$11)</f>
        <v>2.7777777777777779E-3</v>
      </c>
      <c r="N1370" s="150">
        <f ca="1"/>
        <v>-2.4300000000065936E-3</v>
      </c>
      <c r="O1370" s="7" t="s">
        <v>4</v>
      </c>
      <c r="P1370" s="149">
        <f t="shared" ca="1" si="43"/>
        <v>44424</v>
      </c>
      <c r="Q1370" s="155">
        <f ca="1">_xll.meDateYearFraction(H1370,I1370,$Q$11,TRUE)</f>
        <v>0.25555555555555554</v>
      </c>
      <c r="R1370" s="150">
        <f ca="1">IF(NOW(),_xll.meCurveForwardRatesFromYearFraction(P1370,Q1370,$Q$11,$Q$9,$Q$10))</f>
        <v>-3.7175485397107962E-3</v>
      </c>
      <c r="S1370" s="134" t="s">
        <v>4</v>
      </c>
    </row>
    <row r="1371" spans="1:19" x14ac:dyDescent="0.25">
      <c r="A1371" s="128">
        <v>1355</v>
      </c>
      <c r="B1371" s="133"/>
      <c r="C1371" s="149">
        <f ca="1">_xll.meDateFromTenor(C1370,"1D","FOLLOWING",$D$11,"NORMAL")</f>
        <v>44425</v>
      </c>
      <c r="D1371" s="20">
        <f ca="1">_xll.meDateFromTenor(C1371,"1D","Following",$D$11,"Normal")</f>
        <v>44426</v>
      </c>
      <c r="E1371" s="99">
        <f ca="1"/>
        <v>1.5222641607885841E-2</v>
      </c>
      <c r="F1371" s="161">
        <f ca="1">_xll.meCurveForwardRates(C1371,$D$9,$D$10)</f>
        <v>1.533876940855694E-2</v>
      </c>
      <c r="G1371" s="7" t="s">
        <v>4</v>
      </c>
      <c r="H1371" s="149">
        <f t="shared" ca="1" si="42"/>
        <v>44425</v>
      </c>
      <c r="I1371" s="20">
        <f ca="1">_xll.meDateFromTenor(H1371,"3M","Following",$I$11,"Normal")</f>
        <v>44517</v>
      </c>
      <c r="J1371" s="150">
        <f ca="1"/>
        <v>1.9506757858117188E-2</v>
      </c>
      <c r="K1371" s="7" t="s">
        <v>4</v>
      </c>
      <c r="L1371" s="149" t="e">
        <f ca="1">_xll.meDateFromTenor(L1370,"1D","FOLLOWING",#REF!,"NORMAL")</f>
        <v>#VALUE!</v>
      </c>
      <c r="M1371" s="155">
        <f ca="1">_xll.meDateYearFraction(C1371,D1371,$M$11)</f>
        <v>2.7777777777777779E-3</v>
      </c>
      <c r="N1371" s="150">
        <f ca="1"/>
        <v>-2.4300000000065936E-3</v>
      </c>
      <c r="O1371" s="7" t="s">
        <v>4</v>
      </c>
      <c r="P1371" s="149">
        <f t="shared" ca="1" si="43"/>
        <v>44425</v>
      </c>
      <c r="Q1371" s="155">
        <f ca="1">_xll.meDateYearFraction(H1371,I1371,$Q$11,TRUE)</f>
        <v>0.25555555555555554</v>
      </c>
      <c r="R1371" s="150">
        <f ca="1">IF(NOW(),_xll.meCurveForwardRatesFromYearFraction(P1371,Q1371,$Q$11,$Q$9,$Q$10))</f>
        <v>-3.7175485397107962E-3</v>
      </c>
      <c r="S1371" s="134" t="s">
        <v>4</v>
      </c>
    </row>
    <row r="1372" spans="1:19" x14ac:dyDescent="0.25">
      <c r="A1372" s="128">
        <v>1356</v>
      </c>
      <c r="B1372" s="133"/>
      <c r="C1372" s="149">
        <f ca="1">_xll.meDateFromTenor(C1371,"1D","FOLLOWING",$D$11,"NORMAL")</f>
        <v>44426</v>
      </c>
      <c r="D1372" s="20">
        <f ca="1">_xll.meDateFromTenor(C1372,"1D","Following",$D$11,"Normal")</f>
        <v>44427</v>
      </c>
      <c r="E1372" s="99">
        <f ca="1"/>
        <v>1.5226622075446273E-2</v>
      </c>
      <c r="F1372" s="161">
        <f ca="1">_xll.meCurveForwardRates(C1372,$D$9,$D$10)</f>
        <v>1.5342810768723014E-2</v>
      </c>
      <c r="G1372" s="7" t="s">
        <v>4</v>
      </c>
      <c r="H1372" s="149">
        <f t="shared" ca="1" si="42"/>
        <v>44426</v>
      </c>
      <c r="I1372" s="20">
        <f ca="1">_xll.meDateFromTenor(H1372,"3M","Following",$I$11,"Normal")</f>
        <v>44518</v>
      </c>
      <c r="J1372" s="150">
        <f ca="1"/>
        <v>1.9511175056815717E-2</v>
      </c>
      <c r="K1372" s="7" t="s">
        <v>4</v>
      </c>
      <c r="L1372" s="149" t="e">
        <f ca="1">_xll.meDateFromTenor(L1371,"1D","FOLLOWING",#REF!,"NORMAL")</f>
        <v>#VALUE!</v>
      </c>
      <c r="M1372" s="155">
        <f ca="1">_xll.meDateYearFraction(C1372,D1372,$M$11)</f>
        <v>2.7777777777777779E-3</v>
      </c>
      <c r="N1372" s="150">
        <f ca="1"/>
        <v>-2.4300000000065936E-3</v>
      </c>
      <c r="O1372" s="7" t="s">
        <v>4</v>
      </c>
      <c r="P1372" s="149">
        <f t="shared" ca="1" si="43"/>
        <v>44426</v>
      </c>
      <c r="Q1372" s="155">
        <f ca="1">_xll.meDateYearFraction(H1372,I1372,$Q$11,TRUE)</f>
        <v>0.25555555555555554</v>
      </c>
      <c r="R1372" s="150">
        <f ca="1">IF(NOW(),_xll.meCurveForwardRatesFromYearFraction(P1372,Q1372,$Q$11,$Q$9,$Q$10))</f>
        <v>-3.7175485397107962E-3</v>
      </c>
      <c r="S1372" s="134" t="s">
        <v>4</v>
      </c>
    </row>
    <row r="1373" spans="1:19" x14ac:dyDescent="0.25">
      <c r="A1373" s="128">
        <v>1357</v>
      </c>
      <c r="B1373" s="133"/>
      <c r="C1373" s="149">
        <f ca="1">_xll.meDateFromTenor(C1372,"1D","FOLLOWING",$D$11,"NORMAL")</f>
        <v>44427</v>
      </c>
      <c r="D1373" s="20">
        <f ca="1">_xll.meDateFromTenor(C1373,"1D","Following",$D$11,"Normal")</f>
        <v>44428</v>
      </c>
      <c r="E1373" s="99">
        <f ca="1"/>
        <v>1.5230614880647871E-2</v>
      </c>
      <c r="F1373" s="161">
        <f ca="1">_xll.meCurveForwardRates(C1373,$D$9,$D$10)</f>
        <v>1.5346864671385463E-2</v>
      </c>
      <c r="G1373" s="7" t="s">
        <v>4</v>
      </c>
      <c r="H1373" s="149">
        <f t="shared" ca="1" si="42"/>
        <v>44427</v>
      </c>
      <c r="I1373" s="20">
        <f ca="1">_xll.meDateFromTenor(H1373,"3M","Following",$I$11,"Normal")</f>
        <v>44519</v>
      </c>
      <c r="J1373" s="150">
        <f ca="1"/>
        <v>1.9515586951275449E-2</v>
      </c>
      <c r="K1373" s="7" t="s">
        <v>4</v>
      </c>
      <c r="L1373" s="149" t="e">
        <f ca="1">_xll.meDateFromTenor(L1372,"1D","FOLLOWING",#REF!,"NORMAL")</f>
        <v>#VALUE!</v>
      </c>
      <c r="M1373" s="155">
        <f ca="1">_xll.meDateYearFraction(C1373,D1373,$M$11)</f>
        <v>2.7777777777777779E-3</v>
      </c>
      <c r="N1373" s="150">
        <f ca="1"/>
        <v>-2.4300000000065936E-3</v>
      </c>
      <c r="O1373" s="7" t="s">
        <v>4</v>
      </c>
      <c r="P1373" s="149">
        <f t="shared" ca="1" si="43"/>
        <v>44427</v>
      </c>
      <c r="Q1373" s="155">
        <f ca="1">_xll.meDateYearFraction(H1373,I1373,$Q$11,TRUE)</f>
        <v>0.25555555555555554</v>
      </c>
      <c r="R1373" s="150">
        <f ca="1">IF(NOW(),_xll.meCurveForwardRatesFromYearFraction(P1373,Q1373,$Q$11,$Q$9,$Q$10))</f>
        <v>3.8719583726267394E-3</v>
      </c>
      <c r="S1373" s="134" t="s">
        <v>4</v>
      </c>
    </row>
    <row r="1374" spans="1:19" x14ac:dyDescent="0.25">
      <c r="A1374" s="128">
        <v>1358</v>
      </c>
      <c r="B1374" s="133"/>
      <c r="C1374" s="149">
        <f ca="1">_xll.meDateFromTenor(C1373,"1D","FOLLOWING",$D$11,"NORMAL")</f>
        <v>44428</v>
      </c>
      <c r="D1374" s="20">
        <f ca="1">_xll.meDateFromTenor(C1374,"1D","Following",$D$11,"Normal")</f>
        <v>44431</v>
      </c>
      <c r="E1374" s="99">
        <f ca="1"/>
        <v>1.523928668070249E-2</v>
      </c>
      <c r="F1374" s="161">
        <f ca="1">_xll.meCurveForwardRates(C1374,$D$9,$D$10)</f>
        <v>1.5350931118580435E-2</v>
      </c>
      <c r="G1374" s="7" t="s">
        <v>4</v>
      </c>
      <c r="H1374" s="149">
        <f t="shared" ca="1" si="42"/>
        <v>44428</v>
      </c>
      <c r="I1374" s="20">
        <f ca="1">_xll.meDateFromTenor(H1374,"3M","Following",$I$11,"Normal")</f>
        <v>44522</v>
      </c>
      <c r="J1374" s="150">
        <f ca="1"/>
        <v>1.9519993531734874E-2</v>
      </c>
      <c r="K1374" s="7" t="s">
        <v>4</v>
      </c>
      <c r="L1374" s="149" t="e">
        <f ca="1">_xll.meDateFromTenor(L1373,"1D","FOLLOWING",#REF!,"NORMAL")</f>
        <v>#VALUE!</v>
      </c>
      <c r="M1374" s="155">
        <f ca="1">_xll.meDateYearFraction(C1374,D1374,$M$11)</f>
        <v>8.3333333333333332E-3</v>
      </c>
      <c r="N1374" s="150">
        <f ca="1"/>
        <v>-2.4300000000065936E-3</v>
      </c>
      <c r="O1374" s="7" t="s">
        <v>4</v>
      </c>
      <c r="P1374" s="149">
        <f t="shared" ca="1" si="43"/>
        <v>44428</v>
      </c>
      <c r="Q1374" s="155">
        <f ca="1">_xll.meDateYearFraction(H1374,I1374,$Q$11,TRUE)</f>
        <v>0.26111111111111113</v>
      </c>
      <c r="R1374" s="150">
        <f ca="1">IF(NOW(),_xll.meCurveForwardRatesFromYearFraction(P1374,Q1374,$Q$11,$Q$9,$Q$10))</f>
        <v>-3.7175485397107962E-3</v>
      </c>
      <c r="S1374" s="134" t="s">
        <v>4</v>
      </c>
    </row>
    <row r="1375" spans="1:19" x14ac:dyDescent="0.25">
      <c r="A1375" s="128">
        <v>1359</v>
      </c>
      <c r="B1375" s="133"/>
      <c r="C1375" s="149">
        <f ca="1">_xll.meDateFromTenor(C1374,"1D","FOLLOWING",$D$11,"NORMAL")</f>
        <v>44431</v>
      </c>
      <c r="D1375" s="20">
        <f ca="1">_xll.meDateFromTenor(C1375,"1D","Following",$D$11,"Normal")</f>
        <v>44432</v>
      </c>
      <c r="E1375" s="99">
        <f ca="1"/>
        <v>1.5246295607125152E-2</v>
      </c>
      <c r="F1375" s="161">
        <f ca="1">_xll.meCurveForwardRates(C1375,$D$9,$D$10)</f>
        <v>1.5362785498761244E-2</v>
      </c>
      <c r="G1375" s="7" t="s">
        <v>4</v>
      </c>
      <c r="H1375" s="149">
        <f t="shared" ca="1" si="42"/>
        <v>44431</v>
      </c>
      <c r="I1375" s="20">
        <f ca="1">_xll.meDateFromTenor(H1375,"3M","Following",$I$11,"Normal")</f>
        <v>44523</v>
      </c>
      <c r="J1375" s="150">
        <f ca="1"/>
        <v>1.9533181291496188E-2</v>
      </c>
      <c r="K1375" s="7" t="s">
        <v>4</v>
      </c>
      <c r="L1375" s="149" t="e">
        <f ca="1">_xll.meDateFromTenor(L1374,"1D","FOLLOWING",#REF!,"NORMAL")</f>
        <v>#VALUE!</v>
      </c>
      <c r="M1375" s="155">
        <f ca="1">_xll.meDateYearFraction(C1375,D1375,$M$11)</f>
        <v>2.7777777777777779E-3</v>
      </c>
      <c r="N1375" s="150">
        <f ca="1"/>
        <v>-2.4300000000065936E-3</v>
      </c>
      <c r="O1375" s="7" t="s">
        <v>4</v>
      </c>
      <c r="P1375" s="149">
        <f t="shared" ca="1" si="43"/>
        <v>44431</v>
      </c>
      <c r="Q1375" s="155">
        <f ca="1">_xll.meDateYearFraction(H1375,I1375,$Q$11,TRUE)</f>
        <v>0.25555555555555554</v>
      </c>
      <c r="R1375" s="150">
        <f ca="1">IF(NOW(),_xll.meCurveForwardRatesFromYearFraction(P1375,Q1375,$Q$11,$Q$9,$Q$10))</f>
        <v>3.9068200425248154E-3</v>
      </c>
      <c r="S1375" s="134" t="s">
        <v>4</v>
      </c>
    </row>
    <row r="1376" spans="1:19" x14ac:dyDescent="0.25">
      <c r="A1376" s="128">
        <v>1360</v>
      </c>
      <c r="B1376" s="133"/>
      <c r="C1376" s="149">
        <f ca="1">_xll.meDateFromTenor(C1375,"1D","FOLLOWING",$D$11,"NORMAL")</f>
        <v>44432</v>
      </c>
      <c r="D1376" s="20">
        <f ca="1">_xll.meDateFromTenor(C1376,"1D","Following",$D$11,"Normal")</f>
        <v>44433</v>
      </c>
      <c r="E1376" s="99">
        <f ca="1"/>
        <v>1.5249524529459541E-2</v>
      </c>
      <c r="F1376" s="161">
        <f ca="1">_xll.meCurveForwardRates(C1376,$D$9,$D$10)</f>
        <v>1.5366063892772397E-2</v>
      </c>
      <c r="G1376" s="7" t="s">
        <v>4</v>
      </c>
      <c r="H1376" s="149">
        <f t="shared" ca="1" si="42"/>
        <v>44432</v>
      </c>
      <c r="I1376" s="20">
        <f ca="1">_xll.meDateFromTenor(H1376,"3M","Following",$I$11,"Normal")</f>
        <v>44524</v>
      </c>
      <c r="J1376" s="150">
        <f ca="1"/>
        <v>1.9537566899075029E-2</v>
      </c>
      <c r="K1376" s="7" t="s">
        <v>4</v>
      </c>
      <c r="L1376" s="149" t="e">
        <f ca="1">_xll.meDateFromTenor(L1375,"1D","FOLLOWING",#REF!,"NORMAL")</f>
        <v>#VALUE!</v>
      </c>
      <c r="M1376" s="155">
        <f ca="1">_xll.meDateYearFraction(C1376,D1376,$M$11)</f>
        <v>2.7777777777777779E-3</v>
      </c>
      <c r="N1376" s="150">
        <f ca="1"/>
        <v>-2.4300000000065936E-3</v>
      </c>
      <c r="O1376" s="7" t="s">
        <v>4</v>
      </c>
      <c r="P1376" s="149">
        <f t="shared" ca="1" si="43"/>
        <v>44432</v>
      </c>
      <c r="Q1376" s="155">
        <f ca="1">_xll.meDateYearFraction(H1376,I1376,$Q$11,TRUE)</f>
        <v>0.25555555555555554</v>
      </c>
      <c r="R1376" s="150">
        <f ca="1">IF(NOW(),_xll.meCurveForwardRatesFromYearFraction(P1376,Q1376,$Q$11,$Q$9,$Q$10))</f>
        <v>3.9155846619569005E-3</v>
      </c>
      <c r="S1376" s="134" t="s">
        <v>4</v>
      </c>
    </row>
    <row r="1377" spans="1:19" x14ac:dyDescent="0.25">
      <c r="A1377" s="128">
        <v>1361</v>
      </c>
      <c r="B1377" s="133"/>
      <c r="C1377" s="149">
        <f ca="1">_xll.meDateFromTenor(C1376,"1D","FOLLOWING",$D$11,"NORMAL")</f>
        <v>44433</v>
      </c>
      <c r="D1377" s="20">
        <f ca="1">_xll.meDateFromTenor(C1377,"1D","Following",$D$11,"Normal")</f>
        <v>44434</v>
      </c>
      <c r="E1377" s="99">
        <f ca="1"/>
        <v>1.5252769134998904E-2</v>
      </c>
      <c r="F1377" s="161">
        <f ca="1">_xll.meCurveForwardRates(C1377,$D$9,$D$10)</f>
        <v>1.5369358220910234E-2</v>
      </c>
      <c r="G1377" s="7" t="s">
        <v>4</v>
      </c>
      <c r="H1377" s="149">
        <f t="shared" ca="1" si="42"/>
        <v>44433</v>
      </c>
      <c r="I1377" s="20">
        <f ca="1">_xll.meDateFromTenor(H1377,"3M","Following",$I$11,"Normal")</f>
        <v>44526</v>
      </c>
      <c r="J1377" s="150">
        <f ca="1"/>
        <v>1.9541947901668744E-2</v>
      </c>
      <c r="K1377" s="7" t="s">
        <v>4</v>
      </c>
      <c r="L1377" s="149" t="e">
        <f ca="1">_xll.meDateFromTenor(L1376,"1D","FOLLOWING",#REF!,"NORMAL")</f>
        <v>#VALUE!</v>
      </c>
      <c r="M1377" s="155">
        <f ca="1">_xll.meDateYearFraction(C1377,D1377,$M$11)</f>
        <v>2.7777777777777779E-3</v>
      </c>
      <c r="N1377" s="150">
        <f ca="1"/>
        <v>-2.4300000000065936E-3</v>
      </c>
      <c r="O1377" s="7" t="s">
        <v>4</v>
      </c>
      <c r="P1377" s="149">
        <f t="shared" ca="1" si="43"/>
        <v>44433</v>
      </c>
      <c r="Q1377" s="155">
        <f ca="1">_xll.meDateYearFraction(H1377,I1377,$Q$11,TRUE)</f>
        <v>0.25833333333333336</v>
      </c>
      <c r="R1377" s="150">
        <f ca="1">IF(NOW(),_xll.meCurveForwardRatesFromYearFraction(P1377,Q1377,$Q$11,$Q$9,$Q$10))</f>
        <v>3.9243786031979665E-3</v>
      </c>
      <c r="S1377" s="134" t="s">
        <v>4</v>
      </c>
    </row>
    <row r="1378" spans="1:19" x14ac:dyDescent="0.25">
      <c r="A1378" s="128">
        <v>1362</v>
      </c>
      <c r="B1378" s="133"/>
      <c r="C1378" s="149">
        <f ca="1">_xll.meDateFromTenor(C1377,"1D","FOLLOWING",$D$11,"NORMAL")</f>
        <v>44434</v>
      </c>
      <c r="D1378" s="20">
        <f ca="1">_xll.meDateFromTenor(C1378,"1D","Following",$D$11,"Normal")</f>
        <v>44435</v>
      </c>
      <c r="E1378" s="99">
        <f ca="1"/>
        <v>1.5256029426560508E-2</v>
      </c>
      <c r="F1378" s="161">
        <f ca="1">_xll.meCurveForwardRates(C1378,$D$9,$D$10)</f>
        <v>1.53726684861899E-2</v>
      </c>
      <c r="G1378" s="7" t="s">
        <v>4</v>
      </c>
      <c r="H1378" s="149">
        <f t="shared" ca="1" si="42"/>
        <v>44434</v>
      </c>
      <c r="I1378" s="20">
        <f ca="1">_xll.meDateFromTenor(H1378,"3M","Following",$I$11,"Normal")</f>
        <v>44526</v>
      </c>
      <c r="J1378" s="150">
        <f ca="1"/>
        <v>1.9546324284042668E-2</v>
      </c>
      <c r="K1378" s="7" t="s">
        <v>4</v>
      </c>
      <c r="L1378" s="149" t="e">
        <f ca="1">_xll.meDateFromTenor(L1377,"1D","FOLLOWING",#REF!,"NORMAL")</f>
        <v>#VALUE!</v>
      </c>
      <c r="M1378" s="155">
        <f ca="1">_xll.meDateYearFraction(C1378,D1378,$M$11)</f>
        <v>2.7777777777777779E-3</v>
      </c>
      <c r="N1378" s="150">
        <f ca="1"/>
        <v>-2.4300000000065936E-3</v>
      </c>
      <c r="O1378" s="7" t="s">
        <v>4</v>
      </c>
      <c r="P1378" s="149">
        <f t="shared" ca="1" si="43"/>
        <v>44434</v>
      </c>
      <c r="Q1378" s="155">
        <f ca="1">_xll.meDateYearFraction(H1378,I1378,$Q$11,TRUE)</f>
        <v>0.25555555555555554</v>
      </c>
      <c r="R1378" s="150">
        <f ca="1">IF(NOW(),_xll.meCurveForwardRatesFromYearFraction(P1378,Q1378,$Q$11,$Q$9,$Q$10))</f>
        <v>-3.7175485397107962E-3</v>
      </c>
      <c r="S1378" s="134" t="s">
        <v>4</v>
      </c>
    </row>
    <row r="1379" spans="1:19" x14ac:dyDescent="0.25">
      <c r="A1379" s="128">
        <v>1363</v>
      </c>
      <c r="B1379" s="133"/>
      <c r="C1379" s="149">
        <f ca="1">_xll.meDateFromTenor(C1378,"1D","FOLLOWING",$D$11,"NORMAL")</f>
        <v>44435</v>
      </c>
      <c r="D1379" s="20">
        <f ca="1">_xll.meDateFromTenor(C1379,"1D","Following",$D$11,"Normal")</f>
        <v>44439</v>
      </c>
      <c r="E1379" s="99">
        <f ca="1"/>
        <v>1.526522945997316E-2</v>
      </c>
      <c r="F1379" s="161">
        <f ca="1">_xll.meCurveForwardRates(C1379,$D$9,$D$10)</f>
        <v>1.5375994691587902E-2</v>
      </c>
      <c r="G1379" s="7" t="s">
        <v>4</v>
      </c>
      <c r="H1379" s="149">
        <f t="shared" ca="1" si="42"/>
        <v>44435</v>
      </c>
      <c r="I1379" s="20">
        <f ca="1">_xll.meDateFromTenor(H1379,"3M","Following",$I$11,"Normal")</f>
        <v>44529</v>
      </c>
      <c r="J1379" s="150">
        <f ca="1"/>
        <v>1.9550696030962118E-2</v>
      </c>
      <c r="K1379" s="7" t="s">
        <v>4</v>
      </c>
      <c r="L1379" s="149" t="e">
        <f ca="1">_xll.meDateFromTenor(L1378,"1D","FOLLOWING",#REF!,"NORMAL")</f>
        <v>#VALUE!</v>
      </c>
      <c r="M1379" s="155">
        <f ca="1">_xll.meDateYearFraction(C1379,D1379,$M$11)</f>
        <v>1.1111111111111112E-2</v>
      </c>
      <c r="N1379" s="150">
        <f ca="1"/>
        <v>-2.4300000000065936E-3</v>
      </c>
      <c r="O1379" s="7" t="s">
        <v>4</v>
      </c>
      <c r="P1379" s="149">
        <f t="shared" ca="1" si="43"/>
        <v>44435</v>
      </c>
      <c r="Q1379" s="155">
        <f ca="1">_xll.meDateYearFraction(H1379,I1379,$Q$11,TRUE)</f>
        <v>0.26111111111111113</v>
      </c>
      <c r="R1379" s="150">
        <f ca="1">IF(NOW(),_xll.meCurveForwardRatesFromYearFraction(P1379,Q1379,$Q$11,$Q$9,$Q$10))</f>
        <v>3.9420528905420001E-3</v>
      </c>
      <c r="S1379" s="134" t="s">
        <v>4</v>
      </c>
    </row>
    <row r="1380" spans="1:19" x14ac:dyDescent="0.25">
      <c r="A1380" s="128">
        <v>1364</v>
      </c>
      <c r="B1380" s="133"/>
      <c r="C1380" s="149">
        <f ca="1">_xll.meDateFromTenor(C1379,"1D","FOLLOWING",$D$11,"NORMAL")</f>
        <v>44439</v>
      </c>
      <c r="D1380" s="20">
        <f ca="1">_xll.meDateFromTenor(C1380,"1D","Following",$D$11,"Normal")</f>
        <v>44440</v>
      </c>
      <c r="E1380" s="99">
        <f ca="1"/>
        <v>1.5272566269410703E-2</v>
      </c>
      <c r="F1380" s="161">
        <f ca="1">_xll.meCurveForwardRates(C1380,$D$9,$D$10)</f>
        <v>1.5389458971343029E-2</v>
      </c>
      <c r="G1380" s="7" t="s">
        <v>4</v>
      </c>
      <c r="H1380" s="149">
        <f t="shared" ca="1" si="42"/>
        <v>44439</v>
      </c>
      <c r="I1380" s="20">
        <f ca="1">_xll.meDateFromTenor(H1380,"3M","Following",$I$11,"Normal")</f>
        <v>44530</v>
      </c>
      <c r="J1380" s="150">
        <f ca="1"/>
        <v>1.9568136359401661E-2</v>
      </c>
      <c r="K1380" s="7" t="s">
        <v>4</v>
      </c>
      <c r="L1380" s="149" t="e">
        <f ca="1">_xll.meDateFromTenor(L1379,"1D","FOLLOWING",#REF!,"NORMAL")</f>
        <v>#VALUE!</v>
      </c>
      <c r="M1380" s="155">
        <f ca="1">_xll.meDateYearFraction(C1380,D1380,$M$11)</f>
        <v>2.7777777777777779E-3</v>
      </c>
      <c r="N1380" s="150">
        <f ca="1"/>
        <v>-2.4300000000065936E-3</v>
      </c>
      <c r="O1380" s="7" t="s">
        <v>4</v>
      </c>
      <c r="P1380" s="149">
        <f t="shared" ca="1" si="43"/>
        <v>44439</v>
      </c>
      <c r="Q1380" s="155">
        <f ca="1">_xll.meDateYearFraction(H1380,I1380,$Q$11,TRUE)</f>
        <v>0.25277777777777777</v>
      </c>
      <c r="R1380" s="150">
        <f ca="1">IF(NOW(),_xll.meCurveForwardRatesFromYearFraction(P1380,Q1380,$Q$11,$Q$9,$Q$10))</f>
        <v>-3.7175485397107962E-3</v>
      </c>
      <c r="S1380" s="134" t="s">
        <v>4</v>
      </c>
    </row>
    <row r="1381" spans="1:19" x14ac:dyDescent="0.25">
      <c r="A1381" s="128">
        <v>1365</v>
      </c>
      <c r="B1381" s="133"/>
      <c r="C1381" s="149">
        <f ca="1">_xll.meDateFromTenor(C1380,"1D","FOLLOWING",$D$11,"NORMAL")</f>
        <v>44440</v>
      </c>
      <c r="D1381" s="20">
        <f ca="1">_xll.meDateFromTenor(C1381,"1D","Following",$D$11,"Normal")</f>
        <v>44441</v>
      </c>
      <c r="E1381" s="99">
        <f ca="1"/>
        <v>1.5275920734041657E-2</v>
      </c>
      <c r="F1381" s="161">
        <f ca="1">_xll.meCurveForwardRates(C1381,$D$9,$D$10)</f>
        <v>1.5392864920573235E-2</v>
      </c>
      <c r="G1381" s="7" t="s">
        <v>4</v>
      </c>
      <c r="H1381" s="149">
        <f t="shared" ca="1" si="42"/>
        <v>44440</v>
      </c>
      <c r="I1381" s="20">
        <f ca="1">_xll.meDateFromTenor(H1381,"3M","Following",$I$11,"Normal")</f>
        <v>44531</v>
      </c>
      <c r="J1381" s="150">
        <f ca="1"/>
        <v>1.9572484700528605E-2</v>
      </c>
      <c r="K1381" s="7" t="s">
        <v>4</v>
      </c>
      <c r="L1381" s="149" t="e">
        <f ca="1">_xll.meDateFromTenor(L1380,"1D","FOLLOWING",#REF!,"NORMAL")</f>
        <v>#VALUE!</v>
      </c>
      <c r="M1381" s="155">
        <f ca="1">_xll.meDateYearFraction(C1381,D1381,$M$11)</f>
        <v>2.7777777777777779E-3</v>
      </c>
      <c r="N1381" s="150">
        <f ca="1"/>
        <v>-2.4300000000065936E-3</v>
      </c>
      <c r="O1381" s="7" t="s">
        <v>4</v>
      </c>
      <c r="P1381" s="149">
        <f t="shared" ca="1" si="43"/>
        <v>44440</v>
      </c>
      <c r="Q1381" s="155">
        <f ca="1">_xll.meDateYearFraction(H1381,I1381,$Q$11,TRUE)</f>
        <v>0.25277777777777777</v>
      </c>
      <c r="R1381" s="150">
        <f ca="1">IF(NOW(),_xll.meCurveForwardRatesFromYearFraction(P1381,Q1381,$Q$11,$Q$9,$Q$10))</f>
        <v>3.986724430671054E-3</v>
      </c>
      <c r="S1381" s="134" t="s">
        <v>4</v>
      </c>
    </row>
    <row r="1382" spans="1:19" x14ac:dyDescent="0.25">
      <c r="A1382" s="128">
        <v>1366</v>
      </c>
      <c r="B1382" s="133"/>
      <c r="C1382" s="149">
        <f ca="1">_xll.meDateFromTenor(C1381,"1D","FOLLOWING",$D$11,"NORMAL")</f>
        <v>44441</v>
      </c>
      <c r="D1382" s="20">
        <f ca="1">_xll.meDateFromTenor(C1382,"1D","Following",$D$11,"Normal")</f>
        <v>44442</v>
      </c>
      <c r="E1382" s="99">
        <f ca="1"/>
        <v>1.5279290903700114E-2</v>
      </c>
      <c r="F1382" s="161">
        <f ca="1">_xll.meCurveForwardRates(C1382,$D$9,$D$10)</f>
        <v>1.5396286827346062E-2</v>
      </c>
      <c r="G1382" s="7" t="s">
        <v>4</v>
      </c>
      <c r="H1382" s="149">
        <f t="shared" ca="1" si="42"/>
        <v>44441</v>
      </c>
      <c r="I1382" s="20">
        <f ca="1">_xll.meDateFromTenor(H1382,"3M","Following",$I$11,"Normal")</f>
        <v>44532</v>
      </c>
      <c r="J1382" s="150">
        <f ca="1"/>
        <v>1.9576828314793022E-2</v>
      </c>
      <c r="K1382" s="7" t="s">
        <v>4</v>
      </c>
      <c r="L1382" s="149" t="e">
        <f ca="1">_xll.meDateFromTenor(L1381,"1D","FOLLOWING",#REF!,"NORMAL")</f>
        <v>#VALUE!</v>
      </c>
      <c r="M1382" s="155">
        <f ca="1">_xll.meDateYearFraction(C1382,D1382,$M$11)</f>
        <v>2.7777777777777779E-3</v>
      </c>
      <c r="N1382" s="150">
        <f ca="1"/>
        <v>-2.4300000000065936E-3</v>
      </c>
      <c r="O1382" s="7" t="s">
        <v>4</v>
      </c>
      <c r="P1382" s="149">
        <f t="shared" ca="1" si="43"/>
        <v>44441</v>
      </c>
      <c r="Q1382" s="155">
        <f ca="1">_xll.meDateYearFraction(H1382,I1382,$Q$11,TRUE)</f>
        <v>0.25277777777777777</v>
      </c>
      <c r="R1382" s="150">
        <f ca="1">IF(NOW(),_xll.meCurveForwardRatesFromYearFraction(P1382,Q1382,$Q$11,$Q$9,$Q$10))</f>
        <v>-3.7175485397107962E-3</v>
      </c>
      <c r="S1382" s="134" t="s">
        <v>4</v>
      </c>
    </row>
    <row r="1383" spans="1:19" x14ac:dyDescent="0.25">
      <c r="A1383" s="128">
        <v>1367</v>
      </c>
      <c r="B1383" s="133"/>
      <c r="C1383" s="149">
        <f ca="1">_xll.meDateFromTenor(C1382,"1D","FOLLOWING",$D$11,"NORMAL")</f>
        <v>44442</v>
      </c>
      <c r="D1383" s="20">
        <f ca="1">_xll.meDateFromTenor(C1383,"1D","Following",$D$11,"Normal")</f>
        <v>44446</v>
      </c>
      <c r="E1383" s="99">
        <f ca="1"/>
        <v>1.5288768723771327E-2</v>
      </c>
      <c r="F1383" s="161">
        <f ca="1">_xll.meCurveForwardRates(C1383,$D$9,$D$10)</f>
        <v>1.5399724694520556E-2</v>
      </c>
      <c r="G1383" s="7" t="s">
        <v>4</v>
      </c>
      <c r="H1383" s="149">
        <f t="shared" ca="1" si="42"/>
        <v>44442</v>
      </c>
      <c r="I1383" s="20">
        <f ca="1">_xll.meDateFromTenor(H1383,"3M","Following",$I$11,"Normal")</f>
        <v>44533</v>
      </c>
      <c r="J1383" s="150">
        <f ca="1"/>
        <v>1.9581167186960236E-2</v>
      </c>
      <c r="K1383" s="7" t="s">
        <v>4</v>
      </c>
      <c r="L1383" s="149" t="e">
        <f ca="1">_xll.meDateFromTenor(L1382,"1D","FOLLOWING",#REF!,"NORMAL")</f>
        <v>#VALUE!</v>
      </c>
      <c r="M1383" s="155">
        <f ca="1">_xll.meDateYearFraction(C1383,D1383,$M$11)</f>
        <v>1.1111111111111112E-2</v>
      </c>
      <c r="N1383" s="150">
        <f ca="1"/>
        <v>-2.4300000000065936E-3</v>
      </c>
      <c r="O1383" s="7" t="s">
        <v>4</v>
      </c>
      <c r="P1383" s="149">
        <f t="shared" ca="1" si="43"/>
        <v>44442</v>
      </c>
      <c r="Q1383" s="155">
        <f ca="1">_xll.meDateYearFraction(H1383,I1383,$Q$11,TRUE)</f>
        <v>0.25277777777777777</v>
      </c>
      <c r="R1383" s="150">
        <f ca="1">IF(NOW(),_xll.meCurveForwardRatesFromYearFraction(P1383,Q1383,$Q$11,$Q$9,$Q$10))</f>
        <v>-3.7175485397107962E-3</v>
      </c>
      <c r="S1383" s="134" t="s">
        <v>4</v>
      </c>
    </row>
    <row r="1384" spans="1:19" x14ac:dyDescent="0.25">
      <c r="A1384" s="128">
        <v>1368</v>
      </c>
      <c r="B1384" s="133"/>
      <c r="C1384" s="149">
        <f ca="1">_xll.meDateFromTenor(C1383,"1D","FOLLOWING",$D$11,"NORMAL")</f>
        <v>44446</v>
      </c>
      <c r="D1384" s="20">
        <f ca="1">_xll.meDateFromTenor(C1384,"1D","Following",$D$11,"Normal")</f>
        <v>44447</v>
      </c>
      <c r="E1384" s="99">
        <f ca="1"/>
        <v>1.5296377422779724E-2</v>
      </c>
      <c r="F1384" s="161">
        <f ca="1">_xll.meCurveForwardRates(C1384,$D$9,$D$10)</f>
        <v>1.5413635826844629E-2</v>
      </c>
      <c r="G1384" s="7" t="s">
        <v>4</v>
      </c>
      <c r="H1384" s="149">
        <f t="shared" ca="1" si="42"/>
        <v>44446</v>
      </c>
      <c r="I1384" s="20">
        <f ca="1">_xll.meDateFromTenor(H1384,"3M","Following",$I$11,"Normal")</f>
        <v>44537</v>
      </c>
      <c r="J1384" s="150">
        <f ca="1"/>
        <v>1.9598474949963519E-2</v>
      </c>
      <c r="K1384" s="7" t="s">
        <v>4</v>
      </c>
      <c r="L1384" s="149" t="e">
        <f ca="1">_xll.meDateFromTenor(L1383,"1D","FOLLOWING",#REF!,"NORMAL")</f>
        <v>#VALUE!</v>
      </c>
      <c r="M1384" s="155">
        <f ca="1">_xll.meDateYearFraction(C1384,D1384,$M$11)</f>
        <v>2.7777777777777779E-3</v>
      </c>
      <c r="N1384" s="150">
        <f ca="1"/>
        <v>-2.4300000000065936E-3</v>
      </c>
      <c r="O1384" s="7" t="s">
        <v>4</v>
      </c>
      <c r="P1384" s="149">
        <f t="shared" ca="1" si="43"/>
        <v>44446</v>
      </c>
      <c r="Q1384" s="155">
        <f ca="1">_xll.meDateYearFraction(H1384,I1384,$Q$11,TRUE)</f>
        <v>0.25277777777777777</v>
      </c>
      <c r="R1384" s="150">
        <f ca="1">IF(NOW(),_xll.meCurveForwardRatesFromYearFraction(P1384,Q1384,$Q$11,$Q$9,$Q$10))</f>
        <v>-3.7175485397107962E-3</v>
      </c>
      <c r="S1384" s="134" t="s">
        <v>4</v>
      </c>
    </row>
    <row r="1385" spans="1:19" x14ac:dyDescent="0.25">
      <c r="A1385" s="128">
        <v>1369</v>
      </c>
      <c r="B1385" s="133"/>
      <c r="C1385" s="149">
        <f ca="1">_xll.meDateFromTenor(C1384,"1D","FOLLOWING",$D$11,"NORMAL")</f>
        <v>44447</v>
      </c>
      <c r="D1385" s="20">
        <f ca="1">_xll.meDateFromTenor(C1385,"1D","Following",$D$11,"Normal")</f>
        <v>44448</v>
      </c>
      <c r="E1385" s="99">
        <f ca="1"/>
        <v>1.5299841879905797E-2</v>
      </c>
      <c r="F1385" s="161">
        <f ca="1">_xll.meCurveForwardRates(C1385,$D$9,$D$10)</f>
        <v>1.541715354046036E-2</v>
      </c>
      <c r="G1385" s="7" t="s">
        <v>4</v>
      </c>
      <c r="H1385" s="149">
        <f t="shared" ca="1" si="42"/>
        <v>44447</v>
      </c>
      <c r="I1385" s="20">
        <f ca="1">_xll.meDateFromTenor(H1385,"3M","Following",$I$11,"Normal")</f>
        <v>44538</v>
      </c>
      <c r="J1385" s="150">
        <f ca="1"/>
        <v>1.9602789883124569E-2</v>
      </c>
      <c r="K1385" s="7" t="s">
        <v>4</v>
      </c>
      <c r="L1385" s="149" t="e">
        <f ca="1">_xll.meDateFromTenor(L1384,"1D","FOLLOWING",#REF!,"NORMAL")</f>
        <v>#VALUE!</v>
      </c>
      <c r="M1385" s="155">
        <f ca="1">_xll.meDateYearFraction(C1385,D1385,$M$11)</f>
        <v>2.7777777777777779E-3</v>
      </c>
      <c r="N1385" s="150">
        <f ca="1"/>
        <v>-2.4300000000065936E-3</v>
      </c>
      <c r="O1385" s="7" t="s">
        <v>4</v>
      </c>
      <c r="P1385" s="149">
        <f t="shared" ca="1" si="43"/>
        <v>44447</v>
      </c>
      <c r="Q1385" s="155">
        <f ca="1">_xll.meDateYearFraction(H1385,I1385,$Q$11,TRUE)</f>
        <v>0.25277777777777777</v>
      </c>
      <c r="R1385" s="150">
        <f ca="1">IF(NOW(),_xll.meCurveForwardRatesFromYearFraction(P1385,Q1385,$Q$11,$Q$9,$Q$10))</f>
        <v>4.0503540914103636E-3</v>
      </c>
      <c r="S1385" s="134" t="s">
        <v>4</v>
      </c>
    </row>
    <row r="1386" spans="1:19" x14ac:dyDescent="0.25">
      <c r="A1386" s="128">
        <v>1370</v>
      </c>
      <c r="B1386" s="133"/>
      <c r="C1386" s="149">
        <f ca="1">_xll.meDateFromTenor(C1385,"1D","FOLLOWING",$D$11,"NORMAL")</f>
        <v>44448</v>
      </c>
      <c r="D1386" s="20">
        <f ca="1">_xll.meDateFromTenor(C1386,"1D","Following",$D$11,"Normal")</f>
        <v>44449</v>
      </c>
      <c r="E1386" s="99">
        <f ca="1"/>
        <v>1.5303322061164077E-2</v>
      </c>
      <c r="F1386" s="161">
        <f ca="1">_xll.meCurveForwardRates(C1386,$D$9,$D$10)</f>
        <v>1.5420687232158947E-2</v>
      </c>
      <c r="G1386" s="7" t="s">
        <v>4</v>
      </c>
      <c r="H1386" s="149">
        <f t="shared" ca="1" si="42"/>
        <v>44448</v>
      </c>
      <c r="I1386" s="20">
        <f ca="1">_xll.meDateFromTenor(H1386,"3M","Following",$I$11,"Normal")</f>
        <v>44539</v>
      </c>
      <c r="J1386" s="150">
        <f ca="1"/>
        <v>1.9607099982780363E-2</v>
      </c>
      <c r="K1386" s="7" t="s">
        <v>4</v>
      </c>
      <c r="L1386" s="149" t="e">
        <f ca="1">_xll.meDateFromTenor(L1385,"1D","FOLLOWING",#REF!,"NORMAL")</f>
        <v>#VALUE!</v>
      </c>
      <c r="M1386" s="155">
        <f ca="1">_xll.meDateYearFraction(C1386,D1386,$M$11)</f>
        <v>2.7777777777777779E-3</v>
      </c>
      <c r="N1386" s="150">
        <f ca="1"/>
        <v>-2.4300000000065936E-3</v>
      </c>
      <c r="O1386" s="7" t="s">
        <v>4</v>
      </c>
      <c r="P1386" s="149">
        <f t="shared" ca="1" si="43"/>
        <v>44448</v>
      </c>
      <c r="Q1386" s="155">
        <f ca="1">_xll.meDateYearFraction(H1386,I1386,$Q$11,TRUE)</f>
        <v>0.25277777777777777</v>
      </c>
      <c r="R1386" s="150">
        <f ca="1">IF(NOW(),_xll.meCurveForwardRatesFromYearFraction(P1386,Q1386,$Q$11,$Q$9,$Q$10))</f>
        <v>-3.7175485397107962E-3</v>
      </c>
      <c r="S1386" s="134" t="s">
        <v>4</v>
      </c>
    </row>
    <row r="1387" spans="1:19" x14ac:dyDescent="0.25">
      <c r="A1387" s="128">
        <v>1371</v>
      </c>
      <c r="B1387" s="133"/>
      <c r="C1387" s="149">
        <f ca="1">_xll.meDateFromTenor(C1386,"1D","FOLLOWING",$D$11,"NORMAL")</f>
        <v>44449</v>
      </c>
      <c r="D1387" s="20">
        <f ca="1">_xll.meDateFromTenor(C1387,"1D","Following",$D$11,"Normal")</f>
        <v>44452</v>
      </c>
      <c r="E1387" s="99">
        <f ca="1"/>
        <v>1.5310985989192876E-2</v>
      </c>
      <c r="F1387" s="161">
        <f ca="1">_xll.meCurveForwardRates(C1387,$D$9,$D$10)</f>
        <v>1.5424236904967525E-2</v>
      </c>
      <c r="G1387" s="7" t="s">
        <v>4</v>
      </c>
      <c r="H1387" s="149">
        <f t="shared" ca="1" si="42"/>
        <v>44449</v>
      </c>
      <c r="I1387" s="20">
        <f ca="1">_xll.meDateFromTenor(H1387,"3M","Following",$I$11,"Normal")</f>
        <v>44540</v>
      </c>
      <c r="J1387" s="150">
        <f ca="1"/>
        <v>1.9611405233696221E-2</v>
      </c>
      <c r="K1387" s="7" t="s">
        <v>4</v>
      </c>
      <c r="L1387" s="149" t="e">
        <f ca="1">_xll.meDateFromTenor(L1386,"1D","FOLLOWING",#REF!,"NORMAL")</f>
        <v>#VALUE!</v>
      </c>
      <c r="M1387" s="155">
        <f ca="1">_xll.meDateYearFraction(C1387,D1387,$M$11)</f>
        <v>8.3333333333333332E-3</v>
      </c>
      <c r="N1387" s="150">
        <f ca="1"/>
        <v>-2.4300000000065936E-3</v>
      </c>
      <c r="O1387" s="7" t="s">
        <v>4</v>
      </c>
      <c r="P1387" s="149">
        <f t="shared" ca="1" si="43"/>
        <v>44449</v>
      </c>
      <c r="Q1387" s="155">
        <f ca="1">_xll.meDateYearFraction(H1387,I1387,$Q$11,TRUE)</f>
        <v>0.25277777777777777</v>
      </c>
      <c r="R1387" s="150">
        <f ca="1">IF(NOW(),_xll.meCurveForwardRatesFromYearFraction(P1387,Q1387,$Q$11,$Q$9,$Q$10))</f>
        <v>-3.7175485397107962E-3</v>
      </c>
      <c r="S1387" s="134" t="s">
        <v>4</v>
      </c>
    </row>
    <row r="1388" spans="1:19" x14ac:dyDescent="0.25">
      <c r="A1388" s="128">
        <v>1372</v>
      </c>
      <c r="B1388" s="133"/>
      <c r="C1388" s="149">
        <f ca="1">_xll.meDateFromTenor(C1387,"1D","FOLLOWING",$D$11,"NORMAL")</f>
        <v>44452</v>
      </c>
      <c r="D1388" s="20">
        <f ca="1">_xll.meDateFromTenor(C1388,"1D","Following",$D$11,"Normal")</f>
        <v>44453</v>
      </c>
      <c r="E1388" s="99">
        <f ca="1"/>
        <v>1.5317400082552717E-2</v>
      </c>
      <c r="F1388" s="161">
        <f ca="1">_xll.meCurveForwardRates(C1388,$D$9,$D$10)</f>
        <v>1.5434981838999828E-2</v>
      </c>
      <c r="G1388" s="7" t="s">
        <v>4</v>
      </c>
      <c r="H1388" s="149">
        <f t="shared" ca="1" si="42"/>
        <v>44452</v>
      </c>
      <c r="I1388" s="20">
        <f ca="1">_xll.meDateFromTenor(H1388,"3M","Following",$I$11,"Normal")</f>
        <v>44543</v>
      </c>
      <c r="J1388" s="150">
        <f ca="1"/>
        <v>1.9624291741657415E-2</v>
      </c>
      <c r="K1388" s="7" t="s">
        <v>4</v>
      </c>
      <c r="L1388" s="149" t="e">
        <f ca="1">_xll.meDateFromTenor(L1387,"1D","FOLLOWING",#REF!,"NORMAL")</f>
        <v>#VALUE!</v>
      </c>
      <c r="M1388" s="155">
        <f ca="1">_xll.meDateYearFraction(C1388,D1388,$M$11)</f>
        <v>2.7777777777777779E-3</v>
      </c>
      <c r="N1388" s="150">
        <f ca="1"/>
        <v>-2.4300000000065936E-3</v>
      </c>
      <c r="O1388" s="7" t="s">
        <v>4</v>
      </c>
      <c r="P1388" s="149">
        <f t="shared" ca="1" si="43"/>
        <v>44452</v>
      </c>
      <c r="Q1388" s="155">
        <f ca="1">_xll.meDateYearFraction(H1388,I1388,$Q$11,TRUE)</f>
        <v>0.25277777777777777</v>
      </c>
      <c r="R1388" s="150">
        <f ca="1">IF(NOW(),_xll.meCurveForwardRatesFromYearFraction(P1388,Q1388,$Q$11,$Q$9,$Q$10))</f>
        <v>-3.7175485397107962E-3</v>
      </c>
      <c r="S1388" s="134" t="s">
        <v>4</v>
      </c>
    </row>
    <row r="1389" spans="1:19" x14ac:dyDescent="0.25">
      <c r="A1389" s="128">
        <v>1373</v>
      </c>
      <c r="B1389" s="133"/>
      <c r="C1389" s="149">
        <f ca="1">_xll.meDateFromTenor(C1388,"1D","FOLLOWING",$D$11,"NORMAL")</f>
        <v>44453</v>
      </c>
      <c r="D1389" s="20">
        <f ca="1">_xll.meDateFromTenor(C1389,"1D","Following",$D$11,"Normal")</f>
        <v>44454</v>
      </c>
      <c r="E1389" s="99">
        <f ca="1"/>
        <v>1.5320958925617861E-2</v>
      </c>
      <c r="F1389" s="161">
        <f ca="1">_xll.meCurveForwardRates(C1389,$D$9,$D$10)</f>
        <v>1.5438595465401495E-2</v>
      </c>
      <c r="G1389" s="7" t="s">
        <v>4</v>
      </c>
      <c r="H1389" s="149">
        <f t="shared" ca="1" si="42"/>
        <v>44453</v>
      </c>
      <c r="I1389" s="20">
        <f ca="1">_xll.meDateFromTenor(H1389,"3M","Following",$I$11,"Normal")</f>
        <v>44544</v>
      </c>
      <c r="J1389" s="150">
        <f ca="1"/>
        <v>1.9628577445266773E-2</v>
      </c>
      <c r="K1389" s="7" t="s">
        <v>4</v>
      </c>
      <c r="L1389" s="149" t="e">
        <f ca="1">_xll.meDateFromTenor(L1388,"1D","FOLLOWING",#REF!,"NORMAL")</f>
        <v>#VALUE!</v>
      </c>
      <c r="M1389" s="155">
        <f ca="1">_xll.meDateYearFraction(C1389,D1389,$M$11)</f>
        <v>2.7777777777777779E-3</v>
      </c>
      <c r="N1389" s="150">
        <f ca="1"/>
        <v>-2.4300000000065936E-3</v>
      </c>
      <c r="O1389" s="7" t="s">
        <v>4</v>
      </c>
      <c r="P1389" s="149">
        <f t="shared" ca="1" si="43"/>
        <v>44453</v>
      </c>
      <c r="Q1389" s="155">
        <f ca="1">_xll.meDateYearFraction(H1389,I1389,$Q$11,TRUE)</f>
        <v>0.25277777777777777</v>
      </c>
      <c r="R1389" s="150">
        <f ca="1">IF(NOW(),_xll.meCurveForwardRatesFromYearFraction(P1389,Q1389,$Q$11,$Q$9,$Q$10))</f>
        <v>4.1058141903651604E-3</v>
      </c>
      <c r="S1389" s="134" t="s">
        <v>4</v>
      </c>
    </row>
    <row r="1390" spans="1:19" x14ac:dyDescent="0.25">
      <c r="A1390" s="128">
        <v>1374</v>
      </c>
      <c r="B1390" s="133"/>
      <c r="C1390" s="149">
        <f ca="1">_xll.meDateFromTenor(C1389,"1D","FOLLOWING",$D$11,"NORMAL")</f>
        <v>44454</v>
      </c>
      <c r="D1390" s="20">
        <f ca="1">_xll.meDateFromTenor(C1390,"1D","Following",$D$11,"Normal")</f>
        <v>44455</v>
      </c>
      <c r="E1390" s="99">
        <f ca="1"/>
        <v>1.5324533509361962E-2</v>
      </c>
      <c r="F1390" s="161">
        <f ca="1">_xll.meCurveForwardRates(C1390,$D$9,$D$10)</f>
        <v>1.5442225087696881E-2</v>
      </c>
      <c r="G1390" s="7" t="s">
        <v>4</v>
      </c>
      <c r="H1390" s="149">
        <f t="shared" ca="1" si="42"/>
        <v>44454</v>
      </c>
      <c r="I1390" s="20">
        <f ca="1">_xll.meDateFromTenor(H1390,"3M","Following",$I$11,"Normal")</f>
        <v>44545</v>
      </c>
      <c r="J1390" s="150">
        <f ca="1"/>
        <v>1.9632858223962806E-2</v>
      </c>
      <c r="K1390" s="7" t="s">
        <v>4</v>
      </c>
      <c r="L1390" s="149" t="e">
        <f ca="1">_xll.meDateFromTenor(L1389,"1D","FOLLOWING",#REF!,"NORMAL")</f>
        <v>#VALUE!</v>
      </c>
      <c r="M1390" s="155">
        <f ca="1">_xll.meDateYearFraction(C1390,D1390,$M$11)</f>
        <v>2.7777777777777779E-3</v>
      </c>
      <c r="N1390" s="150">
        <f ca="1"/>
        <v>-2.4300000000065936E-3</v>
      </c>
      <c r="O1390" s="7" t="s">
        <v>4</v>
      </c>
      <c r="P1390" s="149">
        <f t="shared" ca="1" si="43"/>
        <v>44454</v>
      </c>
      <c r="Q1390" s="155">
        <f ca="1">_xll.meDateYearFraction(H1390,I1390,$Q$11,TRUE)</f>
        <v>0.25277777777777777</v>
      </c>
      <c r="R1390" s="150">
        <f ca="1">IF(NOW(),_xll.meCurveForwardRatesFromYearFraction(P1390,Q1390,$Q$11,$Q$9,$Q$10))</f>
        <v>-3.7175485397107962E-3</v>
      </c>
      <c r="S1390" s="134" t="s">
        <v>4</v>
      </c>
    </row>
    <row r="1391" spans="1:19" x14ac:dyDescent="0.25">
      <c r="A1391" s="128">
        <v>1375</v>
      </c>
      <c r="B1391" s="133"/>
      <c r="C1391" s="149">
        <f ca="1">_xll.meDateFromTenor(C1390,"1D","FOLLOWING",$D$11,"NORMAL")</f>
        <v>44455</v>
      </c>
      <c r="D1391" s="20">
        <f ca="1">_xll.meDateFromTenor(C1391,"1D","Following",$D$11,"Normal")</f>
        <v>44456</v>
      </c>
      <c r="E1391" s="99">
        <f ca="1"/>
        <v>1.5328123836522441E-2</v>
      </c>
      <c r="F1391" s="161">
        <f ca="1">_xll.meCurveForwardRates(C1391,$D$9,$D$10)</f>
        <v>1.5445870708836518E-2</v>
      </c>
      <c r="G1391" s="7" t="s">
        <v>4</v>
      </c>
      <c r="H1391" s="149">
        <f t="shared" ca="1" si="42"/>
        <v>44455</v>
      </c>
      <c r="I1391" s="20">
        <f ca="1">_xll.meDateFromTenor(H1391,"3M","Following",$I$11,"Normal")</f>
        <v>44546</v>
      </c>
      <c r="J1391" s="150">
        <f ca="1"/>
        <v>1.9637134062510858E-2</v>
      </c>
      <c r="K1391" s="7" t="s">
        <v>4</v>
      </c>
      <c r="L1391" s="149" t="e">
        <f ca="1">_xll.meDateFromTenor(L1390,"1D","FOLLOWING",#REF!,"NORMAL")</f>
        <v>#VALUE!</v>
      </c>
      <c r="M1391" s="155">
        <f ca="1">_xll.meDateYearFraction(C1391,D1391,$M$11)</f>
        <v>2.7777777777777779E-3</v>
      </c>
      <c r="N1391" s="150">
        <f ca="1"/>
        <v>-2.4300000000065936E-3</v>
      </c>
      <c r="O1391" s="7" t="s">
        <v>4</v>
      </c>
      <c r="P1391" s="149">
        <f t="shared" ca="1" si="43"/>
        <v>44455</v>
      </c>
      <c r="Q1391" s="155">
        <f ca="1">_xll.meDateYearFraction(H1391,I1391,$Q$11,TRUE)</f>
        <v>0.25277777777777777</v>
      </c>
      <c r="R1391" s="150">
        <f ca="1">IF(NOW(),_xll.meCurveForwardRatesFromYearFraction(P1391,Q1391,$Q$11,$Q$9,$Q$10))</f>
        <v>4.124474082263737E-3</v>
      </c>
      <c r="S1391" s="134" t="s">
        <v>4</v>
      </c>
    </row>
    <row r="1392" spans="1:19" x14ac:dyDescent="0.25">
      <c r="A1392" s="128">
        <v>1376</v>
      </c>
      <c r="B1392" s="133"/>
      <c r="C1392" s="149">
        <f ca="1">_xll.meDateFromTenor(C1391,"1D","FOLLOWING",$D$11,"NORMAL")</f>
        <v>44456</v>
      </c>
      <c r="D1392" s="20">
        <f ca="1">_xll.meDateFromTenor(C1392,"1D","Following",$D$11,"Normal")</f>
        <v>44459</v>
      </c>
      <c r="E1392" s="99">
        <f ca="1"/>
        <v>1.53360102503345E-2</v>
      </c>
      <c r="F1392" s="161">
        <f ca="1">_xll.meCurveForwardRates(C1392,$D$9,$D$10)</f>
        <v>1.5449532331569538E-2</v>
      </c>
      <c r="G1392" s="7" t="s">
        <v>4</v>
      </c>
      <c r="H1392" s="149">
        <f t="shared" ca="1" si="42"/>
        <v>44456</v>
      </c>
      <c r="I1392" s="20">
        <f ca="1">_xll.meDateFromTenor(H1392,"3M","Following",$I$11,"Normal")</f>
        <v>44547</v>
      </c>
      <c r="J1392" s="150">
        <f ca="1"/>
        <v>1.964140494567624E-2</v>
      </c>
      <c r="K1392" s="7" t="s">
        <v>4</v>
      </c>
      <c r="L1392" s="149" t="e">
        <f ca="1">_xll.meDateFromTenor(L1391,"1D","FOLLOWING",#REF!,"NORMAL")</f>
        <v>#VALUE!</v>
      </c>
      <c r="M1392" s="155">
        <f ca="1">_xll.meDateYearFraction(C1392,D1392,$M$11)</f>
        <v>8.3333333333333332E-3</v>
      </c>
      <c r="N1392" s="150">
        <f ca="1"/>
        <v>-2.4300000000065936E-3</v>
      </c>
      <c r="O1392" s="7" t="s">
        <v>4</v>
      </c>
      <c r="P1392" s="149">
        <f t="shared" ca="1" si="43"/>
        <v>44456</v>
      </c>
      <c r="Q1392" s="155">
        <f ca="1">_xll.meDateYearFraction(H1392,I1392,$Q$11,TRUE)</f>
        <v>0.25277777777777777</v>
      </c>
      <c r="R1392" s="150">
        <f ca="1">IF(NOW(),_xll.meCurveForwardRatesFromYearFraction(P1392,Q1392,$Q$11,$Q$9,$Q$10))</f>
        <v>-3.7175485397107962E-3</v>
      </c>
      <c r="S1392" s="134" t="s">
        <v>4</v>
      </c>
    </row>
    <row r="1393" spans="1:19" x14ac:dyDescent="0.25">
      <c r="A1393" s="128">
        <v>1377</v>
      </c>
      <c r="B1393" s="133"/>
      <c r="C1393" s="149">
        <f ca="1">_xll.meDateFromTenor(C1392,"1D","FOLLOWING",$D$11,"NORMAL")</f>
        <v>44459</v>
      </c>
      <c r="D1393" s="20">
        <f ca="1">_xll.meDateFromTenor(C1393,"1D","Following",$D$11,"Normal")</f>
        <v>44460</v>
      </c>
      <c r="E1393" s="99">
        <f ca="1"/>
        <v>1.5342642633487122E-2</v>
      </c>
      <c r="F1393" s="161">
        <f ca="1">_xll.meCurveForwardRates(C1393,$D$9,$D$10)</f>
        <v>1.5460613240277032E-2</v>
      </c>
      <c r="G1393" s="7" t="s">
        <v>4</v>
      </c>
      <c r="H1393" s="149">
        <f t="shared" ca="1" si="42"/>
        <v>44459</v>
      </c>
      <c r="I1393" s="20">
        <f ca="1">_xll.meDateFromTenor(H1393,"3M","Following",$I$11,"Normal")</f>
        <v>44550</v>
      </c>
      <c r="J1393" s="150">
        <f ca="1"/>
        <v>1.9654187710529621E-2</v>
      </c>
      <c r="K1393" s="7" t="s">
        <v>4</v>
      </c>
      <c r="L1393" s="149" t="e">
        <f ca="1">_xll.meDateFromTenor(L1392,"1D","FOLLOWING",#REF!,"NORMAL")</f>
        <v>#VALUE!</v>
      </c>
      <c r="M1393" s="155">
        <f ca="1">_xll.meDateYearFraction(C1393,D1393,$M$11)</f>
        <v>2.7777777777777779E-3</v>
      </c>
      <c r="N1393" s="150">
        <f ca="1"/>
        <v>-2.4300000000065936E-3</v>
      </c>
      <c r="O1393" s="7" t="s">
        <v>4</v>
      </c>
      <c r="P1393" s="149">
        <f t="shared" ca="1" si="43"/>
        <v>44459</v>
      </c>
      <c r="Q1393" s="155">
        <f ca="1">_xll.meDateYearFraction(H1393,I1393,$Q$11,TRUE)</f>
        <v>0.25277777777777777</v>
      </c>
      <c r="R1393" s="150">
        <f ca="1">IF(NOW(),_xll.meCurveForwardRatesFromYearFraction(P1393,Q1393,$Q$11,$Q$9,$Q$10))</f>
        <v>4.162034927650899E-3</v>
      </c>
      <c r="S1393" s="134" t="s">
        <v>4</v>
      </c>
    </row>
    <row r="1394" spans="1:19" x14ac:dyDescent="0.25">
      <c r="A1394" s="128">
        <v>1378</v>
      </c>
      <c r="B1394" s="133"/>
      <c r="C1394" s="149">
        <f ca="1">_xll.meDateFromTenor(C1393,"1D","FOLLOWING",$D$11,"NORMAL")</f>
        <v>44460</v>
      </c>
      <c r="D1394" s="20">
        <f ca="1">_xll.meDateFromTenor(C1394,"1D","Following",$D$11,"Normal")</f>
        <v>44461</v>
      </c>
      <c r="E1394" s="99">
        <f ca="1"/>
        <v>1.5346311718597948E-2</v>
      </c>
      <c r="F1394" s="161">
        <f ca="1">_xll.meCurveForwardRates(C1394,$D$9,$D$10)</f>
        <v>1.5464338899727759E-2</v>
      </c>
      <c r="G1394" s="7" t="s">
        <v>4</v>
      </c>
      <c r="H1394" s="149">
        <f t="shared" ca="1" si="42"/>
        <v>44460</v>
      </c>
      <c r="I1394" s="20">
        <f ca="1">_xll.meDateFromTenor(H1394,"3M","Following",$I$11,"Normal")</f>
        <v>44551</v>
      </c>
      <c r="J1394" s="150">
        <f ca="1"/>
        <v>1.9658438619817576E-2</v>
      </c>
      <c r="K1394" s="7" t="s">
        <v>4</v>
      </c>
      <c r="L1394" s="149" t="e">
        <f ca="1">_xll.meDateFromTenor(L1393,"1D","FOLLOWING",#REF!,"NORMAL")</f>
        <v>#VALUE!</v>
      </c>
      <c r="M1394" s="155">
        <f ca="1">_xll.meDateYearFraction(C1394,D1394,$M$11)</f>
        <v>2.7777777777777779E-3</v>
      </c>
      <c r="N1394" s="150">
        <f ca="1"/>
        <v>-2.4300000000065936E-3</v>
      </c>
      <c r="O1394" s="7" t="s">
        <v>4</v>
      </c>
      <c r="P1394" s="149">
        <f t="shared" ca="1" si="43"/>
        <v>44460</v>
      </c>
      <c r="Q1394" s="155">
        <f ca="1">_xll.meDateYearFraction(H1394,I1394,$Q$11,TRUE)</f>
        <v>0.25277777777777777</v>
      </c>
      <c r="R1394" s="150">
        <f ca="1">IF(NOW(),_xll.meCurveForwardRatesFromYearFraction(P1394,Q1394,$Q$11,$Q$9,$Q$10))</f>
        <v>-3.7175485397107962E-3</v>
      </c>
      <c r="S1394" s="134" t="s">
        <v>4</v>
      </c>
    </row>
    <row r="1395" spans="1:19" x14ac:dyDescent="0.25">
      <c r="A1395" s="128">
        <v>1379</v>
      </c>
      <c r="B1395" s="133"/>
      <c r="C1395" s="149">
        <f ca="1">_xll.meDateFromTenor(C1394,"1D","FOLLOWING",$D$11,"NORMAL")</f>
        <v>44461</v>
      </c>
      <c r="D1395" s="20">
        <f ca="1">_xll.meDateFromTenor(C1395,"1D","Following",$D$11,"Normal")</f>
        <v>44462</v>
      </c>
      <c r="E1395" s="99">
        <f ca="1"/>
        <v>1.5349996563751866E-2</v>
      </c>
      <c r="F1395" s="161">
        <f ca="1">_xll.meCurveForwardRates(C1395,$D$9,$D$10)</f>
        <v>1.5468080575947951E-2</v>
      </c>
      <c r="G1395" s="7" t="s">
        <v>4</v>
      </c>
      <c r="H1395" s="149">
        <f t="shared" ca="1" si="42"/>
        <v>44461</v>
      </c>
      <c r="I1395" s="20">
        <f ca="1">_xll.meDateFromTenor(H1395,"3M","Following",$I$11,"Normal")</f>
        <v>44552</v>
      </c>
      <c r="J1395" s="150">
        <f ca="1"/>
        <v>1.9662684497549484E-2</v>
      </c>
      <c r="K1395" s="7" t="s">
        <v>4</v>
      </c>
      <c r="L1395" s="149" t="e">
        <f ca="1">_xll.meDateFromTenor(L1394,"1D","FOLLOWING",#REF!,"NORMAL")</f>
        <v>#VALUE!</v>
      </c>
      <c r="M1395" s="155">
        <f ca="1">_xll.meDateYearFraction(C1395,D1395,$M$11)</f>
        <v>2.7777777777777779E-3</v>
      </c>
      <c r="N1395" s="150">
        <f ca="1"/>
        <v>-2.4300000000065936E-3</v>
      </c>
      <c r="O1395" s="7" t="s">
        <v>4</v>
      </c>
      <c r="P1395" s="149">
        <f t="shared" ca="1" si="43"/>
        <v>44461</v>
      </c>
      <c r="Q1395" s="155">
        <f ca="1">_xll.meDateYearFraction(H1395,I1395,$Q$11,TRUE)</f>
        <v>0.25277777777777777</v>
      </c>
      <c r="R1395" s="150">
        <f ca="1">IF(NOW(),_xll.meCurveForwardRatesFromYearFraction(P1395,Q1395,$Q$11,$Q$9,$Q$10))</f>
        <v>4.1809296388793269E-3</v>
      </c>
      <c r="S1395" s="134" t="s">
        <v>4</v>
      </c>
    </row>
    <row r="1396" spans="1:19" x14ac:dyDescent="0.25">
      <c r="A1396" s="128">
        <v>1380</v>
      </c>
      <c r="B1396" s="133"/>
      <c r="C1396" s="149">
        <f ca="1">_xll.meDateFromTenor(C1395,"1D","FOLLOWING",$D$11,"NORMAL")</f>
        <v>44462</v>
      </c>
      <c r="D1396" s="20">
        <f ca="1">_xll.meDateFromTenor(C1396,"1D","Following",$D$11,"Normal")</f>
        <v>44463</v>
      </c>
      <c r="E1396" s="99">
        <f ca="1"/>
        <v>1.5353697171407263E-2</v>
      </c>
      <c r="F1396" s="161">
        <f ca="1">_xll.meCurveForwardRates(C1396,$D$9,$D$10)</f>
        <v>1.5471838271610361E-2</v>
      </c>
      <c r="G1396" s="7" t="s">
        <v>4</v>
      </c>
      <c r="H1396" s="149">
        <f t="shared" ca="1" si="42"/>
        <v>44462</v>
      </c>
      <c r="I1396" s="20">
        <f ca="1">_xll.meDateFromTenor(H1396,"3M","Following",$I$11,"Normal")</f>
        <v>44553</v>
      </c>
      <c r="J1396" s="150">
        <f ca="1"/>
        <v>1.966692532849067E-2</v>
      </c>
      <c r="K1396" s="7" t="s">
        <v>4</v>
      </c>
      <c r="L1396" s="149" t="e">
        <f ca="1">_xll.meDateFromTenor(L1395,"1D","FOLLOWING",#REF!,"NORMAL")</f>
        <v>#VALUE!</v>
      </c>
      <c r="M1396" s="155">
        <f ca="1">_xll.meDateYearFraction(C1396,D1396,$M$11)</f>
        <v>2.7777777777777779E-3</v>
      </c>
      <c r="N1396" s="150">
        <f ca="1"/>
        <v>-2.4300000000065936E-3</v>
      </c>
      <c r="O1396" s="7" t="s">
        <v>4</v>
      </c>
      <c r="P1396" s="149">
        <f t="shared" ca="1" si="43"/>
        <v>44462</v>
      </c>
      <c r="Q1396" s="155">
        <f ca="1">_xll.meDateYearFraction(H1396,I1396,$Q$11,TRUE)</f>
        <v>0.25277777777777777</v>
      </c>
      <c r="R1396" s="150">
        <f ca="1">IF(NOW(),_xll.meCurveForwardRatesFromYearFraction(P1396,Q1396,$Q$11,$Q$9,$Q$10))</f>
        <v>-3.7175485397107962E-3</v>
      </c>
      <c r="S1396" s="134" t="s">
        <v>4</v>
      </c>
    </row>
    <row r="1397" spans="1:19" x14ac:dyDescent="0.25">
      <c r="A1397" s="128">
        <v>1381</v>
      </c>
      <c r="B1397" s="133"/>
      <c r="C1397" s="149">
        <f ca="1">_xll.meDateFromTenor(C1396,"1D","FOLLOWING",$D$11,"NORMAL")</f>
        <v>44463</v>
      </c>
      <c r="D1397" s="20">
        <f ca="1">_xll.meDateFromTenor(C1397,"1D","Following",$D$11,"Normal")</f>
        <v>44466</v>
      </c>
      <c r="E1397" s="99">
        <f ca="1"/>
        <v>1.5361806410370866E-2</v>
      </c>
      <c r="F1397" s="161">
        <f ca="1">_xll.meCurveForwardRates(C1397,$D$9,$D$10)</f>
        <v>1.547561198983427E-2</v>
      </c>
      <c r="G1397" s="7" t="s">
        <v>4</v>
      </c>
      <c r="H1397" s="149">
        <f t="shared" ca="1" si="42"/>
        <v>44463</v>
      </c>
      <c r="I1397" s="20">
        <f ca="1">_xll.meDateFromTenor(H1397,"3M","Following",$I$11,"Normal")</f>
        <v>44554</v>
      </c>
      <c r="J1397" s="150">
        <f ca="1"/>
        <v>1.9671161097406454E-2</v>
      </c>
      <c r="K1397" s="7" t="s">
        <v>4</v>
      </c>
      <c r="L1397" s="149" t="e">
        <f ca="1">_xll.meDateFromTenor(L1396,"1D","FOLLOWING",#REF!,"NORMAL")</f>
        <v>#VALUE!</v>
      </c>
      <c r="M1397" s="155">
        <f ca="1">_xll.meDateYearFraction(C1397,D1397,$M$11)</f>
        <v>8.3333333333333332E-3</v>
      </c>
      <c r="N1397" s="150">
        <f ca="1"/>
        <v>-2.4300000000065936E-3</v>
      </c>
      <c r="O1397" s="7" t="s">
        <v>4</v>
      </c>
      <c r="P1397" s="149">
        <f t="shared" ca="1" si="43"/>
        <v>44463</v>
      </c>
      <c r="Q1397" s="155">
        <f ca="1">_xll.meDateYearFraction(H1397,I1397,$Q$11,TRUE)</f>
        <v>0.25277777777777777</v>
      </c>
      <c r="R1397" s="150">
        <f ca="1">IF(NOW(),_xll.meCurveForwardRatesFromYearFraction(P1397,Q1397,$Q$11,$Q$9,$Q$10))</f>
        <v>4.1998963809575466E-3</v>
      </c>
      <c r="S1397" s="134" t="s">
        <v>4</v>
      </c>
    </row>
    <row r="1398" spans="1:19" x14ac:dyDescent="0.25">
      <c r="A1398" s="128">
        <v>1382</v>
      </c>
      <c r="B1398" s="133"/>
      <c r="C1398" s="149">
        <f ca="1">_xll.meDateFromTenor(C1397,"1D","FOLLOWING",$D$11,"NORMAL")</f>
        <v>44466</v>
      </c>
      <c r="D1398" s="20">
        <f ca="1">_xll.meDateFromTenor(C1398,"1D","Following",$D$11,"Normal")</f>
        <v>44467</v>
      </c>
      <c r="E1398" s="99">
        <f ca="1"/>
        <v>1.5368657284155858E-2</v>
      </c>
      <c r="F1398" s="161">
        <f ca="1">_xll.meCurveForwardRates(C1398,$D$9,$D$10)</f>
        <v>1.5487029310232714E-2</v>
      </c>
      <c r="G1398" s="7" t="s">
        <v>4</v>
      </c>
      <c r="H1398" s="149">
        <f t="shared" ca="1" si="42"/>
        <v>44466</v>
      </c>
      <c r="I1398" s="20">
        <f ca="1">_xll.meDateFromTenor(H1398,"3M","Following",$I$11,"Normal")</f>
        <v>44559</v>
      </c>
      <c r="J1398" s="150">
        <f ca="1"/>
        <v>1.9683837879654671E-2</v>
      </c>
      <c r="K1398" s="7" t="s">
        <v>4</v>
      </c>
      <c r="L1398" s="149" t="e">
        <f ca="1">_xll.meDateFromTenor(L1397,"1D","FOLLOWING",#REF!,"NORMAL")</f>
        <v>#VALUE!</v>
      </c>
      <c r="M1398" s="155">
        <f ca="1">_xll.meDateYearFraction(C1398,D1398,$M$11)</f>
        <v>2.7777777777777779E-3</v>
      </c>
      <c r="N1398" s="150">
        <f ca="1"/>
        <v>-2.4300000000065936E-3</v>
      </c>
      <c r="O1398" s="7" t="s">
        <v>4</v>
      </c>
      <c r="P1398" s="149">
        <f t="shared" ca="1" si="43"/>
        <v>44466</v>
      </c>
      <c r="Q1398" s="155">
        <f ca="1">_xll.meDateYearFraction(H1398,I1398,$Q$11,TRUE)</f>
        <v>0.25833333333333336</v>
      </c>
      <c r="R1398" s="150">
        <f ca="1">IF(NOW(),_xll.meCurveForwardRatesFromYearFraction(P1398,Q1398,$Q$11,$Q$9,$Q$10))</f>
        <v>-3.7175485397107962E-3</v>
      </c>
      <c r="S1398" s="134" t="s">
        <v>4</v>
      </c>
    </row>
    <row r="1399" spans="1:19" x14ac:dyDescent="0.25">
      <c r="A1399" s="128">
        <v>1383</v>
      </c>
      <c r="B1399" s="133"/>
      <c r="C1399" s="149">
        <f ca="1">_xll.meDateFromTenor(C1398,"1D","FOLLOWING",$D$11,"NORMAL")</f>
        <v>44467</v>
      </c>
      <c r="D1399" s="20">
        <f ca="1">_xll.meDateFromTenor(C1399,"1D","Following",$D$11,"Normal")</f>
        <v>44468</v>
      </c>
      <c r="E1399" s="99">
        <f ca="1"/>
        <v>1.5372436746583798E-2</v>
      </c>
      <c r="F1399" s="161">
        <f ca="1">_xll.meCurveForwardRates(C1399,$D$9,$D$10)</f>
        <v>1.5490867148698406E-2</v>
      </c>
      <c r="G1399" s="7" t="s">
        <v>4</v>
      </c>
      <c r="H1399" s="149">
        <f t="shared" ca="1" si="42"/>
        <v>44467</v>
      </c>
      <c r="I1399" s="20">
        <f ca="1">_xll.meDateFromTenor(H1399,"3M","Following",$I$11,"Normal")</f>
        <v>44559</v>
      </c>
      <c r="J1399" s="150">
        <f ca="1"/>
        <v>1.9688053248122103E-2</v>
      </c>
      <c r="K1399" s="7" t="s">
        <v>4</v>
      </c>
      <c r="L1399" s="149" t="e">
        <f ca="1">_xll.meDateFromTenor(L1398,"1D","FOLLOWING",#REF!,"NORMAL")</f>
        <v>#VALUE!</v>
      </c>
      <c r="M1399" s="155">
        <f ca="1">_xll.meDateYearFraction(C1399,D1399,$M$11)</f>
        <v>2.7777777777777779E-3</v>
      </c>
      <c r="N1399" s="150">
        <f ca="1"/>
        <v>-2.4300000000065936E-3</v>
      </c>
      <c r="O1399" s="7" t="s">
        <v>4</v>
      </c>
      <c r="P1399" s="149">
        <f t="shared" ca="1" si="43"/>
        <v>44467</v>
      </c>
      <c r="Q1399" s="155">
        <f ca="1">_xll.meDateYearFraction(H1399,I1399,$Q$11,TRUE)</f>
        <v>0.25555555555555554</v>
      </c>
      <c r="R1399" s="150">
        <f ca="1">IF(NOW(),_xll.meCurveForwardRatesFromYearFraction(P1399,Q1399,$Q$11,$Q$9,$Q$10))</f>
        <v>-3.7175485397107962E-3</v>
      </c>
      <c r="S1399" s="134" t="s">
        <v>4</v>
      </c>
    </row>
    <row r="1400" spans="1:19" x14ac:dyDescent="0.25">
      <c r="A1400" s="128">
        <v>1384</v>
      </c>
      <c r="B1400" s="133"/>
      <c r="C1400" s="149">
        <f ca="1">_xll.meDateFromTenor(C1399,"1D","FOLLOWING",$D$11,"NORMAL")</f>
        <v>44468</v>
      </c>
      <c r="D1400" s="20">
        <f ca="1">_xll.meDateFromTenor(C1400,"1D","Following",$D$11,"Normal")</f>
        <v>44469</v>
      </c>
      <c r="E1400" s="99">
        <f ca="1"/>
        <v>1.5376231988299776E-2</v>
      </c>
      <c r="F1400" s="161">
        <f ca="1">_xll.meCurveForwardRates(C1400,$D$9,$D$10)</f>
        <v>1.5494721024727154E-2</v>
      </c>
      <c r="G1400" s="7" t="s">
        <v>4</v>
      </c>
      <c r="H1400" s="149">
        <f t="shared" ca="1" si="42"/>
        <v>44468</v>
      </c>
      <c r="I1400" s="20">
        <f ca="1">_xll.meDateFromTenor(H1400,"3M","Following",$I$11,"Normal")</f>
        <v>44559</v>
      </c>
      <c r="J1400" s="150">
        <f ca="1"/>
        <v>1.9692263478390763E-2</v>
      </c>
      <c r="K1400" s="7" t="s">
        <v>4</v>
      </c>
      <c r="L1400" s="149" t="e">
        <f ca="1">_xll.meDateFromTenor(L1399,"1D","FOLLOWING",#REF!,"NORMAL")</f>
        <v>#VALUE!</v>
      </c>
      <c r="M1400" s="155">
        <f ca="1">_xll.meDateYearFraction(C1400,D1400,$M$11)</f>
        <v>2.7777777777777779E-3</v>
      </c>
      <c r="N1400" s="150">
        <f ca="1"/>
        <v>-2.4300000000065936E-3</v>
      </c>
      <c r="O1400" s="7" t="s">
        <v>4</v>
      </c>
      <c r="P1400" s="149">
        <f t="shared" ca="1" si="43"/>
        <v>44468</v>
      </c>
      <c r="Q1400" s="155">
        <f ca="1">_xll.meDateYearFraction(H1400,I1400,$Q$11,TRUE)</f>
        <v>0.25277777777777777</v>
      </c>
      <c r="R1400" s="150">
        <f ca="1">IF(NOW(),_xll.meCurveForwardRatesFromYearFraction(P1400,Q1400,$Q$11,$Q$9,$Q$10))</f>
        <v>-3.7175485397107962E-3</v>
      </c>
      <c r="S1400" s="134" t="s">
        <v>4</v>
      </c>
    </row>
    <row r="1401" spans="1:19" x14ac:dyDescent="0.25">
      <c r="A1401" s="128">
        <v>1385</v>
      </c>
      <c r="B1401" s="133"/>
      <c r="C1401" s="149">
        <f ca="1">_xll.meDateFromTenor(C1400,"1D","FOLLOWING",$D$11,"NORMAL")</f>
        <v>44469</v>
      </c>
      <c r="D1401" s="20">
        <f ca="1">_xll.meDateFromTenor(C1401,"1D","Following",$D$11,"Normal")</f>
        <v>44470</v>
      </c>
      <c r="E1401" s="99">
        <f ca="1"/>
        <v>1.5380043012201155E-2</v>
      </c>
      <c r="F1401" s="161">
        <f ca="1">_xll.meCurveForwardRates(C1401,$D$9,$D$10)</f>
        <v>1.5498590941443569E-2</v>
      </c>
      <c r="G1401" s="7" t="s">
        <v>4</v>
      </c>
      <c r="H1401" s="149">
        <f t="shared" ca="1" si="42"/>
        <v>44469</v>
      </c>
      <c r="I1401" s="20">
        <f ca="1">_xll.meDateFromTenor(H1401,"3M","Following",$I$11,"Normal")</f>
        <v>44560</v>
      </c>
      <c r="J1401" s="150">
        <f ca="1"/>
        <v>1.9696468555225968E-2</v>
      </c>
      <c r="K1401" s="7" t="s">
        <v>4</v>
      </c>
      <c r="L1401" s="149" t="e">
        <f ca="1">_xll.meDateFromTenor(L1400,"1D","FOLLOWING",#REF!,"NORMAL")</f>
        <v>#VALUE!</v>
      </c>
      <c r="M1401" s="155">
        <f ca="1">_xll.meDateYearFraction(C1401,D1401,$M$11)</f>
        <v>2.7777777777777779E-3</v>
      </c>
      <c r="N1401" s="150">
        <f ca="1"/>
        <v>-2.4300000000065936E-3</v>
      </c>
      <c r="O1401" s="7" t="s">
        <v>4</v>
      </c>
      <c r="P1401" s="149">
        <f t="shared" ca="1" si="43"/>
        <v>44469</v>
      </c>
      <c r="Q1401" s="155">
        <f ca="1">_xll.meDateYearFraction(H1401,I1401,$Q$11,TRUE)</f>
        <v>0.25277777777777777</v>
      </c>
      <c r="R1401" s="150">
        <f ca="1">IF(NOW(),_xll.meCurveForwardRatesFromYearFraction(P1401,Q1401,$Q$11,$Q$9,$Q$10))</f>
        <v>4.2571975809902003E-3</v>
      </c>
      <c r="S1401" s="134" t="s">
        <v>4</v>
      </c>
    </row>
    <row r="1402" spans="1:19" x14ac:dyDescent="0.25">
      <c r="A1402" s="128">
        <v>1386</v>
      </c>
      <c r="B1402" s="133"/>
      <c r="C1402" s="149">
        <f ca="1">_xll.meDateFromTenor(C1401,"1D","FOLLOWING",$D$11,"NORMAL")</f>
        <v>44470</v>
      </c>
      <c r="D1402" s="20">
        <f ca="1">_xll.meDateFromTenor(C1402,"1D","Following",$D$11,"Normal")</f>
        <v>44473</v>
      </c>
      <c r="E1402" s="99">
        <f ca="1"/>
        <v>1.5388375417177204E-2</v>
      </c>
      <c r="F1402" s="161">
        <f ca="1">_xll.meCurveForwardRates(C1402,$D$9,$D$10)</f>
        <v>1.5502476901526396E-2</v>
      </c>
      <c r="G1402" s="7" t="s">
        <v>4</v>
      </c>
      <c r="H1402" s="149">
        <f t="shared" ca="1" si="42"/>
        <v>44470</v>
      </c>
      <c r="I1402" s="20">
        <f ca="1">_xll.meDateFromTenor(H1402,"3M","Following",$I$11,"Normal")</f>
        <v>44565</v>
      </c>
      <c r="J1402" s="150">
        <f ca="1"/>
        <v>1.970066846339304E-2</v>
      </c>
      <c r="K1402" s="7" t="s">
        <v>4</v>
      </c>
      <c r="L1402" s="149" t="e">
        <f ca="1">_xll.meDateFromTenor(L1401,"1D","FOLLOWING",#REF!,"NORMAL")</f>
        <v>#VALUE!</v>
      </c>
      <c r="M1402" s="155">
        <f ca="1">_xll.meDateYearFraction(C1402,D1402,$M$11)</f>
        <v>8.3333333333333332E-3</v>
      </c>
      <c r="N1402" s="150">
        <f ca="1"/>
        <v>-2.4300000000065936E-3</v>
      </c>
      <c r="O1402" s="7" t="s">
        <v>4</v>
      </c>
      <c r="P1402" s="149">
        <f t="shared" ca="1" si="43"/>
        <v>44470</v>
      </c>
      <c r="Q1402" s="155">
        <f ca="1">_xll.meDateYearFraction(H1402,I1402,$Q$11,TRUE)</f>
        <v>0.2638888888888889</v>
      </c>
      <c r="R1402" s="150">
        <f ca="1">IF(NOW(),_xll.meCurveForwardRatesFromYearFraction(P1402,Q1402,$Q$11,$Q$9,$Q$10))</f>
        <v>-3.7175485397107962E-3</v>
      </c>
      <c r="S1402" s="134" t="s">
        <v>4</v>
      </c>
    </row>
    <row r="1403" spans="1:19" x14ac:dyDescent="0.25">
      <c r="A1403" s="128">
        <v>1387</v>
      </c>
      <c r="B1403" s="133"/>
      <c r="C1403" s="149">
        <f ca="1">_xll.meDateFromTenor(C1402,"1D","FOLLOWING",$D$11,"NORMAL")</f>
        <v>44473</v>
      </c>
      <c r="D1403" s="20">
        <f ca="1">_xll.meDateFromTenor(C1403,"1D","Following",$D$11,"Normal")</f>
        <v>44474</v>
      </c>
      <c r="E1403" s="99">
        <f ca="1"/>
        <v>1.539544498333963E-2</v>
      </c>
      <c r="F1403" s="161">
        <f ca="1">_xll.meCurveForwardRates(C1403,$D$9,$D$10)</f>
        <v>1.5514231073358919E-2</v>
      </c>
      <c r="G1403" s="7" t="s">
        <v>4</v>
      </c>
      <c r="H1403" s="149">
        <f t="shared" ca="1" si="42"/>
        <v>44473</v>
      </c>
      <c r="I1403" s="20">
        <f ca="1">_xll.meDateFromTenor(H1403,"3M","Following",$I$11,"Normal")</f>
        <v>44565</v>
      </c>
      <c r="J1403" s="150">
        <f ca="1"/>
        <v>1.9713237023538725E-2</v>
      </c>
      <c r="K1403" s="7" t="s">
        <v>4</v>
      </c>
      <c r="L1403" s="149" t="e">
        <f ca="1">_xll.meDateFromTenor(L1402,"1D","FOLLOWING",#REF!,"NORMAL")</f>
        <v>#VALUE!</v>
      </c>
      <c r="M1403" s="155">
        <f ca="1">_xll.meDateYearFraction(C1403,D1403,$M$11)</f>
        <v>2.7777777777777779E-3</v>
      </c>
      <c r="N1403" s="150">
        <f ca="1"/>
        <v>-2.4300000000065936E-3</v>
      </c>
      <c r="O1403" s="7" t="s">
        <v>4</v>
      </c>
      <c r="P1403" s="149">
        <f t="shared" ca="1" si="43"/>
        <v>44473</v>
      </c>
      <c r="Q1403" s="155">
        <f ca="1">_xll.meDateYearFraction(H1403,I1403,$Q$11,TRUE)</f>
        <v>0.25555555555555554</v>
      </c>
      <c r="R1403" s="150">
        <f ca="1">IF(NOW(),_xll.meCurveForwardRatesFromYearFraction(P1403,Q1403,$Q$11,$Q$9,$Q$10))</f>
        <v>4.2957013145428456E-3</v>
      </c>
      <c r="S1403" s="134" t="s">
        <v>4</v>
      </c>
    </row>
    <row r="1404" spans="1:19" x14ac:dyDescent="0.25">
      <c r="A1404" s="128">
        <v>1388</v>
      </c>
      <c r="B1404" s="133"/>
      <c r="C1404" s="149">
        <f ca="1">_xll.meDateFromTenor(C1403,"1D","FOLLOWING",$D$11,"NORMAL")</f>
        <v>44474</v>
      </c>
      <c r="D1404" s="20">
        <f ca="1">_xll.meDateFromTenor(C1404,"1D","Following",$D$11,"Normal")</f>
        <v>44475</v>
      </c>
      <c r="E1404" s="99">
        <f ca="1"/>
        <v>1.5399334959116197E-2</v>
      </c>
      <c r="F1404" s="161">
        <f ca="1">_xll.meCurveForwardRates(C1404,$D$9,$D$10)</f>
        <v>1.551818123785087E-2</v>
      </c>
      <c r="G1404" s="7" t="s">
        <v>4</v>
      </c>
      <c r="H1404" s="149">
        <f t="shared" ca="1" si="42"/>
        <v>44474</v>
      </c>
      <c r="I1404" s="20">
        <f ca="1">_xll.meDateFromTenor(H1404,"3M","Following",$I$11,"Normal")</f>
        <v>44566</v>
      </c>
      <c r="J1404" s="150">
        <f ca="1"/>
        <v>1.9717416104686521E-2</v>
      </c>
      <c r="K1404" s="7" t="s">
        <v>4</v>
      </c>
      <c r="L1404" s="149" t="e">
        <f ca="1">_xll.meDateFromTenor(L1403,"1D","FOLLOWING",#REF!,"NORMAL")</f>
        <v>#VALUE!</v>
      </c>
      <c r="M1404" s="155">
        <f ca="1">_xll.meDateYearFraction(C1404,D1404,$M$11)</f>
        <v>2.7777777777777779E-3</v>
      </c>
      <c r="N1404" s="150">
        <f ca="1"/>
        <v>-2.4300000000065936E-3</v>
      </c>
      <c r="O1404" s="7" t="s">
        <v>4</v>
      </c>
      <c r="P1404" s="149">
        <f t="shared" ca="1" si="43"/>
        <v>44474</v>
      </c>
      <c r="Q1404" s="155">
        <f ca="1">_xll.meDateYearFraction(H1404,I1404,$Q$11,TRUE)</f>
        <v>0.25555555555555554</v>
      </c>
      <c r="R1404" s="150">
        <f ca="1">IF(NOW(),_xll.meCurveForwardRatesFromYearFraction(P1404,Q1404,$Q$11,$Q$9,$Q$10))</f>
        <v>-3.7175485397107962E-3</v>
      </c>
      <c r="S1404" s="134" t="s">
        <v>4</v>
      </c>
    </row>
    <row r="1405" spans="1:19" x14ac:dyDescent="0.25">
      <c r="A1405" s="128">
        <v>1389</v>
      </c>
      <c r="B1405" s="133"/>
      <c r="C1405" s="149">
        <f ca="1">_xll.meDateFromTenor(C1404,"1D","FOLLOWING",$D$11,"NORMAL")</f>
        <v>44475</v>
      </c>
      <c r="D1405" s="20">
        <f ca="1">_xll.meDateFromTenor(C1405,"1D","Following",$D$11,"Normal")</f>
        <v>44476</v>
      </c>
      <c r="E1405" s="99">
        <f ca="1"/>
        <v>1.5403240733624942E-2</v>
      </c>
      <c r="F1405" s="161">
        <f ca="1">_xll.meCurveForwardRates(C1405,$D$9,$D$10)</f>
        <v>1.5522147460941493E-2</v>
      </c>
      <c r="G1405" s="7" t="s">
        <v>4</v>
      </c>
      <c r="H1405" s="149">
        <f t="shared" ca="1" si="42"/>
        <v>44475</v>
      </c>
      <c r="I1405" s="20">
        <f ca="1">_xll.meDateFromTenor(H1405,"3M","Following",$I$11,"Normal")</f>
        <v>44567</v>
      </c>
      <c r="J1405" s="150">
        <f ca="1"/>
        <v>1.9721589940992809E-2</v>
      </c>
      <c r="K1405" s="7" t="s">
        <v>4</v>
      </c>
      <c r="L1405" s="149" t="e">
        <f ca="1">_xll.meDateFromTenor(L1404,"1D","FOLLOWING",#REF!,"NORMAL")</f>
        <v>#VALUE!</v>
      </c>
      <c r="M1405" s="155">
        <f ca="1">_xll.meDateYearFraction(C1405,D1405,$M$11)</f>
        <v>2.7777777777777779E-3</v>
      </c>
      <c r="N1405" s="150">
        <f ca="1"/>
        <v>-2.4300000000065936E-3</v>
      </c>
      <c r="O1405" s="7" t="s">
        <v>4</v>
      </c>
      <c r="P1405" s="149">
        <f t="shared" ca="1" si="43"/>
        <v>44475</v>
      </c>
      <c r="Q1405" s="155">
        <f ca="1">_xll.meDateYearFraction(H1405,I1405,$Q$11,TRUE)</f>
        <v>0.25555555555555554</v>
      </c>
      <c r="R1405" s="150">
        <f ca="1">IF(NOW(),_xll.meCurveForwardRatesFromYearFraction(P1405,Q1405,$Q$11,$Q$9,$Q$10))</f>
        <v>4.3150346979882008E-3</v>
      </c>
      <c r="S1405" s="134" t="s">
        <v>4</v>
      </c>
    </row>
    <row r="1406" spans="1:19" x14ac:dyDescent="0.25">
      <c r="A1406" s="128">
        <v>1390</v>
      </c>
      <c r="B1406" s="133"/>
      <c r="C1406" s="149">
        <f ca="1">_xll.meDateFromTenor(C1405,"1D","FOLLOWING",$D$11,"NORMAL")</f>
        <v>44476</v>
      </c>
      <c r="D1406" s="20">
        <f ca="1">_xll.meDateFromTenor(C1406,"1D","Following",$D$11,"Normal")</f>
        <v>44477</v>
      </c>
      <c r="E1406" s="99">
        <f ca="1"/>
        <v>1.5407162309563995E-2</v>
      </c>
      <c r="F1406" s="161">
        <f ca="1">_xll.meCurveForwardRates(C1406,$D$9,$D$10)</f>
        <v>1.5526129745558226E-2</v>
      </c>
      <c r="G1406" s="7" t="s">
        <v>4</v>
      </c>
      <c r="H1406" s="149">
        <f t="shared" ca="1" si="42"/>
        <v>44476</v>
      </c>
      <c r="I1406" s="20">
        <f ca="1">_xll.meDateFromTenor(H1406,"3M","Following",$I$11,"Normal")</f>
        <v>44568</v>
      </c>
      <c r="J1406" s="150">
        <f ca="1"/>
        <v>1.9725758517222913E-2</v>
      </c>
      <c r="K1406" s="7" t="s">
        <v>4</v>
      </c>
      <c r="L1406" s="149" t="e">
        <f ca="1">_xll.meDateFromTenor(L1405,"1D","FOLLOWING",#REF!,"NORMAL")</f>
        <v>#VALUE!</v>
      </c>
      <c r="M1406" s="155">
        <f ca="1">_xll.meDateYearFraction(C1406,D1406,$M$11)</f>
        <v>2.7777777777777779E-3</v>
      </c>
      <c r="N1406" s="150">
        <f ca="1"/>
        <v>-2.4300000000065936E-3</v>
      </c>
      <c r="O1406" s="7" t="s">
        <v>4</v>
      </c>
      <c r="P1406" s="149">
        <f t="shared" ca="1" si="43"/>
        <v>44476</v>
      </c>
      <c r="Q1406" s="155">
        <f ca="1">_xll.meDateYearFraction(H1406,I1406,$Q$11,TRUE)</f>
        <v>0.25555555555555554</v>
      </c>
      <c r="R1406" s="150">
        <f ca="1">IF(NOW(),_xll.meCurveForwardRatesFromYearFraction(P1406,Q1406,$Q$11,$Q$9,$Q$10))</f>
        <v>-3.7175485397107962E-3</v>
      </c>
      <c r="S1406" s="134" t="s">
        <v>4</v>
      </c>
    </row>
    <row r="1407" spans="1:19" x14ac:dyDescent="0.25">
      <c r="A1407" s="128">
        <v>1391</v>
      </c>
      <c r="B1407" s="133"/>
      <c r="C1407" s="149">
        <f ca="1">_xll.meDateFromTenor(C1406,"1D","FOLLOWING",$D$11,"NORMAL")</f>
        <v>44477</v>
      </c>
      <c r="D1407" s="20">
        <f ca="1">_xll.meDateFromTenor(C1407,"1D","Following",$D$11,"Normal")</f>
        <v>44481</v>
      </c>
      <c r="E1407" s="99">
        <f ca="1"/>
        <v>1.5418035665262286E-2</v>
      </c>
      <c r="F1407" s="161">
        <f ca="1">_xll.meCurveForwardRates(C1407,$D$9,$D$10)</f>
        <v>1.5530128094831452E-2</v>
      </c>
      <c r="G1407" s="7" t="s">
        <v>4</v>
      </c>
      <c r="H1407" s="149">
        <f t="shared" ca="1" si="42"/>
        <v>44477</v>
      </c>
      <c r="I1407" s="20">
        <f ca="1">_xll.meDateFromTenor(H1407,"3M","Following",$I$11,"Normal")</f>
        <v>44571</v>
      </c>
      <c r="J1407" s="150">
        <f ca="1"/>
        <v>1.9729921818142156E-2</v>
      </c>
      <c r="K1407" s="7" t="s">
        <v>4</v>
      </c>
      <c r="L1407" s="149" t="e">
        <f ca="1">_xll.meDateFromTenor(L1406,"1D","FOLLOWING",#REF!,"NORMAL")</f>
        <v>#VALUE!</v>
      </c>
      <c r="M1407" s="155">
        <f ca="1">_xll.meDateYearFraction(C1407,D1407,$M$11)</f>
        <v>1.1111111111111112E-2</v>
      </c>
      <c r="N1407" s="150">
        <f ca="1"/>
        <v>-2.4300000000065936E-3</v>
      </c>
      <c r="O1407" s="7" t="s">
        <v>4</v>
      </c>
      <c r="P1407" s="149">
        <f t="shared" ca="1" si="43"/>
        <v>44477</v>
      </c>
      <c r="Q1407" s="155">
        <f ca="1">_xll.meDateYearFraction(H1407,I1407,$Q$11,TRUE)</f>
        <v>0.26111111111111113</v>
      </c>
      <c r="R1407" s="150">
        <f ca="1">IF(NOW(),_xll.meCurveForwardRatesFromYearFraction(P1407,Q1407,$Q$11,$Q$9,$Q$10))</f>
        <v>4.3344182643728062E-3</v>
      </c>
      <c r="S1407" s="134" t="s">
        <v>4</v>
      </c>
    </row>
    <row r="1408" spans="1:19" x14ac:dyDescent="0.25">
      <c r="A1408" s="128">
        <v>1392</v>
      </c>
      <c r="B1408" s="133"/>
      <c r="C1408" s="149">
        <f ca="1">_xll.meDateFromTenor(C1407,"1D","FOLLOWING",$D$11,"NORMAL")</f>
        <v>44481</v>
      </c>
      <c r="D1408" s="20">
        <f ca="1">_xll.meDateFromTenor(C1408,"1D","Following",$D$11,"Normal")</f>
        <v>44482</v>
      </c>
      <c r="E1408" s="99">
        <f ca="1"/>
        <v>1.5427007310331609E-2</v>
      </c>
      <c r="F1408" s="161">
        <f ca="1">_xll.meCurveForwardRates(C1408,$D$9,$D$10)</f>
        <v>1.554628219931109E-2</v>
      </c>
      <c r="G1408" s="7" t="s">
        <v>4</v>
      </c>
      <c r="H1408" s="149">
        <f t="shared" ca="1" si="42"/>
        <v>44481</v>
      </c>
      <c r="I1408" s="20">
        <f ca="1">_xll.meDateFromTenor(H1408,"3M","Following",$I$11,"Normal")</f>
        <v>44573</v>
      </c>
      <c r="J1408" s="150">
        <f ca="1"/>
        <v>1.9746521964016991E-2</v>
      </c>
      <c r="K1408" s="7" t="s">
        <v>4</v>
      </c>
      <c r="L1408" s="149" t="e">
        <f ca="1">_xll.meDateFromTenor(L1407,"1D","FOLLOWING",#REF!,"NORMAL")</f>
        <v>#VALUE!</v>
      </c>
      <c r="M1408" s="155">
        <f ca="1">_xll.meDateYearFraction(C1408,D1408,$M$11)</f>
        <v>2.7777777777777779E-3</v>
      </c>
      <c r="N1408" s="150">
        <f ca="1"/>
        <v>-2.4300000000065936E-3</v>
      </c>
      <c r="O1408" s="7" t="s">
        <v>4</v>
      </c>
      <c r="P1408" s="149">
        <f t="shared" ca="1" si="43"/>
        <v>44481</v>
      </c>
      <c r="Q1408" s="155">
        <f ca="1">_xll.meDateYearFraction(H1408,I1408,$Q$11,TRUE)</f>
        <v>0.25555555555555554</v>
      </c>
      <c r="R1408" s="150">
        <f ca="1">IF(NOW(),_xll.meCurveForwardRatesFromYearFraction(P1408,Q1408,$Q$11,$Q$9,$Q$10))</f>
        <v>4.3733234614394545E-3</v>
      </c>
      <c r="S1408" s="134" t="s">
        <v>4</v>
      </c>
    </row>
    <row r="1409" spans="1:19" x14ac:dyDescent="0.25">
      <c r="A1409" s="128">
        <v>1393</v>
      </c>
      <c r="B1409" s="133"/>
      <c r="C1409" s="149">
        <f ca="1">_xll.meDateFromTenor(C1408,"1D","FOLLOWING",$D$11,"NORMAL")</f>
        <v>44482</v>
      </c>
      <c r="D1409" s="20">
        <f ca="1">_xll.meDateFromTenor(C1409,"1D","Following",$D$11,"Normal")</f>
        <v>44483</v>
      </c>
      <c r="E1409" s="99">
        <f ca="1"/>
        <v>1.5431023754144209E-2</v>
      </c>
      <c r="F1409" s="161">
        <f ca="1">_xll.meCurveForwardRates(C1409,$D$9,$D$10)</f>
        <v>1.555036091727624E-2</v>
      </c>
      <c r="G1409" s="7" t="s">
        <v>4</v>
      </c>
      <c r="H1409" s="149">
        <f t="shared" ca="1" si="42"/>
        <v>44482</v>
      </c>
      <c r="I1409" s="20">
        <f ca="1">_xll.meDateFromTenor(H1409,"3M","Following",$I$11,"Normal")</f>
        <v>44574</v>
      </c>
      <c r="J1409" s="150">
        <f ca="1"/>
        <v>1.9750658659861791E-2</v>
      </c>
      <c r="K1409" s="7" t="s">
        <v>4</v>
      </c>
      <c r="L1409" s="149" t="e">
        <f ca="1">_xll.meDateFromTenor(L1408,"1D","FOLLOWING",#REF!,"NORMAL")</f>
        <v>#VALUE!</v>
      </c>
      <c r="M1409" s="155">
        <f ca="1">_xll.meDateYearFraction(C1409,D1409,$M$11)</f>
        <v>2.7777777777777779E-3</v>
      </c>
      <c r="N1409" s="150">
        <f ca="1"/>
        <v>-2.4300000000065936E-3</v>
      </c>
      <c r="O1409" s="7" t="s">
        <v>4</v>
      </c>
      <c r="P1409" s="149">
        <f t="shared" ca="1" si="43"/>
        <v>44482</v>
      </c>
      <c r="Q1409" s="155">
        <f ca="1">_xll.meDateYearFraction(H1409,I1409,$Q$11,TRUE)</f>
        <v>0.25555555555555554</v>
      </c>
      <c r="R1409" s="150">
        <f ca="1">IF(NOW(),_xll.meCurveForwardRatesFromYearFraction(P1409,Q1409,$Q$11,$Q$9,$Q$10))</f>
        <v>4.3830762482774017E-3</v>
      </c>
      <c r="S1409" s="134" t="s">
        <v>4</v>
      </c>
    </row>
    <row r="1410" spans="1:19" x14ac:dyDescent="0.25">
      <c r="A1410" s="128">
        <v>1394</v>
      </c>
      <c r="B1410" s="133"/>
      <c r="C1410" s="149">
        <f ca="1">_xll.meDateFromTenor(C1409,"1D","FOLLOWING",$D$11,"NORMAL")</f>
        <v>44483</v>
      </c>
      <c r="D1410" s="20">
        <f ca="1">_xll.meDateFromTenor(C1410,"1D","Following",$D$11,"Normal")</f>
        <v>44484</v>
      </c>
      <c r="E1410" s="99">
        <f ca="1"/>
        <v>1.5435056019151041E-2</v>
      </c>
      <c r="F1410" s="161">
        <f ca="1">_xll.meCurveForwardRates(C1410,$D$9,$D$10)</f>
        <v>1.55544557181726E-2</v>
      </c>
      <c r="G1410" s="7" t="s">
        <v>4</v>
      </c>
      <c r="H1410" s="149">
        <f t="shared" ca="1" si="42"/>
        <v>44483</v>
      </c>
      <c r="I1410" s="20">
        <f ca="1">_xll.meDateFromTenor(H1410,"3M","Following",$I$11,"Normal")</f>
        <v>44575</v>
      </c>
      <c r="J1410" s="150">
        <f ca="1"/>
        <v>1.9754789988987671E-2</v>
      </c>
      <c r="K1410" s="7" t="s">
        <v>4</v>
      </c>
      <c r="L1410" s="149" t="e">
        <f ca="1">_xll.meDateFromTenor(L1409,"1D","FOLLOWING",#REF!,"NORMAL")</f>
        <v>#VALUE!</v>
      </c>
      <c r="M1410" s="155">
        <f ca="1">_xll.meDateYearFraction(C1410,D1410,$M$11)</f>
        <v>2.7777777777777779E-3</v>
      </c>
      <c r="N1410" s="150">
        <f ca="1"/>
        <v>-2.4300000000065936E-3</v>
      </c>
      <c r="O1410" s="7" t="s">
        <v>4</v>
      </c>
      <c r="P1410" s="149">
        <f t="shared" ca="1" si="43"/>
        <v>44483</v>
      </c>
      <c r="Q1410" s="155">
        <f ca="1">_xll.meDateYearFraction(H1410,I1410,$Q$11,TRUE)</f>
        <v>0.25555555555555554</v>
      </c>
      <c r="R1410" s="150">
        <f ca="1">IF(NOW(),_xll.meCurveForwardRatesFromYearFraction(P1410,Q1410,$Q$11,$Q$9,$Q$10))</f>
        <v>-3.7175485397107962E-3</v>
      </c>
      <c r="S1410" s="134" t="s">
        <v>4</v>
      </c>
    </row>
    <row r="1411" spans="1:19" x14ac:dyDescent="0.25">
      <c r="A1411" s="128">
        <v>1395</v>
      </c>
      <c r="B1411" s="133"/>
      <c r="C1411" s="149">
        <f ca="1">_xll.meDateFromTenor(C1410,"1D","FOLLOWING",$D$11,"NORMAL")</f>
        <v>44484</v>
      </c>
      <c r="D1411" s="20">
        <f ca="1">_xll.meDateFromTenor(C1411,"1D","Following",$D$11,"Normal")</f>
        <v>44487</v>
      </c>
      <c r="E1411" s="99">
        <f ca="1"/>
        <v>1.5443835786327695E-2</v>
      </c>
      <c r="F1411" s="161">
        <f ca="1">_xll.meCurveForwardRates(C1411,$D$9,$D$10)</f>
        <v>1.5558566604933821E-2</v>
      </c>
      <c r="G1411" s="7" t="s">
        <v>4</v>
      </c>
      <c r="H1411" s="149">
        <f t="shared" ca="1" si="42"/>
        <v>44484</v>
      </c>
      <c r="I1411" s="20">
        <f ca="1">_xll.meDateFromTenor(H1411,"3M","Following",$I$11,"Normal")</f>
        <v>44579</v>
      </c>
      <c r="J1411" s="150">
        <f ca="1"/>
        <v>1.975891593615996E-2</v>
      </c>
      <c r="K1411" s="7" t="s">
        <v>4</v>
      </c>
      <c r="L1411" s="149" t="e">
        <f ca="1">_xll.meDateFromTenor(L1410,"1D","FOLLOWING",#REF!,"NORMAL")</f>
        <v>#VALUE!</v>
      </c>
      <c r="M1411" s="155">
        <f ca="1">_xll.meDateYearFraction(C1411,D1411,$M$11)</f>
        <v>8.3333333333333332E-3</v>
      </c>
      <c r="N1411" s="150">
        <f ca="1"/>
        <v>-2.4300000000065936E-3</v>
      </c>
      <c r="O1411" s="7" t="s">
        <v>4</v>
      </c>
      <c r="P1411" s="149">
        <f t="shared" ca="1" si="43"/>
        <v>44484</v>
      </c>
      <c r="Q1411" s="155">
        <f ca="1">_xll.meDateYearFraction(H1411,I1411,$Q$11,TRUE)</f>
        <v>0.2638888888888889</v>
      </c>
      <c r="R1411" s="150">
        <f ca="1">IF(NOW(),_xll.meCurveForwardRatesFromYearFraction(P1411,Q1411,$Q$11,$Q$9,$Q$10))</f>
        <v>-3.7175485397107962E-3</v>
      </c>
      <c r="S1411" s="134" t="s">
        <v>4</v>
      </c>
    </row>
    <row r="1412" spans="1:19" x14ac:dyDescent="0.25">
      <c r="A1412" s="128">
        <v>1396</v>
      </c>
      <c r="B1412" s="133"/>
      <c r="C1412" s="149">
        <f ca="1">_xll.meDateFromTenor(C1411,"1D","FOLLOWING",$D$11,"NORMAL")</f>
        <v>44487</v>
      </c>
      <c r="D1412" s="20">
        <f ca="1">_xll.meDateFromTenor(C1412,"1D","Following",$D$11,"Normal")</f>
        <v>44488</v>
      </c>
      <c r="E1412" s="99">
        <f ca="1"/>
        <v>1.545134334647788E-2</v>
      </c>
      <c r="F1412" s="161">
        <f ca="1">_xll.meCurveForwardRates(C1412,$D$9,$D$10)</f>
        <v>1.5570995811174493E-2</v>
      </c>
      <c r="G1412" s="7" t="s">
        <v>4</v>
      </c>
      <c r="H1412" s="149">
        <f t="shared" ca="1" si="42"/>
        <v>44487</v>
      </c>
      <c r="I1412" s="20">
        <f ca="1">_xll.meDateFromTenor(H1412,"3M","Following",$I$11,"Normal")</f>
        <v>44579</v>
      </c>
      <c r="J1412" s="150">
        <f ca="1"/>
        <v>1.9771261333608521E-2</v>
      </c>
      <c r="K1412" s="7" t="s">
        <v>4</v>
      </c>
      <c r="L1412" s="149" t="e">
        <f ca="1">_xll.meDateFromTenor(L1411,"1D","FOLLOWING",#REF!,"NORMAL")</f>
        <v>#VALUE!</v>
      </c>
      <c r="M1412" s="155">
        <f ca="1">_xll.meDateYearFraction(C1412,D1412,$M$11)</f>
        <v>2.7777777777777779E-3</v>
      </c>
      <c r="N1412" s="150">
        <f ca="1"/>
        <v>-2.4300000000065936E-3</v>
      </c>
      <c r="O1412" s="7" t="s">
        <v>4</v>
      </c>
      <c r="P1412" s="149">
        <f t="shared" ca="1" si="43"/>
        <v>44487</v>
      </c>
      <c r="Q1412" s="155">
        <f ca="1">_xll.meDateYearFraction(H1412,I1412,$Q$11,TRUE)</f>
        <v>0.25555555555555554</v>
      </c>
      <c r="R1412" s="150">
        <f ca="1">IF(NOW(),_xll.meCurveForwardRatesFromYearFraction(P1412,Q1412,$Q$11,$Q$9,$Q$10))</f>
        <v>4.4319796008318642E-3</v>
      </c>
      <c r="S1412" s="134" t="s">
        <v>4</v>
      </c>
    </row>
    <row r="1413" spans="1:19" x14ac:dyDescent="0.25">
      <c r="A1413" s="128">
        <v>1397</v>
      </c>
      <c r="B1413" s="133"/>
      <c r="C1413" s="149">
        <f ca="1">_xll.meDateFromTenor(C1412,"1D","FOLLOWING",$D$11,"NORMAL")</f>
        <v>44488</v>
      </c>
      <c r="D1413" s="20">
        <f ca="1">_xll.meDateFromTenor(C1413,"1D","Following",$D$11,"Normal")</f>
        <v>44489</v>
      </c>
      <c r="E1413" s="99">
        <f ca="1"/>
        <v>1.5455454759043334E-2</v>
      </c>
      <c r="F1413" s="161">
        <f ca="1">_xll.meCurveForwardRates(C1413,$D$9,$D$10)</f>
        <v>1.557517107188322E-2</v>
      </c>
      <c r="G1413" s="7" t="s">
        <v>4</v>
      </c>
      <c r="H1413" s="149">
        <f t="shared" ca="1" si="42"/>
        <v>44488</v>
      </c>
      <c r="I1413" s="20">
        <f ca="1">_xll.meDateFromTenor(H1413,"3M","Following",$I$11,"Normal")</f>
        <v>44580</v>
      </c>
      <c r="J1413" s="150">
        <f ca="1"/>
        <v>1.9775365600619679E-2</v>
      </c>
      <c r="K1413" s="7" t="s">
        <v>4</v>
      </c>
      <c r="L1413" s="149" t="e">
        <f ca="1">_xll.meDateFromTenor(L1412,"1D","FOLLOWING",#REF!,"NORMAL")</f>
        <v>#VALUE!</v>
      </c>
      <c r="M1413" s="155">
        <f ca="1">_xll.meDateYearFraction(C1413,D1413,$M$11)</f>
        <v>2.7777777777777779E-3</v>
      </c>
      <c r="N1413" s="150">
        <f ca="1"/>
        <v>-2.4300000000065936E-3</v>
      </c>
      <c r="O1413" s="7" t="s">
        <v>4</v>
      </c>
      <c r="P1413" s="149">
        <f t="shared" ca="1" si="43"/>
        <v>44488</v>
      </c>
      <c r="Q1413" s="155">
        <f ca="1">_xll.meDateYearFraction(H1413,I1413,$Q$11,TRUE)</f>
        <v>0.25555555555555554</v>
      </c>
      <c r="R1413" s="150">
        <f ca="1">IF(NOW(),_xll.meCurveForwardRatesFromYearFraction(P1413,Q1413,$Q$11,$Q$9,$Q$10))</f>
        <v>4.4417854240268798E-3</v>
      </c>
      <c r="S1413" s="134" t="s">
        <v>4</v>
      </c>
    </row>
    <row r="1414" spans="1:19" x14ac:dyDescent="0.25">
      <c r="A1414" s="128">
        <v>1398</v>
      </c>
      <c r="B1414" s="133"/>
      <c r="C1414" s="149">
        <f ca="1">_xll.meDateFromTenor(C1413,"1D","FOLLOWING",$D$11,"NORMAL")</f>
        <v>44489</v>
      </c>
      <c r="D1414" s="20">
        <f ca="1">_xll.meDateFromTenor(C1414,"1D","Following",$D$11,"Normal")</f>
        <v>44490</v>
      </c>
      <c r="E1414" s="99">
        <f ca="1"/>
        <v>1.5459582009744536E-2</v>
      </c>
      <c r="F1414" s="161">
        <f ca="1">_xll.meCurveForwardRates(C1414,$D$9,$D$10)</f>
        <v>1.5579362433902677E-2</v>
      </c>
      <c r="G1414" s="7" t="s">
        <v>4</v>
      </c>
      <c r="H1414" s="149">
        <f t="shared" ca="1" si="42"/>
        <v>44489</v>
      </c>
      <c r="I1414" s="20">
        <f ca="1">_xll.meDateFromTenor(H1414,"3M","Following",$I$11,"Normal")</f>
        <v>44581</v>
      </c>
      <c r="J1414" s="150">
        <f ca="1"/>
        <v>1.9779464409503868E-2</v>
      </c>
      <c r="K1414" s="7" t="s">
        <v>4</v>
      </c>
      <c r="L1414" s="149" t="e">
        <f ca="1">_xll.meDateFromTenor(L1413,"1D","FOLLOWING",#REF!,"NORMAL")</f>
        <v>#VALUE!</v>
      </c>
      <c r="M1414" s="155">
        <f ca="1">_xll.meDateYearFraction(C1414,D1414,$M$11)</f>
        <v>2.7777777777777779E-3</v>
      </c>
      <c r="N1414" s="150">
        <f ca="1"/>
        <v>-2.4300000000065936E-3</v>
      </c>
      <c r="O1414" s="7" t="s">
        <v>4</v>
      </c>
      <c r="P1414" s="149">
        <f t="shared" ca="1" si="43"/>
        <v>44489</v>
      </c>
      <c r="Q1414" s="155">
        <f ca="1">_xll.meDateYearFraction(H1414,I1414,$Q$11,TRUE)</f>
        <v>0.25555555555555554</v>
      </c>
      <c r="R1414" s="150">
        <f ca="1">IF(NOW(),_xll.meCurveForwardRatesFromYearFraction(P1414,Q1414,$Q$11,$Q$9,$Q$10))</f>
        <v>-3.7175485397107962E-3</v>
      </c>
      <c r="S1414" s="134" t="s">
        <v>4</v>
      </c>
    </row>
    <row r="1415" spans="1:19" x14ac:dyDescent="0.25">
      <c r="A1415" s="128">
        <v>1399</v>
      </c>
      <c r="B1415" s="133"/>
      <c r="C1415" s="149">
        <f ca="1">_xll.meDateFromTenor(C1414,"1D","FOLLOWING",$D$11,"NORMAL")</f>
        <v>44490</v>
      </c>
      <c r="D1415" s="20">
        <f ca="1">_xll.meDateFromTenor(C1415,"1D","Following",$D$11,"Normal")</f>
        <v>44491</v>
      </c>
      <c r="E1415" s="99">
        <f ca="1"/>
        <v>1.5463725101219379E-2</v>
      </c>
      <c r="F1415" s="161">
        <f ca="1">_xll.meCurveForwardRates(C1415,$D$9,$D$10)</f>
        <v>1.5583569900110561E-2</v>
      </c>
      <c r="G1415" s="7" t="s">
        <v>4</v>
      </c>
      <c r="H1415" s="149">
        <f t="shared" ca="1" si="42"/>
        <v>44490</v>
      </c>
      <c r="I1415" s="20">
        <f ca="1">_xll.meDateFromTenor(H1415,"3M","Following",$I$11,"Normal")</f>
        <v>44582</v>
      </c>
      <c r="J1415" s="150">
        <f ca="1"/>
        <v>1.9783557745026409E-2</v>
      </c>
      <c r="K1415" s="7" t="s">
        <v>4</v>
      </c>
      <c r="L1415" s="149" t="e">
        <f ca="1">_xll.meDateFromTenor(L1414,"1D","FOLLOWING",#REF!,"NORMAL")</f>
        <v>#VALUE!</v>
      </c>
      <c r="M1415" s="155">
        <f ca="1">_xll.meDateYearFraction(C1415,D1415,$M$11)</f>
        <v>2.7777777777777779E-3</v>
      </c>
      <c r="N1415" s="150">
        <f ca="1"/>
        <v>-2.4300000000065936E-3</v>
      </c>
      <c r="O1415" s="7" t="s">
        <v>4</v>
      </c>
      <c r="P1415" s="149">
        <f t="shared" ca="1" si="43"/>
        <v>44490</v>
      </c>
      <c r="Q1415" s="155">
        <f ca="1">_xll.meDateYearFraction(H1415,I1415,$Q$11,TRUE)</f>
        <v>0.25555555555555554</v>
      </c>
      <c r="R1415" s="150">
        <f ca="1">IF(NOW(),_xll.meCurveForwardRatesFromYearFraction(P1415,Q1415,$Q$11,$Q$9,$Q$10))</f>
        <v>4.4614191019709676E-3</v>
      </c>
      <c r="S1415" s="134" t="s">
        <v>4</v>
      </c>
    </row>
    <row r="1416" spans="1:19" x14ac:dyDescent="0.25">
      <c r="A1416" s="128">
        <v>1400</v>
      </c>
      <c r="B1416" s="133"/>
      <c r="C1416" s="149">
        <f ca="1">_xll.meDateFromTenor(C1415,"1D","FOLLOWING",$D$11,"NORMAL")</f>
        <v>44491</v>
      </c>
      <c r="D1416" s="20">
        <f ca="1">_xll.meDateFromTenor(C1416,"1D","Following",$D$11,"Normal")</f>
        <v>44494</v>
      </c>
      <c r="E1416" s="99">
        <f ca="1"/>
        <v>1.5472729068148124E-2</v>
      </c>
      <c r="F1416" s="161">
        <f ca="1">_xll.meCurveForwardRates(C1416,$D$9,$D$10)</f>
        <v>1.558779347361372E-2</v>
      </c>
      <c r="G1416" s="7" t="s">
        <v>4</v>
      </c>
      <c r="H1416" s="149">
        <f t="shared" ca="1" si="42"/>
        <v>44491</v>
      </c>
      <c r="I1416" s="20">
        <f ca="1">_xll.meDateFromTenor(H1416,"3M","Following",$I$11,"Normal")</f>
        <v>44585</v>
      </c>
      <c r="J1416" s="150">
        <f ca="1"/>
        <v>1.9787645591952629E-2</v>
      </c>
      <c r="K1416" s="7" t="s">
        <v>4</v>
      </c>
      <c r="L1416" s="149" t="e">
        <f ca="1">_xll.meDateFromTenor(L1415,"1D","FOLLOWING",#REF!,"NORMAL")</f>
        <v>#VALUE!</v>
      </c>
      <c r="M1416" s="155">
        <f ca="1">_xll.meDateYearFraction(C1416,D1416,$M$11)</f>
        <v>8.3333333333333332E-3</v>
      </c>
      <c r="N1416" s="150">
        <f ca="1"/>
        <v>-2.4300000000065936E-3</v>
      </c>
      <c r="O1416" s="7" t="s">
        <v>4</v>
      </c>
      <c r="P1416" s="149">
        <f t="shared" ca="1" si="43"/>
        <v>44491</v>
      </c>
      <c r="Q1416" s="155">
        <f ca="1">_xll.meDateYearFraction(H1416,I1416,$Q$11,TRUE)</f>
        <v>0.26111111111111113</v>
      </c>
      <c r="R1416" s="150">
        <f ca="1">IF(NOW(),_xll.meCurveForwardRatesFromYearFraction(P1416,Q1416,$Q$11,$Q$9,$Q$10))</f>
        <v>-3.7175485397107962E-3</v>
      </c>
      <c r="S1416" s="134" t="s">
        <v>4</v>
      </c>
    </row>
    <row r="1417" spans="1:19" x14ac:dyDescent="0.25">
      <c r="A1417" s="128">
        <v>1401</v>
      </c>
      <c r="B1417" s="133"/>
      <c r="C1417" s="149">
        <f ca="1">_xll.meDateFromTenor(C1416,"1D","FOLLOWING",$D$11,"NORMAL")</f>
        <v>44494</v>
      </c>
      <c r="D1417" s="20">
        <f ca="1">_xll.meDateFromTenor(C1417,"1D","Following",$D$11,"Normal")</f>
        <v>44495</v>
      </c>
      <c r="E1417" s="99">
        <f ca="1"/>
        <v>1.5480455931540547E-2</v>
      </c>
      <c r="F1417" s="161">
        <f ca="1">_xll.meCurveForwardRates(C1417,$D$9,$D$10)</f>
        <v>1.5600560868393343E-2</v>
      </c>
      <c r="G1417" s="7" t="s">
        <v>4</v>
      </c>
      <c r="H1417" s="149">
        <f t="shared" ca="1" si="42"/>
        <v>44494</v>
      </c>
      <c r="I1417" s="20">
        <f ca="1">_xll.meDateFromTenor(H1417,"3M","Following",$I$11,"Normal")</f>
        <v>44586</v>
      </c>
      <c r="J1417" s="150">
        <f ca="1"/>
        <v>1.9799876048806585E-2</v>
      </c>
      <c r="K1417" s="7" t="s">
        <v>4</v>
      </c>
      <c r="L1417" s="149" t="e">
        <f ca="1">_xll.meDateFromTenor(L1416,"1D","FOLLOWING",#REF!,"NORMAL")</f>
        <v>#VALUE!</v>
      </c>
      <c r="M1417" s="155">
        <f ca="1">_xll.meDateYearFraction(C1417,D1417,$M$11)</f>
        <v>2.7777777777777779E-3</v>
      </c>
      <c r="N1417" s="150">
        <f ca="1"/>
        <v>-2.4300000000065936E-3</v>
      </c>
      <c r="O1417" s="7" t="s">
        <v>4</v>
      </c>
      <c r="P1417" s="149">
        <f t="shared" ca="1" si="43"/>
        <v>44494</v>
      </c>
      <c r="Q1417" s="155">
        <f ca="1">_xll.meDateYearFraction(H1417,I1417,$Q$11,TRUE)</f>
        <v>0.25555555555555554</v>
      </c>
      <c r="R1417" s="150">
        <f ca="1">IF(NOW(),_xll.meCurveForwardRatesFromYearFraction(P1417,Q1417,$Q$11,$Q$9,$Q$10))</f>
        <v>4.5007636601200685E-3</v>
      </c>
      <c r="S1417" s="134" t="s">
        <v>4</v>
      </c>
    </row>
    <row r="1418" spans="1:19" x14ac:dyDescent="0.25">
      <c r="A1418" s="128">
        <v>1402</v>
      </c>
      <c r="B1418" s="133"/>
      <c r="C1418" s="149">
        <f ca="1">_xll.meDateFromTenor(C1417,"1D","FOLLOWING",$D$11,"NORMAL")</f>
        <v>44495</v>
      </c>
      <c r="D1418" s="20">
        <f ca="1">_xll.meDateFromTenor(C1418,"1D","Following",$D$11,"Normal")</f>
        <v>44496</v>
      </c>
      <c r="E1418" s="99">
        <f ca="1"/>
        <v>1.5484678269374963E-2</v>
      </c>
      <c r="F1418" s="161">
        <f ca="1">_xll.meCurveForwardRates(C1418,$D$9,$D$10)</f>
        <v>1.5604848901702884E-2</v>
      </c>
      <c r="G1418" s="7" t="s">
        <v>4</v>
      </c>
      <c r="H1418" s="149">
        <f t="shared" ca="1" si="42"/>
        <v>44495</v>
      </c>
      <c r="I1418" s="20">
        <f ca="1">_xll.meDateFromTenor(H1418,"3M","Following",$I$11,"Normal")</f>
        <v>44587</v>
      </c>
      <c r="J1418" s="150">
        <f ca="1"/>
        <v>1.9803941789000752E-2</v>
      </c>
      <c r="K1418" s="7" t="s">
        <v>4</v>
      </c>
      <c r="L1418" s="149" t="e">
        <f ca="1">_xll.meDateFromTenor(L1417,"1D","FOLLOWING",#REF!,"NORMAL")</f>
        <v>#VALUE!</v>
      </c>
      <c r="M1418" s="155">
        <f ca="1">_xll.meDateYearFraction(C1418,D1418,$M$11)</f>
        <v>2.7777777777777779E-3</v>
      </c>
      <c r="N1418" s="150">
        <f ca="1"/>
        <v>-2.4300000000065936E-3</v>
      </c>
      <c r="O1418" s="7" t="s">
        <v>4</v>
      </c>
      <c r="P1418" s="149">
        <f t="shared" ca="1" si="43"/>
        <v>44495</v>
      </c>
      <c r="Q1418" s="155">
        <f ca="1">_xll.meDateYearFraction(H1418,I1418,$Q$11,TRUE)</f>
        <v>0.25555555555555554</v>
      </c>
      <c r="R1418" s="150">
        <f ca="1">IF(NOW(),_xll.meCurveForwardRatesFromYearFraction(P1418,Q1418,$Q$11,$Q$9,$Q$10))</f>
        <v>-3.7175485397107962E-3</v>
      </c>
      <c r="S1418" s="134" t="s">
        <v>4</v>
      </c>
    </row>
    <row r="1419" spans="1:19" x14ac:dyDescent="0.25">
      <c r="A1419" s="128">
        <v>1403</v>
      </c>
      <c r="B1419" s="133"/>
      <c r="C1419" s="149">
        <f ca="1">_xll.meDateFromTenor(C1418,"1D","FOLLOWING",$D$11,"NORMAL")</f>
        <v>44496</v>
      </c>
      <c r="D1419" s="20">
        <f ca="1">_xll.meDateFromTenor(C1419,"1D","Following",$D$11,"Normal")</f>
        <v>44497</v>
      </c>
      <c r="E1419" s="99">
        <f ca="1"/>
        <v>1.5488916464934421E-2</v>
      </c>
      <c r="F1419" s="161">
        <f ca="1">_xll.meCurveForwardRates(C1419,$D$9,$D$10)</f>
        <v>1.5609153057624559E-2</v>
      </c>
      <c r="G1419" s="7" t="s">
        <v>4</v>
      </c>
      <c r="H1419" s="149">
        <f t="shared" ca="1" si="42"/>
        <v>44496</v>
      </c>
      <c r="I1419" s="20">
        <f ca="1">_xll.meDateFromTenor(H1419,"3M","Following",$I$11,"Normal")</f>
        <v>44588</v>
      </c>
      <c r="J1419" s="150">
        <f ca="1"/>
        <v>1.9808001964425215E-2</v>
      </c>
      <c r="K1419" s="7" t="s">
        <v>4</v>
      </c>
      <c r="L1419" s="149" t="e">
        <f ca="1">_xll.meDateFromTenor(L1418,"1D","FOLLOWING",#REF!,"NORMAL")</f>
        <v>#VALUE!</v>
      </c>
      <c r="M1419" s="155">
        <f ca="1">_xll.meDateYearFraction(C1419,D1419,$M$11)</f>
        <v>2.7777777777777779E-3</v>
      </c>
      <c r="N1419" s="150">
        <f ca="1"/>
        <v>-2.4300000000065936E-3</v>
      </c>
      <c r="O1419" s="7" t="s">
        <v>4</v>
      </c>
      <c r="P1419" s="149">
        <f t="shared" ca="1" si="43"/>
        <v>44496</v>
      </c>
      <c r="Q1419" s="155">
        <f ca="1">_xll.meDateYearFraction(H1419,I1419,$Q$11,TRUE)</f>
        <v>0.25555555555555554</v>
      </c>
      <c r="R1419" s="150">
        <f ca="1">IF(NOW(),_xll.meCurveForwardRatesFromYearFraction(P1419,Q1419,$Q$11,$Q$9,$Q$10))</f>
        <v>4.5204682980649257E-3</v>
      </c>
      <c r="S1419" s="134" t="s">
        <v>4</v>
      </c>
    </row>
    <row r="1420" spans="1:19" x14ac:dyDescent="0.25">
      <c r="A1420" s="128">
        <v>1404</v>
      </c>
      <c r="B1420" s="133"/>
      <c r="C1420" s="149">
        <f ca="1">_xll.meDateFromTenor(C1419,"1D","FOLLOWING",$D$11,"NORMAL")</f>
        <v>44497</v>
      </c>
      <c r="D1420" s="20">
        <f ca="1">_xll.meDateFromTenor(C1420,"1D","Following",$D$11,"Normal")</f>
        <v>44498</v>
      </c>
      <c r="E1420" s="99">
        <f ca="1"/>
        <v>1.5493170521076814E-2</v>
      </c>
      <c r="F1420" s="161">
        <f ca="1">_xll.meCurveForwardRates(C1420,$D$9,$D$10)</f>
        <v>1.5613473339265216E-2</v>
      </c>
      <c r="G1420" s="7" t="s">
        <v>4</v>
      </c>
      <c r="H1420" s="149">
        <f t="shared" ca="1" si="42"/>
        <v>44497</v>
      </c>
      <c r="I1420" s="20">
        <f ca="1">_xll.meDateFromTenor(H1420,"3M","Following",$I$11,"Normal")</f>
        <v>44589</v>
      </c>
      <c r="J1420" s="150">
        <f ca="1"/>
        <v>1.9812056559845297E-2</v>
      </c>
      <c r="K1420" s="7" t="s">
        <v>4</v>
      </c>
      <c r="L1420" s="149" t="e">
        <f ca="1">_xll.meDateFromTenor(L1419,"1D","FOLLOWING",#REF!,"NORMAL")</f>
        <v>#VALUE!</v>
      </c>
      <c r="M1420" s="155">
        <f ca="1">_xll.meDateYearFraction(C1420,D1420,$M$11)</f>
        <v>2.7777777777777779E-3</v>
      </c>
      <c r="N1420" s="150">
        <f ca="1"/>
        <v>-2.4300000000065936E-3</v>
      </c>
      <c r="O1420" s="7" t="s">
        <v>4</v>
      </c>
      <c r="P1420" s="149">
        <f t="shared" ca="1" si="43"/>
        <v>44497</v>
      </c>
      <c r="Q1420" s="155">
        <f ca="1">_xll.meDateYearFraction(H1420,I1420,$Q$11,TRUE)</f>
        <v>0.25555555555555554</v>
      </c>
      <c r="R1420" s="150">
        <f ca="1">IF(NOW(),_xll.meCurveForwardRatesFromYearFraction(P1420,Q1420,$Q$11,$Q$9,$Q$10))</f>
        <v>-3.7175485397107962E-3</v>
      </c>
      <c r="S1420" s="134" t="s">
        <v>4</v>
      </c>
    </row>
    <row r="1421" spans="1:19" x14ac:dyDescent="0.25">
      <c r="A1421" s="128">
        <v>1405</v>
      </c>
      <c r="B1421" s="133"/>
      <c r="C1421" s="149">
        <f ca="1">_xll.meDateFromTenor(C1420,"1D","FOLLOWING",$D$11,"NORMAL")</f>
        <v>44498</v>
      </c>
      <c r="D1421" s="20">
        <f ca="1">_xll.meDateFromTenor(C1421,"1D","Following",$D$11,"Normal")</f>
        <v>44501</v>
      </c>
      <c r="E1421" s="99">
        <f ca="1"/>
        <v>1.5502399036019014E-2</v>
      </c>
      <c r="F1421" s="161">
        <f ca="1">_xll.meCurveForwardRates(C1421,$D$9,$D$10)</f>
        <v>1.5617809749772338E-2</v>
      </c>
      <c r="G1421" s="7" t="s">
        <v>4</v>
      </c>
      <c r="H1421" s="149">
        <f t="shared" ca="1" si="42"/>
        <v>44498</v>
      </c>
      <c r="I1421" s="20">
        <f ca="1">_xll.meDateFromTenor(H1421,"3M","Following",$I$11,"Normal")</f>
        <v>44592</v>
      </c>
      <c r="J1421" s="150">
        <f ca="1"/>
        <v>1.9816105560026328E-2</v>
      </c>
      <c r="K1421" s="7" t="s">
        <v>4</v>
      </c>
      <c r="L1421" s="149" t="e">
        <f ca="1">_xll.meDateFromTenor(L1420,"1D","FOLLOWING",#REF!,"NORMAL")</f>
        <v>#VALUE!</v>
      </c>
      <c r="M1421" s="155">
        <f ca="1">_xll.meDateYearFraction(C1421,D1421,$M$11)</f>
        <v>8.3333333333333332E-3</v>
      </c>
      <c r="N1421" s="150">
        <f ca="1"/>
        <v>-2.4300000000065936E-3</v>
      </c>
      <c r="O1421" s="7" t="s">
        <v>4</v>
      </c>
      <c r="P1421" s="149">
        <f t="shared" ca="1" si="43"/>
        <v>44498</v>
      </c>
      <c r="Q1421" s="155">
        <f ca="1">_xll.meDateYearFraction(H1421,I1421,$Q$11,TRUE)</f>
        <v>0.26111111111111113</v>
      </c>
      <c r="R1421" s="150">
        <f ca="1">IF(NOW(),_xll.meCurveForwardRatesFromYearFraction(P1421,Q1421,$Q$11,$Q$9,$Q$10))</f>
        <v>4.5401903470832176E-3</v>
      </c>
      <c r="S1421" s="134" t="s">
        <v>4</v>
      </c>
    </row>
    <row r="1422" spans="1:19" x14ac:dyDescent="0.25">
      <c r="A1422" s="128">
        <v>1406</v>
      </c>
      <c r="B1422" s="133"/>
      <c r="C1422" s="149">
        <f ca="1">_xll.meDateFromTenor(C1421,"1D","FOLLOWING",$D$11,"NORMAL")</f>
        <v>44501</v>
      </c>
      <c r="D1422" s="20">
        <f ca="1">_xll.meDateFromTenor(C1422,"1D","Following",$D$11,"Normal")</f>
        <v>44502</v>
      </c>
      <c r="E1422" s="99">
        <f ca="1"/>
        <v>1.5510345408429122E-2</v>
      </c>
      <c r="F1422" s="161">
        <f ca="1">_xll.meCurveForwardRates(C1422,$D$9,$D$10)</f>
        <v>1.5630915784969446E-2</v>
      </c>
      <c r="G1422" s="7" t="s">
        <v>4</v>
      </c>
      <c r="H1422" s="149">
        <f t="shared" ca="1" si="42"/>
        <v>44501</v>
      </c>
      <c r="I1422" s="20">
        <f ca="1">_xll.meDateFromTenor(H1422,"3M","Following",$I$11,"Normal")</f>
        <v>44593</v>
      </c>
      <c r="J1422" s="150">
        <f ca="1"/>
        <v>1.9828218836788324E-2</v>
      </c>
      <c r="K1422" s="7" t="s">
        <v>4</v>
      </c>
      <c r="L1422" s="149" t="e">
        <f ca="1">_xll.meDateFromTenor(L1421,"1D","FOLLOWING",#REF!,"NORMAL")</f>
        <v>#VALUE!</v>
      </c>
      <c r="M1422" s="155">
        <f ca="1">_xll.meDateYearFraction(C1422,D1422,$M$11)</f>
        <v>2.7777777777777779E-3</v>
      </c>
      <c r="N1422" s="150">
        <f ca="1"/>
        <v>-2.4300000000065936E-3</v>
      </c>
      <c r="O1422" s="7" t="s">
        <v>4</v>
      </c>
      <c r="P1422" s="149">
        <f t="shared" ca="1" si="43"/>
        <v>44501</v>
      </c>
      <c r="Q1422" s="155">
        <f ca="1">_xll.meDateYearFraction(H1422,I1422,$Q$11,TRUE)</f>
        <v>0.25555555555555554</v>
      </c>
      <c r="R1422" s="150">
        <f ca="1">IF(NOW(),_xll.meCurveForwardRatesFromYearFraction(P1422,Q1422,$Q$11,$Q$9,$Q$10))</f>
        <v>-3.7175485397107962E-3</v>
      </c>
      <c r="S1422" s="134" t="s">
        <v>4</v>
      </c>
    </row>
    <row r="1423" spans="1:19" x14ac:dyDescent="0.25">
      <c r="A1423" s="128">
        <v>1407</v>
      </c>
      <c r="B1423" s="133"/>
      <c r="C1423" s="149">
        <f ca="1">_xll.meDateFromTenor(C1422,"1D","FOLLOWING",$D$11,"NORMAL")</f>
        <v>44502</v>
      </c>
      <c r="D1423" s="20">
        <f ca="1">_xll.meDateFromTenor(C1423,"1D","Following",$D$11,"Normal")</f>
        <v>44503</v>
      </c>
      <c r="E1423" s="99">
        <f ca="1"/>
        <v>1.5514678809991671E-2</v>
      </c>
      <c r="F1423" s="161">
        <f ca="1">_xll.meCurveForwardRates(C1423,$D$9,$D$10)</f>
        <v>1.5635316741463789E-2</v>
      </c>
      <c r="G1423" s="7" t="s">
        <v>4</v>
      </c>
      <c r="H1423" s="149">
        <f t="shared" ca="1" si="42"/>
        <v>44502</v>
      </c>
      <c r="I1423" s="20">
        <f ca="1">_xll.meDateFromTenor(H1423,"3M","Following",$I$11,"Normal")</f>
        <v>44594</v>
      </c>
      <c r="J1423" s="150">
        <f ca="1"/>
        <v>1.9832245303666375E-2</v>
      </c>
      <c r="K1423" s="7" t="s">
        <v>4</v>
      </c>
      <c r="L1423" s="149" t="e">
        <f ca="1">_xll.meDateFromTenor(L1422,"1D","FOLLOWING",#REF!,"NORMAL")</f>
        <v>#VALUE!</v>
      </c>
      <c r="M1423" s="155">
        <f ca="1">_xll.meDateYearFraction(C1423,D1423,$M$11)</f>
        <v>2.7777777777777779E-3</v>
      </c>
      <c r="N1423" s="150">
        <f ca="1"/>
        <v>-2.4300000000065936E-3</v>
      </c>
      <c r="O1423" s="7" t="s">
        <v>4</v>
      </c>
      <c r="P1423" s="149">
        <f t="shared" ca="1" si="43"/>
        <v>44502</v>
      </c>
      <c r="Q1423" s="155">
        <f ca="1">_xll.meDateYearFraction(H1423,I1423,$Q$11,TRUE)</f>
        <v>0.25555555555555554</v>
      </c>
      <c r="R1423" s="150">
        <f ca="1">IF(NOW(),_xll.meCurveForwardRatesFromYearFraction(P1423,Q1423,$Q$11,$Q$9,$Q$10))</f>
        <v>-3.7175485397107962E-3</v>
      </c>
      <c r="S1423" s="134" t="s">
        <v>4</v>
      </c>
    </row>
    <row r="1424" spans="1:19" x14ac:dyDescent="0.25">
      <c r="A1424" s="128">
        <v>1408</v>
      </c>
      <c r="B1424" s="133"/>
      <c r="C1424" s="149">
        <f ca="1">_xll.meDateFromTenor(C1423,"1D","FOLLOWING",$D$11,"NORMAL")</f>
        <v>44503</v>
      </c>
      <c r="D1424" s="20">
        <f ca="1">_xll.meDateFromTenor(C1424,"1D","Following",$D$11,"Normal")</f>
        <v>44504</v>
      </c>
      <c r="E1424" s="99">
        <f ca="1"/>
        <v>1.5519028089403326E-2</v>
      </c>
      <c r="F1424" s="161">
        <f ca="1">_xll.meCurveForwardRates(C1424,$D$9,$D$10)</f>
        <v>1.5639733842454762E-2</v>
      </c>
      <c r="G1424" s="7" t="s">
        <v>4</v>
      </c>
      <c r="H1424" s="149">
        <f t="shared" ca="1" si="42"/>
        <v>44503</v>
      </c>
      <c r="I1424" s="20">
        <f ca="1">_xll.meDateFromTenor(H1424,"3M","Following",$I$11,"Normal")</f>
        <v>44595</v>
      </c>
      <c r="J1424" s="150">
        <f ca="1"/>
        <v>1.9836266099131993E-2</v>
      </c>
      <c r="K1424" s="7" t="s">
        <v>4</v>
      </c>
      <c r="L1424" s="149" t="e">
        <f ca="1">_xll.meDateFromTenor(L1423,"1D","FOLLOWING",#REF!,"NORMAL")</f>
        <v>#VALUE!</v>
      </c>
      <c r="M1424" s="155">
        <f ca="1">_xll.meDateYearFraction(C1424,D1424,$M$11)</f>
        <v>2.7777777777777779E-3</v>
      </c>
      <c r="N1424" s="150">
        <f ca="1"/>
        <v>-2.4300000000065936E-3</v>
      </c>
      <c r="O1424" s="7" t="s">
        <v>4</v>
      </c>
      <c r="P1424" s="149">
        <f t="shared" ca="1" si="43"/>
        <v>44503</v>
      </c>
      <c r="Q1424" s="155">
        <f ca="1">_xll.meDateYearFraction(H1424,I1424,$Q$11,TRUE)</f>
        <v>0.25555555555555554</v>
      </c>
      <c r="R1424" s="150">
        <f ca="1">IF(NOW(),_xll.meCurveForwardRatesFromYearFraction(P1424,Q1424,$Q$11,$Q$9,$Q$10))</f>
        <v>-3.7175485397107962E-3</v>
      </c>
      <c r="S1424" s="134" t="s">
        <v>4</v>
      </c>
    </row>
    <row r="1425" spans="1:19" x14ac:dyDescent="0.25">
      <c r="A1425" s="128">
        <v>1409</v>
      </c>
      <c r="B1425" s="133"/>
      <c r="C1425" s="149">
        <f ca="1">_xll.meDateFromTenor(C1424,"1D","FOLLOWING",$D$11,"NORMAL")</f>
        <v>44504</v>
      </c>
      <c r="D1425" s="20">
        <f ca="1">_xll.meDateFromTenor(C1425,"1D","Following",$D$11,"Normal")</f>
        <v>44505</v>
      </c>
      <c r="E1425" s="99">
        <f ca="1"/>
        <v>1.5523393249161948E-2</v>
      </c>
      <c r="F1425" s="161">
        <f ca="1">_xll.meCurveForwardRates(C1425,$D$9,$D$10)</f>
        <v>1.5644167090689054E-2</v>
      </c>
      <c r="G1425" s="7" t="s">
        <v>4</v>
      </c>
      <c r="H1425" s="149">
        <f t="shared" ref="H1425:H1488" ca="1" si="44">$C1425</f>
        <v>44504</v>
      </c>
      <c r="I1425" s="20">
        <f ca="1">_xll.meDateFromTenor(H1425,"3M","Following",$I$11,"Normal")</f>
        <v>44596</v>
      </c>
      <c r="J1425" s="150">
        <f ca="1"/>
        <v>1.9840281207950498E-2</v>
      </c>
      <c r="K1425" s="7" t="s">
        <v>4</v>
      </c>
      <c r="L1425" s="149" t="e">
        <f ca="1">_xll.meDateFromTenor(L1424,"1D","FOLLOWING",#REF!,"NORMAL")</f>
        <v>#VALUE!</v>
      </c>
      <c r="M1425" s="155">
        <f ca="1">_xll.meDateYearFraction(C1425,D1425,$M$11)</f>
        <v>2.7777777777777779E-3</v>
      </c>
      <c r="N1425" s="150">
        <f ca="1"/>
        <v>-2.4300000000065936E-3</v>
      </c>
      <c r="O1425" s="7" t="s">
        <v>4</v>
      </c>
      <c r="P1425" s="149">
        <f t="shared" ref="P1425:P1488" ca="1" si="45">$C1425</f>
        <v>44504</v>
      </c>
      <c r="Q1425" s="155">
        <f ca="1">_xll.meDateYearFraction(H1425,I1425,$Q$11,TRUE)</f>
        <v>0.25555555555555554</v>
      </c>
      <c r="R1425" s="150">
        <f ca="1">IF(NOW(),_xll.meCurveForwardRatesFromYearFraction(P1425,Q1425,$Q$11,$Q$9,$Q$10))</f>
        <v>4.599429749277917E-3</v>
      </c>
      <c r="S1425" s="134" t="s">
        <v>4</v>
      </c>
    </row>
    <row r="1426" spans="1:19" x14ac:dyDescent="0.25">
      <c r="A1426" s="128">
        <v>1410</v>
      </c>
      <c r="B1426" s="133"/>
      <c r="C1426" s="149">
        <f ca="1">_xll.meDateFromTenor(C1425,"1D","FOLLOWING",$D$11,"NORMAL")</f>
        <v>44505</v>
      </c>
      <c r="D1426" s="20">
        <f ca="1">_xll.meDateFromTenor(C1426,"1D","Following",$D$11,"Normal")</f>
        <v>44508</v>
      </c>
      <c r="E1426" s="99">
        <f ca="1"/>
        <v>1.5532846662277616E-2</v>
      </c>
      <c r="F1426" s="161">
        <f ca="1">_xll.meCurveForwardRates(C1426,$D$9,$D$10)</f>
        <v>1.5648616489360778E-2</v>
      </c>
      <c r="G1426" s="7" t="s">
        <v>4</v>
      </c>
      <c r="H1426" s="149">
        <f t="shared" ca="1" si="44"/>
        <v>44505</v>
      </c>
      <c r="I1426" s="20">
        <f ca="1">_xll.meDateFromTenor(H1426,"3M","Following",$I$11,"Normal")</f>
        <v>44599</v>
      </c>
      <c r="J1426" s="150">
        <f ca="1"/>
        <v>1.9844290614887215E-2</v>
      </c>
      <c r="K1426" s="7" t="s">
        <v>4</v>
      </c>
      <c r="L1426" s="149" t="e">
        <f ca="1">_xll.meDateFromTenor(L1425,"1D","FOLLOWING",#REF!,"NORMAL")</f>
        <v>#VALUE!</v>
      </c>
      <c r="M1426" s="155">
        <f ca="1">_xll.meDateYearFraction(C1426,D1426,$M$11)</f>
        <v>8.3333333333333332E-3</v>
      </c>
      <c r="N1426" s="150">
        <f ca="1"/>
        <v>-2.4300000000065936E-3</v>
      </c>
      <c r="O1426" s="7" t="s">
        <v>4</v>
      </c>
      <c r="P1426" s="149">
        <f t="shared" ca="1" si="45"/>
        <v>44505</v>
      </c>
      <c r="Q1426" s="155">
        <f ca="1">_xll.meDateYearFraction(H1426,I1426,$Q$11,TRUE)</f>
        <v>0.26111111111111113</v>
      </c>
      <c r="R1426" s="150">
        <f ca="1">IF(NOW(),_xll.meCurveForwardRatesFromYearFraction(P1426,Q1426,$Q$11,$Q$9,$Q$10))</f>
        <v>-3.7175485397107962E-3</v>
      </c>
      <c r="S1426" s="134" t="s">
        <v>4</v>
      </c>
    </row>
    <row r="1427" spans="1:19" x14ac:dyDescent="0.25">
      <c r="A1427" s="128">
        <v>1411</v>
      </c>
      <c r="B1427" s="133"/>
      <c r="C1427" s="149">
        <f ca="1">_xll.meDateFromTenor(C1426,"1D","FOLLOWING",$D$11,"NORMAL")</f>
        <v>44508</v>
      </c>
      <c r="D1427" s="20">
        <f ca="1">_xll.meDateFromTenor(C1427,"1D","Following",$D$11,"Normal")</f>
        <v>44509</v>
      </c>
      <c r="E1427" s="99">
        <f ca="1"/>
        <v>1.5541012750140179E-2</v>
      </c>
      <c r="F1427" s="161">
        <f ca="1">_xll.meCurveForwardRates(C1427,$D$9,$D$10)</f>
        <v>1.5662061619670764E-2</v>
      </c>
      <c r="G1427" s="7" t="s">
        <v>4</v>
      </c>
      <c r="H1427" s="149">
        <f t="shared" ca="1" si="44"/>
        <v>44508</v>
      </c>
      <c r="I1427" s="20">
        <f ca="1">_xll.meDateFromTenor(H1427,"3M","Following",$I$11,"Normal")</f>
        <v>44600</v>
      </c>
      <c r="J1427" s="150">
        <f ca="1"/>
        <v>1.9856284472059896E-2</v>
      </c>
      <c r="K1427" s="7" t="s">
        <v>4</v>
      </c>
      <c r="L1427" s="149" t="e">
        <f ca="1">_xll.meDateFromTenor(L1426,"1D","FOLLOWING",#REF!,"NORMAL")</f>
        <v>#VALUE!</v>
      </c>
      <c r="M1427" s="155">
        <f ca="1">_xll.meDateYearFraction(C1427,D1427,$M$11)</f>
        <v>2.7777777777777779E-3</v>
      </c>
      <c r="N1427" s="150">
        <f ca="1"/>
        <v>-2.4300000000065936E-3</v>
      </c>
      <c r="O1427" s="7" t="s">
        <v>4</v>
      </c>
      <c r="P1427" s="149">
        <f t="shared" ca="1" si="45"/>
        <v>44508</v>
      </c>
      <c r="Q1427" s="155">
        <f ca="1">_xll.meDateYearFraction(H1427,I1427,$Q$11,TRUE)</f>
        <v>0.25555555555555554</v>
      </c>
      <c r="R1427" s="150">
        <f ca="1">IF(NOW(),_xll.meCurveForwardRatesFromYearFraction(P1427,Q1427,$Q$11,$Q$9,$Q$10))</f>
        <v>4.6389525576909689E-3</v>
      </c>
      <c r="S1427" s="134" t="s">
        <v>4</v>
      </c>
    </row>
    <row r="1428" spans="1:19" x14ac:dyDescent="0.25">
      <c r="A1428" s="128">
        <v>1412</v>
      </c>
      <c r="B1428" s="133"/>
      <c r="C1428" s="149">
        <f ca="1">_xll.meDateFromTenor(C1427,"1D","FOLLOWING",$D$11,"NORMAL")</f>
        <v>44509</v>
      </c>
      <c r="D1428" s="20">
        <f ca="1">_xll.meDateFromTenor(C1428,"1D","Following",$D$11,"Normal")</f>
        <v>44510</v>
      </c>
      <c r="E1428" s="99">
        <f ca="1"/>
        <v>1.5545457355139248E-2</v>
      </c>
      <c r="F1428" s="161">
        <f ca="1">_xll.meCurveForwardRates(C1428,$D$9,$D$10)</f>
        <v>1.5666575651482439E-2</v>
      </c>
      <c r="G1428" s="7" t="s">
        <v>4</v>
      </c>
      <c r="H1428" s="149">
        <f t="shared" ca="1" si="44"/>
        <v>44509</v>
      </c>
      <c r="I1428" s="20">
        <f ca="1">_xll.meDateFromTenor(H1428,"3M","Following",$I$11,"Normal")</f>
        <v>44601</v>
      </c>
      <c r="J1428" s="150">
        <f ca="1"/>
        <v>1.9860270919122715E-2</v>
      </c>
      <c r="K1428" s="7" t="s">
        <v>4</v>
      </c>
      <c r="L1428" s="149" t="e">
        <f ca="1">_xll.meDateFromTenor(L1427,"1D","FOLLOWING",#REF!,"NORMAL")</f>
        <v>#VALUE!</v>
      </c>
      <c r="M1428" s="155">
        <f ca="1">_xll.meDateYearFraction(C1428,D1428,$M$11)</f>
        <v>2.7777777777777779E-3</v>
      </c>
      <c r="N1428" s="150">
        <f ca="1"/>
        <v>-2.4300000000065936E-3</v>
      </c>
      <c r="O1428" s="7" t="s">
        <v>4</v>
      </c>
      <c r="P1428" s="149">
        <f t="shared" ca="1" si="45"/>
        <v>44509</v>
      </c>
      <c r="Q1428" s="155">
        <f ca="1">_xll.meDateYearFraction(H1428,I1428,$Q$11,TRUE)</f>
        <v>0.25555555555555554</v>
      </c>
      <c r="R1428" s="150">
        <f ca="1">IF(NOW(),_xll.meCurveForwardRatesFromYearFraction(P1428,Q1428,$Q$11,$Q$9,$Q$10))</f>
        <v>-3.7175485397107962E-3</v>
      </c>
      <c r="S1428" s="134" t="s">
        <v>4</v>
      </c>
    </row>
    <row r="1429" spans="1:19" x14ac:dyDescent="0.25">
      <c r="A1429" s="128">
        <v>1413</v>
      </c>
      <c r="B1429" s="133"/>
      <c r="C1429" s="149">
        <f ca="1">_xll.meDateFromTenor(C1428,"1D","FOLLOWING",$D$11,"NORMAL")</f>
        <v>44510</v>
      </c>
      <c r="D1429" s="20">
        <f ca="1">_xll.meDateFromTenor(C1429,"1D","Following",$D$11,"Normal")</f>
        <v>44512</v>
      </c>
      <c r="E1429" s="99">
        <f ca="1"/>
        <v>1.5552491989296924E-2</v>
      </c>
      <c r="F1429" s="161">
        <f ca="1">_xll.meCurveForwardRates(C1429,$D$9,$D$10)</f>
        <v>1.5671105849430766E-2</v>
      </c>
      <c r="G1429" s="7" t="s">
        <v>4</v>
      </c>
      <c r="H1429" s="149">
        <f t="shared" ca="1" si="44"/>
        <v>44510</v>
      </c>
      <c r="I1429" s="20">
        <f ca="1">_xll.meDateFromTenor(H1429,"3M","Following",$I$11,"Normal")</f>
        <v>44602</v>
      </c>
      <c r="J1429" s="150">
        <f ca="1"/>
        <v>1.9864251588130363E-2</v>
      </c>
      <c r="K1429" s="7" t="s">
        <v>4</v>
      </c>
      <c r="L1429" s="149" t="e">
        <f ca="1">_xll.meDateFromTenor(L1428,"1D","FOLLOWING",#REF!,"NORMAL")</f>
        <v>#VALUE!</v>
      </c>
      <c r="M1429" s="155">
        <f ca="1">_xll.meDateYearFraction(C1429,D1429,$M$11)</f>
        <v>5.5555555555555558E-3</v>
      </c>
      <c r="N1429" s="150">
        <f ca="1"/>
        <v>-2.4300000000065936E-3</v>
      </c>
      <c r="O1429" s="7" t="s">
        <v>4</v>
      </c>
      <c r="P1429" s="149">
        <f t="shared" ca="1" si="45"/>
        <v>44510</v>
      </c>
      <c r="Q1429" s="155">
        <f ca="1">_xll.meDateYearFraction(H1429,I1429,$Q$11,TRUE)</f>
        <v>0.25555555555555554</v>
      </c>
      <c r="R1429" s="150">
        <f ca="1">IF(NOW(),_xll.meCurveForwardRatesFromYearFraction(P1429,Q1429,$Q$11,$Q$9,$Q$10))</f>
        <v>4.6587149847771188E-3</v>
      </c>
      <c r="S1429" s="134" t="s">
        <v>4</v>
      </c>
    </row>
    <row r="1430" spans="1:19" x14ac:dyDescent="0.25">
      <c r="A1430" s="128">
        <v>1414</v>
      </c>
      <c r="B1430" s="133"/>
      <c r="C1430" s="149">
        <f ca="1">_xll.meDateFromTenor(C1429,"1D","FOLLOWING",$D$11,"NORMAL")</f>
        <v>44512</v>
      </c>
      <c r="D1430" s="20">
        <f ca="1">_xll.meDateFromTenor(C1430,"1D","Following",$D$11,"Normal")</f>
        <v>44515</v>
      </c>
      <c r="E1430" s="99">
        <f ca="1"/>
        <v>1.5564072924521884E-2</v>
      </c>
      <c r="F1430" s="161">
        <f ca="1">_xll.meCurveForwardRates(C1430,$D$9,$D$10)</f>
        <v>1.5680214755925403E-2</v>
      </c>
      <c r="G1430" s="7" t="s">
        <v>4</v>
      </c>
      <c r="H1430" s="149">
        <f t="shared" ca="1" si="44"/>
        <v>44512</v>
      </c>
      <c r="I1430" s="20">
        <f ca="1">_xll.meDateFromTenor(H1430,"3M","Following",$I$11,"Normal")</f>
        <v>44606</v>
      </c>
      <c r="J1430" s="150">
        <f ca="1"/>
        <v>1.9872195531041463E-2</v>
      </c>
      <c r="K1430" s="7" t="s">
        <v>4</v>
      </c>
      <c r="L1430" s="149" t="e">
        <f ca="1">_xll.meDateFromTenor(L1429,"1D","FOLLOWING",#REF!,"NORMAL")</f>
        <v>#VALUE!</v>
      </c>
      <c r="M1430" s="155">
        <f ca="1">_xll.meDateYearFraction(C1430,D1430,$M$11)</f>
        <v>8.3333333333333332E-3</v>
      </c>
      <c r="N1430" s="150">
        <f ca="1"/>
        <v>-2.4300000000065936E-3</v>
      </c>
      <c r="O1430" s="7" t="s">
        <v>4</v>
      </c>
      <c r="P1430" s="149">
        <f t="shared" ca="1" si="45"/>
        <v>44512</v>
      </c>
      <c r="Q1430" s="155">
        <f ca="1">_xll.meDateYearFraction(H1430,I1430,$Q$11,TRUE)</f>
        <v>0.26111111111111113</v>
      </c>
      <c r="R1430" s="150">
        <f ca="1">IF(NOW(),_xll.meCurveForwardRatesFromYearFraction(P1430,Q1430,$Q$11,$Q$9,$Q$10))</f>
        <v>-3.7175485397107962E-3</v>
      </c>
      <c r="S1430" s="134" t="s">
        <v>4</v>
      </c>
    </row>
    <row r="1431" spans="1:19" x14ac:dyDescent="0.25">
      <c r="A1431" s="128">
        <v>1415</v>
      </c>
      <c r="B1431" s="133"/>
      <c r="C1431" s="149">
        <f ca="1">_xll.meDateFromTenor(C1430,"1D","FOLLOWING",$D$11,"NORMAL")</f>
        <v>44515</v>
      </c>
      <c r="D1431" s="20">
        <f ca="1">_xll.meDateFromTenor(C1431,"1D","Following",$D$11,"Normal")</f>
        <v>44516</v>
      </c>
      <c r="E1431" s="99">
        <f ca="1"/>
        <v>1.5572458935630759E-2</v>
      </c>
      <c r="F1431" s="161">
        <f ca="1">_xll.meCurveForwardRates(C1431,$D$9,$D$10)</f>
        <v>1.569399943928107E-2</v>
      </c>
      <c r="G1431" s="7" t="s">
        <v>4</v>
      </c>
      <c r="H1431" s="149">
        <f t="shared" ca="1" si="44"/>
        <v>44515</v>
      </c>
      <c r="I1431" s="20">
        <f ca="1">_xll.meDateFromTenor(H1431,"3M","Following",$I$11,"Normal")</f>
        <v>44607</v>
      </c>
      <c r="J1431" s="150">
        <f ca="1"/>
        <v>1.9884067729127472E-2</v>
      </c>
      <c r="K1431" s="7" t="s">
        <v>4</v>
      </c>
      <c r="L1431" s="149" t="e">
        <f ca="1">_xll.meDateFromTenor(L1430,"1D","FOLLOWING",#REF!,"NORMAL")</f>
        <v>#VALUE!</v>
      </c>
      <c r="M1431" s="155">
        <f ca="1">_xll.meDateYearFraction(C1431,D1431,$M$11)</f>
        <v>2.7777777777777779E-3</v>
      </c>
      <c r="N1431" s="150">
        <f ca="1"/>
        <v>-2.4300000000065936E-3</v>
      </c>
      <c r="O1431" s="7" t="s">
        <v>4</v>
      </c>
      <c r="P1431" s="149">
        <f t="shared" ca="1" si="45"/>
        <v>44515</v>
      </c>
      <c r="Q1431" s="155">
        <f ca="1">_xll.meDateYearFraction(H1431,I1431,$Q$11,TRUE)</f>
        <v>0.25555555555555554</v>
      </c>
      <c r="R1431" s="150">
        <f ca="1">IF(NOW(),_xll.meCurveForwardRatesFromYearFraction(P1431,Q1431,$Q$11,$Q$9,$Q$10))</f>
        <v>-3.7175485397107962E-3</v>
      </c>
      <c r="S1431" s="134" t="s">
        <v>4</v>
      </c>
    </row>
    <row r="1432" spans="1:19" x14ac:dyDescent="0.25">
      <c r="A1432" s="128">
        <v>1416</v>
      </c>
      <c r="B1432" s="133"/>
      <c r="C1432" s="149">
        <f ca="1">_xll.meDateFromTenor(C1431,"1D","FOLLOWING",$D$11,"NORMAL")</f>
        <v>44516</v>
      </c>
      <c r="D1432" s="20">
        <f ca="1">_xll.meDateFromTenor(C1432,"1D","Following",$D$11,"Normal")</f>
        <v>44517</v>
      </c>
      <c r="E1432" s="99">
        <f ca="1"/>
        <v>1.5577014884134202E-2</v>
      </c>
      <c r="F1432" s="161">
        <f ca="1">_xll.meCurveForwardRates(C1432,$D$9,$D$10)</f>
        <v>1.5698626699188534E-2</v>
      </c>
      <c r="G1432" s="7" t="s">
        <v>4</v>
      </c>
      <c r="H1432" s="149">
        <f t="shared" ca="1" si="44"/>
        <v>44516</v>
      </c>
      <c r="I1432" s="20">
        <f ca="1">_xll.meDateFromTenor(H1432,"3M","Following",$I$11,"Normal")</f>
        <v>44608</v>
      </c>
      <c r="J1432" s="150">
        <f ca="1"/>
        <v>1.9888013409875935E-2</v>
      </c>
      <c r="K1432" s="7" t="s">
        <v>4</v>
      </c>
      <c r="L1432" s="149" t="e">
        <f ca="1">_xll.meDateFromTenor(L1431,"1D","FOLLOWING",#REF!,"NORMAL")</f>
        <v>#VALUE!</v>
      </c>
      <c r="M1432" s="155">
        <f ca="1">_xll.meDateYearFraction(C1432,D1432,$M$11)</f>
        <v>2.7777777777777779E-3</v>
      </c>
      <c r="N1432" s="150">
        <f ca="1"/>
        <v>-2.4300000000065936E-3</v>
      </c>
      <c r="O1432" s="7" t="s">
        <v>4</v>
      </c>
      <c r="P1432" s="149">
        <f t="shared" ca="1" si="45"/>
        <v>44516</v>
      </c>
      <c r="Q1432" s="155">
        <f ca="1">_xll.meDateYearFraction(H1432,I1432,$Q$11,TRUE)</f>
        <v>0.25555555555555554</v>
      </c>
      <c r="R1432" s="150">
        <f ca="1">IF(NOW(),_xll.meCurveForwardRatesFromYearFraction(P1432,Q1432,$Q$11,$Q$9,$Q$10))</f>
        <v>-3.7175485397107962E-3</v>
      </c>
      <c r="S1432" s="134" t="s">
        <v>4</v>
      </c>
    </row>
    <row r="1433" spans="1:19" x14ac:dyDescent="0.25">
      <c r="A1433" s="128">
        <v>1417</v>
      </c>
      <c r="B1433" s="133"/>
      <c r="C1433" s="149">
        <f ca="1">_xll.meDateFromTenor(C1432,"1D","FOLLOWING",$D$11,"NORMAL")</f>
        <v>44517</v>
      </c>
      <c r="D1433" s="20">
        <f ca="1">_xll.meDateFromTenor(C1433,"1D","Following",$D$11,"Normal")</f>
        <v>44518</v>
      </c>
      <c r="E1433" s="99">
        <f ca="1"/>
        <v>1.5581586750454741E-2</v>
      </c>
      <c r="F1433" s="161">
        <f ca="1">_xll.meCurveForwardRates(C1433,$D$9,$D$10)</f>
        <v>1.5703270147197301E-2</v>
      </c>
      <c r="G1433" s="7" t="s">
        <v>4</v>
      </c>
      <c r="H1433" s="149">
        <f t="shared" ca="1" si="44"/>
        <v>44517</v>
      </c>
      <c r="I1433" s="20">
        <f ca="1">_xll.meDateFromTenor(H1433,"3M","Following",$I$11,"Normal")</f>
        <v>44609</v>
      </c>
      <c r="J1433" s="150">
        <f ca="1"/>
        <v>1.9891953205926498E-2</v>
      </c>
      <c r="K1433" s="7" t="s">
        <v>4</v>
      </c>
      <c r="L1433" s="149" t="e">
        <f ca="1">_xll.meDateFromTenor(L1432,"1D","FOLLOWING",#REF!,"NORMAL")</f>
        <v>#VALUE!</v>
      </c>
      <c r="M1433" s="155">
        <f ca="1">_xll.meDateYearFraction(C1433,D1433,$M$11)</f>
        <v>2.7777777777777779E-3</v>
      </c>
      <c r="N1433" s="150">
        <f ca="1"/>
        <v>-2.4300000000065936E-3</v>
      </c>
      <c r="O1433" s="7" t="s">
        <v>4</v>
      </c>
      <c r="P1433" s="149">
        <f t="shared" ca="1" si="45"/>
        <v>44517</v>
      </c>
      <c r="Q1433" s="155">
        <f ca="1">_xll.meDateYearFraction(H1433,I1433,$Q$11,TRUE)</f>
        <v>0.25555555555555554</v>
      </c>
      <c r="R1433" s="150">
        <f ca="1">IF(NOW(),_xll.meCurveForwardRatesFromYearFraction(P1433,Q1433,$Q$11,$Q$9,$Q$10))</f>
        <v>4.7278834795786394E-3</v>
      </c>
      <c r="S1433" s="134" t="s">
        <v>4</v>
      </c>
    </row>
    <row r="1434" spans="1:19" x14ac:dyDescent="0.25">
      <c r="A1434" s="128">
        <v>1418</v>
      </c>
      <c r="B1434" s="133"/>
      <c r="C1434" s="149">
        <f ca="1">_xll.meDateFromTenor(C1433,"1D","FOLLOWING",$D$11,"NORMAL")</f>
        <v>44518</v>
      </c>
      <c r="D1434" s="20">
        <f ca="1">_xll.meDateFromTenor(C1434,"1D","Following",$D$11,"Normal")</f>
        <v>44519</v>
      </c>
      <c r="E1434" s="99">
        <f ca="1"/>
        <v>1.5586174537410062E-2</v>
      </c>
      <c r="F1434" s="161">
        <f ca="1">_xll.meCurveForwardRates(C1434,$D$9,$D$10)</f>
        <v>1.570792978639024E-2</v>
      </c>
      <c r="G1434" s="7" t="s">
        <v>4</v>
      </c>
      <c r="H1434" s="149">
        <f t="shared" ca="1" si="44"/>
        <v>44518</v>
      </c>
      <c r="I1434" s="20">
        <f ca="1">_xll.meDateFromTenor(H1434,"3M","Following",$I$11,"Normal")</f>
        <v>44610</v>
      </c>
      <c r="J1434" s="150">
        <f ca="1"/>
        <v>1.9895887102044488E-2</v>
      </c>
      <c r="K1434" s="7" t="s">
        <v>4</v>
      </c>
      <c r="L1434" s="149" t="e">
        <f ca="1">_xll.meDateFromTenor(L1433,"1D","FOLLOWING",#REF!,"NORMAL")</f>
        <v>#VALUE!</v>
      </c>
      <c r="M1434" s="155">
        <f ca="1">_xll.meDateYearFraction(C1434,D1434,$M$11)</f>
        <v>2.7777777777777779E-3</v>
      </c>
      <c r="N1434" s="150">
        <f ca="1"/>
        <v>-2.4300000000065936E-3</v>
      </c>
      <c r="O1434" s="7" t="s">
        <v>4</v>
      </c>
      <c r="P1434" s="149">
        <f t="shared" ca="1" si="45"/>
        <v>44518</v>
      </c>
      <c r="Q1434" s="155">
        <f ca="1">_xll.meDateYearFraction(H1434,I1434,$Q$11,TRUE)</f>
        <v>0.25555555555555554</v>
      </c>
      <c r="R1434" s="150">
        <f ca="1">IF(NOW(),_xll.meCurveForwardRatesFromYearFraction(P1434,Q1434,$Q$11,$Q$9,$Q$10))</f>
        <v>-3.7175485397107962E-3</v>
      </c>
      <c r="S1434" s="134" t="s">
        <v>4</v>
      </c>
    </row>
    <row r="1435" spans="1:19" x14ac:dyDescent="0.25">
      <c r="A1435" s="128">
        <v>1419</v>
      </c>
      <c r="B1435" s="133"/>
      <c r="C1435" s="149">
        <f ca="1">_xll.meDateFromTenor(C1434,"1D","FOLLOWING",$D$11,"NORMAL")</f>
        <v>44519</v>
      </c>
      <c r="D1435" s="20">
        <f ca="1">_xll.meDateFromTenor(C1435,"1D","Following",$D$11,"Normal")</f>
        <v>44522</v>
      </c>
      <c r="E1435" s="99">
        <f ca="1"/>
        <v>1.5596078805612314E-2</v>
      </c>
      <c r="F1435" s="161">
        <f ca="1">_xll.meCurveForwardRates(C1435,$D$9,$D$10)</f>
        <v>1.5712605619729425E-2</v>
      </c>
      <c r="G1435" s="7" t="s">
        <v>4</v>
      </c>
      <c r="H1435" s="149">
        <f t="shared" ca="1" si="44"/>
        <v>44519</v>
      </c>
      <c r="I1435" s="20">
        <f ca="1">_xll.meDateFromTenor(H1435,"3M","Following",$I$11,"Normal")</f>
        <v>44614</v>
      </c>
      <c r="J1435" s="150">
        <f ca="1"/>
        <v>1.9899815082995233E-2</v>
      </c>
      <c r="K1435" s="7" t="s">
        <v>4</v>
      </c>
      <c r="L1435" s="149" t="e">
        <f ca="1">_xll.meDateFromTenor(L1434,"1D","FOLLOWING",#REF!,"NORMAL")</f>
        <v>#VALUE!</v>
      </c>
      <c r="M1435" s="155">
        <f ca="1">_xll.meDateYearFraction(C1435,D1435,$M$11)</f>
        <v>8.3333333333333332E-3</v>
      </c>
      <c r="N1435" s="150">
        <f ca="1"/>
        <v>-2.4300000000065936E-3</v>
      </c>
      <c r="O1435" s="7" t="s">
        <v>4</v>
      </c>
      <c r="P1435" s="149">
        <f t="shared" ca="1" si="45"/>
        <v>44519</v>
      </c>
      <c r="Q1435" s="155">
        <f ca="1">_xll.meDateYearFraction(H1435,I1435,$Q$11,TRUE)</f>
        <v>0.2638888888888889</v>
      </c>
      <c r="R1435" s="150">
        <f ca="1">IF(NOW(),_xll.meCurveForwardRatesFromYearFraction(P1435,Q1435,$Q$11,$Q$9,$Q$10))</f>
        <v>-3.7175485397107962E-3</v>
      </c>
      <c r="S1435" s="134" t="s">
        <v>4</v>
      </c>
    </row>
    <row r="1436" spans="1:19" x14ac:dyDescent="0.25">
      <c r="A1436" s="128">
        <v>1420</v>
      </c>
      <c r="B1436" s="133"/>
      <c r="C1436" s="149">
        <f ca="1">_xll.meDateFromTenor(C1435,"1D","FOLLOWING",$D$11,"NORMAL")</f>
        <v>44522</v>
      </c>
      <c r="D1436" s="20">
        <f ca="1">_xll.meDateFromTenor(C1436,"1D","Following",$D$11,"Normal")</f>
        <v>44523</v>
      </c>
      <c r="E1436" s="99">
        <f ca="1"/>
        <v>1.5604684948613886E-2</v>
      </c>
      <c r="F1436" s="161">
        <f ca="1">_xll.meCurveForwardRates(C1436,$D$9,$D$10)</f>
        <v>1.5726730317384696E-2</v>
      </c>
      <c r="G1436" s="7" t="s">
        <v>4</v>
      </c>
      <c r="H1436" s="149">
        <f t="shared" ca="1" si="44"/>
        <v>44522</v>
      </c>
      <c r="I1436" s="20">
        <f ca="1">_xll.meDateFromTenor(H1436,"3M","Following",$I$11,"Normal")</f>
        <v>44614</v>
      </c>
      <c r="J1436" s="150">
        <f ca="1"/>
        <v>1.9911563382497208E-2</v>
      </c>
      <c r="K1436" s="7" t="s">
        <v>4</v>
      </c>
      <c r="L1436" s="149" t="e">
        <f ca="1">_xll.meDateFromTenor(L1435,"1D","FOLLOWING",#REF!,"NORMAL")</f>
        <v>#VALUE!</v>
      </c>
      <c r="M1436" s="155">
        <f ca="1">_xll.meDateYearFraction(C1436,D1436,$M$11)</f>
        <v>2.7777777777777779E-3</v>
      </c>
      <c r="N1436" s="150">
        <f ca="1"/>
        <v>-2.4300000000065936E-3</v>
      </c>
      <c r="O1436" s="7" t="s">
        <v>4</v>
      </c>
      <c r="P1436" s="149">
        <f t="shared" ca="1" si="45"/>
        <v>44522</v>
      </c>
      <c r="Q1436" s="155">
        <f ca="1">_xll.meDateYearFraction(H1436,I1436,$Q$11,TRUE)</f>
        <v>0.25555555555555554</v>
      </c>
      <c r="R1436" s="150">
        <f ca="1">IF(NOW(),_xll.meCurveForwardRatesFromYearFraction(P1436,Q1436,$Q$11,$Q$9,$Q$10))</f>
        <v>-3.7175485397107962E-3</v>
      </c>
      <c r="S1436" s="134" t="s">
        <v>4</v>
      </c>
    </row>
    <row r="1437" spans="1:19" x14ac:dyDescent="0.25">
      <c r="A1437" s="128">
        <v>1421</v>
      </c>
      <c r="B1437" s="133"/>
      <c r="C1437" s="149">
        <f ca="1">_xll.meDateFromTenor(C1436,"1D","FOLLOWING",$D$11,"NORMAL")</f>
        <v>44523</v>
      </c>
      <c r="D1437" s="20">
        <f ca="1">_xll.meDateFromTenor(C1437,"1D","Following",$D$11,"Normal")</f>
        <v>44524</v>
      </c>
      <c r="E1437" s="99">
        <f ca="1"/>
        <v>1.5608547753804604E-2</v>
      </c>
      <c r="F1437" s="161">
        <f ca="1">_xll.meCurveForwardRates(C1437,$D$9,$D$10)</f>
        <v>1.5730653709362885E-2</v>
      </c>
      <c r="G1437" s="7" t="s">
        <v>4</v>
      </c>
      <c r="H1437" s="149">
        <f t="shared" ca="1" si="44"/>
        <v>44523</v>
      </c>
      <c r="I1437" s="20">
        <f ca="1">_xll.meDateFromTenor(H1437,"3M","Following",$I$11,"Normal")</f>
        <v>44615</v>
      </c>
      <c r="J1437" s="150">
        <f ca="1"/>
        <v>1.9915467550432199E-2</v>
      </c>
      <c r="K1437" s="7" t="s">
        <v>4</v>
      </c>
      <c r="L1437" s="149" t="e">
        <f ca="1">_xll.meDateFromTenor(L1436,"1D","FOLLOWING",#REF!,"NORMAL")</f>
        <v>#VALUE!</v>
      </c>
      <c r="M1437" s="155">
        <f ca="1">_xll.meDateYearFraction(C1437,D1437,$M$11)</f>
        <v>2.7777777777777779E-3</v>
      </c>
      <c r="N1437" s="150">
        <f ca="1"/>
        <v>-2.4300000000065936E-3</v>
      </c>
      <c r="O1437" s="7" t="s">
        <v>4</v>
      </c>
      <c r="P1437" s="149">
        <f t="shared" ca="1" si="45"/>
        <v>44523</v>
      </c>
      <c r="Q1437" s="155">
        <f ca="1">_xll.meDateYearFraction(H1437,I1437,$Q$11,TRUE)</f>
        <v>0.25555555555555554</v>
      </c>
      <c r="R1437" s="150">
        <f ca="1">IF(NOW(),_xll.meCurveForwardRatesFromYearFraction(P1437,Q1437,$Q$11,$Q$9,$Q$10))</f>
        <v>4.7871707608370881E-3</v>
      </c>
      <c r="S1437" s="134" t="s">
        <v>4</v>
      </c>
    </row>
    <row r="1438" spans="1:19" x14ac:dyDescent="0.25">
      <c r="A1438" s="128">
        <v>1422</v>
      </c>
      <c r="B1438" s="133"/>
      <c r="C1438" s="149">
        <f ca="1">_xll.meDateFromTenor(C1437,"1D","FOLLOWING",$D$11,"NORMAL")</f>
        <v>44524</v>
      </c>
      <c r="D1438" s="20">
        <f ca="1">_xll.meDateFromTenor(C1438,"1D","Following",$D$11,"Normal")</f>
        <v>44526</v>
      </c>
      <c r="E1438" s="99">
        <f ca="1"/>
        <v>1.5613538152061734E-2</v>
      </c>
      <c r="F1438" s="161">
        <f ca="1">_xll.meCurveForwardRates(C1438,$D$9,$D$10)</f>
        <v>1.5733790804818515E-2</v>
      </c>
      <c r="G1438" s="7" t="s">
        <v>4</v>
      </c>
      <c r="H1438" s="149">
        <f t="shared" ca="1" si="44"/>
        <v>44524</v>
      </c>
      <c r="I1438" s="20">
        <f ca="1">_xll.meDateFromTenor(H1438,"3M","Following",$I$11,"Normal")</f>
        <v>44616</v>
      </c>
      <c r="J1438" s="150">
        <f ca="1"/>
        <v>1.9919364733905313E-2</v>
      </c>
      <c r="K1438" s="7" t="s">
        <v>4</v>
      </c>
      <c r="L1438" s="149" t="e">
        <f ca="1">_xll.meDateFromTenor(L1437,"1D","FOLLOWING",#REF!,"NORMAL")</f>
        <v>#VALUE!</v>
      </c>
      <c r="M1438" s="155">
        <f ca="1">_xll.meDateYearFraction(C1438,D1438,$M$11)</f>
        <v>5.5555555555555558E-3</v>
      </c>
      <c r="N1438" s="150">
        <f ca="1"/>
        <v>-2.4300000000065936E-3</v>
      </c>
      <c r="O1438" s="7" t="s">
        <v>4</v>
      </c>
      <c r="P1438" s="149">
        <f t="shared" ca="1" si="45"/>
        <v>44524</v>
      </c>
      <c r="Q1438" s="155">
        <f ca="1">_xll.meDateYearFraction(H1438,I1438,$Q$11,TRUE)</f>
        <v>0.25555555555555554</v>
      </c>
      <c r="R1438" s="150">
        <f ca="1">IF(NOW(),_xll.meCurveForwardRatesFromYearFraction(P1438,Q1438,$Q$11,$Q$9,$Q$10))</f>
        <v>-3.7175485397107962E-3</v>
      </c>
      <c r="S1438" s="134" t="s">
        <v>4</v>
      </c>
    </row>
    <row r="1439" spans="1:19" x14ac:dyDescent="0.25">
      <c r="A1439" s="128">
        <v>1423</v>
      </c>
      <c r="B1439" s="133"/>
      <c r="C1439" s="149">
        <f ca="1">_xll.meDateFromTenor(C1438,"1D","FOLLOWING",$D$11,"NORMAL")</f>
        <v>44526</v>
      </c>
      <c r="D1439" s="20">
        <f ca="1">_xll.meDateFromTenor(C1439,"1D","Following",$D$11,"Normal")</f>
        <v>44529</v>
      </c>
      <c r="E1439" s="99">
        <f ca="1"/>
        <v>1.5621819155332339E-2</v>
      </c>
      <c r="F1439" s="161">
        <f ca="1">_xll.meCurveForwardRates(C1439,$D$9,$D$10)</f>
        <v>1.5740180001590165E-2</v>
      </c>
      <c r="G1439" s="7" t="s">
        <v>4</v>
      </c>
      <c r="H1439" s="149">
        <f t="shared" ca="1" si="44"/>
        <v>44526</v>
      </c>
      <c r="I1439" s="20">
        <f ca="1">_xll.meDateFromTenor(H1439,"3M","Following",$I$11,"Normal")</f>
        <v>44620</v>
      </c>
      <c r="J1439" s="150">
        <f ca="1"/>
        <v>1.9927135396017613E-2</v>
      </c>
      <c r="K1439" s="7" t="s">
        <v>4</v>
      </c>
      <c r="L1439" s="149" t="e">
        <f ca="1">_xll.meDateFromTenor(L1438,"1D","FOLLOWING",#REF!,"NORMAL")</f>
        <v>#VALUE!</v>
      </c>
      <c r="M1439" s="155">
        <f ca="1">_xll.meDateYearFraction(C1439,D1439,$M$11)</f>
        <v>8.3333333333333332E-3</v>
      </c>
      <c r="N1439" s="150">
        <f ca="1"/>
        <v>-2.4300000000065936E-3</v>
      </c>
      <c r="O1439" s="7" t="s">
        <v>4</v>
      </c>
      <c r="P1439" s="149">
        <f t="shared" ca="1" si="45"/>
        <v>44526</v>
      </c>
      <c r="Q1439" s="155">
        <f ca="1">_xll.meDateYearFraction(H1439,I1439,$Q$11,TRUE)</f>
        <v>0.26111111111111113</v>
      </c>
      <c r="R1439" s="150">
        <f ca="1">IF(NOW(),_xll.meCurveForwardRatesFromYearFraction(P1439,Q1439,$Q$11,$Q$9,$Q$10))</f>
        <v>4.8169020857482588E-3</v>
      </c>
      <c r="S1439" s="134" t="s">
        <v>4</v>
      </c>
    </row>
    <row r="1440" spans="1:19" x14ac:dyDescent="0.25">
      <c r="A1440" s="128">
        <v>1424</v>
      </c>
      <c r="B1440" s="133"/>
      <c r="C1440" s="149">
        <f ca="1">_xll.meDateFromTenor(C1439,"1D","FOLLOWING",$D$11,"NORMAL")</f>
        <v>44529</v>
      </c>
      <c r="D1440" s="20">
        <f ca="1">_xll.meDateFromTenor(C1440,"1D","Following",$D$11,"Normal")</f>
        <v>44530</v>
      </c>
      <c r="E1440" s="99">
        <f ca="1"/>
        <v>1.5627645695112991E-2</v>
      </c>
      <c r="F1440" s="161">
        <f ca="1">_xll.meCurveForwardRates(C1440,$D$9,$D$10)</f>
        <v>1.5750051417457778E-2</v>
      </c>
      <c r="G1440" s="7" t="s">
        <v>4</v>
      </c>
      <c r="H1440" s="149">
        <f t="shared" ca="1" si="44"/>
        <v>44529</v>
      </c>
      <c r="I1440" s="20">
        <f ca="1">_xll.meDateFromTenor(H1440,"3M","Following",$I$11,"Normal")</f>
        <v>44620</v>
      </c>
      <c r="J1440" s="150">
        <f ca="1"/>
        <v>1.9938733342851591E-2</v>
      </c>
      <c r="K1440" s="7" t="s">
        <v>4</v>
      </c>
      <c r="L1440" s="149" t="e">
        <f ca="1">_xll.meDateFromTenor(L1439,"1D","FOLLOWING",#REF!,"NORMAL")</f>
        <v>#VALUE!</v>
      </c>
      <c r="M1440" s="155">
        <f ca="1">_xll.meDateYearFraction(C1440,D1440,$M$11)</f>
        <v>2.7777777777777779E-3</v>
      </c>
      <c r="N1440" s="150">
        <f ca="1"/>
        <v>-2.4300000000065936E-3</v>
      </c>
      <c r="O1440" s="7" t="s">
        <v>4</v>
      </c>
      <c r="P1440" s="149">
        <f t="shared" ca="1" si="45"/>
        <v>44529</v>
      </c>
      <c r="Q1440" s="155">
        <f ca="1">_xll.meDateYearFraction(H1440,I1440,$Q$11,TRUE)</f>
        <v>0.25277777777777777</v>
      </c>
      <c r="R1440" s="150">
        <f ca="1">IF(NOW(),_xll.meCurveForwardRatesFromYearFraction(P1440,Q1440,$Q$11,$Q$9,$Q$10))</f>
        <v>-3.7175485397107962E-3</v>
      </c>
      <c r="S1440" s="134" t="s">
        <v>4</v>
      </c>
    </row>
    <row r="1441" spans="1:19" x14ac:dyDescent="0.25">
      <c r="A1441" s="128">
        <v>1425</v>
      </c>
      <c r="B1441" s="133"/>
      <c r="C1441" s="149">
        <f ca="1">_xll.meDateFromTenor(C1440,"1D","FOLLOWING",$D$11,"NORMAL")</f>
        <v>44530</v>
      </c>
      <c r="D1441" s="20">
        <f ca="1">_xll.meDateFromTenor(C1441,"1D","Following",$D$11,"Normal")</f>
        <v>44531</v>
      </c>
      <c r="E1441" s="99">
        <f ca="1"/>
        <v>1.563096082153137E-2</v>
      </c>
      <c r="F1441" s="161">
        <f ca="1">_xll.meCurveForwardRates(C1441,$D$9,$D$10)</f>
        <v>1.5753418616683001E-2</v>
      </c>
      <c r="G1441" s="7" t="s">
        <v>4</v>
      </c>
      <c r="H1441" s="149">
        <f t="shared" ca="1" si="44"/>
        <v>44530</v>
      </c>
      <c r="I1441" s="20">
        <f ca="1">_xll.meDateFromTenor(H1441,"3M","Following",$I$11,"Normal")</f>
        <v>44620</v>
      </c>
      <c r="J1441" s="150">
        <f ca="1"/>
        <v>1.9942584170307157E-2</v>
      </c>
      <c r="K1441" s="7" t="s">
        <v>4</v>
      </c>
      <c r="L1441" s="149" t="e">
        <f ca="1">_xll.meDateFromTenor(L1440,"1D","FOLLOWING",#REF!,"NORMAL")</f>
        <v>#VALUE!</v>
      </c>
      <c r="M1441" s="155">
        <f ca="1">_xll.meDateYearFraction(C1441,D1441,$M$11)</f>
        <v>2.7777777777777779E-3</v>
      </c>
      <c r="N1441" s="150">
        <f ca="1"/>
        <v>-2.4300000000065936E-3</v>
      </c>
      <c r="O1441" s="7" t="s">
        <v>4</v>
      </c>
      <c r="P1441" s="149">
        <f t="shared" ca="1" si="45"/>
        <v>44530</v>
      </c>
      <c r="Q1441" s="155">
        <f ca="1">_xll.meDateYearFraction(H1441,I1441,$Q$11,TRUE)</f>
        <v>0.25</v>
      </c>
      <c r="R1441" s="150">
        <f ca="1">IF(NOW(),_xll.meCurveForwardRatesFromYearFraction(P1441,Q1441,$Q$11,$Q$9,$Q$10))</f>
        <v>4.8568029886001274E-3</v>
      </c>
      <c r="S1441" s="134" t="s">
        <v>4</v>
      </c>
    </row>
    <row r="1442" spans="1:19" x14ac:dyDescent="0.25">
      <c r="A1442" s="128">
        <v>1426</v>
      </c>
      <c r="B1442" s="133"/>
      <c r="C1442" s="149">
        <f ca="1">_xll.meDateFromTenor(C1441,"1D","FOLLOWING",$D$11,"NORMAL")</f>
        <v>44531</v>
      </c>
      <c r="D1442" s="20">
        <f ca="1">_xll.meDateFromTenor(C1442,"1D","Following",$D$11,"Normal")</f>
        <v>44532</v>
      </c>
      <c r="E1442" s="99">
        <f ca="1"/>
        <v>1.5634313718606352E-2</v>
      </c>
      <c r="F1442" s="161">
        <f ca="1">_xll.meCurveForwardRates(C1442,$D$9,$D$10)</f>
        <v>1.5756824191174745E-2</v>
      </c>
      <c r="G1442" s="7" t="s">
        <v>4</v>
      </c>
      <c r="H1442" s="149">
        <f t="shared" ca="1" si="44"/>
        <v>44531</v>
      </c>
      <c r="I1442" s="20">
        <f ca="1">_xll.meDateFromTenor(H1442,"3M","Following",$I$11,"Normal")</f>
        <v>44621</v>
      </c>
      <c r="J1442" s="150">
        <f ca="1"/>
        <v>1.9946427555434892E-2</v>
      </c>
      <c r="K1442" s="7" t="s">
        <v>4</v>
      </c>
      <c r="L1442" s="149" t="e">
        <f ca="1">_xll.meDateFromTenor(L1441,"1D","FOLLOWING",#REF!,"NORMAL")</f>
        <v>#VALUE!</v>
      </c>
      <c r="M1442" s="155">
        <f ca="1">_xll.meDateYearFraction(C1442,D1442,$M$11)</f>
        <v>2.7777777777777779E-3</v>
      </c>
      <c r="N1442" s="150">
        <f ca="1"/>
        <v>-2.4300000000065936E-3</v>
      </c>
      <c r="O1442" s="7" t="s">
        <v>4</v>
      </c>
      <c r="P1442" s="149">
        <f t="shared" ca="1" si="45"/>
        <v>44531</v>
      </c>
      <c r="Q1442" s="155">
        <f ca="1">_xll.meDateYearFraction(H1442,I1442,$Q$11,TRUE)</f>
        <v>0.25</v>
      </c>
      <c r="R1442" s="150">
        <f ca="1">IF(NOW(),_xll.meCurveForwardRatesFromYearFraction(P1442,Q1442,$Q$11,$Q$9,$Q$10))</f>
        <v>-3.7175485397107962E-3</v>
      </c>
      <c r="S1442" s="134" t="s">
        <v>4</v>
      </c>
    </row>
    <row r="1443" spans="1:19" x14ac:dyDescent="0.25">
      <c r="A1443" s="128">
        <v>1427</v>
      </c>
      <c r="B1443" s="133"/>
      <c r="C1443" s="149">
        <f ca="1">_xll.meDateFromTenor(C1442,"1D","FOLLOWING",$D$11,"NORMAL")</f>
        <v>44532</v>
      </c>
      <c r="D1443" s="20">
        <f ca="1">_xll.meDateFromTenor(C1443,"1D","Following",$D$11,"Normal")</f>
        <v>44533</v>
      </c>
      <c r="E1443" s="99">
        <f ca="1"/>
        <v>1.5637704393152489E-2</v>
      </c>
      <c r="F1443" s="161">
        <f ca="1">_xll.meCurveForwardRates(C1443,$D$9,$D$10)</f>
        <v>1.5760268148239609E-2</v>
      </c>
      <c r="G1443" s="7" t="s">
        <v>4</v>
      </c>
      <c r="H1443" s="149">
        <f t="shared" ca="1" si="44"/>
        <v>44532</v>
      </c>
      <c r="I1443" s="20">
        <f ca="1">_xll.meDateFromTenor(H1443,"3M","Following",$I$11,"Normal")</f>
        <v>44622</v>
      </c>
      <c r="J1443" s="150">
        <f ca="1"/>
        <v>1.9950263579284817E-2</v>
      </c>
      <c r="K1443" s="7" t="s">
        <v>4</v>
      </c>
      <c r="L1443" s="149" t="e">
        <f ca="1">_xll.meDateFromTenor(L1442,"1D","FOLLOWING",#REF!,"NORMAL")</f>
        <v>#VALUE!</v>
      </c>
      <c r="M1443" s="155">
        <f ca="1">_xll.meDateYearFraction(C1443,D1443,$M$11)</f>
        <v>2.7777777777777779E-3</v>
      </c>
      <c r="N1443" s="150">
        <f ca="1"/>
        <v>-2.4300000000065936E-3</v>
      </c>
      <c r="O1443" s="7" t="s">
        <v>4</v>
      </c>
      <c r="P1443" s="149">
        <f t="shared" ca="1" si="45"/>
        <v>44532</v>
      </c>
      <c r="Q1443" s="155">
        <f ca="1">_xll.meDateYearFraction(H1443,I1443,$Q$11,TRUE)</f>
        <v>0.25</v>
      </c>
      <c r="R1443" s="150">
        <f ca="1">IF(NOW(),_xll.meCurveForwardRatesFromYearFraction(P1443,Q1443,$Q$11,$Q$9,$Q$10))</f>
        <v>4.8768569719217936E-3</v>
      </c>
      <c r="S1443" s="134" t="s">
        <v>4</v>
      </c>
    </row>
    <row r="1444" spans="1:19" x14ac:dyDescent="0.25">
      <c r="A1444" s="128">
        <v>1428</v>
      </c>
      <c r="B1444" s="133"/>
      <c r="C1444" s="149">
        <f ca="1">_xll.meDateFromTenor(C1443,"1D","FOLLOWING",$D$11,"NORMAL")</f>
        <v>44533</v>
      </c>
      <c r="D1444" s="20">
        <f ca="1">_xll.meDateFromTenor(C1444,"1D","Following",$D$11,"Normal")</f>
        <v>44536</v>
      </c>
      <c r="E1444" s="99">
        <f ca="1"/>
        <v>1.564529158186645E-2</v>
      </c>
      <c r="F1444" s="161">
        <f ca="1">_xll.meCurveForwardRates(C1444,$D$9,$D$10)</f>
        <v>1.5763750494985462E-2</v>
      </c>
      <c r="G1444" s="7" t="s">
        <v>4</v>
      </c>
      <c r="H1444" s="149">
        <f t="shared" ca="1" si="44"/>
        <v>44533</v>
      </c>
      <c r="I1444" s="20">
        <f ca="1">_xll.meDateFromTenor(H1444,"3M","Following",$I$11,"Normal")</f>
        <v>44623</v>
      </c>
      <c r="J1444" s="150">
        <f ca="1"/>
        <v>1.9954092322906951E-2</v>
      </c>
      <c r="K1444" s="7" t="s">
        <v>4</v>
      </c>
      <c r="L1444" s="149" t="e">
        <f ca="1">_xll.meDateFromTenor(L1443,"1D","FOLLOWING",#REF!,"NORMAL")</f>
        <v>#VALUE!</v>
      </c>
      <c r="M1444" s="155">
        <f ca="1">_xll.meDateYearFraction(C1444,D1444,$M$11)</f>
        <v>8.3333333333333332E-3</v>
      </c>
      <c r="N1444" s="150">
        <f ca="1"/>
        <v>-2.4300000000065936E-3</v>
      </c>
      <c r="O1444" s="7" t="s">
        <v>4</v>
      </c>
      <c r="P1444" s="149">
        <f t="shared" ca="1" si="45"/>
        <v>44533</v>
      </c>
      <c r="Q1444" s="155">
        <f ca="1">_xll.meDateYearFraction(H1444,I1444,$Q$11,TRUE)</f>
        <v>0.25</v>
      </c>
      <c r="R1444" s="150">
        <f ca="1">IF(NOW(),_xll.meCurveForwardRatesFromYearFraction(P1444,Q1444,$Q$11,$Q$9,$Q$10))</f>
        <v>-3.7175485397107962E-3</v>
      </c>
      <c r="S1444" s="134" t="s">
        <v>4</v>
      </c>
    </row>
    <row r="1445" spans="1:19" x14ac:dyDescent="0.25">
      <c r="A1445" s="128">
        <v>1429</v>
      </c>
      <c r="B1445" s="133"/>
      <c r="C1445" s="149">
        <f ca="1">_xll.meDateFromTenor(C1444,"1D","FOLLOWING",$D$11,"NORMAL")</f>
        <v>44536</v>
      </c>
      <c r="D1445" s="20">
        <f ca="1">_xll.meDateFromTenor(C1445,"1D","Following",$D$11,"Normal")</f>
        <v>44537</v>
      </c>
      <c r="E1445" s="99">
        <f ca="1"/>
        <v>1.5651644998217803E-2</v>
      </c>
      <c r="F1445" s="161">
        <f ca="1">_xll.meCurveForwardRates(C1445,$D$9,$D$10)</f>
        <v>1.5774427944328373E-2</v>
      </c>
      <c r="G1445" s="7" t="s">
        <v>4</v>
      </c>
      <c r="H1445" s="149">
        <f t="shared" ca="1" si="44"/>
        <v>44536</v>
      </c>
      <c r="I1445" s="20">
        <f ca="1">_xll.meDateFromTenor(H1445,"3M","Following",$I$11,"Normal")</f>
        <v>44627</v>
      </c>
      <c r="J1445" s="150">
        <f ca="1"/>
        <v>1.9965535682906911E-2</v>
      </c>
      <c r="K1445" s="7" t="s">
        <v>4</v>
      </c>
      <c r="L1445" s="149" t="e">
        <f ca="1">_xll.meDateFromTenor(L1444,"1D","FOLLOWING",#REF!,"NORMAL")</f>
        <v>#VALUE!</v>
      </c>
      <c r="M1445" s="155">
        <f ca="1">_xll.meDateYearFraction(C1445,D1445,$M$11)</f>
        <v>2.7777777777777779E-3</v>
      </c>
      <c r="N1445" s="150">
        <f ca="1"/>
        <v>-2.4300000000065936E-3</v>
      </c>
      <c r="O1445" s="7" t="s">
        <v>4</v>
      </c>
      <c r="P1445" s="149">
        <f t="shared" ca="1" si="45"/>
        <v>44536</v>
      </c>
      <c r="Q1445" s="155">
        <f ca="1">_xll.meDateYearFraction(H1445,I1445,$Q$11,TRUE)</f>
        <v>0.25277777777777777</v>
      </c>
      <c r="R1445" s="150">
        <f ca="1">IF(NOW(),_xll.meCurveForwardRatesFromYearFraction(P1445,Q1445,$Q$11,$Q$9,$Q$10))</f>
        <v>4.9171552767563274E-3</v>
      </c>
      <c r="S1445" s="134" t="s">
        <v>4</v>
      </c>
    </row>
    <row r="1446" spans="1:19" x14ac:dyDescent="0.25">
      <c r="A1446" s="128">
        <v>1430</v>
      </c>
      <c r="B1446" s="133"/>
      <c r="C1446" s="149">
        <f ca="1">_xll.meDateFromTenor(C1445,"1D","FOLLOWING",$D$11,"NORMAL")</f>
        <v>44537</v>
      </c>
      <c r="D1446" s="20">
        <f ca="1">_xll.meDateFromTenor(C1446,"1D","Following",$D$11,"Normal")</f>
        <v>44538</v>
      </c>
      <c r="E1446" s="99">
        <f ca="1"/>
        <v>1.5655224659270387E-2</v>
      </c>
      <c r="F1446" s="161">
        <f ca="1">_xll.meCurveForwardRates(C1446,$D$9,$D$10)</f>
        <v>1.5778063920895313E-2</v>
      </c>
      <c r="G1446" s="7" t="s">
        <v>4</v>
      </c>
      <c r="H1446" s="149">
        <f t="shared" ca="1" si="44"/>
        <v>44537</v>
      </c>
      <c r="I1446" s="20">
        <f ca="1">_xll.meDateFromTenor(H1446,"3M","Following",$I$11,"Normal")</f>
        <v>44627</v>
      </c>
      <c r="J1446" s="150">
        <f ca="1"/>
        <v>1.9969336116118164E-2</v>
      </c>
      <c r="K1446" s="7" t="s">
        <v>4</v>
      </c>
      <c r="L1446" s="149" t="e">
        <f ca="1">_xll.meDateFromTenor(L1445,"1D","FOLLOWING",#REF!,"NORMAL")</f>
        <v>#VALUE!</v>
      </c>
      <c r="M1446" s="155">
        <f ca="1">_xll.meDateYearFraction(C1446,D1446,$M$11)</f>
        <v>2.7777777777777779E-3</v>
      </c>
      <c r="N1446" s="150">
        <f ca="1"/>
        <v>-2.4300000000065936E-3</v>
      </c>
      <c r="O1446" s="7" t="s">
        <v>4</v>
      </c>
      <c r="P1446" s="149">
        <f t="shared" ca="1" si="45"/>
        <v>44537</v>
      </c>
      <c r="Q1446" s="155">
        <f ca="1">_xll.meDateYearFraction(H1446,I1446,$Q$11,TRUE)</f>
        <v>0.25</v>
      </c>
      <c r="R1446" s="150">
        <f ca="1">IF(NOW(),_xll.meCurveForwardRatesFromYearFraction(P1446,Q1446,$Q$11,$Q$9,$Q$10))</f>
        <v>-3.7175485397107962E-3</v>
      </c>
      <c r="S1446" s="134" t="s">
        <v>4</v>
      </c>
    </row>
    <row r="1447" spans="1:19" x14ac:dyDescent="0.25">
      <c r="A1447" s="128">
        <v>1431</v>
      </c>
      <c r="B1447" s="133"/>
      <c r="C1447" s="149">
        <f ca="1">_xll.meDateFromTenor(C1446,"1D","FOLLOWING",$D$11,"NORMAL")</f>
        <v>44538</v>
      </c>
      <c r="D1447" s="20">
        <f ca="1">_xll.meDateFromTenor(C1447,"1D","Following",$D$11,"Normal")</f>
        <v>44539</v>
      </c>
      <c r="E1447" s="99">
        <f ca="1"/>
        <v>1.5658842137662214E-2</v>
      </c>
      <c r="F1447" s="161">
        <f ca="1">_xll.meCurveForwardRates(C1447,$D$9,$D$10)</f>
        <v>1.5781738322932393E-2</v>
      </c>
      <c r="G1447" s="7" t="s">
        <v>4</v>
      </c>
      <c r="H1447" s="149">
        <f t="shared" ca="1" si="44"/>
        <v>44538</v>
      </c>
      <c r="I1447" s="20">
        <f ca="1">_xll.meDateFromTenor(H1447,"3M","Following",$I$11,"Normal")</f>
        <v>44628</v>
      </c>
      <c r="J1447" s="150">
        <f ca="1"/>
        <v>1.9973129674351761E-2</v>
      </c>
      <c r="K1447" s="7" t="s">
        <v>4</v>
      </c>
      <c r="L1447" s="149" t="e">
        <f ca="1">_xll.meDateFromTenor(L1446,"1D","FOLLOWING",#REF!,"NORMAL")</f>
        <v>#VALUE!</v>
      </c>
      <c r="M1447" s="155">
        <f ca="1">_xll.meDateYearFraction(C1447,D1447,$M$11)</f>
        <v>2.7777777777777779E-3</v>
      </c>
      <c r="N1447" s="150">
        <f ca="1"/>
        <v>-2.4300000000065936E-3</v>
      </c>
      <c r="O1447" s="7" t="s">
        <v>4</v>
      </c>
      <c r="P1447" s="149">
        <f t="shared" ca="1" si="45"/>
        <v>44538</v>
      </c>
      <c r="Q1447" s="155">
        <f ca="1">_xll.meDateYearFraction(H1447,I1447,$Q$11,TRUE)</f>
        <v>0.25</v>
      </c>
      <c r="R1447" s="150">
        <f ca="1">IF(NOW(),_xll.meCurveForwardRatesFromYearFraction(P1447,Q1447,$Q$11,$Q$9,$Q$10))</f>
        <v>-3.7175485397107962E-3</v>
      </c>
      <c r="S1447" s="134" t="s">
        <v>4</v>
      </c>
    </row>
    <row r="1448" spans="1:19" x14ac:dyDescent="0.25">
      <c r="A1448" s="128">
        <v>1432</v>
      </c>
      <c r="B1448" s="133"/>
      <c r="C1448" s="149">
        <f ca="1">_xll.meDateFromTenor(C1447,"1D","FOLLOWING",$D$11,"NORMAL")</f>
        <v>44539</v>
      </c>
      <c r="D1448" s="20">
        <f ca="1">_xll.meDateFromTenor(C1448,"1D","Following",$D$11,"Normal")</f>
        <v>44540</v>
      </c>
      <c r="E1448" s="99">
        <f ca="1"/>
        <v>1.566249743988813E-2</v>
      </c>
      <c r="F1448" s="161">
        <f ca="1">_xll.meCurveForwardRates(C1448,$D$9,$D$10)</f>
        <v>1.5785451157452002E-2</v>
      </c>
      <c r="G1448" s="7" t="s">
        <v>4</v>
      </c>
      <c r="H1448" s="149">
        <f t="shared" ca="1" si="44"/>
        <v>44539</v>
      </c>
      <c r="I1448" s="20">
        <f ca="1">_xll.meDateFromTenor(H1448,"3M","Following",$I$11,"Normal")</f>
        <v>44629</v>
      </c>
      <c r="J1448" s="150">
        <f ca="1"/>
        <v>1.9976916438657722E-2</v>
      </c>
      <c r="K1448" s="7" t="s">
        <v>4</v>
      </c>
      <c r="L1448" s="149" t="e">
        <f ca="1">_xll.meDateFromTenor(L1447,"1D","FOLLOWING",#REF!,"NORMAL")</f>
        <v>#VALUE!</v>
      </c>
      <c r="M1448" s="155">
        <f ca="1">_xll.meDateYearFraction(C1448,D1448,$M$11)</f>
        <v>2.7777777777777779E-3</v>
      </c>
      <c r="N1448" s="150">
        <f ca="1"/>
        <v>-2.4300000000065936E-3</v>
      </c>
      <c r="O1448" s="7" t="s">
        <v>4</v>
      </c>
      <c r="P1448" s="149">
        <f t="shared" ca="1" si="45"/>
        <v>44539</v>
      </c>
      <c r="Q1448" s="155">
        <f ca="1">_xll.meDateYearFraction(H1448,I1448,$Q$11,TRUE)</f>
        <v>0.25</v>
      </c>
      <c r="R1448" s="150">
        <f ca="1">IF(NOW(),_xll.meCurveForwardRatesFromYearFraction(P1448,Q1448,$Q$11,$Q$9,$Q$10))</f>
        <v>-3.7175485397107962E-3</v>
      </c>
      <c r="S1448" s="134" t="s">
        <v>4</v>
      </c>
    </row>
    <row r="1449" spans="1:19" x14ac:dyDescent="0.25">
      <c r="A1449" s="128">
        <v>1433</v>
      </c>
      <c r="B1449" s="133"/>
      <c r="C1449" s="149">
        <f ca="1">_xll.meDateFromTenor(C1448,"1D","FOLLOWING",$D$11,"NORMAL")</f>
        <v>44540</v>
      </c>
      <c r="D1449" s="20">
        <f ca="1">_xll.meDateFromTenor(C1449,"1D","Following",$D$11,"Normal")</f>
        <v>44543</v>
      </c>
      <c r="E1449" s="99">
        <f ca="1"/>
        <v>1.5670616241702292E-2</v>
      </c>
      <c r="F1449" s="161">
        <f ca="1">_xll.meCurveForwardRates(C1449,$D$9,$D$10)</f>
        <v>1.5789202431755855E-2</v>
      </c>
      <c r="G1449" s="7" t="s">
        <v>4</v>
      </c>
      <c r="H1449" s="149">
        <f t="shared" ca="1" si="44"/>
        <v>44540</v>
      </c>
      <c r="I1449" s="20">
        <f ca="1">_xll.meDateFromTenor(H1449,"3M","Following",$I$11,"Normal")</f>
        <v>44630</v>
      </c>
      <c r="J1449" s="150">
        <f ca="1"/>
        <v>1.9980696490086079E-2</v>
      </c>
      <c r="K1449" s="7" t="s">
        <v>4</v>
      </c>
      <c r="L1449" s="149" t="e">
        <f ca="1">_xll.meDateFromTenor(L1448,"1D","FOLLOWING",#REF!,"NORMAL")</f>
        <v>#VALUE!</v>
      </c>
      <c r="M1449" s="155">
        <f ca="1">_xll.meDateYearFraction(C1449,D1449,$M$11)</f>
        <v>8.3333333333333332E-3</v>
      </c>
      <c r="N1449" s="150">
        <f ca="1"/>
        <v>-2.4300000000065936E-3</v>
      </c>
      <c r="O1449" s="7" t="s">
        <v>4</v>
      </c>
      <c r="P1449" s="149">
        <f t="shared" ca="1" si="45"/>
        <v>44540</v>
      </c>
      <c r="Q1449" s="155">
        <f ca="1">_xll.meDateYearFraction(H1449,I1449,$Q$11,TRUE)</f>
        <v>0.25</v>
      </c>
      <c r="R1449" s="150">
        <f ca="1">IF(NOW(),_xll.meCurveForwardRatesFromYearFraction(P1449,Q1449,$Q$11,$Q$9,$Q$10))</f>
        <v>4.9576850650454706E-3</v>
      </c>
      <c r="S1449" s="134" t="s">
        <v>4</v>
      </c>
    </row>
    <row r="1450" spans="1:19" x14ac:dyDescent="0.25">
      <c r="A1450" s="128">
        <v>1434</v>
      </c>
      <c r="B1450" s="133"/>
      <c r="C1450" s="149">
        <f ca="1">_xll.meDateFromTenor(C1449,"1D","FOLLOWING",$D$11,"NORMAL")</f>
        <v>44543</v>
      </c>
      <c r="D1450" s="20">
        <f ca="1">_xll.meDateFromTenor(C1450,"1D","Following",$D$11,"Normal")</f>
        <v>44544</v>
      </c>
      <c r="E1450" s="99">
        <f ca="1"/>
        <v>1.5677497020825444E-2</v>
      </c>
      <c r="F1450" s="161">
        <f ca="1">_xll.meCurveForwardRates(C1450,$D$9,$D$10)</f>
        <v>1.5800686964626109E-2</v>
      </c>
      <c r="G1450" s="7" t="s">
        <v>4</v>
      </c>
      <c r="H1450" s="149">
        <f t="shared" ca="1" si="44"/>
        <v>44543</v>
      </c>
      <c r="I1450" s="20">
        <f ca="1">_xll.meDateFromTenor(H1450,"3M","Following",$I$11,"Normal")</f>
        <v>44634</v>
      </c>
      <c r="J1450" s="150">
        <f ca="1"/>
        <v>1.9991997177605757E-2</v>
      </c>
      <c r="K1450" s="7" t="s">
        <v>4</v>
      </c>
      <c r="L1450" s="149" t="e">
        <f ca="1">_xll.meDateFromTenor(L1449,"1D","FOLLOWING",#REF!,"NORMAL")</f>
        <v>#VALUE!</v>
      </c>
      <c r="M1450" s="155">
        <f ca="1">_xll.meDateYearFraction(C1450,D1450,$M$11)</f>
        <v>2.7777777777777779E-3</v>
      </c>
      <c r="N1450" s="150">
        <f ca="1"/>
        <v>-2.4300000000065936E-3</v>
      </c>
      <c r="O1450" s="7" t="s">
        <v>4</v>
      </c>
      <c r="P1450" s="149">
        <f t="shared" ca="1" si="45"/>
        <v>44543</v>
      </c>
      <c r="Q1450" s="155">
        <f ca="1">_xll.meDateYearFraction(H1450,I1450,$Q$11,TRUE)</f>
        <v>0.25277777777777777</v>
      </c>
      <c r="R1450" s="150">
        <f ca="1">IF(NOW(),_xll.meCurveForwardRatesFromYearFraction(P1450,Q1450,$Q$11,$Q$9,$Q$10))</f>
        <v>-3.7175485397107962E-3</v>
      </c>
      <c r="S1450" s="134" t="s">
        <v>4</v>
      </c>
    </row>
    <row r="1451" spans="1:19" x14ac:dyDescent="0.25">
      <c r="A1451" s="128">
        <v>1435</v>
      </c>
      <c r="B1451" s="133"/>
      <c r="C1451" s="149">
        <f ca="1">_xll.meDateFromTenor(C1450,"1D","FOLLOWING",$D$11,"NORMAL")</f>
        <v>44544</v>
      </c>
      <c r="D1451" s="20">
        <f ca="1">_xll.meDateFromTenor(C1451,"1D","Following",$D$11,"Normal")</f>
        <v>44545</v>
      </c>
      <c r="E1451" s="99">
        <f ca="1"/>
        <v>1.5681341542321581E-2</v>
      </c>
      <c r="F1451" s="161">
        <f ca="1">_xll.meCurveForwardRates(C1451,$D$9,$D$10)</f>
        <v>1.5804592069626811E-2</v>
      </c>
      <c r="G1451" s="7" t="s">
        <v>4</v>
      </c>
      <c r="H1451" s="149">
        <f t="shared" ca="1" si="44"/>
        <v>44544</v>
      </c>
      <c r="I1451" s="20">
        <f ca="1">_xll.meDateFromTenor(H1451,"3M","Following",$I$11,"Normal")</f>
        <v>44634</v>
      </c>
      <c r="J1451" s="150">
        <f ca="1"/>
        <v>1.9995751188023939E-2</v>
      </c>
      <c r="K1451" s="7" t="s">
        <v>4</v>
      </c>
      <c r="L1451" s="149" t="e">
        <f ca="1">_xll.meDateFromTenor(L1450,"1D","FOLLOWING",#REF!,"NORMAL")</f>
        <v>#VALUE!</v>
      </c>
      <c r="M1451" s="155">
        <f ca="1">_xll.meDateYearFraction(C1451,D1451,$M$11)</f>
        <v>2.7777777777777779E-3</v>
      </c>
      <c r="N1451" s="150">
        <f ca="1"/>
        <v>-2.4300000000065936E-3</v>
      </c>
      <c r="O1451" s="7" t="s">
        <v>4</v>
      </c>
      <c r="P1451" s="149">
        <f t="shared" ca="1" si="45"/>
        <v>44544</v>
      </c>
      <c r="Q1451" s="155">
        <f ca="1">_xll.meDateYearFraction(H1451,I1451,$Q$11,TRUE)</f>
        <v>0.25</v>
      </c>
      <c r="R1451" s="150">
        <f ca="1">IF(NOW(),_xll.meCurveForwardRatesFromYearFraction(P1451,Q1451,$Q$11,$Q$9,$Q$10))</f>
        <v>4.9984195758288122E-3</v>
      </c>
      <c r="S1451" s="134" t="s">
        <v>4</v>
      </c>
    </row>
    <row r="1452" spans="1:19" x14ac:dyDescent="0.25">
      <c r="A1452" s="128">
        <v>1436</v>
      </c>
      <c r="B1452" s="133"/>
      <c r="C1452" s="149">
        <f ca="1">_xll.meDateFromTenor(C1451,"1D","FOLLOWING",$D$11,"NORMAL")</f>
        <v>44545</v>
      </c>
      <c r="D1452" s="20">
        <f ca="1">_xll.meDateFromTenor(C1452,"1D","Following",$D$11,"Normal")</f>
        <v>44546</v>
      </c>
      <c r="E1452" s="99">
        <f ca="1"/>
        <v>1.5685223927699787E-2</v>
      </c>
      <c r="F1452" s="161">
        <f ca="1">_xll.meCurveForwardRates(C1452,$D$9,$D$10)</f>
        <v>1.5808535650376543E-2</v>
      </c>
      <c r="G1452" s="7" t="s">
        <v>4</v>
      </c>
      <c r="H1452" s="149">
        <f t="shared" ca="1" si="44"/>
        <v>44545</v>
      </c>
      <c r="I1452" s="20">
        <f ca="1">_xll.meDateFromTenor(H1452,"3M","Following",$I$11,"Normal")</f>
        <v>44635</v>
      </c>
      <c r="J1452" s="150">
        <f ca="1"/>
        <v>1.9999498890814642E-2</v>
      </c>
      <c r="K1452" s="7" t="s">
        <v>4</v>
      </c>
      <c r="L1452" s="149" t="e">
        <f ca="1">_xll.meDateFromTenor(L1451,"1D","FOLLOWING",#REF!,"NORMAL")</f>
        <v>#VALUE!</v>
      </c>
      <c r="M1452" s="155">
        <f ca="1">_xll.meDateYearFraction(C1452,D1452,$M$11)</f>
        <v>2.7777777777777779E-3</v>
      </c>
      <c r="N1452" s="150">
        <f ca="1"/>
        <v>-2.4300000000065936E-3</v>
      </c>
      <c r="O1452" s="7" t="s">
        <v>4</v>
      </c>
      <c r="P1452" s="149">
        <f t="shared" ca="1" si="45"/>
        <v>44545</v>
      </c>
      <c r="Q1452" s="155">
        <f ca="1">_xll.meDateYearFraction(H1452,I1452,$Q$11,TRUE)</f>
        <v>0.25</v>
      </c>
      <c r="R1452" s="150">
        <f ca="1">IF(NOW(),_xll.meCurveForwardRatesFromYearFraction(P1452,Q1452,$Q$11,$Q$9,$Q$10))</f>
        <v>-3.7175485397107962E-3</v>
      </c>
      <c r="S1452" s="134" t="s">
        <v>4</v>
      </c>
    </row>
    <row r="1453" spans="1:19" x14ac:dyDescent="0.25">
      <c r="A1453" s="128">
        <v>1437</v>
      </c>
      <c r="B1453" s="133"/>
      <c r="C1453" s="149">
        <f ca="1">_xll.meDateFromTenor(C1452,"1D","FOLLOWING",$D$11,"NORMAL")</f>
        <v>44546</v>
      </c>
      <c r="D1453" s="20">
        <f ca="1">_xll.meDateFromTenor(C1453,"1D","Following",$D$11,"Normal")</f>
        <v>44547</v>
      </c>
      <c r="E1453" s="99">
        <f ca="1"/>
        <v>1.5689144183734561E-2</v>
      </c>
      <c r="F1453" s="161">
        <f ca="1">_xll.meCurveForwardRates(C1453,$D$9,$D$10)</f>
        <v>1.5812517714203445E-2</v>
      </c>
      <c r="G1453" s="7" t="s">
        <v>4</v>
      </c>
      <c r="H1453" s="149">
        <f t="shared" ca="1" si="44"/>
        <v>44546</v>
      </c>
      <c r="I1453" s="20">
        <f ca="1">_xll.meDateFromTenor(H1453,"3M","Following",$I$11,"Normal")</f>
        <v>44636</v>
      </c>
      <c r="J1453" s="150">
        <f ca="1"/>
        <v>2.0003240367027893E-2</v>
      </c>
      <c r="K1453" s="7" t="s">
        <v>4</v>
      </c>
      <c r="L1453" s="149" t="e">
        <f ca="1">_xll.meDateFromTenor(L1452,"1D","FOLLOWING",#REF!,"NORMAL")</f>
        <v>#VALUE!</v>
      </c>
      <c r="M1453" s="155">
        <f ca="1">_xll.meDateYearFraction(C1453,D1453,$M$11)</f>
        <v>2.7777777777777779E-3</v>
      </c>
      <c r="N1453" s="150">
        <f ca="1"/>
        <v>-2.4300000000065936E-3</v>
      </c>
      <c r="O1453" s="7" t="s">
        <v>4</v>
      </c>
      <c r="P1453" s="149">
        <f t="shared" ca="1" si="45"/>
        <v>44546</v>
      </c>
      <c r="Q1453" s="155">
        <f ca="1">_xll.meDateYearFraction(H1453,I1453,$Q$11,TRUE)</f>
        <v>0.25</v>
      </c>
      <c r="R1453" s="150">
        <f ca="1">IF(NOW(),_xll.meCurveForwardRatesFromYearFraction(P1453,Q1453,$Q$11,$Q$9,$Q$10))</f>
        <v>5.0188552393556837E-3</v>
      </c>
      <c r="S1453" s="134" t="s">
        <v>4</v>
      </c>
    </row>
    <row r="1454" spans="1:19" x14ac:dyDescent="0.25">
      <c r="A1454" s="128">
        <v>1438</v>
      </c>
      <c r="B1454" s="133"/>
      <c r="C1454" s="149">
        <f ca="1">_xll.meDateFromTenor(C1453,"1D","FOLLOWING",$D$11,"NORMAL")</f>
        <v>44547</v>
      </c>
      <c r="D1454" s="20">
        <f ca="1">_xll.meDateFromTenor(C1454,"1D","Following",$D$11,"Normal")</f>
        <v>44550</v>
      </c>
      <c r="E1454" s="99">
        <f ca="1"/>
        <v>1.5697795416694586E-2</v>
      </c>
      <c r="F1454" s="161">
        <f ca="1">_xll.meCurveForwardRates(C1454,$D$9,$D$10)</f>
        <v>1.58165382681561E-2</v>
      </c>
      <c r="G1454" s="7" t="s">
        <v>4</v>
      </c>
      <c r="H1454" s="149">
        <f t="shared" ca="1" si="44"/>
        <v>44547</v>
      </c>
      <c r="I1454" s="20">
        <f ca="1">_xll.meDateFromTenor(H1454,"3M","Following",$I$11,"Normal")</f>
        <v>44637</v>
      </c>
      <c r="J1454" s="150">
        <f ca="1"/>
        <v>2.0006975697713713E-2</v>
      </c>
      <c r="K1454" s="7" t="s">
        <v>4</v>
      </c>
      <c r="L1454" s="149" t="e">
        <f ca="1">_xll.meDateFromTenor(L1453,"1D","FOLLOWING",#REF!,"NORMAL")</f>
        <v>#VALUE!</v>
      </c>
      <c r="M1454" s="155">
        <f ca="1">_xll.meDateYearFraction(C1454,D1454,$M$11)</f>
        <v>8.3333333333333332E-3</v>
      </c>
      <c r="N1454" s="150">
        <f ca="1"/>
        <v>-2.4300000000065936E-3</v>
      </c>
      <c r="O1454" s="7" t="s">
        <v>4</v>
      </c>
      <c r="P1454" s="149">
        <f t="shared" ca="1" si="45"/>
        <v>44547</v>
      </c>
      <c r="Q1454" s="155">
        <f ca="1">_xll.meDateYearFraction(H1454,I1454,$Q$11,TRUE)</f>
        <v>0.25</v>
      </c>
      <c r="R1454" s="150">
        <f ca="1">IF(NOW(),_xll.meCurveForwardRatesFromYearFraction(P1454,Q1454,$Q$11,$Q$9,$Q$10))</f>
        <v>-3.7175485397107962E-3</v>
      </c>
      <c r="S1454" s="134" t="s">
        <v>4</v>
      </c>
    </row>
    <row r="1455" spans="1:19" x14ac:dyDescent="0.25">
      <c r="A1455" s="128">
        <v>1439</v>
      </c>
      <c r="B1455" s="133"/>
      <c r="C1455" s="149">
        <f ca="1">_xll.meDateFromTenor(C1454,"1D","FOLLOWING",$D$11,"NORMAL")</f>
        <v>44550</v>
      </c>
      <c r="D1455" s="20">
        <f ca="1">_xll.meDateFromTenor(C1455,"1D","Following",$D$11,"Normal")</f>
        <v>44551</v>
      </c>
      <c r="E1455" s="99">
        <f ca="1"/>
        <v>1.570520404693386E-2</v>
      </c>
      <c r="F1455" s="161">
        <f ca="1">_xll.meCurveForwardRates(C1455,$D$9,$D$10)</f>
        <v>1.5828830943957817E-2</v>
      </c>
      <c r="G1455" s="7" t="s">
        <v>4</v>
      </c>
      <c r="H1455" s="149">
        <f t="shared" ca="1" si="44"/>
        <v>44550</v>
      </c>
      <c r="I1455" s="20">
        <f ca="1">_xll.meDateFromTenor(H1455,"3M","Following",$I$11,"Normal")</f>
        <v>44641</v>
      </c>
      <c r="J1455" s="150">
        <f ca="1"/>
        <v>2.001814562710685E-2</v>
      </c>
      <c r="K1455" s="7" t="s">
        <v>4</v>
      </c>
      <c r="L1455" s="149" t="e">
        <f ca="1">_xll.meDateFromTenor(L1454,"1D","FOLLOWING",#REF!,"NORMAL")</f>
        <v>#VALUE!</v>
      </c>
      <c r="M1455" s="155">
        <f ca="1">_xll.meDateYearFraction(C1455,D1455,$M$11)</f>
        <v>2.7777777777777779E-3</v>
      </c>
      <c r="N1455" s="150">
        <f ca="1"/>
        <v>-2.4300000000065936E-3</v>
      </c>
      <c r="O1455" s="7" t="s">
        <v>4</v>
      </c>
      <c r="P1455" s="149">
        <f t="shared" ca="1" si="45"/>
        <v>44550</v>
      </c>
      <c r="Q1455" s="155">
        <f ca="1">_xll.meDateYearFraction(H1455,I1455,$Q$11,TRUE)</f>
        <v>0.25277777777777777</v>
      </c>
      <c r="R1455" s="150">
        <f ca="1">IF(NOW(),_xll.meCurveForwardRatesFromYearFraction(P1455,Q1455,$Q$11,$Q$9,$Q$10))</f>
        <v>-3.7175485397107962E-3</v>
      </c>
      <c r="S1455" s="134" t="s">
        <v>4</v>
      </c>
    </row>
    <row r="1456" spans="1:19" x14ac:dyDescent="0.25">
      <c r="A1456" s="128">
        <v>1440</v>
      </c>
      <c r="B1456" s="133"/>
      <c r="C1456" s="149">
        <f ca="1">_xll.meDateFromTenor(C1455,"1D","FOLLOWING",$D$11,"NORMAL")</f>
        <v>44551</v>
      </c>
      <c r="D1456" s="20">
        <f ca="1">_xll.meDateFromTenor(C1456,"1D","Following",$D$11,"Normal")</f>
        <v>44552</v>
      </c>
      <c r="E1456" s="99">
        <f ca="1"/>
        <v>1.570931375623176E-2</v>
      </c>
      <c r="F1456" s="161">
        <f ca="1">_xll.meCurveForwardRates(C1456,$D$9,$D$10)</f>
        <v>1.5833005531584954E-2</v>
      </c>
      <c r="G1456" s="7" t="s">
        <v>4</v>
      </c>
      <c r="H1456" s="149">
        <f t="shared" ca="1" si="44"/>
        <v>44551</v>
      </c>
      <c r="I1456" s="20">
        <f ca="1">_xll.meDateFromTenor(H1456,"3M","Following",$I$11,"Normal")</f>
        <v>44641</v>
      </c>
      <c r="J1456" s="150">
        <f ca="1"/>
        <v>2.0021857186183205E-2</v>
      </c>
      <c r="K1456" s="7" t="s">
        <v>4</v>
      </c>
      <c r="L1456" s="149" t="e">
        <f ca="1">_xll.meDateFromTenor(L1455,"1D","FOLLOWING",#REF!,"NORMAL")</f>
        <v>#VALUE!</v>
      </c>
      <c r="M1456" s="155">
        <f ca="1">_xll.meDateYearFraction(C1456,D1456,$M$11)</f>
        <v>2.7777777777777779E-3</v>
      </c>
      <c r="N1456" s="150">
        <f ca="1"/>
        <v>-2.4300000000065936E-3</v>
      </c>
      <c r="O1456" s="7" t="s">
        <v>4</v>
      </c>
      <c r="P1456" s="149">
        <f t="shared" ca="1" si="45"/>
        <v>44551</v>
      </c>
      <c r="Q1456" s="155">
        <f ca="1">_xll.meDateYearFraction(H1456,I1456,$Q$11,TRUE)</f>
        <v>0.25</v>
      </c>
      <c r="R1456" s="150">
        <f ca="1">IF(NOW(),_xll.meCurveForwardRatesFromYearFraction(P1456,Q1456,$Q$11,$Q$9,$Q$10))</f>
        <v>-3.7175485397107962E-3</v>
      </c>
      <c r="S1456" s="134" t="s">
        <v>4</v>
      </c>
    </row>
    <row r="1457" spans="1:19" x14ac:dyDescent="0.25">
      <c r="A1457" s="128">
        <v>1441</v>
      </c>
      <c r="B1457" s="133"/>
      <c r="C1457" s="149">
        <f ca="1">_xll.meDateFromTenor(C1456,"1D","FOLLOWING",$D$11,"NORMAL")</f>
        <v>44552</v>
      </c>
      <c r="D1457" s="20">
        <f ca="1">_xll.meDateFromTenor(C1457,"1D","Following",$D$11,"Normal")</f>
        <v>44553</v>
      </c>
      <c r="E1457" s="99">
        <f ca="1"/>
        <v>1.5713461376074309E-2</v>
      </c>
      <c r="F1457" s="161">
        <f ca="1">_xll.meCurveForwardRates(C1457,$D$9,$D$10)</f>
        <v>1.5837218645580853E-2</v>
      </c>
      <c r="G1457" s="7" t="s">
        <v>4</v>
      </c>
      <c r="H1457" s="149">
        <f t="shared" ca="1" si="44"/>
        <v>44552</v>
      </c>
      <c r="I1457" s="20">
        <f ca="1">_xll.meDateFromTenor(H1457,"3M","Following",$I$11,"Normal")</f>
        <v>44642</v>
      </c>
      <c r="J1457" s="150">
        <f ca="1"/>
        <v>2.0025563004982261E-2</v>
      </c>
      <c r="K1457" s="7" t="s">
        <v>4</v>
      </c>
      <c r="L1457" s="149" t="e">
        <f ca="1">_xll.meDateFromTenor(L1456,"1D","FOLLOWING",#REF!,"NORMAL")</f>
        <v>#VALUE!</v>
      </c>
      <c r="M1457" s="155">
        <f ca="1">_xll.meDateYearFraction(C1457,D1457,$M$11)</f>
        <v>2.7777777777777779E-3</v>
      </c>
      <c r="N1457" s="150">
        <f ca="1"/>
        <v>-2.4300000000065936E-3</v>
      </c>
      <c r="O1457" s="7" t="s">
        <v>4</v>
      </c>
      <c r="P1457" s="149">
        <f t="shared" ca="1" si="45"/>
        <v>44552</v>
      </c>
      <c r="Q1457" s="155">
        <f ca="1">_xll.meDateYearFraction(H1457,I1457,$Q$11,TRUE)</f>
        <v>0.25</v>
      </c>
      <c r="R1457" s="150">
        <f ca="1">IF(NOW(),_xll.meCurveForwardRatesFromYearFraction(P1457,Q1457,$Q$11,$Q$9,$Q$10))</f>
        <v>5.0803957210364863E-3</v>
      </c>
      <c r="S1457" s="134" t="s">
        <v>4</v>
      </c>
    </row>
    <row r="1458" spans="1:19" x14ac:dyDescent="0.25">
      <c r="A1458" s="128">
        <v>1442</v>
      </c>
      <c r="B1458" s="133"/>
      <c r="C1458" s="149">
        <f ca="1">_xll.meDateFromTenor(C1457,"1D","FOLLOWING",$D$11,"NORMAL")</f>
        <v>44553</v>
      </c>
      <c r="D1458" s="20">
        <f ca="1">_xll.meDateFromTenor(C1458,"1D","Following",$D$11,"Normal")</f>
        <v>44554</v>
      </c>
      <c r="E1458" s="99">
        <f ca="1"/>
        <v>1.5717646913515973E-2</v>
      </c>
      <c r="F1458" s="161">
        <f ca="1">_xll.meCurveForwardRates(C1458,$D$9,$D$10)</f>
        <v>1.5841470293588955E-2</v>
      </c>
      <c r="G1458" s="7" t="s">
        <v>4</v>
      </c>
      <c r="H1458" s="149">
        <f t="shared" ca="1" si="44"/>
        <v>44553</v>
      </c>
      <c r="I1458" s="20">
        <f ca="1">_xll.meDateFromTenor(H1458,"3M","Following",$I$11,"Normal")</f>
        <v>44643</v>
      </c>
      <c r="J1458" s="150">
        <f ca="1"/>
        <v>2.0029263164554039E-2</v>
      </c>
      <c r="K1458" s="7" t="s">
        <v>4</v>
      </c>
      <c r="L1458" s="149" t="e">
        <f ca="1">_xll.meDateFromTenor(L1457,"1D","FOLLOWING",#REF!,"NORMAL")</f>
        <v>#VALUE!</v>
      </c>
      <c r="M1458" s="155">
        <f ca="1">_xll.meDateYearFraction(C1458,D1458,$M$11)</f>
        <v>2.7777777777777779E-3</v>
      </c>
      <c r="N1458" s="150">
        <f ca="1"/>
        <v>-2.4300000000065936E-3</v>
      </c>
      <c r="O1458" s="7" t="s">
        <v>4</v>
      </c>
      <c r="P1458" s="149">
        <f t="shared" ca="1" si="45"/>
        <v>44553</v>
      </c>
      <c r="Q1458" s="155">
        <f ca="1">_xll.meDateYearFraction(H1458,I1458,$Q$11,TRUE)</f>
        <v>0.25</v>
      </c>
      <c r="R1458" s="150">
        <f ca="1">IF(NOW(),_xll.meCurveForwardRatesFromYearFraction(P1458,Q1458,$Q$11,$Q$9,$Q$10))</f>
        <v>-3.7175485397107962E-3</v>
      </c>
      <c r="S1458" s="134" t="s">
        <v>4</v>
      </c>
    </row>
    <row r="1459" spans="1:19" x14ac:dyDescent="0.25">
      <c r="A1459" s="128">
        <v>1443</v>
      </c>
      <c r="B1459" s="133"/>
      <c r="C1459" s="149">
        <f ca="1">_xll.meDateFromTenor(C1458,"1D","FOLLOWING",$D$11,"NORMAL")</f>
        <v>44554</v>
      </c>
      <c r="D1459" s="20">
        <f ca="1">_xll.meDateFromTenor(C1459,"1D","Following",$D$11,"Normal")</f>
        <v>44559</v>
      </c>
      <c r="E1459" s="99">
        <f ca="1"/>
        <v>1.57318438113303E-2</v>
      </c>
      <c r="F1459" s="161">
        <f ca="1">_xll.meCurveForwardRates(C1459,$D$9,$D$10)</f>
        <v>1.5845760482648741E-2</v>
      </c>
      <c r="G1459" s="7" t="s">
        <v>4</v>
      </c>
      <c r="H1459" s="149">
        <f t="shared" ca="1" si="44"/>
        <v>44554</v>
      </c>
      <c r="I1459" s="20">
        <f ca="1">_xll.meDateFromTenor(H1459,"3M","Following",$I$11,"Normal")</f>
        <v>44644</v>
      </c>
      <c r="J1459" s="150">
        <f ca="1"/>
        <v>2.0032957745948571E-2</v>
      </c>
      <c r="K1459" s="7" t="s">
        <v>4</v>
      </c>
      <c r="L1459" s="149" t="e">
        <f ca="1">_xll.meDateFromTenor(L1458,"1D","FOLLOWING",#REF!,"NORMAL")</f>
        <v>#VALUE!</v>
      </c>
      <c r="M1459" s="155">
        <f ca="1">_xll.meDateYearFraction(C1459,D1459,$M$11)</f>
        <v>1.3888888888888888E-2</v>
      </c>
      <c r="N1459" s="150">
        <f ca="1"/>
        <v>-2.4300000000065936E-3</v>
      </c>
      <c r="O1459" s="7" t="s">
        <v>4</v>
      </c>
      <c r="P1459" s="149">
        <f t="shared" ca="1" si="45"/>
        <v>44554</v>
      </c>
      <c r="Q1459" s="155">
        <f ca="1">_xll.meDateYearFraction(H1459,I1459,$Q$11,TRUE)</f>
        <v>0.25</v>
      </c>
      <c r="R1459" s="150">
        <f ca="1">IF(NOW(),_xll.meCurveForwardRatesFromYearFraction(P1459,Q1459,$Q$11,$Q$9,$Q$10))</f>
        <v>5.1009758948966444E-3</v>
      </c>
      <c r="S1459" s="134" t="s">
        <v>4</v>
      </c>
    </row>
    <row r="1460" spans="1:19" x14ac:dyDescent="0.25">
      <c r="A1460" s="128">
        <v>1444</v>
      </c>
      <c r="B1460" s="133"/>
      <c r="C1460" s="149">
        <f ca="1">_xll.meDateFromTenor(C1459,"1D","FOLLOWING",$D$11,"NORMAL")</f>
        <v>44559</v>
      </c>
      <c r="D1460" s="20">
        <f ca="1">_xll.meDateFromTenor(C1460,"1D","Following",$D$11,"Normal")</f>
        <v>44560</v>
      </c>
      <c r="E1460" s="99">
        <f ca="1"/>
        <v>1.5743556781527078E-2</v>
      </c>
      <c r="F1460" s="161">
        <f ca="1">_xll.meCurveForwardRates(C1460,$D$9,$D$10)</f>
        <v>1.5867789802910259E-2</v>
      </c>
      <c r="G1460" s="7" t="s">
        <v>4</v>
      </c>
      <c r="H1460" s="149">
        <f t="shared" ca="1" si="44"/>
        <v>44559</v>
      </c>
      <c r="I1460" s="20">
        <f ca="1">_xll.meDateFromTenor(H1460,"3M","Following",$I$11,"Normal")</f>
        <v>44649</v>
      </c>
      <c r="J1460" s="150">
        <f ca="1"/>
        <v>2.0051349817013335E-2</v>
      </c>
      <c r="K1460" s="7" t="s">
        <v>4</v>
      </c>
      <c r="L1460" s="149" t="e">
        <f ca="1">_xll.meDateFromTenor(L1459,"1D","FOLLOWING",#REF!,"NORMAL")</f>
        <v>#VALUE!</v>
      </c>
      <c r="M1460" s="155">
        <f ca="1">_xll.meDateYearFraction(C1460,D1460,$M$11)</f>
        <v>2.7777777777777779E-3</v>
      </c>
      <c r="N1460" s="150">
        <f ca="1"/>
        <v>-2.4300000000065936E-3</v>
      </c>
      <c r="O1460" s="7" t="s">
        <v>4</v>
      </c>
      <c r="P1460" s="149">
        <f t="shared" ca="1" si="45"/>
        <v>44559</v>
      </c>
      <c r="Q1460" s="155">
        <f ca="1">_xll.meDateYearFraction(H1460,I1460,$Q$11,TRUE)</f>
        <v>0.25</v>
      </c>
      <c r="R1460" s="150">
        <f ca="1">IF(NOW(),_xll.meCurveForwardRatesFromYearFraction(P1460,Q1460,$Q$11,$Q$9,$Q$10))</f>
        <v>-3.7175485397107962E-3</v>
      </c>
      <c r="S1460" s="134" t="s">
        <v>4</v>
      </c>
    </row>
    <row r="1461" spans="1:19" x14ac:dyDescent="0.25">
      <c r="A1461" s="128">
        <v>1445</v>
      </c>
      <c r="B1461" s="133"/>
      <c r="C1461" s="149">
        <f ca="1">_xll.meDateFromTenor(C1460,"1D","FOLLOWING",$D$11,"NORMAL")</f>
        <v>44560</v>
      </c>
      <c r="D1461" s="20">
        <f ca="1">_xll.meDateFromTenor(C1461,"1D","Following",$D$11,"Normal")</f>
        <v>44561</v>
      </c>
      <c r="E1461" s="99">
        <f ca="1"/>
        <v>1.5748007929772025E-2</v>
      </c>
      <c r="F1461" s="161">
        <f ca="1">_xll.meCurveForwardRates(C1461,$D$9,$D$10)</f>
        <v>1.5872311393336336E-2</v>
      </c>
      <c r="G1461" s="7" t="s">
        <v>4</v>
      </c>
      <c r="H1461" s="149">
        <f t="shared" ca="1" si="44"/>
        <v>44560</v>
      </c>
      <c r="I1461" s="20">
        <f ca="1">_xll.meDateFromTenor(H1461,"3M","Following",$I$11,"Normal")</f>
        <v>44650</v>
      </c>
      <c r="J1461" s="150">
        <f ca="1"/>
        <v>2.0055012631394895E-2</v>
      </c>
      <c r="K1461" s="7" t="s">
        <v>4</v>
      </c>
      <c r="L1461" s="149" t="e">
        <f ca="1">_xll.meDateFromTenor(L1460,"1D","FOLLOWING",#REF!,"NORMAL")</f>
        <v>#VALUE!</v>
      </c>
      <c r="M1461" s="155">
        <f ca="1">_xll.meDateYearFraction(C1461,D1461,$M$11)</f>
        <v>2.7777777777777779E-3</v>
      </c>
      <c r="N1461" s="150">
        <f ca="1"/>
        <v>-2.4300000000065936E-3</v>
      </c>
      <c r="O1461" s="7" t="s">
        <v>4</v>
      </c>
      <c r="P1461" s="149">
        <f t="shared" ca="1" si="45"/>
        <v>44560</v>
      </c>
      <c r="Q1461" s="155">
        <f ca="1">_xll.meDateYearFraction(H1461,I1461,$Q$11,TRUE)</f>
        <v>0.25</v>
      </c>
      <c r="R1461" s="150">
        <f ca="1">IF(NOW(),_xll.meCurveForwardRatesFromYearFraction(P1461,Q1461,$Q$11,$Q$9,$Q$10))</f>
        <v>5.1628696246960983E-3</v>
      </c>
      <c r="S1461" s="134" t="s">
        <v>4</v>
      </c>
    </row>
    <row r="1462" spans="1:19" x14ac:dyDescent="0.25">
      <c r="A1462" s="128">
        <v>1446</v>
      </c>
      <c r="B1462" s="133"/>
      <c r="C1462" s="149">
        <f ca="1">_xll.meDateFromTenor(C1461,"1D","FOLLOWING",$D$11,"NORMAL")</f>
        <v>44561</v>
      </c>
      <c r="D1462" s="20">
        <f ca="1">_xll.meDateFromTenor(C1462,"1D","Following",$D$11,"Normal")</f>
        <v>44565</v>
      </c>
      <c r="E1462" s="99">
        <f ca="1"/>
        <v>1.5760360530916506E-2</v>
      </c>
      <c r="F1462" s="161">
        <f ca="1">_xll.meCurveForwardRates(C1462,$D$9,$D$10)</f>
        <v>1.5876871576406604E-2</v>
      </c>
      <c r="G1462" s="7" t="s">
        <v>4</v>
      </c>
      <c r="H1462" s="149">
        <f t="shared" ca="1" si="44"/>
        <v>44561</v>
      </c>
      <c r="I1462" s="20">
        <f ca="1">_xll.meDateFromTenor(H1462,"3M","Following",$I$11,"Normal")</f>
        <v>44651</v>
      </c>
      <c r="J1462" s="150">
        <f ca="1"/>
        <v>2.0058670434949379E-2</v>
      </c>
      <c r="K1462" s="7" t="s">
        <v>4</v>
      </c>
      <c r="L1462" s="149" t="e">
        <f ca="1">_xll.meDateFromTenor(L1461,"1D","FOLLOWING",#REF!,"NORMAL")</f>
        <v>#VALUE!</v>
      </c>
      <c r="M1462" s="155">
        <f ca="1">_xll.meDateYearFraction(C1462,D1462,$M$11)</f>
        <v>1.1111111111111112E-2</v>
      </c>
      <c r="N1462" s="150">
        <f ca="1"/>
        <v>-2.4300000000065936E-3</v>
      </c>
      <c r="O1462" s="7" t="s">
        <v>4</v>
      </c>
      <c r="P1462" s="149">
        <f t="shared" ca="1" si="45"/>
        <v>44561</v>
      </c>
      <c r="Q1462" s="155">
        <f ca="1">_xll.meDateYearFraction(H1462,I1462,$Q$11,TRUE)</f>
        <v>0.25</v>
      </c>
      <c r="R1462" s="150">
        <f ca="1">IF(NOW(),_xll.meCurveForwardRatesFromYearFraction(P1462,Q1462,$Q$11,$Q$9,$Q$10))</f>
        <v>-3.7175485397107962E-3</v>
      </c>
      <c r="S1462" s="134" t="s">
        <v>4</v>
      </c>
    </row>
    <row r="1463" spans="1:19" x14ac:dyDescent="0.25">
      <c r="A1463" s="128">
        <v>1447</v>
      </c>
      <c r="B1463" s="133"/>
      <c r="C1463" s="149">
        <f ca="1">_xll.meDateFromTenor(C1462,"1D","FOLLOWING",$D$11,"NORMAL")</f>
        <v>44565</v>
      </c>
      <c r="D1463" s="20">
        <f ca="1">_xll.meDateFromTenor(C1463,"1D","Following",$D$11,"Normal")</f>
        <v>44566</v>
      </c>
      <c r="E1463" s="99">
        <f ca="1"/>
        <v>1.5770833377149265E-2</v>
      </c>
      <c r="F1463" s="161">
        <f ca="1">_xll.meCurveForwardRates(C1463,$D$9,$D$10)</f>
        <v>1.5895498382910267E-2</v>
      </c>
      <c r="G1463" s="7" t="s">
        <v>4</v>
      </c>
      <c r="H1463" s="149">
        <f t="shared" ca="1" si="44"/>
        <v>44565</v>
      </c>
      <c r="I1463" s="20">
        <f ca="1">_xll.meDateFromTenor(H1463,"3M","Following",$I$11,"Normal")</f>
        <v>44655</v>
      </c>
      <c r="J1463" s="150">
        <f ca="1"/>
        <v>2.0073253161897092E-2</v>
      </c>
      <c r="K1463" s="7" t="s">
        <v>4</v>
      </c>
      <c r="L1463" s="149" t="e">
        <f ca="1">_xll.meDateFromTenor(L1462,"1D","FOLLOWING",#REF!,"NORMAL")</f>
        <v>#VALUE!</v>
      </c>
      <c r="M1463" s="155">
        <f ca="1">_xll.meDateYearFraction(C1463,D1463,$M$11)</f>
        <v>2.7777777777777779E-3</v>
      </c>
      <c r="N1463" s="150">
        <f ca="1"/>
        <v>-2.4300000000065936E-3</v>
      </c>
      <c r="O1463" s="7" t="s">
        <v>4</v>
      </c>
      <c r="P1463" s="149">
        <f t="shared" ca="1" si="45"/>
        <v>44565</v>
      </c>
      <c r="Q1463" s="155">
        <f ca="1">_xll.meDateYearFraction(H1463,I1463,$Q$11,TRUE)</f>
        <v>0.25</v>
      </c>
      <c r="R1463" s="150">
        <f ca="1">IF(NOW(),_xll.meCurveForwardRatesFromYearFraction(P1463,Q1463,$Q$11,$Q$9,$Q$10))</f>
        <v>5.2145734555957991E-3</v>
      </c>
      <c r="S1463" s="134" t="s">
        <v>4</v>
      </c>
    </row>
    <row r="1464" spans="1:19" x14ac:dyDescent="0.25">
      <c r="A1464" s="128">
        <v>1448</v>
      </c>
      <c r="B1464" s="133"/>
      <c r="C1464" s="149">
        <f ca="1">_xll.meDateFromTenor(C1463,"1D","FOLLOWING",$D$11,"NORMAL")</f>
        <v>44566</v>
      </c>
      <c r="D1464" s="20">
        <f ca="1">_xll.meDateFromTenor(C1464,"1D","Following",$D$11,"Normal")</f>
        <v>44567</v>
      </c>
      <c r="E1464" s="99">
        <f ca="1"/>
        <v>1.5775512455309147E-2</v>
      </c>
      <c r="F1464" s="161">
        <f ca="1">_xll.meCurveForwardRates(C1464,$D$9,$D$10)</f>
        <v>1.5900251640208918E-2</v>
      </c>
      <c r="G1464" s="7" t="s">
        <v>4</v>
      </c>
      <c r="H1464" s="149">
        <f t="shared" ca="1" si="44"/>
        <v>44566</v>
      </c>
      <c r="I1464" s="20">
        <f ca="1">_xll.meDateFromTenor(H1464,"3M","Following",$I$11,"Normal")</f>
        <v>44656</v>
      </c>
      <c r="J1464" s="150">
        <f ca="1"/>
        <v>2.0076887127066595E-2</v>
      </c>
      <c r="K1464" s="7" t="s">
        <v>4</v>
      </c>
      <c r="L1464" s="149" t="e">
        <f ca="1">_xll.meDateFromTenor(L1463,"1D","FOLLOWING",#REF!,"NORMAL")</f>
        <v>#VALUE!</v>
      </c>
      <c r="M1464" s="155">
        <f ca="1">_xll.meDateYearFraction(C1464,D1464,$M$11)</f>
        <v>2.7777777777777779E-3</v>
      </c>
      <c r="N1464" s="150">
        <f ca="1"/>
        <v>-2.4300000000065936E-3</v>
      </c>
      <c r="O1464" s="7" t="s">
        <v>4</v>
      </c>
      <c r="P1464" s="149">
        <f t="shared" ca="1" si="45"/>
        <v>44566</v>
      </c>
      <c r="Q1464" s="155">
        <f ca="1">_xll.meDateYearFraction(H1464,I1464,$Q$11,TRUE)</f>
        <v>0.25</v>
      </c>
      <c r="R1464" s="150">
        <f ca="1">IF(NOW(),_xll.meCurveForwardRatesFromYearFraction(P1464,Q1464,$Q$11,$Q$9,$Q$10))</f>
        <v>-3.7175485397107962E-3</v>
      </c>
      <c r="S1464" s="134" t="s">
        <v>4</v>
      </c>
    </row>
    <row r="1465" spans="1:19" x14ac:dyDescent="0.25">
      <c r="A1465" s="128">
        <v>1449</v>
      </c>
      <c r="B1465" s="133"/>
      <c r="C1465" s="149">
        <f ca="1">_xll.meDateFromTenor(C1464,"1D","FOLLOWING",$D$11,"NORMAL")</f>
        <v>44567</v>
      </c>
      <c r="D1465" s="20">
        <f ca="1">_xll.meDateFromTenor(C1465,"1D","Following",$D$11,"Normal")</f>
        <v>44568</v>
      </c>
      <c r="E1465" s="99">
        <f ca="1"/>
        <v>1.5780229545552606E-2</v>
      </c>
      <c r="F1465" s="161">
        <f ca="1">_xll.meCurveForwardRates(C1465,$D$9,$D$10)</f>
        <v>1.5905043534659713E-2</v>
      </c>
      <c r="G1465" s="7" t="s">
        <v>4</v>
      </c>
      <c r="H1465" s="149">
        <f t="shared" ca="1" si="44"/>
        <v>44567</v>
      </c>
      <c r="I1465" s="20">
        <f ca="1">_xll.meDateFromTenor(H1465,"3M","Following",$I$11,"Normal")</f>
        <v>44657</v>
      </c>
      <c r="J1465" s="150">
        <f ca="1"/>
        <v>2.0080516567709174E-2</v>
      </c>
      <c r="K1465" s="7" t="s">
        <v>4</v>
      </c>
      <c r="L1465" s="149" t="e">
        <f ca="1">_xll.meDateFromTenor(L1464,"1D","FOLLOWING",#REF!,"NORMAL")</f>
        <v>#VALUE!</v>
      </c>
      <c r="M1465" s="155">
        <f ca="1">_xll.meDateYearFraction(C1465,D1465,$M$11)</f>
        <v>2.7777777777777779E-3</v>
      </c>
      <c r="N1465" s="150">
        <f ca="1"/>
        <v>-2.4300000000065936E-3</v>
      </c>
      <c r="O1465" s="7" t="s">
        <v>4</v>
      </c>
      <c r="P1465" s="149">
        <f t="shared" ca="1" si="45"/>
        <v>44567</v>
      </c>
      <c r="Q1465" s="155">
        <f ca="1">_xll.meDateYearFraction(H1465,I1465,$Q$11,TRUE)</f>
        <v>0.25</v>
      </c>
      <c r="R1465" s="150">
        <f ca="1">IF(NOW(),_xll.meCurveForwardRatesFromYearFraction(P1465,Q1465,$Q$11,$Q$9,$Q$10))</f>
        <v>5.2352743065258289E-3</v>
      </c>
      <c r="S1465" s="134" t="s">
        <v>4</v>
      </c>
    </row>
    <row r="1466" spans="1:19" x14ac:dyDescent="0.25">
      <c r="A1466" s="128">
        <v>1450</v>
      </c>
      <c r="B1466" s="133"/>
      <c r="C1466" s="149">
        <f ca="1">_xll.meDateFromTenor(C1465,"1D","FOLLOWING",$D$11,"NORMAL")</f>
        <v>44568</v>
      </c>
      <c r="D1466" s="20">
        <f ca="1">_xll.meDateFromTenor(C1466,"1D","Following",$D$11,"Normal")</f>
        <v>44571</v>
      </c>
      <c r="E1466" s="99">
        <f ca="1"/>
        <v>1.5790483025587602E-2</v>
      </c>
      <c r="F1466" s="161">
        <f ca="1">_xll.meCurveForwardRates(C1466,$D$9,$D$10)</f>
        <v>1.5909874073689823E-2</v>
      </c>
      <c r="G1466" s="7" t="s">
        <v>4</v>
      </c>
      <c r="H1466" s="149">
        <f t="shared" ca="1" si="44"/>
        <v>44568</v>
      </c>
      <c r="I1466" s="20">
        <f ca="1">_xll.meDateFromTenor(H1466,"3M","Following",$I$11,"Normal")</f>
        <v>44658</v>
      </c>
      <c r="J1466" s="150">
        <f ca="1"/>
        <v>2.0084141564874858E-2</v>
      </c>
      <c r="K1466" s="7" t="s">
        <v>4</v>
      </c>
      <c r="L1466" s="149" t="e">
        <f ca="1">_xll.meDateFromTenor(L1465,"1D","FOLLOWING",#REF!,"NORMAL")</f>
        <v>#VALUE!</v>
      </c>
      <c r="M1466" s="155">
        <f ca="1">_xll.meDateYearFraction(C1466,D1466,$M$11)</f>
        <v>8.3333333333333332E-3</v>
      </c>
      <c r="N1466" s="150">
        <f ca="1"/>
        <v>-2.4300000000065936E-3</v>
      </c>
      <c r="O1466" s="7" t="s">
        <v>4</v>
      </c>
      <c r="P1466" s="149">
        <f t="shared" ca="1" si="45"/>
        <v>44568</v>
      </c>
      <c r="Q1466" s="155">
        <f ca="1">_xll.meDateYearFraction(H1466,I1466,$Q$11,TRUE)</f>
        <v>0.25</v>
      </c>
      <c r="R1466" s="150">
        <f ca="1">IF(NOW(),_xll.meCurveForwardRatesFromYearFraction(P1466,Q1466,$Q$11,$Q$9,$Q$10))</f>
        <v>-3.7175485397107962E-3</v>
      </c>
      <c r="S1466" s="134" t="s">
        <v>4</v>
      </c>
    </row>
    <row r="1467" spans="1:19" x14ac:dyDescent="0.25">
      <c r="A1467" s="128">
        <v>1451</v>
      </c>
      <c r="B1467" s="133"/>
      <c r="C1467" s="149">
        <f ca="1">_xll.meDateFromTenor(C1466,"1D","FOLLOWING",$D$11,"NORMAL")</f>
        <v>44571</v>
      </c>
      <c r="D1467" s="20">
        <f ca="1">_xll.meDateFromTenor(C1467,"1D","Following",$D$11,"Normal")</f>
        <v>44572</v>
      </c>
      <c r="E1467" s="99">
        <f ca="1"/>
        <v>1.5799478163212394E-2</v>
      </c>
      <c r="F1467" s="161">
        <f ca="1">_xll.meCurveForwardRates(C1467,$D$9,$D$10)</f>
        <v>1.5924597632958948E-2</v>
      </c>
      <c r="G1467" s="7" t="s">
        <v>4</v>
      </c>
      <c r="H1467" s="149">
        <f t="shared" ca="1" si="44"/>
        <v>44571</v>
      </c>
      <c r="I1467" s="20">
        <f ca="1">_xll.meDateFromTenor(H1467,"3M","Following",$I$11,"Normal")</f>
        <v>44662</v>
      </c>
      <c r="J1467" s="150">
        <f ca="1"/>
        <v>2.0094990706010799E-2</v>
      </c>
      <c r="K1467" s="7" t="s">
        <v>4</v>
      </c>
      <c r="L1467" s="149" t="e">
        <f ca="1">_xll.meDateFromTenor(L1466,"1D","FOLLOWING",#REF!,"NORMAL")</f>
        <v>#VALUE!</v>
      </c>
      <c r="M1467" s="155">
        <f ca="1">_xll.meDateYearFraction(C1467,D1467,$M$11)</f>
        <v>2.7777777777777779E-3</v>
      </c>
      <c r="N1467" s="150">
        <f ca="1"/>
        <v>-2.4300000000065936E-3</v>
      </c>
      <c r="O1467" s="7" t="s">
        <v>4</v>
      </c>
      <c r="P1467" s="149">
        <f t="shared" ca="1" si="45"/>
        <v>44571</v>
      </c>
      <c r="Q1467" s="155">
        <f ca="1">_xll.meDateYearFraction(H1467,I1467,$Q$11,TRUE)</f>
        <v>0.25277777777777777</v>
      </c>
      <c r="R1467" s="150">
        <f ca="1">IF(NOW(),_xll.meCurveForwardRatesFromYearFraction(P1467,Q1467,$Q$11,$Q$9,$Q$10))</f>
        <v>-3.7175485397107962E-3</v>
      </c>
      <c r="S1467" s="134" t="s">
        <v>4</v>
      </c>
    </row>
    <row r="1468" spans="1:19" x14ac:dyDescent="0.25">
      <c r="A1468" s="128">
        <v>1452</v>
      </c>
      <c r="B1468" s="133"/>
      <c r="C1468" s="149">
        <f ca="1">_xll.meDateFromTenor(C1467,"1D","FOLLOWING",$D$11,"NORMAL")</f>
        <v>44572</v>
      </c>
      <c r="D1468" s="20">
        <f ca="1">_xll.meDateFromTenor(C1468,"1D","Following",$D$11,"Normal")</f>
        <v>44573</v>
      </c>
      <c r="E1468" s="99">
        <f ca="1"/>
        <v>1.5804385415891548E-2</v>
      </c>
      <c r="F1468" s="161">
        <f ca="1">_xll.meCurveForwardRates(C1468,$D$9,$D$10)</f>
        <v>1.5929582825072952E-2</v>
      </c>
      <c r="G1468" s="7" t="s">
        <v>4</v>
      </c>
      <c r="H1468" s="149">
        <f t="shared" ca="1" si="44"/>
        <v>44572</v>
      </c>
      <c r="I1468" s="20">
        <f ca="1">_xll.meDateFromTenor(H1468,"3M","Following",$I$11,"Normal")</f>
        <v>44662</v>
      </c>
      <c r="J1468" s="150">
        <f ca="1"/>
        <v>2.0098598739769161E-2</v>
      </c>
      <c r="K1468" s="7" t="s">
        <v>4</v>
      </c>
      <c r="L1468" s="149" t="e">
        <f ca="1">_xll.meDateFromTenor(L1467,"1D","FOLLOWING",#REF!,"NORMAL")</f>
        <v>#VALUE!</v>
      </c>
      <c r="M1468" s="155">
        <f ca="1">_xll.meDateYearFraction(C1468,D1468,$M$11)</f>
        <v>2.7777777777777779E-3</v>
      </c>
      <c r="N1468" s="150">
        <f ca="1"/>
        <v>-2.4300000000065936E-3</v>
      </c>
      <c r="O1468" s="7" t="s">
        <v>4</v>
      </c>
      <c r="P1468" s="149">
        <f t="shared" ca="1" si="45"/>
        <v>44572</v>
      </c>
      <c r="Q1468" s="155">
        <f ca="1">_xll.meDateYearFraction(H1468,I1468,$Q$11,TRUE)</f>
        <v>0.25</v>
      </c>
      <c r="R1468" s="150">
        <f ca="1">IF(NOW(),_xll.meCurveForwardRatesFromYearFraction(P1468,Q1468,$Q$11,$Q$9,$Q$10))</f>
        <v>-3.7175485397107962E-3</v>
      </c>
      <c r="S1468" s="134" t="s">
        <v>4</v>
      </c>
    </row>
    <row r="1469" spans="1:19" x14ac:dyDescent="0.25">
      <c r="A1469" s="128">
        <v>1453</v>
      </c>
      <c r="B1469" s="133"/>
      <c r="C1469" s="149">
        <f ca="1">_xll.meDateFromTenor(C1468,"1D","FOLLOWING",$D$11,"NORMAL")</f>
        <v>44573</v>
      </c>
      <c r="D1469" s="20">
        <f ca="1">_xll.meDateFromTenor(C1469,"1D","Following",$D$11,"Normal")</f>
        <v>44574</v>
      </c>
      <c r="E1469" s="99">
        <f ca="1"/>
        <v>1.5809330721501622E-2</v>
      </c>
      <c r="F1469" s="161">
        <f ca="1">_xll.meCurveForwardRates(C1469,$D$9,$D$10)</f>
        <v>1.5934606699172793E-2</v>
      </c>
      <c r="G1469" s="7" t="s">
        <v>4</v>
      </c>
      <c r="H1469" s="149">
        <f t="shared" ca="1" si="44"/>
        <v>44573</v>
      </c>
      <c r="I1469" s="20">
        <f ca="1">_xll.meDateFromTenor(H1469,"3M","Following",$I$11,"Normal")</f>
        <v>44663</v>
      </c>
      <c r="J1469" s="150">
        <f ca="1"/>
        <v>2.010220273530075E-2</v>
      </c>
      <c r="K1469" s="7" t="s">
        <v>4</v>
      </c>
      <c r="L1469" s="149" t="e">
        <f ca="1">_xll.meDateFromTenor(L1468,"1D","FOLLOWING",#REF!,"NORMAL")</f>
        <v>#VALUE!</v>
      </c>
      <c r="M1469" s="155">
        <f ca="1">_xll.meDateYearFraction(C1469,D1469,$M$11)</f>
        <v>2.7777777777777779E-3</v>
      </c>
      <c r="N1469" s="150">
        <f ca="1"/>
        <v>-2.4300000000065936E-3</v>
      </c>
      <c r="O1469" s="7" t="s">
        <v>4</v>
      </c>
      <c r="P1469" s="149">
        <f t="shared" ca="1" si="45"/>
        <v>44573</v>
      </c>
      <c r="Q1469" s="155">
        <f ca="1">_xll.meDateYearFraction(H1469,I1469,$Q$11,TRUE)</f>
        <v>0.25</v>
      </c>
      <c r="R1469" s="150">
        <f ca="1">IF(NOW(),_xll.meCurveForwardRatesFromYearFraction(P1469,Q1469,$Q$11,$Q$9,$Q$10))</f>
        <v>5.2973994114077789E-3</v>
      </c>
      <c r="S1469" s="134" t="s">
        <v>4</v>
      </c>
    </row>
    <row r="1470" spans="1:19" x14ac:dyDescent="0.25">
      <c r="A1470" s="128">
        <v>1454</v>
      </c>
      <c r="B1470" s="133"/>
      <c r="C1470" s="149">
        <f ca="1">_xll.meDateFromTenor(C1469,"1D","FOLLOWING",$D$11,"NORMAL")</f>
        <v>44574</v>
      </c>
      <c r="D1470" s="20">
        <f ca="1">_xll.meDateFromTenor(C1470,"1D","Following",$D$11,"Normal")</f>
        <v>44575</v>
      </c>
      <c r="E1470" s="99">
        <f ca="1"/>
        <v>1.5814314086896899E-2</v>
      </c>
      <c r="F1470" s="161">
        <f ca="1">_xll.meCurveForwardRates(C1470,$D$9,$D$10)</f>
        <v>1.5939669262793332E-2</v>
      </c>
      <c r="G1470" s="7" t="s">
        <v>4</v>
      </c>
      <c r="H1470" s="149">
        <f t="shared" ca="1" si="44"/>
        <v>44574</v>
      </c>
      <c r="I1470" s="20">
        <f ca="1">_xll.meDateFromTenor(H1470,"3M","Following",$I$11,"Normal")</f>
        <v>44664</v>
      </c>
      <c r="J1470" s="150">
        <f ca="1"/>
        <v>2.01058027736556E-2</v>
      </c>
      <c r="K1470" s="7" t="s">
        <v>4</v>
      </c>
      <c r="L1470" s="149" t="e">
        <f ca="1">_xll.meDateFromTenor(L1469,"1D","FOLLOWING",#REF!,"NORMAL")</f>
        <v>#VALUE!</v>
      </c>
      <c r="M1470" s="155">
        <f ca="1">_xll.meDateYearFraction(C1470,D1470,$M$11)</f>
        <v>2.7777777777777779E-3</v>
      </c>
      <c r="N1470" s="150">
        <f ca="1"/>
        <v>-2.4300000000065936E-3</v>
      </c>
      <c r="O1470" s="7" t="s">
        <v>4</v>
      </c>
      <c r="P1470" s="149">
        <f t="shared" ca="1" si="45"/>
        <v>44574</v>
      </c>
      <c r="Q1470" s="155">
        <f ca="1">_xll.meDateYearFraction(H1470,I1470,$Q$11,TRUE)</f>
        <v>0.25</v>
      </c>
      <c r="R1470" s="150">
        <f ca="1">IF(NOW(),_xll.meCurveForwardRatesFromYearFraction(P1470,Q1470,$Q$11,$Q$9,$Q$10))</f>
        <v>-3.7175485397107962E-3</v>
      </c>
      <c r="S1470" s="134" t="s">
        <v>4</v>
      </c>
    </row>
    <row r="1471" spans="1:19" x14ac:dyDescent="0.25">
      <c r="A1471" s="128">
        <v>1455</v>
      </c>
      <c r="B1471" s="133"/>
      <c r="C1471" s="149">
        <f ca="1">_xll.meDateFromTenor(C1470,"1D","FOLLOWING",$D$11,"NORMAL")</f>
        <v>44575</v>
      </c>
      <c r="D1471" s="20">
        <f ca="1">_xll.meDateFromTenor(C1471,"1D","Following",$D$11,"Normal")</f>
        <v>44579</v>
      </c>
      <c r="E1471" s="99">
        <f ca="1"/>
        <v>1.5828006609495182E-2</v>
      </c>
      <c r="F1471" s="161">
        <f ca="1">_xll.meCurveForwardRates(C1471,$D$9,$D$10)</f>
        <v>1.5944770523515839E-2</v>
      </c>
      <c r="G1471" s="7" t="s">
        <v>4</v>
      </c>
      <c r="H1471" s="149">
        <f t="shared" ca="1" si="44"/>
        <v>44575</v>
      </c>
      <c r="I1471" s="20">
        <f ca="1">_xll.meDateFromTenor(H1471,"3M","Following",$I$11,"Normal")</f>
        <v>44665</v>
      </c>
      <c r="J1471" s="150">
        <f ca="1"/>
        <v>2.0109398935883736E-2</v>
      </c>
      <c r="K1471" s="7" t="s">
        <v>4</v>
      </c>
      <c r="L1471" s="149" t="e">
        <f ca="1">_xll.meDateFromTenor(L1470,"1D","FOLLOWING",#REF!,"NORMAL")</f>
        <v>#VALUE!</v>
      </c>
      <c r="M1471" s="155">
        <f ca="1">_xll.meDateYearFraction(C1471,D1471,$M$11)</f>
        <v>1.1111111111111112E-2</v>
      </c>
      <c r="N1471" s="150">
        <f ca="1"/>
        <v>-2.4300000000065936E-3</v>
      </c>
      <c r="O1471" s="7" t="s">
        <v>4</v>
      </c>
      <c r="P1471" s="149">
        <f t="shared" ca="1" si="45"/>
        <v>44575</v>
      </c>
      <c r="Q1471" s="155">
        <f ca="1">_xll.meDateYearFraction(H1471,I1471,$Q$11,TRUE)</f>
        <v>0.25</v>
      </c>
      <c r="R1471" s="150">
        <f ca="1">IF(NOW(),_xll.meCurveForwardRatesFromYearFraction(P1471,Q1471,$Q$11,$Q$9,$Q$10))</f>
        <v>5.3181032634539663E-3</v>
      </c>
      <c r="S1471" s="134" t="s">
        <v>4</v>
      </c>
    </row>
    <row r="1472" spans="1:19" x14ac:dyDescent="0.25">
      <c r="A1472" s="128">
        <v>1456</v>
      </c>
      <c r="B1472" s="133"/>
      <c r="C1472" s="149">
        <f ca="1">_xll.meDateFromTenor(C1471,"1D","FOLLOWING",$D$11,"NORMAL")</f>
        <v>44579</v>
      </c>
      <c r="D1472" s="20">
        <f ca="1">_xll.meDateFromTenor(C1472,"1D","Following",$D$11,"Normal")</f>
        <v>44580</v>
      </c>
      <c r="E1472" s="99">
        <f ca="1"/>
        <v>1.5839802050076922E-2</v>
      </c>
      <c r="F1472" s="161">
        <f ca="1">_xll.meCurveForwardRates(C1472,$D$9,$D$10)</f>
        <v>1.5965562687280777E-2</v>
      </c>
      <c r="G1472" s="7" t="s">
        <v>4</v>
      </c>
      <c r="H1472" s="149">
        <f t="shared" ca="1" si="44"/>
        <v>44579</v>
      </c>
      <c r="I1472" s="20">
        <f ca="1">_xll.meDateFromTenor(H1472,"3M","Following",$I$11,"Normal")</f>
        <v>44670</v>
      </c>
      <c r="J1472" s="150">
        <f ca="1"/>
        <v>2.0123746444529602E-2</v>
      </c>
      <c r="K1472" s="7" t="s">
        <v>4</v>
      </c>
      <c r="L1472" s="149" t="e">
        <f ca="1">_xll.meDateFromTenor(L1471,"1D","FOLLOWING",#REF!,"NORMAL")</f>
        <v>#VALUE!</v>
      </c>
      <c r="M1472" s="155">
        <f ca="1">_xll.meDateYearFraction(C1472,D1472,$M$11)</f>
        <v>2.7777777777777779E-3</v>
      </c>
      <c r="N1472" s="150">
        <f ca="1"/>
        <v>-2.4300000000065936E-3</v>
      </c>
      <c r="O1472" s="7" t="s">
        <v>4</v>
      </c>
      <c r="P1472" s="149">
        <f t="shared" ca="1" si="45"/>
        <v>44579</v>
      </c>
      <c r="Q1472" s="155">
        <f ca="1">_xll.meDateYearFraction(H1472,I1472,$Q$11,TRUE)</f>
        <v>0.25277777777777777</v>
      </c>
      <c r="R1472" s="150">
        <f ca="1">IF(NOW(),_xll.meCurveForwardRatesFromYearFraction(P1472,Q1472,$Q$11,$Q$9,$Q$10))</f>
        <v>-3.7175485397107962E-3</v>
      </c>
      <c r="S1472" s="134" t="s">
        <v>4</v>
      </c>
    </row>
    <row r="1473" spans="1:19" x14ac:dyDescent="0.25">
      <c r="A1473" s="128">
        <v>1457</v>
      </c>
      <c r="B1473" s="133"/>
      <c r="C1473" s="149">
        <f ca="1">_xll.meDateFromTenor(C1472,"1D","FOLLOWING",$D$11,"NORMAL")</f>
        <v>44580</v>
      </c>
      <c r="D1473" s="20">
        <f ca="1">_xll.meDateFromTenor(C1473,"1D","Following",$D$11,"Normal")</f>
        <v>44581</v>
      </c>
      <c r="E1473" s="99">
        <f ca="1"/>
        <v>1.5845013917979246E-2</v>
      </c>
      <c r="F1473" s="161">
        <f ca="1">_xll.meCurveForwardRates(C1473,$D$9,$D$10)</f>
        <v>1.5970857546375727E-2</v>
      </c>
      <c r="G1473" s="7" t="s">
        <v>4</v>
      </c>
      <c r="H1473" s="149">
        <f t="shared" ca="1" si="44"/>
        <v>44580</v>
      </c>
      <c r="I1473" s="20">
        <f ca="1">_xll.meDateFromTenor(H1473,"3M","Following",$I$11,"Normal")</f>
        <v>44670</v>
      </c>
      <c r="J1473" s="150">
        <f ca="1"/>
        <v>2.0127324441874532E-2</v>
      </c>
      <c r="K1473" s="7" t="s">
        <v>4</v>
      </c>
      <c r="L1473" s="149" t="e">
        <f ca="1">_xll.meDateFromTenor(L1472,"1D","FOLLOWING",#REF!,"NORMAL")</f>
        <v>#VALUE!</v>
      </c>
      <c r="M1473" s="155">
        <f ca="1">_xll.meDateYearFraction(C1473,D1473,$M$11)</f>
        <v>2.7777777777777779E-3</v>
      </c>
      <c r="N1473" s="150">
        <f ca="1"/>
        <v>-2.4300000000065936E-3</v>
      </c>
      <c r="O1473" s="7" t="s">
        <v>4</v>
      </c>
      <c r="P1473" s="149">
        <f t="shared" ca="1" si="45"/>
        <v>44580</v>
      </c>
      <c r="Q1473" s="155">
        <f ca="1">_xll.meDateYearFraction(H1473,I1473,$Q$11,TRUE)</f>
        <v>0.25</v>
      </c>
      <c r="R1473" s="150">
        <f ca="1">IF(NOW(),_xll.meCurveForwardRatesFromYearFraction(P1473,Q1473,$Q$11,$Q$9,$Q$10))</f>
        <v>5.3698153218022081E-3</v>
      </c>
      <c r="S1473" s="134" t="s">
        <v>4</v>
      </c>
    </row>
    <row r="1474" spans="1:19" x14ac:dyDescent="0.25">
      <c r="A1474" s="128">
        <v>1458</v>
      </c>
      <c r="B1474" s="133"/>
      <c r="C1474" s="149">
        <f ca="1">_xll.meDateFromTenor(C1473,"1D","FOLLOWING",$D$11,"NORMAL")</f>
        <v>44581</v>
      </c>
      <c r="D1474" s="20">
        <f ca="1">_xll.meDateFromTenor(C1474,"1D","Following",$D$11,"Normal")</f>
        <v>44582</v>
      </c>
      <c r="E1474" s="99">
        <f ca="1"/>
        <v>1.585026389362839E-2</v>
      </c>
      <c r="F1474" s="161">
        <f ca="1">_xll.meCurveForwardRates(C1474,$D$9,$D$10)</f>
        <v>1.5976191147847096E-2</v>
      </c>
      <c r="G1474" s="7" t="s">
        <v>4</v>
      </c>
      <c r="H1474" s="149">
        <f t="shared" ca="1" si="44"/>
        <v>44581</v>
      </c>
      <c r="I1474" s="20">
        <f ca="1">_xll.meDateFromTenor(H1474,"3M","Following",$I$11,"Normal")</f>
        <v>44671</v>
      </c>
      <c r="J1474" s="150">
        <f ca="1"/>
        <v>2.0130899049392897E-2</v>
      </c>
      <c r="K1474" s="7" t="s">
        <v>4</v>
      </c>
      <c r="L1474" s="149" t="e">
        <f ca="1">_xll.meDateFromTenor(L1473,"1D","FOLLOWING",#REF!,"NORMAL")</f>
        <v>#VALUE!</v>
      </c>
      <c r="M1474" s="155">
        <f ca="1">_xll.meDateYearFraction(C1474,D1474,$M$11)</f>
        <v>2.7777777777777779E-3</v>
      </c>
      <c r="N1474" s="150">
        <f ca="1"/>
        <v>-2.4300000000065936E-3</v>
      </c>
      <c r="O1474" s="7" t="s">
        <v>4</v>
      </c>
      <c r="P1474" s="149">
        <f t="shared" ca="1" si="45"/>
        <v>44581</v>
      </c>
      <c r="Q1474" s="155">
        <f ca="1">_xll.meDateYearFraction(H1474,I1474,$Q$11,TRUE)</f>
        <v>0.25</v>
      </c>
      <c r="R1474" s="150">
        <f ca="1">IF(NOW(),_xll.meCurveForwardRatesFromYearFraction(P1474,Q1474,$Q$11,$Q$9,$Q$10))</f>
        <v>-3.7175485397107962E-3</v>
      </c>
      <c r="S1474" s="134" t="s">
        <v>4</v>
      </c>
    </row>
    <row r="1475" spans="1:19" x14ac:dyDescent="0.25">
      <c r="A1475" s="128">
        <v>1459</v>
      </c>
      <c r="B1475" s="133"/>
      <c r="C1475" s="149">
        <f ca="1">_xll.meDateFromTenor(C1474,"1D","FOLLOWING",$D$11,"NORMAL")</f>
        <v>44582</v>
      </c>
      <c r="D1475" s="20">
        <f ca="1">_xll.meDateFromTenor(C1475,"1D","Following",$D$11,"Normal")</f>
        <v>44585</v>
      </c>
      <c r="E1475" s="99">
        <f ca="1"/>
        <v>1.5861589715192373E-2</v>
      </c>
      <c r="F1475" s="161">
        <f ca="1">_xll.meCurveForwardRates(C1475,$D$9,$D$10)</f>
        <v>1.5981563499388951E-2</v>
      </c>
      <c r="G1475" s="7" t="s">
        <v>4</v>
      </c>
      <c r="H1475" s="149">
        <f t="shared" ca="1" si="44"/>
        <v>44582</v>
      </c>
      <c r="I1475" s="20">
        <f ca="1">_xll.meDateFromTenor(H1475,"3M","Following",$I$11,"Normal")</f>
        <v>44672</v>
      </c>
      <c r="J1475" s="150">
        <f ca="1"/>
        <v>2.0134470348134721E-2</v>
      </c>
      <c r="K1475" s="7" t="s">
        <v>4</v>
      </c>
      <c r="L1475" s="149" t="e">
        <f ca="1">_xll.meDateFromTenor(L1474,"1D","FOLLOWING",#REF!,"NORMAL")</f>
        <v>#VALUE!</v>
      </c>
      <c r="M1475" s="155">
        <f ca="1">_xll.meDateYearFraction(C1475,D1475,$M$11)</f>
        <v>8.3333333333333332E-3</v>
      </c>
      <c r="N1475" s="150">
        <f ca="1"/>
        <v>-2.4300000000065936E-3</v>
      </c>
      <c r="O1475" s="7" t="s">
        <v>4</v>
      </c>
      <c r="P1475" s="149">
        <f t="shared" ca="1" si="45"/>
        <v>44582</v>
      </c>
      <c r="Q1475" s="155">
        <f ca="1">_xll.meDateYearFraction(H1475,I1475,$Q$11,TRUE)</f>
        <v>0.25</v>
      </c>
      <c r="R1475" s="150">
        <f ca="1">IF(NOW(),_xll.meCurveForwardRatesFromYearFraction(P1475,Q1475,$Q$11,$Q$9,$Q$10))</f>
        <v>5.390470544595116E-3</v>
      </c>
      <c r="S1475" s="134" t="s">
        <v>4</v>
      </c>
    </row>
    <row r="1476" spans="1:19" x14ac:dyDescent="0.25">
      <c r="A1476" s="128">
        <v>1460</v>
      </c>
      <c r="B1476" s="133"/>
      <c r="C1476" s="149">
        <f ca="1">_xll.meDateFromTenor(C1475,"1D","FOLLOWING",$D$11,"NORMAL")</f>
        <v>44585</v>
      </c>
      <c r="D1476" s="20">
        <f ca="1">_xll.meDateFromTenor(C1476,"1D","Following",$D$11,"Normal")</f>
        <v>44586</v>
      </c>
      <c r="E1476" s="99">
        <f ca="1"/>
        <v>1.5871645011784358E-2</v>
      </c>
      <c r="F1476" s="161">
        <f ca="1">_xll.meCurveForwardRates(C1476,$D$9,$D$10)</f>
        <v>1.5997913130021191E-2</v>
      </c>
      <c r="G1476" s="7" t="s">
        <v>4</v>
      </c>
      <c r="H1476" s="149">
        <f t="shared" ca="1" si="44"/>
        <v>44585</v>
      </c>
      <c r="I1476" s="20">
        <f ca="1">_xll.meDateFromTenor(H1476,"3M","Following",$I$11,"Normal")</f>
        <v>44676</v>
      </c>
      <c r="J1476" s="150">
        <f ca="1"/>
        <v>2.0145165202201221E-2</v>
      </c>
      <c r="K1476" s="7" t="s">
        <v>4</v>
      </c>
      <c r="L1476" s="149" t="e">
        <f ca="1">_xll.meDateFromTenor(L1475,"1D","FOLLOWING",#REF!,"NORMAL")</f>
        <v>#VALUE!</v>
      </c>
      <c r="M1476" s="155">
        <f ca="1">_xll.meDateYearFraction(C1476,D1476,$M$11)</f>
        <v>2.7777777777777779E-3</v>
      </c>
      <c r="N1476" s="150">
        <f ca="1"/>
        <v>-2.4300000000065936E-3</v>
      </c>
      <c r="O1476" s="7" t="s">
        <v>4</v>
      </c>
      <c r="P1476" s="149">
        <f t="shared" ca="1" si="45"/>
        <v>44585</v>
      </c>
      <c r="Q1476" s="155">
        <f ca="1">_xll.meDateYearFraction(H1476,I1476,$Q$11,TRUE)</f>
        <v>0.25277777777777777</v>
      </c>
      <c r="R1476" s="150">
        <f ca="1">IF(NOW(),_xll.meCurveForwardRatesFromYearFraction(P1476,Q1476,$Q$11,$Q$9,$Q$10))</f>
        <v>-3.7175485397107962E-3</v>
      </c>
      <c r="S1476" s="134" t="s">
        <v>4</v>
      </c>
    </row>
    <row r="1477" spans="1:19" x14ac:dyDescent="0.25">
      <c r="A1477" s="128">
        <v>1461</v>
      </c>
      <c r="B1477" s="133"/>
      <c r="C1477" s="149">
        <f ca="1">_xll.meDateFromTenor(C1476,"1D","FOLLOWING",$D$11,"NORMAL")</f>
        <v>44586</v>
      </c>
      <c r="D1477" s="20">
        <f ca="1">_xll.meDateFromTenor(C1477,"1D","Following",$D$11,"Normal")</f>
        <v>44587</v>
      </c>
      <c r="E1477" s="99">
        <f ca="1"/>
        <v>1.5877085629825524E-2</v>
      </c>
      <c r="F1477" s="161">
        <f ca="1">_xll.meCurveForwardRates(C1477,$D$9,$D$10)</f>
        <v>1.600344055789904E-2</v>
      </c>
      <c r="G1477" s="7" t="s">
        <v>4</v>
      </c>
      <c r="H1477" s="149">
        <f t="shared" ca="1" si="44"/>
        <v>44586</v>
      </c>
      <c r="I1477" s="20">
        <f ca="1">_xll.meDateFromTenor(H1477,"3M","Following",$I$11,"Normal")</f>
        <v>44676</v>
      </c>
      <c r="J1477" s="150">
        <f ca="1"/>
        <v>2.0148724076337145E-2</v>
      </c>
      <c r="K1477" s="7" t="s">
        <v>4</v>
      </c>
      <c r="L1477" s="149" t="e">
        <f ca="1">_xll.meDateFromTenor(L1476,"1D","FOLLOWING",#REF!,"NORMAL")</f>
        <v>#VALUE!</v>
      </c>
      <c r="M1477" s="155">
        <f ca="1">_xll.meDateYearFraction(C1477,D1477,$M$11)</f>
        <v>2.7777777777777779E-3</v>
      </c>
      <c r="N1477" s="150">
        <f ca="1"/>
        <v>-2.4300000000065936E-3</v>
      </c>
      <c r="O1477" s="7" t="s">
        <v>4</v>
      </c>
      <c r="P1477" s="149">
        <f t="shared" ca="1" si="45"/>
        <v>44586</v>
      </c>
      <c r="Q1477" s="155">
        <f ca="1">_xll.meDateYearFraction(H1477,I1477,$Q$11,TRUE)</f>
        <v>0.25</v>
      </c>
      <c r="R1477" s="150">
        <f ca="1">IF(NOW(),_xll.meCurveForwardRatesFromYearFraction(P1477,Q1477,$Q$11,$Q$9,$Q$10))</f>
        <v>5.4317080958662615E-3</v>
      </c>
      <c r="S1477" s="134" t="s">
        <v>4</v>
      </c>
    </row>
    <row r="1478" spans="1:19" x14ac:dyDescent="0.25">
      <c r="A1478" s="128">
        <v>1462</v>
      </c>
      <c r="B1478" s="133"/>
      <c r="C1478" s="149">
        <f ca="1">_xll.meDateFromTenor(C1477,"1D","FOLLOWING",$D$11,"NORMAL")</f>
        <v>44587</v>
      </c>
      <c r="D1478" s="20">
        <f ca="1">_xll.meDateFromTenor(C1478,"1D","Following",$D$11,"Normal")</f>
        <v>44588</v>
      </c>
      <c r="E1478" s="99">
        <f ca="1"/>
        <v>1.5882564396860491E-2</v>
      </c>
      <c r="F1478" s="161">
        <f ca="1">_xll.meCurveForwardRates(C1478,$D$9,$D$10)</f>
        <v>1.6009006773775258E-2</v>
      </c>
      <c r="G1478" s="7" t="s">
        <v>4</v>
      </c>
      <c r="H1478" s="149">
        <f t="shared" ca="1" si="44"/>
        <v>44587</v>
      </c>
      <c r="I1478" s="20">
        <f ca="1">_xll.meDateFromTenor(H1478,"3M","Following",$I$11,"Normal")</f>
        <v>44677</v>
      </c>
      <c r="J1478" s="150">
        <f ca="1"/>
        <v>2.0152280046946656E-2</v>
      </c>
      <c r="K1478" s="7" t="s">
        <v>4</v>
      </c>
      <c r="L1478" s="149" t="e">
        <f ca="1">_xll.meDateFromTenor(L1477,"1D","FOLLOWING",#REF!,"NORMAL")</f>
        <v>#VALUE!</v>
      </c>
      <c r="M1478" s="155">
        <f ca="1">_xll.meDateYearFraction(C1478,D1478,$M$11)</f>
        <v>2.7777777777777779E-3</v>
      </c>
      <c r="N1478" s="150">
        <f ca="1"/>
        <v>-2.4300000000065936E-3</v>
      </c>
      <c r="O1478" s="7" t="s">
        <v>4</v>
      </c>
      <c r="P1478" s="149">
        <f t="shared" ca="1" si="45"/>
        <v>44587</v>
      </c>
      <c r="Q1478" s="155">
        <f ca="1">_xll.meDateYearFraction(H1478,I1478,$Q$11,TRUE)</f>
        <v>0.25</v>
      </c>
      <c r="R1478" s="150">
        <f ca="1">IF(NOW(),_xll.meCurveForwardRatesFromYearFraction(P1478,Q1478,$Q$11,$Q$9,$Q$10))</f>
        <v>-3.7175485397107962E-3</v>
      </c>
      <c r="S1478" s="134" t="s">
        <v>4</v>
      </c>
    </row>
    <row r="1479" spans="1:19" x14ac:dyDescent="0.25">
      <c r="A1479" s="128">
        <v>1463</v>
      </c>
      <c r="B1479" s="133"/>
      <c r="C1479" s="149">
        <f ca="1">_xll.meDateFromTenor(C1478,"1D","FOLLOWING",$D$11,"NORMAL")</f>
        <v>44588</v>
      </c>
      <c r="D1479" s="20">
        <f ca="1">_xll.meDateFromTenor(C1479,"1D","Following",$D$11,"Normal")</f>
        <v>44589</v>
      </c>
      <c r="E1479" s="99">
        <f ca="1"/>
        <v>1.5888081320103817E-2</v>
      </c>
      <c r="F1479" s="161">
        <f ca="1">_xll.meCurveForwardRates(C1479,$D$9,$D$10)</f>
        <v>1.6014611785615251E-2</v>
      </c>
      <c r="G1479" s="7" t="s">
        <v>4</v>
      </c>
      <c r="H1479" s="149">
        <f t="shared" ca="1" si="44"/>
        <v>44588</v>
      </c>
      <c r="I1479" s="20">
        <f ca="1">_xll.meDateFromTenor(H1479,"3M","Following",$I$11,"Normal")</f>
        <v>44678</v>
      </c>
      <c r="J1479" s="150">
        <f ca="1"/>
        <v>2.0155833195079784E-2</v>
      </c>
      <c r="K1479" s="7" t="s">
        <v>4</v>
      </c>
      <c r="L1479" s="149" t="e">
        <f ca="1">_xll.meDateFromTenor(L1478,"1D","FOLLOWING",#REF!,"NORMAL")</f>
        <v>#VALUE!</v>
      </c>
      <c r="M1479" s="155">
        <f ca="1">_xll.meDateYearFraction(C1479,D1479,$M$11)</f>
        <v>2.7777777777777779E-3</v>
      </c>
      <c r="N1479" s="150">
        <f ca="1"/>
        <v>-2.4300000000065936E-3</v>
      </c>
      <c r="O1479" s="7" t="s">
        <v>4</v>
      </c>
      <c r="P1479" s="149">
        <f t="shared" ca="1" si="45"/>
        <v>44588</v>
      </c>
      <c r="Q1479" s="155">
        <f ca="1">_xll.meDateYearFraction(H1479,I1479,$Q$11,TRUE)</f>
        <v>0.25</v>
      </c>
      <c r="R1479" s="150">
        <f ca="1">IF(NOW(),_xll.meCurveForwardRatesFromYearFraction(P1479,Q1479,$Q$11,$Q$9,$Q$10))</f>
        <v>-3.7175485397107962E-3</v>
      </c>
      <c r="S1479" s="134" t="s">
        <v>4</v>
      </c>
    </row>
    <row r="1480" spans="1:19" x14ac:dyDescent="0.25">
      <c r="A1480" s="128">
        <v>1464</v>
      </c>
      <c r="B1480" s="133"/>
      <c r="C1480" s="149">
        <f ca="1">_xll.meDateFromTenor(C1479,"1D","FOLLOWING",$D$11,"NORMAL")</f>
        <v>44589</v>
      </c>
      <c r="D1480" s="20">
        <f ca="1">_xll.meDateFromTenor(C1480,"1D","Following",$D$11,"Normal")</f>
        <v>44592</v>
      </c>
      <c r="E1480" s="99">
        <f ca="1"/>
        <v>1.589994458143372E-2</v>
      </c>
      <c r="F1480" s="161">
        <f ca="1">_xll.meCurveForwardRates(C1480,$D$9,$D$10)</f>
        <v>1.6020255600859956E-2</v>
      </c>
      <c r="G1480" s="7" t="s">
        <v>4</v>
      </c>
      <c r="H1480" s="149">
        <f t="shared" ca="1" si="44"/>
        <v>44589</v>
      </c>
      <c r="I1480" s="20">
        <f ca="1">_xll.meDateFromTenor(H1480,"3M","Following",$I$11,"Normal")</f>
        <v>44679</v>
      </c>
      <c r="J1480" s="150">
        <f ca="1"/>
        <v>2.0159383601786547E-2</v>
      </c>
      <c r="K1480" s="7" t="s">
        <v>4</v>
      </c>
      <c r="L1480" s="149" t="e">
        <f ca="1">_xll.meDateFromTenor(L1479,"1D","FOLLOWING",#REF!,"NORMAL")</f>
        <v>#VALUE!</v>
      </c>
      <c r="M1480" s="155">
        <f ca="1">_xll.meDateYearFraction(C1480,D1480,$M$11)</f>
        <v>8.3333333333333332E-3</v>
      </c>
      <c r="N1480" s="150">
        <f ca="1"/>
        <v>-2.4300000000065936E-3</v>
      </c>
      <c r="O1480" s="7" t="s">
        <v>4</v>
      </c>
      <c r="P1480" s="149">
        <f t="shared" ca="1" si="45"/>
        <v>44589</v>
      </c>
      <c r="Q1480" s="155">
        <f ca="1">_xll.meDateYearFraction(H1480,I1480,$Q$11,TRUE)</f>
        <v>0.25</v>
      </c>
      <c r="R1480" s="150">
        <f ca="1">IF(NOW(),_xll.meCurveForwardRatesFromYearFraction(P1480,Q1480,$Q$11,$Q$9,$Q$10))</f>
        <v>-3.7175485397107962E-3</v>
      </c>
      <c r="S1480" s="134" t="s">
        <v>4</v>
      </c>
    </row>
    <row r="1481" spans="1:19" x14ac:dyDescent="0.25">
      <c r="A1481" s="128">
        <v>1465</v>
      </c>
      <c r="B1481" s="133"/>
      <c r="C1481" s="149">
        <f ca="1">_xll.meDateFromTenor(C1480,"1D","FOLLOWING",$D$11,"NORMAL")</f>
        <v>44592</v>
      </c>
      <c r="D1481" s="20">
        <f ca="1">_xll.meDateFromTenor(C1481,"1D","Following",$D$11,"Normal")</f>
        <v>44593</v>
      </c>
      <c r="E1481" s="99">
        <f ca="1"/>
        <v>1.5910530712448901E-2</v>
      </c>
      <c r="F1481" s="161">
        <f ca="1">_xll.meCurveForwardRates(C1481,$D$9,$D$10)</f>
        <v>1.6037419944960885E-2</v>
      </c>
      <c r="G1481" s="7" t="s">
        <v>4</v>
      </c>
      <c r="H1481" s="149">
        <f t="shared" ca="1" si="44"/>
        <v>44592</v>
      </c>
      <c r="I1481" s="20">
        <f ca="1">_xll.meDateFromTenor(H1481,"3M","Following",$I$11,"Normal")</f>
        <v>44684</v>
      </c>
      <c r="J1481" s="150">
        <f ca="1"/>
        <v>2.0170019183848933E-2</v>
      </c>
      <c r="K1481" s="7" t="s">
        <v>4</v>
      </c>
      <c r="L1481" s="149" t="e">
        <f ca="1">_xll.meDateFromTenor(L1480,"1D","FOLLOWING",#REF!,"NORMAL")</f>
        <v>#VALUE!</v>
      </c>
      <c r="M1481" s="155">
        <f ca="1">_xll.meDateYearFraction(C1481,D1481,$M$11)</f>
        <v>2.7777777777777779E-3</v>
      </c>
      <c r="N1481" s="150">
        <f ca="1"/>
        <v>-2.4300000000065936E-3</v>
      </c>
      <c r="O1481" s="7" t="s">
        <v>4</v>
      </c>
      <c r="P1481" s="149">
        <f t="shared" ca="1" si="45"/>
        <v>44592</v>
      </c>
      <c r="Q1481" s="155">
        <f ca="1">_xll.meDateYearFraction(H1481,I1481,$Q$11,TRUE)</f>
        <v>0.25555555555555554</v>
      </c>
      <c r="R1481" s="150">
        <f ca="1">IF(NOW(),_xll.meCurveForwardRatesFromYearFraction(P1481,Q1481,$Q$11,$Q$9,$Q$10))</f>
        <v>5.4933217764748634E-3</v>
      </c>
      <c r="S1481" s="134" t="s">
        <v>4</v>
      </c>
    </row>
    <row r="1482" spans="1:19" x14ac:dyDescent="0.25">
      <c r="A1482" s="128">
        <v>1466</v>
      </c>
      <c r="B1482" s="133"/>
      <c r="C1482" s="149">
        <f ca="1">_xll.meDateFromTenor(C1481,"1D","FOLLOWING",$D$11,"NORMAL")</f>
        <v>44593</v>
      </c>
      <c r="D1482" s="20">
        <f ca="1">_xll.meDateFromTenor(C1482,"1D","Following",$D$11,"Normal")</f>
        <v>44594</v>
      </c>
      <c r="E1482" s="99">
        <f ca="1"/>
        <v>1.5916238520110326E-2</v>
      </c>
      <c r="F1482" s="161">
        <f ca="1">_xll.meCurveForwardRates(C1482,$D$9,$D$10)</f>
        <v>1.6043219051337987E-2</v>
      </c>
      <c r="G1482" s="7" t="s">
        <v>4</v>
      </c>
      <c r="H1482" s="149">
        <f t="shared" ca="1" si="44"/>
        <v>44593</v>
      </c>
      <c r="I1482" s="20">
        <f ca="1">_xll.meDateFromTenor(H1482,"3M","Following",$I$11,"Normal")</f>
        <v>44684</v>
      </c>
      <c r="J1482" s="150">
        <f ca="1"/>
        <v>2.017355943535051E-2</v>
      </c>
      <c r="K1482" s="7" t="s">
        <v>4</v>
      </c>
      <c r="L1482" s="149" t="e">
        <f ca="1">_xll.meDateFromTenor(L1481,"1D","FOLLOWING",#REF!,"NORMAL")</f>
        <v>#VALUE!</v>
      </c>
      <c r="M1482" s="155">
        <f ca="1">_xll.meDateYearFraction(C1482,D1482,$M$11)</f>
        <v>2.7777777777777779E-3</v>
      </c>
      <c r="N1482" s="150">
        <f ca="1"/>
        <v>-2.4300000000065936E-3</v>
      </c>
      <c r="O1482" s="7" t="s">
        <v>4</v>
      </c>
      <c r="P1482" s="149">
        <f t="shared" ca="1" si="45"/>
        <v>44593</v>
      </c>
      <c r="Q1482" s="155">
        <f ca="1">_xll.meDateYearFraction(H1482,I1482,$Q$11,TRUE)</f>
        <v>0.25277777777777777</v>
      </c>
      <c r="R1482" s="150">
        <f ca="1">IF(NOW(),_xll.meCurveForwardRatesFromYearFraction(P1482,Q1482,$Q$11,$Q$9,$Q$10))</f>
        <v>-3.7175485397107962E-3</v>
      </c>
      <c r="S1482" s="134" t="s">
        <v>4</v>
      </c>
    </row>
    <row r="1483" spans="1:19" x14ac:dyDescent="0.25">
      <c r="A1483" s="128">
        <v>1467</v>
      </c>
      <c r="B1483" s="133"/>
      <c r="C1483" s="149">
        <f ca="1">_xll.meDateFromTenor(C1482,"1D","FOLLOWING",$D$11,"NORMAL")</f>
        <v>44594</v>
      </c>
      <c r="D1483" s="20">
        <f ca="1">_xll.meDateFromTenor(C1483,"1D","Following",$D$11,"Normal")</f>
        <v>44595</v>
      </c>
      <c r="E1483" s="99">
        <f ca="1"/>
        <v>1.5921984525466941E-2</v>
      </c>
      <c r="F1483" s="161">
        <f ca="1">_xll.meCurveForwardRates(C1483,$D$9,$D$10)</f>
        <v>1.604905699973691E-2</v>
      </c>
      <c r="G1483" s="7" t="s">
        <v>4</v>
      </c>
      <c r="H1483" s="149">
        <f t="shared" ca="1" si="44"/>
        <v>44594</v>
      </c>
      <c r="I1483" s="20">
        <f ca="1">_xll.meDateFromTenor(H1483,"3M","Following",$I$11,"Normal")</f>
        <v>44684</v>
      </c>
      <c r="J1483" s="150">
        <f ca="1"/>
        <v>2.0177097350675847E-2</v>
      </c>
      <c r="K1483" s="7" t="s">
        <v>4</v>
      </c>
      <c r="L1483" s="149" t="e">
        <f ca="1">_xll.meDateFromTenor(L1482,"1D","FOLLOWING",#REF!,"NORMAL")</f>
        <v>#VALUE!</v>
      </c>
      <c r="M1483" s="155">
        <f ca="1">_xll.meDateYearFraction(C1483,D1483,$M$11)</f>
        <v>2.7777777777777779E-3</v>
      </c>
      <c r="N1483" s="150">
        <f ca="1"/>
        <v>-2.4300000000065936E-3</v>
      </c>
      <c r="O1483" s="7" t="s">
        <v>4</v>
      </c>
      <c r="P1483" s="149">
        <f t="shared" ca="1" si="45"/>
        <v>44594</v>
      </c>
      <c r="Q1483" s="155">
        <f ca="1">_xll.meDateYearFraction(H1483,I1483,$Q$11,TRUE)</f>
        <v>0.25</v>
      </c>
      <c r="R1483" s="150">
        <f ca="1">IF(NOW(),_xll.meCurveForwardRatesFromYearFraction(P1483,Q1483,$Q$11,$Q$9,$Q$10))</f>
        <v>5.5137788548618536E-3</v>
      </c>
      <c r="S1483" s="134" t="s">
        <v>4</v>
      </c>
    </row>
    <row r="1484" spans="1:19" x14ac:dyDescent="0.25">
      <c r="A1484" s="128">
        <v>1468</v>
      </c>
      <c r="B1484" s="133"/>
      <c r="C1484" s="149">
        <f ca="1">_xll.meDateFromTenor(C1483,"1D","FOLLOWING",$D$11,"NORMAL")</f>
        <v>44595</v>
      </c>
      <c r="D1484" s="20">
        <f ca="1">_xll.meDateFromTenor(C1484,"1D","Following",$D$11,"Normal")</f>
        <v>44596</v>
      </c>
      <c r="E1484" s="99">
        <f ca="1"/>
        <v>1.5927768735612698E-2</v>
      </c>
      <c r="F1484" s="161">
        <f ca="1">_xll.meCurveForwardRates(C1484,$D$9,$D$10)</f>
        <v>1.6054933798032689E-2</v>
      </c>
      <c r="G1484" s="7" t="s">
        <v>4</v>
      </c>
      <c r="H1484" s="149">
        <f t="shared" ca="1" si="44"/>
        <v>44595</v>
      </c>
      <c r="I1484" s="20">
        <f ca="1">_xll.meDateFromTenor(H1484,"3M","Following",$I$11,"Normal")</f>
        <v>44684</v>
      </c>
      <c r="J1484" s="150">
        <f ca="1"/>
        <v>2.0180633010874981E-2</v>
      </c>
      <c r="K1484" s="7" t="s">
        <v>4</v>
      </c>
      <c r="L1484" s="149" t="e">
        <f ca="1">_xll.meDateFromTenor(L1483,"1D","FOLLOWING",#REF!,"NORMAL")</f>
        <v>#VALUE!</v>
      </c>
      <c r="M1484" s="155">
        <f ca="1">_xll.meDateYearFraction(C1484,D1484,$M$11)</f>
        <v>2.7777777777777779E-3</v>
      </c>
      <c r="N1484" s="150">
        <f ca="1"/>
        <v>-2.4300000000065936E-3</v>
      </c>
      <c r="O1484" s="7" t="s">
        <v>4</v>
      </c>
      <c r="P1484" s="149">
        <f t="shared" ca="1" si="45"/>
        <v>44595</v>
      </c>
      <c r="Q1484" s="155">
        <f ca="1">_xll.meDateYearFraction(H1484,I1484,$Q$11,TRUE)</f>
        <v>0.24722222222222223</v>
      </c>
      <c r="R1484" s="150">
        <f ca="1">IF(NOW(),_xll.meCurveForwardRatesFromYearFraction(P1484,Q1484,$Q$11,$Q$9,$Q$10))</f>
        <v>-3.7175485397107962E-3</v>
      </c>
      <c r="S1484" s="134" t="s">
        <v>4</v>
      </c>
    </row>
    <row r="1485" spans="1:19" x14ac:dyDescent="0.25">
      <c r="A1485" s="128">
        <v>1469</v>
      </c>
      <c r="B1485" s="133"/>
      <c r="C1485" s="149">
        <f ca="1">_xll.meDateFromTenor(C1484,"1D","FOLLOWING",$D$11,"NORMAL")</f>
        <v>44596</v>
      </c>
      <c r="D1485" s="20">
        <f ca="1">_xll.meDateFromTenor(C1485,"1D","Following",$D$11,"Normal")</f>
        <v>44599</v>
      </c>
      <c r="E1485" s="99">
        <f ca="1"/>
        <v>1.5940170290705619E-2</v>
      </c>
      <c r="F1485" s="161">
        <f ca="1">_xll.meCurveForwardRates(C1485,$D$9,$D$10)</f>
        <v>1.6060849453983561E-2</v>
      </c>
      <c r="G1485" s="7" t="s">
        <v>4</v>
      </c>
      <c r="H1485" s="149">
        <f t="shared" ca="1" si="44"/>
        <v>44596</v>
      </c>
      <c r="I1485" s="20">
        <f ca="1">_xll.meDateFromTenor(H1485,"3M","Following",$I$11,"Normal")</f>
        <v>44685</v>
      </c>
      <c r="J1485" s="150">
        <f ca="1"/>
        <v>2.0184166496997932E-2</v>
      </c>
      <c r="K1485" s="7" t="s">
        <v>4</v>
      </c>
      <c r="L1485" s="149" t="e">
        <f ca="1">_xll.meDateFromTenor(L1484,"1D","FOLLOWING",#REF!,"NORMAL")</f>
        <v>#VALUE!</v>
      </c>
      <c r="M1485" s="155">
        <f ca="1">_xll.meDateYearFraction(C1485,D1485,$M$11)</f>
        <v>8.3333333333333332E-3</v>
      </c>
      <c r="N1485" s="150">
        <f ca="1"/>
        <v>-2.4300000000065936E-3</v>
      </c>
      <c r="O1485" s="7" t="s">
        <v>4</v>
      </c>
      <c r="P1485" s="149">
        <f t="shared" ca="1" si="45"/>
        <v>44596</v>
      </c>
      <c r="Q1485" s="155">
        <f ca="1">_xll.meDateYearFraction(H1485,I1485,$Q$11,TRUE)</f>
        <v>0.24722222222222223</v>
      </c>
      <c r="R1485" s="150">
        <f ca="1">IF(NOW(),_xll.meCurveForwardRatesFromYearFraction(P1485,Q1485,$Q$11,$Q$9,$Q$10))</f>
        <v>5.5341888133951843E-3</v>
      </c>
      <c r="S1485" s="134" t="s">
        <v>4</v>
      </c>
    </row>
    <row r="1486" spans="1:19" x14ac:dyDescent="0.25">
      <c r="A1486" s="128">
        <v>1470</v>
      </c>
      <c r="B1486" s="133"/>
      <c r="C1486" s="149">
        <f ca="1">_xll.meDateFromTenor(C1485,"1D","FOLLOWING",$D$11,"NORMAL")</f>
        <v>44599</v>
      </c>
      <c r="D1486" s="20">
        <f ca="1">_xll.meDateFromTenor(C1486,"1D","Following",$D$11,"Normal")</f>
        <v>44600</v>
      </c>
      <c r="E1486" s="99">
        <f ca="1"/>
        <v>1.5951287763138203E-2</v>
      </c>
      <c r="F1486" s="161">
        <f ca="1">_xll.meCurveForwardRates(C1486,$D$9,$D$10)</f>
        <v>1.6078829644966985E-2</v>
      </c>
      <c r="G1486" s="7" t="s">
        <v>4</v>
      </c>
      <c r="H1486" s="149">
        <f t="shared" ca="1" si="44"/>
        <v>44599</v>
      </c>
      <c r="I1486" s="20">
        <f ca="1">_xll.meDateFromTenor(H1486,"3M","Following",$I$11,"Normal")</f>
        <v>44690</v>
      </c>
      <c r="J1486" s="150">
        <f ca="1"/>
        <v>2.0194754721409938E-2</v>
      </c>
      <c r="K1486" s="7" t="s">
        <v>4</v>
      </c>
      <c r="L1486" s="149" t="e">
        <f ca="1">_xll.meDateFromTenor(L1485,"1D","FOLLOWING",#REF!,"NORMAL")</f>
        <v>#VALUE!</v>
      </c>
      <c r="M1486" s="155">
        <f ca="1">_xll.meDateYearFraction(C1486,D1486,$M$11)</f>
        <v>2.7777777777777779E-3</v>
      </c>
      <c r="N1486" s="150">
        <f ca="1"/>
        <v>-2.4300000000065936E-3</v>
      </c>
      <c r="O1486" s="7" t="s">
        <v>4</v>
      </c>
      <c r="P1486" s="149">
        <f t="shared" ca="1" si="45"/>
        <v>44599</v>
      </c>
      <c r="Q1486" s="155">
        <f ca="1">_xll.meDateYearFraction(H1486,I1486,$Q$11,TRUE)</f>
        <v>0.25277777777777777</v>
      </c>
      <c r="R1486" s="150">
        <f ca="1">IF(NOW(),_xll.meCurveForwardRatesFromYearFraction(P1486,Q1486,$Q$11,$Q$9,$Q$10))</f>
        <v>-3.7175485397107962E-3</v>
      </c>
      <c r="S1486" s="134" t="s">
        <v>4</v>
      </c>
    </row>
    <row r="1487" spans="1:19" x14ac:dyDescent="0.25">
      <c r="A1487" s="128">
        <v>1471</v>
      </c>
      <c r="B1487" s="133"/>
      <c r="C1487" s="149">
        <f ca="1">_xll.meDateFromTenor(C1486,"1D","FOLLOWING",$D$11,"NORMAL")</f>
        <v>44600</v>
      </c>
      <c r="D1487" s="20">
        <f ca="1">_xll.meDateFromTenor(C1487,"1D","Following",$D$11,"Normal")</f>
        <v>44601</v>
      </c>
      <c r="E1487" s="99">
        <f ca="1"/>
        <v>1.5957263101687269E-2</v>
      </c>
      <c r="F1487" s="161">
        <f ca="1">_xll.meCurveForwardRates(C1487,$D$9,$D$10)</f>
        <v>1.6084900809046676E-2</v>
      </c>
      <c r="G1487" s="7" t="s">
        <v>4</v>
      </c>
      <c r="H1487" s="149">
        <f t="shared" ca="1" si="44"/>
        <v>44600</v>
      </c>
      <c r="I1487" s="20">
        <f ca="1">_xll.meDateFromTenor(H1487,"3M","Following",$I$11,"Normal")</f>
        <v>44690</v>
      </c>
      <c r="J1487" s="150">
        <f ca="1"/>
        <v>2.0198280321728414E-2</v>
      </c>
      <c r="K1487" s="7" t="s">
        <v>4</v>
      </c>
      <c r="L1487" s="149" t="e">
        <f ca="1">_xll.meDateFromTenor(L1486,"1D","FOLLOWING",#REF!,"NORMAL")</f>
        <v>#VALUE!</v>
      </c>
      <c r="M1487" s="155">
        <f ca="1">_xll.meDateYearFraction(C1487,D1487,$M$11)</f>
        <v>2.7777777777777779E-3</v>
      </c>
      <c r="N1487" s="150">
        <f ca="1"/>
        <v>-2.4300000000065936E-3</v>
      </c>
      <c r="O1487" s="7" t="s">
        <v>4</v>
      </c>
      <c r="P1487" s="149">
        <f t="shared" ca="1" si="45"/>
        <v>44600</v>
      </c>
      <c r="Q1487" s="155">
        <f ca="1">_xll.meDateYearFraction(H1487,I1487,$Q$11,TRUE)</f>
        <v>0.25</v>
      </c>
      <c r="R1487" s="150">
        <f ca="1">IF(NOW(),_xll.meCurveForwardRatesFromYearFraction(P1487,Q1487,$Q$11,$Q$9,$Q$10))</f>
        <v>5.5748512614311758E-3</v>
      </c>
      <c r="S1487" s="134" t="s">
        <v>4</v>
      </c>
    </row>
    <row r="1488" spans="1:19" x14ac:dyDescent="0.25">
      <c r="A1488" s="128">
        <v>1472</v>
      </c>
      <c r="B1488" s="133"/>
      <c r="C1488" s="149">
        <f ca="1">_xll.meDateFromTenor(C1487,"1D","FOLLOWING",$D$11,"NORMAL")</f>
        <v>44601</v>
      </c>
      <c r="D1488" s="20">
        <f ca="1">_xll.meDateFromTenor(C1488,"1D","Following",$D$11,"Normal")</f>
        <v>44602</v>
      </c>
      <c r="E1488" s="99">
        <f ca="1"/>
        <v>1.596327668683201E-2</v>
      </c>
      <c r="F1488" s="161">
        <f ca="1">_xll.meCurveForwardRates(C1488,$D$9,$D$10)</f>
        <v>1.6091010869599742E-2</v>
      </c>
      <c r="G1488" s="7" t="s">
        <v>4</v>
      </c>
      <c r="H1488" s="149">
        <f t="shared" ca="1" si="44"/>
        <v>44601</v>
      </c>
      <c r="I1488" s="20">
        <f ca="1">_xll.meDateFromTenor(H1488,"3M","Following",$I$11,"Normal")</f>
        <v>44690</v>
      </c>
      <c r="J1488" s="150">
        <f ca="1"/>
        <v>2.0201804153220829E-2</v>
      </c>
      <c r="K1488" s="7" t="s">
        <v>4</v>
      </c>
      <c r="L1488" s="149" t="e">
        <f ca="1">_xll.meDateFromTenor(L1487,"1D","FOLLOWING",#REF!,"NORMAL")</f>
        <v>#VALUE!</v>
      </c>
      <c r="M1488" s="155">
        <f ca="1">_xll.meDateYearFraction(C1488,D1488,$M$11)</f>
        <v>2.7777777777777779E-3</v>
      </c>
      <c r="N1488" s="150">
        <f ca="1"/>
        <v>-2.4300000000065936E-3</v>
      </c>
      <c r="O1488" s="7" t="s">
        <v>4</v>
      </c>
      <c r="P1488" s="149">
        <f t="shared" ca="1" si="45"/>
        <v>44601</v>
      </c>
      <c r="Q1488" s="155">
        <f ca="1">_xll.meDateYearFraction(H1488,I1488,$Q$11,TRUE)</f>
        <v>0.24722222222222223</v>
      </c>
      <c r="R1488" s="150">
        <f ca="1">IF(NOW(),_xll.meCurveForwardRatesFromYearFraction(P1488,Q1488,$Q$11,$Q$9,$Q$10))</f>
        <v>-3.7175485397107962E-3</v>
      </c>
      <c r="S1488" s="134" t="s">
        <v>4</v>
      </c>
    </row>
    <row r="1489" spans="1:19" x14ac:dyDescent="0.25">
      <c r="A1489" s="128">
        <v>1473</v>
      </c>
      <c r="B1489" s="133"/>
      <c r="C1489" s="149">
        <f ca="1">_xll.meDateFromTenor(C1488,"1D","FOLLOWING",$D$11,"NORMAL")</f>
        <v>44602</v>
      </c>
      <c r="D1489" s="20">
        <f ca="1">_xll.meDateFromTenor(C1489,"1D","Following",$D$11,"Normal")</f>
        <v>44603</v>
      </c>
      <c r="E1489" s="99">
        <f ca="1"/>
        <v>1.5969328525787085E-2</v>
      </c>
      <c r="F1489" s="161">
        <f ca="1">_xll.meCurveForwardRates(C1489,$D$9,$D$10)</f>
        <v>1.6097159834655761E-2</v>
      </c>
      <c r="G1489" s="7" t="s">
        <v>4</v>
      </c>
      <c r="H1489" s="149">
        <f t="shared" ref="H1489:H1516" ca="1" si="46">$C1489</f>
        <v>44602</v>
      </c>
      <c r="I1489" s="20">
        <f ca="1">_xll.meDateFromTenor(H1489,"3M","Following",$I$11,"Normal")</f>
        <v>44691</v>
      </c>
      <c r="J1489" s="150">
        <f ca="1"/>
        <v>2.0205326296937214E-2</v>
      </c>
      <c r="K1489" s="7" t="s">
        <v>4</v>
      </c>
      <c r="L1489" s="149" t="e">
        <f ca="1">_xll.meDateFromTenor(L1488,"1D","FOLLOWING",#REF!,"NORMAL")</f>
        <v>#VALUE!</v>
      </c>
      <c r="M1489" s="155">
        <f ca="1">_xll.meDateYearFraction(C1489,D1489,$M$11)</f>
        <v>2.7777777777777779E-3</v>
      </c>
      <c r="N1489" s="150">
        <f ca="1"/>
        <v>-2.4300000000065936E-3</v>
      </c>
      <c r="O1489" s="7" t="s">
        <v>4</v>
      </c>
      <c r="P1489" s="149">
        <f t="shared" ref="P1489:P1516" ca="1" si="47">$C1489</f>
        <v>44602</v>
      </c>
      <c r="Q1489" s="155">
        <f ca="1">_xll.meDateYearFraction(H1489,I1489,$Q$11,TRUE)</f>
        <v>0.24722222222222223</v>
      </c>
      <c r="R1489" s="150">
        <f ca="1">IF(NOW(),_xll.meCurveForwardRatesFromYearFraction(P1489,Q1489,$Q$11,$Q$9,$Q$10))</f>
        <v>5.5950956961989739E-3</v>
      </c>
      <c r="S1489" s="134" t="s">
        <v>4</v>
      </c>
    </row>
    <row r="1490" spans="1:19" x14ac:dyDescent="0.25">
      <c r="A1490" s="128">
        <v>1474</v>
      </c>
      <c r="B1490" s="133"/>
      <c r="C1490" s="149">
        <f ca="1">_xll.meDateFromTenor(C1489,"1D","FOLLOWING",$D$11,"NORMAL")</f>
        <v>44603</v>
      </c>
      <c r="D1490" s="20">
        <f ca="1">_xll.meDateFromTenor(C1490,"1D","Following",$D$11,"Normal")</f>
        <v>44606</v>
      </c>
      <c r="E1490" s="99">
        <f ca="1"/>
        <v>1.5982269234395035E-2</v>
      </c>
      <c r="F1490" s="161">
        <f ca="1">_xll.meCurveForwardRates(C1490,$D$9,$D$10)</f>
        <v>1.6103347711882821E-2</v>
      </c>
      <c r="G1490" s="7" t="s">
        <v>4</v>
      </c>
      <c r="H1490" s="149">
        <f t="shared" ca="1" si="46"/>
        <v>44603</v>
      </c>
      <c r="I1490" s="20">
        <f ca="1">_xll.meDateFromTenor(H1490,"3M","Following",$I$11,"Normal")</f>
        <v>44692</v>
      </c>
      <c r="J1490" s="150">
        <f ca="1"/>
        <v>2.0208846833927596E-2</v>
      </c>
      <c r="K1490" s="7" t="s">
        <v>4</v>
      </c>
      <c r="L1490" s="149" t="e">
        <f ca="1">_xll.meDateFromTenor(L1489,"1D","FOLLOWING",#REF!,"NORMAL")</f>
        <v>#VALUE!</v>
      </c>
      <c r="M1490" s="155">
        <f ca="1">_xll.meDateYearFraction(C1490,D1490,$M$11)</f>
        <v>8.3333333333333332E-3</v>
      </c>
      <c r="N1490" s="150">
        <f ca="1"/>
        <v>-2.4300000000065936E-3</v>
      </c>
      <c r="O1490" s="7" t="s">
        <v>4</v>
      </c>
      <c r="P1490" s="149">
        <f t="shared" ca="1" si="47"/>
        <v>44603</v>
      </c>
      <c r="Q1490" s="155">
        <f ca="1">_xll.meDateYearFraction(H1490,I1490,$Q$11,TRUE)</f>
        <v>0.24722222222222223</v>
      </c>
      <c r="R1490" s="150">
        <f ca="1">IF(NOW(),_xll.meCurveForwardRatesFromYearFraction(P1490,Q1490,$Q$11,$Q$9,$Q$10))</f>
        <v>-3.7175485397107962E-3</v>
      </c>
      <c r="S1490" s="134" t="s">
        <v>4</v>
      </c>
    </row>
    <row r="1491" spans="1:19" x14ac:dyDescent="0.25">
      <c r="A1491" s="128">
        <v>1475</v>
      </c>
      <c r="B1491" s="133"/>
      <c r="C1491" s="149">
        <f ca="1">_xll.meDateFromTenor(C1490,"1D","FOLLOWING",$D$11,"NORMAL")</f>
        <v>44606</v>
      </c>
      <c r="D1491" s="20">
        <f ca="1">_xll.meDateFromTenor(C1491,"1D","Following",$D$11,"Normal")</f>
        <v>44607</v>
      </c>
      <c r="E1491" s="99">
        <f ca="1"/>
        <v>1.5993918558836865E-2</v>
      </c>
      <c r="F1491" s="161">
        <f ca="1">_xll.meCurveForwardRates(C1491,$D$9,$D$10)</f>
        <v>1.6122144895416524E-2</v>
      </c>
      <c r="G1491" s="7" t="s">
        <v>4</v>
      </c>
      <c r="H1491" s="149">
        <f t="shared" ca="1" si="46"/>
        <v>44606</v>
      </c>
      <c r="I1491" s="20">
        <f ca="1">_xll.meDateFromTenor(H1491,"3M","Following",$I$11,"Normal")</f>
        <v>44697</v>
      </c>
      <c r="J1491" s="150">
        <f ca="1"/>
        <v>2.0219399615042967E-2</v>
      </c>
      <c r="K1491" s="7" t="s">
        <v>4</v>
      </c>
      <c r="L1491" s="149" t="e">
        <f ca="1">_xll.meDateFromTenor(L1490,"1D","FOLLOWING",#REF!,"NORMAL")</f>
        <v>#VALUE!</v>
      </c>
      <c r="M1491" s="155">
        <f ca="1">_xll.meDateYearFraction(C1491,D1491,$M$11)</f>
        <v>2.7777777777777779E-3</v>
      </c>
      <c r="N1491" s="150">
        <f ca="1"/>
        <v>-2.4300000000065936E-3</v>
      </c>
      <c r="O1491" s="7" t="s">
        <v>4</v>
      </c>
      <c r="P1491" s="149">
        <f t="shared" ca="1" si="47"/>
        <v>44606</v>
      </c>
      <c r="Q1491" s="155">
        <f ca="1">_xll.meDateYearFraction(H1491,I1491,$Q$11,TRUE)</f>
        <v>0.25277777777777777</v>
      </c>
      <c r="R1491" s="150">
        <f ca="1">IF(NOW(),_xll.meCurveForwardRatesFromYearFraction(P1491,Q1491,$Q$11,$Q$9,$Q$10))</f>
        <v>-3.7175485397107962E-3</v>
      </c>
      <c r="S1491" s="134" t="s">
        <v>4</v>
      </c>
    </row>
    <row r="1492" spans="1:19" x14ac:dyDescent="0.25">
      <c r="A1492" s="128">
        <v>1476</v>
      </c>
      <c r="B1492" s="133"/>
      <c r="C1492" s="149">
        <f ca="1">_xll.meDateFromTenor(C1491,"1D","FOLLOWING",$D$11,"NORMAL")</f>
        <v>44607</v>
      </c>
      <c r="D1492" s="20">
        <f ca="1">_xll.meDateFromTenor(C1492,"1D","Following",$D$11,"Normal")</f>
        <v>44608</v>
      </c>
      <c r="E1492" s="99">
        <f ca="1"/>
        <v>1.6000161771738405E-2</v>
      </c>
      <c r="F1492" s="161">
        <f ca="1">_xll.meCurveForwardRates(C1492,$D$9,$D$10)</f>
        <v>1.612848850021753E-2</v>
      </c>
      <c r="G1492" s="7" t="s">
        <v>4</v>
      </c>
      <c r="H1492" s="149">
        <f t="shared" ca="1" si="46"/>
        <v>44607</v>
      </c>
      <c r="I1492" s="20">
        <f ca="1">_xll.meDateFromTenor(H1492,"3M","Following",$I$11,"Normal")</f>
        <v>44697</v>
      </c>
      <c r="J1492" s="150">
        <f ca="1"/>
        <v>2.022291453562958E-2</v>
      </c>
      <c r="K1492" s="7" t="s">
        <v>4</v>
      </c>
      <c r="L1492" s="149" t="e">
        <f ca="1">_xll.meDateFromTenor(L1491,"1D","FOLLOWING",#REF!,"NORMAL")</f>
        <v>#VALUE!</v>
      </c>
      <c r="M1492" s="155">
        <f ca="1">_xll.meDateYearFraction(C1492,D1492,$M$11)</f>
        <v>2.7777777777777779E-3</v>
      </c>
      <c r="N1492" s="150">
        <f ca="1"/>
        <v>-2.4300000000065936E-3</v>
      </c>
      <c r="O1492" s="7" t="s">
        <v>4</v>
      </c>
      <c r="P1492" s="149">
        <f t="shared" ca="1" si="47"/>
        <v>44607</v>
      </c>
      <c r="Q1492" s="155">
        <f ca="1">_xll.meDateYearFraction(H1492,I1492,$Q$11,TRUE)</f>
        <v>0.25</v>
      </c>
      <c r="R1492" s="150">
        <f ca="1">IF(NOW(),_xll.meCurveForwardRatesFromYearFraction(P1492,Q1492,$Q$11,$Q$9,$Q$10))</f>
        <v>-3.7175485397107962E-3</v>
      </c>
      <c r="S1492" s="134" t="s">
        <v>4</v>
      </c>
    </row>
    <row r="1493" spans="1:19" x14ac:dyDescent="0.25">
      <c r="A1493" s="128">
        <v>1477</v>
      </c>
      <c r="B1493" s="133"/>
      <c r="C1493" s="149">
        <f ca="1">_xll.meDateFromTenor(C1492,"1D","FOLLOWING",$D$11,"NORMAL")</f>
        <v>44608</v>
      </c>
      <c r="D1493" s="20">
        <f ca="1">_xll.meDateFromTenor(C1493,"1D","Following",$D$11,"Normal")</f>
        <v>44609</v>
      </c>
      <c r="E1493" s="99">
        <f ca="1"/>
        <v>1.6006443280576606E-2</v>
      </c>
      <c r="F1493" s="161">
        <f ca="1">_xll.meCurveForwardRates(C1493,$D$9,$D$10)</f>
        <v>1.613487105661715E-2</v>
      </c>
      <c r="G1493" s="7" t="s">
        <v>4</v>
      </c>
      <c r="H1493" s="149">
        <f t="shared" ca="1" si="46"/>
        <v>44608</v>
      </c>
      <c r="I1493" s="20">
        <f ca="1">_xll.meDateFromTenor(H1493,"3M","Following",$I$11,"Normal")</f>
        <v>44697</v>
      </c>
      <c r="J1493" s="150">
        <f ca="1"/>
        <v>2.022642825474032E-2</v>
      </c>
      <c r="K1493" s="7" t="s">
        <v>4</v>
      </c>
      <c r="L1493" s="149" t="e">
        <f ca="1">_xll.meDateFromTenor(L1492,"1D","FOLLOWING",#REF!,"NORMAL")</f>
        <v>#VALUE!</v>
      </c>
      <c r="M1493" s="155">
        <f ca="1">_xll.meDateYearFraction(C1493,D1493,$M$11)</f>
        <v>2.7777777777777779E-3</v>
      </c>
      <c r="N1493" s="150">
        <f ca="1"/>
        <v>-2.4300000000065936E-3</v>
      </c>
      <c r="O1493" s="7" t="s">
        <v>4</v>
      </c>
      <c r="P1493" s="149">
        <f t="shared" ca="1" si="47"/>
        <v>44608</v>
      </c>
      <c r="Q1493" s="155">
        <f ca="1">_xll.meDateYearFraction(H1493,I1493,$Q$11,TRUE)</f>
        <v>0.24722222222222223</v>
      </c>
      <c r="R1493" s="150">
        <f ca="1">IF(NOW(),_xll.meCurveForwardRatesFromYearFraction(P1493,Q1493,$Q$11,$Q$9,$Q$10))</f>
        <v>5.655433515092425E-3</v>
      </c>
      <c r="S1493" s="134" t="s">
        <v>4</v>
      </c>
    </row>
    <row r="1494" spans="1:19" x14ac:dyDescent="0.25">
      <c r="A1494" s="128">
        <v>1478</v>
      </c>
      <c r="B1494" s="133"/>
      <c r="C1494" s="149">
        <f ca="1">_xll.meDateFromTenor(C1493,"1D","FOLLOWING",$D$11,"NORMAL")</f>
        <v>44609</v>
      </c>
      <c r="D1494" s="20">
        <f ca="1">_xll.meDateFromTenor(C1494,"1D","Following",$D$11,"Normal")</f>
        <v>44610</v>
      </c>
      <c r="E1494" s="99">
        <f ca="1"/>
        <v>1.6012763092365375E-2</v>
      </c>
      <c r="F1494" s="161">
        <f ca="1">_xll.meCurveForwardRates(C1494,$D$9,$D$10)</f>
        <v>1.6141292572473542E-2</v>
      </c>
      <c r="G1494" s="7" t="s">
        <v>4</v>
      </c>
      <c r="H1494" s="149">
        <f t="shared" ca="1" si="46"/>
        <v>44609</v>
      </c>
      <c r="I1494" s="20">
        <f ca="1">_xll.meDateFromTenor(H1494,"3M","Following",$I$11,"Normal")</f>
        <v>44698</v>
      </c>
      <c r="J1494" s="150">
        <f ca="1"/>
        <v>2.0229940853425204E-2</v>
      </c>
      <c r="K1494" s="7" t="s">
        <v>4</v>
      </c>
      <c r="L1494" s="149" t="e">
        <f ca="1">_xll.meDateFromTenor(L1493,"1D","FOLLOWING",#REF!,"NORMAL")</f>
        <v>#VALUE!</v>
      </c>
      <c r="M1494" s="155">
        <f ca="1">_xll.meDateYearFraction(C1494,D1494,$M$11)</f>
        <v>2.7777777777777779E-3</v>
      </c>
      <c r="N1494" s="150">
        <f ca="1"/>
        <v>-2.4300000000065936E-3</v>
      </c>
      <c r="O1494" s="7" t="s">
        <v>4</v>
      </c>
      <c r="P1494" s="149">
        <f t="shared" ca="1" si="47"/>
        <v>44609</v>
      </c>
      <c r="Q1494" s="155">
        <f ca="1">_xll.meDateYearFraction(H1494,I1494,$Q$11,TRUE)</f>
        <v>0.24722222222222223</v>
      </c>
      <c r="R1494" s="150">
        <f ca="1">IF(NOW(),_xll.meCurveForwardRatesFromYearFraction(P1494,Q1494,$Q$11,$Q$9,$Q$10))</f>
        <v>-3.7175485397107962E-3</v>
      </c>
      <c r="S1494" s="134" t="s">
        <v>4</v>
      </c>
    </row>
    <row r="1495" spans="1:19" x14ac:dyDescent="0.25">
      <c r="A1495" s="128">
        <v>1479</v>
      </c>
      <c r="B1495" s="133"/>
      <c r="C1495" s="149">
        <f ca="1">_xll.meDateFromTenor(C1494,"1D","FOLLOWING",$D$11,"NORMAL")</f>
        <v>44610</v>
      </c>
      <c r="D1495" s="20">
        <f ca="1">_xll.meDateFromTenor(C1495,"1D","Following",$D$11,"Normal")</f>
        <v>44614</v>
      </c>
      <c r="E1495" s="99">
        <f ca="1"/>
        <v>1.6029824734626941E-2</v>
      </c>
      <c r="F1495" s="161">
        <f ca="1">_xll.meCurveForwardRates(C1495,$D$9,$D$10)</f>
        <v>1.614775305577254E-2</v>
      </c>
      <c r="G1495" s="7" t="s">
        <v>4</v>
      </c>
      <c r="H1495" s="149">
        <f t="shared" ca="1" si="46"/>
        <v>44610</v>
      </c>
      <c r="I1495" s="20">
        <f ca="1">_xll.meDateFromTenor(H1495,"3M","Following",$I$11,"Normal")</f>
        <v>44699</v>
      </c>
      <c r="J1495" s="150">
        <f ca="1"/>
        <v>2.0233452412734266E-2</v>
      </c>
      <c r="K1495" s="7" t="s">
        <v>4</v>
      </c>
      <c r="L1495" s="149" t="e">
        <f ca="1">_xll.meDateFromTenor(L1494,"1D","FOLLOWING",#REF!,"NORMAL")</f>
        <v>#VALUE!</v>
      </c>
      <c r="M1495" s="155">
        <f ca="1">_xll.meDateYearFraction(C1495,D1495,$M$11)</f>
        <v>1.1111111111111112E-2</v>
      </c>
      <c r="N1495" s="150">
        <f ca="1"/>
        <v>-2.4300000000065936E-3</v>
      </c>
      <c r="O1495" s="7" t="s">
        <v>4</v>
      </c>
      <c r="P1495" s="149">
        <f t="shared" ca="1" si="47"/>
        <v>44610</v>
      </c>
      <c r="Q1495" s="155">
        <f ca="1">_xll.meDateYearFraction(H1495,I1495,$Q$11,TRUE)</f>
        <v>0.24722222222222223</v>
      </c>
      <c r="R1495" s="150">
        <f ca="1">IF(NOW(),_xll.meCurveForwardRatesFromYearFraction(P1495,Q1495,$Q$11,$Q$9,$Q$10))</f>
        <v>5.6754008683621675E-3</v>
      </c>
      <c r="S1495" s="134" t="s">
        <v>4</v>
      </c>
    </row>
    <row r="1496" spans="1:19" x14ac:dyDescent="0.25">
      <c r="A1496" s="128">
        <v>1480</v>
      </c>
      <c r="B1496" s="133"/>
      <c r="C1496" s="149">
        <f ca="1">_xll.meDateFromTenor(C1495,"1D","FOLLOWING",$D$11,"NORMAL")</f>
        <v>44614</v>
      </c>
      <c r="D1496" s="20">
        <f ca="1">_xll.meDateFromTenor(C1496,"1D","Following",$D$11,"Normal")</f>
        <v>44615</v>
      </c>
      <c r="E1496" s="99">
        <f ca="1"/>
        <v>1.6044936944512991E-2</v>
      </c>
      <c r="F1496" s="161">
        <f ca="1">_xll.meCurveForwardRates(C1496,$D$9,$D$10)</f>
        <v>1.6173984822487997E-2</v>
      </c>
      <c r="G1496" s="7" t="s">
        <v>4</v>
      </c>
      <c r="H1496" s="149">
        <f t="shared" ca="1" si="46"/>
        <v>44614</v>
      </c>
      <c r="I1496" s="20">
        <f ca="1">_xll.meDateFromTenor(H1496,"3M","Following",$I$11,"Normal")</f>
        <v>44704</v>
      </c>
      <c r="J1496" s="150">
        <f ca="1"/>
        <v>2.0247489877212737E-2</v>
      </c>
      <c r="K1496" s="7" t="s">
        <v>4</v>
      </c>
      <c r="L1496" s="149" t="e">
        <f ca="1">_xll.meDateFromTenor(L1495,"1D","FOLLOWING",#REF!,"NORMAL")</f>
        <v>#VALUE!</v>
      </c>
      <c r="M1496" s="155">
        <f ca="1">_xll.meDateYearFraction(C1496,D1496,$M$11)</f>
        <v>2.7777777777777779E-3</v>
      </c>
      <c r="N1496" s="150">
        <f ca="1"/>
        <v>-2.4300000000065936E-3</v>
      </c>
      <c r="O1496" s="7" t="s">
        <v>4</v>
      </c>
      <c r="P1496" s="149">
        <f t="shared" ca="1" si="47"/>
        <v>44614</v>
      </c>
      <c r="Q1496" s="155">
        <f ca="1">_xll.meDateYearFraction(H1496,I1496,$Q$11,TRUE)</f>
        <v>0.25</v>
      </c>
      <c r="R1496" s="150">
        <f ca="1">IF(NOW(),_xll.meCurveForwardRatesFromYearFraction(P1496,Q1496,$Q$11,$Q$9,$Q$10))</f>
        <v>-3.7175485397107962E-3</v>
      </c>
      <c r="S1496" s="134" t="s">
        <v>4</v>
      </c>
    </row>
    <row r="1497" spans="1:19" x14ac:dyDescent="0.25">
      <c r="A1497" s="128">
        <v>1481</v>
      </c>
      <c r="B1497" s="133"/>
      <c r="C1497" s="149">
        <f ca="1">_xll.meDateFromTenor(C1496,"1D","FOLLOWING",$D$11,"NORMAL")</f>
        <v>44615</v>
      </c>
      <c r="D1497" s="20">
        <f ca="1">_xll.meDateFromTenor(C1497,"1D","Following",$D$11,"Normal")</f>
        <v>44616</v>
      </c>
      <c r="E1497" s="99">
        <f ca="1"/>
        <v>1.6050916930214477E-2</v>
      </c>
      <c r="F1497" s="161">
        <f ca="1">_xll.meCurveForwardRates(C1497,$D$9,$D$10)</f>
        <v>1.6180061275682389E-2</v>
      </c>
      <c r="G1497" s="7" t="s">
        <v>4</v>
      </c>
      <c r="H1497" s="149">
        <f t="shared" ca="1" si="46"/>
        <v>44615</v>
      </c>
      <c r="I1497" s="20">
        <f ca="1">_xll.meDateFromTenor(H1497,"3M","Following",$I$11,"Normal")</f>
        <v>44704</v>
      </c>
      <c r="J1497" s="150">
        <f ca="1"/>
        <v>2.0250997455393042E-2</v>
      </c>
      <c r="K1497" s="7" t="s">
        <v>4</v>
      </c>
      <c r="L1497" s="149" t="e">
        <f ca="1">_xll.meDateFromTenor(L1496,"1D","FOLLOWING",#REF!,"NORMAL")</f>
        <v>#VALUE!</v>
      </c>
      <c r="M1497" s="155">
        <f ca="1">_xll.meDateYearFraction(C1497,D1497,$M$11)</f>
        <v>2.7777777777777779E-3</v>
      </c>
      <c r="N1497" s="150">
        <f ca="1"/>
        <v>-2.4300000000065936E-3</v>
      </c>
      <c r="O1497" s="7" t="s">
        <v>4</v>
      </c>
      <c r="P1497" s="149">
        <f t="shared" ca="1" si="47"/>
        <v>44615</v>
      </c>
      <c r="Q1497" s="155">
        <f ca="1">_xll.meDateYearFraction(H1497,I1497,$Q$11,TRUE)</f>
        <v>0.24722222222222223</v>
      </c>
      <c r="R1497" s="150">
        <f ca="1">IF(NOW(),_xll.meCurveForwardRatesFromYearFraction(P1497,Q1497,$Q$11,$Q$9,$Q$10))</f>
        <v>5.7249633344505146E-3</v>
      </c>
      <c r="S1497" s="134" t="s">
        <v>4</v>
      </c>
    </row>
    <row r="1498" spans="1:19" x14ac:dyDescent="0.25">
      <c r="A1498" s="128">
        <v>1482</v>
      </c>
      <c r="B1498" s="133"/>
      <c r="C1498" s="149">
        <f ca="1">_xll.meDateFromTenor(C1497,"1D","FOLLOWING",$D$11,"NORMAL")</f>
        <v>44616</v>
      </c>
      <c r="D1498" s="20">
        <f ca="1">_xll.meDateFromTenor(C1498,"1D","Following",$D$11,"Normal")</f>
        <v>44617</v>
      </c>
      <c r="E1498" s="99">
        <f ca="1"/>
        <v>1.6056339842818582E-2</v>
      </c>
      <c r="F1498" s="161">
        <f ca="1">_xll.meCurveForwardRates(C1498,$D$9,$D$10)</f>
        <v>1.6185571700557455E-2</v>
      </c>
      <c r="G1498" s="7" t="s">
        <v>4</v>
      </c>
      <c r="H1498" s="149">
        <f t="shared" ca="1" si="46"/>
        <v>44616</v>
      </c>
      <c r="I1498" s="20">
        <f ca="1">_xll.meDateFromTenor(H1498,"3M","Following",$I$11,"Normal")</f>
        <v>44705</v>
      </c>
      <c r="J1498" s="150">
        <f ca="1"/>
        <v>2.0254504474538762E-2</v>
      </c>
      <c r="K1498" s="7" t="s">
        <v>4</v>
      </c>
      <c r="L1498" s="149" t="e">
        <f ca="1">_xll.meDateFromTenor(L1497,"1D","FOLLOWING",#REF!,"NORMAL")</f>
        <v>#VALUE!</v>
      </c>
      <c r="M1498" s="155">
        <f ca="1">_xll.meDateYearFraction(C1498,D1498,$M$11)</f>
        <v>2.7777777777777779E-3</v>
      </c>
      <c r="N1498" s="150">
        <f ca="1"/>
        <v>-2.4300000000065936E-3</v>
      </c>
      <c r="O1498" s="7" t="s">
        <v>4</v>
      </c>
      <c r="P1498" s="149">
        <f t="shared" ca="1" si="47"/>
        <v>44616</v>
      </c>
      <c r="Q1498" s="155">
        <f ca="1">_xll.meDateYearFraction(H1498,I1498,$Q$11,TRUE)</f>
        <v>0.24722222222222223</v>
      </c>
      <c r="R1498" s="150">
        <f ca="1">IF(NOW(),_xll.meCurveForwardRatesFromYearFraction(P1498,Q1498,$Q$11,$Q$9,$Q$10))</f>
        <v>-3.7175485397107962E-3</v>
      </c>
      <c r="S1498" s="134" t="s">
        <v>4</v>
      </c>
    </row>
    <row r="1499" spans="1:19" x14ac:dyDescent="0.25">
      <c r="A1499" s="128">
        <v>1483</v>
      </c>
      <c r="B1499" s="133"/>
      <c r="C1499" s="149">
        <f ca="1">_xll.meDateFromTenor(C1498,"1D","FOLLOWING",$D$11,"NORMAL")</f>
        <v>44617</v>
      </c>
      <c r="D1499" s="20">
        <f ca="1">_xll.meDateFromTenor(C1499,"1D","Following",$D$11,"Normal")</f>
        <v>44620</v>
      </c>
      <c r="E1499" s="99">
        <f ca="1"/>
        <v>1.606790245967913E-2</v>
      </c>
      <c r="F1499" s="161">
        <f ca="1">_xll.meCurveForwardRates(C1499,$D$9,$D$10)</f>
        <v>1.6191082059210382E-2</v>
      </c>
      <c r="G1499" s="7" t="s">
        <v>4</v>
      </c>
      <c r="H1499" s="149">
        <f t="shared" ca="1" si="46"/>
        <v>44617</v>
      </c>
      <c r="I1499" s="20">
        <f ca="1">_xll.meDateFromTenor(H1499,"3M","Following",$I$11,"Normal")</f>
        <v>44706</v>
      </c>
      <c r="J1499" s="150">
        <f ca="1"/>
        <v>2.0258010898875099E-2</v>
      </c>
      <c r="K1499" s="7" t="s">
        <v>4</v>
      </c>
      <c r="L1499" s="149" t="e">
        <f ca="1">_xll.meDateFromTenor(L1498,"1D","FOLLOWING",#REF!,"NORMAL")</f>
        <v>#VALUE!</v>
      </c>
      <c r="M1499" s="155">
        <f ca="1">_xll.meDateYearFraction(C1499,D1499,$M$11)</f>
        <v>8.3333333333333332E-3</v>
      </c>
      <c r="N1499" s="150">
        <f ca="1"/>
        <v>-2.4300000000065936E-3</v>
      </c>
      <c r="O1499" s="7" t="s">
        <v>4</v>
      </c>
      <c r="P1499" s="149">
        <f t="shared" ca="1" si="47"/>
        <v>44617</v>
      </c>
      <c r="Q1499" s="155">
        <f ca="1">_xll.meDateYearFraction(H1499,I1499,$Q$11,TRUE)</f>
        <v>0.24722222222222223</v>
      </c>
      <c r="R1499" s="150">
        <f ca="1">IF(NOW(),_xll.meCurveForwardRatesFromYearFraction(P1499,Q1499,$Q$11,$Q$9,$Q$10))</f>
        <v>5.7446766922465827E-3</v>
      </c>
      <c r="S1499" s="134" t="s">
        <v>4</v>
      </c>
    </row>
    <row r="1500" spans="1:19" x14ac:dyDescent="0.25">
      <c r="A1500" s="128">
        <v>1484</v>
      </c>
      <c r="B1500" s="133"/>
      <c r="C1500" s="149">
        <f ca="1">_xll.meDateFromTenor(C1499,"1D","FOLLOWING",$D$11,"NORMAL")</f>
        <v>44620</v>
      </c>
      <c r="D1500" s="20">
        <f ca="1">_xll.meDateFromTenor(C1500,"1D","Following",$D$11,"Normal")</f>
        <v>44621</v>
      </c>
      <c r="E1500" s="99">
        <f ca="1"/>
        <v>1.6078030549968998E-2</v>
      </c>
      <c r="F1500" s="161">
        <f ca="1">_xll.meCurveForwardRates(C1500,$D$9,$D$10)</f>
        <v>1.620761273953053E-2</v>
      </c>
      <c r="G1500" s="7" t="s">
        <v>4</v>
      </c>
      <c r="H1500" s="149">
        <f t="shared" ca="1" si="46"/>
        <v>44620</v>
      </c>
      <c r="I1500" s="20">
        <f ca="1">_xll.meDateFromTenor(H1500,"3M","Following",$I$11,"Normal")</f>
        <v>44712</v>
      </c>
      <c r="J1500" s="150">
        <f ca="1"/>
        <v>2.0268525750539276E-2</v>
      </c>
      <c r="K1500" s="7" t="s">
        <v>4</v>
      </c>
      <c r="L1500" s="149" t="e">
        <f ca="1">_xll.meDateFromTenor(L1499,"1D","FOLLOWING",#REF!,"NORMAL")</f>
        <v>#VALUE!</v>
      </c>
      <c r="M1500" s="155">
        <f ca="1">_xll.meDateYearFraction(C1500,D1500,$M$11)</f>
        <v>2.7777777777777779E-3</v>
      </c>
      <c r="N1500" s="150">
        <f ca="1"/>
        <v>-2.4300000000065936E-3</v>
      </c>
      <c r="O1500" s="7" t="s">
        <v>4</v>
      </c>
      <c r="P1500" s="149">
        <f t="shared" ca="1" si="47"/>
        <v>44620</v>
      </c>
      <c r="Q1500" s="155">
        <f ca="1">_xll.meDateYearFraction(H1500,I1500,$Q$11,TRUE)</f>
        <v>0.25555555555555554</v>
      </c>
      <c r="R1500" s="150">
        <f ca="1">IF(NOW(),_xll.meCurveForwardRatesFromYearFraction(P1500,Q1500,$Q$11,$Q$9,$Q$10))</f>
        <v>-3.7175485397107962E-3</v>
      </c>
      <c r="S1500" s="134" t="s">
        <v>4</v>
      </c>
    </row>
    <row r="1501" spans="1:19" x14ac:dyDescent="0.25">
      <c r="A1501" s="128">
        <v>1485</v>
      </c>
      <c r="B1501" s="133"/>
      <c r="C1501" s="149">
        <f ca="1">_xll.meDateFromTenor(C1500,"1D","FOLLOWING",$D$11,"NORMAL")</f>
        <v>44621</v>
      </c>
      <c r="D1501" s="20">
        <f ca="1">_xll.meDateFromTenor(C1501,"1D","Following",$D$11,"Normal")</f>
        <v>44622</v>
      </c>
      <c r="E1501" s="99">
        <f ca="1"/>
        <v>1.6083452991739449E-2</v>
      </c>
      <c r="F1501" s="161">
        <f ca="1">_xll.meCurveForwardRates(C1501,$D$9,$D$10)</f>
        <v>1.6213122834947358E-2</v>
      </c>
      <c r="G1501" s="7" t="s">
        <v>4</v>
      </c>
      <c r="H1501" s="149">
        <f t="shared" ca="1" si="46"/>
        <v>44621</v>
      </c>
      <c r="I1501" s="20">
        <f ca="1">_xll.meDateFromTenor(H1501,"3M","Following",$I$11,"Normal")</f>
        <v>44713</v>
      </c>
      <c r="J1501" s="150">
        <f ca="1"/>
        <v>2.0272028943149556E-2</v>
      </c>
      <c r="K1501" s="7" t="s">
        <v>4</v>
      </c>
      <c r="L1501" s="149" t="e">
        <f ca="1">_xll.meDateFromTenor(L1500,"1D","FOLLOWING",#REF!,"NORMAL")</f>
        <v>#VALUE!</v>
      </c>
      <c r="M1501" s="155">
        <f ca="1">_xll.meDateYearFraction(C1501,D1501,$M$11)</f>
        <v>2.7777777777777779E-3</v>
      </c>
      <c r="N1501" s="150">
        <f ca="1"/>
        <v>-2.4300000000065936E-3</v>
      </c>
      <c r="O1501" s="7" t="s">
        <v>4</v>
      </c>
      <c r="P1501" s="149">
        <f t="shared" ca="1" si="47"/>
        <v>44621</v>
      </c>
      <c r="Q1501" s="155">
        <f ca="1">_xll.meDateYearFraction(H1501,I1501,$Q$11,TRUE)</f>
        <v>0.25555555555555554</v>
      </c>
      <c r="R1501" s="150">
        <f ca="1">IF(NOW(),_xll.meCurveForwardRatesFromYearFraction(P1501,Q1501,$Q$11,$Q$9,$Q$10))</f>
        <v>5.7840746796882477E-3</v>
      </c>
      <c r="S1501" s="134" t="s">
        <v>4</v>
      </c>
    </row>
    <row r="1502" spans="1:19" x14ac:dyDescent="0.25">
      <c r="A1502" s="128">
        <v>1486</v>
      </c>
      <c r="B1502" s="133"/>
      <c r="C1502" s="149">
        <f ca="1">_xll.meDateFromTenor(C1501,"1D","FOLLOWING",$D$11,"NORMAL")</f>
        <v>44622</v>
      </c>
      <c r="D1502" s="20">
        <f ca="1">_xll.meDateFromTenor(C1502,"1D","Following",$D$11,"Normal")</f>
        <v>44623</v>
      </c>
      <c r="E1502" s="99">
        <f ca="1"/>
        <v>1.6088875339915064E-2</v>
      </c>
      <c r="F1502" s="161">
        <f ca="1">_xll.meCurveForwardRates(C1502,$D$9,$D$10)</f>
        <v>1.6218632865049543E-2</v>
      </c>
      <c r="G1502" s="7" t="s">
        <v>4</v>
      </c>
      <c r="H1502" s="149">
        <f t="shared" ca="1" si="46"/>
        <v>44622</v>
      </c>
      <c r="I1502" s="20">
        <f ca="1">_xll.meDateFromTenor(H1502,"3M","Following",$I$11,"Normal")</f>
        <v>44714</v>
      </c>
      <c r="J1502" s="150">
        <f ca="1"/>
        <v>2.0275531114706192E-2</v>
      </c>
      <c r="K1502" s="7" t="s">
        <v>4</v>
      </c>
      <c r="L1502" s="149" t="e">
        <f ca="1">_xll.meDateFromTenor(L1501,"1D","FOLLOWING",#REF!,"NORMAL")</f>
        <v>#VALUE!</v>
      </c>
      <c r="M1502" s="155">
        <f ca="1">_xll.meDateYearFraction(C1502,D1502,$M$11)</f>
        <v>2.7777777777777779E-3</v>
      </c>
      <c r="N1502" s="150">
        <f ca="1"/>
        <v>-2.4300000000065936E-3</v>
      </c>
      <c r="O1502" s="7" t="s">
        <v>4</v>
      </c>
      <c r="P1502" s="149">
        <f t="shared" ca="1" si="47"/>
        <v>44622</v>
      </c>
      <c r="Q1502" s="155">
        <f ca="1">_xll.meDateYearFraction(H1502,I1502,$Q$11,TRUE)</f>
        <v>0.25555555555555554</v>
      </c>
      <c r="R1502" s="150">
        <f ca="1">IF(NOW(),_xll.meCurveForwardRatesFromYearFraction(P1502,Q1502,$Q$11,$Q$9,$Q$10))</f>
        <v>-3.7175485397107962E-3</v>
      </c>
      <c r="S1502" s="134" t="s">
        <v>4</v>
      </c>
    </row>
    <row r="1503" spans="1:19" x14ac:dyDescent="0.25">
      <c r="A1503" s="128">
        <v>1487</v>
      </c>
      <c r="B1503" s="133"/>
      <c r="C1503" s="149">
        <f ca="1">_xll.meDateFromTenor(C1502,"1D","FOLLOWING",$D$11,"NORMAL")</f>
        <v>44623</v>
      </c>
      <c r="D1503" s="20">
        <f ca="1">_xll.meDateFromTenor(C1503,"1D","Following",$D$11,"Normal")</f>
        <v>44624</v>
      </c>
      <c r="E1503" s="99">
        <f ca="1"/>
        <v>1.6094297594475265E-2</v>
      </c>
      <c r="F1503" s="161">
        <f ca="1">_xll.meCurveForwardRates(C1503,$D$9,$D$10)</f>
        <v>1.622414282981488E-2</v>
      </c>
      <c r="G1503" s="7" t="s">
        <v>4</v>
      </c>
      <c r="H1503" s="149">
        <f t="shared" ca="1" si="46"/>
        <v>44623</v>
      </c>
      <c r="I1503" s="20">
        <f ca="1">_xll.meDateFromTenor(H1503,"3M","Following",$I$11,"Normal")</f>
        <v>44715</v>
      </c>
      <c r="J1503" s="150">
        <f ca="1"/>
        <v>2.0279032179960337E-2</v>
      </c>
      <c r="K1503" s="7" t="s">
        <v>4</v>
      </c>
      <c r="L1503" s="149" t="e">
        <f ca="1">_xll.meDateFromTenor(L1502,"1D","FOLLOWING",#REF!,"NORMAL")</f>
        <v>#VALUE!</v>
      </c>
      <c r="M1503" s="155">
        <f ca="1">_xll.meDateYearFraction(C1503,D1503,$M$11)</f>
        <v>2.7777777777777779E-3</v>
      </c>
      <c r="N1503" s="150">
        <f ca="1"/>
        <v>-2.4300000000065936E-3</v>
      </c>
      <c r="O1503" s="7" t="s">
        <v>4</v>
      </c>
      <c r="P1503" s="149">
        <f t="shared" ca="1" si="47"/>
        <v>44623</v>
      </c>
      <c r="Q1503" s="155">
        <f ca="1">_xll.meDateYearFraction(H1503,I1503,$Q$11,TRUE)</f>
        <v>0.25555555555555554</v>
      </c>
      <c r="R1503" s="150">
        <f ca="1">IF(NOW(),_xll.meCurveForwardRatesFromYearFraction(P1503,Q1503,$Q$11,$Q$9,$Q$10))</f>
        <v>5.8037564164299471E-3</v>
      </c>
      <c r="S1503" s="134" t="s">
        <v>4</v>
      </c>
    </row>
    <row r="1504" spans="1:19" x14ac:dyDescent="0.25">
      <c r="A1504" s="128">
        <v>1488</v>
      </c>
      <c r="B1504" s="133"/>
      <c r="C1504" s="149">
        <f ca="1">_xll.meDateFromTenor(C1503,"1D","FOLLOWING",$D$11,"NORMAL")</f>
        <v>44624</v>
      </c>
      <c r="D1504" s="20">
        <f ca="1">_xll.meDateFromTenor(C1504,"1D","Following",$D$11,"Normal")</f>
        <v>44627</v>
      </c>
      <c r="E1504" s="99">
        <f ca="1"/>
        <v>1.6105862291330462E-2</v>
      </c>
      <c r="F1504" s="161">
        <f ca="1">_xll.meCurveForwardRates(C1504,$D$9,$D$10)</f>
        <v>1.6229652729582655E-2</v>
      </c>
      <c r="G1504" s="7" t="s">
        <v>4</v>
      </c>
      <c r="H1504" s="149">
        <f t="shared" ca="1" si="46"/>
        <v>44624</v>
      </c>
      <c r="I1504" s="20">
        <f ca="1">_xll.meDateFromTenor(H1504,"3M","Following",$I$11,"Normal")</f>
        <v>44718</v>
      </c>
      <c r="J1504" s="150">
        <f ca="1"/>
        <v>2.0282532053663135E-2</v>
      </c>
      <c r="K1504" s="7" t="s">
        <v>4</v>
      </c>
      <c r="L1504" s="149" t="e">
        <f ca="1">_xll.meDateFromTenor(L1503,"1D","FOLLOWING",#REF!,"NORMAL")</f>
        <v>#VALUE!</v>
      </c>
      <c r="M1504" s="155">
        <f ca="1">_xll.meDateYearFraction(C1504,D1504,$M$11)</f>
        <v>8.3333333333333332E-3</v>
      </c>
      <c r="N1504" s="150">
        <f ca="1"/>
        <v>-2.4300000000065936E-3</v>
      </c>
      <c r="O1504" s="7" t="s">
        <v>4</v>
      </c>
      <c r="P1504" s="149">
        <f t="shared" ca="1" si="47"/>
        <v>44624</v>
      </c>
      <c r="Q1504" s="155">
        <f ca="1">_xll.meDateYearFraction(H1504,I1504,$Q$11,TRUE)</f>
        <v>0.26111111111111113</v>
      </c>
      <c r="R1504" s="150">
        <f ca="1">IF(NOW(),_xll.meCurveForwardRatesFromYearFraction(P1504,Q1504,$Q$11,$Q$9,$Q$10))</f>
        <v>-3.7175485397107962E-3</v>
      </c>
      <c r="S1504" s="134" t="s">
        <v>4</v>
      </c>
    </row>
    <row r="1505" spans="1:19" x14ac:dyDescent="0.25">
      <c r="A1505" s="128">
        <v>1489</v>
      </c>
      <c r="B1505" s="133"/>
      <c r="C1505" s="149">
        <f ca="1">_xll.meDateFromTenor(C1504,"1D","FOLLOWING",$D$11,"NORMAL")</f>
        <v>44627</v>
      </c>
      <c r="D1505" s="20">
        <f ca="1">_xll.meDateFromTenor(C1505,"1D","Following",$D$11,"Normal")</f>
        <v>44628</v>
      </c>
      <c r="E1505" s="99">
        <f ca="1"/>
        <v>1.611598568116698E-2</v>
      </c>
      <c r="F1505" s="161">
        <f ca="1">_xll.meCurveForwardRates(C1505,$D$9,$D$10)</f>
        <v>1.624618204015893E-2</v>
      </c>
      <c r="G1505" s="7" t="s">
        <v>4</v>
      </c>
      <c r="H1505" s="149">
        <f t="shared" ca="1" si="46"/>
        <v>44627</v>
      </c>
      <c r="I1505" s="20">
        <f ca="1">_xll.meDateFromTenor(H1505,"3M","Following",$I$11,"Normal")</f>
        <v>44719</v>
      </c>
      <c r="J1505" s="150">
        <f ca="1"/>
        <v>2.0293023672974957E-2</v>
      </c>
      <c r="K1505" s="7" t="s">
        <v>4</v>
      </c>
      <c r="L1505" s="149" t="e">
        <f ca="1">_xll.meDateFromTenor(L1504,"1D","FOLLOWING",#REF!,"NORMAL")</f>
        <v>#VALUE!</v>
      </c>
      <c r="M1505" s="155">
        <f ca="1">_xll.meDateYearFraction(C1505,D1505,$M$11)</f>
        <v>2.7777777777777779E-3</v>
      </c>
      <c r="N1505" s="150">
        <f ca="1"/>
        <v>-2.4300000000065936E-3</v>
      </c>
      <c r="O1505" s="7" t="s">
        <v>4</v>
      </c>
      <c r="P1505" s="149">
        <f t="shared" ca="1" si="47"/>
        <v>44627</v>
      </c>
      <c r="Q1505" s="155">
        <f ca="1">_xll.meDateYearFraction(H1505,I1505,$Q$11,TRUE)</f>
        <v>0.25555555555555554</v>
      </c>
      <c r="R1505" s="150">
        <f ca="1">IF(NOW(),_xll.meCurveForwardRatesFromYearFraction(P1505,Q1505,$Q$11,$Q$9,$Q$10))</f>
        <v>5.8430781436953506E-3</v>
      </c>
      <c r="S1505" s="134" t="s">
        <v>4</v>
      </c>
    </row>
    <row r="1506" spans="1:19" x14ac:dyDescent="0.25">
      <c r="A1506" s="128">
        <v>1490</v>
      </c>
      <c r="B1506" s="133"/>
      <c r="C1506" s="149">
        <f ca="1">_xll.meDateFromTenor(C1505,"1D","FOLLOWING",$D$11,"NORMAL")</f>
        <v>44628</v>
      </c>
      <c r="D1506" s="20">
        <f ca="1">_xll.meDateFromTenor(C1506,"1D","Following",$D$11,"Normal")</f>
        <v>44629</v>
      </c>
      <c r="E1506" s="99">
        <f ca="1"/>
        <v>1.6121407470739126E-2</v>
      </c>
      <c r="F1506" s="161">
        <f ca="1">_xll.meCurveForwardRates(C1506,$D$9,$D$10)</f>
        <v>1.6251691681357983E-2</v>
      </c>
      <c r="G1506" s="7" t="s">
        <v>4</v>
      </c>
      <c r="H1506" s="149">
        <f t="shared" ca="1" si="46"/>
        <v>44628</v>
      </c>
      <c r="I1506" s="20">
        <f ca="1">_xll.meDateFromTenor(H1506,"3M","Following",$I$11,"Normal")</f>
        <v>44720</v>
      </c>
      <c r="J1506" s="150">
        <f ca="1"/>
        <v>2.0296517927983867E-2</v>
      </c>
      <c r="K1506" s="7" t="s">
        <v>4</v>
      </c>
      <c r="L1506" s="149" t="e">
        <f ca="1">_xll.meDateFromTenor(L1505,"1D","FOLLOWING",#REF!,"NORMAL")</f>
        <v>#VALUE!</v>
      </c>
      <c r="M1506" s="155">
        <f ca="1">_xll.meDateYearFraction(C1506,D1506,$M$11)</f>
        <v>2.7777777777777779E-3</v>
      </c>
      <c r="N1506" s="150">
        <f ca="1"/>
        <v>-2.4300000000065936E-3</v>
      </c>
      <c r="O1506" s="7" t="s">
        <v>4</v>
      </c>
      <c r="P1506" s="149">
        <f t="shared" ca="1" si="47"/>
        <v>44628</v>
      </c>
      <c r="Q1506" s="155">
        <f ca="1">_xll.meDateYearFraction(H1506,I1506,$Q$11,TRUE)</f>
        <v>0.25555555555555554</v>
      </c>
      <c r="R1506" s="150">
        <f ca="1">IF(NOW(),_xll.meCurveForwardRatesFromYearFraction(P1506,Q1506,$Q$11,$Q$9,$Q$10))</f>
        <v>-3.7175485397107962E-3</v>
      </c>
      <c r="S1506" s="134" t="s">
        <v>4</v>
      </c>
    </row>
    <row r="1507" spans="1:19" x14ac:dyDescent="0.25">
      <c r="A1507" s="128">
        <v>1491</v>
      </c>
      <c r="B1507" s="133"/>
      <c r="C1507" s="149">
        <f ca="1">_xll.meDateFromTenor(C1506,"1D","FOLLOWING",$D$11,"NORMAL")</f>
        <v>44629</v>
      </c>
      <c r="D1507" s="20">
        <f ca="1">_xll.meDateFromTenor(C1507,"1D","Following",$D$11,"Normal")</f>
        <v>44630</v>
      </c>
      <c r="E1507" s="99">
        <f ca="1"/>
        <v>1.6126829167755624E-2</v>
      </c>
      <c r="F1507" s="161">
        <f ca="1">_xll.meCurveForwardRates(C1507,$D$9,$D$10)</f>
        <v>1.6257201258288667E-2</v>
      </c>
      <c r="G1507" s="7" t="s">
        <v>4</v>
      </c>
      <c r="H1507" s="149">
        <f t="shared" ca="1" si="46"/>
        <v>44629</v>
      </c>
      <c r="I1507" s="20">
        <f ca="1">_xll.meDateFromTenor(H1507,"3M","Following",$I$11,"Normal")</f>
        <v>44721</v>
      </c>
      <c r="J1507" s="150">
        <f ca="1"/>
        <v>2.0300010565197174E-2</v>
      </c>
      <c r="K1507" s="7" t="s">
        <v>4</v>
      </c>
      <c r="L1507" s="149" t="e">
        <f ca="1">_xll.meDateFromTenor(L1506,"1D","FOLLOWING",#REF!,"NORMAL")</f>
        <v>#VALUE!</v>
      </c>
      <c r="M1507" s="155">
        <f ca="1">_xll.meDateYearFraction(C1507,D1507,$M$11)</f>
        <v>2.7777777777777779E-3</v>
      </c>
      <c r="N1507" s="150">
        <f ca="1"/>
        <v>-2.4300000000065936E-3</v>
      </c>
      <c r="O1507" s="7" t="s">
        <v>4</v>
      </c>
      <c r="P1507" s="149">
        <f t="shared" ca="1" si="47"/>
        <v>44629</v>
      </c>
      <c r="Q1507" s="155">
        <f ca="1">_xll.meDateYearFraction(H1507,I1507,$Q$11,TRUE)</f>
        <v>0.25555555555555554</v>
      </c>
      <c r="R1507" s="150">
        <f ca="1">IF(NOW(),_xll.meCurveForwardRatesFromYearFraction(P1507,Q1507,$Q$11,$Q$9,$Q$10))</f>
        <v>5.8627152413151572E-3</v>
      </c>
      <c r="S1507" s="134" t="s">
        <v>4</v>
      </c>
    </row>
    <row r="1508" spans="1:19" x14ac:dyDescent="0.25">
      <c r="A1508" s="128">
        <v>1492</v>
      </c>
      <c r="B1508" s="133"/>
      <c r="C1508" s="149">
        <f ca="1">_xll.meDateFromTenor(C1507,"1D","FOLLOWING",$D$11,"NORMAL")</f>
        <v>44630</v>
      </c>
      <c r="D1508" s="20">
        <f ca="1">_xll.meDateFromTenor(C1508,"1D","Following",$D$11,"Normal")</f>
        <v>44631</v>
      </c>
      <c r="E1508" s="99">
        <f ca="1"/>
        <v>1.6132250772435661E-2</v>
      </c>
      <c r="F1508" s="161">
        <f ca="1">_xll.meCurveForwardRates(C1508,$D$9,$D$10)</f>
        <v>1.6262710771172584E-2</v>
      </c>
      <c r="G1508" s="7" t="s">
        <v>4</v>
      </c>
      <c r="H1508" s="149">
        <f t="shared" ca="1" si="46"/>
        <v>44630</v>
      </c>
      <c r="I1508" s="20">
        <f ca="1">_xll.meDateFromTenor(H1508,"3M","Following",$I$11,"Normal")</f>
        <v>44722</v>
      </c>
      <c r="J1508" s="150">
        <f ca="1"/>
        <v>2.0303501499366033E-2</v>
      </c>
      <c r="K1508" s="7" t="s">
        <v>4</v>
      </c>
      <c r="L1508" s="149" t="e">
        <f ca="1">_xll.meDateFromTenor(L1507,"1D","FOLLOWING",#REF!,"NORMAL")</f>
        <v>#VALUE!</v>
      </c>
      <c r="M1508" s="155">
        <f ca="1">_xll.meDateYearFraction(C1508,D1508,$M$11)</f>
        <v>2.7777777777777779E-3</v>
      </c>
      <c r="N1508" s="150">
        <f ca="1"/>
        <v>-2.4300000000065936E-3</v>
      </c>
      <c r="O1508" s="7" t="s">
        <v>4</v>
      </c>
      <c r="P1508" s="149">
        <f t="shared" ca="1" si="47"/>
        <v>44630</v>
      </c>
      <c r="Q1508" s="155">
        <f ca="1">_xll.meDateYearFraction(H1508,I1508,$Q$11,TRUE)</f>
        <v>0.25555555555555554</v>
      </c>
      <c r="R1508" s="150">
        <f ca="1">IF(NOW(),_xll.meCurveForwardRatesFromYearFraction(P1508,Q1508,$Q$11,$Q$9,$Q$10))</f>
        <v>5.8725272157991093E-3</v>
      </c>
      <c r="S1508" s="134" t="s">
        <v>4</v>
      </c>
    </row>
    <row r="1509" spans="1:19" x14ac:dyDescent="0.25">
      <c r="A1509" s="128">
        <v>1493</v>
      </c>
      <c r="B1509" s="133"/>
      <c r="C1509" s="149">
        <f ca="1">_xll.meDateFromTenor(C1508,"1D","FOLLOWING",$D$11,"NORMAL")</f>
        <v>44631</v>
      </c>
      <c r="D1509" s="20">
        <f ca="1">_xll.meDateFromTenor(C1509,"1D","Following",$D$11,"Normal")</f>
        <v>44634</v>
      </c>
      <c r="E1509" s="99">
        <f ca="1"/>
        <v>1.6143817572943173E-2</v>
      </c>
      <c r="F1509" s="161">
        <f ca="1">_xll.meCurveForwardRates(C1509,$D$9,$D$10)</f>
        <v>1.6268220220110541E-2</v>
      </c>
      <c r="G1509" s="7" t="s">
        <v>4</v>
      </c>
      <c r="H1509" s="149">
        <f t="shared" ca="1" si="46"/>
        <v>44631</v>
      </c>
      <c r="I1509" s="20">
        <f ca="1">_xll.meDateFromTenor(H1509,"3M","Following",$I$11,"Normal")</f>
        <v>44725</v>
      </c>
      <c r="J1509" s="150">
        <f ca="1"/>
        <v>2.030699064524159E-2</v>
      </c>
      <c r="K1509" s="7" t="s">
        <v>4</v>
      </c>
      <c r="L1509" s="149" t="e">
        <f ca="1">_xll.meDateFromTenor(L1508,"1D","FOLLOWING",#REF!,"NORMAL")</f>
        <v>#VALUE!</v>
      </c>
      <c r="M1509" s="155">
        <f ca="1">_xll.meDateYearFraction(C1509,D1509,$M$11)</f>
        <v>8.3333333333333332E-3</v>
      </c>
      <c r="N1509" s="150">
        <f ca="1"/>
        <v>-2.4300000000065936E-3</v>
      </c>
      <c r="O1509" s="7" t="s">
        <v>4</v>
      </c>
      <c r="P1509" s="149">
        <f t="shared" ca="1" si="47"/>
        <v>44631</v>
      </c>
      <c r="Q1509" s="155">
        <f ca="1">_xll.meDateYearFraction(H1509,I1509,$Q$11,TRUE)</f>
        <v>0.26111111111111113</v>
      </c>
      <c r="R1509" s="150">
        <f ca="1">IF(NOW(),_xll.meCurveForwardRatesFromYearFraction(P1509,Q1509,$Q$11,$Q$9,$Q$10))</f>
        <v>5.8823345663237695E-3</v>
      </c>
      <c r="S1509" s="134" t="s">
        <v>4</v>
      </c>
    </row>
    <row r="1510" spans="1:19" x14ac:dyDescent="0.25">
      <c r="A1510" s="128">
        <v>1494</v>
      </c>
      <c r="B1510" s="133"/>
      <c r="C1510" s="149">
        <f ca="1">_xll.meDateFromTenor(C1509,"1D","FOLLOWING",$D$11,"NORMAL")</f>
        <v>44634</v>
      </c>
      <c r="D1510" s="20">
        <f ca="1">_xll.meDateFromTenor(C1510,"1D","Following",$D$11,"Normal")</f>
        <v>44635</v>
      </c>
      <c r="E1510" s="99">
        <f ca="1"/>
        <v>1.615393627087261E-2</v>
      </c>
      <c r="F1510" s="161">
        <f ca="1">_xll.meCurveForwardRates(C1510,$D$9,$D$10)</f>
        <v>1.6284748185343867E-2</v>
      </c>
      <c r="G1510" s="7" t="s">
        <v>4</v>
      </c>
      <c r="H1510" s="149">
        <f t="shared" ca="1" si="46"/>
        <v>44634</v>
      </c>
      <c r="I1510" s="20">
        <f ca="1">_xll.meDateFromTenor(H1510,"3M","Following",$I$11,"Normal")</f>
        <v>44726</v>
      </c>
      <c r="J1510" s="150">
        <f ca="1"/>
        <v>2.031744650061992E-2</v>
      </c>
      <c r="K1510" s="7" t="s">
        <v>4</v>
      </c>
      <c r="L1510" s="149" t="e">
        <f ca="1">_xll.meDateFromTenor(L1509,"1D","FOLLOWING",#REF!,"NORMAL")</f>
        <v>#VALUE!</v>
      </c>
      <c r="M1510" s="155">
        <f ca="1">_xll.meDateYearFraction(C1510,D1510,$M$11)</f>
        <v>2.7777777777777779E-3</v>
      </c>
      <c r="N1510" s="150">
        <f ca="1"/>
        <v>-2.4300000000065936E-3</v>
      </c>
      <c r="O1510" s="7" t="s">
        <v>4</v>
      </c>
      <c r="P1510" s="149">
        <f t="shared" ca="1" si="47"/>
        <v>44634</v>
      </c>
      <c r="Q1510" s="155">
        <f ca="1">_xll.meDateYearFraction(H1510,I1510,$Q$11,TRUE)</f>
        <v>0.25555555555555554</v>
      </c>
      <c r="R1510" s="150">
        <f ca="1">IF(NOW(),_xll.meCurveForwardRatesFromYearFraction(P1510,Q1510,$Q$11,$Q$9,$Q$10))</f>
        <v>5.9117270660770608E-3</v>
      </c>
      <c r="S1510" s="134" t="s">
        <v>4</v>
      </c>
    </row>
    <row r="1511" spans="1:19" x14ac:dyDescent="0.25">
      <c r="A1511" s="128">
        <v>1495</v>
      </c>
      <c r="B1511" s="133"/>
      <c r="C1511" s="149">
        <f ca="1">_xll.meDateFromTenor(C1510,"1D","FOLLOWING",$D$11,"NORMAL")</f>
        <v>44635</v>
      </c>
      <c r="D1511" s="20">
        <f ca="1">_xll.meDateFromTenor(C1511,"1D","Following",$D$11,"Normal")</f>
        <v>44636</v>
      </c>
      <c r="E1511" s="99">
        <f ca="1"/>
        <v>1.6159357416250384E-2</v>
      </c>
      <c r="F1511" s="161">
        <f ca="1">_xll.meCurveForwardRates(C1511,$D$9,$D$10)</f>
        <v>1.6290257380391582E-2</v>
      </c>
      <c r="G1511" s="7" t="s">
        <v>4</v>
      </c>
      <c r="H1511" s="149">
        <f t="shared" ca="1" si="46"/>
        <v>44635</v>
      </c>
      <c r="I1511" s="20">
        <f ca="1">_xll.meDateFromTenor(H1511,"3M","Following",$I$11,"Normal")</f>
        <v>44727</v>
      </c>
      <c r="J1511" s="150">
        <f ca="1"/>
        <v>2.0320927640833753E-2</v>
      </c>
      <c r="K1511" s="7" t="s">
        <v>4</v>
      </c>
      <c r="L1511" s="149" t="e">
        <f ca="1">_xll.meDateFromTenor(L1510,"1D","FOLLOWING",#REF!,"NORMAL")</f>
        <v>#VALUE!</v>
      </c>
      <c r="M1511" s="155">
        <f ca="1">_xll.meDateYearFraction(C1511,D1511,$M$11)</f>
        <v>2.7777777777777779E-3</v>
      </c>
      <c r="N1511" s="150">
        <f ca="1"/>
        <v>-2.4300000000065936E-3</v>
      </c>
      <c r="O1511" s="7" t="s">
        <v>4</v>
      </c>
      <c r="P1511" s="149">
        <f t="shared" ca="1" si="47"/>
        <v>44635</v>
      </c>
      <c r="Q1511" s="155">
        <f ca="1">_xll.meDateYearFraction(H1511,I1511,$Q$11,TRUE)</f>
        <v>0.25555555555555554</v>
      </c>
      <c r="R1511" s="150">
        <f ca="1">IF(NOW(),_xll.meCurveForwardRatesFromYearFraction(P1511,Q1511,$Q$11,$Q$9,$Q$10))</f>
        <v>-3.7175485397107962E-3</v>
      </c>
      <c r="S1511" s="134" t="s">
        <v>4</v>
      </c>
    </row>
    <row r="1512" spans="1:19" x14ac:dyDescent="0.25">
      <c r="A1512" s="128">
        <v>1496</v>
      </c>
      <c r="B1512" s="133"/>
      <c r="C1512" s="149">
        <f ca="1">_xll.meDateFromTenor(C1511,"1D","FOLLOWING",$D$11,"NORMAL")</f>
        <v>44636</v>
      </c>
      <c r="D1512" s="20">
        <f ca="1">_xll.meDateFromTenor(C1512,"1D","Following",$D$11,"Normal")</f>
        <v>44637</v>
      </c>
      <c r="E1512" s="99">
        <f ca="1"/>
        <v>1.6164778470250912E-2</v>
      </c>
      <c r="F1512" s="161">
        <f ca="1">_xll.meCurveForwardRates(C1512,$D$9,$D$10)</f>
        <v>1.6295766512359311E-2</v>
      </c>
      <c r="G1512" s="7" t="s">
        <v>4</v>
      </c>
      <c r="H1512" s="149">
        <f t="shared" ca="1" si="46"/>
        <v>44636</v>
      </c>
      <c r="I1512" s="20">
        <f ca="1">_xll.meDateFromTenor(H1512,"3M","Following",$I$11,"Normal")</f>
        <v>44728</v>
      </c>
      <c r="J1512" s="150">
        <f ca="1"/>
        <v>2.0324406566510023E-2</v>
      </c>
      <c r="K1512" s="7" t="s">
        <v>4</v>
      </c>
      <c r="L1512" s="149" t="e">
        <f ca="1">_xll.meDateFromTenor(L1511,"1D","FOLLOWING",#REF!,"NORMAL")</f>
        <v>#VALUE!</v>
      </c>
      <c r="M1512" s="155">
        <f ca="1">_xll.meDateYearFraction(C1512,D1512,$M$11)</f>
        <v>2.7777777777777779E-3</v>
      </c>
      <c r="N1512" s="150">
        <f ca="1"/>
        <v>-2.4300000000065936E-3</v>
      </c>
      <c r="O1512" s="7" t="s">
        <v>4</v>
      </c>
      <c r="P1512" s="149">
        <f t="shared" ca="1" si="47"/>
        <v>44636</v>
      </c>
      <c r="Q1512" s="155">
        <f ca="1">_xll.meDateYearFraction(H1512,I1512,$Q$11,TRUE)</f>
        <v>0.25555555555555554</v>
      </c>
      <c r="R1512" s="150">
        <f ca="1">IF(NOW(),_xll.meCurveForwardRatesFromYearFraction(P1512,Q1512,$Q$11,$Q$9,$Q$10))</f>
        <v>5.9312956313304164E-3</v>
      </c>
      <c r="S1512" s="134" t="s">
        <v>4</v>
      </c>
    </row>
    <row r="1513" spans="1:19" x14ac:dyDescent="0.25">
      <c r="A1513" s="128">
        <v>1497</v>
      </c>
      <c r="B1513" s="133"/>
      <c r="C1513" s="149">
        <f ca="1">_xll.meDateFromTenor(C1512,"1D","FOLLOWING",$D$11,"NORMAL")</f>
        <v>44637</v>
      </c>
      <c r="D1513" s="20">
        <f ca="1">_xll.meDateFromTenor(C1513,"1D","Following",$D$11,"Normal")</f>
        <v>44638</v>
      </c>
      <c r="E1513" s="99">
        <f ca="1"/>
        <v>1.6170199433054734E-2</v>
      </c>
      <c r="F1513" s="161">
        <f ca="1">_xll.meCurveForwardRates(C1513,$D$9,$D$10)</f>
        <v>1.6301275581428909E-2</v>
      </c>
      <c r="G1513" s="7" t="s">
        <v>4</v>
      </c>
      <c r="H1513" s="149">
        <f t="shared" ca="1" si="46"/>
        <v>44637</v>
      </c>
      <c r="I1513" s="20">
        <f ca="1">_xll.meDateFromTenor(H1513,"3M","Following",$I$11,"Normal")</f>
        <v>44729</v>
      </c>
      <c r="J1513" s="150">
        <f ca="1"/>
        <v>2.0327883192399886E-2</v>
      </c>
      <c r="K1513" s="7" t="s">
        <v>4</v>
      </c>
      <c r="L1513" s="149" t="e">
        <f ca="1">_xll.meDateFromTenor(L1512,"1D","FOLLOWING",#REF!,"NORMAL")</f>
        <v>#VALUE!</v>
      </c>
      <c r="M1513" s="155">
        <f ca="1">_xll.meDateYearFraction(C1513,D1513,$M$11)</f>
        <v>2.7777777777777779E-3</v>
      </c>
      <c r="N1513" s="150">
        <f ca="1"/>
        <v>-2.4300000000065936E-3</v>
      </c>
      <c r="O1513" s="7" t="s">
        <v>4</v>
      </c>
      <c r="P1513" s="149">
        <f t="shared" ca="1" si="47"/>
        <v>44637</v>
      </c>
      <c r="Q1513" s="155">
        <f ca="1">_xll.meDateYearFraction(H1513,I1513,$Q$11,TRUE)</f>
        <v>0.25555555555555554</v>
      </c>
      <c r="R1513" s="150">
        <f ca="1">IF(NOW(),_xll.meCurveForwardRatesFromYearFraction(P1513,Q1513,$Q$11,$Q$9,$Q$10))</f>
        <v>-3.7175485397107962E-3</v>
      </c>
      <c r="S1513" s="134" t="s">
        <v>4</v>
      </c>
    </row>
    <row r="1514" spans="1:19" x14ac:dyDescent="0.25">
      <c r="A1514" s="128">
        <v>1498</v>
      </c>
      <c r="B1514" s="133"/>
      <c r="C1514" s="149">
        <f ca="1">_xll.meDateFromTenor(C1513,"1D","FOLLOWING",$D$11,"NORMAL")</f>
        <v>44638</v>
      </c>
      <c r="D1514" s="20">
        <f ca="1">_xll.meDateFromTenor(C1514,"1D","Following",$D$11,"Normal")</f>
        <v>44641</v>
      </c>
      <c r="E1514" s="99">
        <f ca="1"/>
        <v>1.6181768361026888E-2</v>
      </c>
      <c r="F1514" s="161">
        <f ca="1">_xll.meCurveForwardRates(C1514,$D$9,$D$10)</f>
        <v>1.6306784587740486E-2</v>
      </c>
      <c r="G1514" s="7" t="s">
        <v>4</v>
      </c>
      <c r="H1514" s="149">
        <f t="shared" ca="1" si="46"/>
        <v>44638</v>
      </c>
      <c r="I1514" s="20">
        <f ca="1">_xll.meDateFromTenor(H1514,"3M","Following",$I$11,"Normal")</f>
        <v>44732</v>
      </c>
      <c r="J1514" s="150">
        <f ca="1"/>
        <v>2.0331357433254486E-2</v>
      </c>
      <c r="K1514" s="7" t="s">
        <v>4</v>
      </c>
      <c r="L1514" s="149" t="e">
        <f ca="1">_xll.meDateFromTenor(L1513,"1D","FOLLOWING",#REF!,"NORMAL")</f>
        <v>#VALUE!</v>
      </c>
      <c r="M1514" s="155">
        <f ca="1">_xll.meDateYearFraction(C1514,D1514,$M$11)</f>
        <v>8.3333333333333332E-3</v>
      </c>
      <c r="N1514" s="150">
        <f ca="1"/>
        <v>-2.4300000000065936E-3</v>
      </c>
      <c r="O1514" s="7" t="s">
        <v>4</v>
      </c>
      <c r="P1514" s="149">
        <f t="shared" ca="1" si="47"/>
        <v>44638</v>
      </c>
      <c r="Q1514" s="155">
        <f ca="1">_xll.meDateYearFraction(H1514,I1514,$Q$11,TRUE)</f>
        <v>0.26111111111111113</v>
      </c>
      <c r="R1514" s="150">
        <f ca="1">IF(NOW(),_xll.meCurveForwardRatesFromYearFraction(P1514,Q1514,$Q$11,$Q$9,$Q$10))</f>
        <v>5.9508413613907621E-3</v>
      </c>
      <c r="S1514" s="134" t="s">
        <v>4</v>
      </c>
    </row>
    <row r="1515" spans="1:19" x14ac:dyDescent="0.25">
      <c r="A1515" s="128">
        <v>1499</v>
      </c>
      <c r="B1515" s="133"/>
      <c r="C1515" s="149">
        <f ca="1">_xll.meDateFromTenor(C1514,"1D","FOLLOWING",$D$11,"NORMAL")</f>
        <v>44641</v>
      </c>
      <c r="D1515" s="20">
        <f ca="1">_xll.meDateFromTenor(C1515,"1D","Following",$D$11,"Normal")</f>
        <v>44642</v>
      </c>
      <c r="E1515" s="99">
        <f ca="1"/>
        <v>1.6191882375456306E-2</v>
      </c>
      <c r="F1515" s="161">
        <f ca="1">_xll.meCurveForwardRates(C1515,$D$9,$D$10)</f>
        <v>1.6323311231904114E-2</v>
      </c>
      <c r="G1515" s="7" t="s">
        <v>4</v>
      </c>
      <c r="H1515" s="149">
        <f t="shared" ca="1" si="46"/>
        <v>44641</v>
      </c>
      <c r="I1515" s="20">
        <f ca="1">_xll.meDateFromTenor(H1515,"3M","Following",$I$11,"Normal")</f>
        <v>44733</v>
      </c>
      <c r="J1515" s="150">
        <f ca="1"/>
        <v>2.0341764993118201E-2</v>
      </c>
      <c r="K1515" s="7" t="s">
        <v>4</v>
      </c>
      <c r="L1515" s="149" t="e">
        <f ca="1">_xll.meDateFromTenor(L1514,"1D","FOLLOWING",#REF!,"NORMAL")</f>
        <v>#VALUE!</v>
      </c>
      <c r="M1515" s="155">
        <f ca="1">_xll.meDateYearFraction(C1515,D1515,$M$11)</f>
        <v>2.7777777777777779E-3</v>
      </c>
      <c r="N1515" s="150">
        <f ca="1"/>
        <v>-2.4300000000065936E-3</v>
      </c>
      <c r="O1515" s="7" t="s">
        <v>4</v>
      </c>
      <c r="P1515" s="149">
        <f t="shared" ca="1" si="47"/>
        <v>44641</v>
      </c>
      <c r="Q1515" s="155">
        <f ca="1">_xll.meDateYearFraction(H1515,I1515,$Q$11,TRUE)</f>
        <v>0.25555555555555554</v>
      </c>
      <c r="R1515" s="150">
        <f ca="1">IF(NOW(),_xll.meCurveForwardRatesFromYearFraction(P1515,Q1515,$Q$11,$Q$9,$Q$10))</f>
        <v>-3.7175485397107962E-3</v>
      </c>
      <c r="S1515" s="134" t="s">
        <v>4</v>
      </c>
    </row>
    <row r="1516" spans="1:19" x14ac:dyDescent="0.25">
      <c r="A1516" s="128">
        <v>1500</v>
      </c>
      <c r="B1516" s="133"/>
      <c r="C1516" s="151">
        <f ca="1">_xll.meDateFromTenor(C1515,"1D","FOLLOWING",$D$11,"NORMAL")</f>
        <v>44642</v>
      </c>
      <c r="D1516" s="152">
        <f ca="1">_xll.meDateFromTenor(C1516,"1D","Following",$D$11,"Normal")</f>
        <v>44643</v>
      </c>
      <c r="E1516" s="159">
        <f ca="1"/>
        <v>1.6197302884772523E-2</v>
      </c>
      <c r="F1516" s="163">
        <f ca="1">_xll.meCurveForwardRates(C1516,$D$9,$D$10)</f>
        <v>1.632881998899971E-2</v>
      </c>
      <c r="G1516" s="7" t="s">
        <v>4</v>
      </c>
      <c r="H1516" s="151">
        <f t="shared" ca="1" si="46"/>
        <v>44642</v>
      </c>
      <c r="I1516" s="152">
        <f ca="1">_xll.meDateFromTenor(H1516,"3M","Following",$I$11,"Normal")</f>
        <v>44734</v>
      </c>
      <c r="J1516" s="153">
        <f ca="1"/>
        <v>2.0345228841343242E-2</v>
      </c>
      <c r="K1516" s="7" t="s">
        <v>4</v>
      </c>
      <c r="L1516" s="151" t="e">
        <f ca="1">_xll.meDateFromTenor(L1515,"1D","FOLLOWING",#REF!,"NORMAL")</f>
        <v>#VALUE!</v>
      </c>
      <c r="M1516" s="156">
        <f ca="1">_xll.meDateYearFraction(C1516,D1516,$M$11)</f>
        <v>2.7777777777777779E-3</v>
      </c>
      <c r="N1516" s="153">
        <f ca="1"/>
        <v>-2.4300000000065936E-3</v>
      </c>
      <c r="O1516" s="7" t="s">
        <v>4</v>
      </c>
      <c r="P1516" s="151">
        <f t="shared" ca="1" si="47"/>
        <v>44642</v>
      </c>
      <c r="Q1516" s="156">
        <f ca="1">_xll.meDateYearFraction(H1516,I1516,$Q$11,TRUE)</f>
        <v>0.25555555555555554</v>
      </c>
      <c r="R1516" s="153">
        <f ca="1">IF(NOW(),_xll.meCurveForwardRatesFromYearFraction(P1516,Q1516,$Q$11,$Q$9,$Q$10))</f>
        <v>-3.7175485397107962E-3</v>
      </c>
      <c r="S1516" s="134" t="s">
        <v>4</v>
      </c>
    </row>
    <row r="1517" spans="1:19" x14ac:dyDescent="0.25">
      <c r="B1517" s="138"/>
      <c r="C1517" s="139"/>
      <c r="D1517" s="139"/>
      <c r="E1517" s="139"/>
      <c r="F1517" s="139"/>
      <c r="G1517" s="139"/>
      <c r="H1517" s="139"/>
      <c r="I1517" s="139"/>
      <c r="J1517" s="139"/>
      <c r="K1517" s="7" t="s">
        <v>4</v>
      </c>
      <c r="L1517" s="139"/>
      <c r="M1517" s="139"/>
      <c r="N1517" s="7"/>
      <c r="O1517" s="139"/>
      <c r="P1517" s="139"/>
      <c r="Q1517" s="164"/>
      <c r="R1517" s="164"/>
      <c r="S1517" s="165"/>
    </row>
    <row r="1518" spans="1:19" x14ac:dyDescent="0.25">
      <c r="A1518" s="128" t="s">
        <v>4</v>
      </c>
      <c r="B1518" s="128" t="s">
        <v>4</v>
      </c>
      <c r="C1518" s="128" t="s">
        <v>4</v>
      </c>
      <c r="D1518" s="128" t="s">
        <v>4</v>
      </c>
      <c r="E1518" s="128" t="s">
        <v>4</v>
      </c>
      <c r="F1518" s="128"/>
      <c r="G1518" s="128" t="s">
        <v>4</v>
      </c>
      <c r="H1518" s="128" t="s">
        <v>4</v>
      </c>
      <c r="I1518" s="128" t="s">
        <v>4</v>
      </c>
      <c r="J1518" s="128" t="s">
        <v>4</v>
      </c>
    </row>
  </sheetData>
  <dataValidations disablePrompts="1" count="1">
    <dataValidation type="list" allowBlank="1" showInputMessage="1" showErrorMessage="1" sqref="D9 I9 Q9 M9">
      <formula1>"USDYC,EURYC"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68</vt:i4>
      </vt:variant>
    </vt:vector>
  </HeadingPairs>
  <TitlesOfParts>
    <vt:vector size="75" baseType="lpstr">
      <vt:lpstr>USD OIS</vt:lpstr>
      <vt:lpstr>USD SWAP 3ML</vt:lpstr>
      <vt:lpstr>EUR OIS</vt:lpstr>
      <vt:lpstr>EUR SWAP 6ML</vt:lpstr>
      <vt:lpstr>EUR BASIS 3ML</vt:lpstr>
      <vt:lpstr>EUR XCCY BASIS</vt:lpstr>
      <vt:lpstr>meCurveForwardRates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'USD OIS'!CurveBuildProperties</vt:lpstr>
      <vt:lpstr>'USD SWAP 3ML'!CurveBuildProperties</vt:lpstr>
      <vt:lpstr>'EUR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'USD SWAP 3ML'!FRAConventions</vt:lpstr>
      <vt:lpstr>'USD SWAP 3ML'!FRAMarketData3M</vt:lpstr>
      <vt:lpstr>'USD SWAP 3ML'!FRAMarketData6M</vt:lpstr>
      <vt:lpstr>Futures.Conventions</vt:lpstr>
      <vt:lpstr>Futures.MarketData</vt:lpstr>
      <vt:lpstr>'USD SWAP 3ML'!FuturesConventions</vt:lpstr>
      <vt:lpstr>'USD SWAP 3ML'!FuturesMarketData</vt:lpstr>
      <vt:lpstr>'EUR XCCY BASIS'!IndexName</vt:lpstr>
      <vt:lpstr>'USD OIS'!IndexName</vt:lpstr>
      <vt:lpstr>'USD SWAP 3ML'!IndexName</vt:lpstr>
      <vt:lpstr>isEUR3MLLoaded</vt:lpstr>
      <vt:lpstr>isEUR6MLLoaded</vt:lpstr>
      <vt:lpstr>isEUROISLoaded</vt:lpstr>
      <vt:lpstr>isEURXCCYLoaded</vt:lpstr>
      <vt:lpstr>isUSDOISLoaded</vt:lpstr>
      <vt:lpstr>Libor.Conventions</vt:lpstr>
      <vt:lpstr>Libor.MarketData</vt:lpstr>
      <vt:lpstr>'USD SWAP 3ML'!LiborConventions</vt:lpstr>
      <vt:lpstr>'USD SWAP 3ML'!LiborMarketData</vt:lpstr>
      <vt:lpstr>LiborOISBasis.Conventions</vt:lpstr>
      <vt:lpstr>LiborOISBasis.MarketData</vt:lpstr>
      <vt:lpstr>'USD OIS'!LiborSwap.Conventions</vt:lpstr>
      <vt:lpstr>LiborSwap.Conventions</vt:lpstr>
      <vt:lpstr>'USD OIS'!LiborSwap.MarketData</vt:lpstr>
      <vt:lpstr>LiborSwap.MarketData</vt:lpstr>
      <vt:lpstr>MoneyMarket.Conventions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'EUR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'USD SWAP 3ML'!SwapConventions</vt:lpstr>
      <vt:lpstr>'USD SWAP 3ML'!SwapMarketData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  <vt:lpstr>'EUR XCCY BASIS'!XccyBasisMarketData</vt:lpstr>
      <vt:lpstr>'EUR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2016-10-10T11:55:13Z</dcterms:modified>
</cp:coreProperties>
</file>