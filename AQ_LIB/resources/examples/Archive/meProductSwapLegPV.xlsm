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90" windowWidth="20700" windowHeight="11760" tabRatio="703" activeTab="3"/>
  </bookViews>
  <sheets>
    <sheet name="EUR OIS" sheetId="2" r:id="rId1"/>
    <sheet name="EUR SWAP 6ML" sheetId="3" r:id="rId2"/>
    <sheet name="EUR BASIS 3ML" sheetId="4" r:id="rId3"/>
    <sheet name="Swap Pricing" sheetId="22" r:id="rId4"/>
  </sheets>
  <definedNames>
    <definedName name="COB">'EUR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ForwardCurves.CurveID">#REF!</definedName>
    <definedName name="ForwardCurves.Interpolation">#REF!</definedName>
    <definedName name="ForwardCurves.Periodicity">#REF!</definedName>
    <definedName name="Forwards.EUR1ML">#REF!</definedName>
    <definedName name="Forwards.OIS">#REF!</definedName>
    <definedName name="Forwards.StartDate">#REF!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sEUR3MLLoaded">'EUR BASIS 3ML'!$E$8</definedName>
    <definedName name="isEUR6MLLoaded">'EUR SWAP 6ML'!$D$9</definedName>
    <definedName name="isEURGBPLoaded">#REF!</definedName>
    <definedName name="isEUROISLoaded">'EUR OIS'!$D$8</definedName>
    <definedName name="isEURXCCYLoaded">#REF!</definedName>
    <definedName name="isGBP3MLLoaded">#REF!</definedName>
    <definedName name="isGBP6MLLoaded">#REF!</definedName>
    <definedName name="isGBPOISLoaded">#REF!</definedName>
    <definedName name="isGBPXCCYLoaded">#REF!</definedName>
    <definedName name="isUSD3MLLoaded">#REF!</definedName>
    <definedName name="isUSDOISLoaded">#REF!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SwapDescription">'Swap Pricing'!$B$10:$C$45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Swap3M6M.Conventions">'EUR BASIS 3ML'!$D$38:$E$80</definedName>
    <definedName name="TenorBasisSwap3M6M.MarketData">'EUR BASIS 3ML'!$G$39:$H$80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C29" i="22" l="1"/>
  <c r="D7" i="2"/>
  <c r="C12" i="22"/>
  <c r="C26" i="22" l="1"/>
  <c r="C40" i="22"/>
  <c r="D8" i="2" l="1"/>
  <c r="D8" i="3"/>
  <c r="D9" i="3" l="1"/>
  <c r="E7" i="4"/>
  <c r="E8" i="4" l="1"/>
  <c r="C68" i="4"/>
  <c r="E30" i="22" l="1" a="1"/>
  <c r="C6" i="22"/>
  <c r="E10" i="22" a="1"/>
  <c r="C2" i="22"/>
  <c r="C5" i="22"/>
  <c r="C3" i="22"/>
  <c r="C4" i="22"/>
  <c r="C7" i="22"/>
  <c r="L10" i="22" l="1"/>
  <c r="J11" i="22"/>
  <c r="H12" i="22"/>
  <c r="F13" i="22"/>
  <c r="N13" i="22"/>
  <c r="L14" i="22"/>
  <c r="J15" i="22"/>
  <c r="H16" i="22"/>
  <c r="F17" i="22"/>
  <c r="N17" i="22"/>
  <c r="L18" i="22"/>
  <c r="J19" i="22"/>
  <c r="H20" i="22"/>
  <c r="F21" i="22"/>
  <c r="N21" i="22"/>
  <c r="L22" i="22"/>
  <c r="J23" i="22"/>
  <c r="H24" i="22"/>
  <c r="F25" i="22"/>
  <c r="N25" i="22"/>
  <c r="L26" i="22"/>
  <c r="E10" i="22"/>
  <c r="M10" i="22"/>
  <c r="K11" i="22"/>
  <c r="I12" i="22"/>
  <c r="G13" i="22"/>
  <c r="E14" i="22"/>
  <c r="M14" i="22"/>
  <c r="K15" i="22"/>
  <c r="I16" i="22"/>
  <c r="G17" i="22"/>
  <c r="E18" i="22"/>
  <c r="M18" i="22"/>
  <c r="K19" i="22"/>
  <c r="I20" i="22"/>
  <c r="G21" i="22"/>
  <c r="E22" i="22"/>
  <c r="M22" i="22"/>
  <c r="K23" i="22"/>
  <c r="I24" i="22"/>
  <c r="G25" i="22"/>
  <c r="E26" i="22"/>
  <c r="M26" i="22"/>
  <c r="F10" i="22"/>
  <c r="N10" i="22"/>
  <c r="L11" i="22"/>
  <c r="J12" i="22"/>
  <c r="H13" i="22"/>
  <c r="F14" i="22"/>
  <c r="N14" i="22"/>
  <c r="L15" i="22"/>
  <c r="J16" i="22"/>
  <c r="H17" i="22"/>
  <c r="F18" i="22"/>
  <c r="N18" i="22"/>
  <c r="L19" i="22"/>
  <c r="J20" i="22"/>
  <c r="H21" i="22"/>
  <c r="H10" i="22"/>
  <c r="F11" i="22"/>
  <c r="N11" i="22"/>
  <c r="L12" i="22"/>
  <c r="J13" i="22"/>
  <c r="H14" i="22"/>
  <c r="F15" i="22"/>
  <c r="N15" i="22"/>
  <c r="L16" i="22"/>
  <c r="J17" i="22"/>
  <c r="H18" i="22"/>
  <c r="F19" i="22"/>
  <c r="N19" i="22"/>
  <c r="L20" i="22"/>
  <c r="J21" i="22"/>
  <c r="H22" i="22"/>
  <c r="F23" i="22"/>
  <c r="N23" i="22"/>
  <c r="L24" i="22"/>
  <c r="J25" i="22"/>
  <c r="H26" i="22"/>
  <c r="K10" i="22"/>
  <c r="G12" i="22"/>
  <c r="M13" i="22"/>
  <c r="I15" i="22"/>
  <c r="E17" i="22"/>
  <c r="K18" i="22"/>
  <c r="G20" i="22"/>
  <c r="M21" i="22"/>
  <c r="G23" i="22"/>
  <c r="J24" i="22"/>
  <c r="L25" i="22"/>
  <c r="N12" i="22"/>
  <c r="F16" i="22"/>
  <c r="H19" i="22"/>
  <c r="N20" i="22"/>
  <c r="L23" i="22"/>
  <c r="G26" i="22"/>
  <c r="I11" i="22"/>
  <c r="E13" i="22"/>
  <c r="G16" i="22"/>
  <c r="M17" i="22"/>
  <c r="E21" i="22"/>
  <c r="M23" i="22"/>
  <c r="I26" i="22"/>
  <c r="M11" i="22"/>
  <c r="E15" i="22"/>
  <c r="G18" i="22"/>
  <c r="I21" i="22"/>
  <c r="K22" i="22"/>
  <c r="H25" i="22"/>
  <c r="E11" i="22"/>
  <c r="K12" i="22"/>
  <c r="G14" i="22"/>
  <c r="M15" i="22"/>
  <c r="I17" i="22"/>
  <c r="E19" i="22"/>
  <c r="K20" i="22"/>
  <c r="F22" i="22"/>
  <c r="H23" i="22"/>
  <c r="K24" i="22"/>
  <c r="M25" i="22"/>
  <c r="H11" i="22"/>
  <c r="J14" i="22"/>
  <c r="L17" i="22"/>
  <c r="I22" i="22"/>
  <c r="N24" i="22"/>
  <c r="K14" i="22"/>
  <c r="I19" i="22"/>
  <c r="J22" i="22"/>
  <c r="E25" i="22"/>
  <c r="G10" i="22"/>
  <c r="I13" i="22"/>
  <c r="M19" i="22"/>
  <c r="E24" i="22"/>
  <c r="G11" i="22"/>
  <c r="M12" i="22"/>
  <c r="I14" i="22"/>
  <c r="E16" i="22"/>
  <c r="K17" i="22"/>
  <c r="G19" i="22"/>
  <c r="M20" i="22"/>
  <c r="G22" i="22"/>
  <c r="I23" i="22"/>
  <c r="M24" i="22"/>
  <c r="F26" i="22"/>
  <c r="I10" i="22"/>
  <c r="E12" i="22"/>
  <c r="K13" i="22"/>
  <c r="G15" i="22"/>
  <c r="M16" i="22"/>
  <c r="I18" i="22"/>
  <c r="E20" i="22"/>
  <c r="K21" i="22"/>
  <c r="N22" i="22"/>
  <c r="F24" i="22"/>
  <c r="I25" i="22"/>
  <c r="K26" i="22"/>
  <c r="J10" i="22"/>
  <c r="F12" i="22"/>
  <c r="L13" i="22"/>
  <c r="H15" i="22"/>
  <c r="N16" i="22"/>
  <c r="J18" i="22"/>
  <c r="F20" i="22"/>
  <c r="L21" i="22"/>
  <c r="E23" i="22"/>
  <c r="G24" i="22"/>
  <c r="K25" i="22"/>
  <c r="N26" i="22"/>
  <c r="K16" i="22"/>
  <c r="J26" i="22"/>
  <c r="L30" i="22"/>
  <c r="H31" i="22"/>
  <c r="P31" i="22"/>
  <c r="L32" i="22"/>
  <c r="H33" i="22"/>
  <c r="P33" i="22"/>
  <c r="L34" i="22"/>
  <c r="H35" i="22"/>
  <c r="P35" i="22"/>
  <c r="L36" i="22"/>
  <c r="H37" i="22"/>
  <c r="E30" i="22"/>
  <c r="M30" i="22"/>
  <c r="I31" i="22"/>
  <c r="E32" i="22"/>
  <c r="M32" i="22"/>
  <c r="I33" i="22"/>
  <c r="E34" i="22"/>
  <c r="M34" i="22"/>
  <c r="I35" i="22"/>
  <c r="E36" i="22"/>
  <c r="M36" i="22"/>
  <c r="I37" i="22"/>
  <c r="E38" i="22"/>
  <c r="M38" i="22"/>
  <c r="I39" i="22"/>
  <c r="E40" i="22"/>
  <c r="M40" i="22"/>
  <c r="I41" i="22"/>
  <c r="E42" i="22"/>
  <c r="M42" i="22"/>
  <c r="I43" i="22"/>
  <c r="E44" i="22"/>
  <c r="M44" i="22"/>
  <c r="I45" i="22"/>
  <c r="F30" i="22"/>
  <c r="N30" i="22"/>
  <c r="J31" i="22"/>
  <c r="F32" i="22"/>
  <c r="N32" i="22"/>
  <c r="J33" i="22"/>
  <c r="F34" i="22"/>
  <c r="N34" i="22"/>
  <c r="J35" i="22"/>
  <c r="F36" i="22"/>
  <c r="N36" i="22"/>
  <c r="J37" i="22"/>
  <c r="F38" i="22"/>
  <c r="N38" i="22"/>
  <c r="J39" i="22"/>
  <c r="F40" i="22"/>
  <c r="N40" i="22"/>
  <c r="J41" i="22"/>
  <c r="F42" i="22"/>
  <c r="N42" i="22"/>
  <c r="J43" i="22"/>
  <c r="F44" i="22"/>
  <c r="N44" i="22"/>
  <c r="J45" i="22"/>
  <c r="G30" i="22"/>
  <c r="O30" i="22"/>
  <c r="K31" i="22"/>
  <c r="G32" i="22"/>
  <c r="O32" i="22"/>
  <c r="K33" i="22"/>
  <c r="G34" i="22"/>
  <c r="O34" i="22"/>
  <c r="K35" i="22"/>
  <c r="G36" i="22"/>
  <c r="O36" i="22"/>
  <c r="K37" i="22"/>
  <c r="G38" i="22"/>
  <c r="O38" i="22"/>
  <c r="K39" i="22"/>
  <c r="G40" i="22"/>
  <c r="O40" i="22"/>
  <c r="K41" i="22"/>
  <c r="G42" i="22"/>
  <c r="O42" i="22"/>
  <c r="K43" i="22"/>
  <c r="G44" i="22"/>
  <c r="O44" i="22"/>
  <c r="K45" i="22"/>
  <c r="I30" i="22"/>
  <c r="E31" i="22"/>
  <c r="M31" i="22"/>
  <c r="I32" i="22"/>
  <c r="E33" i="22"/>
  <c r="M33" i="22"/>
  <c r="I34" i="22"/>
  <c r="E35" i="22"/>
  <c r="M35" i="22"/>
  <c r="I36" i="22"/>
  <c r="E37" i="22"/>
  <c r="M37" i="22"/>
  <c r="I38" i="22"/>
  <c r="E39" i="22"/>
  <c r="M39" i="22"/>
  <c r="I40" i="22"/>
  <c r="E41" i="22"/>
  <c r="M41" i="22"/>
  <c r="I42" i="22"/>
  <c r="E43" i="22"/>
  <c r="M43" i="22"/>
  <c r="I44" i="22"/>
  <c r="E45" i="22"/>
  <c r="M45" i="22"/>
  <c r="H30" i="22"/>
  <c r="O31" i="22"/>
  <c r="N33" i="22"/>
  <c r="L35" i="22"/>
  <c r="G37" i="22"/>
  <c r="L38" i="22"/>
  <c r="P39" i="22"/>
  <c r="H41" i="22"/>
  <c r="L42" i="22"/>
  <c r="P43" i="22"/>
  <c r="H45" i="22"/>
  <c r="K32" i="22"/>
  <c r="K40" i="22"/>
  <c r="G43" i="22"/>
  <c r="O45" i="22"/>
  <c r="F31" i="22"/>
  <c r="P32" i="22"/>
  <c r="K34" i="22"/>
  <c r="J36" i="22"/>
  <c r="P37" i="22"/>
  <c r="H39" i="22"/>
  <c r="L40" i="22"/>
  <c r="P41" i="22"/>
  <c r="H43" i="22"/>
  <c r="L44" i="22"/>
  <c r="P45" i="22"/>
  <c r="F33" i="22"/>
  <c r="K36" i="22"/>
  <c r="H38" i="22"/>
  <c r="P40" i="22"/>
  <c r="P44" i="22"/>
  <c r="J30" i="22"/>
  <c r="H32" i="22"/>
  <c r="O33" i="22"/>
  <c r="N35" i="22"/>
  <c r="L37" i="22"/>
  <c r="P38" i="22"/>
  <c r="H40" i="22"/>
  <c r="L41" i="22"/>
  <c r="P42" i="22"/>
  <c r="H44" i="22"/>
  <c r="L45" i="22"/>
  <c r="P30" i="22"/>
  <c r="J34" i="22"/>
  <c r="H36" i="22"/>
  <c r="O37" i="22"/>
  <c r="G39" i="22"/>
  <c r="O41" i="22"/>
  <c r="K44" i="22"/>
  <c r="G31" i="22"/>
  <c r="P34" i="22"/>
  <c r="L39" i="22"/>
  <c r="L43" i="22"/>
  <c r="K30" i="22"/>
  <c r="J32" i="22"/>
  <c r="H34" i="22"/>
  <c r="O35" i="22"/>
  <c r="N37" i="22"/>
  <c r="F39" i="22"/>
  <c r="J40" i="22"/>
  <c r="N41" i="22"/>
  <c r="F43" i="22"/>
  <c r="J44" i="22"/>
  <c r="N45" i="22"/>
  <c r="L31" i="22"/>
  <c r="G33" i="22"/>
  <c r="F35" i="22"/>
  <c r="P36" i="22"/>
  <c r="J38" i="22"/>
  <c r="N39" i="22"/>
  <c r="F41" i="22"/>
  <c r="J42" i="22"/>
  <c r="N43" i="22"/>
  <c r="F45" i="22"/>
  <c r="N31" i="22"/>
  <c r="L33" i="22"/>
  <c r="G35" i="22"/>
  <c r="F37" i="22"/>
  <c r="K38" i="22"/>
  <c r="O39" i="22"/>
  <c r="G41" i="22"/>
  <c r="K42" i="22"/>
  <c r="O43" i="22"/>
  <c r="G45" i="22"/>
  <c r="H42" i="22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<sst xmlns="http://schemas.openxmlformats.org/spreadsheetml/2006/main" count="527" uniqueCount="255">
  <si>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</si>
  <si>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</si>
  <si>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</si>
  <si>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</si>
  <si>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</si>
  <si>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</si>
  <si>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</si>
  <si>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</si>
  <si>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</si>
  <si>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</si>
  <si>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</si>
  <si>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</si>
  <si>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</si>
  <si>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</si>
  <si>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</si>
  <si>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</si>
  <si>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</si>
  <si>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</si>
  <si>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</si>
  <si>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</si>
  <si>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</si>
  <si>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</si>
  <si>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</si>
  <si>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</si>
  <si>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</si>
  <si>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</si>
  <si>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</si>
  <si>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</si>
  <si>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</si>
  <si>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</si>
  <si>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</si>
  <si>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</si>
  <si>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</si>
  <si>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</si>
  <si>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</si>
  <si>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</si>
  <si>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</si>
  <si>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</si>
  <si>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</si>
  <si>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</si>
  <si>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</si>
  <si>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</si>
  <si>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</si>
  <si>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</si>
  <si>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</si>
  <si>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</si>
  <si>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</si>
  <si>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</si>
  <si>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</si>
  <si>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</si>
  <si>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</si>
  <si>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</si>
  <si>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</si>
  <si>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</si>
  <si>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</si>
  <si>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</si>
  <si>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</si>
  <si>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</si>
  <si>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</si>
  <si>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</si>
  <si>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</si>
  <si>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</si>
  <si>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</si>
  <si>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</si>
  <si>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</si>
  <si>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</si>
  <si>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</si>
  <si>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</si>
  <si>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</si>
  <si>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</si>
  <si>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</si>
  <si>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</si>
  <si>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</si>
  <si>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</si>
  <si>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</si>
  <si>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</si>
  <si>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</si>
  <si>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</si>
  <si>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</si>
  <si>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</si>
  <si>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</si>
  <si>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</si>
  <si>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</si>
  <si>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</si>
  <si>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</si>
  <si>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</si>
  <si>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</si>
  <si>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</si>
  <si>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</si>
  <si>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</si>
  <si>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</si>
  <si>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</si>
  <si>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</si>
  <si>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</si>
  <si>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</si>
  <si>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</si>
  <si>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</si>
  <si>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</si>
  <si>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</si>
  <si>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</si>
  <si>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</si>
  <si>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</si>
  <si>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</si>
  <si>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</si>
  <si>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</si>
  <si>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</si>
  <si>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</si>
  <si>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</si>
  <si>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</si>
  <si>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</si>
  <si>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</si>
  <si>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</si>
  <si>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</si>
  <si>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</si>
  <si>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</si>
  <si>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</si>
  <si>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</si>
  <si>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</si>
  <si>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</si>
  <si>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</si>
  <si>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</si>
  <si>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</si>
  <si>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</si>
  <si>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</si>
  <si>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</si>
  <si>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</si>
  <si>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</si>
  <si>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</si>
  <si>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</si>
  <si>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</si>
  <si>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</si>
  <si>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</si>
  <si>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</si>
  <si>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</si>
  <si>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</si>
  <si>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</si>
  <si>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</si>
  <si>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</si>
  <si>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</si>
  <si>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</si>
  <si>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</si>
  <si>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</si>
  <si>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</si>
  <si>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</si>
  <si>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</si>
  <si>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</si>
  <si>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</si>
  <si>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</si>
  <si>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</si>
  <si>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</si>
  <si>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</si>
  <si>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</si>
  <si>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</si>
  <si>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</si>
  <si>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</si>
  <si>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</si>
  <si>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</si>
  <si>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</si>
  <si>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</si>
  <si>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</si>
  <si>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</si>
  <si>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</si>
  <si>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</si>
  <si>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</si>
  <si>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</si>
  <si>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</si>
  <si>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</si>
  <si>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</si>
  <si>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</si>
  <si>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</si>
  <si>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</si>
  <si>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</si>
  <si>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</si>
  <si>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</si>
  <si>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</si>
  <si>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</si>
  <si>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</si>
  <si>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</si>
  <si>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</si>
  <si>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</si>
  <si>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</si>
  <si>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</si>
  <si>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</si>
  <si>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</si>
  <si>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</si>
  <si>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</si>
  <si>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</si>
  <si>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</si>
  <si>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</si>
  <si>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OIS:EUROIS:EURDF:EURDF_NOCSA</t>
  </si>
  <si>
    <t>Known Leg</t>
  </si>
  <si>
    <t>Leg2Forecast Unknown : 
STD is the initial guess</t>
  </si>
  <si>
    <t>Curve Loaded</t>
  </si>
  <si>
    <t>Notional</t>
  </si>
  <si>
    <t>PAYER</t>
  </si>
  <si>
    <t>0D</t>
  </si>
  <si>
    <t>ShortStart</t>
  </si>
  <si>
    <t>Par Rate</t>
  </si>
  <si>
    <t>PV01</t>
  </si>
  <si>
    <t>2D</t>
  </si>
  <si>
    <t>meCurveCalibrateOIS</t>
  </si>
  <si>
    <t>meCurveCalibrateSwap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</si>
  <si>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</si>
  <si>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</si>
  <si>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</si>
  <si>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meCurveCalibrateBasis</t>
  </si>
  <si>
    <t>PayerReceiver</t>
  </si>
  <si>
    <t>MaturityDate</t>
  </si>
  <si>
    <t>EffectiveDate</t>
  </si>
  <si>
    <t>FixedRate</t>
  </si>
  <si>
    <t>ForecastCurve</t>
  </si>
  <si>
    <t>FloatFirstFixing</t>
  </si>
  <si>
    <t>FixedFrequency</t>
  </si>
  <si>
    <t>FixedDaycount</t>
  </si>
  <si>
    <t>FixedFirstStubDate</t>
  </si>
  <si>
    <t>FixedLastStubDate</t>
  </si>
  <si>
    <t>FixedRollDay</t>
  </si>
  <si>
    <t>FixedPaymentLag</t>
  </si>
  <si>
    <t>FixedStubType</t>
  </si>
  <si>
    <t>FloatFrequency</t>
  </si>
  <si>
    <t>FloatDaycount</t>
  </si>
  <si>
    <t>FloatFirstStubDate</t>
  </si>
  <si>
    <t>FloatLastStubDate</t>
  </si>
  <si>
    <t>FloatRollDay</t>
  </si>
  <si>
    <t>FloatFixingLag</t>
  </si>
  <si>
    <t>FloatLastFixing</t>
  </si>
  <si>
    <t>FloatPaymentLag</t>
  </si>
  <si>
    <t>FloatStubType</t>
  </si>
  <si>
    <t>DiscountCurve</t>
  </si>
  <si>
    <t>FloatSpread</t>
  </si>
  <si>
    <t>Libor Fixing Table</t>
  </si>
  <si>
    <t>Money Market O/N and T/N Conventions</t>
  </si>
  <si>
    <t>EomDay</t>
  </si>
  <si>
    <t>basis.interpolation</t>
  </si>
  <si>
    <t>EUROIS</t>
  </si>
  <si>
    <t>Swap PV</t>
  </si>
  <si>
    <t>Fixed</t>
  </si>
  <si>
    <t>Float</t>
  </si>
  <si>
    <t>DV01</t>
  </si>
  <si>
    <t>Swap Description</t>
  </si>
  <si>
    <t>FixedAccrualBusinessDayAdjustment</t>
  </si>
  <si>
    <t>FixedAccrualCalendar</t>
  </si>
  <si>
    <t>FixedPaymentBusinessDayAdjustment</t>
  </si>
  <si>
    <t>FixedPaymentCalendar</t>
  </si>
  <si>
    <t>FloatFixingBusinessDayAdjustment</t>
  </si>
  <si>
    <t>FloatFixingCalendar</t>
  </si>
  <si>
    <t>FloatAccrualBusinessDayAdjustment</t>
  </si>
  <si>
    <t>FloatAccrualCalendar</t>
  </si>
  <si>
    <t>FloatPaymentBusinessDayAdjustment</t>
  </si>
  <si>
    <t>FloatPaymentCalendar</t>
  </si>
  <si>
    <t>Fixed Leg</t>
  </si>
  <si>
    <t>Float leg</t>
  </si>
  <si>
    <r>
      <t>meProductSwapLegPV</t>
    </r>
    <r>
      <rPr>
        <sz val="18"/>
        <rFont val="Calibri"/>
        <family val="2"/>
        <scheme val="minor"/>
      </rPr>
      <t>( SwapLVB, ValidateKeys )</t>
    </r>
  </si>
  <si>
    <r>
      <t>meProductSwapLegDisplay</t>
    </r>
    <r>
      <rPr>
        <sz val="18"/>
        <rFont val="Calibri"/>
        <family val="2"/>
        <scheme val="minor"/>
      </rPr>
      <t>( SwapLVB, ValidateKeys )</t>
    </r>
  </si>
  <si>
    <t>isFwdBasis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</si>
</sst>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0.00000%;[Red]\-0.00000%"/>
    <numFmt numFmtId="169" formatCode="0.0000%"/>
    <numFmt numFmtId="170" formatCode="ddd\,\ d\-mmm\-yy"/>
    <numFmt numFmtId="171" formatCode="#,##0.00000"/>
  </numFmts>
  <fonts count="2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sz val="18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8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2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24994659260841701"/>
      </left>
      <right/>
      <top/>
      <bottom style="double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double">
        <color theme="0" tint="-0.2499465926084170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1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/>
    </xf>
    <xf numFmtId="0" fontId="12" fillId="0" borderId="0" xfId="0" applyFont="1"/>
    <xf numFmtId="0" fontId="12" fillId="0" borderId="0" xfId="0" applyFont="1"/>
    <xf numFmtId="0" fontId="13" fillId="0" borderId="15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13" fillId="0" borderId="15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9" fillId="3" borderId="4" xfId="0" applyNumberFormat="1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4" xfId="0" quotePrefix="1" applyFill="1" applyBorder="1" applyAlignment="1">
      <alignment horizontal="center" vertical="center"/>
    </xf>
    <xf numFmtId="167" fontId="9" fillId="3" borderId="4" xfId="0" applyNumberFormat="1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6" fillId="3" borderId="4" xfId="0" quotePrefix="1" applyFont="1" applyFill="1" applyBorder="1" applyAlignment="1">
      <alignment horizontal="center" vertical="center"/>
    </xf>
    <xf numFmtId="165" fontId="6" fillId="3" borderId="4" xfId="0" applyNumberFormat="1" applyFont="1" applyFill="1" applyBorder="1" applyAlignment="1">
      <alignment horizontal="center" vertical="center"/>
    </xf>
    <xf numFmtId="0" fontId="0" fillId="3" borderId="21" xfId="0" quotePrefix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left" vertical="center" wrapText="1"/>
    </xf>
    <xf numFmtId="0" fontId="0" fillId="2" borderId="4" xfId="0" applyNumberFormat="1" applyFill="1" applyBorder="1" applyAlignment="1">
      <alignment horizontal="left" vertical="center" wrapText="1"/>
    </xf>
    <xf numFmtId="0" fontId="0" fillId="2" borderId="9" xfId="0" applyNumberFormat="1" applyFill="1" applyBorder="1" applyAlignment="1">
      <alignment horizontal="left" vertical="center" wrapText="1"/>
    </xf>
    <xf numFmtId="0" fontId="0" fillId="2" borderId="20" xfId="0" applyNumberFormat="1" applyFill="1" applyBorder="1" applyAlignment="1">
      <alignment horizontal="left" vertical="center" wrapText="1"/>
    </xf>
    <xf numFmtId="0" fontId="0" fillId="2" borderId="14" xfId="0" applyNumberFormat="1" applyFill="1" applyBorder="1" applyAlignment="1">
      <alignment horizontal="left" vertical="center" wrapText="1"/>
    </xf>
    <xf numFmtId="0" fontId="0" fillId="2" borderId="9" xfId="0" applyNumberFormat="1" applyFont="1" applyFill="1" applyBorder="1" applyAlignment="1">
      <alignment horizontal="left" vertical="center" wrapText="1"/>
    </xf>
    <xf numFmtId="0" fontId="0" fillId="3" borderId="11" xfId="0" quotePrefix="1" applyFill="1" applyBorder="1" applyAlignment="1">
      <alignment horizontal="center" vertical="center"/>
    </xf>
    <xf numFmtId="15" fontId="0" fillId="0" borderId="0" xfId="0" applyNumberFormat="1"/>
    <xf numFmtId="0" fontId="2" fillId="0" borderId="0" xfId="0" applyFont="1"/>
    <xf numFmtId="0" fontId="24" fillId="0" borderId="0" xfId="0" applyFont="1" applyAlignment="1">
      <alignment horizontal="center" vertical="center"/>
    </xf>
    <xf numFmtId="0" fontId="0" fillId="2" borderId="1" xfId="0" applyNumberFormat="1" applyFill="1" applyBorder="1" applyAlignment="1">
      <alignment horizontal="left" vertical="top" wrapText="1"/>
    </xf>
    <xf numFmtId="0" fontId="0" fillId="2" borderId="4" xfId="0" applyFill="1" applyBorder="1"/>
    <xf numFmtId="0" fontId="0" fillId="2" borderId="11" xfId="0" applyFill="1" applyBorder="1"/>
    <xf numFmtId="0" fontId="9" fillId="2" borderId="5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166" fontId="9" fillId="2" borderId="2" xfId="0" applyNumberFormat="1" applyFont="1" applyFill="1" applyBorder="1" applyAlignment="1">
      <alignment horizontal="center" vertical="center"/>
    </xf>
    <xf numFmtId="170" fontId="9" fillId="2" borderId="9" xfId="0" applyNumberFormat="1" applyFont="1" applyFill="1" applyBorder="1" applyAlignment="1">
      <alignment horizontal="center" vertical="center"/>
    </xf>
    <xf numFmtId="170" fontId="9" fillId="2" borderId="0" xfId="0" applyNumberFormat="1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center" vertical="center"/>
    </xf>
    <xf numFmtId="166" fontId="9" fillId="2" borderId="12" xfId="0" applyNumberFormat="1" applyFont="1" applyFill="1" applyBorder="1" applyAlignment="1">
      <alignment horizontal="center" vertical="center"/>
    </xf>
    <xf numFmtId="3" fontId="9" fillId="0" borderId="1" xfId="0" applyNumberFormat="1" applyFont="1" applyBorder="1" applyAlignment="1">
      <alignment horizontal="center" vertical="center"/>
    </xf>
    <xf numFmtId="3" fontId="9" fillId="0" borderId="4" xfId="0" applyNumberFormat="1" applyFont="1" applyBorder="1" applyAlignment="1">
      <alignment horizontal="center"/>
    </xf>
    <xf numFmtId="169" fontId="9" fillId="0" borderId="4" xfId="0" applyNumberFormat="1" applyFont="1" applyBorder="1" applyAlignment="1">
      <alignment horizontal="center" vertical="center"/>
    </xf>
    <xf numFmtId="3" fontId="9" fillId="0" borderId="4" xfId="0" applyNumberFormat="1" applyFont="1" applyBorder="1" applyAlignment="1">
      <alignment horizontal="center" vertical="center"/>
    </xf>
    <xf numFmtId="3" fontId="9" fillId="0" borderId="11" xfId="0" applyNumberFormat="1" applyFont="1" applyBorder="1" applyAlignment="1">
      <alignment horizontal="center" vertical="center"/>
    </xf>
    <xf numFmtId="4" fontId="9" fillId="2" borderId="2" xfId="0" applyNumberFormat="1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 vertical="center"/>
    </xf>
    <xf numFmtId="10" fontId="9" fillId="2" borderId="2" xfId="0" applyNumberFormat="1" applyFont="1" applyFill="1" applyBorder="1" applyAlignment="1">
      <alignment horizontal="center" vertical="center"/>
    </xf>
    <xf numFmtId="10" fontId="9" fillId="2" borderId="0" xfId="0" applyNumberFormat="1" applyFont="1" applyFill="1" applyBorder="1" applyAlignment="1">
      <alignment horizontal="center" vertical="center"/>
    </xf>
    <xf numFmtId="171" fontId="9" fillId="2" borderId="2" xfId="0" applyNumberFormat="1" applyFont="1" applyFill="1" applyBorder="1" applyAlignment="1">
      <alignment horizontal="center" vertical="center"/>
    </xf>
    <xf numFmtId="171" fontId="9" fillId="2" borderId="0" xfId="0" applyNumberFormat="1" applyFont="1" applyFill="1" applyBorder="1" applyAlignment="1">
      <alignment horizontal="center" vertical="center"/>
    </xf>
    <xf numFmtId="3" fontId="9" fillId="2" borderId="10" xfId="0" applyNumberFormat="1" applyFont="1" applyFill="1" applyBorder="1" applyAlignment="1">
      <alignment horizontal="center" vertical="center"/>
    </xf>
    <xf numFmtId="3" fontId="9" fillId="2" borderId="3" xfId="0" applyNumberFormat="1" applyFont="1" applyFill="1" applyBorder="1" applyAlignment="1">
      <alignment horizontal="center" vertical="center"/>
    </xf>
    <xf numFmtId="165" fontId="9" fillId="2" borderId="2" xfId="0" applyNumberFormat="1" applyFont="1" applyFill="1" applyBorder="1" applyAlignment="1">
      <alignment horizontal="center" vertical="center"/>
    </xf>
    <xf numFmtId="170" fontId="9" fillId="2" borderId="9" xfId="0" applyNumberFormat="1" applyFont="1" applyFill="1" applyBorder="1" applyAlignment="1">
      <alignment horizontal="center"/>
    </xf>
    <xf numFmtId="170" fontId="9" fillId="2" borderId="0" xfId="0" applyNumberFormat="1" applyFont="1" applyFill="1" applyBorder="1" applyAlignment="1">
      <alignment horizontal="center"/>
    </xf>
    <xf numFmtId="3" fontId="9" fillId="2" borderId="0" xfId="0" applyNumberFormat="1" applyFont="1" applyFill="1" applyBorder="1" applyAlignment="1">
      <alignment horizontal="center"/>
    </xf>
    <xf numFmtId="4" fontId="9" fillId="2" borderId="0" xfId="0" applyNumberFormat="1" applyFont="1" applyFill="1" applyBorder="1" applyAlignment="1">
      <alignment horizontal="center"/>
    </xf>
    <xf numFmtId="171" fontId="9" fillId="2" borderId="0" xfId="0" applyNumberFormat="1" applyFont="1" applyFill="1" applyBorder="1" applyAlignment="1">
      <alignment horizontal="center"/>
    </xf>
    <xf numFmtId="3" fontId="9" fillId="2" borderId="10" xfId="0" applyNumberFormat="1" applyFont="1" applyFill="1" applyBorder="1" applyAlignment="1">
      <alignment horizontal="center"/>
    </xf>
    <xf numFmtId="170" fontId="9" fillId="2" borderId="14" xfId="0" applyNumberFormat="1" applyFont="1" applyFill="1" applyBorder="1" applyAlignment="1">
      <alignment horizontal="center"/>
    </xf>
    <xf numFmtId="170" fontId="9" fillId="2" borderId="12" xfId="0" applyNumberFormat="1" applyFont="1" applyFill="1" applyBorder="1" applyAlignment="1">
      <alignment horizontal="center"/>
    </xf>
    <xf numFmtId="0" fontId="9" fillId="2" borderId="12" xfId="0" applyFont="1" applyFill="1" applyBorder="1" applyAlignment="1">
      <alignment horizontal="center"/>
    </xf>
    <xf numFmtId="3" fontId="9" fillId="2" borderId="12" xfId="0" applyNumberFormat="1" applyFont="1" applyFill="1" applyBorder="1" applyAlignment="1">
      <alignment horizontal="center"/>
    </xf>
    <xf numFmtId="165" fontId="9" fillId="2" borderId="12" xfId="0" applyNumberFormat="1" applyFont="1" applyFill="1" applyBorder="1" applyAlignment="1">
      <alignment horizontal="center"/>
    </xf>
    <xf numFmtId="4" fontId="9" fillId="2" borderId="12" xfId="0" applyNumberFormat="1" applyFont="1" applyFill="1" applyBorder="1" applyAlignment="1">
      <alignment horizontal="center"/>
    </xf>
    <xf numFmtId="171" fontId="9" fillId="2" borderId="12" xfId="0" applyNumberFormat="1" applyFont="1" applyFill="1" applyBorder="1" applyAlignment="1">
      <alignment horizontal="center"/>
    </xf>
    <xf numFmtId="3" fontId="9" fillId="2" borderId="13" xfId="0" applyNumberFormat="1" applyFont="1" applyFill="1" applyBorder="1" applyAlignment="1">
      <alignment horizontal="center"/>
    </xf>
    <xf numFmtId="10" fontId="9" fillId="2" borderId="0" xfId="0" applyNumberFormat="1" applyFont="1" applyFill="1" applyBorder="1" applyAlignment="1">
      <alignment horizontal="center"/>
    </xf>
    <xf numFmtId="10" fontId="9" fillId="2" borderId="12" xfId="0" applyNumberFormat="1" applyFont="1" applyFill="1" applyBorder="1" applyAlignment="1">
      <alignment horizontal="center"/>
    </xf>
    <xf numFmtId="4" fontId="6" fillId="4" borderId="4" xfId="0" applyNumberFormat="1" applyFont="1" applyFill="1" applyBorder="1" applyAlignment="1">
      <alignment horizontal="center" vertical="center"/>
    </xf>
    <xf numFmtId="167" fontId="6" fillId="4" borderId="4" xfId="0" applyNumberFormat="1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7" fillId="0" borderId="0" xfId="0" applyFont="1" applyAlignment="1">
      <alignment horizontal="left" vertical="center"/>
    </xf>
    <xf numFmtId="0" fontId="25" fillId="0" borderId="0" xfId="0" applyFont="1"/>
    <xf numFmtId="3" fontId="0" fillId="4" borderId="1" xfId="0" applyNumberFormat="1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168" fontId="6" fillId="4" borderId="4" xfId="0" applyNumberFormat="1" applyFont="1" applyFill="1" applyBorder="1" applyAlignment="1">
      <alignment horizontal="center" vertical="center"/>
    </xf>
    <xf numFmtId="0" fontId="22" fillId="0" borderId="16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11" xfId="0" applyFont="1" applyBorder="1" applyAlignment="1">
      <alignment horizontal="center" vertical="center" textRotation="90" wrapText="1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00FF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21" t="s">
        <v>202</v>
      </c>
    </row>
    <row r="3" spans="2:14" x14ac:dyDescent="0.25">
      <c r="B3" s="64"/>
    </row>
    <row r="4" spans="2:14" x14ac:dyDescent="0.25">
      <c r="B4" s="64"/>
    </row>
    <row r="5" spans="2:14" x14ac:dyDescent="0.25">
      <c r="B5" s="122" t="s">
        <v>200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23" t="s">
        <v>200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7" t="s">
        <v>192</v>
      </c>
      <c r="D8" s="118" t="b">
        <f ca="1">LEFT(D7,9)="EURYC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6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7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9" t="s">
        <v>189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5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6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7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0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7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9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6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136</v>
      </c>
      <c r="D45" s="105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24" t="s">
        <v>203</v>
      </c>
    </row>
    <row r="6" spans="2:12" x14ac:dyDescent="0.25">
      <c r="B6" s="125" t="s">
        <v>201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26" t="s">
        <v>201</v>
      </c>
      <c r="D8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EURYC STD Curve has been set (0.01600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7" t="s">
        <v>192</v>
      </c>
      <c r="D9" s="118" t="b">
        <f ca="1">LEFT(D8,9)="EURYC 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6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7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9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5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6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7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8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8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7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7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7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7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7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9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231</v>
      </c>
      <c r="D37" s="10"/>
      <c r="E37" s="10"/>
      <c r="F37" s="49" t="s">
        <v>103</v>
      </c>
      <c r="G37" s="10"/>
      <c r="H37" s="10"/>
      <c r="I37" s="49" t="s">
        <v>230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7" t="s">
        <v>11</v>
      </c>
      <c r="J38" s="77" t="s">
        <v>12</v>
      </c>
      <c r="K38" s="77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8" t="s">
        <v>6</v>
      </c>
      <c r="H39" s="10"/>
      <c r="I39" s="70" t="s">
        <v>185</v>
      </c>
      <c r="J39" s="74">
        <v>-2.8E-3</v>
      </c>
      <c r="K39" s="77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1" t="s">
        <v>169</v>
      </c>
      <c r="J40" s="75">
        <v>-2.2000000000000001E-3</v>
      </c>
      <c r="K40" s="77"/>
      <c r="L40" s="55"/>
    </row>
    <row r="41" spans="2:12" x14ac:dyDescent="0.25">
      <c r="B41" s="5"/>
      <c r="C41" s="28"/>
      <c r="D41" s="35"/>
      <c r="E41" s="9"/>
      <c r="F41" s="29" t="s">
        <v>101</v>
      </c>
      <c r="G41" s="68">
        <v>2</v>
      </c>
      <c r="H41" s="10"/>
      <c r="I41" s="71" t="s">
        <v>104</v>
      </c>
      <c r="J41" s="75">
        <v>-1.31E-3</v>
      </c>
      <c r="K41" s="77"/>
      <c r="L41" s="55"/>
    </row>
    <row r="42" spans="2:12" x14ac:dyDescent="0.25">
      <c r="B42" s="5"/>
      <c r="C42" s="28"/>
      <c r="D42" s="35"/>
      <c r="E42" s="9"/>
      <c r="F42" s="29" t="s">
        <v>21</v>
      </c>
      <c r="G42" s="68" t="s">
        <v>22</v>
      </c>
      <c r="H42" s="10"/>
      <c r="I42" s="71" t="s">
        <v>57</v>
      </c>
      <c r="J42" s="75">
        <v>-1E-4</v>
      </c>
      <c r="K42" s="77"/>
      <c r="L42" s="55"/>
    </row>
    <row r="43" spans="2:12" x14ac:dyDescent="0.25">
      <c r="B43" s="5"/>
      <c r="C43" s="33"/>
      <c r="D43" s="40"/>
      <c r="E43" s="9"/>
      <c r="F43" s="44"/>
      <c r="G43" s="69"/>
      <c r="H43" s="10"/>
      <c r="I43" s="72"/>
      <c r="J43" s="76"/>
      <c r="K43" s="77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7" t="s">
        <v>11</v>
      </c>
      <c r="G51" s="77" t="s">
        <v>12</v>
      </c>
      <c r="H51" s="10"/>
      <c r="I51" s="77" t="s">
        <v>11</v>
      </c>
      <c r="J51" s="77" t="s">
        <v>12</v>
      </c>
      <c r="K51" s="77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70"/>
      <c r="G52" s="74"/>
      <c r="H52" s="10"/>
      <c r="I52" s="70" t="s">
        <v>110</v>
      </c>
      <c r="J52" s="74">
        <v>-1.2900000000000001E-3</v>
      </c>
      <c r="K52" s="77"/>
      <c r="L52" s="55"/>
    </row>
    <row r="53" spans="2:12" x14ac:dyDescent="0.25">
      <c r="B53" s="5"/>
      <c r="C53" s="28" t="s">
        <v>107</v>
      </c>
      <c r="D53" s="35">
        <v>2</v>
      </c>
      <c r="E53" s="9"/>
      <c r="F53" s="71"/>
      <c r="G53" s="75"/>
      <c r="H53" s="10"/>
      <c r="I53" s="71" t="s">
        <v>111</v>
      </c>
      <c r="J53" s="75">
        <v>-1.2900000000000001E-3</v>
      </c>
      <c r="K53" s="77"/>
      <c r="L53" s="55"/>
    </row>
    <row r="54" spans="2:12" x14ac:dyDescent="0.25">
      <c r="B54" s="5"/>
      <c r="C54" s="28" t="s">
        <v>21</v>
      </c>
      <c r="D54" s="67" t="s">
        <v>22</v>
      </c>
      <c r="E54" s="9"/>
      <c r="F54" s="71"/>
      <c r="G54" s="75"/>
      <c r="H54" s="10"/>
      <c r="I54" s="71" t="s">
        <v>112</v>
      </c>
      <c r="J54" s="75">
        <v>-1.33E-3</v>
      </c>
      <c r="K54" s="77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71"/>
      <c r="G55" s="75"/>
      <c r="H55" s="10"/>
      <c r="I55" s="71" t="s">
        <v>113</v>
      </c>
      <c r="J55" s="75">
        <v>-1.3900000000000002E-3</v>
      </c>
      <c r="K55" s="77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71"/>
      <c r="G56" s="75"/>
      <c r="H56" s="10"/>
      <c r="I56" s="71" t="s">
        <v>114</v>
      </c>
      <c r="J56" s="75">
        <v>-1.4399999999999999E-3</v>
      </c>
      <c r="K56" s="77"/>
      <c r="L56" s="55"/>
    </row>
    <row r="57" spans="2:12" x14ac:dyDescent="0.25">
      <c r="B57" s="5"/>
      <c r="C57" s="28" t="s">
        <v>109</v>
      </c>
      <c r="D57" s="35">
        <v>2</v>
      </c>
      <c r="E57" s="9"/>
      <c r="F57" s="71"/>
      <c r="G57" s="75"/>
      <c r="H57" s="10"/>
      <c r="I57" s="71" t="s">
        <v>115</v>
      </c>
      <c r="J57" s="75">
        <v>-1.4399999999999999E-3</v>
      </c>
      <c r="K57" s="77"/>
      <c r="L57" s="55"/>
    </row>
    <row r="58" spans="2:12" x14ac:dyDescent="0.25">
      <c r="B58" s="5"/>
      <c r="C58" s="28"/>
      <c r="D58" s="35"/>
      <c r="E58" s="9"/>
      <c r="F58" s="71"/>
      <c r="G58" s="75"/>
      <c r="H58" s="10"/>
      <c r="I58" s="71" t="s">
        <v>116</v>
      </c>
      <c r="J58" s="75">
        <v>-1.4599999999999999E-3</v>
      </c>
      <c r="K58" s="77"/>
      <c r="L58" s="55"/>
    </row>
    <row r="59" spans="2:12" x14ac:dyDescent="0.25">
      <c r="B59" s="5"/>
      <c r="C59" s="28"/>
      <c r="D59" s="35"/>
      <c r="E59" s="9"/>
      <c r="F59" s="71"/>
      <c r="G59" s="75"/>
      <c r="H59" s="10"/>
      <c r="I59" s="71" t="s">
        <v>117</v>
      </c>
      <c r="J59" s="75">
        <v>-1.47E-3</v>
      </c>
      <c r="K59" s="77"/>
      <c r="L59" s="55"/>
    </row>
    <row r="60" spans="2:12" x14ac:dyDescent="0.25">
      <c r="B60" s="5"/>
      <c r="C60" s="28"/>
      <c r="D60" s="35"/>
      <c r="E60" s="9"/>
      <c r="F60" s="71"/>
      <c r="G60" s="75"/>
      <c r="H60" s="10"/>
      <c r="I60" s="71" t="s">
        <v>118</v>
      </c>
      <c r="J60" s="75">
        <v>-1.4599999999999999E-3</v>
      </c>
      <c r="K60" s="77"/>
      <c r="L60" s="55"/>
    </row>
    <row r="61" spans="2:12" x14ac:dyDescent="0.25">
      <c r="B61" s="5"/>
      <c r="C61" s="28"/>
      <c r="D61" s="35"/>
      <c r="E61" s="9"/>
      <c r="F61" s="71"/>
      <c r="G61" s="75"/>
      <c r="H61" s="10"/>
      <c r="I61" s="71" t="s">
        <v>119</v>
      </c>
      <c r="J61" s="75">
        <v>-1.4299999999999998E-3</v>
      </c>
      <c r="K61" s="77"/>
      <c r="L61" s="55"/>
    </row>
    <row r="62" spans="2:12" x14ac:dyDescent="0.25">
      <c r="B62" s="5"/>
      <c r="C62" s="28"/>
      <c r="D62" s="35"/>
      <c r="E62" s="9"/>
      <c r="F62" s="71"/>
      <c r="G62" s="75"/>
      <c r="H62" s="10"/>
      <c r="I62" s="71" t="s">
        <v>120</v>
      </c>
      <c r="J62" s="75">
        <v>-1.4099999999999998E-3</v>
      </c>
      <c r="K62" s="77"/>
      <c r="L62" s="55"/>
    </row>
    <row r="63" spans="2:12" x14ac:dyDescent="0.25">
      <c r="B63" s="5"/>
      <c r="C63" s="28"/>
      <c r="D63" s="35"/>
      <c r="E63" s="9"/>
      <c r="F63" s="71"/>
      <c r="G63" s="75"/>
      <c r="H63" s="10"/>
      <c r="I63" s="71"/>
      <c r="J63" s="75"/>
      <c r="K63" s="77"/>
      <c r="L63" s="55"/>
    </row>
    <row r="64" spans="2:12" x14ac:dyDescent="0.25">
      <c r="B64" s="5"/>
      <c r="C64" s="33"/>
      <c r="D64" s="40"/>
      <c r="E64" s="9"/>
      <c r="F64" s="72"/>
      <c r="G64" s="76"/>
      <c r="H64" s="10"/>
      <c r="I64" s="72"/>
      <c r="J64" s="76"/>
      <c r="K64" s="77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7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6" t="s">
        <v>139</v>
      </c>
      <c r="G72" s="96" t="s">
        <v>13</v>
      </c>
      <c r="H72" s="96" t="s">
        <v>14</v>
      </c>
      <c r="I72" s="96" t="s">
        <v>12</v>
      </c>
      <c r="J72" s="96" t="s">
        <v>124</v>
      </c>
      <c r="K72" s="10"/>
      <c r="L72" s="55"/>
    </row>
    <row r="73" spans="2:12" x14ac:dyDescent="0.25">
      <c r="B73" s="5"/>
      <c r="C73" s="28"/>
      <c r="D73" s="35"/>
      <c r="E73" s="9"/>
      <c r="F73" s="78"/>
      <c r="G73" s="79"/>
      <c r="H73" s="79"/>
      <c r="I73" s="80"/>
      <c r="J73" s="81"/>
      <c r="K73" s="10"/>
      <c r="L73" s="55"/>
    </row>
    <row r="74" spans="2:12" x14ac:dyDescent="0.25">
      <c r="B74" s="5"/>
      <c r="C74" s="28"/>
      <c r="D74" s="35"/>
      <c r="E74" s="9"/>
      <c r="F74" s="82"/>
      <c r="G74" s="79"/>
      <c r="H74" s="79"/>
      <c r="I74" s="80"/>
      <c r="J74" s="81"/>
      <c r="K74" s="10"/>
      <c r="L74" s="55"/>
    </row>
    <row r="75" spans="2:12" x14ac:dyDescent="0.25">
      <c r="B75" s="5"/>
      <c r="C75" s="28"/>
      <c r="D75" s="104"/>
      <c r="E75" s="9"/>
      <c r="F75" s="83"/>
      <c r="G75" s="84"/>
      <c r="H75" s="84"/>
      <c r="I75" s="85"/>
      <c r="J75" s="86"/>
      <c r="K75" s="10"/>
      <c r="L75" s="55"/>
    </row>
    <row r="76" spans="2:12" x14ac:dyDescent="0.25">
      <c r="B76" s="5"/>
      <c r="C76" s="28"/>
      <c r="D76" s="73"/>
      <c r="E76" s="9"/>
      <c r="F76" s="83"/>
      <c r="G76" s="84"/>
      <c r="H76" s="84"/>
      <c r="I76" s="85"/>
      <c r="J76" s="86"/>
      <c r="K76" s="10"/>
      <c r="L76" s="55"/>
    </row>
    <row r="77" spans="2:12" x14ac:dyDescent="0.25">
      <c r="B77" s="5"/>
      <c r="C77" s="28"/>
      <c r="D77" s="35"/>
      <c r="E77" s="9"/>
      <c r="F77" s="83"/>
      <c r="G77" s="84"/>
      <c r="H77" s="84"/>
      <c r="I77" s="85"/>
      <c r="J77" s="86"/>
      <c r="K77" s="10"/>
      <c r="L77" s="55"/>
    </row>
    <row r="78" spans="2:12" x14ac:dyDescent="0.25">
      <c r="B78" s="5"/>
      <c r="C78" s="28"/>
      <c r="D78" s="35"/>
      <c r="E78" s="9"/>
      <c r="F78" s="83"/>
      <c r="G78" s="84"/>
      <c r="H78" s="84"/>
      <c r="I78" s="85"/>
      <c r="J78" s="86"/>
      <c r="K78" s="10"/>
      <c r="L78" s="55"/>
    </row>
    <row r="79" spans="2:12" x14ac:dyDescent="0.25">
      <c r="B79" s="5"/>
      <c r="C79" s="28"/>
      <c r="D79" s="35"/>
      <c r="E79" s="9"/>
      <c r="F79" s="83"/>
      <c r="G79" s="84"/>
      <c r="H79" s="84"/>
      <c r="I79" s="85"/>
      <c r="J79" s="86"/>
      <c r="K79" s="10"/>
      <c r="L79" s="55"/>
    </row>
    <row r="80" spans="2:12" x14ac:dyDescent="0.25">
      <c r="B80" s="5"/>
      <c r="C80" s="28"/>
      <c r="D80" s="35"/>
      <c r="E80" s="9"/>
      <c r="F80" s="83"/>
      <c r="G80" s="84"/>
      <c r="H80" s="84"/>
      <c r="I80" s="85"/>
      <c r="J80" s="86"/>
      <c r="K80" s="10"/>
      <c r="L80" s="55"/>
    </row>
    <row r="81" spans="2:12" x14ac:dyDescent="0.25">
      <c r="B81" s="5"/>
      <c r="C81" s="28"/>
      <c r="D81" s="35"/>
      <c r="E81" s="9"/>
      <c r="F81" s="83"/>
      <c r="G81" s="84"/>
      <c r="H81" s="84"/>
      <c r="I81" s="85"/>
      <c r="J81" s="86"/>
      <c r="K81" s="10"/>
      <c r="L81" s="55"/>
    </row>
    <row r="82" spans="2:12" x14ac:dyDescent="0.25">
      <c r="B82" s="5"/>
      <c r="C82" s="28"/>
      <c r="D82" s="35"/>
      <c r="E82" s="9"/>
      <c r="F82" s="87"/>
      <c r="G82" s="84"/>
      <c r="H82" s="84"/>
      <c r="I82" s="88"/>
      <c r="J82" s="86"/>
      <c r="K82" s="10"/>
      <c r="L82" s="55"/>
    </row>
    <row r="83" spans="2:12" x14ac:dyDescent="0.25">
      <c r="B83" s="5"/>
      <c r="C83" s="28"/>
      <c r="D83" s="35"/>
      <c r="E83" s="9"/>
      <c r="F83" s="89"/>
      <c r="G83" s="90"/>
      <c r="H83" s="90"/>
      <c r="I83" s="88"/>
      <c r="J83" s="91"/>
      <c r="K83" s="10"/>
      <c r="L83" s="55"/>
    </row>
    <row r="84" spans="2:12" x14ac:dyDescent="0.25">
      <c r="B84" s="5"/>
      <c r="C84" s="28"/>
      <c r="D84" s="35"/>
      <c r="E84" s="9"/>
      <c r="F84" s="89"/>
      <c r="G84" s="90"/>
      <c r="H84" s="90"/>
      <c r="I84" s="88"/>
      <c r="J84" s="91"/>
      <c r="K84" s="10"/>
      <c r="L84" s="55"/>
    </row>
    <row r="85" spans="2:12" x14ac:dyDescent="0.25">
      <c r="B85" s="5"/>
      <c r="C85" s="33"/>
      <c r="D85" s="40"/>
      <c r="E85" s="9"/>
      <c r="F85" s="92"/>
      <c r="G85" s="93"/>
      <c r="H85" s="93"/>
      <c r="I85" s="94"/>
      <c r="J85" s="95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1" t="s">
        <v>1</v>
      </c>
      <c r="D93" s="34" t="s">
        <v>2</v>
      </c>
      <c r="E93" s="7"/>
      <c r="F93" s="77" t="s">
        <v>11</v>
      </c>
      <c r="G93" s="77" t="s">
        <v>12</v>
      </c>
      <c r="H93" s="77" t="s">
        <v>8</v>
      </c>
      <c r="I93" s="10"/>
      <c r="J93" s="10"/>
      <c r="K93" s="10"/>
      <c r="L93" s="55"/>
    </row>
    <row r="94" spans="2:12" x14ac:dyDescent="0.25">
      <c r="B94" s="5"/>
      <c r="C94" s="102" t="s">
        <v>97</v>
      </c>
      <c r="D94" s="35" t="s">
        <v>20</v>
      </c>
      <c r="E94" s="9"/>
      <c r="F94" s="100" t="s">
        <v>47</v>
      </c>
      <c r="G94" s="97">
        <v>-1.33E-3</v>
      </c>
      <c r="H94" s="74" t="b">
        <v>1</v>
      </c>
      <c r="I94" s="10"/>
      <c r="J94" s="10"/>
      <c r="K94" s="10"/>
      <c r="L94" s="55"/>
    </row>
    <row r="95" spans="2:12" x14ac:dyDescent="0.25">
      <c r="B95" s="5"/>
      <c r="C95" s="102" t="s">
        <v>129</v>
      </c>
      <c r="D95" s="35" t="s">
        <v>6</v>
      </c>
      <c r="E95" s="9"/>
      <c r="F95" s="24" t="s">
        <v>43</v>
      </c>
      <c r="G95" s="98">
        <v>-8.699999999999999E-4</v>
      </c>
      <c r="H95" s="75" t="b">
        <v>1</v>
      </c>
      <c r="I95" s="10"/>
      <c r="J95" s="10"/>
      <c r="K95" s="10"/>
      <c r="L95" s="55"/>
    </row>
    <row r="96" spans="2:12" x14ac:dyDescent="0.25">
      <c r="B96" s="5"/>
      <c r="C96" s="102" t="s">
        <v>27</v>
      </c>
      <c r="D96" s="35" t="s">
        <v>26</v>
      </c>
      <c r="E96" s="9"/>
      <c r="F96" s="24" t="s">
        <v>50</v>
      </c>
      <c r="G96" s="98">
        <v>-8.0000000000000007E-5</v>
      </c>
      <c r="H96" s="75" t="b">
        <v>1</v>
      </c>
      <c r="I96" s="10"/>
      <c r="J96" s="10"/>
      <c r="K96" s="10"/>
      <c r="L96" s="55"/>
    </row>
    <row r="97" spans="2:12" x14ac:dyDescent="0.25">
      <c r="B97" s="5"/>
      <c r="C97" s="102" t="s">
        <v>131</v>
      </c>
      <c r="D97" s="35" t="s">
        <v>130</v>
      </c>
      <c r="E97" s="9"/>
      <c r="F97" s="24" t="s">
        <v>52</v>
      </c>
      <c r="G97" s="98">
        <v>9.2999999999999995E-4</v>
      </c>
      <c r="H97" s="75" t="b">
        <v>1</v>
      </c>
      <c r="I97" s="10"/>
      <c r="J97" s="10"/>
      <c r="K97" s="10"/>
      <c r="L97" s="55"/>
    </row>
    <row r="98" spans="2:12" x14ac:dyDescent="0.25">
      <c r="B98" s="5"/>
      <c r="C98" s="102" t="s">
        <v>132</v>
      </c>
      <c r="D98" s="110" t="s">
        <v>84</v>
      </c>
      <c r="E98" s="9"/>
      <c r="F98" s="24" t="s">
        <v>54</v>
      </c>
      <c r="G98" s="98">
        <v>2.0200000000000001E-3</v>
      </c>
      <c r="H98" s="75" t="b">
        <v>1</v>
      </c>
      <c r="I98" s="10"/>
      <c r="J98" s="10"/>
      <c r="K98" s="10"/>
      <c r="L98" s="55"/>
    </row>
    <row r="99" spans="2:12" x14ac:dyDescent="0.25">
      <c r="B99" s="5"/>
      <c r="C99" s="102" t="s">
        <v>102</v>
      </c>
      <c r="D99" s="35" t="b">
        <v>1</v>
      </c>
      <c r="E99" s="9"/>
      <c r="F99" s="24" t="s">
        <v>56</v>
      </c>
      <c r="G99" s="98">
        <v>3.2100000000000002E-3</v>
      </c>
      <c r="H99" s="75" t="b">
        <v>1</v>
      </c>
      <c r="I99" s="10"/>
      <c r="J99" s="10"/>
      <c r="K99" s="10"/>
      <c r="L99" s="55"/>
    </row>
    <row r="100" spans="2:12" x14ac:dyDescent="0.25">
      <c r="B100" s="5"/>
      <c r="C100" s="102" t="s">
        <v>232</v>
      </c>
      <c r="D100" s="35">
        <v>31</v>
      </c>
      <c r="E100" s="9"/>
      <c r="F100" s="24" t="s">
        <v>58</v>
      </c>
      <c r="G100" s="98">
        <v>4.4400000000000004E-3</v>
      </c>
      <c r="H100" s="75" t="b">
        <v>1</v>
      </c>
      <c r="I100" s="10"/>
      <c r="J100" s="10"/>
      <c r="K100" s="10"/>
      <c r="L100" s="55"/>
    </row>
    <row r="101" spans="2:12" x14ac:dyDescent="0.25">
      <c r="B101" s="5"/>
      <c r="C101" s="102" t="s">
        <v>101</v>
      </c>
      <c r="D101" s="35">
        <v>2</v>
      </c>
      <c r="E101" s="9"/>
      <c r="F101" s="24" t="s">
        <v>60</v>
      </c>
      <c r="G101" s="98">
        <v>5.6100000000000004E-3</v>
      </c>
      <c r="H101" s="75" t="b">
        <v>1</v>
      </c>
      <c r="I101" s="10"/>
      <c r="J101" s="10"/>
      <c r="K101" s="10"/>
      <c r="L101" s="55"/>
    </row>
    <row r="102" spans="2:12" x14ac:dyDescent="0.25">
      <c r="B102" s="5"/>
      <c r="C102" s="102" t="s">
        <v>21</v>
      </c>
      <c r="D102" s="67" t="s">
        <v>22</v>
      </c>
      <c r="E102" s="9"/>
      <c r="F102" s="24" t="s">
        <v>61</v>
      </c>
      <c r="G102" s="98">
        <v>6.6700000000000006E-3</v>
      </c>
      <c r="H102" s="75" t="b">
        <v>1</v>
      </c>
      <c r="I102" s="10"/>
      <c r="J102" s="10"/>
      <c r="K102" s="10"/>
      <c r="L102" s="55"/>
    </row>
    <row r="103" spans="2:12" x14ac:dyDescent="0.25">
      <c r="B103" s="5"/>
      <c r="C103" s="102" t="s">
        <v>133</v>
      </c>
      <c r="D103" s="35" t="b">
        <v>1</v>
      </c>
      <c r="E103" s="9"/>
      <c r="F103" s="24" t="s">
        <v>62</v>
      </c>
      <c r="G103" s="98">
        <v>7.6300000000000005E-3</v>
      </c>
      <c r="H103" s="75" t="b">
        <v>1</v>
      </c>
      <c r="I103" s="10"/>
      <c r="J103" s="10"/>
      <c r="K103" s="10"/>
      <c r="L103" s="55"/>
    </row>
    <row r="104" spans="2:12" x14ac:dyDescent="0.25">
      <c r="B104" s="5"/>
      <c r="C104" s="102" t="s">
        <v>134</v>
      </c>
      <c r="D104" s="35" t="b">
        <v>1</v>
      </c>
      <c r="E104" s="9"/>
      <c r="F104" s="24" t="s">
        <v>63</v>
      </c>
      <c r="G104" s="98">
        <v>8.4700000000000001E-3</v>
      </c>
      <c r="H104" s="75" t="b">
        <v>1</v>
      </c>
      <c r="I104" s="10"/>
      <c r="J104" s="10"/>
      <c r="K104" s="10"/>
      <c r="L104" s="55"/>
    </row>
    <row r="105" spans="2:12" x14ac:dyDescent="0.25">
      <c r="B105" s="5"/>
      <c r="C105" s="102" t="s">
        <v>135</v>
      </c>
      <c r="D105" s="38">
        <v>1.0000000000000001E-9</v>
      </c>
      <c r="E105" s="9"/>
      <c r="F105" s="24" t="s">
        <v>64</v>
      </c>
      <c r="G105" s="98">
        <v>1.03E-2</v>
      </c>
      <c r="H105" s="75" t="b">
        <v>1</v>
      </c>
      <c r="I105" s="10"/>
      <c r="J105" s="10"/>
      <c r="K105" s="10"/>
      <c r="L105" s="55"/>
    </row>
    <row r="106" spans="2:12" x14ac:dyDescent="0.25">
      <c r="B106" s="5"/>
      <c r="C106" s="102" t="s">
        <v>136</v>
      </c>
      <c r="D106" s="105">
        <v>1000</v>
      </c>
      <c r="E106" s="9"/>
      <c r="F106" s="24" t="s">
        <v>65</v>
      </c>
      <c r="G106" s="98">
        <v>1.1659999999999998E-2</v>
      </c>
      <c r="H106" s="75" t="b">
        <v>1</v>
      </c>
      <c r="I106" s="10"/>
      <c r="J106" s="10"/>
      <c r="K106" s="10"/>
      <c r="L106" s="55"/>
    </row>
    <row r="107" spans="2:12" x14ac:dyDescent="0.25">
      <c r="B107" s="5"/>
      <c r="C107" s="102"/>
      <c r="D107" s="38"/>
      <c r="E107" s="9"/>
      <c r="F107" s="24" t="s">
        <v>66</v>
      </c>
      <c r="G107" s="98">
        <v>1.201E-2</v>
      </c>
      <c r="H107" s="75" t="b">
        <v>1</v>
      </c>
      <c r="I107" s="10"/>
      <c r="J107" s="10"/>
      <c r="K107" s="10"/>
      <c r="L107" s="55"/>
    </row>
    <row r="108" spans="2:12" x14ac:dyDescent="0.25">
      <c r="B108" s="5"/>
      <c r="C108" s="102"/>
      <c r="D108" s="35"/>
      <c r="E108" s="9"/>
      <c r="F108" s="24" t="s">
        <v>67</v>
      </c>
      <c r="G108" s="98">
        <v>1.204E-2</v>
      </c>
      <c r="H108" s="75" t="b">
        <v>1</v>
      </c>
      <c r="I108" s="10"/>
      <c r="J108" s="10"/>
      <c r="K108" s="10"/>
      <c r="L108" s="55"/>
    </row>
    <row r="109" spans="2:12" x14ac:dyDescent="0.25">
      <c r="B109" s="5"/>
      <c r="C109" s="102"/>
      <c r="D109" s="35"/>
      <c r="E109" s="9"/>
      <c r="F109" s="24" t="s">
        <v>68</v>
      </c>
      <c r="G109" s="98">
        <v>1.1859999999999999E-2</v>
      </c>
      <c r="H109" s="75" t="b">
        <v>1</v>
      </c>
      <c r="I109" s="10"/>
      <c r="J109" s="10"/>
      <c r="K109" s="10"/>
      <c r="L109" s="55"/>
    </row>
    <row r="110" spans="2:12" x14ac:dyDescent="0.25">
      <c r="B110" s="5"/>
      <c r="C110" s="102"/>
      <c r="D110" s="35"/>
      <c r="E110" s="9"/>
      <c r="F110" s="24" t="s">
        <v>69</v>
      </c>
      <c r="G110" s="98">
        <v>1.1200000000000002E-2</v>
      </c>
      <c r="H110" s="75" t="b">
        <v>1</v>
      </c>
      <c r="I110" s="10"/>
      <c r="J110" s="10"/>
      <c r="K110" s="10"/>
      <c r="L110" s="55"/>
    </row>
    <row r="111" spans="2:12" x14ac:dyDescent="0.25">
      <c r="B111" s="5"/>
      <c r="C111" s="103"/>
      <c r="D111" s="40"/>
      <c r="E111" s="9"/>
      <c r="F111" s="25"/>
      <c r="G111" s="99"/>
      <c r="H111" s="76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s="127" t="s">
        <v>204</v>
      </c>
    </row>
    <row r="5" spans="2:10" x14ac:dyDescent="0.25">
      <c r="B5" s="128" t="s">
        <v>205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129" t="s">
        <v>205</v>
      </c>
      <c r="E7" s="61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EURYC 3M6MBasis Curve has been set (0.01600 sec)</v>
      </c>
      <c r="F7" s="62"/>
      <c r="G7" s="63"/>
      <c r="H7" s="7"/>
      <c r="I7" s="7"/>
      <c r="J7" s="8"/>
    </row>
    <row r="8" spans="2:10" x14ac:dyDescent="0.25">
      <c r="B8" s="5"/>
      <c r="C8" s="7"/>
      <c r="D8" s="117" t="s">
        <v>192</v>
      </c>
      <c r="E8" s="130" t="b">
        <f ca="1">LEFT(E7,10)="EURYC 3M6M"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88</v>
      </c>
      <c r="E12" s="106" t="s">
        <v>80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87</v>
      </c>
      <c r="E13" s="107" t="s">
        <v>140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89</v>
      </c>
      <c r="E14" s="109" t="s">
        <v>141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6">
        <v>42419</v>
      </c>
      <c r="F21" s="7"/>
      <c r="G21" s="14" t="s">
        <v>82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7" t="s">
        <v>17</v>
      </c>
      <c r="F22" s="7"/>
      <c r="G22" s="17" t="s">
        <v>83</v>
      </c>
      <c r="H22" s="18"/>
      <c r="I22" s="7"/>
      <c r="J22" s="8"/>
    </row>
    <row r="23" spans="2:10" x14ac:dyDescent="0.25">
      <c r="B23" s="5"/>
      <c r="C23" s="7"/>
      <c r="D23" s="28" t="s">
        <v>233</v>
      </c>
      <c r="E23" s="110" t="s">
        <v>84</v>
      </c>
      <c r="F23" s="7"/>
      <c r="G23" s="17" t="s">
        <v>84</v>
      </c>
      <c r="H23" s="18"/>
      <c r="I23" s="7"/>
      <c r="J23" s="8"/>
    </row>
    <row r="24" spans="2:10" x14ac:dyDescent="0.25">
      <c r="B24" s="5"/>
      <c r="C24" s="7"/>
      <c r="D24" s="28" t="s">
        <v>254</v>
      </c>
      <c r="E24" s="107" t="b">
        <v>0</v>
      </c>
      <c r="F24" s="7"/>
      <c r="G24" s="17" t="s">
        <v>85</v>
      </c>
      <c r="H24" s="18"/>
      <c r="I24" s="7"/>
      <c r="J24" s="8"/>
    </row>
    <row r="25" spans="2:10" x14ac:dyDescent="0.25">
      <c r="B25" s="5"/>
      <c r="C25" s="7"/>
      <c r="D25" s="28"/>
      <c r="E25" s="107"/>
      <c r="F25" s="7"/>
      <c r="G25" s="17" t="s">
        <v>86</v>
      </c>
      <c r="H25" s="18"/>
      <c r="I25" s="7"/>
      <c r="J25" s="8"/>
    </row>
    <row r="26" spans="2:10" x14ac:dyDescent="0.25">
      <c r="B26" s="5"/>
      <c r="C26" s="7"/>
      <c r="D26" s="28"/>
      <c r="E26" s="107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7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7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7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7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09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142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 x14ac:dyDescent="0.25">
      <c r="B38" s="5"/>
      <c r="C38" s="114"/>
      <c r="D38" s="27" t="s">
        <v>143</v>
      </c>
      <c r="E38" s="34" t="s">
        <v>144</v>
      </c>
      <c r="F38" s="7"/>
      <c r="G38" s="77" t="s">
        <v>11</v>
      </c>
      <c r="H38" s="77" t="s">
        <v>12</v>
      </c>
      <c r="I38" s="10"/>
      <c r="J38" s="55"/>
    </row>
    <row r="39" spans="2:10" x14ac:dyDescent="0.25">
      <c r="B39" s="5"/>
      <c r="C39" s="203" t="s">
        <v>190</v>
      </c>
      <c r="D39" s="111" t="s">
        <v>145</v>
      </c>
      <c r="E39" s="112" t="b">
        <v>0</v>
      </c>
      <c r="F39" s="9"/>
      <c r="G39" s="70" t="s">
        <v>183</v>
      </c>
      <c r="H39" s="74">
        <v>1.1300000000000001E-3</v>
      </c>
      <c r="I39" s="10"/>
      <c r="J39" s="55"/>
    </row>
    <row r="40" spans="2:10" x14ac:dyDescent="0.25">
      <c r="B40" s="5"/>
      <c r="C40" s="204"/>
      <c r="D40" s="28" t="s">
        <v>146</v>
      </c>
      <c r="E40" s="35" t="s">
        <v>2</v>
      </c>
      <c r="F40" s="9"/>
      <c r="G40" s="71" t="s">
        <v>47</v>
      </c>
      <c r="H40" s="75">
        <v>1.1925E-3</v>
      </c>
      <c r="I40" s="10"/>
      <c r="J40" s="55"/>
    </row>
    <row r="41" spans="2:10" x14ac:dyDescent="0.25">
      <c r="B41" s="5"/>
      <c r="C41" s="204"/>
      <c r="D41" s="28" t="s">
        <v>147</v>
      </c>
      <c r="E41" s="35" t="s">
        <v>148</v>
      </c>
      <c r="F41" s="9"/>
      <c r="G41" s="71" t="s">
        <v>43</v>
      </c>
      <c r="H41" s="75">
        <v>1.2425000000000001E-3</v>
      </c>
      <c r="I41" s="10"/>
      <c r="J41" s="55"/>
    </row>
    <row r="42" spans="2:10" x14ac:dyDescent="0.25">
      <c r="B42" s="5"/>
      <c r="C42" s="204"/>
      <c r="D42" s="28" t="s">
        <v>149</v>
      </c>
      <c r="E42" s="67" t="s">
        <v>130</v>
      </c>
      <c r="F42" s="9"/>
      <c r="G42" s="71" t="s">
        <v>50</v>
      </c>
      <c r="H42" s="75">
        <v>1.2975E-3</v>
      </c>
      <c r="I42" s="10"/>
      <c r="J42" s="55"/>
    </row>
    <row r="43" spans="2:10" x14ac:dyDescent="0.25">
      <c r="B43" s="5"/>
      <c r="C43" s="204"/>
      <c r="D43" s="28" t="s">
        <v>150</v>
      </c>
      <c r="E43" s="67" t="s">
        <v>22</v>
      </c>
      <c r="F43" s="9"/>
      <c r="G43" s="71" t="s">
        <v>52</v>
      </c>
      <c r="H43" s="75">
        <v>1.3324999999999999E-3</v>
      </c>
      <c r="I43" s="10"/>
      <c r="J43" s="55"/>
    </row>
    <row r="44" spans="2:10" x14ac:dyDescent="0.25">
      <c r="B44" s="5"/>
      <c r="C44" s="204"/>
      <c r="D44" s="28" t="s">
        <v>151</v>
      </c>
      <c r="E44" s="35" t="s">
        <v>123</v>
      </c>
      <c r="F44" s="9"/>
      <c r="G44" s="71" t="s">
        <v>54</v>
      </c>
      <c r="H44" s="75">
        <v>1.3074999999999999E-3</v>
      </c>
      <c r="I44" s="10"/>
      <c r="J44" s="55"/>
    </row>
    <row r="45" spans="2:10" x14ac:dyDescent="0.25">
      <c r="B45" s="5"/>
      <c r="C45" s="204"/>
      <c r="D45" s="28" t="s">
        <v>152</v>
      </c>
      <c r="E45" s="35" t="s">
        <v>9</v>
      </c>
      <c r="F45" s="9"/>
      <c r="G45" s="71" t="s">
        <v>56</v>
      </c>
      <c r="H45" s="75">
        <v>1.2725E-3</v>
      </c>
      <c r="I45" s="10"/>
      <c r="J45" s="55"/>
    </row>
    <row r="46" spans="2:10" x14ac:dyDescent="0.25">
      <c r="B46" s="5"/>
      <c r="C46" s="204"/>
      <c r="D46" s="28" t="s">
        <v>153</v>
      </c>
      <c r="E46" s="35" t="s">
        <v>188</v>
      </c>
      <c r="F46" s="9"/>
      <c r="G46" s="71" t="s">
        <v>58</v>
      </c>
      <c r="H46" s="75">
        <v>1.2275000000000001E-3</v>
      </c>
      <c r="I46" s="10"/>
      <c r="J46" s="55"/>
    </row>
    <row r="47" spans="2:10" x14ac:dyDescent="0.25">
      <c r="B47" s="5"/>
      <c r="C47" s="204"/>
      <c r="D47" s="28" t="s">
        <v>154</v>
      </c>
      <c r="E47" s="35" t="s">
        <v>104</v>
      </c>
      <c r="F47" s="9"/>
      <c r="G47" s="71" t="s">
        <v>60</v>
      </c>
      <c r="H47" s="75">
        <v>1.1675000000000001E-3</v>
      </c>
      <c r="I47" s="10"/>
      <c r="J47" s="55"/>
    </row>
    <row r="48" spans="2:10" x14ac:dyDescent="0.25">
      <c r="B48" s="5"/>
      <c r="C48" s="204"/>
      <c r="D48" s="28" t="s">
        <v>155</v>
      </c>
      <c r="E48" s="35" t="s">
        <v>148</v>
      </c>
      <c r="F48" s="9"/>
      <c r="G48" s="71" t="s">
        <v>61</v>
      </c>
      <c r="H48" s="75">
        <v>1.1025E-3</v>
      </c>
      <c r="I48" s="10"/>
      <c r="J48" s="55"/>
    </row>
    <row r="49" spans="2:10" x14ac:dyDescent="0.25">
      <c r="B49" s="5"/>
      <c r="C49" s="204"/>
      <c r="D49" s="28" t="s">
        <v>156</v>
      </c>
      <c r="E49" s="35" t="s">
        <v>2</v>
      </c>
      <c r="F49" s="9"/>
      <c r="G49" s="71" t="s">
        <v>62</v>
      </c>
      <c r="H49" s="75">
        <v>1.0425E-3</v>
      </c>
      <c r="I49" s="10"/>
      <c r="J49" s="55"/>
    </row>
    <row r="50" spans="2:10" x14ac:dyDescent="0.25">
      <c r="B50" s="5"/>
      <c r="C50" s="204"/>
      <c r="D50" s="28" t="s">
        <v>157</v>
      </c>
      <c r="E50" s="35" t="s">
        <v>100</v>
      </c>
      <c r="F50" s="9"/>
      <c r="G50" s="71" t="s">
        <v>63</v>
      </c>
      <c r="H50" s="75">
        <v>9.9250000000000011E-4</v>
      </c>
      <c r="I50" s="10"/>
      <c r="J50" s="55"/>
    </row>
    <row r="51" spans="2:10" x14ac:dyDescent="0.25">
      <c r="B51" s="5"/>
      <c r="C51" s="204"/>
      <c r="D51" s="28" t="s">
        <v>158</v>
      </c>
      <c r="E51" s="35" t="s">
        <v>2</v>
      </c>
      <c r="F51" s="9"/>
      <c r="G51" s="71" t="s">
        <v>64</v>
      </c>
      <c r="H51" s="75">
        <v>8.6249999999999999E-4</v>
      </c>
      <c r="I51" s="10"/>
      <c r="J51" s="55"/>
    </row>
    <row r="52" spans="2:10" x14ac:dyDescent="0.25">
      <c r="B52" s="5"/>
      <c r="C52" s="204"/>
      <c r="D52" s="28" t="s">
        <v>159</v>
      </c>
      <c r="E52" s="35" t="s">
        <v>123</v>
      </c>
      <c r="F52" s="9"/>
      <c r="G52" s="71" t="s">
        <v>65</v>
      </c>
      <c r="H52" s="75">
        <v>6.8749999999999996E-4</v>
      </c>
      <c r="I52" s="10"/>
      <c r="J52" s="55"/>
    </row>
    <row r="53" spans="2:10" x14ac:dyDescent="0.25">
      <c r="B53" s="5"/>
      <c r="C53" s="205"/>
      <c r="D53" s="113" t="s">
        <v>160</v>
      </c>
      <c r="E53" s="67" t="s">
        <v>22</v>
      </c>
      <c r="F53" s="9"/>
      <c r="G53" s="71" t="s">
        <v>66</v>
      </c>
      <c r="H53" s="75">
        <v>5.8250000000000001E-4</v>
      </c>
      <c r="I53" s="10"/>
      <c r="J53" s="55"/>
    </row>
    <row r="54" spans="2:10" x14ac:dyDescent="0.25">
      <c r="B54" s="5"/>
      <c r="C54" s="206" t="s">
        <v>191</v>
      </c>
      <c r="D54" s="111" t="s">
        <v>161</v>
      </c>
      <c r="E54" s="112" t="s">
        <v>2</v>
      </c>
      <c r="F54" s="9"/>
      <c r="G54" s="71" t="s">
        <v>67</v>
      </c>
      <c r="H54" s="75">
        <v>5.1250000000000004E-4</v>
      </c>
      <c r="I54" s="10"/>
      <c r="J54" s="55"/>
    </row>
    <row r="55" spans="2:10" x14ac:dyDescent="0.25">
      <c r="B55" s="5"/>
      <c r="C55" s="207"/>
      <c r="D55" s="28" t="s">
        <v>162</v>
      </c>
      <c r="E55" s="35" t="s">
        <v>148</v>
      </c>
      <c r="F55" s="9"/>
      <c r="G55" s="71"/>
      <c r="H55" s="75"/>
      <c r="I55" s="10"/>
      <c r="J55" s="55"/>
    </row>
    <row r="56" spans="2:10" x14ac:dyDescent="0.25">
      <c r="B56" s="5"/>
      <c r="C56" s="207"/>
      <c r="D56" s="28" t="s">
        <v>163</v>
      </c>
      <c r="E56" s="67" t="s">
        <v>28</v>
      </c>
      <c r="F56" s="9"/>
      <c r="G56" s="71"/>
      <c r="H56" s="75"/>
      <c r="I56" s="10"/>
      <c r="J56" s="55"/>
    </row>
    <row r="57" spans="2:10" x14ac:dyDescent="0.25">
      <c r="B57" s="5"/>
      <c r="C57" s="207"/>
      <c r="D57" s="28" t="s">
        <v>164</v>
      </c>
      <c r="E57" s="67" t="s">
        <v>22</v>
      </c>
      <c r="F57" s="9"/>
      <c r="G57" s="71"/>
      <c r="H57" s="75"/>
      <c r="I57" s="10"/>
      <c r="J57" s="55"/>
    </row>
    <row r="58" spans="2:10" x14ac:dyDescent="0.25">
      <c r="B58" s="5"/>
      <c r="C58" s="207"/>
      <c r="D58" s="28" t="s">
        <v>165</v>
      </c>
      <c r="E58" s="35" t="s">
        <v>123</v>
      </c>
      <c r="F58" s="9"/>
      <c r="G58" s="71"/>
      <c r="H58" s="75"/>
      <c r="I58" s="10"/>
      <c r="J58" s="55"/>
    </row>
    <row r="59" spans="2:10" x14ac:dyDescent="0.25">
      <c r="B59" s="5"/>
      <c r="C59" s="207"/>
      <c r="D59" s="28" t="s">
        <v>166</v>
      </c>
      <c r="E59" s="35" t="s">
        <v>9</v>
      </c>
      <c r="F59" s="9"/>
      <c r="G59" s="71"/>
      <c r="H59" s="75"/>
      <c r="I59" s="10"/>
      <c r="J59" s="55"/>
    </row>
    <row r="60" spans="2:10" x14ac:dyDescent="0.25">
      <c r="B60" s="5"/>
      <c r="C60" s="207"/>
      <c r="D60" s="28" t="s">
        <v>167</v>
      </c>
      <c r="E60" s="35" t="s">
        <v>90</v>
      </c>
      <c r="F60" s="9"/>
      <c r="G60" s="71"/>
      <c r="H60" s="75"/>
      <c r="I60" s="10"/>
      <c r="J60" s="55"/>
    </row>
    <row r="61" spans="2:10" x14ac:dyDescent="0.25">
      <c r="B61" s="5"/>
      <c r="C61" s="207"/>
      <c r="D61" s="28" t="s">
        <v>168</v>
      </c>
      <c r="E61" s="35" t="s">
        <v>169</v>
      </c>
      <c r="F61" s="9"/>
      <c r="G61" s="71"/>
      <c r="H61" s="75"/>
      <c r="I61" s="10"/>
      <c r="J61" s="55"/>
    </row>
    <row r="62" spans="2:10" x14ac:dyDescent="0.25">
      <c r="B62" s="5"/>
      <c r="C62" s="207"/>
      <c r="D62" s="28" t="s">
        <v>170</v>
      </c>
      <c r="E62" s="35" t="s">
        <v>148</v>
      </c>
      <c r="F62" s="9"/>
      <c r="G62" s="71"/>
      <c r="H62" s="75"/>
      <c r="I62" s="10"/>
      <c r="J62" s="55"/>
    </row>
    <row r="63" spans="2:10" x14ac:dyDescent="0.25">
      <c r="B63" s="5"/>
      <c r="C63" s="207"/>
      <c r="D63" s="28" t="s">
        <v>171</v>
      </c>
      <c r="E63" s="35" t="s">
        <v>2</v>
      </c>
      <c r="F63" s="9"/>
      <c r="G63" s="71"/>
      <c r="H63" s="75"/>
      <c r="I63" s="10"/>
      <c r="J63" s="55"/>
    </row>
    <row r="64" spans="2:10" x14ac:dyDescent="0.25">
      <c r="B64" s="5"/>
      <c r="C64" s="207"/>
      <c r="D64" s="28" t="s">
        <v>172</v>
      </c>
      <c r="E64" s="35" t="s">
        <v>100</v>
      </c>
      <c r="F64" s="9"/>
      <c r="G64" s="71"/>
      <c r="H64" s="75"/>
      <c r="I64" s="10"/>
      <c r="J64" s="55"/>
    </row>
    <row r="65" spans="2:10" x14ac:dyDescent="0.25">
      <c r="B65" s="5"/>
      <c r="C65" s="207"/>
      <c r="D65" s="28" t="s">
        <v>173</v>
      </c>
      <c r="E65" s="35" t="s">
        <v>2</v>
      </c>
      <c r="F65" s="9"/>
      <c r="G65" s="71"/>
      <c r="H65" s="75"/>
      <c r="I65" s="10"/>
      <c r="J65" s="55"/>
    </row>
    <row r="66" spans="2:10" x14ac:dyDescent="0.25">
      <c r="B66" s="5"/>
      <c r="C66" s="207"/>
      <c r="D66" s="28" t="s">
        <v>174</v>
      </c>
      <c r="E66" s="35" t="s">
        <v>123</v>
      </c>
      <c r="F66" s="9"/>
      <c r="G66" s="71"/>
      <c r="H66" s="75"/>
      <c r="I66" s="10"/>
      <c r="J66" s="55"/>
    </row>
    <row r="67" spans="2:10" x14ac:dyDescent="0.25">
      <c r="B67" s="5"/>
      <c r="C67" s="208"/>
      <c r="D67" s="113" t="s">
        <v>175</v>
      </c>
      <c r="E67" s="67" t="s">
        <v>22</v>
      </c>
      <c r="F67" s="9"/>
      <c r="G67" s="71"/>
      <c r="H67" s="75"/>
      <c r="I67" s="10"/>
      <c r="J67" s="55"/>
    </row>
    <row r="68" spans="2:10" x14ac:dyDescent="0.25">
      <c r="B68" s="5"/>
      <c r="C68" s="209" t="str">
        <f>"Solving For :"&amp;CHAR(32)&amp;$E$68</f>
        <v>Solving For : Leg2Forecast</v>
      </c>
      <c r="D68" s="116" t="s">
        <v>176</v>
      </c>
      <c r="E68" s="115" t="s">
        <v>177</v>
      </c>
      <c r="F68" s="9"/>
      <c r="G68" s="71"/>
      <c r="H68" s="75"/>
      <c r="I68" s="10"/>
      <c r="J68" s="55"/>
    </row>
    <row r="69" spans="2:10" x14ac:dyDescent="0.25">
      <c r="B69" s="5"/>
      <c r="C69" s="210"/>
      <c r="D69" s="28" t="s">
        <v>134</v>
      </c>
      <c r="E69" s="35" t="b">
        <v>1</v>
      </c>
      <c r="F69" s="9"/>
      <c r="G69" s="71"/>
      <c r="H69" s="75"/>
      <c r="I69" s="10"/>
      <c r="J69" s="55"/>
    </row>
    <row r="70" spans="2:10" x14ac:dyDescent="0.25">
      <c r="B70" s="5"/>
      <c r="C70" s="210"/>
      <c r="D70" s="28" t="s">
        <v>178</v>
      </c>
      <c r="E70" s="110" t="s">
        <v>84</v>
      </c>
      <c r="F70" s="9"/>
      <c r="G70" s="71"/>
      <c r="H70" s="75"/>
      <c r="I70" s="10"/>
      <c r="J70" s="55"/>
    </row>
    <row r="71" spans="2:10" x14ac:dyDescent="0.25">
      <c r="B71" s="5"/>
      <c r="C71" s="210"/>
      <c r="D71" s="28" t="s">
        <v>179</v>
      </c>
      <c r="E71" s="35" t="b">
        <v>1</v>
      </c>
      <c r="F71" s="9"/>
      <c r="G71" s="71"/>
      <c r="H71" s="75"/>
      <c r="I71" s="10"/>
      <c r="J71" s="55"/>
    </row>
    <row r="72" spans="2:10" x14ac:dyDescent="0.25">
      <c r="B72" s="5"/>
      <c r="C72" s="210"/>
      <c r="D72" s="28" t="s">
        <v>180</v>
      </c>
      <c r="E72" s="35" t="b">
        <v>1</v>
      </c>
      <c r="F72" s="9"/>
      <c r="G72" s="71"/>
      <c r="H72" s="75"/>
      <c r="I72" s="10"/>
      <c r="J72" s="55"/>
    </row>
    <row r="73" spans="2:10" x14ac:dyDescent="0.25">
      <c r="B73" s="5"/>
      <c r="C73" s="210"/>
      <c r="D73" s="28" t="s">
        <v>181</v>
      </c>
      <c r="E73" s="35" t="s">
        <v>169</v>
      </c>
      <c r="F73" s="9"/>
      <c r="G73" s="71"/>
      <c r="H73" s="75"/>
      <c r="I73" s="10"/>
      <c r="J73" s="55"/>
    </row>
    <row r="74" spans="2:10" x14ac:dyDescent="0.25">
      <c r="B74" s="5"/>
      <c r="C74" s="210"/>
      <c r="D74" s="28" t="s">
        <v>182</v>
      </c>
      <c r="E74" s="35" t="b">
        <v>0</v>
      </c>
      <c r="F74" s="9"/>
      <c r="G74" s="71"/>
      <c r="H74" s="75"/>
      <c r="I74" s="10"/>
      <c r="J74" s="55"/>
    </row>
    <row r="75" spans="2:10" x14ac:dyDescent="0.25">
      <c r="B75" s="5"/>
      <c r="C75" s="210"/>
      <c r="D75" s="28" t="s">
        <v>135</v>
      </c>
      <c r="E75" s="38">
        <v>1.0000000000000001E-9</v>
      </c>
      <c r="F75" s="9"/>
      <c r="G75" s="71"/>
      <c r="H75" s="75"/>
      <c r="I75" s="10"/>
      <c r="J75" s="55"/>
    </row>
    <row r="76" spans="2:10" x14ac:dyDescent="0.25">
      <c r="B76" s="5"/>
      <c r="C76" s="210"/>
      <c r="D76" s="28" t="s">
        <v>136</v>
      </c>
      <c r="E76" s="105">
        <v>1000</v>
      </c>
      <c r="F76" s="9"/>
      <c r="G76" s="71"/>
      <c r="H76" s="75"/>
      <c r="I76" s="10"/>
      <c r="J76" s="55"/>
    </row>
    <row r="77" spans="2:10" x14ac:dyDescent="0.25">
      <c r="B77" s="5"/>
      <c r="C77" s="210"/>
      <c r="D77" s="28"/>
      <c r="E77" s="35"/>
      <c r="F77" s="9"/>
      <c r="G77" s="71"/>
      <c r="H77" s="75"/>
      <c r="I77" s="10"/>
      <c r="J77" s="55"/>
    </row>
    <row r="78" spans="2:10" x14ac:dyDescent="0.25">
      <c r="B78" s="5"/>
      <c r="C78" s="210"/>
      <c r="D78" s="28"/>
      <c r="E78" s="35"/>
      <c r="F78" s="9"/>
      <c r="G78" s="71"/>
      <c r="H78" s="75"/>
      <c r="I78" s="10"/>
      <c r="J78" s="55"/>
    </row>
    <row r="79" spans="2:10" x14ac:dyDescent="0.25">
      <c r="B79" s="5"/>
      <c r="C79" s="210"/>
      <c r="D79" s="28"/>
      <c r="E79" s="35"/>
      <c r="F79" s="9"/>
      <c r="G79" s="71"/>
      <c r="H79" s="75"/>
      <c r="I79" s="10"/>
      <c r="J79" s="55"/>
    </row>
    <row r="80" spans="2:10" x14ac:dyDescent="0.25">
      <c r="B80" s="5"/>
      <c r="C80" s="211"/>
      <c r="D80" s="33"/>
      <c r="E80" s="40"/>
      <c r="F80" s="9"/>
      <c r="G80" s="72"/>
      <c r="H80" s="76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3"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2:P60"/>
  <sheetViews>
    <sheetView showGridLines="0" tabSelected="1" workbookViewId="0"/>
  </sheetViews>
  <sheetFormatPr defaultRowHeight="15" x14ac:dyDescent="0.25"/>
  <cols>
    <col min="1" max="1" width="4.7109375" customWidth="1"/>
    <col min="2" max="2" width="39" customWidth="1"/>
    <col min="3" max="3" width="19.28515625" customWidth="1"/>
    <col min="4" max="4" width="4.7109375" customWidth="1"/>
    <col min="5" max="7" width="15.7109375" customWidth="1"/>
    <col min="8" max="8" width="20.42578125" bestFit="1" customWidth="1"/>
    <col min="9" max="16" width="15.7109375" customWidth="1"/>
  </cols>
  <sheetData>
    <row r="2" spans="1:14" ht="23.25" x14ac:dyDescent="0.35">
      <c r="B2" s="153" t="s">
        <v>235</v>
      </c>
      <c r="C2" s="163">
        <f ca="1">IF(AND(isEUR3MLLoaded,NOW()),_xll.meProductSwapPV(SwapDescription,FALSE),"#LOAD CURVES")</f>
        <v>-45731.777114750228</v>
      </c>
      <c r="E2" s="199" t="s">
        <v>252</v>
      </c>
    </row>
    <row r="3" spans="1:14" ht="23.25" x14ac:dyDescent="0.35">
      <c r="A3" s="152"/>
      <c r="B3" s="144" t="s">
        <v>236</v>
      </c>
      <c r="C3" s="164">
        <f ca="1">IF(AND(isEUR3MLLoaded,NOW()),_xll.meProductSwapLegPV(_xll.meUtilityLVBFromMultipleKeysValues($B$10:$B$45,$C$10:$C$45,,"LegType",$B$3),FALSE),"#LOAD CURVES")</f>
        <v>-50420.922880817147</v>
      </c>
      <c r="E3" s="199" t="s">
        <v>253</v>
      </c>
    </row>
    <row r="4" spans="1:14" x14ac:dyDescent="0.25">
      <c r="A4" s="152"/>
      <c r="B4" s="144" t="s">
        <v>237</v>
      </c>
      <c r="C4" s="164">
        <f ca="1">IF(AND(isEUR3MLLoaded,NOW()),_xll.meProductSwapLegPV(_xll.meUtilityLVBFromMultipleKeysValues($B$10:$B$45,$C$10:$C$45,,"LegType",$B$4),FALSE),"#LOAD CURVES")</f>
        <v>-4689.1457660669239</v>
      </c>
    </row>
    <row r="5" spans="1:14" x14ac:dyDescent="0.25">
      <c r="B5" s="154" t="s">
        <v>197</v>
      </c>
      <c r="C5" s="165">
        <f ca="1">IF(AND(isEUR3MLLoaded,NOW()),_xll.meProductSwapParRate(SwapDescription,FALSE),"#LOAD CURVES")</f>
        <v>9.2999998773345117E-4</v>
      </c>
    </row>
    <row r="6" spans="1:14" x14ac:dyDescent="0.25">
      <c r="B6" s="154" t="s">
        <v>198</v>
      </c>
      <c r="C6" s="166">
        <f ca="1">IF(AND(isEUR3MLLoaded,NOW()),_xll.meProductSwapPV01(SwapDescription,FALSE),"#LOAD CURVES")</f>
        <v>504.20922880817153</v>
      </c>
    </row>
    <row r="7" spans="1:14" x14ac:dyDescent="0.25">
      <c r="B7" s="155" t="s">
        <v>238</v>
      </c>
      <c r="C7" s="167">
        <f ca="1">IF(AND(isEUR3MLLoaded,NOW()),_xll.meProductSwapDV01(SwapDescription,FALSE),"#LOAD CURVES")</f>
        <v>489.13653687726458</v>
      </c>
    </row>
    <row r="8" spans="1:14" x14ac:dyDescent="0.25">
      <c r="E8" s="134"/>
    </row>
    <row r="9" spans="1:14" x14ac:dyDescent="0.25">
      <c r="B9" s="151" t="s">
        <v>239</v>
      </c>
      <c r="E9" s="151" t="s">
        <v>250</v>
      </c>
    </row>
    <row r="10" spans="1:14" x14ac:dyDescent="0.25">
      <c r="B10" s="143" t="s">
        <v>193</v>
      </c>
      <c r="C10" s="200">
        <v>1000000</v>
      </c>
      <c r="E10" s="156" t="str">
        <f t="array" aca="1" ref="E10:N26" ca="1">IF(AND(isEUR3MLLoaded,NOW()),_xll.meProductSwapLegDisplay(_xll.meUtilityLVBFromMultipleKeysValues($B$10:$B$45,$C$10:$C$45,,"LegType",$B$3),FALSE,TRUE),"#LOAD CURVES")</f>
        <v>AccrualStart</v>
      </c>
      <c r="F10" s="157" t="str">
        <f ca="1"/>
        <v>AccrualEnd</v>
      </c>
      <c r="G10" s="169" t="str">
        <f ca="1"/>
        <v>AccrualDays</v>
      </c>
      <c r="H10" s="158" t="str">
        <f ca="1"/>
        <v>AccrualYearFractions</v>
      </c>
      <c r="I10" s="157" t="str">
        <f ca="1"/>
        <v>PaymentDate</v>
      </c>
      <c r="J10" s="169" t="str">
        <f ca="1"/>
        <v>Notional</v>
      </c>
      <c r="K10" s="171" t="str">
        <f ca="1"/>
        <v>Leverage</v>
      </c>
      <c r="L10" s="169" t="str">
        <f ca="1"/>
        <v>FixedRate</v>
      </c>
      <c r="M10" s="173" t="str">
        <f ca="1"/>
        <v>Coupon</v>
      </c>
      <c r="N10" s="176" t="str">
        <f ca="1"/>
        <v>DiscountFactor</v>
      </c>
    </row>
    <row r="11" spans="1:14" x14ac:dyDescent="0.25">
      <c r="B11" s="144" t="s">
        <v>206</v>
      </c>
      <c r="C11" s="201" t="s">
        <v>194</v>
      </c>
      <c r="E11" s="159">
        <f ca="1"/>
        <v>42423</v>
      </c>
      <c r="F11" s="160">
        <f ca="1"/>
        <v>42789</v>
      </c>
      <c r="G11" s="170">
        <f ca="1"/>
        <v>366</v>
      </c>
      <c r="H11" s="161">
        <f ca="1"/>
        <v>1</v>
      </c>
      <c r="I11" s="160">
        <f ca="1"/>
        <v>42789</v>
      </c>
      <c r="J11" s="170">
        <f ca="1"/>
        <v>1000000</v>
      </c>
      <c r="K11" s="172">
        <f ca="1"/>
        <v>1</v>
      </c>
      <c r="L11" s="170">
        <f ca="1"/>
        <v>0.01</v>
      </c>
      <c r="M11" s="174">
        <f ca="1"/>
        <v>10000</v>
      </c>
      <c r="N11" s="175">
        <f ca="1"/>
        <v>1.003792728970861</v>
      </c>
    </row>
    <row r="12" spans="1:14" x14ac:dyDescent="0.25">
      <c r="B12" s="145" t="s">
        <v>208</v>
      </c>
      <c r="C12" s="138">
        <f ca="1">_xll.meDateFromTenor(COB,D12,C20,C21)</f>
        <v>42423</v>
      </c>
      <c r="D12" s="198" t="s">
        <v>199</v>
      </c>
      <c r="E12" s="159">
        <f ca="1"/>
        <v>42789</v>
      </c>
      <c r="F12" s="160">
        <f ca="1"/>
        <v>43154</v>
      </c>
      <c r="G12" s="170">
        <f ca="1"/>
        <v>365</v>
      </c>
      <c r="H12" s="161">
        <f ca="1"/>
        <v>1</v>
      </c>
      <c r="I12" s="160">
        <f ca="1"/>
        <v>43154</v>
      </c>
      <c r="J12" s="170">
        <f ca="1"/>
        <v>1000000</v>
      </c>
      <c r="K12" s="172">
        <f ca="1"/>
        <v>1</v>
      </c>
      <c r="L12" s="170">
        <f ca="1"/>
        <v>0.01</v>
      </c>
      <c r="M12" s="174">
        <f ca="1"/>
        <v>10000</v>
      </c>
      <c r="N12" s="175">
        <f ca="1"/>
        <v>1.0077262645077036</v>
      </c>
    </row>
    <row r="13" spans="1:14" x14ac:dyDescent="0.25">
      <c r="B13" s="145" t="s">
        <v>207</v>
      </c>
      <c r="C13" s="194" t="s">
        <v>52</v>
      </c>
      <c r="E13" s="159">
        <f ca="1"/>
        <v>43154</v>
      </c>
      <c r="F13" s="160">
        <f ca="1"/>
        <v>43521</v>
      </c>
      <c r="G13" s="170">
        <f ca="1"/>
        <v>367</v>
      </c>
      <c r="H13" s="161">
        <f ca="1"/>
        <v>1.0055555555555555</v>
      </c>
      <c r="I13" s="160">
        <f ca="1"/>
        <v>43521</v>
      </c>
      <c r="J13" s="170">
        <f ca="1"/>
        <v>1000000</v>
      </c>
      <c r="K13" s="172">
        <f ca="1"/>
        <v>1</v>
      </c>
      <c r="L13" s="170">
        <f ca="1"/>
        <v>0.01</v>
      </c>
      <c r="M13" s="174">
        <f ca="1"/>
        <v>10055.555555555555</v>
      </c>
      <c r="N13" s="175">
        <f ca="1"/>
        <v>1.0104951635838813</v>
      </c>
    </row>
    <row r="14" spans="1:14" x14ac:dyDescent="0.25">
      <c r="B14" s="145" t="s">
        <v>88</v>
      </c>
      <c r="C14" s="195" t="s">
        <v>80</v>
      </c>
      <c r="E14" s="159">
        <f ca="1"/>
        <v>43521</v>
      </c>
      <c r="F14" s="160">
        <f ca="1"/>
        <v>43885</v>
      </c>
      <c r="G14" s="170">
        <f ca="1"/>
        <v>364</v>
      </c>
      <c r="H14" s="161">
        <f ca="1"/>
        <v>0.99722222222222223</v>
      </c>
      <c r="I14" s="160">
        <f ca="1"/>
        <v>43885</v>
      </c>
      <c r="J14" s="170">
        <f ca="1"/>
        <v>1000000</v>
      </c>
      <c r="K14" s="172">
        <f ca="1"/>
        <v>1</v>
      </c>
      <c r="L14" s="170">
        <f ca="1"/>
        <v>0.01</v>
      </c>
      <c r="M14" s="174">
        <f ca="1"/>
        <v>9972.2222222222226</v>
      </c>
      <c r="N14" s="175">
        <f ca="1"/>
        <v>1.0110770831656557</v>
      </c>
    </row>
    <row r="15" spans="1:14" x14ac:dyDescent="0.25">
      <c r="B15" s="145" t="s">
        <v>210</v>
      </c>
      <c r="C15" s="196" t="s">
        <v>188</v>
      </c>
      <c r="E15" s="159">
        <f ca="1"/>
        <v>43885</v>
      </c>
      <c r="F15" s="160">
        <f ca="1"/>
        <v>44250</v>
      </c>
      <c r="G15" s="170">
        <f ca="1"/>
        <v>365</v>
      </c>
      <c r="H15" s="161">
        <f ca="1"/>
        <v>0.99722222222222223</v>
      </c>
      <c r="I15" s="160">
        <f ca="1"/>
        <v>44250</v>
      </c>
      <c r="J15" s="170">
        <f ca="1"/>
        <v>1000000</v>
      </c>
      <c r="K15" s="172">
        <f ca="1"/>
        <v>1</v>
      </c>
      <c r="L15" s="170">
        <f ca="1"/>
        <v>0.01</v>
      </c>
      <c r="M15" s="174">
        <f ca="1"/>
        <v>9972.2222222222226</v>
      </c>
      <c r="N15" s="175">
        <f ca="1"/>
        <v>1.0089985069172667</v>
      </c>
    </row>
    <row r="16" spans="1:14" ht="15.75" thickBot="1" x14ac:dyDescent="0.3">
      <c r="B16" s="146" t="s">
        <v>228</v>
      </c>
      <c r="C16" s="197" t="s">
        <v>234</v>
      </c>
      <c r="E16" s="159" t="e">
        <f ca="1"/>
        <v>#N/A</v>
      </c>
      <c r="F16" s="160" t="e">
        <f ca="1"/>
        <v>#N/A</v>
      </c>
      <c r="G16" s="170" t="e">
        <f ca="1"/>
        <v>#N/A</v>
      </c>
      <c r="H16" s="161" t="e">
        <f ca="1"/>
        <v>#N/A</v>
      </c>
      <c r="I16" s="160" t="e">
        <f ca="1"/>
        <v>#N/A</v>
      </c>
      <c r="J16" s="170" t="e">
        <f ca="1"/>
        <v>#N/A</v>
      </c>
      <c r="K16" s="172" t="e">
        <f ca="1"/>
        <v>#N/A</v>
      </c>
      <c r="L16" s="170" t="e">
        <f ca="1"/>
        <v>#N/A</v>
      </c>
      <c r="M16" s="174" t="e">
        <f ca="1"/>
        <v>#N/A</v>
      </c>
      <c r="N16" s="175" t="e">
        <f ca="1"/>
        <v>#N/A</v>
      </c>
    </row>
    <row r="17" spans="2:16" ht="15.75" thickTop="1" x14ac:dyDescent="0.25">
      <c r="B17" s="145" t="s">
        <v>212</v>
      </c>
      <c r="C17" s="136" t="s">
        <v>26</v>
      </c>
      <c r="E17" s="159" t="e">
        <f ca="1"/>
        <v>#N/A</v>
      </c>
      <c r="F17" s="160" t="e">
        <f ca="1"/>
        <v>#N/A</v>
      </c>
      <c r="G17" s="170" t="e">
        <f ca="1"/>
        <v>#N/A</v>
      </c>
      <c r="H17" s="161" t="e">
        <f ca="1"/>
        <v>#N/A</v>
      </c>
      <c r="I17" s="160" t="e">
        <f ca="1"/>
        <v>#N/A</v>
      </c>
      <c r="J17" s="170" t="e">
        <f ca="1"/>
        <v>#N/A</v>
      </c>
      <c r="K17" s="172" t="e">
        <f ca="1"/>
        <v>#N/A</v>
      </c>
      <c r="L17" s="170" t="e">
        <f ca="1"/>
        <v>#N/A</v>
      </c>
      <c r="M17" s="174" t="e">
        <f ca="1"/>
        <v>#N/A</v>
      </c>
      <c r="N17" s="175" t="e">
        <f ca="1"/>
        <v>#N/A</v>
      </c>
    </row>
    <row r="18" spans="2:16" x14ac:dyDescent="0.25">
      <c r="B18" s="145" t="s">
        <v>209</v>
      </c>
      <c r="C18" s="202">
        <v>0.01</v>
      </c>
      <c r="E18" s="159" t="e">
        <f ca="1"/>
        <v>#N/A</v>
      </c>
      <c r="F18" s="160" t="e">
        <f ca="1"/>
        <v>#N/A</v>
      </c>
      <c r="G18" s="170" t="e">
        <f ca="1"/>
        <v>#N/A</v>
      </c>
      <c r="H18" s="161" t="e">
        <f ca="1"/>
        <v>#N/A</v>
      </c>
      <c r="I18" s="160" t="e">
        <f ca="1"/>
        <v>#N/A</v>
      </c>
      <c r="J18" s="170" t="e">
        <f ca="1"/>
        <v>#N/A</v>
      </c>
      <c r="K18" s="172" t="e">
        <f ca="1"/>
        <v>#N/A</v>
      </c>
      <c r="L18" s="170" t="e">
        <f ca="1"/>
        <v>#N/A</v>
      </c>
      <c r="M18" s="174" t="e">
        <f ca="1"/>
        <v>#N/A</v>
      </c>
      <c r="N18" s="175" t="e">
        <f ca="1"/>
        <v>#N/A</v>
      </c>
    </row>
    <row r="19" spans="2:16" x14ac:dyDescent="0.25">
      <c r="B19" s="145" t="s">
        <v>213</v>
      </c>
      <c r="C19" s="137" t="s">
        <v>20</v>
      </c>
      <c r="E19" s="178" t="e">
        <f ca="1"/>
        <v>#N/A</v>
      </c>
      <c r="F19" s="179" t="e">
        <f ca="1"/>
        <v>#N/A</v>
      </c>
      <c r="G19" s="180" t="e">
        <f ca="1"/>
        <v>#N/A</v>
      </c>
      <c r="H19" s="161" t="e">
        <f ca="1"/>
        <v>#N/A</v>
      </c>
      <c r="I19" s="179" t="e">
        <f ca="1"/>
        <v>#N/A</v>
      </c>
      <c r="J19" s="180" t="e">
        <f ca="1"/>
        <v>#N/A</v>
      </c>
      <c r="K19" s="192" t="e">
        <f ca="1"/>
        <v>#N/A</v>
      </c>
      <c r="L19" s="180" t="e">
        <f ca="1"/>
        <v>#N/A</v>
      </c>
      <c r="M19" s="182" t="e">
        <f ca="1"/>
        <v>#N/A</v>
      </c>
      <c r="N19" s="183" t="e">
        <f ca="1"/>
        <v>#N/A</v>
      </c>
    </row>
    <row r="20" spans="2:16" x14ac:dyDescent="0.25">
      <c r="B20" s="145" t="s">
        <v>240</v>
      </c>
      <c r="C20" s="136" t="s">
        <v>22</v>
      </c>
      <c r="E20" s="178" t="e">
        <f ca="1"/>
        <v>#N/A</v>
      </c>
      <c r="F20" s="179" t="e">
        <f ca="1"/>
        <v>#N/A</v>
      </c>
      <c r="G20" s="180" t="e">
        <f ca="1"/>
        <v>#N/A</v>
      </c>
      <c r="H20" s="161" t="e">
        <f ca="1"/>
        <v>#N/A</v>
      </c>
      <c r="I20" s="179" t="e">
        <f ca="1"/>
        <v>#N/A</v>
      </c>
      <c r="J20" s="180" t="e">
        <f ca="1"/>
        <v>#N/A</v>
      </c>
      <c r="K20" s="192" t="e">
        <f ca="1"/>
        <v>#N/A</v>
      </c>
      <c r="L20" s="180" t="e">
        <f ca="1"/>
        <v>#N/A</v>
      </c>
      <c r="M20" s="182" t="e">
        <f ca="1"/>
        <v>#N/A</v>
      </c>
      <c r="N20" s="183" t="e">
        <f ca="1"/>
        <v>#N/A</v>
      </c>
    </row>
    <row r="21" spans="2:16" x14ac:dyDescent="0.25">
      <c r="B21" s="145" t="s">
        <v>241</v>
      </c>
      <c r="C21" s="136" t="s">
        <v>2</v>
      </c>
      <c r="E21" s="178" t="e">
        <f ca="1"/>
        <v>#N/A</v>
      </c>
      <c r="F21" s="179" t="e">
        <f ca="1"/>
        <v>#N/A</v>
      </c>
      <c r="G21" s="180" t="e">
        <f ca="1"/>
        <v>#N/A</v>
      </c>
      <c r="H21" s="161" t="e">
        <f ca="1"/>
        <v>#N/A</v>
      </c>
      <c r="I21" s="179" t="e">
        <f ca="1"/>
        <v>#N/A</v>
      </c>
      <c r="J21" s="180" t="e">
        <f ca="1"/>
        <v>#N/A</v>
      </c>
      <c r="K21" s="192" t="e">
        <f ca="1"/>
        <v>#N/A</v>
      </c>
      <c r="L21" s="180" t="e">
        <f ca="1"/>
        <v>#N/A</v>
      </c>
      <c r="M21" s="182" t="e">
        <f ca="1"/>
        <v>#N/A</v>
      </c>
      <c r="N21" s="183" t="e">
        <f ca="1"/>
        <v>#N/A</v>
      </c>
    </row>
    <row r="22" spans="2:16" x14ac:dyDescent="0.25">
      <c r="B22" s="145" t="s">
        <v>242</v>
      </c>
      <c r="C22" s="136" t="s">
        <v>22</v>
      </c>
      <c r="E22" s="178" t="e">
        <f ca="1"/>
        <v>#N/A</v>
      </c>
      <c r="F22" s="179" t="e">
        <f ca="1"/>
        <v>#N/A</v>
      </c>
      <c r="G22" s="180" t="e">
        <f ca="1"/>
        <v>#N/A</v>
      </c>
      <c r="H22" s="161" t="e">
        <f ca="1"/>
        <v>#N/A</v>
      </c>
      <c r="I22" s="179" t="e">
        <f ca="1"/>
        <v>#N/A</v>
      </c>
      <c r="J22" s="180" t="e">
        <f ca="1"/>
        <v>#N/A</v>
      </c>
      <c r="K22" s="192" t="e">
        <f ca="1"/>
        <v>#N/A</v>
      </c>
      <c r="L22" s="180" t="e">
        <f ca="1"/>
        <v>#N/A</v>
      </c>
      <c r="M22" s="182" t="e">
        <f ca="1"/>
        <v>#N/A</v>
      </c>
      <c r="N22" s="183" t="e">
        <f ca="1"/>
        <v>#N/A</v>
      </c>
    </row>
    <row r="23" spans="2:16" x14ac:dyDescent="0.25">
      <c r="B23" s="145" t="s">
        <v>243</v>
      </c>
      <c r="C23" s="136" t="s">
        <v>2</v>
      </c>
      <c r="E23" s="178" t="e">
        <f ca="1"/>
        <v>#N/A</v>
      </c>
      <c r="F23" s="179" t="e">
        <f ca="1"/>
        <v>#N/A</v>
      </c>
      <c r="G23" s="180" t="e">
        <f ca="1"/>
        <v>#N/A</v>
      </c>
      <c r="H23" s="161" t="e">
        <f ca="1"/>
        <v>#N/A</v>
      </c>
      <c r="I23" s="179" t="e">
        <f ca="1"/>
        <v>#N/A</v>
      </c>
      <c r="J23" s="180" t="e">
        <f ca="1"/>
        <v>#N/A</v>
      </c>
      <c r="K23" s="192" t="e">
        <f ca="1"/>
        <v>#N/A</v>
      </c>
      <c r="L23" s="180" t="e">
        <f ca="1"/>
        <v>#N/A</v>
      </c>
      <c r="M23" s="182" t="e">
        <f ca="1"/>
        <v>#N/A</v>
      </c>
      <c r="N23" s="183" t="e">
        <f ca="1"/>
        <v>#N/A</v>
      </c>
    </row>
    <row r="24" spans="2:16" x14ac:dyDescent="0.25">
      <c r="B24" s="145" t="s">
        <v>214</v>
      </c>
      <c r="C24" s="138"/>
      <c r="E24" s="178" t="e">
        <f ca="1"/>
        <v>#N/A</v>
      </c>
      <c r="F24" s="179" t="e">
        <f ca="1"/>
        <v>#N/A</v>
      </c>
      <c r="G24" s="180" t="e">
        <f ca="1"/>
        <v>#N/A</v>
      </c>
      <c r="H24" s="161" t="e">
        <f ca="1"/>
        <v>#N/A</v>
      </c>
      <c r="I24" s="179" t="e">
        <f ca="1"/>
        <v>#N/A</v>
      </c>
      <c r="J24" s="180" t="e">
        <f ca="1"/>
        <v>#N/A</v>
      </c>
      <c r="K24" s="192" t="e">
        <f ca="1"/>
        <v>#N/A</v>
      </c>
      <c r="L24" s="180" t="e">
        <f ca="1"/>
        <v>#N/A</v>
      </c>
      <c r="M24" s="182" t="e">
        <f ca="1"/>
        <v>#N/A</v>
      </c>
      <c r="N24" s="183" t="e">
        <f ca="1"/>
        <v>#N/A</v>
      </c>
    </row>
    <row r="25" spans="2:16" x14ac:dyDescent="0.25">
      <c r="B25" s="145" t="s">
        <v>215</v>
      </c>
      <c r="C25" s="138"/>
      <c r="E25" s="178" t="e">
        <f ca="1"/>
        <v>#N/A</v>
      </c>
      <c r="F25" s="179" t="e">
        <f ca="1"/>
        <v>#N/A</v>
      </c>
      <c r="G25" s="180" t="e">
        <f ca="1"/>
        <v>#N/A</v>
      </c>
      <c r="H25" s="161" t="e">
        <f ca="1"/>
        <v>#N/A</v>
      </c>
      <c r="I25" s="179" t="e">
        <f ca="1"/>
        <v>#N/A</v>
      </c>
      <c r="J25" s="180" t="e">
        <f ca="1"/>
        <v>#N/A</v>
      </c>
      <c r="K25" s="192" t="e">
        <f ca="1"/>
        <v>#N/A</v>
      </c>
      <c r="L25" s="180" t="e">
        <f ca="1"/>
        <v>#N/A</v>
      </c>
      <c r="M25" s="182" t="e">
        <f ca="1"/>
        <v>#N/A</v>
      </c>
      <c r="N25" s="183" t="e">
        <f ca="1"/>
        <v>#N/A</v>
      </c>
    </row>
    <row r="26" spans="2:16" x14ac:dyDescent="0.25">
      <c r="B26" s="145" t="s">
        <v>216</v>
      </c>
      <c r="C26" s="139">
        <f ca="1">IF(C$12="","",DAY(C$12))</f>
        <v>23</v>
      </c>
      <c r="E26" s="184" t="e">
        <f ca="1"/>
        <v>#N/A</v>
      </c>
      <c r="F26" s="185" t="e">
        <f ca="1"/>
        <v>#N/A</v>
      </c>
      <c r="G26" s="187" t="e">
        <f ca="1"/>
        <v>#N/A</v>
      </c>
      <c r="H26" s="162" t="e">
        <f ca="1"/>
        <v>#N/A</v>
      </c>
      <c r="I26" s="185" t="e">
        <f ca="1"/>
        <v>#N/A</v>
      </c>
      <c r="J26" s="187" t="e">
        <f ca="1"/>
        <v>#N/A</v>
      </c>
      <c r="K26" s="193" t="e">
        <f ca="1"/>
        <v>#N/A</v>
      </c>
      <c r="L26" s="187" t="e">
        <f ca="1"/>
        <v>#N/A</v>
      </c>
      <c r="M26" s="190" t="e">
        <f ca="1"/>
        <v>#N/A</v>
      </c>
      <c r="N26" s="191" t="e">
        <f ca="1"/>
        <v>#N/A</v>
      </c>
    </row>
    <row r="27" spans="2:16" x14ac:dyDescent="0.25">
      <c r="B27" s="145" t="s">
        <v>217</v>
      </c>
      <c r="C27" s="140" t="s">
        <v>195</v>
      </c>
    </row>
    <row r="28" spans="2:16" ht="15.75" thickBot="1" x14ac:dyDescent="0.3">
      <c r="B28" s="146" t="s">
        <v>218</v>
      </c>
      <c r="C28" s="142" t="s">
        <v>196</v>
      </c>
    </row>
    <row r="29" spans="2:16" ht="15.75" thickTop="1" x14ac:dyDescent="0.25">
      <c r="B29" s="145" t="s">
        <v>219</v>
      </c>
      <c r="C29" s="139" t="str">
        <f>IF(RIGHT($C$15,3)="1ML","Monthly",IF(RIGHT($C$15,3)="3ML","Quarterly",IF(RIGHT($C$15,3)="6ML","Semi-Annual","Annual")))</f>
        <v>Semi-Annual</v>
      </c>
      <c r="E29" s="151" t="s">
        <v>251</v>
      </c>
    </row>
    <row r="30" spans="2:16" x14ac:dyDescent="0.25">
      <c r="B30" s="148" t="s">
        <v>229</v>
      </c>
      <c r="C30" s="194">
        <v>0</v>
      </c>
      <c r="E30" s="156" t="str">
        <f t="array" aca="1" ref="E30:P45" ca="1">IF(AND(isEUR3MLLoaded,NOW()),_xll.meProductSwapLegDisplay(_xll.meUtilityLVBFromMultipleKeysValues($B$10:$B$45,$C$10:$C$45,,"LegType",$B$4),FALSE,TRUE),"#LOAD CURVES")</f>
        <v>FixingDate</v>
      </c>
      <c r="F30" s="157" t="str">
        <f ca="1"/>
        <v>AccrualStart</v>
      </c>
      <c r="G30" s="157" t="str">
        <f ca="1"/>
        <v>AccrualEnd</v>
      </c>
      <c r="H30" s="157" t="str">
        <f ca="1"/>
        <v>AccrualDays</v>
      </c>
      <c r="I30" s="158" t="str">
        <f ca="1"/>
        <v>AccrualYearFractions</v>
      </c>
      <c r="J30" s="157" t="str">
        <f ca="1"/>
        <v>PaymentDate</v>
      </c>
      <c r="K30" s="169" t="str">
        <f ca="1"/>
        <v>Notional</v>
      </c>
      <c r="L30" s="177" t="str">
        <f ca="1"/>
        <v>Leverage</v>
      </c>
      <c r="M30" s="168" t="str">
        <f ca="1"/>
        <v>FloatSpread</v>
      </c>
      <c r="N30" s="169" t="str">
        <f ca="1"/>
        <v>FloatRate</v>
      </c>
      <c r="O30" s="173" t="str">
        <f ca="1"/>
        <v>Coupon</v>
      </c>
      <c r="P30" s="176" t="str">
        <f ca="1"/>
        <v>DiscountFactor</v>
      </c>
    </row>
    <row r="31" spans="2:16" x14ac:dyDescent="0.25">
      <c r="B31" s="145" t="s">
        <v>220</v>
      </c>
      <c r="C31" s="137" t="s">
        <v>6</v>
      </c>
      <c r="E31" s="159">
        <f ca="1"/>
        <v>42423</v>
      </c>
      <c r="F31" s="160">
        <f ca="1"/>
        <v>42423</v>
      </c>
      <c r="G31" s="160">
        <f ca="1"/>
        <v>42605</v>
      </c>
      <c r="H31" s="131">
        <f ca="1"/>
        <v>182</v>
      </c>
      <c r="I31" s="161">
        <f ca="1"/>
        <v>0.50555555555555554</v>
      </c>
      <c r="J31" s="160">
        <f ca="1"/>
        <v>42605</v>
      </c>
      <c r="K31" s="170">
        <f ca="1"/>
        <v>1000000</v>
      </c>
      <c r="L31" s="132">
        <f ca="1"/>
        <v>1</v>
      </c>
      <c r="M31" s="133">
        <f ca="1"/>
        <v>0</v>
      </c>
      <c r="N31" s="170">
        <f ca="1"/>
        <v>-1.3100000000000835E-3</v>
      </c>
      <c r="O31" s="174">
        <f ca="1"/>
        <v>-662.27777777781989</v>
      </c>
      <c r="P31" s="175">
        <f ca="1"/>
        <v>1.0017779841108543</v>
      </c>
    </row>
    <row r="32" spans="2:16" x14ac:dyDescent="0.25">
      <c r="B32" s="145" t="s">
        <v>244</v>
      </c>
      <c r="C32" s="136" t="s">
        <v>22</v>
      </c>
      <c r="E32" s="159">
        <f ca="1"/>
        <v>42605</v>
      </c>
      <c r="F32" s="160">
        <f ca="1"/>
        <v>42605</v>
      </c>
      <c r="G32" s="160">
        <f ca="1"/>
        <v>42789</v>
      </c>
      <c r="H32" s="131">
        <f ca="1"/>
        <v>184</v>
      </c>
      <c r="I32" s="161">
        <f ca="1"/>
        <v>0.51111111111111107</v>
      </c>
      <c r="J32" s="160">
        <f ca="1"/>
        <v>42789</v>
      </c>
      <c r="K32" s="170">
        <f ca="1"/>
        <v>1000000</v>
      </c>
      <c r="L32" s="132">
        <f ca="1"/>
        <v>1</v>
      </c>
      <c r="M32" s="133">
        <f ca="1"/>
        <v>0</v>
      </c>
      <c r="N32" s="170">
        <f ca="1"/>
        <v>-1.4399999999999268E-3</v>
      </c>
      <c r="O32" s="174">
        <f ca="1"/>
        <v>-735.99999999996248</v>
      </c>
      <c r="P32" s="175">
        <f ca="1"/>
        <v>1.003792728970861</v>
      </c>
    </row>
    <row r="33" spans="2:16" x14ac:dyDescent="0.25">
      <c r="B33" s="145" t="s">
        <v>245</v>
      </c>
      <c r="C33" s="136" t="s">
        <v>2</v>
      </c>
      <c r="E33" s="159">
        <f ca="1"/>
        <v>42789</v>
      </c>
      <c r="F33" s="160">
        <f ca="1"/>
        <v>42789</v>
      </c>
      <c r="G33" s="160">
        <f ca="1"/>
        <v>42970</v>
      </c>
      <c r="H33" s="131">
        <f ca="1"/>
        <v>181</v>
      </c>
      <c r="I33" s="161">
        <f ca="1"/>
        <v>0.50277777777777777</v>
      </c>
      <c r="J33" s="160">
        <f ca="1"/>
        <v>42970</v>
      </c>
      <c r="K33" s="170">
        <f ca="1"/>
        <v>1000000</v>
      </c>
      <c r="L33" s="132">
        <f ca="1"/>
        <v>1</v>
      </c>
      <c r="M33" s="133">
        <f ca="1"/>
        <v>0</v>
      </c>
      <c r="N33" s="170">
        <f ca="1"/>
        <v>-1.4100000000001171E-3</v>
      </c>
      <c r="O33" s="174">
        <f ca="1"/>
        <v>-708.91666666672552</v>
      </c>
      <c r="P33" s="175">
        <f ca="1"/>
        <v>1.005811432963559</v>
      </c>
    </row>
    <row r="34" spans="2:16" x14ac:dyDescent="0.25">
      <c r="B34" s="145" t="s">
        <v>246</v>
      </c>
      <c r="C34" s="136" t="s">
        <v>22</v>
      </c>
      <c r="E34" s="159">
        <f ca="1"/>
        <v>42970</v>
      </c>
      <c r="F34" s="160">
        <f ca="1"/>
        <v>42970</v>
      </c>
      <c r="G34" s="160">
        <f ca="1"/>
        <v>43154</v>
      </c>
      <c r="H34" s="131">
        <f ca="1"/>
        <v>184</v>
      </c>
      <c r="I34" s="161">
        <f ca="1"/>
        <v>0.51111111111111107</v>
      </c>
      <c r="J34" s="160">
        <f ca="1"/>
        <v>43154</v>
      </c>
      <c r="K34" s="170">
        <f ca="1"/>
        <v>1000000</v>
      </c>
      <c r="L34" s="132">
        <f ca="1"/>
        <v>1</v>
      </c>
      <c r="M34" s="133">
        <f ca="1"/>
        <v>0</v>
      </c>
      <c r="N34" s="170">
        <f ca="1"/>
        <v>-1.0873236603462808E-3</v>
      </c>
      <c r="O34" s="174">
        <f ca="1"/>
        <v>-555.74320417698789</v>
      </c>
      <c r="P34" s="175">
        <f ca="1"/>
        <v>1.0077262645077036</v>
      </c>
    </row>
    <row r="35" spans="2:16" x14ac:dyDescent="0.25">
      <c r="B35" s="145" t="s">
        <v>247</v>
      </c>
      <c r="C35" s="136" t="s">
        <v>2</v>
      </c>
      <c r="E35" s="159">
        <f ca="1"/>
        <v>43154</v>
      </c>
      <c r="F35" s="160">
        <f ca="1"/>
        <v>43154</v>
      </c>
      <c r="G35" s="160">
        <f ca="1"/>
        <v>43335</v>
      </c>
      <c r="H35" s="131">
        <f ca="1"/>
        <v>181</v>
      </c>
      <c r="I35" s="161">
        <f ca="1"/>
        <v>0.50277777777777777</v>
      </c>
      <c r="J35" s="160">
        <f ca="1"/>
        <v>43335</v>
      </c>
      <c r="K35" s="170">
        <f ca="1"/>
        <v>1000000</v>
      </c>
      <c r="L35" s="132">
        <f ca="1"/>
        <v>1</v>
      </c>
      <c r="M35" s="133">
        <f ca="1"/>
        <v>0</v>
      </c>
      <c r="N35" s="170">
        <f ca="1"/>
        <v>-4.317703961538789E-4</v>
      </c>
      <c r="O35" s="174">
        <f ca="1"/>
        <v>-217.084560288478</v>
      </c>
      <c r="P35" s="175">
        <f ca="1"/>
        <v>1.0092884870790937</v>
      </c>
    </row>
    <row r="36" spans="2:16" x14ac:dyDescent="0.25">
      <c r="B36" s="145" t="s">
        <v>248</v>
      </c>
      <c r="C36" s="136" t="s">
        <v>22</v>
      </c>
      <c r="E36" s="159">
        <f ca="1"/>
        <v>43335</v>
      </c>
      <c r="F36" s="160">
        <f ca="1"/>
        <v>43335</v>
      </c>
      <c r="G36" s="160">
        <f ca="1"/>
        <v>43521</v>
      </c>
      <c r="H36" s="131">
        <f ca="1"/>
        <v>186</v>
      </c>
      <c r="I36" s="161">
        <f ca="1"/>
        <v>0.51666666666666672</v>
      </c>
      <c r="J36" s="160">
        <f ca="1"/>
        <v>43521</v>
      </c>
      <c r="K36" s="170">
        <f ca="1"/>
        <v>1000000</v>
      </c>
      <c r="L36" s="132">
        <f ca="1"/>
        <v>1</v>
      </c>
      <c r="M36" s="133">
        <f ca="1"/>
        <v>0</v>
      </c>
      <c r="N36" s="170">
        <f ca="1"/>
        <v>4.9873634542929438E-4</v>
      </c>
      <c r="O36" s="174">
        <f ca="1"/>
        <v>257.68044513846877</v>
      </c>
      <c r="P36" s="175">
        <f ca="1"/>
        <v>1.0104951635838813</v>
      </c>
    </row>
    <row r="37" spans="2:16" x14ac:dyDescent="0.25">
      <c r="B37" s="145" t="s">
        <v>249</v>
      </c>
      <c r="C37" s="136" t="s">
        <v>2</v>
      </c>
      <c r="E37" s="159">
        <f ca="1"/>
        <v>43521</v>
      </c>
      <c r="F37" s="160">
        <f ca="1"/>
        <v>43521</v>
      </c>
      <c r="G37" s="160">
        <f ca="1"/>
        <v>43700</v>
      </c>
      <c r="H37" s="131">
        <f ca="1"/>
        <v>179</v>
      </c>
      <c r="I37" s="161">
        <f ca="1"/>
        <v>0.49722222222222223</v>
      </c>
      <c r="J37" s="160">
        <f ca="1"/>
        <v>43700</v>
      </c>
      <c r="K37" s="170">
        <f ca="1"/>
        <v>1000000</v>
      </c>
      <c r="L37" s="132">
        <f ca="1"/>
        <v>1</v>
      </c>
      <c r="M37" s="133">
        <f ca="1"/>
        <v>0</v>
      </c>
      <c r="N37" s="170">
        <f ca="1"/>
        <v>1.6456521865179452E-3</v>
      </c>
      <c r="O37" s="174">
        <f ca="1"/>
        <v>818.25483718531166</v>
      </c>
      <c r="P37" s="175">
        <f ca="1"/>
        <v>1.0110954031652493</v>
      </c>
    </row>
    <row r="38" spans="2:16" x14ac:dyDescent="0.25">
      <c r="B38" s="145" t="s">
        <v>221</v>
      </c>
      <c r="C38" s="138"/>
      <c r="E38" s="159">
        <f ca="1"/>
        <v>43700</v>
      </c>
      <c r="F38" s="160">
        <f ca="1"/>
        <v>43700</v>
      </c>
      <c r="G38" s="160">
        <f ca="1"/>
        <v>43885</v>
      </c>
      <c r="H38" s="131">
        <f ca="1"/>
        <v>185</v>
      </c>
      <c r="I38" s="161">
        <f ca="1"/>
        <v>0.51388888888888884</v>
      </c>
      <c r="J38" s="160">
        <f ca="1"/>
        <v>43885</v>
      </c>
      <c r="K38" s="170">
        <f ca="1"/>
        <v>1000000</v>
      </c>
      <c r="L38" s="132">
        <f ca="1"/>
        <v>1</v>
      </c>
      <c r="M38" s="133">
        <f ca="1"/>
        <v>0</v>
      </c>
      <c r="N38" s="170">
        <f ca="1"/>
        <v>2.8558205870290497E-3</v>
      </c>
      <c r="O38" s="174">
        <f ca="1"/>
        <v>1467.5744683343728</v>
      </c>
      <c r="P38" s="175">
        <f ca="1"/>
        <v>1.0110770831656557</v>
      </c>
    </row>
    <row r="39" spans="2:16" x14ac:dyDescent="0.25">
      <c r="B39" s="145" t="s">
        <v>222</v>
      </c>
      <c r="C39" s="138"/>
      <c r="E39" s="178">
        <f ca="1"/>
        <v>43885</v>
      </c>
      <c r="F39" s="179">
        <f ca="1"/>
        <v>43885</v>
      </c>
      <c r="G39" s="179">
        <f ca="1"/>
        <v>44067</v>
      </c>
      <c r="H39" s="119">
        <f ca="1"/>
        <v>182</v>
      </c>
      <c r="I39" s="161">
        <f ca="1"/>
        <v>0.50555555555555554</v>
      </c>
      <c r="J39" s="179">
        <f ca="1"/>
        <v>44067</v>
      </c>
      <c r="K39" s="180">
        <f ca="1"/>
        <v>1000000</v>
      </c>
      <c r="L39" s="120">
        <f ca="1"/>
        <v>1</v>
      </c>
      <c r="M39" s="181">
        <f ca="1"/>
        <v>0</v>
      </c>
      <c r="N39" s="180">
        <f ca="1"/>
        <v>4.2542057677700329E-3</v>
      </c>
      <c r="O39" s="182">
        <f ca="1"/>
        <v>2150.7373603726278</v>
      </c>
      <c r="P39" s="183">
        <f ca="1"/>
        <v>1.0103820392162333</v>
      </c>
    </row>
    <row r="40" spans="2:16" x14ac:dyDescent="0.25">
      <c r="B40" s="145" t="s">
        <v>223</v>
      </c>
      <c r="C40" s="139">
        <f ca="1">IF(C$12="","",DAY(C$12))</f>
        <v>23</v>
      </c>
      <c r="E40" s="178">
        <f ca="1"/>
        <v>44067</v>
      </c>
      <c r="F40" s="179">
        <f ca="1"/>
        <v>44067</v>
      </c>
      <c r="G40" s="179">
        <f ca="1"/>
        <v>44250</v>
      </c>
      <c r="H40" s="119">
        <f ca="1"/>
        <v>183</v>
      </c>
      <c r="I40" s="161">
        <f ca="1"/>
        <v>0.5083333333333333</v>
      </c>
      <c r="J40" s="179">
        <f ca="1"/>
        <v>44250</v>
      </c>
      <c r="K40" s="180">
        <f ca="1"/>
        <v>1000000</v>
      </c>
      <c r="L40" s="120">
        <f ca="1"/>
        <v>1</v>
      </c>
      <c r="M40" s="181">
        <f ca="1"/>
        <v>0</v>
      </c>
      <c r="N40" s="180">
        <f ca="1"/>
        <v>5.535014984825188E-3</v>
      </c>
      <c r="O40" s="182">
        <f ca="1"/>
        <v>2813.6326172861368</v>
      </c>
      <c r="P40" s="183">
        <f ca="1"/>
        <v>1.0089985069172667</v>
      </c>
    </row>
    <row r="41" spans="2:16" x14ac:dyDescent="0.25">
      <c r="B41" s="145" t="s">
        <v>224</v>
      </c>
      <c r="C41" s="140" t="s">
        <v>195</v>
      </c>
      <c r="E41" s="178" t="e">
        <f ca="1"/>
        <v>#N/A</v>
      </c>
      <c r="F41" s="179" t="e">
        <f ca="1"/>
        <v>#N/A</v>
      </c>
      <c r="G41" s="179" t="e">
        <f ca="1"/>
        <v>#N/A</v>
      </c>
      <c r="H41" s="119" t="e">
        <f ca="1"/>
        <v>#N/A</v>
      </c>
      <c r="I41" s="161" t="e">
        <f ca="1"/>
        <v>#N/A</v>
      </c>
      <c r="J41" s="179" t="e">
        <f ca="1"/>
        <v>#N/A</v>
      </c>
      <c r="K41" s="180" t="e">
        <f ca="1"/>
        <v>#N/A</v>
      </c>
      <c r="L41" s="120" t="e">
        <f ca="1"/>
        <v>#N/A</v>
      </c>
      <c r="M41" s="181" t="e">
        <f ca="1"/>
        <v>#N/A</v>
      </c>
      <c r="N41" s="180" t="e">
        <f ca="1"/>
        <v>#N/A</v>
      </c>
      <c r="O41" s="182" t="e">
        <f ca="1"/>
        <v>#N/A</v>
      </c>
      <c r="P41" s="183" t="e">
        <f ca="1"/>
        <v>#N/A</v>
      </c>
    </row>
    <row r="42" spans="2:16" x14ac:dyDescent="0.25">
      <c r="B42" s="145" t="s">
        <v>211</v>
      </c>
      <c r="C42" s="135" t="s">
        <v>37</v>
      </c>
      <c r="E42" s="178" t="e">
        <f ca="1"/>
        <v>#N/A</v>
      </c>
      <c r="F42" s="179" t="e">
        <f ca="1"/>
        <v>#N/A</v>
      </c>
      <c r="G42" s="179" t="e">
        <f ca="1"/>
        <v>#N/A</v>
      </c>
      <c r="H42" s="119" t="e">
        <f ca="1"/>
        <v>#N/A</v>
      </c>
      <c r="I42" s="161" t="e">
        <f ca="1"/>
        <v>#N/A</v>
      </c>
      <c r="J42" s="179" t="e">
        <f ca="1"/>
        <v>#N/A</v>
      </c>
      <c r="K42" s="180" t="e">
        <f ca="1"/>
        <v>#N/A</v>
      </c>
      <c r="L42" s="120" t="e">
        <f ca="1"/>
        <v>#N/A</v>
      </c>
      <c r="M42" s="181" t="e">
        <f ca="1"/>
        <v>#N/A</v>
      </c>
      <c r="N42" s="180" t="e">
        <f ca="1"/>
        <v>#N/A</v>
      </c>
      <c r="O42" s="182" t="e">
        <f ca="1"/>
        <v>#N/A</v>
      </c>
      <c r="P42" s="183" t="e">
        <f ca="1"/>
        <v>#N/A</v>
      </c>
    </row>
    <row r="43" spans="2:16" x14ac:dyDescent="0.25">
      <c r="B43" s="145" t="s">
        <v>225</v>
      </c>
      <c r="C43" s="141"/>
      <c r="E43" s="178" t="e">
        <f ca="1"/>
        <v>#N/A</v>
      </c>
      <c r="F43" s="179" t="e">
        <f ca="1"/>
        <v>#N/A</v>
      </c>
      <c r="G43" s="179" t="e">
        <f ca="1"/>
        <v>#N/A</v>
      </c>
      <c r="H43" s="119" t="e">
        <f ca="1"/>
        <v>#N/A</v>
      </c>
      <c r="I43" s="161" t="e">
        <f ca="1"/>
        <v>#N/A</v>
      </c>
      <c r="J43" s="179" t="e">
        <f ca="1"/>
        <v>#N/A</v>
      </c>
      <c r="K43" s="180" t="e">
        <f ca="1"/>
        <v>#N/A</v>
      </c>
      <c r="L43" s="120" t="e">
        <f ca="1"/>
        <v>#N/A</v>
      </c>
      <c r="M43" s="181" t="e">
        <f ca="1"/>
        <v>#N/A</v>
      </c>
      <c r="N43" s="180" t="e">
        <f ca="1"/>
        <v>#N/A</v>
      </c>
      <c r="O43" s="182" t="e">
        <f ca="1"/>
        <v>#N/A</v>
      </c>
      <c r="P43" s="183" t="e">
        <f ca="1"/>
        <v>#N/A</v>
      </c>
    </row>
    <row r="44" spans="2:16" x14ac:dyDescent="0.25">
      <c r="B44" s="145" t="s">
        <v>226</v>
      </c>
      <c r="C44" s="140" t="s">
        <v>195</v>
      </c>
      <c r="E44" s="178" t="e">
        <f ca="1"/>
        <v>#N/A</v>
      </c>
      <c r="F44" s="179" t="e">
        <f ca="1"/>
        <v>#N/A</v>
      </c>
      <c r="G44" s="179" t="e">
        <f ca="1"/>
        <v>#N/A</v>
      </c>
      <c r="H44" s="119" t="e">
        <f ca="1"/>
        <v>#N/A</v>
      </c>
      <c r="I44" s="161" t="e">
        <f ca="1"/>
        <v>#N/A</v>
      </c>
      <c r="J44" s="179" t="e">
        <f ca="1"/>
        <v>#N/A</v>
      </c>
      <c r="K44" s="180" t="e">
        <f ca="1"/>
        <v>#N/A</v>
      </c>
      <c r="L44" s="120" t="e">
        <f ca="1"/>
        <v>#N/A</v>
      </c>
      <c r="M44" s="181" t="e">
        <f ca="1"/>
        <v>#N/A</v>
      </c>
      <c r="N44" s="180" t="e">
        <f ca="1"/>
        <v>#N/A</v>
      </c>
      <c r="O44" s="182" t="e">
        <f ca="1"/>
        <v>#N/A</v>
      </c>
      <c r="P44" s="183" t="e">
        <f ca="1"/>
        <v>#N/A</v>
      </c>
    </row>
    <row r="45" spans="2:16" x14ac:dyDescent="0.25">
      <c r="B45" s="147" t="s">
        <v>227</v>
      </c>
      <c r="C45" s="149" t="s">
        <v>196</v>
      </c>
      <c r="E45" s="184" t="e">
        <f ca="1"/>
        <v>#N/A</v>
      </c>
      <c r="F45" s="185" t="e">
        <f ca="1"/>
        <v>#N/A</v>
      </c>
      <c r="G45" s="185" t="e">
        <f ca="1"/>
        <v>#N/A</v>
      </c>
      <c r="H45" s="186" t="e">
        <f ca="1"/>
        <v>#N/A</v>
      </c>
      <c r="I45" s="162" t="e">
        <f ca="1"/>
        <v>#N/A</v>
      </c>
      <c r="J45" s="185" t="e">
        <f ca="1"/>
        <v>#N/A</v>
      </c>
      <c r="K45" s="187" t="e">
        <f ca="1"/>
        <v>#N/A</v>
      </c>
      <c r="L45" s="188" t="e">
        <f ca="1"/>
        <v>#N/A</v>
      </c>
      <c r="M45" s="189" t="e">
        <f ca="1"/>
        <v>#N/A</v>
      </c>
      <c r="N45" s="187" t="e">
        <f ca="1"/>
        <v>#N/A</v>
      </c>
      <c r="O45" s="190" t="e">
        <f ca="1"/>
        <v>#N/A</v>
      </c>
      <c r="P45" s="191" t="e">
        <f ca="1"/>
        <v>#N/A</v>
      </c>
    </row>
    <row r="56" spans="2:3" x14ac:dyDescent="0.25">
      <c r="B56" s="150"/>
      <c r="C56" s="150"/>
    </row>
    <row r="57" spans="2:3" x14ac:dyDescent="0.25">
      <c r="B57" s="150"/>
      <c r="C57" s="150"/>
    </row>
    <row r="58" spans="2:3" x14ac:dyDescent="0.25">
      <c r="B58" s="150"/>
      <c r="C58" s="150"/>
    </row>
    <row r="59" spans="2:3" x14ac:dyDescent="0.25">
      <c r="B59" s="150"/>
      <c r="C59" s="150"/>
    </row>
    <row r="60" spans="2:3" x14ac:dyDescent="0.25">
      <c r="B60" s="150"/>
      <c r="C60" s="150"/>
    </row>
  </sheetData>
  <dataValidations count="6">
    <dataValidation type="list" allowBlank="1" showInputMessage="1" showErrorMessage="1" sqref="C32 C20 C22 C34 C36">
      <formula1>"MOD_FOLLOWING,FOLLOWING,MOD_PRECEDING,PRECEDING,NO_CHANGE"</formula1>
    </dataValidation>
    <dataValidation type="list" allowBlank="1" showInputMessage="1" showErrorMessage="1" sqref="C17 C29">
      <formula1>"Annual,Semi-Annual,Quarterly,Monthly"</formula1>
    </dataValidation>
    <dataValidation type="list" allowBlank="1" showInputMessage="1" showErrorMessage="1" sqref="C19 C31">
      <formula1>"30/360,ACT/360,ACT/365"</formula1>
    </dataValidation>
    <dataValidation type="list" allowBlank="1" showInputMessage="1" showErrorMessage="1" sqref="C45 C28">
      <formula1>"None,ShortStart,ShortEnd,LongStart,LongEnd"</formula1>
    </dataValidation>
    <dataValidation type="list" allowBlank="1" showInputMessage="1" showErrorMessage="1" sqref="C23 C21 C33 C35 C37">
      <formula1>"TGT,NYB:LNB,LNB,TKB:LNB"</formula1>
    </dataValidation>
    <dataValidation type="list" allowBlank="1" showInputMessage="1" showErrorMessage="1" sqref="C11">
      <formula1>"PAYER,RECEIVER"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36</vt:i4>
      </vt:variant>
    </vt:vector>
  </HeadingPairs>
  <TitlesOfParts>
    <vt:vector size="40" baseType="lpstr">
      <vt:lpstr>EUR OIS</vt:lpstr>
      <vt:lpstr>EUR SWAP 6ML</vt:lpstr>
      <vt:lpstr>EUR BASIS 3ML</vt:lpstr>
      <vt:lpstr>Swap Pricing</vt:lpstr>
      <vt:lpstr>COB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isEUR3MLLoaded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SwapDescription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2016-10-10T14:18:51Z</dcterms:modified>
</cp:coreProperties>
</file>