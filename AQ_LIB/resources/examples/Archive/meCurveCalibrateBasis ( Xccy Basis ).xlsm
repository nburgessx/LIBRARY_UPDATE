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activeTab="5"/>
  </bookViews>
  <sheets>
    <sheet name="USD OIS" sheetId="9" r:id="rId1"/>
    <sheet name="USD SWAP 3ML" sheetId="10" r:id="rId2"/>
    <sheet name="EUR OIS" sheetId="2" r:id="rId3"/>
    <sheet name="EUR SWAP 6ML" sheetId="3" r:id="rId4"/>
    <sheet name="EUR BASIS 3ML" sheetId="4" r:id="rId5"/>
    <sheet name="XCCY BASIS" sheetId="8" r:id="rId6"/>
  </sheets>
  <definedNames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0">'USD OIS'!$C$20:$D$24</definedName>
    <definedName name="CurveBuildProperties" localSheetId="1">'USD SWAP 3ML'!$C$22:$D$29</definedName>
    <definedName name="CurveBuildProperties" localSheetId="5">'XCCY BASIS'!$C$21:$D$26</definedName>
    <definedName name="CurveCollection" localSheetId="0">'USD OIS'!$D$11</definedName>
    <definedName name="CurveCollection" localSheetId="1">'USD SWAP 3ML'!$D$13</definedName>
    <definedName name="CurveCollection" localSheetId="5">'XCCY BASIS'!$D$12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1">'USD SWAP 3ML'!$C$51:$D$64</definedName>
    <definedName name="FRAMarketData3M" localSheetId="1">'USD SWAP 3ML'!$F$52:$G$64</definedName>
    <definedName name="FRAMarketData6M" localSheetId="1">'USD SWAP 3ML'!$I$52:$J$64</definedName>
    <definedName name="Futures.Conventions">'EUR SWAP 6ML'!$C$72:$D$85</definedName>
    <definedName name="Futures.MarketData">'EUR SWAP 6ML'!$F$73:$J$85</definedName>
    <definedName name="FuturesConventions" localSheetId="1">'USD SWAP 3ML'!$C$72:$D$85</definedName>
    <definedName name="FuturesMarketData" localSheetId="1">'USD SWAP 3ML'!$F$73:$J$85</definedName>
    <definedName name="IndexName" localSheetId="0">'USD OIS'!$D$13</definedName>
    <definedName name="IndexName" localSheetId="1">'USD SWAP 3ML'!$D$15</definedName>
    <definedName name="IndexName" localSheetId="5">'XCCY BASIS'!$D$14</definedName>
    <definedName name="isLoadedEUR3ML">'EUR BASIS 3ML'!$D$8</definedName>
    <definedName name="isLoadedEUR6ML">'EUR SWAP 6ML'!$D$9</definedName>
    <definedName name="isLoadedEURDF_USDCSA">'XCCY BASIS'!$D$8</definedName>
    <definedName name="isLoadedEUROIS">'EUR OIS'!$D$8</definedName>
    <definedName name="isLoadedUSD3ML">'USD SWAP 3ML'!$D$9</definedName>
    <definedName name="isLoadedUSDOIS">'USD OIS'!$D$8</definedName>
    <definedName name="Libor.Conventions">'EUR SWAP 6ML'!$F$38:$G$43</definedName>
    <definedName name="Libor.MarketData">'EUR SWAP 6ML'!$I$39:$J$43</definedName>
    <definedName name="LiborConventions" localSheetId="1">'USD SWAP 3ML'!$F$38:$G$43</definedName>
    <definedName name="LiborMarketData" localSheetId="1">'USD SWAP 3ML'!$I$39:$J$43</definedName>
    <definedName name="LiborOISBasis.Conventions">'EUR OIS'!$C$64:$D$89</definedName>
    <definedName name="LiborOISBasis.MarketData">'EUR OIS'!$F$65:$G$89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MoneyMarket.Conventions">'EUR SWAP 6ML'!$C$38:$D$43</definedName>
    <definedName name="MoneyMarketConventions" localSheetId="1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0">'USD OIS'!$C$31:$D$57</definedName>
    <definedName name="OISFixingTable" localSheetId="0">'USD OIS'!$L$32:$M$57</definedName>
    <definedName name="OISMarketData" localSheetId="0">'USD OIS'!$F$32:$J$57</definedName>
    <definedName name="StaticDataTable" localSheetId="0">'USD OIS'!$D$12</definedName>
    <definedName name="StaticDataTable" localSheetId="1">'USD SWAP 3ML'!$D$14</definedName>
    <definedName name="StaticDataTable" localSheetId="5">'XCCY BASIS'!$D$13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1">'USD SWAP 3ML'!$C$93:$D$111</definedName>
    <definedName name="SwapMarketData" localSheetId="1">'USD SWAP 3ML'!$F$94:$H$111</definedName>
    <definedName name="TenorBasisCurve3M6M.BuildProperties">'EUR BASIS 3ML'!$C$21:$D$31</definedName>
    <definedName name="TenorBasisCurve3M6M.CollectionName">'EUR BASIS 3ML'!$D$12</definedName>
    <definedName name="TenorBasisCurve3M6M.IndexName">'EUR BASIS 3ML'!$D$14</definedName>
    <definedName name="TenorBasisCurve3M6M.StaticDataTable">'EUR BASIS 3ML'!$D$13</definedName>
    <definedName name="TenorBasisSwap3M6M.Conventions">'EUR BASIS 3ML'!$C$38:$D$80</definedName>
    <definedName name="TenorBasisSwap3M6M.MarketData">'EUR BASIS 3ML'!$F$39:$G$80</definedName>
    <definedName name="XccyBasisMarketData" localSheetId="5">'XCCY BASIS'!$F$34:$G$75</definedName>
    <definedName name="XccyBasisSwapConventions" localSheetId="5">'XCCY BASIS'!$C$33:$D$75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12" i="8" l="1"/>
  <c r="D7" i="2"/>
  <c r="D7" i="9"/>
  <c r="D8" i="2" l="1"/>
  <c r="D8" i="9"/>
  <c r="D12" i="4"/>
  <c r="D8" i="3"/>
  <c r="D8" i="10"/>
  <c r="D9" i="3" l="1"/>
  <c r="D9" i="10"/>
  <c r="D7" i="4"/>
  <c r="D8" i="4" l="1"/>
  <c r="D7" i="8"/>
  <c r="D8" i="8" l="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0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1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<sst xmlns="http://schemas.openxmlformats.org/spreadsheetml/2006/main" count="888" uniqueCount="286">
  <si>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</si>
  <si>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</si>
  <si>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</si>
  <si>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</si>
  <si>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</si>
  <si>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</si>
  <si>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</si>
  <si>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</si>
  <si>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</si>
  <si>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</si>
  <si>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</si>
  <si>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</si>
  <si>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</si>
  <si>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</si>
  <si>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</si>
  <si>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</si>
  <si>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</si>
  <si>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</si>
  <si>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</si>
  <si>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</si>
  <si>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</si>
  <si>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</si>
  <si>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</si>
  <si>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</si>
  <si>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</si>
  <si>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</si>
  <si>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</si>
  <si>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</si>
  <si>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</si>
  <si>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</si>
  <si>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</si>
  <si>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</si>
  <si>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</si>
  <si>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</si>
  <si>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</si>
  <si>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</si>
  <si>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</si>
  <si>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</si>
  <si>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</si>
  <si>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</si>
  <si>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</si>
  <si>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</si>
  <si>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</si>
  <si>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</si>
  <si>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</si>
  <si>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</si>
  <si>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</si>
  <si>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</si>
  <si>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</si>
  <si>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</si>
  <si>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</si>
  <si>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</si>
  <si>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</si>
  <si>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</si>
  <si>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</si>
  <si>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</si>
  <si>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</si>
  <si>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</si>
  <si>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</si>
  <si>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</si>
  <si>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</si>
  <si>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</si>
  <si>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</si>
  <si>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</si>
  <si>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</si>
  <si>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</si>
  <si>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</si>
  <si>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</si>
  <si>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</si>
  <si>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</si>
  <si>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</si>
  <si>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</si>
  <si>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</si>
  <si>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</si>
  <si>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</si>
  <si>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</si>
  <si>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</si>
  <si>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</si>
  <si>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</si>
  <si>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</si>
  <si>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</si>
  <si>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</si>
  <si>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</si>
  <si>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</si>
  <si>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</si>
  <si>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</si>
  <si>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</si>
  <si>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</si>
  <si>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</si>
  <si>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</si>
  <si>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</si>
  <si>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</si>
  <si>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</si>
  <si>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</si>
  <si>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</si>
  <si>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</si>
  <si>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</si>
  <si>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</si>
  <si>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</si>
  <si>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</si>
  <si>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</si>
  <si>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</si>
  <si>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</si>
  <si>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</si>
  <si>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</si>
  <si>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</si>
  <si>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</si>
  <si>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</si>
  <si>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</si>
  <si>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</si>
  <si>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</si>
  <si>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</si>
  <si>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</si>
  <si>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</si>
  <si>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</si>
  <si>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</si>
  <si>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</si>
  <si>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</si>
  <si>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</si>
  <si>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</si>
  <si>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</si>
  <si>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</si>
  <si>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</si>
  <si>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</si>
  <si>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</si>
  <si>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</si>
  <si>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</si>
  <si>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</si>
  <si>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</si>
  <si>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</si>
  <si>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</si>
  <si>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</si>
  <si>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</si>
  <si>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</si>
  <si>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</si>
  <si>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</si>
  <si>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</si>
  <si>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</si>
  <si>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</si>
  <si>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</si>
  <si>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</si>
  <si>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mirSetUpBasisSwapCurve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</si>
  <si>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</si>
  <si>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</si>
  <si>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</si>
  <si>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</si>
  <si>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</si>
  <si>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</si>
  <si>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</si>
  <si>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</si>
  <si>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</si>
  <si>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</si>
  <si>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</si>
  <si>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</si>
  <si>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</si>
  <si>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</si>
  <si>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</si>
  <si>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</si>
  <si>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</si>
  <si>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</si>
  <si>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</si>
  <si>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</si>
  <si>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</si>
  <si>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</si>
  <si>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</si>
  <si>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</si>
  <si>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</si>
  <si>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</si>
  <si>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</si>
  <si>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</si>
  <si>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</si>
  <si>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</si>
  <si>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</si>
  <si>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</si>
  <si>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</si>
  <si>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</si>
  <si>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</si>
  <si>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</si>
  <si>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</si>
  <si>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</si>
  <si>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</si>
  <si>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</si>
  <si>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</si>
  <si>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</si>
  <si>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</si>
  <si>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</si>
  <si>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</si>
  <si>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</si>
  <si>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</si>
  <si>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</si>
  <si>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</si>
  <si>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</si>
  <si>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</si>
  <si>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</si>
  <si>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</si>
  <si>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</si>
  <si>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</si>
  <si>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</si>
  <si>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</si>
  <si>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</si>
  <si>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</si>
  <si>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</si>
  <si>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</si>
  <si>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</si>
  <si>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</si>
  <si>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</si>
  <si>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</si>
  <si>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</si>
  <si>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</si>
  <si>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</si>
  <si>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</si>
  <si>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</si>
  <si>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</si>
  <si>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</si>
  <si>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</si>
  <si>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</si>
  <si>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</si>
  <si>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</si>
  <si>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</si>
  <si>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</si>
  <si>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</si>
  <si>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</si>
  <si>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</si>
  <si>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</si>
  <si>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</si>
  <si>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</si>
  <si>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</si>
  <si>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</si>
  <si>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</si>
  <si>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</si>
  <si>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</si>
  <si>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</si>
  <si>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</si>
  <si>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</si>
  <si>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</si>
  <si>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</si>
  <si>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</si>
  <si>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</si>
  <si>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</si>
  <si>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</si>
  <si>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</si>
  <si>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</si>
  <si>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</si>
  <si>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</si>
  <si>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</si>
  <si>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</si>
  <si>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</si>
  <si>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</si>
  <si>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</si>
  <si>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</si>
  <si>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</si>
  <si>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</si>
  <si>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</si>
  <si>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</si>
  <si>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ED1  COMB Comdty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</si>
  <si>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</si>
  <si>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</si>
  <si>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</si>
  <si>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</si>
  <si>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</si>
  <si>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</si>
  <si>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</si>
  <si>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</si>
  <si>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</si>
  <si>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</si>
  <si>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</si>
  <si>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</si>
  <si>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</si>
  <si>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</si>
  <si>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</si>
  <si>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meCurveCalibrateOIS</t>
  </si>
  <si>
    <r>
      <t>meCurveCalibrateOIS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</si>
  <si>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meCurveCalibrateSwap</t>
  </si>
  <si>
    <t>meCurveCalibrateBasis</t>
  </si>
  <si>
    <t>meCurveCalibrateOIS(CurveCollection,StaticDataTable,IndexName,CurveBuildProperties,OISConventions,OISMarketData,OISFixingTable,OISBasis.Conventions,OISBasis.Spreads,LiborSwap.Conventions,LiborSwap.MarketData)</t>
  </si>
  <si>
    <t>meCurveCalibrateSwap(CurveCollection,StaticDataTable,IndexName,CurveBuildProperties,MoneyMarketConventions,LiborConventions,LiborMarketData,SwapConventions,SwapMarketData,FRAConventions,FRAMarketData3M,FRAMarketData6M,FuturesConventions,FuturesMarketData)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</si>
  <si>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</si>
  <si>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</si>
  <si>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meCurveCalibrateBasis(CurveCollection,StaticDataTable,IndexName,CurveBuildProperties,XccyBasisSwapConventions,XccyBasisMarketData)</t>
  </si>
  <si>
    <t>EomDay</t>
  </si>
  <si>
    <t>isRenotionalAdjust</t>
  </si>
  <si>
    <t>isCurveLoaded</t>
  </si>
  <si>
    <t>`</t>
  </si>
  <si>
    <t>Libor Fixing Table</t>
  </si>
  <si>
    <t>Money Market O/N and T/N Conventions</t>
  </si>
  <si>
    <t>basis.interpolation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</si>
</sst>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5" formatCode="0.00000%"/>
    <numFmt numFmtId="166" formatCode="#,##0.0000"/>
  </numFmts>
  <fonts count="22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1"/>
      <name val="Calibri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</borders>
  <cellStyleXfs count="6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1" fillId="0" borderId="0">
      <alignment vertical="center"/>
    </xf>
    <xf numFmtId="40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</cellStyleXfs>
  <cellXfs count="125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9" fillId="0" borderId="4" xfId="0" applyFont="1" applyFill="1" applyBorder="1"/>
    <xf numFmtId="0" fontId="0" fillId="0" borderId="4" xfId="0" applyBorder="1"/>
    <xf numFmtId="3" fontId="9" fillId="0" borderId="4" xfId="0" applyNumberFormat="1" applyFont="1" applyFill="1" applyBorder="1" applyAlignment="1">
      <alignment horizontal="center" vertical="center"/>
    </xf>
  </cellXfs>
  <cellStyles count="6">
    <cellStyle name="Comma [0]" xfId="2" builtinId="6"/>
    <cellStyle name="Comma 2" xfId="4"/>
    <cellStyle name="Normal" xfId="0" builtinId="0"/>
    <cellStyle name="Normal 2" xfId="3"/>
    <cellStyle name="Percent 2" xfId="5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274</v>
      </c>
    </row>
    <row r="3" spans="2:14">
      <c r="B3" s="65"/>
    </row>
    <row r="4" spans="2:14">
      <c r="B4" s="65"/>
    </row>
    <row r="5" spans="2:14">
      <c r="B5" s="65" t="s">
        <v>270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270</v>
      </c>
      <c r="D7" s="61" t="str">
        <f ca="1">IF(NOW(),_xll.meCurveCalibrateOIS(CurveCollection,StaticDataTable,IndexName,CurveBuildProperties,OISConventions,OISMarketData,OISFixingTable,OISBasis.Conventions,OISBasis.Spreads,LiborSwap.Conventions,LiborSwap.MarketData),"")</f>
        <v>USDYC OIS Curve has been set (0.07800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0" t="s">
        <v>281</v>
      </c>
      <c r="D8" s="78" t="b">
        <f ca="1">LEFT(D7,5)=CurveCollection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89</v>
      </c>
      <c r="D11" s="107" t="s">
        <v>236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88</v>
      </c>
      <c r="D12" s="108" t="s">
        <v>9</v>
      </c>
      <c r="E12" s="7" t="s">
        <v>81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90</v>
      </c>
      <c r="D13" s="110" t="s">
        <v>241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240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237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3.5999999999999999E-3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242</v>
      </c>
      <c r="G33" s="116">
        <v>99.644999999999996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33</v>
      </c>
      <c r="D34" s="35" t="s">
        <v>34</v>
      </c>
      <c r="E34" s="9"/>
      <c r="F34" s="24" t="s">
        <v>243</v>
      </c>
      <c r="G34" s="116">
        <v>99.575000000000003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15</v>
      </c>
      <c r="D35" s="35" t="s">
        <v>30</v>
      </c>
      <c r="E35" s="9"/>
      <c r="F35" s="24" t="s">
        <v>244</v>
      </c>
      <c r="G35" s="116">
        <v>99.51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35</v>
      </c>
      <c r="D36" s="35" t="s">
        <v>36</v>
      </c>
      <c r="E36" s="9"/>
      <c r="F36" s="24" t="s">
        <v>245</v>
      </c>
      <c r="G36" s="116">
        <v>99.475000000000009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23</v>
      </c>
      <c r="D37" s="36" t="s">
        <v>22</v>
      </c>
      <c r="E37" s="9"/>
      <c r="F37" s="24" t="s">
        <v>246</v>
      </c>
      <c r="G37" s="116">
        <v>99.424999999999997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38</v>
      </c>
      <c r="D38" s="35" t="s">
        <v>39</v>
      </c>
      <c r="E38" s="9"/>
      <c r="F38" s="24" t="s">
        <v>247</v>
      </c>
      <c r="G38" s="116">
        <v>99.375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239</v>
      </c>
      <c r="D39" s="35" t="b">
        <v>1</v>
      </c>
      <c r="E39" s="9"/>
      <c r="F39" s="24" t="s">
        <v>248</v>
      </c>
      <c r="G39" s="116">
        <v>99.335000000000008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238</v>
      </c>
      <c r="D40" s="35">
        <v>31</v>
      </c>
      <c r="E40" s="9"/>
      <c r="F40" s="24" t="s">
        <v>249</v>
      </c>
      <c r="G40" s="116">
        <v>99.3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38</v>
      </c>
      <c r="D41" s="108" t="s">
        <v>39</v>
      </c>
      <c r="E41" s="9"/>
      <c r="F41" s="24" t="s">
        <v>250</v>
      </c>
      <c r="G41" s="116">
        <v>99.245000000000005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>
      <c r="B42" s="5"/>
      <c r="C42" s="123" t="s">
        <v>40</v>
      </c>
      <c r="D42" s="108" t="s">
        <v>41</v>
      </c>
      <c r="E42" s="9"/>
      <c r="F42" s="24" t="s">
        <v>57</v>
      </c>
      <c r="G42" s="19">
        <v>6.0699999999999999E-3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123" t="s">
        <v>42</v>
      </c>
      <c r="D43" s="108" t="s">
        <v>43</v>
      </c>
      <c r="E43" s="9"/>
      <c r="F43" s="24" t="s">
        <v>59</v>
      </c>
      <c r="G43" s="19">
        <v>7.4900000000000001E-3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9" t="s">
        <v>44</v>
      </c>
      <c r="D44" s="108" t="s">
        <v>45</v>
      </c>
      <c r="E44" s="9"/>
      <c r="F44" s="24" t="s">
        <v>47</v>
      </c>
      <c r="G44" s="19">
        <v>8.8299999999999993E-3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136</v>
      </c>
      <c r="D45" s="115">
        <v>1E-10</v>
      </c>
      <c r="E45" s="9"/>
      <c r="F45" s="24" t="s">
        <v>43</v>
      </c>
      <c r="G45" s="19">
        <v>1.094E-2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28" t="s">
        <v>137</v>
      </c>
      <c r="D46" s="106">
        <v>1000</v>
      </c>
      <c r="E46" s="9"/>
      <c r="F46" s="24" t="s">
        <v>50</v>
      </c>
      <c r="G46" s="19">
        <v>1.26E-2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52</v>
      </c>
      <c r="G47" s="19">
        <v>1.3950000000000001E-2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54</v>
      </c>
      <c r="G48" s="19">
        <v>1.5169999999999999E-2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28"/>
      <c r="D49" s="39"/>
      <c r="E49" s="9"/>
      <c r="F49" s="24" t="s">
        <v>56</v>
      </c>
      <c r="G49" s="19">
        <v>1.6240000000000001E-2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28"/>
      <c r="D50" s="39"/>
      <c r="E50" s="9"/>
      <c r="F50" s="24" t="s">
        <v>61</v>
      </c>
      <c r="G50" s="19">
        <v>1.8630000000000001E-2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28"/>
      <c r="D51" s="39"/>
      <c r="E51" s="9"/>
      <c r="F51" s="24" t="s">
        <v>63</v>
      </c>
      <c r="G51" s="19">
        <v>1.9810000000000001E-2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28"/>
      <c r="D52" s="39"/>
      <c r="E52" s="9"/>
      <c r="F52" s="24" t="s">
        <v>64</v>
      </c>
      <c r="G52" s="19">
        <v>2.1030000000000004E-2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65</v>
      </c>
      <c r="G53" s="19">
        <v>2.2189999999999998E-2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66</v>
      </c>
      <c r="G54" s="19">
        <v>2.2780000000000002E-2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67</v>
      </c>
      <c r="G55" s="19">
        <v>2.3140000000000001E-2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251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251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2.5000000000000001E-3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1.1465000000000001E-2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2.65E-3</v>
      </c>
      <c r="H66" s="10"/>
      <c r="I66" s="28" t="s">
        <v>29</v>
      </c>
      <c r="J66" s="35" t="s">
        <v>252</v>
      </c>
      <c r="K66" s="10"/>
      <c r="L66" s="24" t="s">
        <v>43</v>
      </c>
      <c r="M66" s="51">
        <v>1.375E-2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2.7600000000000003E-3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1.5529999999999999E-2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2.8300000000000001E-3</v>
      </c>
      <c r="H68" s="10"/>
      <c r="I68" s="28"/>
      <c r="J68" s="35"/>
      <c r="K68" s="10"/>
      <c r="L68" s="24" t="s">
        <v>52</v>
      </c>
      <c r="M68" s="51">
        <v>1.694E-2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2.8399999999999996E-3</v>
      </c>
      <c r="H69" s="10"/>
      <c r="I69" s="29"/>
      <c r="J69" s="35"/>
      <c r="K69" s="10"/>
      <c r="L69" s="24" t="s">
        <v>54</v>
      </c>
      <c r="M69" s="51">
        <v>1.8185E-2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2.8399999999999996E-3</v>
      </c>
      <c r="H70" s="10"/>
      <c r="I70" s="30"/>
      <c r="J70" s="36"/>
      <c r="K70" s="10"/>
      <c r="L70" s="24" t="s">
        <v>56</v>
      </c>
      <c r="M70" s="51">
        <v>1.925E-2</v>
      </c>
      <c r="N70" s="55"/>
    </row>
    <row r="71" spans="2:14">
      <c r="B71" s="5"/>
      <c r="C71" s="28"/>
      <c r="D71" s="35"/>
      <c r="E71" s="9"/>
      <c r="F71" s="24" t="s">
        <v>61</v>
      </c>
      <c r="G71" s="51">
        <v>2.8399999999999996E-3</v>
      </c>
      <c r="H71" s="10"/>
      <c r="I71" s="28"/>
      <c r="J71" s="35"/>
      <c r="K71" s="10"/>
      <c r="L71" s="24" t="s">
        <v>61</v>
      </c>
      <c r="M71" s="51">
        <v>2.1635000000000001E-2</v>
      </c>
      <c r="N71" s="55"/>
    </row>
    <row r="72" spans="2:14">
      <c r="B72" s="5"/>
      <c r="C72" s="28"/>
      <c r="D72" s="35"/>
      <c r="E72" s="9"/>
      <c r="F72" s="24" t="s">
        <v>63</v>
      </c>
      <c r="G72" s="51">
        <v>2.8500000000000001E-3</v>
      </c>
      <c r="H72" s="10"/>
      <c r="I72" s="28"/>
      <c r="J72" s="35"/>
      <c r="K72" s="10"/>
      <c r="L72" s="24" t="s">
        <v>63</v>
      </c>
      <c r="M72" s="51">
        <v>2.291E-2</v>
      </c>
      <c r="N72" s="55"/>
    </row>
    <row r="73" spans="2:14">
      <c r="B73" s="5"/>
      <c r="C73" s="28"/>
      <c r="D73" s="35"/>
      <c r="E73" s="9"/>
      <c r="F73" s="24" t="s">
        <v>64</v>
      </c>
      <c r="G73" s="51">
        <v>2.8500000000000001E-3</v>
      </c>
      <c r="H73" s="10"/>
      <c r="I73" s="28"/>
      <c r="J73" s="35"/>
      <c r="K73" s="10"/>
      <c r="L73" s="24" t="s">
        <v>64</v>
      </c>
      <c r="M73" s="51">
        <v>2.4080000000000001E-2</v>
      </c>
      <c r="N73" s="55"/>
    </row>
    <row r="74" spans="2:14">
      <c r="B74" s="5"/>
      <c r="C74" s="28"/>
      <c r="D74" s="35"/>
      <c r="E74" s="9"/>
      <c r="F74" s="24" t="s">
        <v>65</v>
      </c>
      <c r="G74" s="51">
        <v>2.8500000000000001E-3</v>
      </c>
      <c r="H74" s="10"/>
      <c r="I74" s="28"/>
      <c r="J74" s="35"/>
      <c r="K74" s="10"/>
      <c r="L74" s="24" t="s">
        <v>65</v>
      </c>
      <c r="M74" s="51">
        <v>2.528E-2</v>
      </c>
      <c r="N74" s="55"/>
    </row>
    <row r="75" spans="2:14">
      <c r="B75" s="5"/>
      <c r="C75" s="28"/>
      <c r="D75" s="35"/>
      <c r="E75" s="9"/>
      <c r="F75" s="24" t="s">
        <v>66</v>
      </c>
      <c r="G75" s="51">
        <v>2.8500000000000001E-3</v>
      </c>
      <c r="H75" s="10"/>
      <c r="I75" s="28"/>
      <c r="J75" s="35"/>
      <c r="K75" s="10"/>
      <c r="L75" s="24" t="s">
        <v>66</v>
      </c>
      <c r="M75" s="51">
        <v>2.5864999999999999E-2</v>
      </c>
      <c r="N75" s="55"/>
    </row>
    <row r="76" spans="2:14">
      <c r="B76" s="5"/>
      <c r="C76" s="29"/>
      <c r="D76" s="35"/>
      <c r="E76" s="9"/>
      <c r="F76" s="24" t="s">
        <v>67</v>
      </c>
      <c r="G76" s="51">
        <v>2.8399999999999996E-3</v>
      </c>
      <c r="H76" s="10"/>
      <c r="I76" s="29"/>
      <c r="J76" s="35"/>
      <c r="K76" s="10"/>
      <c r="L76" s="24" t="s">
        <v>67</v>
      </c>
      <c r="M76" s="51">
        <v>2.6135000000000002E-2</v>
      </c>
      <c r="N76" s="55"/>
    </row>
    <row r="77" spans="2:14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L113"/>
  <sheetViews>
    <sheetView showGridLines="0" workbookViewId="0"/>
  </sheetViews>
  <sheetFormatPr defaultRowHeight="15"/>
  <cols>
    <col min="2" max="2" width="2.7109375" customWidth="1"/>
    <col min="3" max="3" width="22.1406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>
      <c r="B2" s="56" t="s">
        <v>275</v>
      </c>
    </row>
    <row r="6" spans="2:12">
      <c r="B6" s="56" t="s">
        <v>272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272</v>
      </c>
      <c r="D8" s="61" t="str">
        <f ca="1">IF(AND(isLoadedUSDOIS,NOW()),_xll.meCurveCalibrateSwap(CurveCollection,StaticDataTable,IndexName,CurveBuildProperties,MoneyMarketConventions,LiborConventions,LiborMarketData,SwapConventions,SwapMarketData,FRAConventions,FRAMarketData3M,FRAMarketData6M,FuturesConventions,FuturesMarketData),"Load USD OIS")</f>
        <v>USDYC STD Curve has been set (0.03200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0" t="s">
        <v>281</v>
      </c>
      <c r="D9" s="78" t="b">
        <f ca="1">LEFT(D8,5)=CurveCollection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89</v>
      </c>
      <c r="D13" s="107" t="s">
        <v>236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88</v>
      </c>
      <c r="D14" s="108" t="s">
        <v>91</v>
      </c>
      <c r="E14" s="7" t="s">
        <v>81</v>
      </c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90</v>
      </c>
      <c r="D15" s="110" t="s">
        <v>269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240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>
      <c r="B24" s="5"/>
      <c r="C24" s="29" t="s">
        <v>24</v>
      </c>
      <c r="D24" s="111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>
      <c r="B25" s="5"/>
      <c r="C25" s="29" t="s">
        <v>95</v>
      </c>
      <c r="D25" s="108" t="b">
        <v>0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1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>
      <c r="B27" s="5"/>
      <c r="C27" s="29" t="s">
        <v>27</v>
      </c>
      <c r="D27" s="108" t="s">
        <v>28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96</v>
      </c>
      <c r="D28" s="108" t="s">
        <v>9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/>
      <c r="D29" s="108"/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97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284</v>
      </c>
      <c r="D37" s="10"/>
      <c r="E37" s="10"/>
      <c r="F37" s="49" t="s">
        <v>104</v>
      </c>
      <c r="G37" s="10"/>
      <c r="H37" s="10"/>
      <c r="I37" s="49" t="s">
        <v>283</v>
      </c>
      <c r="J37" s="10"/>
      <c r="K37" s="10"/>
      <c r="L37" s="55"/>
    </row>
    <row r="38" spans="2:12">
      <c r="B38" s="5"/>
      <c r="C38" s="27" t="s">
        <v>3</v>
      </c>
      <c r="D38" s="34" t="s">
        <v>237</v>
      </c>
      <c r="E38" s="7"/>
      <c r="F38" s="27" t="s">
        <v>3</v>
      </c>
      <c r="G38" s="34" t="s">
        <v>251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7</v>
      </c>
      <c r="D39" s="35" t="s">
        <v>150</v>
      </c>
      <c r="E39" s="9"/>
      <c r="F39" s="30" t="s">
        <v>7</v>
      </c>
      <c r="G39" s="69" t="s">
        <v>150</v>
      </c>
      <c r="H39" s="10"/>
      <c r="I39" s="71" t="s">
        <v>187</v>
      </c>
      <c r="J39" s="75">
        <v>4.3990000000000001E-3</v>
      </c>
      <c r="K39" s="78"/>
      <c r="L39" s="55"/>
    </row>
    <row r="40" spans="2:12">
      <c r="B40" s="5"/>
      <c r="C40" s="28" t="s">
        <v>23</v>
      </c>
      <c r="D40" s="68" t="s">
        <v>100</v>
      </c>
      <c r="E40" s="9"/>
      <c r="F40" s="29" t="s">
        <v>25</v>
      </c>
      <c r="G40" s="35" t="s">
        <v>253</v>
      </c>
      <c r="H40" s="10"/>
      <c r="I40" s="72" t="s">
        <v>171</v>
      </c>
      <c r="J40" s="76">
        <v>6.3899999999999998E-3</v>
      </c>
      <c r="K40" s="78"/>
      <c r="L40" s="55"/>
    </row>
    <row r="41" spans="2:12">
      <c r="B41" s="5"/>
      <c r="C41" s="28"/>
      <c r="D41" s="35"/>
      <c r="E41" s="9"/>
      <c r="F41" s="29" t="s">
        <v>15</v>
      </c>
      <c r="G41" s="69" t="s">
        <v>124</v>
      </c>
      <c r="H41" s="10"/>
      <c r="I41" s="72" t="s">
        <v>105</v>
      </c>
      <c r="J41" s="76">
        <v>9.1699999999999993E-3</v>
      </c>
      <c r="K41" s="78"/>
      <c r="L41" s="55"/>
    </row>
    <row r="42" spans="2:12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1.2447E-2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188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106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107</v>
      </c>
      <c r="D50" s="10"/>
      <c r="E50" s="10"/>
      <c r="F50" s="49" t="s">
        <v>138</v>
      </c>
      <c r="G50" s="10"/>
      <c r="H50" s="10"/>
      <c r="I50" s="49" t="s">
        <v>139</v>
      </c>
      <c r="J50" s="10"/>
      <c r="K50" s="10"/>
      <c r="L50" s="55"/>
    </row>
    <row r="51" spans="2:12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122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123</v>
      </c>
      <c r="D71" s="10"/>
      <c r="E71" s="10"/>
      <c r="F71" s="49" t="s">
        <v>126</v>
      </c>
      <c r="G71" s="10"/>
      <c r="H71" s="10"/>
      <c r="I71" s="10"/>
      <c r="J71" s="10"/>
      <c r="K71" s="10"/>
      <c r="L71" s="55"/>
    </row>
    <row r="72" spans="2:12">
      <c r="B72" s="5"/>
      <c r="C72" s="27" t="s">
        <v>3</v>
      </c>
      <c r="D72" s="34" t="s">
        <v>237</v>
      </c>
      <c r="E72" s="7"/>
      <c r="F72" s="97" t="s">
        <v>140</v>
      </c>
      <c r="G72" s="97" t="s">
        <v>13</v>
      </c>
      <c r="H72" s="97" t="s">
        <v>14</v>
      </c>
      <c r="I72" s="97" t="s">
        <v>12</v>
      </c>
      <c r="J72" s="97" t="s">
        <v>125</v>
      </c>
      <c r="K72" s="10"/>
      <c r="L72" s="55"/>
    </row>
    <row r="73" spans="2:12">
      <c r="B73" s="5"/>
      <c r="C73" s="28" t="s">
        <v>7</v>
      </c>
      <c r="D73" s="35" t="s">
        <v>150</v>
      </c>
      <c r="E73" s="9"/>
      <c r="F73" s="79" t="s">
        <v>254</v>
      </c>
      <c r="G73" s="80">
        <v>42445</v>
      </c>
      <c r="H73" s="80">
        <v>42536</v>
      </c>
      <c r="I73" s="81">
        <v>99.28</v>
      </c>
      <c r="J73" s="82">
        <v>8.9999999999999993E-3</v>
      </c>
      <c r="K73" s="10"/>
      <c r="L73" s="55"/>
    </row>
    <row r="74" spans="2:12">
      <c r="B74" s="5"/>
      <c r="C74" s="28" t="s">
        <v>15</v>
      </c>
      <c r="D74" s="35" t="s">
        <v>124</v>
      </c>
      <c r="E74" s="9"/>
      <c r="F74" s="83" t="s">
        <v>255</v>
      </c>
      <c r="G74" s="80">
        <v>42536</v>
      </c>
      <c r="H74" s="80">
        <v>42634</v>
      </c>
      <c r="I74" s="81">
        <v>99.12</v>
      </c>
      <c r="J74" s="82">
        <v>8.9999999999999993E-3</v>
      </c>
      <c r="K74" s="10"/>
      <c r="L74" s="55"/>
    </row>
    <row r="75" spans="2:12">
      <c r="B75" s="5"/>
      <c r="C75" s="28" t="s">
        <v>23</v>
      </c>
      <c r="D75" s="105" t="s">
        <v>22</v>
      </c>
      <c r="E75" s="9"/>
      <c r="F75" s="84" t="s">
        <v>256</v>
      </c>
      <c r="G75" s="85">
        <v>42634</v>
      </c>
      <c r="H75" s="85">
        <v>42725</v>
      </c>
      <c r="I75" s="86">
        <v>98.960000000000008</v>
      </c>
      <c r="J75" s="87">
        <v>8.9999999999999993E-3</v>
      </c>
      <c r="K75" s="10"/>
      <c r="L75" s="55"/>
    </row>
    <row r="76" spans="2:12">
      <c r="B76" s="5"/>
      <c r="C76" s="28" t="s">
        <v>266</v>
      </c>
      <c r="D76" s="74">
        <v>0.03</v>
      </c>
      <c r="E76" s="9"/>
      <c r="F76" s="84" t="s">
        <v>257</v>
      </c>
      <c r="G76" s="85">
        <v>42725</v>
      </c>
      <c r="H76" s="85">
        <v>42809</v>
      </c>
      <c r="I76" s="86">
        <v>98.795000000000002</v>
      </c>
      <c r="J76" s="87">
        <v>8.9999999999999993E-3</v>
      </c>
      <c r="K76" s="10"/>
      <c r="L76" s="55"/>
    </row>
    <row r="77" spans="2:12">
      <c r="B77" s="5"/>
      <c r="C77" s="28" t="s">
        <v>109</v>
      </c>
      <c r="D77" s="35" t="b">
        <v>1</v>
      </c>
      <c r="E77" s="9"/>
      <c r="F77" s="84" t="s">
        <v>258</v>
      </c>
      <c r="G77" s="85">
        <v>42809</v>
      </c>
      <c r="H77" s="85">
        <v>42907</v>
      </c>
      <c r="I77" s="86">
        <v>98.655000000000001</v>
      </c>
      <c r="J77" s="87">
        <v>8.9999999999999993E-3</v>
      </c>
      <c r="K77" s="10"/>
      <c r="L77" s="55"/>
    </row>
    <row r="78" spans="2:12">
      <c r="B78" s="5"/>
      <c r="C78" s="28" t="s">
        <v>110</v>
      </c>
      <c r="D78" s="35">
        <v>2</v>
      </c>
      <c r="E78" s="9"/>
      <c r="F78" s="84" t="s">
        <v>259</v>
      </c>
      <c r="G78" s="85">
        <v>42907</v>
      </c>
      <c r="H78" s="85">
        <v>42998</v>
      </c>
      <c r="I78" s="86">
        <v>98.515000000000001</v>
      </c>
      <c r="J78" s="87">
        <v>8.9999999999999993E-3</v>
      </c>
      <c r="K78" s="10"/>
      <c r="L78" s="55"/>
    </row>
    <row r="79" spans="2:12">
      <c r="B79" s="5"/>
      <c r="C79" s="28"/>
      <c r="D79" s="35"/>
      <c r="E79" s="9"/>
      <c r="F79" s="84" t="s">
        <v>260</v>
      </c>
      <c r="G79" s="85">
        <v>42998</v>
      </c>
      <c r="H79" s="85">
        <v>43089</v>
      </c>
      <c r="I79" s="86">
        <v>98.394999999999996</v>
      </c>
      <c r="J79" s="87">
        <v>8.9999999999999993E-3</v>
      </c>
      <c r="K79" s="10"/>
      <c r="L79" s="55"/>
    </row>
    <row r="80" spans="2:12">
      <c r="B80" s="5"/>
      <c r="C80" s="28"/>
      <c r="D80" s="35"/>
      <c r="E80" s="9"/>
      <c r="F80" s="84" t="s">
        <v>261</v>
      </c>
      <c r="G80" s="85">
        <v>43089</v>
      </c>
      <c r="H80" s="85">
        <v>43180</v>
      </c>
      <c r="I80" s="86">
        <v>98.275000000000006</v>
      </c>
      <c r="J80" s="87">
        <v>8.9999999999999993E-3</v>
      </c>
      <c r="K80" s="10"/>
      <c r="L80" s="55"/>
    </row>
    <row r="81" spans="2:12">
      <c r="B81" s="5"/>
      <c r="C81" s="28"/>
      <c r="D81" s="35"/>
      <c r="E81" s="9"/>
      <c r="F81" s="84" t="s">
        <v>262</v>
      </c>
      <c r="G81" s="85">
        <v>43180</v>
      </c>
      <c r="H81" s="85">
        <v>43271</v>
      </c>
      <c r="I81" s="86">
        <v>98.19</v>
      </c>
      <c r="J81" s="87">
        <v>8.9999999999999993E-3</v>
      </c>
      <c r="K81" s="10"/>
      <c r="L81" s="55"/>
    </row>
    <row r="82" spans="2:12">
      <c r="B82" s="5"/>
      <c r="C82" s="28"/>
      <c r="D82" s="35"/>
      <c r="E82" s="9"/>
      <c r="F82" s="88" t="s">
        <v>263</v>
      </c>
      <c r="G82" s="85">
        <v>43271</v>
      </c>
      <c r="H82" s="85">
        <v>43362</v>
      </c>
      <c r="I82" s="89">
        <v>98.105000000000004</v>
      </c>
      <c r="J82" s="87">
        <v>8.9999999999999993E-3</v>
      </c>
      <c r="K82" s="10"/>
      <c r="L82" s="55"/>
    </row>
    <row r="83" spans="2:12">
      <c r="B83" s="5"/>
      <c r="C83" s="28"/>
      <c r="D83" s="35"/>
      <c r="E83" s="9"/>
      <c r="F83" s="90" t="s">
        <v>264</v>
      </c>
      <c r="G83" s="91">
        <v>43362</v>
      </c>
      <c r="H83" s="91">
        <v>43453</v>
      </c>
      <c r="I83" s="89">
        <v>98.03</v>
      </c>
      <c r="J83" s="92">
        <v>8.9999999999999993E-3</v>
      </c>
      <c r="K83" s="10"/>
      <c r="L83" s="55"/>
    </row>
    <row r="84" spans="2:12">
      <c r="B84" s="5"/>
      <c r="C84" s="28"/>
      <c r="D84" s="35"/>
      <c r="E84" s="9"/>
      <c r="F84" s="90" t="s">
        <v>265</v>
      </c>
      <c r="G84" s="91">
        <v>43453</v>
      </c>
      <c r="H84" s="91">
        <v>43544</v>
      </c>
      <c r="I84" s="89">
        <v>97.95</v>
      </c>
      <c r="J84" s="92">
        <v>8.9999999999999993E-3</v>
      </c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127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128</v>
      </c>
      <c r="D92" s="10"/>
      <c r="E92" s="10"/>
      <c r="F92" s="49" t="s">
        <v>129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251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98</v>
      </c>
      <c r="D94" s="35" t="s">
        <v>20</v>
      </c>
      <c r="E94" s="9"/>
      <c r="F94" s="101" t="s">
        <v>52</v>
      </c>
      <c r="G94" s="98">
        <v>1.694E-2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130</v>
      </c>
      <c r="D95" s="35" t="s">
        <v>6</v>
      </c>
      <c r="E95" s="9"/>
      <c r="F95" s="24" t="s">
        <v>56</v>
      </c>
      <c r="G95" s="99">
        <v>1.925E-2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131</v>
      </c>
      <c r="E96" s="9"/>
      <c r="F96" s="24" t="s">
        <v>61</v>
      </c>
      <c r="G96" s="99">
        <v>2.1635000000000001E-2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132</v>
      </c>
      <c r="D97" s="35" t="s">
        <v>28</v>
      </c>
      <c r="E97" s="9"/>
      <c r="F97" s="24" t="s">
        <v>62</v>
      </c>
      <c r="G97" s="99">
        <v>2.2279E-2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133</v>
      </c>
      <c r="D98" s="111" t="s">
        <v>85</v>
      </c>
      <c r="E98" s="9"/>
      <c r="F98" s="24" t="s">
        <v>63</v>
      </c>
      <c r="G98" s="99">
        <v>2.291E-2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103</v>
      </c>
      <c r="D99" s="35" t="b">
        <v>0</v>
      </c>
      <c r="E99" s="9"/>
      <c r="F99" s="24" t="s">
        <v>64</v>
      </c>
      <c r="G99" s="99">
        <v>2.4080000000000001E-2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279</v>
      </c>
      <c r="D100" s="35">
        <v>31</v>
      </c>
      <c r="E100" s="9"/>
      <c r="F100" s="24" t="s">
        <v>65</v>
      </c>
      <c r="G100" s="99">
        <v>2.528E-2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134</v>
      </c>
      <c r="D101" s="35" t="b">
        <v>1</v>
      </c>
      <c r="E101" s="9"/>
      <c r="F101" s="24" t="s">
        <v>66</v>
      </c>
      <c r="G101" s="99">
        <v>2.5864999999999999E-2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267</v>
      </c>
      <c r="D102" s="35" t="b">
        <v>1</v>
      </c>
      <c r="E102" s="9"/>
      <c r="F102" s="24" t="s">
        <v>67</v>
      </c>
      <c r="G102" s="99">
        <v>2.6135000000000002E-2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102</v>
      </c>
      <c r="D103" s="35">
        <v>2</v>
      </c>
      <c r="E103" s="9"/>
      <c r="F103" s="24" t="s">
        <v>68</v>
      </c>
      <c r="G103" s="99">
        <v>2.6339999999999999E-2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>
      <c r="B105" s="5"/>
      <c r="C105" s="103" t="s">
        <v>135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>
      <c r="B106" s="5"/>
      <c r="C106" s="103" t="s">
        <v>136</v>
      </c>
      <c r="D106" s="38">
        <v>1.0000000000000001E-9</v>
      </c>
      <c r="E106" s="9"/>
      <c r="F106" s="24"/>
      <c r="G106" s="99"/>
      <c r="H106" s="76"/>
      <c r="I106" s="10"/>
      <c r="J106" s="10"/>
      <c r="K106" s="10"/>
      <c r="L106" s="55"/>
    </row>
    <row r="107" spans="2:12">
      <c r="B107" s="5"/>
      <c r="C107" s="103" t="s">
        <v>137</v>
      </c>
      <c r="D107" s="106">
        <v>1000</v>
      </c>
      <c r="E107" s="9"/>
      <c r="F107" s="24"/>
      <c r="G107" s="99"/>
      <c r="H107" s="76"/>
      <c r="I107" s="10"/>
      <c r="J107" s="10"/>
      <c r="K107" s="10"/>
      <c r="L107" s="55"/>
    </row>
    <row r="108" spans="2:12">
      <c r="B108" s="5"/>
      <c r="C108" s="122"/>
      <c r="D108" s="39"/>
      <c r="E108" s="9"/>
      <c r="F108" s="24"/>
      <c r="G108" s="99"/>
      <c r="H108" s="76"/>
      <c r="I108" s="10"/>
      <c r="J108" s="10"/>
      <c r="K108" s="10"/>
      <c r="L108" s="55"/>
    </row>
    <row r="109" spans="2:12">
      <c r="B109" s="5"/>
      <c r="C109" s="122"/>
      <c r="D109" s="39"/>
      <c r="E109" s="9"/>
      <c r="F109" s="24"/>
      <c r="G109" s="99"/>
      <c r="H109" s="76"/>
      <c r="I109" s="10"/>
      <c r="J109" s="10"/>
      <c r="K109" s="10"/>
      <c r="L109" s="55"/>
    </row>
    <row r="110" spans="2:12">
      <c r="B110" s="5"/>
      <c r="C110" s="122"/>
      <c r="D110" s="39"/>
      <c r="E110" s="9"/>
      <c r="F110" s="24"/>
      <c r="G110" s="99"/>
      <c r="H110" s="76"/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8 D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271</v>
      </c>
    </row>
    <row r="3" spans="2:14">
      <c r="B3" s="65"/>
    </row>
    <row r="4" spans="2:14">
      <c r="B4" s="65"/>
    </row>
    <row r="5" spans="2:14">
      <c r="B5" s="65" t="s">
        <v>270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270</v>
      </c>
      <c r="D7" s="61" t="str">
        <f ca="1">IF(NOW(),_xll.meCurveCalibrateOIS(Curve.CollectionName,Curve.MarketDataTable,Curve.OISIndexName,Curve.BuildProperties,OIS.Conventions,OIS.MarketData,OIS.FixingTable, LiborOISBasis.Conventions,LiborOISBasis.MarketData,LiborSwap.Conventions,LiborSwap.MarketData),"Load Curve")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0" t="s">
        <v>281</v>
      </c>
      <c r="D8" s="78" t="b">
        <f ca="1">LEFT(D7,5)=Curve.CollectionName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89</v>
      </c>
      <c r="D11" s="107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88</v>
      </c>
      <c r="D12" s="108" t="s">
        <v>9</v>
      </c>
      <c r="E12" s="7" t="s">
        <v>81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90</v>
      </c>
      <c r="D13" s="110" t="s">
        <v>230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136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137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L113"/>
  <sheetViews>
    <sheetView showGridLines="0" workbookViewId="0"/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s="56" t="s">
        <v>277</v>
      </c>
    </row>
    <row r="6" spans="2:12">
      <c r="B6" s="56" t="s">
        <v>272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272</v>
      </c>
      <c r="D8" s="61" t="str">
        <f ca="1">IF(AND(isLoadedEUROIS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Load EUR OIS")</f>
        <v>EURYC STD Curve has been set (0.01500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0" t="s">
        <v>281</v>
      </c>
      <c r="D9" s="78" t="b">
        <f ca="1">LEFT(D8,5)=STDCurve.CollectionName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89</v>
      </c>
      <c r="D13" s="107" t="s">
        <v>80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88</v>
      </c>
      <c r="D14" s="108" t="s">
        <v>91</v>
      </c>
      <c r="E14" s="7" t="s">
        <v>81</v>
      </c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90</v>
      </c>
      <c r="D15" s="110" t="s">
        <v>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>
      <c r="B24" s="5"/>
      <c r="C24" s="29" t="s">
        <v>93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>
      <c r="B26" s="5"/>
      <c r="C26" s="29" t="s">
        <v>95</v>
      </c>
      <c r="D26" s="108" t="b">
        <v>1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>
      <c r="B27" s="5"/>
      <c r="C27" s="29" t="s">
        <v>94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131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96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97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284</v>
      </c>
      <c r="D37" s="10"/>
      <c r="E37" s="10"/>
      <c r="F37" s="49" t="s">
        <v>104</v>
      </c>
      <c r="G37" s="10"/>
      <c r="H37" s="10"/>
      <c r="I37" s="49" t="s">
        <v>283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98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187</v>
      </c>
      <c r="J39" s="75">
        <v>-2.8E-3</v>
      </c>
      <c r="K39" s="78"/>
      <c r="L39" s="55"/>
    </row>
    <row r="40" spans="2:12">
      <c r="B40" s="5"/>
      <c r="C40" s="28" t="s">
        <v>99</v>
      </c>
      <c r="D40" s="35" t="s">
        <v>100</v>
      </c>
      <c r="E40" s="9"/>
      <c r="F40" s="29" t="s">
        <v>27</v>
      </c>
      <c r="G40" s="35" t="s">
        <v>101</v>
      </c>
      <c r="H40" s="10"/>
      <c r="I40" s="72" t="s">
        <v>171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102</v>
      </c>
      <c r="G41" s="69">
        <v>2</v>
      </c>
      <c r="H41" s="10"/>
      <c r="I41" s="72" t="s">
        <v>105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188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106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107</v>
      </c>
      <c r="D50" s="10"/>
      <c r="E50" s="10"/>
      <c r="F50" s="49" t="s">
        <v>138</v>
      </c>
      <c r="G50" s="10"/>
      <c r="H50" s="10"/>
      <c r="I50" s="49" t="s">
        <v>139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98</v>
      </c>
      <c r="D52" s="35" t="s">
        <v>6</v>
      </c>
      <c r="E52" s="9"/>
      <c r="F52" s="71"/>
      <c r="G52" s="75"/>
      <c r="H52" s="10"/>
      <c r="I52" s="71" t="s">
        <v>111</v>
      </c>
      <c r="J52" s="75">
        <v>-1.2900000000000001E-3</v>
      </c>
      <c r="K52" s="78"/>
      <c r="L52" s="55"/>
    </row>
    <row r="53" spans="2:12">
      <c r="B53" s="5"/>
      <c r="C53" s="28" t="s">
        <v>108</v>
      </c>
      <c r="D53" s="35">
        <v>2</v>
      </c>
      <c r="E53" s="9"/>
      <c r="F53" s="72"/>
      <c r="G53" s="76"/>
      <c r="H53" s="10"/>
      <c r="I53" s="72" t="s">
        <v>112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113</v>
      </c>
      <c r="J54" s="76">
        <v>-1.33E-3</v>
      </c>
      <c r="K54" s="78"/>
      <c r="L54" s="55"/>
    </row>
    <row r="55" spans="2:12">
      <c r="B55" s="5"/>
      <c r="C55" s="28" t="s">
        <v>103</v>
      </c>
      <c r="D55" s="35" t="b">
        <v>1</v>
      </c>
      <c r="E55" s="9"/>
      <c r="F55" s="72"/>
      <c r="G55" s="76"/>
      <c r="H55" s="10"/>
      <c r="I55" s="72" t="s">
        <v>114</v>
      </c>
      <c r="J55" s="76">
        <v>-1.3900000000000002E-3</v>
      </c>
      <c r="K55" s="78"/>
      <c r="L55" s="55"/>
    </row>
    <row r="56" spans="2:12">
      <c r="B56" s="5"/>
      <c r="C56" s="28" t="s">
        <v>279</v>
      </c>
      <c r="D56" s="35">
        <v>31</v>
      </c>
      <c r="E56" s="9"/>
      <c r="F56" s="72"/>
      <c r="G56" s="76"/>
      <c r="H56" s="10"/>
      <c r="I56" s="72" t="s">
        <v>115</v>
      </c>
      <c r="J56" s="76">
        <v>-1.4399999999999999E-3</v>
      </c>
      <c r="K56" s="78"/>
      <c r="L56" s="55"/>
    </row>
    <row r="57" spans="2:12">
      <c r="B57" s="5"/>
      <c r="C57" s="28" t="s">
        <v>109</v>
      </c>
      <c r="D57" s="35" t="b">
        <v>1</v>
      </c>
      <c r="E57" s="9"/>
      <c r="F57" s="72"/>
      <c r="G57" s="76"/>
      <c r="H57" s="10"/>
      <c r="I57" s="72" t="s">
        <v>116</v>
      </c>
      <c r="J57" s="76">
        <v>-1.4399999999999999E-3</v>
      </c>
      <c r="K57" s="78"/>
      <c r="L57" s="55"/>
    </row>
    <row r="58" spans="2:12">
      <c r="B58" s="5"/>
      <c r="C58" s="28" t="s">
        <v>110</v>
      </c>
      <c r="D58" s="35">
        <v>2</v>
      </c>
      <c r="E58" s="9"/>
      <c r="F58" s="72"/>
      <c r="G58" s="76"/>
      <c r="H58" s="10"/>
      <c r="I58" s="72" t="s">
        <v>117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118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119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120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121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122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123</v>
      </c>
      <c r="D71" s="10"/>
      <c r="E71" s="10"/>
      <c r="F71" s="49" t="s">
        <v>126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140</v>
      </c>
      <c r="G72" s="97" t="s">
        <v>13</v>
      </c>
      <c r="H72" s="97" t="s">
        <v>14</v>
      </c>
      <c r="I72" s="97" t="s">
        <v>12</v>
      </c>
      <c r="J72" s="97" t="s">
        <v>125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127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128</v>
      </c>
      <c r="D92" s="10"/>
      <c r="E92" s="10"/>
      <c r="F92" s="49" t="s">
        <v>129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98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130</v>
      </c>
      <c r="D95" s="35" t="s">
        <v>6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26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132</v>
      </c>
      <c r="D97" s="35" t="s">
        <v>131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133</v>
      </c>
      <c r="D98" s="111" t="s">
        <v>85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103</v>
      </c>
      <c r="D99" s="35" t="b">
        <v>0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279</v>
      </c>
      <c r="D100" s="35">
        <v>31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102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134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135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136</v>
      </c>
      <c r="D105" s="38">
        <v>1.0000000000000001E-9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137</v>
      </c>
      <c r="D106" s="124">
        <v>1000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23"/>
      <c r="D107" s="123"/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23"/>
      <c r="D108" s="123"/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23"/>
      <c r="D109" s="123"/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23"/>
      <c r="D110" s="123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104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82"/>
  <sheetViews>
    <sheetView showGridLines="0" workbookViewId="0"/>
  </sheetViews>
  <sheetFormatPr defaultRowHeight="1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>
      <c r="B2" s="56" t="s">
        <v>276</v>
      </c>
    </row>
    <row r="5" spans="2:9">
      <c r="B5" s="56" t="s">
        <v>273</v>
      </c>
    </row>
    <row r="6" spans="2:9">
      <c r="B6" s="2"/>
      <c r="C6" s="45"/>
      <c r="D6" s="46"/>
      <c r="E6" s="3"/>
      <c r="F6" s="3"/>
      <c r="G6" s="3"/>
      <c r="H6" s="3"/>
      <c r="I6" s="4"/>
    </row>
    <row r="7" spans="2:9">
      <c r="B7" s="5"/>
      <c r="C7" s="64" t="s">
        <v>141</v>
      </c>
      <c r="D7" s="61" t="str">
        <f ca="1">IF(AND(isLoadedEUR6ML,NOW()),_xll.meCurveCalibrateBasis(TenorBasisCurve3M6M.CollectionName,TenorBasisCurve3M6M.StaticDataTable,TenorBasisCurve3M6M.IndexName,TenorBasisCurve3M6M.BuildProperties,TenorBasisSwap3M6M.Conventions,TenorBasisSwap3M6M.MarketData),"Load EUR 6ML")</f>
        <v>EURYC 3M6MBasis Curve has been set (0.01600 sec)</v>
      </c>
      <c r="E7" s="62"/>
      <c r="F7" s="63"/>
      <c r="G7" s="7"/>
      <c r="H7" s="7"/>
      <c r="I7" s="8"/>
    </row>
    <row r="8" spans="2:9">
      <c r="B8" s="5"/>
      <c r="C8" s="10" t="s">
        <v>281</v>
      </c>
      <c r="D8" s="78" t="b">
        <f ca="1">LEFT(D7,5)=TenorBasisCurve3M6M.CollectionName</f>
        <v>1</v>
      </c>
      <c r="E8" s="7"/>
      <c r="F8" s="7"/>
      <c r="G8" s="7"/>
      <c r="H8" s="7"/>
      <c r="I8" s="8"/>
    </row>
    <row r="9" spans="2:9">
      <c r="B9" s="5"/>
      <c r="C9" s="6"/>
      <c r="D9" s="60"/>
      <c r="E9" s="7"/>
      <c r="F9" s="7"/>
      <c r="G9" s="7"/>
      <c r="H9" s="7"/>
      <c r="I9" s="8"/>
    </row>
    <row r="10" spans="2:9">
      <c r="B10" s="5"/>
      <c r="C10" s="6"/>
      <c r="D10" s="60"/>
      <c r="E10" s="7"/>
      <c r="F10" s="7"/>
      <c r="G10" s="7"/>
      <c r="H10" s="7"/>
      <c r="I10" s="8"/>
    </row>
    <row r="11" spans="2:9">
      <c r="B11" s="5"/>
      <c r="C11" s="48" t="s">
        <v>0</v>
      </c>
      <c r="D11" s="57"/>
      <c r="E11" s="7"/>
      <c r="F11" s="7"/>
      <c r="G11" s="7"/>
      <c r="H11" s="7"/>
      <c r="I11" s="8"/>
    </row>
    <row r="12" spans="2:9">
      <c r="B12" s="5"/>
      <c r="C12" s="27" t="s">
        <v>89</v>
      </c>
      <c r="D12" s="107" t="str">
        <f>Curve.CollectionName</f>
        <v>EURYC</v>
      </c>
      <c r="E12" s="7"/>
      <c r="F12" s="7"/>
      <c r="G12" s="7"/>
      <c r="H12" s="7"/>
      <c r="I12" s="8"/>
    </row>
    <row r="13" spans="2:9">
      <c r="B13" s="5"/>
      <c r="C13" s="28" t="s">
        <v>88</v>
      </c>
      <c r="D13" s="108" t="s">
        <v>142</v>
      </c>
      <c r="E13" s="7" t="s">
        <v>81</v>
      </c>
      <c r="F13" s="7"/>
      <c r="G13" s="7"/>
      <c r="H13" s="7"/>
      <c r="I13" s="8"/>
    </row>
    <row r="14" spans="2:9">
      <c r="B14" s="5"/>
      <c r="C14" s="59" t="s">
        <v>90</v>
      </c>
      <c r="D14" s="110" t="s">
        <v>143</v>
      </c>
      <c r="E14" s="7"/>
      <c r="F14" s="7"/>
      <c r="G14" s="7"/>
      <c r="H14" s="7"/>
      <c r="I14" s="8" t="s">
        <v>4</v>
      </c>
    </row>
    <row r="15" spans="2:9">
      <c r="B15" s="11"/>
      <c r="C15" s="12"/>
      <c r="D15" s="12"/>
      <c r="E15" s="12"/>
      <c r="F15" s="12"/>
      <c r="G15" s="12"/>
      <c r="H15" s="12"/>
      <c r="I15" s="13"/>
    </row>
    <row r="18" spans="2:9">
      <c r="B18" s="56" t="s">
        <v>70</v>
      </c>
    </row>
    <row r="19" spans="2:9">
      <c r="B19" s="2"/>
      <c r="C19" s="45"/>
      <c r="D19" s="46"/>
      <c r="E19" s="3"/>
      <c r="F19" s="3"/>
      <c r="G19" s="3"/>
      <c r="H19" s="3"/>
      <c r="I19" s="4"/>
    </row>
    <row r="20" spans="2:9">
      <c r="B20" s="5"/>
      <c r="C20" s="48" t="s">
        <v>70</v>
      </c>
      <c r="D20" s="47"/>
      <c r="E20" s="7"/>
      <c r="F20" s="50" t="s">
        <v>82</v>
      </c>
      <c r="G20" s="7"/>
      <c r="H20" s="7"/>
      <c r="I20" s="8"/>
    </row>
    <row r="21" spans="2:9">
      <c r="B21" s="5"/>
      <c r="C21" s="27" t="s">
        <v>10</v>
      </c>
      <c r="D21" s="107">
        <v>42419</v>
      </c>
      <c r="E21" s="7"/>
      <c r="F21" s="14" t="s">
        <v>83</v>
      </c>
      <c r="G21" s="16"/>
      <c r="H21" s="7"/>
      <c r="I21" s="8"/>
    </row>
    <row r="22" spans="2:9">
      <c r="B22" s="5"/>
      <c r="C22" s="28" t="s">
        <v>16</v>
      </c>
      <c r="D22" s="108" t="s">
        <v>17</v>
      </c>
      <c r="E22" s="7"/>
      <c r="F22" s="17" t="s">
        <v>84</v>
      </c>
      <c r="G22" s="18"/>
      <c r="H22" s="7"/>
      <c r="I22" s="8"/>
    </row>
    <row r="23" spans="2:9">
      <c r="B23" s="5"/>
      <c r="C23" s="28" t="s">
        <v>285</v>
      </c>
      <c r="D23" s="111" t="s">
        <v>85</v>
      </c>
      <c r="E23" s="7"/>
      <c r="F23" s="17" t="s">
        <v>85</v>
      </c>
      <c r="G23" s="18"/>
      <c r="H23" s="7"/>
      <c r="I23" s="8"/>
    </row>
    <row r="24" spans="2:9">
      <c r="B24" s="5"/>
      <c r="C24" s="28"/>
      <c r="D24" s="111"/>
      <c r="E24" s="7"/>
      <c r="F24" s="17" t="s">
        <v>86</v>
      </c>
      <c r="G24" s="18"/>
      <c r="H24" s="7"/>
      <c r="I24" s="8"/>
    </row>
    <row r="25" spans="2:9">
      <c r="B25" s="5"/>
      <c r="C25" s="28"/>
      <c r="D25" s="111"/>
      <c r="E25" s="7"/>
      <c r="F25" s="17" t="s">
        <v>87</v>
      </c>
      <c r="G25" s="18"/>
      <c r="H25" s="7"/>
      <c r="I25" s="8"/>
    </row>
    <row r="26" spans="2:9">
      <c r="B26" s="5"/>
      <c r="C26" s="28"/>
      <c r="D26" s="108"/>
      <c r="E26" s="7"/>
      <c r="F26" s="17"/>
      <c r="G26" s="18"/>
      <c r="H26" s="7"/>
      <c r="I26" s="8"/>
    </row>
    <row r="27" spans="2:9">
      <c r="B27" s="5"/>
      <c r="C27" s="28"/>
      <c r="D27" s="108"/>
      <c r="E27" s="7"/>
      <c r="F27" s="17"/>
      <c r="G27" s="18"/>
      <c r="H27" s="7"/>
      <c r="I27" s="8"/>
    </row>
    <row r="28" spans="2:9">
      <c r="B28" s="5"/>
      <c r="C28" s="29"/>
      <c r="D28" s="108"/>
      <c r="E28" s="7"/>
      <c r="F28" s="17"/>
      <c r="G28" s="18"/>
      <c r="H28" s="7"/>
      <c r="I28" s="8"/>
    </row>
    <row r="29" spans="2:9">
      <c r="B29" s="5"/>
      <c r="C29" s="29"/>
      <c r="D29" s="108"/>
      <c r="E29" s="7"/>
      <c r="F29" s="17"/>
      <c r="G29" s="18"/>
      <c r="H29" s="7"/>
      <c r="I29" s="8"/>
    </row>
    <row r="30" spans="2:9">
      <c r="B30" s="5"/>
      <c r="C30" s="29"/>
      <c r="D30" s="108"/>
      <c r="E30" s="7"/>
      <c r="F30" s="17"/>
      <c r="G30" s="18"/>
      <c r="H30" s="7"/>
      <c r="I30" s="8"/>
    </row>
    <row r="31" spans="2:9">
      <c r="B31" s="5"/>
      <c r="C31" s="44"/>
      <c r="D31" s="110"/>
      <c r="E31" s="7"/>
      <c r="F31" s="21"/>
      <c r="G31" s="22"/>
      <c r="H31" s="7"/>
      <c r="I31" s="8"/>
    </row>
    <row r="32" spans="2:9">
      <c r="B32" s="11"/>
      <c r="C32" s="12"/>
      <c r="D32" s="12"/>
      <c r="E32" s="12"/>
      <c r="F32" s="12"/>
      <c r="G32" s="12"/>
      <c r="H32" s="12"/>
      <c r="I32" s="13"/>
    </row>
    <row r="35" spans="2:9">
      <c r="B35" s="56" t="s">
        <v>144</v>
      </c>
    </row>
    <row r="36" spans="2:9">
      <c r="B36" s="2"/>
      <c r="C36" s="3"/>
      <c r="D36" s="3"/>
      <c r="E36" s="3"/>
      <c r="F36" s="3"/>
      <c r="G36" s="3"/>
      <c r="H36" s="3"/>
      <c r="I36" s="4"/>
    </row>
    <row r="37" spans="2:9">
      <c r="B37" s="5"/>
      <c r="C37" s="49" t="s">
        <v>186</v>
      </c>
      <c r="D37" s="10"/>
      <c r="E37" s="10"/>
      <c r="F37" s="49" t="s">
        <v>189</v>
      </c>
      <c r="G37" s="10"/>
      <c r="H37" s="10"/>
      <c r="I37" s="55"/>
    </row>
    <row r="38" spans="2:9">
      <c r="B38" s="5"/>
      <c r="C38" s="27" t="s">
        <v>145</v>
      </c>
      <c r="D38" s="34" t="s">
        <v>146</v>
      </c>
      <c r="E38" s="7"/>
      <c r="F38" s="78" t="s">
        <v>11</v>
      </c>
      <c r="G38" s="78" t="s">
        <v>12</v>
      </c>
      <c r="H38" s="10"/>
      <c r="I38" s="55"/>
    </row>
    <row r="39" spans="2:9">
      <c r="B39" s="5"/>
      <c r="C39" s="112" t="s">
        <v>147</v>
      </c>
      <c r="D39" s="113" t="b">
        <v>0</v>
      </c>
      <c r="E39" s="9"/>
      <c r="F39" s="71" t="s">
        <v>185</v>
      </c>
      <c r="G39" s="75">
        <v>1.1300000000000001E-3</v>
      </c>
      <c r="H39" s="10"/>
      <c r="I39" s="55"/>
    </row>
    <row r="40" spans="2:9">
      <c r="B40" s="5"/>
      <c r="C40" s="28" t="s">
        <v>148</v>
      </c>
      <c r="D40" s="35" t="s">
        <v>2</v>
      </c>
      <c r="E40" s="9"/>
      <c r="F40" s="72" t="s">
        <v>47</v>
      </c>
      <c r="G40" s="76">
        <v>1.1925E-3</v>
      </c>
      <c r="H40" s="10"/>
      <c r="I40" s="55"/>
    </row>
    <row r="41" spans="2:9">
      <c r="B41" s="5"/>
      <c r="C41" s="28" t="s">
        <v>149</v>
      </c>
      <c r="D41" s="35" t="s">
        <v>150</v>
      </c>
      <c r="E41" s="9"/>
      <c r="F41" s="72" t="s">
        <v>43</v>
      </c>
      <c r="G41" s="76">
        <v>1.2425000000000001E-3</v>
      </c>
      <c r="H41" s="10"/>
      <c r="I41" s="55"/>
    </row>
    <row r="42" spans="2:9">
      <c r="B42" s="5"/>
      <c r="C42" s="28" t="s">
        <v>151</v>
      </c>
      <c r="D42" s="68" t="s">
        <v>131</v>
      </c>
      <c r="E42" s="9"/>
      <c r="F42" s="72" t="s">
        <v>50</v>
      </c>
      <c r="G42" s="76">
        <v>1.2975E-3</v>
      </c>
      <c r="H42" s="10"/>
      <c r="I42" s="55"/>
    </row>
    <row r="43" spans="2:9">
      <c r="B43" s="5"/>
      <c r="C43" s="28" t="s">
        <v>152</v>
      </c>
      <c r="D43" s="68" t="s">
        <v>22</v>
      </c>
      <c r="E43" s="9"/>
      <c r="F43" s="72" t="s">
        <v>52</v>
      </c>
      <c r="G43" s="76">
        <v>1.3324999999999999E-3</v>
      </c>
      <c r="H43" s="10"/>
      <c r="I43" s="55"/>
    </row>
    <row r="44" spans="2:9">
      <c r="B44" s="5"/>
      <c r="C44" s="28" t="s">
        <v>153</v>
      </c>
      <c r="D44" s="35" t="s">
        <v>124</v>
      </c>
      <c r="E44" s="9"/>
      <c r="F44" s="72" t="s">
        <v>54</v>
      </c>
      <c r="G44" s="76">
        <v>1.3074999999999999E-3</v>
      </c>
      <c r="H44" s="10"/>
      <c r="I44" s="55"/>
    </row>
    <row r="45" spans="2:9">
      <c r="B45" s="5"/>
      <c r="C45" s="28" t="s">
        <v>154</v>
      </c>
      <c r="D45" s="35" t="s">
        <v>9</v>
      </c>
      <c r="E45" s="9"/>
      <c r="F45" s="72" t="s">
        <v>56</v>
      </c>
      <c r="G45" s="76">
        <v>1.2725E-3</v>
      </c>
      <c r="H45" s="10"/>
      <c r="I45" s="55"/>
    </row>
    <row r="46" spans="2:9">
      <c r="B46" s="5"/>
      <c r="C46" s="28" t="s">
        <v>155</v>
      </c>
      <c r="D46" s="35" t="s">
        <v>190</v>
      </c>
      <c r="E46" s="9"/>
      <c r="F46" s="72" t="s">
        <v>58</v>
      </c>
      <c r="G46" s="76">
        <v>1.2275000000000001E-3</v>
      </c>
      <c r="H46" s="10"/>
      <c r="I46" s="55"/>
    </row>
    <row r="47" spans="2:9">
      <c r="B47" s="5"/>
      <c r="C47" s="28" t="s">
        <v>156</v>
      </c>
      <c r="D47" s="35" t="s">
        <v>105</v>
      </c>
      <c r="E47" s="9"/>
      <c r="F47" s="72" t="s">
        <v>60</v>
      </c>
      <c r="G47" s="76">
        <v>1.1675000000000001E-3</v>
      </c>
      <c r="H47" s="10"/>
      <c r="I47" s="55"/>
    </row>
    <row r="48" spans="2:9">
      <c r="B48" s="5"/>
      <c r="C48" s="28" t="s">
        <v>157</v>
      </c>
      <c r="D48" s="35" t="s">
        <v>150</v>
      </c>
      <c r="E48" s="9"/>
      <c r="F48" s="72" t="s">
        <v>61</v>
      </c>
      <c r="G48" s="76">
        <v>1.1025E-3</v>
      </c>
      <c r="H48" s="10"/>
      <c r="I48" s="55"/>
    </row>
    <row r="49" spans="2:9">
      <c r="B49" s="5"/>
      <c r="C49" s="28" t="s">
        <v>158</v>
      </c>
      <c r="D49" s="35" t="s">
        <v>2</v>
      </c>
      <c r="E49" s="9"/>
      <c r="F49" s="72" t="s">
        <v>62</v>
      </c>
      <c r="G49" s="76">
        <v>1.0425E-3</v>
      </c>
      <c r="H49" s="10"/>
      <c r="I49" s="55"/>
    </row>
    <row r="50" spans="2:9">
      <c r="B50" s="5"/>
      <c r="C50" s="28" t="s">
        <v>159</v>
      </c>
      <c r="D50" s="35" t="s">
        <v>101</v>
      </c>
      <c r="E50" s="9"/>
      <c r="F50" s="72" t="s">
        <v>63</v>
      </c>
      <c r="G50" s="76">
        <v>9.9250000000000011E-4</v>
      </c>
      <c r="H50" s="10"/>
      <c r="I50" s="55"/>
    </row>
    <row r="51" spans="2:9">
      <c r="B51" s="5"/>
      <c r="C51" s="28" t="s">
        <v>160</v>
      </c>
      <c r="D51" s="35" t="s">
        <v>2</v>
      </c>
      <c r="E51" s="9"/>
      <c r="F51" s="72" t="s">
        <v>64</v>
      </c>
      <c r="G51" s="76">
        <v>8.6249999999999999E-4</v>
      </c>
      <c r="H51" s="10"/>
      <c r="I51" s="55"/>
    </row>
    <row r="52" spans="2:9">
      <c r="B52" s="5"/>
      <c r="C52" s="28" t="s">
        <v>161</v>
      </c>
      <c r="D52" s="35" t="s">
        <v>124</v>
      </c>
      <c r="E52" s="9"/>
      <c r="F52" s="72" t="s">
        <v>65</v>
      </c>
      <c r="G52" s="76">
        <v>6.8749999999999996E-4</v>
      </c>
      <c r="H52" s="10"/>
      <c r="I52" s="55"/>
    </row>
    <row r="53" spans="2:9">
      <c r="B53" s="5"/>
      <c r="C53" s="114" t="s">
        <v>162</v>
      </c>
      <c r="D53" s="68" t="s">
        <v>22</v>
      </c>
      <c r="E53" s="9"/>
      <c r="F53" s="72" t="s">
        <v>66</v>
      </c>
      <c r="G53" s="76">
        <v>5.8250000000000001E-4</v>
      </c>
      <c r="H53" s="10"/>
      <c r="I53" s="55"/>
    </row>
    <row r="54" spans="2:9">
      <c r="B54" s="5"/>
      <c r="C54" s="112" t="s">
        <v>163</v>
      </c>
      <c r="D54" s="113" t="s">
        <v>2</v>
      </c>
      <c r="E54" s="9"/>
      <c r="F54" s="72" t="s">
        <v>67</v>
      </c>
      <c r="G54" s="76">
        <v>5.1250000000000004E-4</v>
      </c>
      <c r="H54" s="10"/>
      <c r="I54" s="55"/>
    </row>
    <row r="55" spans="2:9">
      <c r="B55" s="5"/>
      <c r="C55" s="28" t="s">
        <v>164</v>
      </c>
      <c r="D55" s="35" t="s">
        <v>150</v>
      </c>
      <c r="E55" s="9"/>
      <c r="F55" s="72"/>
      <c r="G55" s="76"/>
      <c r="H55" s="10"/>
      <c r="I55" s="55"/>
    </row>
    <row r="56" spans="2:9">
      <c r="B56" s="5"/>
      <c r="C56" s="28" t="s">
        <v>165</v>
      </c>
      <c r="D56" s="68" t="s">
        <v>28</v>
      </c>
      <c r="E56" s="9"/>
      <c r="F56" s="72"/>
      <c r="G56" s="76"/>
      <c r="H56" s="10"/>
      <c r="I56" s="55"/>
    </row>
    <row r="57" spans="2:9">
      <c r="B57" s="5"/>
      <c r="C57" s="28" t="s">
        <v>166</v>
      </c>
      <c r="D57" s="68" t="s">
        <v>22</v>
      </c>
      <c r="E57" s="9"/>
      <c r="F57" s="72"/>
      <c r="G57" s="76"/>
      <c r="H57" s="10"/>
      <c r="I57" s="55"/>
    </row>
    <row r="58" spans="2:9">
      <c r="B58" s="5"/>
      <c r="C58" s="28" t="s">
        <v>167</v>
      </c>
      <c r="D58" s="35" t="s">
        <v>124</v>
      </c>
      <c r="E58" s="9"/>
      <c r="F58" s="72"/>
      <c r="G58" s="76"/>
      <c r="H58" s="10"/>
      <c r="I58" s="55"/>
    </row>
    <row r="59" spans="2:9">
      <c r="B59" s="5"/>
      <c r="C59" s="28" t="s">
        <v>168</v>
      </c>
      <c r="D59" s="35" t="s">
        <v>9</v>
      </c>
      <c r="E59" s="9"/>
      <c r="F59" s="72"/>
      <c r="G59" s="76"/>
      <c r="H59" s="10"/>
      <c r="I59" s="55"/>
    </row>
    <row r="60" spans="2:9">
      <c r="B60" s="5"/>
      <c r="C60" s="28" t="s">
        <v>169</v>
      </c>
      <c r="D60" s="35" t="s">
        <v>91</v>
      </c>
      <c r="E60" s="9"/>
      <c r="F60" s="72"/>
      <c r="G60" s="76"/>
      <c r="H60" s="10"/>
      <c r="I60" s="55"/>
    </row>
    <row r="61" spans="2:9">
      <c r="B61" s="5"/>
      <c r="C61" s="28" t="s">
        <v>170</v>
      </c>
      <c r="D61" s="35" t="s">
        <v>171</v>
      </c>
      <c r="E61" s="9"/>
      <c r="F61" s="72"/>
      <c r="G61" s="76"/>
      <c r="H61" s="10"/>
      <c r="I61" s="55"/>
    </row>
    <row r="62" spans="2:9">
      <c r="B62" s="5"/>
      <c r="C62" s="28" t="s">
        <v>172</v>
      </c>
      <c r="D62" s="35" t="s">
        <v>150</v>
      </c>
      <c r="E62" s="9"/>
      <c r="F62" s="72"/>
      <c r="G62" s="76"/>
      <c r="H62" s="10"/>
      <c r="I62" s="55"/>
    </row>
    <row r="63" spans="2:9">
      <c r="B63" s="5"/>
      <c r="C63" s="28" t="s">
        <v>173</v>
      </c>
      <c r="D63" s="35" t="s">
        <v>2</v>
      </c>
      <c r="E63" s="9"/>
      <c r="F63" s="72"/>
      <c r="G63" s="76"/>
      <c r="H63" s="10"/>
      <c r="I63" s="55"/>
    </row>
    <row r="64" spans="2:9">
      <c r="B64" s="5"/>
      <c r="C64" s="28" t="s">
        <v>174</v>
      </c>
      <c r="D64" s="35" t="s">
        <v>101</v>
      </c>
      <c r="E64" s="9"/>
      <c r="F64" s="72"/>
      <c r="G64" s="76"/>
      <c r="H64" s="10"/>
      <c r="I64" s="55"/>
    </row>
    <row r="65" spans="2:9">
      <c r="B65" s="5"/>
      <c r="C65" s="28" t="s">
        <v>175</v>
      </c>
      <c r="D65" s="35" t="s">
        <v>2</v>
      </c>
      <c r="E65" s="9"/>
      <c r="F65" s="72"/>
      <c r="G65" s="76"/>
      <c r="H65" s="10"/>
      <c r="I65" s="55"/>
    </row>
    <row r="66" spans="2:9">
      <c r="B66" s="5"/>
      <c r="C66" s="28" t="s">
        <v>176</v>
      </c>
      <c r="D66" s="35" t="s">
        <v>124</v>
      </c>
      <c r="E66" s="9"/>
      <c r="F66" s="72"/>
      <c r="G66" s="76"/>
      <c r="H66" s="10"/>
      <c r="I66" s="55"/>
    </row>
    <row r="67" spans="2:9">
      <c r="B67" s="5"/>
      <c r="C67" s="114" t="s">
        <v>177</v>
      </c>
      <c r="D67" s="68" t="s">
        <v>22</v>
      </c>
      <c r="E67" s="9"/>
      <c r="F67" s="72"/>
      <c r="G67" s="76"/>
      <c r="H67" s="10"/>
      <c r="I67" s="55"/>
    </row>
    <row r="68" spans="2:9">
      <c r="B68" s="5"/>
      <c r="C68" s="28" t="s">
        <v>178</v>
      </c>
      <c r="D68" s="35" t="s">
        <v>179</v>
      </c>
      <c r="E68" s="9"/>
      <c r="F68" s="72"/>
      <c r="G68" s="76"/>
      <c r="H68" s="10"/>
      <c r="I68" s="55"/>
    </row>
    <row r="69" spans="2:9">
      <c r="B69" s="5"/>
      <c r="C69" s="28" t="s">
        <v>135</v>
      </c>
      <c r="D69" s="35" t="b">
        <v>1</v>
      </c>
      <c r="E69" s="9"/>
      <c r="F69" s="72"/>
      <c r="G69" s="76"/>
      <c r="H69" s="10"/>
      <c r="I69" s="55"/>
    </row>
    <row r="70" spans="2:9">
      <c r="B70" s="5"/>
      <c r="C70" s="28" t="s">
        <v>180</v>
      </c>
      <c r="D70" s="111" t="s">
        <v>85</v>
      </c>
      <c r="E70" s="9"/>
      <c r="F70" s="72"/>
      <c r="G70" s="76"/>
      <c r="H70" s="10"/>
      <c r="I70" s="55"/>
    </row>
    <row r="71" spans="2:9">
      <c r="B71" s="5"/>
      <c r="C71" s="28" t="s">
        <v>181</v>
      </c>
      <c r="D71" s="35" t="b">
        <v>1</v>
      </c>
      <c r="E71" s="9"/>
      <c r="F71" s="72"/>
      <c r="G71" s="76"/>
      <c r="H71" s="10"/>
      <c r="I71" s="55"/>
    </row>
    <row r="72" spans="2:9">
      <c r="B72" s="5"/>
      <c r="C72" s="28" t="s">
        <v>182</v>
      </c>
      <c r="D72" s="35" t="b">
        <v>1</v>
      </c>
      <c r="E72" s="9"/>
      <c r="F72" s="72"/>
      <c r="G72" s="76"/>
      <c r="H72" s="10"/>
      <c r="I72" s="55"/>
    </row>
    <row r="73" spans="2:9">
      <c r="B73" s="5"/>
      <c r="C73" s="28" t="s">
        <v>183</v>
      </c>
      <c r="D73" s="35" t="s">
        <v>171</v>
      </c>
      <c r="E73" s="9"/>
      <c r="F73" s="72"/>
      <c r="G73" s="76"/>
      <c r="H73" s="10"/>
      <c r="I73" s="55"/>
    </row>
    <row r="74" spans="2:9">
      <c r="B74" s="5"/>
      <c r="C74" s="28" t="s">
        <v>184</v>
      </c>
      <c r="D74" s="35" t="b">
        <v>0</v>
      </c>
      <c r="E74" s="9"/>
      <c r="F74" s="72"/>
      <c r="G74" s="76"/>
      <c r="H74" s="10"/>
      <c r="I74" s="55"/>
    </row>
    <row r="75" spans="2:9">
      <c r="B75" s="5"/>
      <c r="C75" s="28" t="s">
        <v>136</v>
      </c>
      <c r="D75" s="38">
        <v>1.0000000000000001E-9</v>
      </c>
      <c r="E75" s="9"/>
      <c r="F75" s="72"/>
      <c r="G75" s="76"/>
      <c r="H75" s="10"/>
      <c r="I75" s="55"/>
    </row>
    <row r="76" spans="2:9">
      <c r="B76" s="5"/>
      <c r="C76" s="28" t="s">
        <v>137</v>
      </c>
      <c r="D76" s="106">
        <v>1000</v>
      </c>
      <c r="E76" s="9"/>
      <c r="F76" s="72"/>
      <c r="G76" s="76"/>
      <c r="H76" s="10"/>
      <c r="I76" s="55"/>
    </row>
    <row r="77" spans="2:9">
      <c r="B77" s="5"/>
      <c r="C77" s="28"/>
      <c r="D77" s="35"/>
      <c r="E77" s="9"/>
      <c r="F77" s="72"/>
      <c r="G77" s="76"/>
      <c r="H77" s="10"/>
      <c r="I77" s="55"/>
    </row>
    <row r="78" spans="2:9">
      <c r="B78" s="5"/>
      <c r="C78" s="28"/>
      <c r="D78" s="35"/>
      <c r="E78" s="9"/>
      <c r="F78" s="72"/>
      <c r="G78" s="76"/>
      <c r="H78" s="10"/>
      <c r="I78" s="55"/>
    </row>
    <row r="79" spans="2:9">
      <c r="B79" s="5"/>
      <c r="C79" s="28"/>
      <c r="D79" s="35"/>
      <c r="E79" s="9"/>
      <c r="F79" s="72"/>
      <c r="G79" s="76"/>
      <c r="H79" s="10"/>
      <c r="I79" s="55"/>
    </row>
    <row r="80" spans="2:9">
      <c r="B80" s="5"/>
      <c r="C80" s="33"/>
      <c r="D80" s="40"/>
      <c r="E80" s="9"/>
      <c r="F80" s="73"/>
      <c r="G80" s="77"/>
      <c r="H80" s="10"/>
      <c r="I80" s="55"/>
    </row>
    <row r="81" spans="2:9">
      <c r="B81" s="5"/>
      <c r="C81" s="9"/>
      <c r="D81" s="9"/>
      <c r="E81" s="9"/>
      <c r="F81" s="10"/>
      <c r="G81" s="10"/>
      <c r="H81" s="10"/>
      <c r="I81" s="55"/>
    </row>
    <row r="82" spans="2:9">
      <c r="B82" s="11"/>
      <c r="C82" s="12"/>
      <c r="D82" s="12"/>
      <c r="E82" s="12"/>
      <c r="F82" s="12"/>
      <c r="G82" s="12"/>
      <c r="H82" s="12"/>
      <c r="I82" s="13" t="s">
        <v>282</v>
      </c>
    </row>
  </sheetData>
  <dataValidations disablePrompts="1" count="3">
    <dataValidation type="list" allowBlank="1" showInputMessage="1" showErrorMessage="1" sqref="D23:D25 D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I77"/>
  <sheetViews>
    <sheetView showGridLines="0" tabSelected="1" workbookViewId="0"/>
  </sheetViews>
  <sheetFormatPr defaultRowHeight="15"/>
  <cols>
    <col min="3" max="3" width="30.7109375" customWidth="1"/>
    <col min="4" max="4" width="35.7109375" customWidth="1"/>
    <col min="5" max="8" width="20.7109375" customWidth="1"/>
  </cols>
  <sheetData>
    <row r="2" spans="2:9">
      <c r="B2" s="56" t="s">
        <v>278</v>
      </c>
    </row>
    <row r="5" spans="2:9">
      <c r="B5" s="56" t="s">
        <v>273</v>
      </c>
    </row>
    <row r="6" spans="2:9">
      <c r="B6" s="2"/>
      <c r="C6" s="45"/>
      <c r="D6" s="46"/>
      <c r="E6" s="3"/>
      <c r="F6" s="3"/>
      <c r="G6" s="3"/>
      <c r="H6" s="3"/>
      <c r="I6" s="4"/>
    </row>
    <row r="7" spans="2:9">
      <c r="B7" s="5"/>
      <c r="C7" s="64" t="s">
        <v>273</v>
      </c>
      <c r="D7" s="61" t="str">
        <f ca="1">IF(AND(isLoadedUSD3ML,isLoadedEUR3ML,NOW()),_xll.meCurveCalibrateBasis(CurveCollection,StaticDataTable,IndexName,CurveBuildProperties,XccyBasisSwapConventions,XccyBasisMarketData),"Load USD 3ML and EUR 3ML")</f>
        <v>EURYC XccyBasis Curve has been set (0.01600 sec)</v>
      </c>
      <c r="E7" s="62"/>
      <c r="F7" s="63"/>
      <c r="G7" s="7"/>
      <c r="H7" s="7"/>
      <c r="I7" s="8"/>
    </row>
    <row r="8" spans="2:9">
      <c r="B8" s="5"/>
      <c r="C8" s="10" t="s">
        <v>281</v>
      </c>
      <c r="D8" s="78" t="b">
        <f ca="1">LEFT(D7,5)=CurveCollection</f>
        <v>1</v>
      </c>
      <c r="E8" s="7"/>
      <c r="F8" s="7"/>
      <c r="G8" s="7"/>
      <c r="H8" s="7"/>
      <c r="I8" s="8"/>
    </row>
    <row r="9" spans="2:9">
      <c r="B9" s="5"/>
      <c r="C9" s="6"/>
      <c r="D9" s="60"/>
      <c r="E9" s="7"/>
      <c r="F9" s="7"/>
      <c r="G9" s="7"/>
      <c r="H9" s="7"/>
      <c r="I9" s="8"/>
    </row>
    <row r="10" spans="2:9">
      <c r="B10" s="5"/>
      <c r="C10" s="6"/>
      <c r="D10" s="60"/>
      <c r="E10" s="7"/>
      <c r="F10" s="7"/>
      <c r="G10" s="7"/>
      <c r="H10" s="7"/>
      <c r="I10" s="8"/>
    </row>
    <row r="11" spans="2:9">
      <c r="B11" s="5"/>
      <c r="C11" s="48" t="s">
        <v>0</v>
      </c>
      <c r="D11" s="57"/>
      <c r="E11" s="7"/>
      <c r="F11" s="7"/>
      <c r="G11" s="7"/>
      <c r="H11" s="7"/>
      <c r="I11" s="8"/>
    </row>
    <row r="12" spans="2:9">
      <c r="B12" s="5"/>
      <c r="C12" s="27" t="s">
        <v>89</v>
      </c>
      <c r="D12" s="107" t="str">
        <f>Curve.CollectionName</f>
        <v>EURYC</v>
      </c>
      <c r="E12" s="7"/>
      <c r="F12" s="7"/>
      <c r="G12" s="7"/>
      <c r="H12" s="7"/>
      <c r="I12" s="8"/>
    </row>
    <row r="13" spans="2:9">
      <c r="B13" s="5"/>
      <c r="C13" s="28" t="s">
        <v>88</v>
      </c>
      <c r="D13" s="108" t="s">
        <v>193</v>
      </c>
      <c r="E13" s="7" t="s">
        <v>81</v>
      </c>
      <c r="F13" s="7"/>
      <c r="G13" s="7"/>
      <c r="H13" s="7"/>
      <c r="I13" s="8"/>
    </row>
    <row r="14" spans="2:9">
      <c r="B14" s="5"/>
      <c r="C14" s="59" t="s">
        <v>90</v>
      </c>
      <c r="D14" s="110" t="s">
        <v>194</v>
      </c>
      <c r="E14" s="7"/>
      <c r="F14" s="7"/>
      <c r="G14" s="7"/>
      <c r="H14" s="7"/>
      <c r="I14" s="8" t="s">
        <v>4</v>
      </c>
    </row>
    <row r="15" spans="2:9">
      <c r="B15" s="11"/>
      <c r="C15" s="12"/>
      <c r="D15" s="12"/>
      <c r="E15" s="12"/>
      <c r="F15" s="12"/>
      <c r="G15" s="12"/>
      <c r="H15" s="12"/>
      <c r="I15" s="13"/>
    </row>
    <row r="18" spans="2:9">
      <c r="B18" s="56" t="s">
        <v>70</v>
      </c>
    </row>
    <row r="19" spans="2:9">
      <c r="B19" s="2"/>
      <c r="C19" s="45"/>
      <c r="D19" s="46"/>
      <c r="E19" s="3"/>
      <c r="F19" s="3"/>
      <c r="G19" s="3"/>
      <c r="H19" s="3"/>
      <c r="I19" s="4"/>
    </row>
    <row r="20" spans="2:9">
      <c r="B20" s="5"/>
      <c r="C20" s="48" t="s">
        <v>70</v>
      </c>
      <c r="D20" s="47"/>
      <c r="E20" s="7"/>
      <c r="F20" s="50" t="s">
        <v>82</v>
      </c>
      <c r="G20" s="7"/>
      <c r="H20" s="7"/>
      <c r="I20" s="8"/>
    </row>
    <row r="21" spans="2:9">
      <c r="B21" s="5"/>
      <c r="C21" s="27" t="s">
        <v>10</v>
      </c>
      <c r="D21" s="107">
        <v>42419</v>
      </c>
      <c r="E21" s="7"/>
      <c r="F21" s="14" t="s">
        <v>83</v>
      </c>
      <c r="G21" s="16"/>
      <c r="H21" s="7"/>
      <c r="I21" s="8"/>
    </row>
    <row r="22" spans="2:9">
      <c r="B22" s="5"/>
      <c r="C22" s="28" t="s">
        <v>16</v>
      </c>
      <c r="D22" s="108" t="s">
        <v>17</v>
      </c>
      <c r="E22" s="7"/>
      <c r="F22" s="17" t="s">
        <v>84</v>
      </c>
      <c r="G22" s="18"/>
      <c r="H22" s="7"/>
      <c r="I22" s="8"/>
    </row>
    <row r="23" spans="2:9">
      <c r="B23" s="5"/>
      <c r="C23" s="28" t="s">
        <v>285</v>
      </c>
      <c r="D23" s="111" t="s">
        <v>85</v>
      </c>
      <c r="E23" s="7"/>
      <c r="F23" s="17" t="s">
        <v>85</v>
      </c>
      <c r="G23" s="18"/>
      <c r="H23" s="7"/>
      <c r="I23" s="8"/>
    </row>
    <row r="24" spans="2:9">
      <c r="B24" s="5"/>
      <c r="C24" s="28" t="s">
        <v>280</v>
      </c>
      <c r="D24" s="108" t="b">
        <v>1</v>
      </c>
      <c r="E24" s="7"/>
      <c r="F24" s="17" t="s">
        <v>86</v>
      </c>
      <c r="G24" s="18"/>
      <c r="H24" s="7"/>
      <c r="I24" s="8"/>
    </row>
    <row r="25" spans="2:9">
      <c r="B25" s="5"/>
      <c r="C25" s="28"/>
      <c r="D25" s="108"/>
      <c r="E25" s="7"/>
      <c r="F25" s="17" t="s">
        <v>87</v>
      </c>
      <c r="G25" s="18"/>
      <c r="H25" s="7"/>
      <c r="I25" s="8"/>
    </row>
    <row r="26" spans="2:9">
      <c r="B26" s="5"/>
      <c r="C26" s="44"/>
      <c r="D26" s="110"/>
      <c r="E26" s="7"/>
      <c r="F26" s="21"/>
      <c r="G26" s="22"/>
      <c r="H26" s="7"/>
      <c r="I26" s="8"/>
    </row>
    <row r="27" spans="2:9">
      <c r="B27" s="11"/>
      <c r="C27" s="12"/>
      <c r="D27" s="12"/>
      <c r="E27" s="12"/>
      <c r="F27" s="12"/>
      <c r="G27" s="12"/>
      <c r="H27" s="12"/>
      <c r="I27" s="13"/>
    </row>
    <row r="30" spans="2:9">
      <c r="B30" s="56" t="s">
        <v>191</v>
      </c>
    </row>
    <row r="31" spans="2:9">
      <c r="B31" s="2"/>
      <c r="C31" s="3"/>
      <c r="D31" s="3"/>
      <c r="E31" s="3"/>
      <c r="F31" s="3"/>
      <c r="G31" s="3"/>
      <c r="H31" s="3"/>
      <c r="I31" s="4"/>
    </row>
    <row r="32" spans="2:9">
      <c r="B32" s="5"/>
      <c r="C32" s="49" t="s">
        <v>268</v>
      </c>
      <c r="D32" s="10"/>
      <c r="E32" s="10"/>
      <c r="F32" s="49" t="s">
        <v>192</v>
      </c>
      <c r="G32" s="10"/>
      <c r="H32" s="10"/>
      <c r="I32" s="55"/>
    </row>
    <row r="33" spans="2:9">
      <c r="B33" s="5"/>
      <c r="C33" s="117" t="s">
        <v>145</v>
      </c>
      <c r="D33" s="119" t="s">
        <v>195</v>
      </c>
      <c r="E33" s="7"/>
      <c r="F33" s="78" t="s">
        <v>11</v>
      </c>
      <c r="G33" s="78" t="s">
        <v>12</v>
      </c>
      <c r="H33" s="10"/>
      <c r="I33" s="55"/>
    </row>
    <row r="34" spans="2:9">
      <c r="B34" s="5"/>
      <c r="C34" s="118" t="s">
        <v>196</v>
      </c>
      <c r="D34" s="111" t="s">
        <v>85</v>
      </c>
      <c r="E34" s="9"/>
      <c r="F34" s="71" t="s">
        <v>185</v>
      </c>
      <c r="G34" s="75">
        <v>1.1300000000000001E-3</v>
      </c>
      <c r="H34" s="10"/>
      <c r="I34" s="55"/>
    </row>
    <row r="35" spans="2:9">
      <c r="B35" s="5"/>
      <c r="C35" s="29" t="s">
        <v>197</v>
      </c>
      <c r="D35" s="121" t="b">
        <v>1</v>
      </c>
      <c r="E35" s="9"/>
      <c r="F35" s="72" t="s">
        <v>47</v>
      </c>
      <c r="G35" s="76">
        <v>1.1925E-3</v>
      </c>
      <c r="H35" s="10"/>
      <c r="I35" s="55"/>
    </row>
    <row r="36" spans="2:9">
      <c r="B36" s="5"/>
      <c r="C36" s="29" t="s">
        <v>198</v>
      </c>
      <c r="D36" s="108" t="s">
        <v>231</v>
      </c>
      <c r="E36" s="9"/>
      <c r="F36" s="72" t="s">
        <v>43</v>
      </c>
      <c r="G36" s="76">
        <v>1.2425000000000001E-3</v>
      </c>
      <c r="H36" s="10"/>
      <c r="I36" s="55"/>
    </row>
    <row r="37" spans="2:9">
      <c r="B37" s="5"/>
      <c r="C37" s="29" t="s">
        <v>199</v>
      </c>
      <c r="D37" s="108" t="s">
        <v>150</v>
      </c>
      <c r="E37" s="9"/>
      <c r="F37" s="72" t="s">
        <v>50</v>
      </c>
      <c r="G37" s="76">
        <v>1.2975E-3</v>
      </c>
      <c r="H37" s="10"/>
      <c r="I37" s="55"/>
    </row>
    <row r="38" spans="2:9">
      <c r="B38" s="5"/>
      <c r="C38" s="29" t="s">
        <v>200</v>
      </c>
      <c r="D38" s="108" t="s">
        <v>28</v>
      </c>
      <c r="E38" s="9"/>
      <c r="F38" s="72" t="s">
        <v>52</v>
      </c>
      <c r="G38" s="76">
        <v>1.3324999999999999E-3</v>
      </c>
      <c r="H38" s="10"/>
      <c r="I38" s="55"/>
    </row>
    <row r="39" spans="2:9">
      <c r="B39" s="5"/>
      <c r="C39" s="29" t="s">
        <v>201</v>
      </c>
      <c r="D39" s="68" t="s">
        <v>22</v>
      </c>
      <c r="E39" s="9"/>
      <c r="F39" s="72" t="s">
        <v>54</v>
      </c>
      <c r="G39" s="76">
        <v>1.3074999999999999E-3</v>
      </c>
      <c r="H39" s="10"/>
      <c r="I39" s="55"/>
    </row>
    <row r="40" spans="2:9">
      <c r="B40" s="5"/>
      <c r="C40" s="29" t="s">
        <v>202</v>
      </c>
      <c r="D40" s="108" t="s">
        <v>30</v>
      </c>
      <c r="E40" s="9"/>
      <c r="F40" s="72" t="s">
        <v>56</v>
      </c>
      <c r="G40" s="76">
        <v>1.2725E-3</v>
      </c>
      <c r="H40" s="10"/>
      <c r="I40" s="55"/>
    </row>
    <row r="41" spans="2:9">
      <c r="B41" s="5"/>
      <c r="C41" s="29" t="s">
        <v>203</v>
      </c>
      <c r="D41" s="108" t="s">
        <v>233</v>
      </c>
      <c r="E41" s="9"/>
      <c r="F41" s="72" t="s">
        <v>58</v>
      </c>
      <c r="G41" s="76">
        <v>1.2275000000000001E-3</v>
      </c>
      <c r="H41" s="10"/>
      <c r="I41" s="55"/>
    </row>
    <row r="42" spans="2:9">
      <c r="B42" s="5"/>
      <c r="C42" s="29" t="s">
        <v>204</v>
      </c>
      <c r="D42" s="108" t="s">
        <v>234</v>
      </c>
      <c r="E42" s="9"/>
      <c r="F42" s="72" t="s">
        <v>60</v>
      </c>
      <c r="G42" s="76">
        <v>1.1675000000000001E-3</v>
      </c>
      <c r="H42" s="10"/>
      <c r="I42" s="55"/>
    </row>
    <row r="43" spans="2:9">
      <c r="B43" s="5"/>
      <c r="C43" s="29" t="s">
        <v>205</v>
      </c>
      <c r="D43" s="108" t="s">
        <v>171</v>
      </c>
      <c r="E43" s="9"/>
      <c r="F43" s="72" t="s">
        <v>61</v>
      </c>
      <c r="G43" s="76">
        <v>1.1025E-3</v>
      </c>
      <c r="H43" s="10"/>
      <c r="I43" s="55"/>
    </row>
    <row r="44" spans="2:9">
      <c r="B44" s="5"/>
      <c r="C44" s="29" t="s">
        <v>206</v>
      </c>
      <c r="D44" s="108" t="s">
        <v>150</v>
      </c>
      <c r="E44" s="9"/>
      <c r="F44" s="72" t="s">
        <v>62</v>
      </c>
      <c r="G44" s="76">
        <v>1.0425E-3</v>
      </c>
      <c r="H44" s="10"/>
      <c r="I44" s="55"/>
    </row>
    <row r="45" spans="2:9">
      <c r="B45" s="5"/>
      <c r="C45" s="29" t="s">
        <v>207</v>
      </c>
      <c r="D45" s="108" t="s">
        <v>2</v>
      </c>
      <c r="E45" s="9"/>
      <c r="F45" s="72" t="s">
        <v>63</v>
      </c>
      <c r="G45" s="76">
        <v>9.9250000000000011E-4</v>
      </c>
      <c r="H45" s="10"/>
      <c r="I45" s="55"/>
    </row>
    <row r="46" spans="2:9">
      <c r="B46" s="5"/>
      <c r="C46" s="29" t="s">
        <v>208</v>
      </c>
      <c r="D46" s="108" t="s">
        <v>101</v>
      </c>
      <c r="E46" s="9"/>
      <c r="F46" s="72" t="s">
        <v>64</v>
      </c>
      <c r="G46" s="76">
        <v>8.6249999999999999E-4</v>
      </c>
      <c r="H46" s="10"/>
      <c r="I46" s="55"/>
    </row>
    <row r="47" spans="2:9">
      <c r="B47" s="5"/>
      <c r="C47" s="29" t="s">
        <v>209</v>
      </c>
      <c r="D47" s="108" t="s">
        <v>232</v>
      </c>
      <c r="E47" s="9"/>
      <c r="F47" s="72" t="s">
        <v>65</v>
      </c>
      <c r="G47" s="76">
        <v>6.8749999999999996E-4</v>
      </c>
      <c r="H47" s="10"/>
      <c r="I47" s="55"/>
    </row>
    <row r="48" spans="2:9">
      <c r="B48" s="5"/>
      <c r="C48" s="29" t="s">
        <v>210</v>
      </c>
      <c r="D48" s="108">
        <v>2</v>
      </c>
      <c r="E48" s="9"/>
      <c r="F48" s="72" t="s">
        <v>66</v>
      </c>
      <c r="G48" s="76">
        <v>5.8250000000000001E-4</v>
      </c>
      <c r="H48" s="10"/>
      <c r="I48" s="55"/>
    </row>
    <row r="49" spans="2:9">
      <c r="B49" s="5"/>
      <c r="C49" s="29" t="s">
        <v>211</v>
      </c>
      <c r="D49" s="68" t="s">
        <v>22</v>
      </c>
      <c r="E49" s="9"/>
      <c r="F49" s="72" t="s">
        <v>67</v>
      </c>
      <c r="G49" s="76">
        <v>5.1250000000000004E-4</v>
      </c>
      <c r="H49" s="10"/>
      <c r="I49" s="55"/>
    </row>
    <row r="50" spans="2:9">
      <c r="B50" s="5"/>
      <c r="C50" s="118" t="s">
        <v>212</v>
      </c>
      <c r="D50" s="120" t="s">
        <v>231</v>
      </c>
      <c r="E50" s="9"/>
      <c r="F50" s="72"/>
      <c r="G50" s="76"/>
      <c r="H50" s="10"/>
      <c r="I50" s="55"/>
    </row>
    <row r="51" spans="2:9">
      <c r="B51" s="5"/>
      <c r="C51" s="29" t="s">
        <v>213</v>
      </c>
      <c r="D51" s="108" t="s">
        <v>150</v>
      </c>
      <c r="E51" s="9"/>
      <c r="F51" s="72"/>
      <c r="G51" s="76"/>
      <c r="H51" s="10"/>
      <c r="I51" s="55"/>
    </row>
    <row r="52" spans="2:9">
      <c r="B52" s="5"/>
      <c r="C52" s="29" t="s">
        <v>214</v>
      </c>
      <c r="D52" s="108" t="s">
        <v>28</v>
      </c>
      <c r="E52" s="9"/>
      <c r="F52" s="72"/>
      <c r="G52" s="76"/>
      <c r="H52" s="10"/>
      <c r="I52" s="55"/>
    </row>
    <row r="53" spans="2:9">
      <c r="B53" s="5"/>
      <c r="C53" s="29" t="s">
        <v>215</v>
      </c>
      <c r="D53" s="68" t="s">
        <v>22</v>
      </c>
      <c r="E53" s="9"/>
      <c r="F53" s="72"/>
      <c r="G53" s="76"/>
      <c r="H53" s="10"/>
      <c r="I53" s="55"/>
    </row>
    <row r="54" spans="2:9">
      <c r="B54" s="5"/>
      <c r="C54" s="29" t="s">
        <v>216</v>
      </c>
      <c r="D54" s="108">
        <v>2</v>
      </c>
      <c r="E54" s="9"/>
      <c r="F54" s="72"/>
      <c r="G54" s="76"/>
      <c r="H54" s="10"/>
      <c r="I54" s="55"/>
    </row>
    <row r="55" spans="2:9">
      <c r="B55" s="5"/>
      <c r="C55" s="29" t="s">
        <v>217</v>
      </c>
      <c r="D55" s="108" t="s">
        <v>218</v>
      </c>
      <c r="E55" s="9"/>
      <c r="F55" s="72"/>
      <c r="G55" s="76"/>
      <c r="H55" s="10"/>
      <c r="I55" s="55"/>
    </row>
    <row r="56" spans="2:9">
      <c r="B56" s="5"/>
      <c r="C56" s="29" t="s">
        <v>219</v>
      </c>
      <c r="D56" s="108" t="s">
        <v>235</v>
      </c>
      <c r="E56" s="9"/>
      <c r="F56" s="72"/>
      <c r="G56" s="76"/>
      <c r="H56" s="10"/>
      <c r="I56" s="55"/>
    </row>
    <row r="57" spans="2:9">
      <c r="B57" s="5"/>
      <c r="C57" s="29" t="s">
        <v>220</v>
      </c>
      <c r="D57" s="108" t="s">
        <v>171</v>
      </c>
      <c r="E57" s="9"/>
      <c r="F57" s="72"/>
      <c r="G57" s="76"/>
      <c r="H57" s="10"/>
      <c r="I57" s="55"/>
    </row>
    <row r="58" spans="2:9">
      <c r="B58" s="5"/>
      <c r="C58" s="29" t="s">
        <v>221</v>
      </c>
      <c r="D58" s="108" t="s">
        <v>150</v>
      </c>
      <c r="E58" s="9"/>
      <c r="F58" s="72"/>
      <c r="G58" s="76"/>
      <c r="H58" s="10"/>
      <c r="I58" s="55"/>
    </row>
    <row r="59" spans="2:9">
      <c r="B59" s="5"/>
      <c r="C59" s="29" t="s">
        <v>222</v>
      </c>
      <c r="D59" s="108" t="s">
        <v>232</v>
      </c>
      <c r="E59" s="9"/>
      <c r="F59" s="72"/>
      <c r="G59" s="76"/>
      <c r="H59" s="10"/>
      <c r="I59" s="55"/>
    </row>
    <row r="60" spans="2:9">
      <c r="B60" s="5"/>
      <c r="C60" s="29" t="s">
        <v>223</v>
      </c>
      <c r="D60" s="108" t="s">
        <v>101</v>
      </c>
      <c r="E60" s="9"/>
      <c r="F60" s="72"/>
      <c r="G60" s="76"/>
      <c r="H60" s="10"/>
      <c r="I60" s="55"/>
    </row>
    <row r="61" spans="2:9">
      <c r="B61" s="5"/>
      <c r="C61" s="29" t="s">
        <v>224</v>
      </c>
      <c r="D61" s="108" t="s">
        <v>232</v>
      </c>
      <c r="E61" s="9"/>
      <c r="F61" s="72"/>
      <c r="G61" s="76"/>
      <c r="H61" s="10"/>
      <c r="I61" s="55"/>
    </row>
    <row r="62" spans="2:9">
      <c r="B62" s="5"/>
      <c r="C62" s="29" t="s">
        <v>225</v>
      </c>
      <c r="D62" s="108" t="s">
        <v>124</v>
      </c>
      <c r="E62" s="9"/>
      <c r="F62" s="72"/>
      <c r="G62" s="76"/>
      <c r="H62" s="10"/>
      <c r="I62" s="55"/>
    </row>
    <row r="63" spans="2:9">
      <c r="B63" s="5"/>
      <c r="C63" s="29" t="s">
        <v>226</v>
      </c>
      <c r="D63" s="68" t="s">
        <v>22</v>
      </c>
      <c r="E63" s="9"/>
      <c r="F63" s="72"/>
      <c r="G63" s="76"/>
      <c r="H63" s="10"/>
      <c r="I63" s="55"/>
    </row>
    <row r="64" spans="2:9">
      <c r="B64" s="5"/>
      <c r="C64" s="118" t="s">
        <v>227</v>
      </c>
      <c r="D64" s="120" t="s">
        <v>228</v>
      </c>
      <c r="E64" s="9"/>
      <c r="F64" s="72"/>
      <c r="G64" s="76"/>
      <c r="H64" s="10"/>
      <c r="I64" s="55"/>
    </row>
    <row r="65" spans="2:9">
      <c r="B65" s="5"/>
      <c r="C65" s="29" t="s">
        <v>135</v>
      </c>
      <c r="D65" s="108" t="b">
        <v>1</v>
      </c>
      <c r="E65" s="9"/>
      <c r="F65" s="72"/>
      <c r="G65" s="76"/>
      <c r="H65" s="10"/>
      <c r="I65" s="55"/>
    </row>
    <row r="66" spans="2:9">
      <c r="B66" s="5"/>
      <c r="C66" s="29" t="s">
        <v>181</v>
      </c>
      <c r="D66" s="108" t="b">
        <v>1</v>
      </c>
      <c r="E66" s="9"/>
      <c r="F66" s="72"/>
      <c r="G66" s="76"/>
      <c r="H66" s="10"/>
      <c r="I66" s="55"/>
    </row>
    <row r="67" spans="2:9">
      <c r="B67" s="5"/>
      <c r="C67" s="29" t="s">
        <v>180</v>
      </c>
      <c r="D67" s="111" t="s">
        <v>85</v>
      </c>
      <c r="E67" s="9"/>
      <c r="F67" s="72"/>
      <c r="G67" s="76"/>
      <c r="H67" s="10"/>
      <c r="I67" s="55"/>
    </row>
    <row r="68" spans="2:9">
      <c r="B68" s="5"/>
      <c r="C68" s="29" t="s">
        <v>184</v>
      </c>
      <c r="D68" s="108" t="s">
        <v>229</v>
      </c>
      <c r="E68" s="9"/>
      <c r="F68" s="72"/>
      <c r="G68" s="76"/>
      <c r="H68" s="10"/>
      <c r="I68" s="55"/>
    </row>
    <row r="69" spans="2:9">
      <c r="B69" s="5"/>
      <c r="C69" s="29" t="s">
        <v>183</v>
      </c>
      <c r="D69" s="108" t="s">
        <v>171</v>
      </c>
      <c r="E69" s="9"/>
      <c r="F69" s="72"/>
      <c r="G69" s="76"/>
      <c r="H69" s="10"/>
      <c r="I69" s="55"/>
    </row>
    <row r="70" spans="2:9">
      <c r="B70" s="5"/>
      <c r="C70" s="28" t="s">
        <v>136</v>
      </c>
      <c r="D70" s="38">
        <v>1.0000000000000001E-9</v>
      </c>
      <c r="E70" s="9"/>
      <c r="F70" s="72"/>
      <c r="G70" s="76"/>
      <c r="H70" s="10"/>
      <c r="I70" s="55"/>
    </row>
    <row r="71" spans="2:9">
      <c r="B71" s="5"/>
      <c r="C71" s="28" t="s">
        <v>137</v>
      </c>
      <c r="D71" s="106">
        <v>1000</v>
      </c>
      <c r="E71" s="9"/>
      <c r="F71" s="72"/>
      <c r="G71" s="76"/>
      <c r="H71" s="10"/>
      <c r="I71" s="55"/>
    </row>
    <row r="72" spans="2:9">
      <c r="B72" s="5"/>
      <c r="C72" s="28" t="s">
        <v>182</v>
      </c>
      <c r="D72" s="35" t="b">
        <v>1</v>
      </c>
      <c r="E72" s="9"/>
      <c r="F72" s="72"/>
      <c r="G72" s="76"/>
      <c r="H72" s="10"/>
      <c r="I72" s="55"/>
    </row>
    <row r="73" spans="2:9">
      <c r="B73" s="5"/>
      <c r="C73" s="28"/>
      <c r="D73" s="35"/>
      <c r="E73" s="9"/>
      <c r="F73" s="72"/>
      <c r="G73" s="76"/>
      <c r="H73" s="10"/>
      <c r="I73" s="55"/>
    </row>
    <row r="74" spans="2:9">
      <c r="B74" s="5"/>
      <c r="C74" s="28"/>
      <c r="D74" s="35"/>
      <c r="E74" s="9"/>
      <c r="F74" s="72"/>
      <c r="G74" s="76"/>
      <c r="H74" s="10"/>
      <c r="I74" s="55"/>
    </row>
    <row r="75" spans="2:9">
      <c r="B75" s="5"/>
      <c r="C75" s="33"/>
      <c r="D75" s="40"/>
      <c r="E75" s="9"/>
      <c r="F75" s="73"/>
      <c r="G75" s="77"/>
      <c r="H75" s="10"/>
      <c r="I75" s="55"/>
    </row>
    <row r="76" spans="2:9">
      <c r="B76" s="5"/>
      <c r="C76" s="9"/>
      <c r="D76" s="9"/>
      <c r="E76" s="9"/>
      <c r="F76" s="10"/>
      <c r="G76" s="10"/>
      <c r="H76" s="10"/>
      <c r="I76" s="55"/>
    </row>
    <row r="77" spans="2:9">
      <c r="B77" s="11"/>
      <c r="C77" s="12"/>
      <c r="D77" s="12"/>
      <c r="E77" s="12"/>
      <c r="F77" s="12"/>
      <c r="G77" s="12"/>
      <c r="H77" s="12"/>
      <c r="I77" s="13"/>
    </row>
  </sheetData>
  <dataValidations disablePrompts="1" count="2">
    <dataValidation type="list" allowBlank="1" showInputMessage="1" showErrorMessage="1" sqref="D23 D67 D34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39 D49 D53 D63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68</vt:i4>
      </vt:variant>
    </vt:vector>
  </HeadingPairs>
  <TitlesOfParts>
    <vt:vector size="74" baseType="lpstr">
      <vt:lpstr>USD OIS</vt:lpstr>
      <vt:lpstr>USD SWAP 3ML</vt:lpstr>
      <vt:lpstr>EUR OIS</vt:lpstr>
      <vt:lpstr>EUR SWAP 6ML</vt:lpstr>
      <vt:lpstr>EUR BASIS 3ML</vt:lpstr>
      <vt:lpstr>XCCY BASIS</vt:lpstr>
      <vt:lpstr>Curve.BuildProperties</vt:lpstr>
      <vt:lpstr>Curve.CollectionName</vt:lpstr>
      <vt:lpstr>Curve.MarketDataTable</vt:lpstr>
      <vt:lpstr>Curve.OISIndexName</vt:lpstr>
      <vt:lpstr>'USD OIS'!CurveBuildProperties</vt:lpstr>
      <vt:lpstr>'USD SWAP 3ML'!CurveBuildProperties</vt:lpstr>
      <vt:lpstr>'XCCY BASIS'!CurveBuildProperties</vt:lpstr>
      <vt:lpstr>'USD OIS'!CurveCollection</vt:lpstr>
      <vt:lpstr>'USD SWAP 3ML'!CurveCollection</vt:lpstr>
      <vt:lpstr>'XCCY BASIS'!CurveCollection</vt:lpstr>
      <vt:lpstr>FRA.Conventions</vt:lpstr>
      <vt:lpstr>FRA.MarketDataX3</vt:lpstr>
      <vt:lpstr>FRA.MarketDataX6</vt:lpstr>
      <vt:lpstr>'USD SWAP 3ML'!FRAConventions</vt:lpstr>
      <vt:lpstr>'USD SWAP 3ML'!FRAMarketData3M</vt:lpstr>
      <vt:lpstr>'USD SWAP 3ML'!FRAMarketData6M</vt:lpstr>
      <vt:lpstr>Futures.Conventions</vt:lpstr>
      <vt:lpstr>Futures.MarketData</vt:lpstr>
      <vt:lpstr>'USD SWAP 3ML'!FuturesConventions</vt:lpstr>
      <vt:lpstr>'USD SWAP 3ML'!FuturesMarketData</vt:lpstr>
      <vt:lpstr>'USD OIS'!IndexName</vt:lpstr>
      <vt:lpstr>'USD SWAP 3ML'!IndexName</vt:lpstr>
      <vt:lpstr>'XCCY BASIS'!IndexName</vt:lpstr>
      <vt:lpstr>isLoadedEUR3ML</vt:lpstr>
      <vt:lpstr>isLoadedEUR6ML</vt:lpstr>
      <vt:lpstr>isLoadedEURDF_USDCSA</vt:lpstr>
      <vt:lpstr>isLoadedEUROIS</vt:lpstr>
      <vt:lpstr>isLoadedUSD3ML</vt:lpstr>
      <vt:lpstr>isLoadedUSDOIS</vt:lpstr>
      <vt:lpstr>Libor.Conventions</vt:lpstr>
      <vt:lpstr>Libor.MarketData</vt:lpstr>
      <vt:lpstr>'USD SWAP 3ML'!LiborConventions</vt:lpstr>
      <vt:lpstr>'USD SWAP 3ML'!LiborMarketData</vt:lpstr>
      <vt:lpstr>LiborOISBasis.Conventions</vt:lpstr>
      <vt:lpstr>LiborOISBasis.MarketData</vt:lpstr>
      <vt:lpstr>'USD OIS'!LiborSwap.Conventions</vt:lpstr>
      <vt:lpstr>LiborSwap.Conventions</vt:lpstr>
      <vt:lpstr>'USD OIS'!LiborSwap.MarketData</vt:lpstr>
      <vt:lpstr>LiborSwap.MarketData</vt:lpstr>
      <vt:lpstr>MoneyMarket.Conventions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'USD OIS'!OISConventions</vt:lpstr>
      <vt:lpstr>'USD OIS'!OISFixingTable</vt:lpstr>
      <vt:lpstr>'USD OIS'!OISMarketData</vt:lpstr>
      <vt:lpstr>'USD OIS'!StaticDataTable</vt:lpstr>
      <vt:lpstr>'USD SWAP 3ML'!StaticDataTable</vt:lpstr>
      <vt:lpstr>'XCCY BASIS'!StaticDataTable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'USD SWAP 3ML'!SwapConventions</vt:lpstr>
      <vt:lpstr>'USD SWAP 3ML'!SwapMarketData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  <vt:lpstr>'XCCY BASIS'!XccyBasisMarketData</vt:lpstr>
      <vt:lpstr>'XCCY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2016-10-10T10:39:20Z</dcterms:modified>
</cp:coreProperties>
</file>