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50" windowWidth="20700" windowHeight="11700" tabRatio="703" activeTab="2"/>
  </bookViews>
  <sheets>
    <sheet name="USD OIS" sheetId="9" r:id="rId1"/>
    <sheet name="USD SWAP 3ML" sheetId="10" r:id="rId2"/>
    <sheet name="USD Forwards" sheetId="19" r:id="rId3"/>
  </sheets>
  <definedNames>
    <definedName name="COB">'USD OIS'!$D$20</definedName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CurveBuildProperties" localSheetId="0">'USD OIS'!$C$20:$D$24</definedName>
    <definedName name="CurveBuildProperties" localSheetId="1">'USD SWAP 3ML'!$C$22:$D$31</definedName>
    <definedName name="CurveCollection" localSheetId="0">'USD OIS'!$D$11</definedName>
    <definedName name="CurveCollection" localSheetId="1">'USD SWAP 3ML'!$D$13</definedName>
    <definedName name="ForwardCurves.CurveID" localSheetId="2">#REF!</definedName>
    <definedName name="ForwardCurves.CurveID">#REF!</definedName>
    <definedName name="ForwardCurves.Interpolation" localSheetId="2">#REF!</definedName>
    <definedName name="ForwardCurves.Interpolation">#REF!</definedName>
    <definedName name="ForwardCurves.Periodicity" localSheetId="2">#REF!</definedName>
    <definedName name="ForwardCurves.Periodicity">#REF!</definedName>
    <definedName name="Forwards.EUR1ML" localSheetId="2">#REF!</definedName>
    <definedName name="Forwards.EUR1ML">#REF!</definedName>
    <definedName name="Forwards.OIS" localSheetId="2">#REF!</definedName>
    <definedName name="Forwards.OIS">#REF!</definedName>
    <definedName name="Forwards.StartDate" localSheetId="2">#REF!</definedName>
    <definedName name="Forwards.StartDate">#REF!</definedName>
    <definedName name="FRA.Conventions">#REF!</definedName>
    <definedName name="FRA.MarketDataX3">#REF!</definedName>
    <definedName name="FRA.MarketDataX6">#REF!</definedName>
    <definedName name="FRAConventions" localSheetId="1">'USD SWAP 3ML'!$C$51:$D$64</definedName>
    <definedName name="FRAMarketData3M" localSheetId="1">'USD SWAP 3ML'!$F$52:$G$64</definedName>
    <definedName name="FRAMarketData6M" localSheetId="1">'USD SWAP 3ML'!$I$52:$J$64</definedName>
    <definedName name="Futures.Conventions">#REF!</definedName>
    <definedName name="Futures.MarketData">#REF!</definedName>
    <definedName name="FuturesConventions" localSheetId="1">'USD SWAP 3ML'!$C$72:$D$85</definedName>
    <definedName name="FuturesMarketData" localSheetId="1">'USD SWAP 3ML'!$F$73:$J$85</definedName>
    <definedName name="IndexName" localSheetId="0">'USD OIS'!$D$13</definedName>
    <definedName name="IndexName" localSheetId="1">'USD SWAP 3ML'!$D$15</definedName>
    <definedName name="isEUR3MLLoaded">#REF!</definedName>
    <definedName name="isEUR6MLLoaded">#REF!</definedName>
    <definedName name="isEURGBPLoaded">#REF!</definedName>
    <definedName name="isEUROISLoaded">#REF!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'USD SWAP 3ML'!$D$9</definedName>
    <definedName name="isUSDOISLoaded">'USD OIS'!$D$8</definedName>
    <definedName name="Libor.Conventions">#REF!</definedName>
    <definedName name="Libor.MarketData">#REF!</definedName>
    <definedName name="LiborConventions" localSheetId="1">'USD SWAP 3ML'!$F$38:$G$43</definedName>
    <definedName name="LiborMarketData" localSheetId="1">'USD SWAP 3ML'!$I$39:$J$43</definedName>
    <definedName name="LiborOISBasis.Conventions">#REF!</definedName>
    <definedName name="LiborOISBasis.MarketData">#REF!</definedName>
    <definedName name="LiborSwap.Conventions" localSheetId="0">'USD OIS'!$I$64:$J$89</definedName>
    <definedName name="LiborSwap.Conventions">#REF!</definedName>
    <definedName name="LiborSwap.MarketData" localSheetId="0">'USD OIS'!$L$65:$M$89</definedName>
    <definedName name="LiborSwap.MarketData">#REF!</definedName>
    <definedName name="MoneyMarket.Conventions">#REF!</definedName>
    <definedName name="MoneyMarketConventions" localSheetId="1">'USD SWAP 3ML'!$C$38:$D$43</definedName>
    <definedName name="OIS.Conventions">#REF!</definedName>
    <definedName name="OIS.FixingTable">#REF!</definedName>
    <definedName name="OIS.MarketData">#REF!</definedName>
    <definedName name="OISBasis.Conventions" localSheetId="0">'USD OIS'!$C$64:$D$89</definedName>
    <definedName name="OISBasis.Spreads" localSheetId="0">'USD OIS'!$F$65:$G$89</definedName>
    <definedName name="OISConventions" localSheetId="0">'USD OIS'!$C$31:$D$57</definedName>
    <definedName name="OISFixingTable" localSheetId="0">'USD OIS'!$L$32:$M$57</definedName>
    <definedName name="OISMarketData" localSheetId="0">'USD OIS'!$F$32:$J$57</definedName>
    <definedName name="StaticDataTable" localSheetId="0">'USD OIS'!$D$12</definedName>
    <definedName name="StaticDataTable" localSheetId="1">'USD SWAP 3ML'!$D$14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SwapConventions" localSheetId="1">'USD SWAP 3ML'!$C$93:$D$111</definedName>
    <definedName name="SwapMarketData" localSheetId="1">'USD SWAP 3ML'!$F$94:$H$111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0" i="19" l="1"/>
  <c r="C10" i="19"/>
  <c r="B11" i="19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B68" i="19" s="1"/>
  <c r="B69" i="19" s="1"/>
  <c r="B70" i="19" s="1"/>
  <c r="B71" i="19" s="1"/>
  <c r="B72" i="19" s="1"/>
  <c r="B73" i="19" s="1"/>
  <c r="B74" i="19" s="1"/>
  <c r="B75" i="19" s="1"/>
  <c r="B76" i="19" s="1"/>
  <c r="B77" i="19" s="1"/>
  <c r="B78" i="19" s="1"/>
  <c r="B79" i="19" s="1"/>
  <c r="B80" i="19" s="1"/>
  <c r="B81" i="19" s="1"/>
  <c r="B82" i="19" s="1"/>
  <c r="B83" i="19" s="1"/>
  <c r="B84" i="19" s="1"/>
  <c r="B85" i="19" s="1"/>
  <c r="B86" i="19" s="1"/>
  <c r="B87" i="19" s="1"/>
  <c r="B88" i="19" s="1"/>
  <c r="B89" i="19" s="1"/>
  <c r="B90" i="19" s="1"/>
  <c r="B91" i="19" s="1"/>
  <c r="B92" i="19" s="1"/>
  <c r="B93" i="19" s="1"/>
  <c r="B94" i="19" s="1"/>
  <c r="B95" i="19" s="1"/>
  <c r="B96" i="19" s="1"/>
  <c r="B97" i="19" s="1"/>
  <c r="B98" i="19" s="1"/>
  <c r="B99" i="19" s="1"/>
  <c r="B100" i="19" s="1"/>
  <c r="B101" i="19" s="1"/>
  <c r="B102" i="19" s="1"/>
  <c r="B103" i="19" s="1"/>
  <c r="B104" i="19" s="1"/>
  <c r="B105" i="19" s="1"/>
  <c r="J72" i="10"/>
  <c r="C11" i="19" a="1"/>
  <c r="D11" i="19" a="1"/>
  <c r="C18" i="19" l="1"/>
  <c r="C26" i="19"/>
  <c r="C34" i="19"/>
  <c r="C42" i="19"/>
  <c r="C50" i="19"/>
  <c r="C58" i="19"/>
  <c r="C66" i="19"/>
  <c r="C74" i="19"/>
  <c r="C82" i="19"/>
  <c r="C90" i="19"/>
  <c r="C98" i="19"/>
  <c r="C13" i="19"/>
  <c r="C21" i="19"/>
  <c r="C29" i="19"/>
  <c r="C37" i="19"/>
  <c r="C45" i="19"/>
  <c r="C53" i="19"/>
  <c r="C61" i="19"/>
  <c r="C11" i="19"/>
  <c r="C19" i="19"/>
  <c r="C27" i="19"/>
  <c r="C35" i="19"/>
  <c r="C43" i="19"/>
  <c r="C51" i="19"/>
  <c r="C59" i="19"/>
  <c r="C67" i="19"/>
  <c r="C75" i="19"/>
  <c r="C83" i="19"/>
  <c r="C91" i="19"/>
  <c r="C99" i="19"/>
  <c r="C12" i="19"/>
  <c r="C20" i="19"/>
  <c r="C28" i="19"/>
  <c r="C36" i="19"/>
  <c r="C44" i="19"/>
  <c r="C52" i="19"/>
  <c r="C60" i="19"/>
  <c r="C68" i="19"/>
  <c r="C76" i="19"/>
  <c r="C84" i="19"/>
  <c r="C92" i="19"/>
  <c r="C100" i="19"/>
  <c r="C14" i="19"/>
  <c r="C22" i="19"/>
  <c r="C30" i="19"/>
  <c r="C38" i="19"/>
  <c r="C46" i="19"/>
  <c r="C54" i="19"/>
  <c r="C62" i="19"/>
  <c r="C70" i="19"/>
  <c r="C78" i="19"/>
  <c r="C86" i="19"/>
  <c r="C94" i="19"/>
  <c r="C102" i="19"/>
  <c r="C15" i="19"/>
  <c r="C23" i="19"/>
  <c r="C31" i="19"/>
  <c r="C39" i="19"/>
  <c r="C47" i="19"/>
  <c r="C55" i="19"/>
  <c r="C63" i="19"/>
  <c r="C71" i="19"/>
  <c r="C79" i="19"/>
  <c r="C87" i="19"/>
  <c r="C95" i="19"/>
  <c r="C103" i="19"/>
  <c r="C16" i="19"/>
  <c r="C24" i="19"/>
  <c r="C32" i="19"/>
  <c r="C40" i="19"/>
  <c r="C48" i="19"/>
  <c r="C56" i="19"/>
  <c r="C64" i="19"/>
  <c r="C72" i="19"/>
  <c r="C80" i="19"/>
  <c r="C88" i="19"/>
  <c r="C96" i="19"/>
  <c r="C104" i="19"/>
  <c r="C17" i="19"/>
  <c r="C25" i="19"/>
  <c r="C77" i="19"/>
  <c r="C33" i="19"/>
  <c r="C81" i="19"/>
  <c r="C41" i="19"/>
  <c r="C85" i="19"/>
  <c r="C49" i="19"/>
  <c r="C89" i="19"/>
  <c r="C57" i="19"/>
  <c r="C93" i="19"/>
  <c r="C65" i="19"/>
  <c r="C97" i="19"/>
  <c r="C69" i="19"/>
  <c r="C101" i="19"/>
  <c r="C73" i="19"/>
  <c r="C105" i="19"/>
  <c r="D18" i="19"/>
  <c r="D26" i="19"/>
  <c r="D34" i="19"/>
  <c r="D42" i="19"/>
  <c r="D50" i="19"/>
  <c r="D58" i="19"/>
  <c r="D66" i="19"/>
  <c r="D74" i="19"/>
  <c r="D82" i="19"/>
  <c r="D90" i="19"/>
  <c r="D98" i="19"/>
  <c r="D13" i="19"/>
  <c r="D21" i="19"/>
  <c r="D29" i="19"/>
  <c r="D37" i="19"/>
  <c r="D45" i="19"/>
  <c r="D53" i="19"/>
  <c r="D61" i="19"/>
  <c r="D69" i="19"/>
  <c r="D77" i="19"/>
  <c r="D85" i="19"/>
  <c r="D93" i="19"/>
  <c r="D101" i="19"/>
  <c r="D11" i="19"/>
  <c r="D19" i="19"/>
  <c r="D27" i="19"/>
  <c r="D35" i="19"/>
  <c r="D43" i="19"/>
  <c r="D51" i="19"/>
  <c r="D59" i="19"/>
  <c r="D67" i="19"/>
  <c r="D75" i="19"/>
  <c r="D83" i="19"/>
  <c r="D91" i="19"/>
  <c r="D99" i="19"/>
  <c r="D12" i="19"/>
  <c r="D20" i="19"/>
  <c r="D28" i="19"/>
  <c r="D36" i="19"/>
  <c r="D44" i="19"/>
  <c r="D52" i="19"/>
  <c r="D60" i="19"/>
  <c r="D68" i="19"/>
  <c r="D76" i="19"/>
  <c r="D84" i="19"/>
  <c r="D92" i="19"/>
  <c r="D100" i="19"/>
  <c r="D14" i="19"/>
  <c r="D22" i="19"/>
  <c r="D30" i="19"/>
  <c r="D38" i="19"/>
  <c r="D46" i="19"/>
  <c r="D54" i="19"/>
  <c r="D62" i="19"/>
  <c r="D70" i="19"/>
  <c r="D78" i="19"/>
  <c r="D86" i="19"/>
  <c r="D94" i="19"/>
  <c r="D102" i="19"/>
  <c r="D15" i="19"/>
  <c r="D23" i="19"/>
  <c r="D31" i="19"/>
  <c r="D39" i="19"/>
  <c r="D47" i="19"/>
  <c r="D55" i="19"/>
  <c r="D63" i="19"/>
  <c r="D71" i="19"/>
  <c r="D79" i="19"/>
  <c r="D87" i="19"/>
  <c r="D95" i="19"/>
  <c r="D103" i="19"/>
  <c r="D16" i="19"/>
  <c r="D24" i="19"/>
  <c r="D32" i="19"/>
  <c r="D40" i="19"/>
  <c r="D48" i="19"/>
  <c r="D56" i="19"/>
  <c r="D64" i="19"/>
  <c r="D72" i="19"/>
  <c r="D80" i="19"/>
  <c r="D88" i="19"/>
  <c r="D96" i="19"/>
  <c r="D104" i="19"/>
  <c r="D17" i="19"/>
  <c r="D25" i="19"/>
  <c r="D33" i="19"/>
  <c r="D41" i="19"/>
  <c r="D49" i="19"/>
  <c r="D57" i="19"/>
  <c r="D65" i="19"/>
  <c r="D73" i="19"/>
  <c r="D81" i="19"/>
  <c r="D89" i="19"/>
  <c r="D97" i="19"/>
  <c r="D105" i="19"/>
  <c r="D7" i="9" l="1"/>
  <c r="D8" i="9" l="1"/>
  <c r="D8" i="10"/>
  <c r="D9" i="10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<sst xmlns="http://schemas.openxmlformats.org/spreadsheetml/2006/main" count="317" uniqueCount="163">
  <si>
    <t>Curve Names</t>
  </si>
  <si>
    <t>Calendar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</si>
  <si>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</si>
  <si>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</si>
  <si>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</si>
  <si>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</si>
  <si>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</si>
  <si>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</si>
  <si>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</si>
  <si>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</si>
  <si>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</si>
  <si>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</si>
  <si>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</si>
  <si>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</si>
  <si>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</si>
  <si>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</si>
  <si>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</si>
  <si>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</si>
  <si>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</si>
  <si>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</si>
  <si>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</si>
  <si>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</si>
  <si>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</si>
  <si>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</si>
  <si>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</si>
  <si>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</si>
  <si>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</si>
  <si>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</si>
  <si>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</si>
  <si>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</si>
  <si>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</si>
  <si>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</si>
  <si>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</si>
  <si>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</si>
  <si>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</si>
  <si>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</si>
  <si>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</si>
  <si>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</si>
  <si>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</si>
  <si>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</si>
  <si>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</si>
  <si>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</si>
  <si>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</si>
  <si>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</si>
  <si>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4Y</t>
  </si>
  <si>
    <t>5Y</t>
  </si>
  <si>
    <t>6Y</t>
  </si>
  <si>
    <t>7Y</t>
  </si>
  <si>
    <t>12M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</si>
  <si>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</si>
  <si>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</si>
  <si>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</si>
  <si>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</si>
  <si>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</si>
  <si>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</si>
  <si>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</si>
  <si>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</si>
  <si>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</si>
  <si>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</si>
  <si>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</si>
  <si>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</si>
  <si>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</si>
  <si>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</si>
  <si>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</si>
  <si>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</si>
  <si>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</si>
  <si>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</si>
  <si>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</si>
  <si>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</si>
  <si>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</si>
  <si>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</si>
  <si>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</si>
  <si>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</si>
  <si>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</si>
  <si>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</si>
  <si>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</si>
  <si>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</si>
  <si>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interpolation</t>
  </si>
  <si>
    <t>isfutureuse</t>
  </si>
  <si>
    <t>isfrause</t>
  </si>
  <si>
    <t>dfcurvename</t>
  </si>
  <si>
    <t>Cash Instruments</t>
  </si>
  <si>
    <t>DayCount</t>
  </si>
  <si>
    <t>FOLLOWING</t>
  </si>
  <si>
    <t>Resetlag</t>
  </si>
  <si>
    <t>IsEomRoll</t>
  </si>
  <si>
    <t>Libor Conventions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</si>
  <si>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</si>
  <si>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</si>
  <si>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</si>
  <si>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</si>
  <si>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</si>
  <si>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</si>
  <si>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</si>
  <si>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</si>
  <si>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</si>
  <si>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</si>
  <si>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</si>
  <si>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</si>
  <si>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</si>
  <si>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</si>
  <si>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</si>
  <si>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</si>
  <si>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</si>
  <si>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</si>
  <si>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</si>
  <si>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</si>
  <si>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</si>
  <si>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</si>
  <si>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</si>
  <si>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Act/360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</si>
  <si>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</si>
  <si>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</si>
  <si>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</si>
  <si>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</si>
  <si>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</si>
  <si>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</si>
  <si>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</si>
  <si>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</si>
  <si>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</si>
  <si>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</si>
  <si>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</si>
  <si>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</si>
  <si>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</si>
  <si>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</si>
  <si>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</si>
  <si>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</si>
  <si>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</si>
  <si>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</si>
  <si>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</si>
  <si>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</si>
  <si>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</si>
  <si>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</si>
  <si>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</si>
  <si>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</si>
  <si>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</si>
  <si>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</si>
  <si>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</si>
  <si>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</si>
  <si>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</si>
  <si>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</si>
  <si>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</si>
  <si>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</si>
  <si>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</si>
  <si>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</si>
  <si>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STD:USD3ML</t>
  </si>
  <si>
    <t>Curve Loaded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</si>
  <si>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</si>
  <si>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</si>
  <si>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</si>
  <si>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</si>
  <si>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CurveIndex</t>
  </si>
  <si>
    <t>USD3ML</t>
  </si>
  <si>
    <t>Libor Fixing Table</t>
  </si>
  <si>
    <t>Money Market O/N and T/N Conventions</t>
  </si>
  <si>
    <t>EomDay</t>
  </si>
  <si>
    <t>UseConvexAdjustment</t>
  </si>
  <si>
    <t>SmoothShortEnd</t>
  </si>
  <si>
    <t>USDOIS</t>
  </si>
  <si>
    <t>FixingDate</t>
  </si>
  <si>
    <t>meForwardRates("FixingDates","CurveCollection","CurveIndex")</t>
  </si>
  <si>
    <t>Periodicity, Days</t>
  </si>
  <si>
    <t>GenerateForwardsFromSwapsOnly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</si>
</sst>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,\ d\-mmm\-yy"/>
    <numFmt numFmtId="168" formatCode="0.0000%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/>
    <xf numFmtId="0" fontId="6" fillId="0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9" fillId="3" borderId="15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FFFFCC"/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829812115069777E-2"/>
          <c:y val="2.4692841174045636E-2"/>
          <c:w val="0.88484161014526641"/>
          <c:h val="0.79059401727213474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Forwards'!$C$10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Forwards'!$B$11:$B$105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42429</c:v>
                </c:pt>
                <c:pt idx="2">
                  <c:v>42439</c:v>
                </c:pt>
                <c:pt idx="3">
                  <c:v>42449</c:v>
                </c:pt>
                <c:pt idx="4">
                  <c:v>42459</c:v>
                </c:pt>
                <c:pt idx="5">
                  <c:v>42469</c:v>
                </c:pt>
                <c:pt idx="6">
                  <c:v>42479</c:v>
                </c:pt>
                <c:pt idx="7">
                  <c:v>42489</c:v>
                </c:pt>
                <c:pt idx="8">
                  <c:v>42499</c:v>
                </c:pt>
                <c:pt idx="9">
                  <c:v>42509</c:v>
                </c:pt>
                <c:pt idx="10">
                  <c:v>42519</c:v>
                </c:pt>
                <c:pt idx="11">
                  <c:v>42529</c:v>
                </c:pt>
                <c:pt idx="12">
                  <c:v>42539</c:v>
                </c:pt>
                <c:pt idx="13">
                  <c:v>42549</c:v>
                </c:pt>
                <c:pt idx="14">
                  <c:v>42559</c:v>
                </c:pt>
                <c:pt idx="15">
                  <c:v>42569</c:v>
                </c:pt>
                <c:pt idx="16">
                  <c:v>42579</c:v>
                </c:pt>
                <c:pt idx="17">
                  <c:v>42589</c:v>
                </c:pt>
                <c:pt idx="18">
                  <c:v>42599</c:v>
                </c:pt>
                <c:pt idx="19">
                  <c:v>42609</c:v>
                </c:pt>
                <c:pt idx="20">
                  <c:v>42619</c:v>
                </c:pt>
                <c:pt idx="21">
                  <c:v>42629</c:v>
                </c:pt>
                <c:pt idx="22">
                  <c:v>42639</c:v>
                </c:pt>
                <c:pt idx="23">
                  <c:v>42649</c:v>
                </c:pt>
                <c:pt idx="24">
                  <c:v>42659</c:v>
                </c:pt>
                <c:pt idx="25">
                  <c:v>42669</c:v>
                </c:pt>
                <c:pt idx="26">
                  <c:v>42679</c:v>
                </c:pt>
                <c:pt idx="27">
                  <c:v>42689</c:v>
                </c:pt>
                <c:pt idx="28">
                  <c:v>42699</c:v>
                </c:pt>
                <c:pt idx="29">
                  <c:v>42709</c:v>
                </c:pt>
                <c:pt idx="30">
                  <c:v>42719</c:v>
                </c:pt>
                <c:pt idx="31">
                  <c:v>42729</c:v>
                </c:pt>
                <c:pt idx="32">
                  <c:v>42739</c:v>
                </c:pt>
                <c:pt idx="33">
                  <c:v>42749</c:v>
                </c:pt>
                <c:pt idx="34">
                  <c:v>42759</c:v>
                </c:pt>
                <c:pt idx="35">
                  <c:v>42769</c:v>
                </c:pt>
                <c:pt idx="36">
                  <c:v>42779</c:v>
                </c:pt>
                <c:pt idx="37">
                  <c:v>42789</c:v>
                </c:pt>
                <c:pt idx="38">
                  <c:v>42799</c:v>
                </c:pt>
                <c:pt idx="39">
                  <c:v>42809</c:v>
                </c:pt>
                <c:pt idx="40">
                  <c:v>42819</c:v>
                </c:pt>
                <c:pt idx="41">
                  <c:v>42829</c:v>
                </c:pt>
                <c:pt idx="42">
                  <c:v>42839</c:v>
                </c:pt>
                <c:pt idx="43">
                  <c:v>42849</c:v>
                </c:pt>
                <c:pt idx="44">
                  <c:v>42859</c:v>
                </c:pt>
                <c:pt idx="45">
                  <c:v>42869</c:v>
                </c:pt>
                <c:pt idx="46">
                  <c:v>42879</c:v>
                </c:pt>
                <c:pt idx="47">
                  <c:v>42889</c:v>
                </c:pt>
                <c:pt idx="48">
                  <c:v>42899</c:v>
                </c:pt>
                <c:pt idx="49">
                  <c:v>42909</c:v>
                </c:pt>
                <c:pt idx="50">
                  <c:v>42919</c:v>
                </c:pt>
                <c:pt idx="51">
                  <c:v>42929</c:v>
                </c:pt>
                <c:pt idx="52">
                  <c:v>42939</c:v>
                </c:pt>
                <c:pt idx="53">
                  <c:v>42949</c:v>
                </c:pt>
                <c:pt idx="54">
                  <c:v>42959</c:v>
                </c:pt>
                <c:pt idx="55">
                  <c:v>42969</c:v>
                </c:pt>
                <c:pt idx="56">
                  <c:v>42979</c:v>
                </c:pt>
                <c:pt idx="57">
                  <c:v>42989</c:v>
                </c:pt>
                <c:pt idx="58">
                  <c:v>42999</c:v>
                </c:pt>
                <c:pt idx="59">
                  <c:v>43009</c:v>
                </c:pt>
                <c:pt idx="60">
                  <c:v>43019</c:v>
                </c:pt>
                <c:pt idx="61">
                  <c:v>43029</c:v>
                </c:pt>
                <c:pt idx="62">
                  <c:v>43039</c:v>
                </c:pt>
                <c:pt idx="63">
                  <c:v>43049</c:v>
                </c:pt>
                <c:pt idx="64">
                  <c:v>43059</c:v>
                </c:pt>
                <c:pt idx="65">
                  <c:v>43069</c:v>
                </c:pt>
                <c:pt idx="66">
                  <c:v>43079</c:v>
                </c:pt>
                <c:pt idx="67">
                  <c:v>43089</c:v>
                </c:pt>
                <c:pt idx="68">
                  <c:v>43099</c:v>
                </c:pt>
                <c:pt idx="69">
                  <c:v>43109</c:v>
                </c:pt>
                <c:pt idx="70">
                  <c:v>43119</c:v>
                </c:pt>
                <c:pt idx="71">
                  <c:v>43129</c:v>
                </c:pt>
                <c:pt idx="72">
                  <c:v>43139</c:v>
                </c:pt>
                <c:pt idx="73">
                  <c:v>43149</c:v>
                </c:pt>
                <c:pt idx="74">
                  <c:v>43159</c:v>
                </c:pt>
                <c:pt idx="75">
                  <c:v>43169</c:v>
                </c:pt>
                <c:pt idx="76">
                  <c:v>43179</c:v>
                </c:pt>
                <c:pt idx="77">
                  <c:v>43189</c:v>
                </c:pt>
                <c:pt idx="78">
                  <c:v>43199</c:v>
                </c:pt>
                <c:pt idx="79">
                  <c:v>43209</c:v>
                </c:pt>
                <c:pt idx="80">
                  <c:v>43219</c:v>
                </c:pt>
                <c:pt idx="81">
                  <c:v>43229</c:v>
                </c:pt>
                <c:pt idx="82">
                  <c:v>43239</c:v>
                </c:pt>
                <c:pt idx="83">
                  <c:v>43249</c:v>
                </c:pt>
                <c:pt idx="84">
                  <c:v>43259</c:v>
                </c:pt>
                <c:pt idx="85">
                  <c:v>43269</c:v>
                </c:pt>
                <c:pt idx="86">
                  <c:v>43279</c:v>
                </c:pt>
                <c:pt idx="87">
                  <c:v>43289</c:v>
                </c:pt>
                <c:pt idx="88">
                  <c:v>43299</c:v>
                </c:pt>
                <c:pt idx="89">
                  <c:v>43309</c:v>
                </c:pt>
                <c:pt idx="90">
                  <c:v>43319</c:v>
                </c:pt>
                <c:pt idx="91">
                  <c:v>43329</c:v>
                </c:pt>
                <c:pt idx="92">
                  <c:v>43339</c:v>
                </c:pt>
                <c:pt idx="93">
                  <c:v>43349</c:v>
                </c:pt>
                <c:pt idx="94">
                  <c:v>43359</c:v>
                </c:pt>
              </c:numCache>
            </c:numRef>
          </c:cat>
          <c:val>
            <c:numRef>
              <c:f>'USD Forwards'!$C$11:$C$105</c:f>
              <c:numCache>
                <c:formatCode>0.0000%</c:formatCode>
                <c:ptCount val="95"/>
                <c:pt idx="0">
                  <c:v>3.7067559101113812E-3</c:v>
                </c:pt>
                <c:pt idx="1">
                  <c:v>3.7068343658062108E-3</c:v>
                </c:pt>
                <c:pt idx="2">
                  <c:v>3.7068343657260527E-3</c:v>
                </c:pt>
                <c:pt idx="3">
                  <c:v>3.7068058575335794E-3</c:v>
                </c:pt>
                <c:pt idx="4">
                  <c:v>3.7068343657260527E-3</c:v>
                </c:pt>
                <c:pt idx="5">
                  <c:v>3.7067821795213618E-3</c:v>
                </c:pt>
                <c:pt idx="6">
                  <c:v>3.7068343657260527E-3</c:v>
                </c:pt>
                <c:pt idx="7">
                  <c:v>3.7068005571172513E-3</c:v>
                </c:pt>
                <c:pt idx="8">
                  <c:v>3.7068343657260527E-3</c:v>
                </c:pt>
                <c:pt idx="9">
                  <c:v>3.7068343657260527E-3</c:v>
                </c:pt>
                <c:pt idx="10">
                  <c:v>3.7067662294114623E-3</c:v>
                </c:pt>
                <c:pt idx="11">
                  <c:v>3.7068343657260527E-3</c:v>
                </c:pt>
                <c:pt idx="12">
                  <c:v>3.7067821796015199E-3</c:v>
                </c:pt>
                <c:pt idx="13">
                  <c:v>3.7068343657260527E-3</c:v>
                </c:pt>
                <c:pt idx="14">
                  <c:v>3.9075561189234609E-3</c:v>
                </c:pt>
                <c:pt idx="15">
                  <c:v>3.9075936887373874E-3</c:v>
                </c:pt>
                <c:pt idx="16">
                  <c:v>3.9075936888175455E-3</c:v>
                </c:pt>
                <c:pt idx="17">
                  <c:v>4.4096268622946244E-3</c:v>
                </c:pt>
                <c:pt idx="18">
                  <c:v>4.4096672057529762E-3</c:v>
                </c:pt>
                <c:pt idx="19">
                  <c:v>4.4095933540391208E-3</c:v>
                </c:pt>
                <c:pt idx="20">
                  <c:v>4.8617474584309317E-3</c:v>
                </c:pt>
                <c:pt idx="21">
                  <c:v>4.8616893014923335E-3</c:v>
                </c:pt>
                <c:pt idx="22">
                  <c:v>4.8617474584309317E-3</c:v>
                </c:pt>
                <c:pt idx="23">
                  <c:v>5.1632470178089029E-3</c:v>
                </c:pt>
                <c:pt idx="24">
                  <c:v>5.1631917074608236E-3</c:v>
                </c:pt>
                <c:pt idx="25">
                  <c:v>5.1632470178895051E-3</c:v>
                </c:pt>
                <c:pt idx="26">
                  <c:v>5.3641875516423632E-3</c:v>
                </c:pt>
                <c:pt idx="27">
                  <c:v>5.3642968395495316E-3</c:v>
                </c:pt>
                <c:pt idx="28">
                  <c:v>5.3642135515354905E-3</c:v>
                </c:pt>
                <c:pt idx="29">
                  <c:v>5.6659467653294993E-3</c:v>
                </c:pt>
                <c:pt idx="30">
                  <c:v>5.6659467653294993E-3</c:v>
                </c:pt>
                <c:pt idx="31">
                  <c:v>5.6657875765351307E-3</c:v>
                </c:pt>
                <c:pt idx="32">
                  <c:v>5.816805572418815E-3</c:v>
                </c:pt>
                <c:pt idx="33">
                  <c:v>5.8166007246083229E-3</c:v>
                </c:pt>
                <c:pt idx="34">
                  <c:v>5.8168055724190371E-3</c:v>
                </c:pt>
                <c:pt idx="35">
                  <c:v>6.1688035903382232E-3</c:v>
                </c:pt>
                <c:pt idx="36">
                  <c:v>6.1688972229323458E-3</c:v>
                </c:pt>
                <c:pt idx="37">
                  <c:v>6.1688972230127259E-3</c:v>
                </c:pt>
                <c:pt idx="38">
                  <c:v>6.2796230484520876E-3</c:v>
                </c:pt>
                <c:pt idx="39">
                  <c:v>6.4638194330635113E-3</c:v>
                </c:pt>
                <c:pt idx="40">
                  <c:v>6.6430565714568068E-3</c:v>
                </c:pt>
                <c:pt idx="41">
                  <c:v>6.8160352593011897E-3</c:v>
                </c:pt>
                <c:pt idx="42">
                  <c:v>6.981526174655972E-3</c:v>
                </c:pt>
                <c:pt idx="43">
                  <c:v>7.138280293746524E-3</c:v>
                </c:pt>
                <c:pt idx="44">
                  <c:v>7.2850059080160623E-3</c:v>
                </c:pt>
                <c:pt idx="45">
                  <c:v>7.4204338079926213E-3</c:v>
                </c:pt>
                <c:pt idx="46">
                  <c:v>7.6428760956319675E-3</c:v>
                </c:pt>
                <c:pt idx="47">
                  <c:v>7.9084030220180068E-3</c:v>
                </c:pt>
                <c:pt idx="48">
                  <c:v>8.0265059628514823E-3</c:v>
                </c:pt>
                <c:pt idx="49">
                  <c:v>8.1435620912613249E-3</c:v>
                </c:pt>
                <c:pt idx="50">
                  <c:v>8.2594889460805287E-3</c:v>
                </c:pt>
                <c:pt idx="51">
                  <c:v>8.3742070099992461E-3</c:v>
                </c:pt>
                <c:pt idx="52">
                  <c:v>8.4876275005811852E-3</c:v>
                </c:pt>
                <c:pt idx="53">
                  <c:v>8.5996755075017361E-3</c:v>
                </c:pt>
                <c:pt idx="54">
                  <c:v>8.710267596319321E-3</c:v>
                </c:pt>
                <c:pt idx="55">
                  <c:v>8.819312454727557E-3</c:v>
                </c:pt>
                <c:pt idx="56">
                  <c:v>8.9390692059416743E-3</c:v>
                </c:pt>
                <c:pt idx="57">
                  <c:v>9.1021514392100045E-3</c:v>
                </c:pt>
                <c:pt idx="58">
                  <c:v>9.2421999845913039E-3</c:v>
                </c:pt>
                <c:pt idx="59">
                  <c:v>9.3591834145509978E-3</c:v>
                </c:pt>
                <c:pt idx="60">
                  <c:v>9.453071040048E-3</c:v>
                </c:pt>
                <c:pt idx="61">
                  <c:v>9.5238330621976175E-3</c:v>
                </c:pt>
                <c:pt idx="62">
                  <c:v>9.5714407236857646E-3</c:v>
                </c:pt>
                <c:pt idx="63">
                  <c:v>9.5958664618771561E-3</c:v>
                </c:pt>
                <c:pt idx="64">
                  <c:v>9.600706266285286E-3</c:v>
                </c:pt>
                <c:pt idx="65">
                  <c:v>9.6805096438186133E-3</c:v>
                </c:pt>
                <c:pt idx="66">
                  <c:v>9.7732858373871245E-3</c:v>
                </c:pt>
                <c:pt idx="67">
                  <c:v>9.8313041733302242E-3</c:v>
                </c:pt>
                <c:pt idx="68">
                  <c:v>9.8545212354070877E-3</c:v>
                </c:pt>
                <c:pt idx="69">
                  <c:v>9.8573724545867325E-3</c:v>
                </c:pt>
                <c:pt idx="70">
                  <c:v>9.8600722775195049E-3</c:v>
                </c:pt>
                <c:pt idx="71">
                  <c:v>9.862773579781825E-3</c:v>
                </c:pt>
                <c:pt idx="72">
                  <c:v>9.8654763624350661E-3</c:v>
                </c:pt>
                <c:pt idx="73">
                  <c:v>9.8681806269436123E-3</c:v>
                </c:pt>
                <c:pt idx="74">
                  <c:v>9.8708863743688369E-3</c:v>
                </c:pt>
                <c:pt idx="75">
                  <c:v>9.874293402491352E-3</c:v>
                </c:pt>
                <c:pt idx="76">
                  <c:v>9.8809031036983797E-3</c:v>
                </c:pt>
                <c:pt idx="77">
                  <c:v>9.8909442181505103E-3</c:v>
                </c:pt>
                <c:pt idx="78">
                  <c:v>9.9044206053691131E-3</c:v>
                </c:pt>
                <c:pt idx="79">
                  <c:v>9.9213361735712713E-3</c:v>
                </c:pt>
                <c:pt idx="80">
                  <c:v>9.9416948831918539E-3</c:v>
                </c:pt>
                <c:pt idx="81">
                  <c:v>9.9655007508108184E-3</c:v>
                </c:pt>
                <c:pt idx="82">
                  <c:v>9.9927578516292304E-3</c:v>
                </c:pt>
                <c:pt idx="83">
                  <c:v>1.0014038202021291E-2</c:v>
                </c:pt>
                <c:pt idx="84">
                  <c:v>1.0031826969767899E-2</c:v>
                </c:pt>
                <c:pt idx="85">
                  <c:v>1.0050805796962825E-2</c:v>
                </c:pt>
                <c:pt idx="86">
                  <c:v>1.0070976093583095E-2</c:v>
                </c:pt>
                <c:pt idx="87">
                  <c:v>1.0092339281019491E-2</c:v>
                </c:pt>
                <c:pt idx="88">
                  <c:v>1.0114896792819961E-2</c:v>
                </c:pt>
                <c:pt idx="89">
                  <c:v>1.0138650075030675E-2</c:v>
                </c:pt>
                <c:pt idx="90">
                  <c:v>1.0163600586454491E-2</c:v>
                </c:pt>
                <c:pt idx="91">
                  <c:v>1.0189749799396575E-2</c:v>
                </c:pt>
                <c:pt idx="92">
                  <c:v>1.0210445901730036E-2</c:v>
                </c:pt>
                <c:pt idx="93">
                  <c:v>1.0226129786232274E-2</c:v>
                </c:pt>
                <c:pt idx="94">
                  <c:v>1.0245668117530027E-2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Forwards'!$D$10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Forwards'!$B$11:$B$105</c:f>
              <c:numCache>
                <c:formatCode>ddd\,\ d\-mmm\-yy</c:formatCode>
                <c:ptCount val="95"/>
                <c:pt idx="0">
                  <c:v>42419</c:v>
                </c:pt>
                <c:pt idx="1">
                  <c:v>42429</c:v>
                </c:pt>
                <c:pt idx="2">
                  <c:v>42439</c:v>
                </c:pt>
                <c:pt idx="3">
                  <c:v>42449</c:v>
                </c:pt>
                <c:pt idx="4">
                  <c:v>42459</c:v>
                </c:pt>
                <c:pt idx="5">
                  <c:v>42469</c:v>
                </c:pt>
                <c:pt idx="6">
                  <c:v>42479</c:v>
                </c:pt>
                <c:pt idx="7">
                  <c:v>42489</c:v>
                </c:pt>
                <c:pt idx="8">
                  <c:v>42499</c:v>
                </c:pt>
                <c:pt idx="9">
                  <c:v>42509</c:v>
                </c:pt>
                <c:pt idx="10">
                  <c:v>42519</c:v>
                </c:pt>
                <c:pt idx="11">
                  <c:v>42529</c:v>
                </c:pt>
                <c:pt idx="12">
                  <c:v>42539</c:v>
                </c:pt>
                <c:pt idx="13">
                  <c:v>42549</c:v>
                </c:pt>
                <c:pt idx="14">
                  <c:v>42559</c:v>
                </c:pt>
                <c:pt idx="15">
                  <c:v>42569</c:v>
                </c:pt>
                <c:pt idx="16">
                  <c:v>42579</c:v>
                </c:pt>
                <c:pt idx="17">
                  <c:v>42589</c:v>
                </c:pt>
                <c:pt idx="18">
                  <c:v>42599</c:v>
                </c:pt>
                <c:pt idx="19">
                  <c:v>42609</c:v>
                </c:pt>
                <c:pt idx="20">
                  <c:v>42619</c:v>
                </c:pt>
                <c:pt idx="21">
                  <c:v>42629</c:v>
                </c:pt>
                <c:pt idx="22">
                  <c:v>42639</c:v>
                </c:pt>
                <c:pt idx="23">
                  <c:v>42649</c:v>
                </c:pt>
                <c:pt idx="24">
                  <c:v>42659</c:v>
                </c:pt>
                <c:pt idx="25">
                  <c:v>42669</c:v>
                </c:pt>
                <c:pt idx="26">
                  <c:v>42679</c:v>
                </c:pt>
                <c:pt idx="27">
                  <c:v>42689</c:v>
                </c:pt>
                <c:pt idx="28">
                  <c:v>42699</c:v>
                </c:pt>
                <c:pt idx="29">
                  <c:v>42709</c:v>
                </c:pt>
                <c:pt idx="30">
                  <c:v>42719</c:v>
                </c:pt>
                <c:pt idx="31">
                  <c:v>42729</c:v>
                </c:pt>
                <c:pt idx="32">
                  <c:v>42739</c:v>
                </c:pt>
                <c:pt idx="33">
                  <c:v>42749</c:v>
                </c:pt>
                <c:pt idx="34">
                  <c:v>42759</c:v>
                </c:pt>
                <c:pt idx="35">
                  <c:v>42769</c:v>
                </c:pt>
                <c:pt idx="36">
                  <c:v>42779</c:v>
                </c:pt>
                <c:pt idx="37">
                  <c:v>42789</c:v>
                </c:pt>
                <c:pt idx="38">
                  <c:v>42799</c:v>
                </c:pt>
                <c:pt idx="39">
                  <c:v>42809</c:v>
                </c:pt>
                <c:pt idx="40">
                  <c:v>42819</c:v>
                </c:pt>
                <c:pt idx="41">
                  <c:v>42829</c:v>
                </c:pt>
                <c:pt idx="42">
                  <c:v>42839</c:v>
                </c:pt>
                <c:pt idx="43">
                  <c:v>42849</c:v>
                </c:pt>
                <c:pt idx="44">
                  <c:v>42859</c:v>
                </c:pt>
                <c:pt idx="45">
                  <c:v>42869</c:v>
                </c:pt>
                <c:pt idx="46">
                  <c:v>42879</c:v>
                </c:pt>
                <c:pt idx="47">
                  <c:v>42889</c:v>
                </c:pt>
                <c:pt idx="48">
                  <c:v>42899</c:v>
                </c:pt>
                <c:pt idx="49">
                  <c:v>42909</c:v>
                </c:pt>
                <c:pt idx="50">
                  <c:v>42919</c:v>
                </c:pt>
                <c:pt idx="51">
                  <c:v>42929</c:v>
                </c:pt>
                <c:pt idx="52">
                  <c:v>42939</c:v>
                </c:pt>
                <c:pt idx="53">
                  <c:v>42949</c:v>
                </c:pt>
                <c:pt idx="54">
                  <c:v>42959</c:v>
                </c:pt>
                <c:pt idx="55">
                  <c:v>42969</c:v>
                </c:pt>
                <c:pt idx="56">
                  <c:v>42979</c:v>
                </c:pt>
                <c:pt idx="57">
                  <c:v>42989</c:v>
                </c:pt>
                <c:pt idx="58">
                  <c:v>42999</c:v>
                </c:pt>
                <c:pt idx="59">
                  <c:v>43009</c:v>
                </c:pt>
                <c:pt idx="60">
                  <c:v>43019</c:v>
                </c:pt>
                <c:pt idx="61">
                  <c:v>43029</c:v>
                </c:pt>
                <c:pt idx="62">
                  <c:v>43039</c:v>
                </c:pt>
                <c:pt idx="63">
                  <c:v>43049</c:v>
                </c:pt>
                <c:pt idx="64">
                  <c:v>43059</c:v>
                </c:pt>
                <c:pt idx="65">
                  <c:v>43069</c:v>
                </c:pt>
                <c:pt idx="66">
                  <c:v>43079</c:v>
                </c:pt>
                <c:pt idx="67">
                  <c:v>43089</c:v>
                </c:pt>
                <c:pt idx="68">
                  <c:v>43099</c:v>
                </c:pt>
                <c:pt idx="69">
                  <c:v>43109</c:v>
                </c:pt>
                <c:pt idx="70">
                  <c:v>43119</c:v>
                </c:pt>
                <c:pt idx="71">
                  <c:v>43129</c:v>
                </c:pt>
                <c:pt idx="72">
                  <c:v>43139</c:v>
                </c:pt>
                <c:pt idx="73">
                  <c:v>43149</c:v>
                </c:pt>
                <c:pt idx="74">
                  <c:v>43159</c:v>
                </c:pt>
                <c:pt idx="75">
                  <c:v>43169</c:v>
                </c:pt>
                <c:pt idx="76">
                  <c:v>43179</c:v>
                </c:pt>
                <c:pt idx="77">
                  <c:v>43189</c:v>
                </c:pt>
                <c:pt idx="78">
                  <c:v>43199</c:v>
                </c:pt>
                <c:pt idx="79">
                  <c:v>43209</c:v>
                </c:pt>
                <c:pt idx="80">
                  <c:v>43219</c:v>
                </c:pt>
                <c:pt idx="81">
                  <c:v>43229</c:v>
                </c:pt>
                <c:pt idx="82">
                  <c:v>43239</c:v>
                </c:pt>
                <c:pt idx="83">
                  <c:v>43249</c:v>
                </c:pt>
                <c:pt idx="84">
                  <c:v>43259</c:v>
                </c:pt>
                <c:pt idx="85">
                  <c:v>43269</c:v>
                </c:pt>
                <c:pt idx="86">
                  <c:v>43279</c:v>
                </c:pt>
                <c:pt idx="87">
                  <c:v>43289</c:v>
                </c:pt>
                <c:pt idx="88">
                  <c:v>43299</c:v>
                </c:pt>
                <c:pt idx="89">
                  <c:v>43309</c:v>
                </c:pt>
                <c:pt idx="90">
                  <c:v>43319</c:v>
                </c:pt>
                <c:pt idx="91">
                  <c:v>43329</c:v>
                </c:pt>
                <c:pt idx="92">
                  <c:v>43339</c:v>
                </c:pt>
                <c:pt idx="93">
                  <c:v>43349</c:v>
                </c:pt>
                <c:pt idx="94">
                  <c:v>43359</c:v>
                </c:pt>
              </c:numCache>
            </c:numRef>
          </c:cat>
          <c:val>
            <c:numRef>
              <c:f>'USD Forwards'!$D$11:$D$105</c:f>
              <c:numCache>
                <c:formatCode>0.0000%</c:formatCode>
                <c:ptCount val="95"/>
                <c:pt idx="0">
                  <c:v>6.2460000000001794E-3</c:v>
                </c:pt>
                <c:pt idx="1">
                  <c:v>6.2460141685809671E-3</c:v>
                </c:pt>
                <c:pt idx="2">
                  <c:v>6.246037782882281E-3</c:v>
                </c:pt>
                <c:pt idx="3">
                  <c:v>6.246061397183594E-3</c:v>
                </c:pt>
                <c:pt idx="4">
                  <c:v>6.2460850114849078E-3</c:v>
                </c:pt>
                <c:pt idx="5">
                  <c:v>6.2461086257862208E-3</c:v>
                </c:pt>
                <c:pt idx="6">
                  <c:v>6.2461322400875346E-3</c:v>
                </c:pt>
                <c:pt idx="7">
                  <c:v>6.2461558543888485E-3</c:v>
                </c:pt>
                <c:pt idx="8">
                  <c:v>6.2461794686901615E-3</c:v>
                </c:pt>
                <c:pt idx="9">
                  <c:v>6.2462030829914753E-3</c:v>
                </c:pt>
                <c:pt idx="10">
                  <c:v>6.2944551076239931E-3</c:v>
                </c:pt>
                <c:pt idx="11">
                  <c:v>6.3763697840711429E-3</c:v>
                </c:pt>
                <c:pt idx="12">
                  <c:v>6.471391828083632E-3</c:v>
                </c:pt>
                <c:pt idx="13">
                  <c:v>6.580971752784253E-3</c:v>
                </c:pt>
                <c:pt idx="14">
                  <c:v>6.706560071295796E-3</c:v>
                </c:pt>
                <c:pt idx="15">
                  <c:v>6.8496072967410533E-3</c:v>
                </c:pt>
                <c:pt idx="16">
                  <c:v>7.0115639422428169E-3</c:v>
                </c:pt>
                <c:pt idx="17">
                  <c:v>7.1938805209238775E-3</c:v>
                </c:pt>
                <c:pt idx="18">
                  <c:v>7.3980075459070278E-3</c:v>
                </c:pt>
                <c:pt idx="19">
                  <c:v>7.6272213572208198E-3</c:v>
                </c:pt>
                <c:pt idx="20">
                  <c:v>7.8903179710128977E-3</c:v>
                </c:pt>
                <c:pt idx="21">
                  <c:v>8.1626533455989407E-3</c:v>
                </c:pt>
                <c:pt idx="22">
                  <c:v>8.3766544295952924E-3</c:v>
                </c:pt>
                <c:pt idx="23">
                  <c:v>8.5247631949739479E-3</c:v>
                </c:pt>
                <c:pt idx="24">
                  <c:v>8.6303775475796429E-3</c:v>
                </c:pt>
                <c:pt idx="25">
                  <c:v>8.7130635841916777E-3</c:v>
                </c:pt>
                <c:pt idx="26">
                  <c:v>8.7905351617800515E-3</c:v>
                </c:pt>
                <c:pt idx="27">
                  <c:v>8.8679901924002321E-3</c:v>
                </c:pt>
                <c:pt idx="28">
                  <c:v>8.943258875775132E-3</c:v>
                </c:pt>
                <c:pt idx="29">
                  <c:v>9.009219256832594E-3</c:v>
                </c:pt>
                <c:pt idx="30">
                  <c:v>9.0752550146374743E-3</c:v>
                </c:pt>
                <c:pt idx="31">
                  <c:v>9.1414156204626881E-3</c:v>
                </c:pt>
                <c:pt idx="32">
                  <c:v>9.2076785695692949E-3</c:v>
                </c:pt>
                <c:pt idx="33">
                  <c:v>9.2740503248320717E-3</c:v>
                </c:pt>
                <c:pt idx="34">
                  <c:v>9.3404220800948502E-3</c:v>
                </c:pt>
                <c:pt idx="35">
                  <c:v>9.4067938353576269E-3</c:v>
                </c:pt>
                <c:pt idx="36">
                  <c:v>9.4731655906204019E-3</c:v>
                </c:pt>
                <c:pt idx="37">
                  <c:v>9.541363431184063E-3</c:v>
                </c:pt>
                <c:pt idx="38">
                  <c:v>9.6178326717230034E-3</c:v>
                </c:pt>
                <c:pt idx="39">
                  <c:v>9.694450873930914E-3</c:v>
                </c:pt>
                <c:pt idx="40">
                  <c:v>9.7614181637162532E-3</c:v>
                </c:pt>
                <c:pt idx="41">
                  <c:v>9.8210024009344043E-3</c:v>
                </c:pt>
                <c:pt idx="42">
                  <c:v>9.8795618653850295E-3</c:v>
                </c:pt>
                <c:pt idx="43">
                  <c:v>9.938788724508282E-3</c:v>
                </c:pt>
                <c:pt idx="44">
                  <c:v>9.9993273368862642E-3</c:v>
                </c:pt>
                <c:pt idx="45">
                  <c:v>1.0061822061101079E-2</c:v>
                </c:pt>
                <c:pt idx="46">
                  <c:v>1.0126902017896785E-2</c:v>
                </c:pt>
                <c:pt idx="47">
                  <c:v>1.0193536787781215E-2</c:v>
                </c:pt>
                <c:pt idx="48">
                  <c:v>1.0261665273188385E-2</c:v>
                </c:pt>
                <c:pt idx="49">
                  <c:v>1.0332787629426632E-2</c:v>
                </c:pt>
                <c:pt idx="50">
                  <c:v>1.0412195163688805E-2</c:v>
                </c:pt>
                <c:pt idx="51">
                  <c:v>1.0493437319244132E-2</c:v>
                </c:pt>
                <c:pt idx="52">
                  <c:v>1.0574428181897006E-2</c:v>
                </c:pt>
                <c:pt idx="53">
                  <c:v>1.0654939448735934E-2</c:v>
                </c:pt>
                <c:pt idx="54">
                  <c:v>1.0734742816849418E-2</c:v>
                </c:pt>
                <c:pt idx="55">
                  <c:v>1.0813609983325968E-2</c:v>
                </c:pt>
                <c:pt idx="56">
                  <c:v>1.0891325253710331E-2</c:v>
                </c:pt>
                <c:pt idx="57">
                  <c:v>1.0968425207925665E-2</c:v>
                </c:pt>
                <c:pt idx="58">
                  <c:v>1.1046149239222933E-2</c:v>
                </c:pt>
                <c:pt idx="59">
                  <c:v>1.1125363695814747E-2</c:v>
                </c:pt>
                <c:pt idx="60">
                  <c:v>1.1205762752095451E-2</c:v>
                </c:pt>
                <c:pt idx="61">
                  <c:v>1.1286988372073344E-2</c:v>
                </c:pt>
                <c:pt idx="62">
                  <c:v>1.1368682519756722E-2</c:v>
                </c:pt>
                <c:pt idx="63">
                  <c:v>1.1450361387680593E-2</c:v>
                </c:pt>
                <c:pt idx="64">
                  <c:v>1.1530202894617215E-2</c:v>
                </c:pt>
                <c:pt idx="65">
                  <c:v>1.16066486865085E-2</c:v>
                </c:pt>
                <c:pt idx="66">
                  <c:v>1.1681835683501016E-2</c:v>
                </c:pt>
                <c:pt idx="67">
                  <c:v>1.1754220647388382E-2</c:v>
                </c:pt>
                <c:pt idx="68">
                  <c:v>1.1818563926384215E-2</c:v>
                </c:pt>
                <c:pt idx="69">
                  <c:v>1.1876760074585891E-2</c:v>
                </c:pt>
                <c:pt idx="70">
                  <c:v>1.1934646078369469E-2</c:v>
                </c:pt>
                <c:pt idx="71">
                  <c:v>1.1993226815563217E-2</c:v>
                </c:pt>
                <c:pt idx="72">
                  <c:v>1.205303717873344E-2</c:v>
                </c:pt>
                <c:pt idx="73">
                  <c:v>1.2114612060446448E-2</c:v>
                </c:pt>
                <c:pt idx="74">
                  <c:v>1.2178225260341045E-2</c:v>
                </c:pt>
                <c:pt idx="75">
                  <c:v>1.2242924670102726E-2</c:v>
                </c:pt>
                <c:pt idx="76">
                  <c:v>1.2309187400896589E-2</c:v>
                </c:pt>
                <c:pt idx="77">
                  <c:v>1.2379668352857165E-2</c:v>
                </c:pt>
                <c:pt idx="78">
                  <c:v>1.2453750635718028E-2</c:v>
                </c:pt>
                <c:pt idx="79">
                  <c:v>1.2527906511437252E-2</c:v>
                </c:pt>
                <c:pt idx="80">
                  <c:v>1.2601702241127163E-2</c:v>
                </c:pt>
                <c:pt idx="81">
                  <c:v>1.2674886593475676E-2</c:v>
                </c:pt>
                <c:pt idx="82">
                  <c:v>1.2747208337170711E-2</c:v>
                </c:pt>
                <c:pt idx="83">
                  <c:v>1.2818614035612672E-2</c:v>
                </c:pt>
                <c:pt idx="84">
                  <c:v>1.2889562494120306E-2</c:v>
                </c:pt>
                <c:pt idx="85">
                  <c:v>1.2959655148989955E-2</c:v>
                </c:pt>
                <c:pt idx="86">
                  <c:v>1.302724563864976E-2</c:v>
                </c:pt>
                <c:pt idx="87">
                  <c:v>1.3092806611784292E-2</c:v>
                </c:pt>
                <c:pt idx="88">
                  <c:v>1.3158407110034574E-2</c:v>
                </c:pt>
                <c:pt idx="89">
                  <c:v>1.322414877509326E-2</c:v>
                </c:pt>
                <c:pt idx="90">
                  <c:v>1.3290113045498386E-2</c:v>
                </c:pt>
                <c:pt idx="91">
                  <c:v>1.3356381359787992E-2</c:v>
                </c:pt>
                <c:pt idx="92">
                  <c:v>1.3422999540178743E-2</c:v>
                </c:pt>
                <c:pt idx="93">
                  <c:v>1.3489692970980289E-2</c:v>
                </c:pt>
                <c:pt idx="94">
                  <c:v>1.3556436097745714E-2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698432"/>
        <c:axId val="415265920"/>
      </c:lineChart>
      <c:dateAx>
        <c:axId val="2576984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2100000"/>
          <a:lstStyle/>
          <a:p>
            <a:pPr>
              <a:defRPr/>
            </a:pPr>
            <a:endParaRPr lang="en-US"/>
          </a:p>
        </c:txPr>
        <c:crossAx val="415265920"/>
        <c:crosses val="autoZero"/>
        <c:auto val="1"/>
        <c:lblOffset val="100"/>
        <c:baseTimeUnit val="days"/>
      </c:dateAx>
      <c:valAx>
        <c:axId val="4152659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57698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2378693381149129"/>
          <c:y val="6.6120886730115291E-2"/>
          <c:w val="0.10723616849873963"/>
          <c:h val="8.043552650519995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10</xdr:row>
      <xdr:rowOff>23812</xdr:rowOff>
    </xdr:from>
    <xdr:to>
      <xdr:col>17</xdr:col>
      <xdr:colOff>514350</xdr:colOff>
      <xdr:row>40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148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147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147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(0.03100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2" t="s">
        <v>146</v>
      </c>
      <c r="D8" s="113" t="b">
        <f ca="1">LEFT(D7,5)=CurveCollection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74</v>
      </c>
      <c r="D11" s="106" t="s">
        <v>114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73</v>
      </c>
      <c r="D12" s="107" t="s">
        <v>8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75</v>
      </c>
      <c r="D13" s="108" t="s">
        <v>119</v>
      </c>
      <c r="E13" s="7"/>
      <c r="F13" s="7"/>
      <c r="G13" s="7"/>
      <c r="H13" s="7" t="s">
        <v>3</v>
      </c>
      <c r="I13" s="7" t="s">
        <v>3</v>
      </c>
      <c r="J13" s="7" t="s">
        <v>3</v>
      </c>
      <c r="K13" s="7" t="s">
        <v>3</v>
      </c>
      <c r="L13" s="7" t="s">
        <v>3</v>
      </c>
      <c r="M13" s="7" t="s">
        <v>3</v>
      </c>
      <c r="N13" s="8" t="s">
        <v>3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57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57</v>
      </c>
      <c r="D19" s="47"/>
      <c r="E19" s="7"/>
      <c r="F19" s="50" t="s">
        <v>67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9</v>
      </c>
      <c r="D20" s="106">
        <v>42419</v>
      </c>
      <c r="E20" s="7"/>
      <c r="F20" s="14" t="s">
        <v>68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15</v>
      </c>
      <c r="D21" s="107" t="s">
        <v>118</v>
      </c>
      <c r="E21" s="7"/>
      <c r="F21" s="17" t="s">
        <v>69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22</v>
      </c>
      <c r="D22" s="109" t="s">
        <v>70</v>
      </c>
      <c r="E22" s="7"/>
      <c r="F22" s="17" t="s">
        <v>70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71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8"/>
      <c r="E24" s="7"/>
      <c r="F24" s="21" t="s">
        <v>72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66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4</v>
      </c>
      <c r="D30" s="10"/>
      <c r="E30" s="10"/>
      <c r="F30" s="49" t="s">
        <v>59</v>
      </c>
      <c r="G30" s="10"/>
      <c r="H30" s="10"/>
      <c r="I30" s="10"/>
      <c r="J30" s="10"/>
      <c r="K30" s="10"/>
      <c r="L30" s="49" t="s">
        <v>61</v>
      </c>
      <c r="M30" s="10"/>
      <c r="N30" s="55"/>
    </row>
    <row r="31" spans="2:14" x14ac:dyDescent="0.25">
      <c r="B31" s="5"/>
      <c r="C31" s="27" t="s">
        <v>2</v>
      </c>
      <c r="D31" s="34" t="s">
        <v>115</v>
      </c>
      <c r="E31" s="7"/>
      <c r="F31" s="58" t="s">
        <v>10</v>
      </c>
      <c r="G31" s="58" t="s">
        <v>11</v>
      </c>
      <c r="H31" s="58" t="s">
        <v>12</v>
      </c>
      <c r="I31" s="58" t="s">
        <v>13</v>
      </c>
      <c r="J31" s="58" t="s">
        <v>7</v>
      </c>
      <c r="K31" s="10"/>
      <c r="L31" s="58" t="s">
        <v>62</v>
      </c>
      <c r="M31" s="58" t="s">
        <v>11</v>
      </c>
      <c r="N31" s="55"/>
    </row>
    <row r="32" spans="2:14" x14ac:dyDescent="0.25">
      <c r="B32" s="5"/>
      <c r="C32" s="28" t="s">
        <v>6</v>
      </c>
      <c r="D32" s="35" t="s">
        <v>5</v>
      </c>
      <c r="E32" s="9"/>
      <c r="F32" s="24" t="s">
        <v>42</v>
      </c>
      <c r="G32" s="19">
        <v>3.7000000000000002E-3</v>
      </c>
      <c r="H32" s="20" t="s">
        <v>33</v>
      </c>
      <c r="I32" s="20" t="s">
        <v>33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23</v>
      </c>
      <c r="D33" s="35" t="s">
        <v>24</v>
      </c>
      <c r="E33" s="9"/>
      <c r="F33" s="24" t="s">
        <v>120</v>
      </c>
      <c r="G33" s="111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29</v>
      </c>
      <c r="D34" s="35" t="s">
        <v>30</v>
      </c>
      <c r="E34" s="9"/>
      <c r="F34" s="24" t="s">
        <v>121</v>
      </c>
      <c r="G34" s="111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14</v>
      </c>
      <c r="D35" s="35" t="s">
        <v>28</v>
      </c>
      <c r="E35" s="9"/>
      <c r="F35" s="24" t="s">
        <v>122</v>
      </c>
      <c r="G35" s="111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s">
        <v>32</v>
      </c>
      <c r="E36" s="9"/>
      <c r="F36" s="24" t="s">
        <v>123</v>
      </c>
      <c r="G36" s="111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21</v>
      </c>
      <c r="D37" s="36" t="s">
        <v>20</v>
      </c>
      <c r="E37" s="9"/>
      <c r="F37" s="24" t="s">
        <v>124</v>
      </c>
      <c r="G37" s="111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34</v>
      </c>
      <c r="D38" s="35" t="s">
        <v>35</v>
      </c>
      <c r="E38" s="9"/>
      <c r="F38" s="24" t="s">
        <v>125</v>
      </c>
      <c r="G38" s="111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116</v>
      </c>
      <c r="D39" s="35">
        <v>31</v>
      </c>
      <c r="E39" s="9"/>
      <c r="F39" s="24" t="s">
        <v>126</v>
      </c>
      <c r="G39" s="111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117</v>
      </c>
      <c r="D40" s="35" t="b">
        <v>0</v>
      </c>
      <c r="E40" s="9"/>
      <c r="F40" s="24" t="s">
        <v>127</v>
      </c>
      <c r="G40" s="111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34</v>
      </c>
      <c r="D41" s="107" t="s">
        <v>35</v>
      </c>
      <c r="E41" s="9"/>
      <c r="F41" s="24" t="s">
        <v>128</v>
      </c>
      <c r="G41" s="111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36</v>
      </c>
      <c r="D42" s="107" t="s">
        <v>37</v>
      </c>
      <c r="E42" s="9"/>
      <c r="F42" s="24" t="s">
        <v>43</v>
      </c>
      <c r="G42" s="19">
        <v>6.6E-3</v>
      </c>
      <c r="H42" s="20" t="s">
        <v>33</v>
      </c>
      <c r="I42" s="20" t="s">
        <v>33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8" t="s">
        <v>38</v>
      </c>
      <c r="D43" s="107" t="s">
        <v>39</v>
      </c>
      <c r="E43" s="9"/>
      <c r="F43" s="24" t="s">
        <v>39</v>
      </c>
      <c r="G43" s="19">
        <v>7.7600000000000004E-3</v>
      </c>
      <c r="H43" s="20" t="s">
        <v>33</v>
      </c>
      <c r="I43" s="20" t="s">
        <v>33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40</v>
      </c>
      <c r="D44" s="107" t="s">
        <v>41</v>
      </c>
      <c r="E44" s="9"/>
      <c r="F44" s="24" t="s">
        <v>44</v>
      </c>
      <c r="G44" s="19">
        <v>8.8000000000000005E-3</v>
      </c>
      <c r="H44" s="20" t="s">
        <v>33</v>
      </c>
      <c r="I44" s="20" t="s">
        <v>33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105</v>
      </c>
      <c r="D45" s="110">
        <v>1E-10</v>
      </c>
      <c r="E45" s="9"/>
      <c r="F45" s="24" t="s">
        <v>45</v>
      </c>
      <c r="G45" s="19">
        <v>9.7900000000000001E-3</v>
      </c>
      <c r="H45" s="20" t="s">
        <v>33</v>
      </c>
      <c r="I45" s="20" t="s">
        <v>33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106</v>
      </c>
      <c r="D46" s="105">
        <v>1000</v>
      </c>
      <c r="E46" s="9"/>
      <c r="F46" s="24" t="s">
        <v>46</v>
      </c>
      <c r="G46" s="19">
        <v>1.072E-2</v>
      </c>
      <c r="H46" s="20" t="s">
        <v>33</v>
      </c>
      <c r="I46" s="20" t="s">
        <v>33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157</v>
      </c>
      <c r="D47" s="35" t="b">
        <v>1</v>
      </c>
      <c r="E47" s="9"/>
      <c r="F47" s="24" t="s">
        <v>47</v>
      </c>
      <c r="G47" s="19">
        <v>1.159E-2</v>
      </c>
      <c r="H47" s="20" t="s">
        <v>33</v>
      </c>
      <c r="I47" s="20" t="s">
        <v>33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49</v>
      </c>
      <c r="G48" s="19">
        <v>1.371E-2</v>
      </c>
      <c r="H48" s="20" t="s">
        <v>33</v>
      </c>
      <c r="I48" s="20" t="s">
        <v>33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51</v>
      </c>
      <c r="G49" s="19">
        <v>1.482E-2</v>
      </c>
      <c r="H49" s="20" t="s">
        <v>33</v>
      </c>
      <c r="I49" s="20" t="s">
        <v>33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52</v>
      </c>
      <c r="G50" s="19">
        <v>1.6E-2</v>
      </c>
      <c r="H50" s="20" t="s">
        <v>33</v>
      </c>
      <c r="I50" s="20" t="s">
        <v>33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53</v>
      </c>
      <c r="G51" s="19">
        <v>1.72E-2</v>
      </c>
      <c r="H51" s="20" t="s">
        <v>33</v>
      </c>
      <c r="I51" s="20" t="s">
        <v>33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54</v>
      </c>
      <c r="G52" s="19">
        <v>1.7780000000000001E-2</v>
      </c>
      <c r="H52" s="20" t="s">
        <v>33</v>
      </c>
      <c r="I52" s="20" t="s">
        <v>33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55</v>
      </c>
      <c r="G53" s="19">
        <v>1.813E-2</v>
      </c>
      <c r="H53" s="20" t="s">
        <v>33</v>
      </c>
      <c r="I53" s="20" t="s">
        <v>33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65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58</v>
      </c>
      <c r="D63" s="10"/>
      <c r="E63" s="10"/>
      <c r="F63" s="49" t="s">
        <v>60</v>
      </c>
      <c r="G63" s="10"/>
      <c r="H63" s="10"/>
      <c r="I63" s="49" t="s">
        <v>63</v>
      </c>
      <c r="J63" s="10"/>
      <c r="K63" s="10"/>
      <c r="L63" s="49" t="s">
        <v>64</v>
      </c>
      <c r="M63" s="10"/>
      <c r="N63" s="55"/>
    </row>
    <row r="64" spans="2:14" x14ac:dyDescent="0.25">
      <c r="B64" s="5"/>
      <c r="C64" s="27" t="s">
        <v>1</v>
      </c>
      <c r="D64" s="34" t="s">
        <v>129</v>
      </c>
      <c r="E64" s="7"/>
      <c r="F64" s="58" t="s">
        <v>10</v>
      </c>
      <c r="G64" s="58" t="s">
        <v>11</v>
      </c>
      <c r="H64" s="10"/>
      <c r="I64" s="27" t="s">
        <v>2</v>
      </c>
      <c r="J64" s="34" t="s">
        <v>129</v>
      </c>
      <c r="K64" s="10"/>
      <c r="L64" s="58" t="s">
        <v>10</v>
      </c>
      <c r="M64" s="58" t="s">
        <v>11</v>
      </c>
      <c r="N64" s="55"/>
    </row>
    <row r="65" spans="2:14" x14ac:dyDescent="0.25">
      <c r="B65" s="5"/>
      <c r="C65" s="28" t="s">
        <v>16</v>
      </c>
      <c r="D65" s="35" t="s">
        <v>5</v>
      </c>
      <c r="E65" s="9"/>
      <c r="F65" s="24" t="s">
        <v>43</v>
      </c>
      <c r="G65" s="51">
        <v>2.66E-3</v>
      </c>
      <c r="H65" s="10"/>
      <c r="I65" s="28" t="s">
        <v>17</v>
      </c>
      <c r="J65" s="35" t="s">
        <v>18</v>
      </c>
      <c r="K65" s="10"/>
      <c r="L65" s="24" t="s">
        <v>43</v>
      </c>
      <c r="M65" s="51">
        <v>9.4850000000000004E-3</v>
      </c>
      <c r="N65" s="55"/>
    </row>
    <row r="66" spans="2:14" x14ac:dyDescent="0.25">
      <c r="B66" s="5"/>
      <c r="C66" s="28" t="s">
        <v>25</v>
      </c>
      <c r="D66" s="35" t="s">
        <v>26</v>
      </c>
      <c r="E66" s="9"/>
      <c r="F66" s="24" t="s">
        <v>39</v>
      </c>
      <c r="G66" s="51">
        <v>2.7799999999999999E-3</v>
      </c>
      <c r="H66" s="10"/>
      <c r="I66" s="28" t="s">
        <v>27</v>
      </c>
      <c r="J66" s="35" t="s">
        <v>130</v>
      </c>
      <c r="K66" s="10"/>
      <c r="L66" s="24" t="s">
        <v>39</v>
      </c>
      <c r="M66" s="51">
        <v>1.073E-2</v>
      </c>
      <c r="N66" s="55"/>
    </row>
    <row r="67" spans="2:14" x14ac:dyDescent="0.25">
      <c r="B67" s="5"/>
      <c r="C67" s="28" t="s">
        <v>19</v>
      </c>
      <c r="D67" s="35" t="s">
        <v>20</v>
      </c>
      <c r="E67" s="9"/>
      <c r="F67" s="24" t="s">
        <v>44</v>
      </c>
      <c r="G67" s="51">
        <v>2.9199999999999999E-3</v>
      </c>
      <c r="H67" s="10"/>
      <c r="I67" s="28" t="s">
        <v>21</v>
      </c>
      <c r="J67" s="35" t="s">
        <v>20</v>
      </c>
      <c r="K67" s="10"/>
      <c r="L67" s="24" t="s">
        <v>44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45</v>
      </c>
      <c r="G68" s="51">
        <v>3.0600000000000002E-3</v>
      </c>
      <c r="H68" s="10"/>
      <c r="I68" s="28"/>
      <c r="J68" s="35"/>
      <c r="K68" s="10"/>
      <c r="L68" s="24" t="s">
        <v>45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46</v>
      </c>
      <c r="G69" s="51">
        <v>3.1899999999999997E-3</v>
      </c>
      <c r="H69" s="10"/>
      <c r="I69" s="29"/>
      <c r="J69" s="35"/>
      <c r="K69" s="10"/>
      <c r="L69" s="24" t="s">
        <v>46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47</v>
      </c>
      <c r="G70" s="51">
        <v>3.29E-3</v>
      </c>
      <c r="H70" s="10"/>
      <c r="I70" s="30"/>
      <c r="J70" s="36"/>
      <c r="K70" s="10"/>
      <c r="L70" s="24" t="s">
        <v>47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49</v>
      </c>
      <c r="G71" s="51">
        <v>3.4700000000000004E-3</v>
      </c>
      <c r="H71" s="10"/>
      <c r="I71" s="28"/>
      <c r="J71" s="35"/>
      <c r="K71" s="10"/>
      <c r="L71" s="24" t="s">
        <v>49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51</v>
      </c>
      <c r="G72" s="51">
        <v>3.5200000000000001E-3</v>
      </c>
      <c r="H72" s="10"/>
      <c r="I72" s="28"/>
      <c r="J72" s="35"/>
      <c r="K72" s="10"/>
      <c r="L72" s="24" t="s">
        <v>51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52</v>
      </c>
      <c r="G73" s="51">
        <v>3.5700000000000003E-3</v>
      </c>
      <c r="H73" s="10"/>
      <c r="I73" s="28"/>
      <c r="J73" s="35"/>
      <c r="K73" s="10"/>
      <c r="L73" s="24" t="s">
        <v>52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53</v>
      </c>
      <c r="G74" s="51">
        <v>3.6200000000000004E-3</v>
      </c>
      <c r="H74" s="10"/>
      <c r="I74" s="28"/>
      <c r="J74" s="35"/>
      <c r="K74" s="10"/>
      <c r="L74" s="24" t="s">
        <v>53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54</v>
      </c>
      <c r="G75" s="51">
        <v>3.64E-3</v>
      </c>
      <c r="H75" s="10"/>
      <c r="I75" s="28"/>
      <c r="J75" s="35"/>
      <c r="K75" s="10"/>
      <c r="L75" s="24" t="s">
        <v>54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55</v>
      </c>
      <c r="G76" s="51">
        <v>3.65E-3</v>
      </c>
      <c r="H76" s="10"/>
      <c r="I76" s="29"/>
      <c r="J76" s="35"/>
      <c r="K76" s="10"/>
      <c r="L76" s="24" t="s">
        <v>55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3.1406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s="56" t="s">
        <v>149</v>
      </c>
    </row>
    <row r="6" spans="2:12" x14ac:dyDescent="0.25">
      <c r="B6" s="56" t="s">
        <v>150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150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146</v>
      </c>
      <c r="D9" s="113" t="b">
        <f ca="1">LEFT(D8,5)=CurveCollection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74</v>
      </c>
      <c r="D13" s="106" t="s">
        <v>114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73</v>
      </c>
      <c r="D14" s="107" t="s">
        <v>76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75</v>
      </c>
      <c r="D15" s="108" t="s">
        <v>145</v>
      </c>
      <c r="E15" s="7"/>
      <c r="F15" s="7"/>
      <c r="G15" s="7"/>
      <c r="H15" s="7" t="s">
        <v>3</v>
      </c>
      <c r="I15" s="7" t="s">
        <v>3</v>
      </c>
      <c r="J15" s="7" t="s">
        <v>3</v>
      </c>
      <c r="K15" s="7"/>
      <c r="L15" s="8" t="s">
        <v>3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57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57</v>
      </c>
      <c r="D21" s="47"/>
      <c r="E21" s="7"/>
      <c r="F21" s="50" t="s">
        <v>67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9</v>
      </c>
      <c r="D22" s="106">
        <v>42419</v>
      </c>
      <c r="E22" s="7"/>
      <c r="F22" s="14" t="s">
        <v>68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15</v>
      </c>
      <c r="D23" s="107" t="s">
        <v>118</v>
      </c>
      <c r="E23" s="7"/>
      <c r="F23" s="17" t="s">
        <v>69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77</v>
      </c>
      <c r="D24" s="109" t="s">
        <v>70</v>
      </c>
      <c r="E24" s="7"/>
      <c r="F24" s="17" t="s">
        <v>70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22</v>
      </c>
      <c r="D25" s="109" t="s">
        <v>70</v>
      </c>
      <c r="E25" s="7"/>
      <c r="F25" s="17" t="s">
        <v>71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79</v>
      </c>
      <c r="D26" s="107" t="b">
        <v>0</v>
      </c>
      <c r="E26" s="7"/>
      <c r="F26" s="17" t="s">
        <v>72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78</v>
      </c>
      <c r="D27" s="107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25</v>
      </c>
      <c r="D28" s="107" t="s">
        <v>26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80</v>
      </c>
      <c r="D29" s="107" t="s">
        <v>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162</v>
      </c>
      <c r="D30" s="107" t="b">
        <v>1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8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81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154</v>
      </c>
      <c r="D37" s="10"/>
      <c r="E37" s="10"/>
      <c r="F37" s="49" t="s">
        <v>86</v>
      </c>
      <c r="G37" s="10"/>
      <c r="H37" s="10"/>
      <c r="I37" s="49" t="s">
        <v>153</v>
      </c>
      <c r="J37" s="10"/>
      <c r="K37" s="10"/>
      <c r="L37" s="55"/>
    </row>
    <row r="38" spans="2:12" x14ac:dyDescent="0.25">
      <c r="B38" s="5"/>
      <c r="C38" s="27" t="s">
        <v>2</v>
      </c>
      <c r="D38" s="34" t="s">
        <v>115</v>
      </c>
      <c r="E38" s="7"/>
      <c r="F38" s="27" t="s">
        <v>2</v>
      </c>
      <c r="G38" s="34" t="s">
        <v>129</v>
      </c>
      <c r="H38" s="10"/>
      <c r="I38" s="78" t="s">
        <v>10</v>
      </c>
      <c r="J38" s="78" t="s">
        <v>11</v>
      </c>
      <c r="K38" s="78"/>
      <c r="L38" s="55"/>
    </row>
    <row r="39" spans="2:12" x14ac:dyDescent="0.25">
      <c r="B39" s="5"/>
      <c r="C39" s="28" t="s">
        <v>6</v>
      </c>
      <c r="D39" s="35" t="s">
        <v>110</v>
      </c>
      <c r="E39" s="9"/>
      <c r="F39" s="30" t="s">
        <v>6</v>
      </c>
      <c r="G39" s="69" t="s">
        <v>110</v>
      </c>
      <c r="H39" s="10"/>
      <c r="I39" s="71" t="s">
        <v>112</v>
      </c>
      <c r="J39" s="75">
        <v>4.3179999999999998E-3</v>
      </c>
      <c r="K39" s="78"/>
      <c r="L39" s="55"/>
    </row>
    <row r="40" spans="2:12" x14ac:dyDescent="0.25">
      <c r="B40" s="5"/>
      <c r="C40" s="28" t="s">
        <v>21</v>
      </c>
      <c r="D40" s="68" t="s">
        <v>83</v>
      </c>
      <c r="E40" s="9"/>
      <c r="F40" s="29" t="s">
        <v>23</v>
      </c>
      <c r="G40" s="35" t="s">
        <v>131</v>
      </c>
      <c r="H40" s="10"/>
      <c r="I40" s="72" t="s">
        <v>111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14</v>
      </c>
      <c r="G41" s="69" t="s">
        <v>94</v>
      </c>
      <c r="H41" s="10"/>
      <c r="I41" s="72" t="s">
        <v>87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20</v>
      </c>
      <c r="H42" s="10"/>
      <c r="I42" s="72" t="s">
        <v>48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113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88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89</v>
      </c>
      <c r="D50" s="10"/>
      <c r="E50" s="10"/>
      <c r="F50" s="49" t="s">
        <v>107</v>
      </c>
      <c r="G50" s="10"/>
      <c r="H50" s="10"/>
      <c r="I50" s="49" t="s">
        <v>108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10</v>
      </c>
      <c r="G51" s="78" t="s">
        <v>11</v>
      </c>
      <c r="H51" s="10"/>
      <c r="I51" s="78" t="s">
        <v>10</v>
      </c>
      <c r="J51" s="78" t="s">
        <v>11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92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93</v>
      </c>
      <c r="D71" s="10"/>
      <c r="E71" s="10"/>
      <c r="F71" s="49" t="s">
        <v>95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2</v>
      </c>
      <c r="D72" s="34" t="s">
        <v>115</v>
      </c>
      <c r="E72" s="7"/>
      <c r="F72" s="96" t="s">
        <v>109</v>
      </c>
      <c r="G72" s="96" t="s">
        <v>12</v>
      </c>
      <c r="H72" s="96" t="s">
        <v>13</v>
      </c>
      <c r="I72" s="96" t="s">
        <v>11</v>
      </c>
      <c r="J72" s="96" t="str">
        <f>IF(D79,"ConvexityAdj","Volatility")</f>
        <v>Volatility</v>
      </c>
      <c r="K72" s="10"/>
      <c r="L72" s="55"/>
    </row>
    <row r="73" spans="2:12" x14ac:dyDescent="0.25">
      <c r="B73" s="5"/>
      <c r="C73" s="28" t="s">
        <v>6</v>
      </c>
      <c r="D73" s="35" t="s">
        <v>110</v>
      </c>
      <c r="E73" s="9"/>
      <c r="F73" s="82" t="s">
        <v>132</v>
      </c>
      <c r="G73" s="79">
        <v>42634</v>
      </c>
      <c r="H73" s="79">
        <v>42725</v>
      </c>
      <c r="I73" s="80">
        <v>99.17</v>
      </c>
      <c r="J73" s="81">
        <v>8.9999999999999993E-3</v>
      </c>
      <c r="K73" s="10"/>
      <c r="L73" s="55"/>
    </row>
    <row r="74" spans="2:12" x14ac:dyDescent="0.25">
      <c r="B74" s="5"/>
      <c r="C74" s="28" t="s">
        <v>14</v>
      </c>
      <c r="D74" s="35" t="s">
        <v>94</v>
      </c>
      <c r="E74" s="9"/>
      <c r="F74" s="83" t="s">
        <v>133</v>
      </c>
      <c r="G74" s="84">
        <v>42725</v>
      </c>
      <c r="H74" s="84">
        <v>42809</v>
      </c>
      <c r="I74" s="85">
        <v>99.085000000000008</v>
      </c>
      <c r="J74" s="86">
        <v>8.9999999999999993E-3</v>
      </c>
      <c r="K74" s="10"/>
      <c r="L74" s="55"/>
    </row>
    <row r="75" spans="2:12" x14ac:dyDescent="0.25">
      <c r="B75" s="5"/>
      <c r="C75" s="28" t="s">
        <v>21</v>
      </c>
      <c r="D75" s="104" t="s">
        <v>20</v>
      </c>
      <c r="E75" s="9"/>
      <c r="F75" s="83" t="s">
        <v>134</v>
      </c>
      <c r="G75" s="84">
        <v>42809</v>
      </c>
      <c r="H75" s="84">
        <v>42907</v>
      </c>
      <c r="I75" s="85">
        <v>99.025000000000006</v>
      </c>
      <c r="J75" s="86">
        <v>8.9999999999999993E-3</v>
      </c>
      <c r="K75" s="10"/>
      <c r="L75" s="55"/>
    </row>
    <row r="76" spans="2:12" x14ac:dyDescent="0.25">
      <c r="B76" s="5"/>
      <c r="C76" s="28" t="s">
        <v>143</v>
      </c>
      <c r="D76" s="74">
        <v>0.03</v>
      </c>
      <c r="E76" s="9"/>
      <c r="F76" s="83" t="s">
        <v>135</v>
      </c>
      <c r="G76" s="84">
        <v>42907</v>
      </c>
      <c r="H76" s="84">
        <v>42998</v>
      </c>
      <c r="I76" s="85">
        <v>98.960000000000008</v>
      </c>
      <c r="J76" s="86">
        <v>8.9999999999999993E-3</v>
      </c>
      <c r="K76" s="10"/>
      <c r="L76" s="55"/>
    </row>
    <row r="77" spans="2:12" x14ac:dyDescent="0.25">
      <c r="B77" s="5"/>
      <c r="C77" s="28" t="s">
        <v>90</v>
      </c>
      <c r="D77" s="35" t="b">
        <v>0</v>
      </c>
      <c r="E77" s="9"/>
      <c r="F77" s="83" t="s">
        <v>136</v>
      </c>
      <c r="G77" s="84">
        <v>42998</v>
      </c>
      <c r="H77" s="84">
        <v>43089</v>
      </c>
      <c r="I77" s="85">
        <v>98.885000000000005</v>
      </c>
      <c r="J77" s="86">
        <v>8.9999999999999993E-3</v>
      </c>
      <c r="K77" s="10"/>
      <c r="L77" s="55"/>
    </row>
    <row r="78" spans="2:12" x14ac:dyDescent="0.25">
      <c r="B78" s="5"/>
      <c r="C78" s="28" t="s">
        <v>91</v>
      </c>
      <c r="D78" s="35">
        <v>2</v>
      </c>
      <c r="E78" s="9"/>
      <c r="F78" s="83" t="s">
        <v>137</v>
      </c>
      <c r="G78" s="84">
        <v>43089</v>
      </c>
      <c r="H78" s="84">
        <v>43180</v>
      </c>
      <c r="I78" s="85">
        <v>98.81</v>
      </c>
      <c r="J78" s="86">
        <v>8.9999999999999993E-3</v>
      </c>
      <c r="K78" s="10"/>
      <c r="L78" s="55"/>
    </row>
    <row r="79" spans="2:12" x14ac:dyDescent="0.25">
      <c r="B79" s="5"/>
      <c r="C79" s="115" t="s">
        <v>156</v>
      </c>
      <c r="D79" s="35" t="b">
        <v>0</v>
      </c>
      <c r="E79" s="9"/>
      <c r="F79" s="83" t="s">
        <v>138</v>
      </c>
      <c r="G79" s="84">
        <v>43180</v>
      </c>
      <c r="H79" s="84">
        <v>43271</v>
      </c>
      <c r="I79" s="85">
        <v>98.75</v>
      </c>
      <c r="J79" s="86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3" t="s">
        <v>139</v>
      </c>
      <c r="G80" s="84">
        <v>43271</v>
      </c>
      <c r="H80" s="84">
        <v>43362</v>
      </c>
      <c r="I80" s="85">
        <v>98.68</v>
      </c>
      <c r="J80" s="86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7" t="s">
        <v>140</v>
      </c>
      <c r="G81" s="84">
        <v>43362</v>
      </c>
      <c r="H81" s="84">
        <v>43453</v>
      </c>
      <c r="I81" s="88">
        <v>98.615000000000009</v>
      </c>
      <c r="J81" s="86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89" t="s">
        <v>141</v>
      </c>
      <c r="G82" s="90">
        <v>43453</v>
      </c>
      <c r="H82" s="90">
        <v>43544</v>
      </c>
      <c r="I82" s="88">
        <v>98.54</v>
      </c>
      <c r="J82" s="91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89" t="s">
        <v>142</v>
      </c>
      <c r="G83" s="90">
        <v>43544</v>
      </c>
      <c r="H83" s="90">
        <v>43635</v>
      </c>
      <c r="I83" s="88">
        <v>98.484999999999999</v>
      </c>
      <c r="J83" s="91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96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97</v>
      </c>
      <c r="D92" s="10"/>
      <c r="E92" s="10"/>
      <c r="F92" s="49" t="s">
        <v>98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129</v>
      </c>
      <c r="E93" s="7"/>
      <c r="F93" s="78" t="s">
        <v>10</v>
      </c>
      <c r="G93" s="78" t="s">
        <v>11</v>
      </c>
      <c r="H93" s="78" t="s">
        <v>7</v>
      </c>
      <c r="I93" s="10"/>
      <c r="J93" s="10"/>
      <c r="K93" s="10"/>
      <c r="L93" s="55"/>
    </row>
    <row r="94" spans="2:12" x14ac:dyDescent="0.25">
      <c r="B94" s="5"/>
      <c r="C94" s="102" t="s">
        <v>82</v>
      </c>
      <c r="D94" s="35" t="s">
        <v>18</v>
      </c>
      <c r="E94" s="9"/>
      <c r="F94" s="100" t="s">
        <v>45</v>
      </c>
      <c r="G94" s="97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2" t="s">
        <v>99</v>
      </c>
      <c r="D95" s="35" t="s">
        <v>5</v>
      </c>
      <c r="E95" s="9"/>
      <c r="F95" s="24" t="s">
        <v>47</v>
      </c>
      <c r="G95" s="98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2" t="s">
        <v>25</v>
      </c>
      <c r="D96" s="35" t="s">
        <v>100</v>
      </c>
      <c r="E96" s="9"/>
      <c r="F96" s="24" t="s">
        <v>49</v>
      </c>
      <c r="G96" s="98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2" t="s">
        <v>101</v>
      </c>
      <c r="D97" s="35" t="s">
        <v>26</v>
      </c>
      <c r="E97" s="9"/>
      <c r="F97" s="24" t="s">
        <v>50</v>
      </c>
      <c r="G97" s="98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2" t="s">
        <v>102</v>
      </c>
      <c r="D98" s="109" t="s">
        <v>70</v>
      </c>
      <c r="E98" s="9"/>
      <c r="F98" s="24" t="s">
        <v>51</v>
      </c>
      <c r="G98" s="98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2" t="s">
        <v>85</v>
      </c>
      <c r="D99" s="35" t="b">
        <v>1</v>
      </c>
      <c r="E99" s="9"/>
      <c r="F99" s="24" t="s">
        <v>52</v>
      </c>
      <c r="G99" s="98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2" t="s">
        <v>155</v>
      </c>
      <c r="D100" s="35">
        <v>31</v>
      </c>
      <c r="E100" s="9"/>
      <c r="F100" s="24" t="s">
        <v>53</v>
      </c>
      <c r="G100" s="98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103</v>
      </c>
      <c r="D101" s="35" t="b">
        <v>1</v>
      </c>
      <c r="E101" s="9"/>
      <c r="F101" s="24" t="s">
        <v>54</v>
      </c>
      <c r="G101" s="98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144</v>
      </c>
      <c r="D102" s="35" t="b">
        <v>1</v>
      </c>
      <c r="E102" s="9"/>
      <c r="F102" s="24" t="s">
        <v>55</v>
      </c>
      <c r="G102" s="98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84</v>
      </c>
      <c r="D103" s="35">
        <v>2</v>
      </c>
      <c r="E103" s="9"/>
      <c r="F103" s="24" t="s">
        <v>56</v>
      </c>
      <c r="G103" s="98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19</v>
      </c>
      <c r="D104" s="68" t="s">
        <v>20</v>
      </c>
      <c r="E104" s="9"/>
      <c r="F104" s="24"/>
      <c r="G104" s="98"/>
      <c r="H104" s="76"/>
      <c r="I104" s="10"/>
      <c r="J104" s="10"/>
      <c r="K104" s="10"/>
      <c r="L104" s="55"/>
    </row>
    <row r="105" spans="2:12" x14ac:dyDescent="0.25">
      <c r="B105" s="5"/>
      <c r="C105" s="102" t="s">
        <v>104</v>
      </c>
      <c r="D105" s="35" t="b">
        <v>1</v>
      </c>
      <c r="E105" s="9"/>
      <c r="F105" s="24"/>
      <c r="G105" s="98"/>
      <c r="H105" s="76"/>
      <c r="I105" s="10"/>
      <c r="J105" s="10"/>
      <c r="K105" s="10"/>
      <c r="L105" s="55"/>
    </row>
    <row r="106" spans="2:12" x14ac:dyDescent="0.25">
      <c r="B106" s="5"/>
      <c r="C106" s="102" t="s">
        <v>105</v>
      </c>
      <c r="D106" s="38">
        <v>1.0000000000000001E-9</v>
      </c>
      <c r="E106" s="9"/>
      <c r="F106" s="24"/>
      <c r="G106" s="98"/>
      <c r="H106" s="76"/>
      <c r="I106" s="10"/>
      <c r="J106" s="10"/>
      <c r="K106" s="10"/>
      <c r="L106" s="55"/>
    </row>
    <row r="107" spans="2:12" x14ac:dyDescent="0.25">
      <c r="B107" s="5"/>
      <c r="C107" s="102" t="s">
        <v>106</v>
      </c>
      <c r="D107" s="105">
        <v>1000</v>
      </c>
      <c r="E107" s="9"/>
      <c r="F107" s="24"/>
      <c r="G107" s="98"/>
      <c r="H107" s="76"/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/>
      <c r="G108" s="98"/>
      <c r="H108" s="76"/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/>
      <c r="G109" s="98"/>
      <c r="H109" s="76"/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/>
      <c r="G110" s="98"/>
      <c r="H110" s="76"/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D147"/>
  <sheetViews>
    <sheetView showGridLines="0" tabSelected="1" workbookViewId="0"/>
  </sheetViews>
  <sheetFormatPr defaultRowHeight="15" x14ac:dyDescent="0.25"/>
  <cols>
    <col min="1" max="1" width="9.140625" style="114"/>
    <col min="2" max="2" width="17.7109375" style="116" bestFit="1" customWidth="1"/>
    <col min="3" max="3" width="12.140625" style="114" customWidth="1"/>
    <col min="4" max="16384" width="9.140625" style="114"/>
  </cols>
  <sheetData>
    <row r="2" spans="1:4" x14ac:dyDescent="0.25">
      <c r="B2" s="120" t="s">
        <v>160</v>
      </c>
    </row>
    <row r="4" spans="1:4" x14ac:dyDescent="0.25">
      <c r="B4" s="121" t="s">
        <v>74</v>
      </c>
      <c r="C4" s="124" t="s">
        <v>114</v>
      </c>
      <c r="D4" s="125" t="s">
        <v>114</v>
      </c>
    </row>
    <row r="5" spans="1:4" x14ac:dyDescent="0.25">
      <c r="B5" s="122" t="s">
        <v>151</v>
      </c>
      <c r="C5" s="126" t="s">
        <v>158</v>
      </c>
      <c r="D5" s="127" t="s">
        <v>152</v>
      </c>
    </row>
    <row r="7" spans="1:4" x14ac:dyDescent="0.25">
      <c r="B7" s="116" t="s">
        <v>161</v>
      </c>
    </row>
    <row r="8" spans="1:4" x14ac:dyDescent="0.25">
      <c r="A8" s="116"/>
      <c r="B8" s="123">
        <v>10</v>
      </c>
    </row>
    <row r="10" spans="1:4" x14ac:dyDescent="0.25">
      <c r="B10" s="116" t="s">
        <v>159</v>
      </c>
      <c r="C10" s="116" t="str">
        <f>C5</f>
        <v>USDOIS</v>
      </c>
      <c r="D10" s="116" t="str">
        <f>D5</f>
        <v>USD3ML</v>
      </c>
    </row>
    <row r="11" spans="1:4" x14ac:dyDescent="0.25">
      <c r="B11" s="118">
        <f>COB</f>
        <v>42419</v>
      </c>
      <c r="C11" s="119">
        <f t="array" aca="1" ref="C11:C105" ca="1">_xll.meCurveForwardRates($B$11:$B$105,C$4,C$5)</f>
        <v>3.7067559101113812E-3</v>
      </c>
      <c r="D11" s="119">
        <f t="array" aca="1" ref="D11:D105" ca="1">_xll.meCurveForwardRates($B$11:$B$105,D$4,D$5)</f>
        <v>6.2460000000001794E-3</v>
      </c>
    </row>
    <row r="12" spans="1:4" x14ac:dyDescent="0.25">
      <c r="B12" s="118">
        <f t="shared" ref="B12:B43" si="0">B11+$B$8</f>
        <v>42429</v>
      </c>
      <c r="C12" s="119">
        <f ca="1"/>
        <v>3.7068343658062108E-3</v>
      </c>
      <c r="D12" s="119">
        <f ca="1"/>
        <v>6.2460141685809671E-3</v>
      </c>
    </row>
    <row r="13" spans="1:4" x14ac:dyDescent="0.25">
      <c r="B13" s="118">
        <f t="shared" si="0"/>
        <v>42439</v>
      </c>
      <c r="C13" s="119">
        <f ca="1"/>
        <v>3.7068343657260527E-3</v>
      </c>
      <c r="D13" s="119">
        <f ca="1"/>
        <v>6.246037782882281E-3</v>
      </c>
    </row>
    <row r="14" spans="1:4" x14ac:dyDescent="0.25">
      <c r="B14" s="118">
        <f t="shared" si="0"/>
        <v>42449</v>
      </c>
      <c r="C14" s="119">
        <f ca="1"/>
        <v>3.7068058575335794E-3</v>
      </c>
      <c r="D14" s="119">
        <f ca="1"/>
        <v>6.246061397183594E-3</v>
      </c>
    </row>
    <row r="15" spans="1:4" x14ac:dyDescent="0.25">
      <c r="B15" s="118">
        <f t="shared" si="0"/>
        <v>42459</v>
      </c>
      <c r="C15" s="119">
        <f ca="1"/>
        <v>3.7068343657260527E-3</v>
      </c>
      <c r="D15" s="119">
        <f ca="1"/>
        <v>6.2460850114849078E-3</v>
      </c>
    </row>
    <row r="16" spans="1:4" x14ac:dyDescent="0.25">
      <c r="B16" s="118">
        <f t="shared" si="0"/>
        <v>42469</v>
      </c>
      <c r="C16" s="119">
        <f ca="1"/>
        <v>3.7067821795213618E-3</v>
      </c>
      <c r="D16" s="119">
        <f ca="1"/>
        <v>6.2461086257862208E-3</v>
      </c>
    </row>
    <row r="17" spans="2:4" x14ac:dyDescent="0.25">
      <c r="B17" s="118">
        <f t="shared" si="0"/>
        <v>42479</v>
      </c>
      <c r="C17" s="119">
        <f ca="1"/>
        <v>3.7068343657260527E-3</v>
      </c>
      <c r="D17" s="119">
        <f ca="1"/>
        <v>6.2461322400875346E-3</v>
      </c>
    </row>
    <row r="18" spans="2:4" x14ac:dyDescent="0.25">
      <c r="B18" s="118">
        <f t="shared" si="0"/>
        <v>42489</v>
      </c>
      <c r="C18" s="119">
        <f ca="1"/>
        <v>3.7068005571172513E-3</v>
      </c>
      <c r="D18" s="119">
        <f ca="1"/>
        <v>6.2461558543888485E-3</v>
      </c>
    </row>
    <row r="19" spans="2:4" x14ac:dyDescent="0.25">
      <c r="B19" s="118">
        <f t="shared" si="0"/>
        <v>42499</v>
      </c>
      <c r="C19" s="119">
        <f ca="1"/>
        <v>3.7068343657260527E-3</v>
      </c>
      <c r="D19" s="119">
        <f ca="1"/>
        <v>6.2461794686901615E-3</v>
      </c>
    </row>
    <row r="20" spans="2:4" x14ac:dyDescent="0.25">
      <c r="B20" s="118">
        <f t="shared" si="0"/>
        <v>42509</v>
      </c>
      <c r="C20" s="119">
        <f ca="1"/>
        <v>3.7068343657260527E-3</v>
      </c>
      <c r="D20" s="119">
        <f ca="1"/>
        <v>6.2462030829914753E-3</v>
      </c>
    </row>
    <row r="21" spans="2:4" x14ac:dyDescent="0.25">
      <c r="B21" s="118">
        <f t="shared" si="0"/>
        <v>42519</v>
      </c>
      <c r="C21" s="119">
        <f ca="1"/>
        <v>3.7067662294114623E-3</v>
      </c>
      <c r="D21" s="119">
        <f ca="1"/>
        <v>6.2944551076239931E-3</v>
      </c>
    </row>
    <row r="22" spans="2:4" x14ac:dyDescent="0.25">
      <c r="B22" s="118">
        <f t="shared" si="0"/>
        <v>42529</v>
      </c>
      <c r="C22" s="119">
        <f ca="1"/>
        <v>3.7068343657260527E-3</v>
      </c>
      <c r="D22" s="119">
        <f ca="1"/>
        <v>6.3763697840711429E-3</v>
      </c>
    </row>
    <row r="23" spans="2:4" x14ac:dyDescent="0.25">
      <c r="B23" s="118">
        <f t="shared" si="0"/>
        <v>42539</v>
      </c>
      <c r="C23" s="119">
        <f ca="1"/>
        <v>3.7067821796015199E-3</v>
      </c>
      <c r="D23" s="119">
        <f ca="1"/>
        <v>6.471391828083632E-3</v>
      </c>
    </row>
    <row r="24" spans="2:4" x14ac:dyDescent="0.25">
      <c r="B24" s="118">
        <f t="shared" si="0"/>
        <v>42549</v>
      </c>
      <c r="C24" s="119">
        <f ca="1"/>
        <v>3.7068343657260527E-3</v>
      </c>
      <c r="D24" s="119">
        <f ca="1"/>
        <v>6.580971752784253E-3</v>
      </c>
    </row>
    <row r="25" spans="2:4" x14ac:dyDescent="0.25">
      <c r="B25" s="118">
        <f t="shared" si="0"/>
        <v>42559</v>
      </c>
      <c r="C25" s="119">
        <f ca="1"/>
        <v>3.9075561189234609E-3</v>
      </c>
      <c r="D25" s="119">
        <f ca="1"/>
        <v>6.706560071295796E-3</v>
      </c>
    </row>
    <row r="26" spans="2:4" x14ac:dyDescent="0.25">
      <c r="B26" s="118">
        <f t="shared" si="0"/>
        <v>42569</v>
      </c>
      <c r="C26" s="119">
        <f ca="1"/>
        <v>3.9075936887373874E-3</v>
      </c>
      <c r="D26" s="119">
        <f ca="1"/>
        <v>6.8496072967410533E-3</v>
      </c>
    </row>
    <row r="27" spans="2:4" x14ac:dyDescent="0.25">
      <c r="B27" s="118">
        <f t="shared" si="0"/>
        <v>42579</v>
      </c>
      <c r="C27" s="119">
        <f ca="1"/>
        <v>3.9075936888175455E-3</v>
      </c>
      <c r="D27" s="119">
        <f ca="1"/>
        <v>7.0115639422428169E-3</v>
      </c>
    </row>
    <row r="28" spans="2:4" x14ac:dyDescent="0.25">
      <c r="B28" s="118">
        <f t="shared" si="0"/>
        <v>42589</v>
      </c>
      <c r="C28" s="119">
        <f ca="1"/>
        <v>4.4096268622946244E-3</v>
      </c>
      <c r="D28" s="119">
        <f ca="1"/>
        <v>7.1938805209238775E-3</v>
      </c>
    </row>
    <row r="29" spans="2:4" x14ac:dyDescent="0.25">
      <c r="B29" s="118">
        <f t="shared" si="0"/>
        <v>42599</v>
      </c>
      <c r="C29" s="119">
        <f ca="1"/>
        <v>4.4096672057529762E-3</v>
      </c>
      <c r="D29" s="119">
        <f ca="1"/>
        <v>7.3980075459070278E-3</v>
      </c>
    </row>
    <row r="30" spans="2:4" x14ac:dyDescent="0.25">
      <c r="B30" s="118">
        <f t="shared" si="0"/>
        <v>42609</v>
      </c>
      <c r="C30" s="119">
        <f ca="1"/>
        <v>4.4095933540391208E-3</v>
      </c>
      <c r="D30" s="119">
        <f ca="1"/>
        <v>7.6272213572208198E-3</v>
      </c>
    </row>
    <row r="31" spans="2:4" x14ac:dyDescent="0.25">
      <c r="B31" s="118">
        <f t="shared" si="0"/>
        <v>42619</v>
      </c>
      <c r="C31" s="119">
        <f ca="1"/>
        <v>4.8617474584309317E-3</v>
      </c>
      <c r="D31" s="119">
        <f ca="1"/>
        <v>7.8903179710128977E-3</v>
      </c>
    </row>
    <row r="32" spans="2:4" x14ac:dyDescent="0.25">
      <c r="B32" s="118">
        <f t="shared" si="0"/>
        <v>42629</v>
      </c>
      <c r="C32" s="119">
        <f ca="1"/>
        <v>4.8616893014923335E-3</v>
      </c>
      <c r="D32" s="119">
        <f ca="1"/>
        <v>8.1626533455989407E-3</v>
      </c>
    </row>
    <row r="33" spans="2:4" x14ac:dyDescent="0.25">
      <c r="B33" s="118">
        <f t="shared" si="0"/>
        <v>42639</v>
      </c>
      <c r="C33" s="119">
        <f ca="1"/>
        <v>4.8617474584309317E-3</v>
      </c>
      <c r="D33" s="119">
        <f ca="1"/>
        <v>8.3766544295952924E-3</v>
      </c>
    </row>
    <row r="34" spans="2:4" x14ac:dyDescent="0.25">
      <c r="B34" s="118">
        <f t="shared" si="0"/>
        <v>42649</v>
      </c>
      <c r="C34" s="119">
        <f ca="1"/>
        <v>5.1632470178089029E-3</v>
      </c>
      <c r="D34" s="119">
        <f ca="1"/>
        <v>8.5247631949739479E-3</v>
      </c>
    </row>
    <row r="35" spans="2:4" x14ac:dyDescent="0.25">
      <c r="B35" s="118">
        <f t="shared" si="0"/>
        <v>42659</v>
      </c>
      <c r="C35" s="119">
        <f ca="1"/>
        <v>5.1631917074608236E-3</v>
      </c>
      <c r="D35" s="119">
        <f ca="1"/>
        <v>8.6303775475796429E-3</v>
      </c>
    </row>
    <row r="36" spans="2:4" x14ac:dyDescent="0.25">
      <c r="B36" s="118">
        <f t="shared" si="0"/>
        <v>42669</v>
      </c>
      <c r="C36" s="119">
        <f ca="1"/>
        <v>5.1632470178895051E-3</v>
      </c>
      <c r="D36" s="119">
        <f ca="1"/>
        <v>8.7130635841916777E-3</v>
      </c>
    </row>
    <row r="37" spans="2:4" x14ac:dyDescent="0.25">
      <c r="B37" s="118">
        <f t="shared" si="0"/>
        <v>42679</v>
      </c>
      <c r="C37" s="119">
        <f ca="1"/>
        <v>5.3641875516423632E-3</v>
      </c>
      <c r="D37" s="119">
        <f ca="1"/>
        <v>8.7905351617800515E-3</v>
      </c>
    </row>
    <row r="38" spans="2:4" x14ac:dyDescent="0.25">
      <c r="B38" s="118">
        <f t="shared" si="0"/>
        <v>42689</v>
      </c>
      <c r="C38" s="119">
        <f ca="1"/>
        <v>5.3642968395495316E-3</v>
      </c>
      <c r="D38" s="119">
        <f ca="1"/>
        <v>8.8679901924002321E-3</v>
      </c>
    </row>
    <row r="39" spans="2:4" x14ac:dyDescent="0.25">
      <c r="B39" s="118">
        <f t="shared" si="0"/>
        <v>42699</v>
      </c>
      <c r="C39" s="119">
        <f ca="1"/>
        <v>5.3642135515354905E-3</v>
      </c>
      <c r="D39" s="119">
        <f ca="1"/>
        <v>8.943258875775132E-3</v>
      </c>
    </row>
    <row r="40" spans="2:4" x14ac:dyDescent="0.25">
      <c r="B40" s="118">
        <f t="shared" si="0"/>
        <v>42709</v>
      </c>
      <c r="C40" s="119">
        <f ca="1"/>
        <v>5.6659467653294993E-3</v>
      </c>
      <c r="D40" s="119">
        <f ca="1"/>
        <v>9.009219256832594E-3</v>
      </c>
    </row>
    <row r="41" spans="2:4" x14ac:dyDescent="0.25">
      <c r="B41" s="118">
        <f t="shared" si="0"/>
        <v>42719</v>
      </c>
      <c r="C41" s="119">
        <f ca="1"/>
        <v>5.6659467653294993E-3</v>
      </c>
      <c r="D41" s="119">
        <f ca="1"/>
        <v>9.0752550146374743E-3</v>
      </c>
    </row>
    <row r="42" spans="2:4" x14ac:dyDescent="0.25">
      <c r="B42" s="118">
        <f t="shared" si="0"/>
        <v>42729</v>
      </c>
      <c r="C42" s="119">
        <f ca="1"/>
        <v>5.6657875765351307E-3</v>
      </c>
      <c r="D42" s="119">
        <f ca="1"/>
        <v>9.1414156204626881E-3</v>
      </c>
    </row>
    <row r="43" spans="2:4" x14ac:dyDescent="0.25">
      <c r="B43" s="118">
        <f t="shared" si="0"/>
        <v>42739</v>
      </c>
      <c r="C43" s="119">
        <f ca="1"/>
        <v>5.816805572418815E-3</v>
      </c>
      <c r="D43" s="119">
        <f ca="1"/>
        <v>9.2076785695692949E-3</v>
      </c>
    </row>
    <row r="44" spans="2:4" x14ac:dyDescent="0.25">
      <c r="B44" s="118">
        <f t="shared" ref="B44:B75" si="1">B43+$B$8</f>
        <v>42749</v>
      </c>
      <c r="C44" s="119">
        <f ca="1"/>
        <v>5.8166007246083229E-3</v>
      </c>
      <c r="D44" s="119">
        <f ca="1"/>
        <v>9.2740503248320717E-3</v>
      </c>
    </row>
    <row r="45" spans="2:4" x14ac:dyDescent="0.25">
      <c r="B45" s="118">
        <f t="shared" si="1"/>
        <v>42759</v>
      </c>
      <c r="C45" s="119">
        <f ca="1"/>
        <v>5.8168055724190371E-3</v>
      </c>
      <c r="D45" s="119">
        <f ca="1"/>
        <v>9.3404220800948502E-3</v>
      </c>
    </row>
    <row r="46" spans="2:4" x14ac:dyDescent="0.25">
      <c r="B46" s="118">
        <f t="shared" si="1"/>
        <v>42769</v>
      </c>
      <c r="C46" s="119">
        <f ca="1"/>
        <v>6.1688035903382232E-3</v>
      </c>
      <c r="D46" s="119">
        <f ca="1"/>
        <v>9.4067938353576269E-3</v>
      </c>
    </row>
    <row r="47" spans="2:4" x14ac:dyDescent="0.25">
      <c r="B47" s="118">
        <f t="shared" si="1"/>
        <v>42779</v>
      </c>
      <c r="C47" s="119">
        <f ca="1"/>
        <v>6.1688972229323458E-3</v>
      </c>
      <c r="D47" s="119">
        <f ca="1"/>
        <v>9.4731655906204019E-3</v>
      </c>
    </row>
    <row r="48" spans="2:4" x14ac:dyDescent="0.25">
      <c r="B48" s="118">
        <f t="shared" si="1"/>
        <v>42789</v>
      </c>
      <c r="C48" s="119">
        <f ca="1"/>
        <v>6.1688972230127259E-3</v>
      </c>
      <c r="D48" s="119">
        <f ca="1"/>
        <v>9.541363431184063E-3</v>
      </c>
    </row>
    <row r="49" spans="2:4" x14ac:dyDescent="0.25">
      <c r="B49" s="118">
        <f t="shared" si="1"/>
        <v>42799</v>
      </c>
      <c r="C49" s="119">
        <f ca="1"/>
        <v>6.2796230484520876E-3</v>
      </c>
      <c r="D49" s="119">
        <f ca="1"/>
        <v>9.6178326717230034E-3</v>
      </c>
    </row>
    <row r="50" spans="2:4" x14ac:dyDescent="0.25">
      <c r="B50" s="118">
        <f t="shared" si="1"/>
        <v>42809</v>
      </c>
      <c r="C50" s="119">
        <f ca="1"/>
        <v>6.4638194330635113E-3</v>
      </c>
      <c r="D50" s="119">
        <f ca="1"/>
        <v>9.694450873930914E-3</v>
      </c>
    </row>
    <row r="51" spans="2:4" x14ac:dyDescent="0.25">
      <c r="B51" s="118">
        <f t="shared" si="1"/>
        <v>42819</v>
      </c>
      <c r="C51" s="119">
        <f ca="1"/>
        <v>6.6430565714568068E-3</v>
      </c>
      <c r="D51" s="119">
        <f ca="1"/>
        <v>9.7614181637162532E-3</v>
      </c>
    </row>
    <row r="52" spans="2:4" x14ac:dyDescent="0.25">
      <c r="B52" s="118">
        <f t="shared" si="1"/>
        <v>42829</v>
      </c>
      <c r="C52" s="119">
        <f ca="1"/>
        <v>6.8160352593011897E-3</v>
      </c>
      <c r="D52" s="119">
        <f ca="1"/>
        <v>9.8210024009344043E-3</v>
      </c>
    </row>
    <row r="53" spans="2:4" x14ac:dyDescent="0.25">
      <c r="B53" s="118">
        <f t="shared" si="1"/>
        <v>42839</v>
      </c>
      <c r="C53" s="119">
        <f ca="1"/>
        <v>6.981526174655972E-3</v>
      </c>
      <c r="D53" s="119">
        <f ca="1"/>
        <v>9.8795618653850295E-3</v>
      </c>
    </row>
    <row r="54" spans="2:4" x14ac:dyDescent="0.25">
      <c r="B54" s="118">
        <f t="shared" si="1"/>
        <v>42849</v>
      </c>
      <c r="C54" s="119">
        <f ca="1"/>
        <v>7.138280293746524E-3</v>
      </c>
      <c r="D54" s="119">
        <f ca="1"/>
        <v>9.938788724508282E-3</v>
      </c>
    </row>
    <row r="55" spans="2:4" x14ac:dyDescent="0.25">
      <c r="B55" s="118">
        <f t="shared" si="1"/>
        <v>42859</v>
      </c>
      <c r="C55" s="119">
        <f ca="1"/>
        <v>7.2850059080160623E-3</v>
      </c>
      <c r="D55" s="119">
        <f ca="1"/>
        <v>9.9993273368862642E-3</v>
      </c>
    </row>
    <row r="56" spans="2:4" x14ac:dyDescent="0.25">
      <c r="B56" s="118">
        <f t="shared" si="1"/>
        <v>42869</v>
      </c>
      <c r="C56" s="119">
        <f ca="1"/>
        <v>7.4204338079926213E-3</v>
      </c>
      <c r="D56" s="119">
        <f ca="1"/>
        <v>1.0061822061101079E-2</v>
      </c>
    </row>
    <row r="57" spans="2:4" x14ac:dyDescent="0.25">
      <c r="B57" s="118">
        <f t="shared" si="1"/>
        <v>42879</v>
      </c>
      <c r="C57" s="119">
        <f ca="1"/>
        <v>7.6428760956319675E-3</v>
      </c>
      <c r="D57" s="119">
        <f ca="1"/>
        <v>1.0126902017896785E-2</v>
      </c>
    </row>
    <row r="58" spans="2:4" x14ac:dyDescent="0.25">
      <c r="B58" s="118">
        <f t="shared" si="1"/>
        <v>42889</v>
      </c>
      <c r="C58" s="119">
        <f ca="1"/>
        <v>7.9084030220180068E-3</v>
      </c>
      <c r="D58" s="119">
        <f ca="1"/>
        <v>1.0193536787781215E-2</v>
      </c>
    </row>
    <row r="59" spans="2:4" x14ac:dyDescent="0.25">
      <c r="B59" s="118">
        <f t="shared" si="1"/>
        <v>42899</v>
      </c>
      <c r="C59" s="119">
        <f ca="1"/>
        <v>8.0265059628514823E-3</v>
      </c>
      <c r="D59" s="119">
        <f ca="1"/>
        <v>1.0261665273188385E-2</v>
      </c>
    </row>
    <row r="60" spans="2:4" x14ac:dyDescent="0.25">
      <c r="B60" s="118">
        <f t="shared" si="1"/>
        <v>42909</v>
      </c>
      <c r="C60" s="119">
        <f ca="1"/>
        <v>8.1435620912613249E-3</v>
      </c>
      <c r="D60" s="119">
        <f ca="1"/>
        <v>1.0332787629426632E-2</v>
      </c>
    </row>
    <row r="61" spans="2:4" x14ac:dyDescent="0.25">
      <c r="B61" s="118">
        <f t="shared" si="1"/>
        <v>42919</v>
      </c>
      <c r="C61" s="119">
        <f ca="1"/>
        <v>8.2594889460805287E-3</v>
      </c>
      <c r="D61" s="119">
        <f ca="1"/>
        <v>1.0412195163688805E-2</v>
      </c>
    </row>
    <row r="62" spans="2:4" x14ac:dyDescent="0.25">
      <c r="B62" s="118">
        <f t="shared" si="1"/>
        <v>42929</v>
      </c>
      <c r="C62" s="119">
        <f ca="1"/>
        <v>8.3742070099992461E-3</v>
      </c>
      <c r="D62" s="119">
        <f ca="1"/>
        <v>1.0493437319244132E-2</v>
      </c>
    </row>
    <row r="63" spans="2:4" x14ac:dyDescent="0.25">
      <c r="B63" s="118">
        <f t="shared" si="1"/>
        <v>42939</v>
      </c>
      <c r="C63" s="119">
        <f ca="1"/>
        <v>8.4876275005811852E-3</v>
      </c>
      <c r="D63" s="119">
        <f ca="1"/>
        <v>1.0574428181897006E-2</v>
      </c>
    </row>
    <row r="64" spans="2:4" x14ac:dyDescent="0.25">
      <c r="B64" s="118">
        <f t="shared" si="1"/>
        <v>42949</v>
      </c>
      <c r="C64" s="119">
        <f ca="1"/>
        <v>8.5996755075017361E-3</v>
      </c>
      <c r="D64" s="119">
        <f ca="1"/>
        <v>1.0654939448735934E-2</v>
      </c>
    </row>
    <row r="65" spans="2:4" x14ac:dyDescent="0.25">
      <c r="B65" s="118">
        <f t="shared" si="1"/>
        <v>42959</v>
      </c>
      <c r="C65" s="119">
        <f ca="1"/>
        <v>8.710267596319321E-3</v>
      </c>
      <c r="D65" s="119">
        <f ca="1"/>
        <v>1.0734742816849418E-2</v>
      </c>
    </row>
    <row r="66" spans="2:4" x14ac:dyDescent="0.25">
      <c r="B66" s="118">
        <f t="shared" si="1"/>
        <v>42969</v>
      </c>
      <c r="C66" s="119">
        <f ca="1"/>
        <v>8.819312454727557E-3</v>
      </c>
      <c r="D66" s="119">
        <f ca="1"/>
        <v>1.0813609983325968E-2</v>
      </c>
    </row>
    <row r="67" spans="2:4" x14ac:dyDescent="0.25">
      <c r="B67" s="118">
        <f t="shared" si="1"/>
        <v>42979</v>
      </c>
      <c r="C67" s="119">
        <f ca="1"/>
        <v>8.9390692059416743E-3</v>
      </c>
      <c r="D67" s="119">
        <f ca="1"/>
        <v>1.0891325253710331E-2</v>
      </c>
    </row>
    <row r="68" spans="2:4" x14ac:dyDescent="0.25">
      <c r="B68" s="118">
        <f t="shared" si="1"/>
        <v>42989</v>
      </c>
      <c r="C68" s="119">
        <f ca="1"/>
        <v>9.1021514392100045E-3</v>
      </c>
      <c r="D68" s="119">
        <f ca="1"/>
        <v>1.0968425207925665E-2</v>
      </c>
    </row>
    <row r="69" spans="2:4" x14ac:dyDescent="0.25">
      <c r="B69" s="118">
        <f t="shared" si="1"/>
        <v>42999</v>
      </c>
      <c r="C69" s="119">
        <f ca="1"/>
        <v>9.2421999845913039E-3</v>
      </c>
      <c r="D69" s="119">
        <f ca="1"/>
        <v>1.1046149239222933E-2</v>
      </c>
    </row>
    <row r="70" spans="2:4" x14ac:dyDescent="0.25">
      <c r="B70" s="118">
        <f t="shared" si="1"/>
        <v>43009</v>
      </c>
      <c r="C70" s="119">
        <f ca="1"/>
        <v>9.3591834145509978E-3</v>
      </c>
      <c r="D70" s="119">
        <f ca="1"/>
        <v>1.1125363695814747E-2</v>
      </c>
    </row>
    <row r="71" spans="2:4" x14ac:dyDescent="0.25">
      <c r="B71" s="118">
        <f t="shared" si="1"/>
        <v>43019</v>
      </c>
      <c r="C71" s="119">
        <f ca="1"/>
        <v>9.453071040048E-3</v>
      </c>
      <c r="D71" s="119">
        <f ca="1"/>
        <v>1.1205762752095451E-2</v>
      </c>
    </row>
    <row r="72" spans="2:4" x14ac:dyDescent="0.25">
      <c r="B72" s="118">
        <f t="shared" si="1"/>
        <v>43029</v>
      </c>
      <c r="C72" s="119">
        <f ca="1"/>
        <v>9.5238330621976175E-3</v>
      </c>
      <c r="D72" s="119">
        <f ca="1"/>
        <v>1.1286988372073344E-2</v>
      </c>
    </row>
    <row r="73" spans="2:4" x14ac:dyDescent="0.25">
      <c r="B73" s="118">
        <f t="shared" si="1"/>
        <v>43039</v>
      </c>
      <c r="C73" s="119">
        <f ca="1"/>
        <v>9.5714407236857646E-3</v>
      </c>
      <c r="D73" s="119">
        <f ca="1"/>
        <v>1.1368682519756722E-2</v>
      </c>
    </row>
    <row r="74" spans="2:4" x14ac:dyDescent="0.25">
      <c r="B74" s="118">
        <f t="shared" si="1"/>
        <v>43049</v>
      </c>
      <c r="C74" s="119">
        <f ca="1"/>
        <v>9.5958664618771561E-3</v>
      </c>
      <c r="D74" s="119">
        <f ca="1"/>
        <v>1.1450361387680593E-2</v>
      </c>
    </row>
    <row r="75" spans="2:4" x14ac:dyDescent="0.25">
      <c r="B75" s="118">
        <f t="shared" si="1"/>
        <v>43059</v>
      </c>
      <c r="C75" s="119">
        <f ca="1"/>
        <v>9.600706266285286E-3</v>
      </c>
      <c r="D75" s="119">
        <f ca="1"/>
        <v>1.1530202894617215E-2</v>
      </c>
    </row>
    <row r="76" spans="2:4" x14ac:dyDescent="0.25">
      <c r="B76" s="118">
        <f t="shared" ref="B76:B105" si="2">B75+$B$8</f>
        <v>43069</v>
      </c>
      <c r="C76" s="119">
        <f ca="1"/>
        <v>9.6805096438186133E-3</v>
      </c>
      <c r="D76" s="119">
        <f ca="1"/>
        <v>1.16066486865085E-2</v>
      </c>
    </row>
    <row r="77" spans="2:4" x14ac:dyDescent="0.25">
      <c r="B77" s="118">
        <f t="shared" si="2"/>
        <v>43079</v>
      </c>
      <c r="C77" s="119">
        <f ca="1"/>
        <v>9.7732858373871245E-3</v>
      </c>
      <c r="D77" s="119">
        <f ca="1"/>
        <v>1.1681835683501016E-2</v>
      </c>
    </row>
    <row r="78" spans="2:4" x14ac:dyDescent="0.25">
      <c r="B78" s="118">
        <f t="shared" si="2"/>
        <v>43089</v>
      </c>
      <c r="C78" s="119">
        <f ca="1"/>
        <v>9.8313041733302242E-3</v>
      </c>
      <c r="D78" s="119">
        <f ca="1"/>
        <v>1.1754220647388382E-2</v>
      </c>
    </row>
    <row r="79" spans="2:4" x14ac:dyDescent="0.25">
      <c r="B79" s="118">
        <f t="shared" si="2"/>
        <v>43099</v>
      </c>
      <c r="C79" s="119">
        <f ca="1"/>
        <v>9.8545212354070877E-3</v>
      </c>
      <c r="D79" s="119">
        <f ca="1"/>
        <v>1.1818563926384215E-2</v>
      </c>
    </row>
    <row r="80" spans="2:4" x14ac:dyDescent="0.25">
      <c r="B80" s="118">
        <f t="shared" si="2"/>
        <v>43109</v>
      </c>
      <c r="C80" s="119">
        <f ca="1"/>
        <v>9.8573724545867325E-3</v>
      </c>
      <c r="D80" s="119">
        <f ca="1"/>
        <v>1.1876760074585891E-2</v>
      </c>
    </row>
    <row r="81" spans="2:4" x14ac:dyDescent="0.25">
      <c r="B81" s="118">
        <f t="shared" si="2"/>
        <v>43119</v>
      </c>
      <c r="C81" s="119">
        <f ca="1"/>
        <v>9.8600722775195049E-3</v>
      </c>
      <c r="D81" s="119">
        <f ca="1"/>
        <v>1.1934646078369469E-2</v>
      </c>
    </row>
    <row r="82" spans="2:4" x14ac:dyDescent="0.25">
      <c r="B82" s="118">
        <f t="shared" si="2"/>
        <v>43129</v>
      </c>
      <c r="C82" s="119">
        <f ca="1"/>
        <v>9.862773579781825E-3</v>
      </c>
      <c r="D82" s="119">
        <f ca="1"/>
        <v>1.1993226815563217E-2</v>
      </c>
    </row>
    <row r="83" spans="2:4" x14ac:dyDescent="0.25">
      <c r="B83" s="118">
        <f t="shared" si="2"/>
        <v>43139</v>
      </c>
      <c r="C83" s="119">
        <f ca="1"/>
        <v>9.8654763624350661E-3</v>
      </c>
      <c r="D83" s="119">
        <f ca="1"/>
        <v>1.205303717873344E-2</v>
      </c>
    </row>
    <row r="84" spans="2:4" x14ac:dyDescent="0.25">
      <c r="B84" s="118">
        <f t="shared" si="2"/>
        <v>43149</v>
      </c>
      <c r="C84" s="119">
        <f ca="1"/>
        <v>9.8681806269436123E-3</v>
      </c>
      <c r="D84" s="119">
        <f ca="1"/>
        <v>1.2114612060446448E-2</v>
      </c>
    </row>
    <row r="85" spans="2:4" x14ac:dyDescent="0.25">
      <c r="B85" s="118">
        <f t="shared" si="2"/>
        <v>43159</v>
      </c>
      <c r="C85" s="119">
        <f ca="1"/>
        <v>9.8708863743688369E-3</v>
      </c>
      <c r="D85" s="119">
        <f ca="1"/>
        <v>1.2178225260341045E-2</v>
      </c>
    </row>
    <row r="86" spans="2:4" x14ac:dyDescent="0.25">
      <c r="B86" s="118">
        <f t="shared" si="2"/>
        <v>43169</v>
      </c>
      <c r="C86" s="119">
        <f ca="1"/>
        <v>9.874293402491352E-3</v>
      </c>
      <c r="D86" s="119">
        <f ca="1"/>
        <v>1.2242924670102726E-2</v>
      </c>
    </row>
    <row r="87" spans="2:4" x14ac:dyDescent="0.25">
      <c r="B87" s="118">
        <f t="shared" si="2"/>
        <v>43179</v>
      </c>
      <c r="C87" s="119">
        <f ca="1"/>
        <v>9.8809031036983797E-3</v>
      </c>
      <c r="D87" s="119">
        <f ca="1"/>
        <v>1.2309187400896589E-2</v>
      </c>
    </row>
    <row r="88" spans="2:4" x14ac:dyDescent="0.25">
      <c r="B88" s="118">
        <f t="shared" si="2"/>
        <v>43189</v>
      </c>
      <c r="C88" s="119">
        <f ca="1"/>
        <v>9.8909442181505103E-3</v>
      </c>
      <c r="D88" s="119">
        <f ca="1"/>
        <v>1.2379668352857165E-2</v>
      </c>
    </row>
    <row r="89" spans="2:4" x14ac:dyDescent="0.25">
      <c r="B89" s="118">
        <f t="shared" si="2"/>
        <v>43199</v>
      </c>
      <c r="C89" s="119">
        <f ca="1"/>
        <v>9.9044206053691131E-3</v>
      </c>
      <c r="D89" s="119">
        <f ca="1"/>
        <v>1.2453750635718028E-2</v>
      </c>
    </row>
    <row r="90" spans="2:4" x14ac:dyDescent="0.25">
      <c r="B90" s="118">
        <f t="shared" si="2"/>
        <v>43209</v>
      </c>
      <c r="C90" s="119">
        <f ca="1"/>
        <v>9.9213361735712713E-3</v>
      </c>
      <c r="D90" s="119">
        <f ca="1"/>
        <v>1.2527906511437252E-2</v>
      </c>
    </row>
    <row r="91" spans="2:4" x14ac:dyDescent="0.25">
      <c r="B91" s="118">
        <f t="shared" si="2"/>
        <v>43219</v>
      </c>
      <c r="C91" s="119">
        <f ca="1"/>
        <v>9.9416948831918539E-3</v>
      </c>
      <c r="D91" s="119">
        <f ca="1"/>
        <v>1.2601702241127163E-2</v>
      </c>
    </row>
    <row r="92" spans="2:4" x14ac:dyDescent="0.25">
      <c r="B92" s="118">
        <f t="shared" si="2"/>
        <v>43229</v>
      </c>
      <c r="C92" s="119">
        <f ca="1"/>
        <v>9.9655007508108184E-3</v>
      </c>
      <c r="D92" s="119">
        <f ca="1"/>
        <v>1.2674886593475676E-2</v>
      </c>
    </row>
    <row r="93" spans="2:4" x14ac:dyDescent="0.25">
      <c r="B93" s="118">
        <f t="shared" si="2"/>
        <v>43239</v>
      </c>
      <c r="C93" s="119">
        <f ca="1"/>
        <v>9.9927578516292304E-3</v>
      </c>
      <c r="D93" s="119">
        <f ca="1"/>
        <v>1.2747208337170711E-2</v>
      </c>
    </row>
    <row r="94" spans="2:4" x14ac:dyDescent="0.25">
      <c r="B94" s="118">
        <f t="shared" si="2"/>
        <v>43249</v>
      </c>
      <c r="C94" s="119">
        <f ca="1"/>
        <v>1.0014038202021291E-2</v>
      </c>
      <c r="D94" s="119">
        <f ca="1"/>
        <v>1.2818614035612672E-2</v>
      </c>
    </row>
    <row r="95" spans="2:4" x14ac:dyDescent="0.25">
      <c r="B95" s="118">
        <f t="shared" si="2"/>
        <v>43259</v>
      </c>
      <c r="C95" s="119">
        <f ca="1"/>
        <v>1.0031826969767899E-2</v>
      </c>
      <c r="D95" s="119">
        <f ca="1"/>
        <v>1.2889562494120306E-2</v>
      </c>
    </row>
    <row r="96" spans="2:4" x14ac:dyDescent="0.25">
      <c r="B96" s="118">
        <f t="shared" si="2"/>
        <v>43269</v>
      </c>
      <c r="C96" s="119">
        <f ca="1"/>
        <v>1.0050805796962825E-2</v>
      </c>
      <c r="D96" s="119">
        <f ca="1"/>
        <v>1.2959655148989955E-2</v>
      </c>
    </row>
    <row r="97" spans="2:4" x14ac:dyDescent="0.25">
      <c r="B97" s="118">
        <f t="shared" si="2"/>
        <v>43279</v>
      </c>
      <c r="C97" s="119">
        <f ca="1"/>
        <v>1.0070976093583095E-2</v>
      </c>
      <c r="D97" s="119">
        <f ca="1"/>
        <v>1.302724563864976E-2</v>
      </c>
    </row>
    <row r="98" spans="2:4" x14ac:dyDescent="0.25">
      <c r="B98" s="118">
        <f t="shared" si="2"/>
        <v>43289</v>
      </c>
      <c r="C98" s="119">
        <f ca="1"/>
        <v>1.0092339281019491E-2</v>
      </c>
      <c r="D98" s="119">
        <f ca="1"/>
        <v>1.3092806611784292E-2</v>
      </c>
    </row>
    <row r="99" spans="2:4" x14ac:dyDescent="0.25">
      <c r="B99" s="118">
        <f t="shared" si="2"/>
        <v>43299</v>
      </c>
      <c r="C99" s="119">
        <f ca="1"/>
        <v>1.0114896792819961E-2</v>
      </c>
      <c r="D99" s="119">
        <f ca="1"/>
        <v>1.3158407110034574E-2</v>
      </c>
    </row>
    <row r="100" spans="2:4" x14ac:dyDescent="0.25">
      <c r="B100" s="118">
        <f t="shared" si="2"/>
        <v>43309</v>
      </c>
      <c r="C100" s="119">
        <f ca="1"/>
        <v>1.0138650075030675E-2</v>
      </c>
      <c r="D100" s="119">
        <f ca="1"/>
        <v>1.322414877509326E-2</v>
      </c>
    </row>
    <row r="101" spans="2:4" x14ac:dyDescent="0.25">
      <c r="B101" s="118">
        <f t="shared" si="2"/>
        <v>43319</v>
      </c>
      <c r="C101" s="119">
        <f ca="1"/>
        <v>1.0163600586454491E-2</v>
      </c>
      <c r="D101" s="119">
        <f ca="1"/>
        <v>1.3290113045498386E-2</v>
      </c>
    </row>
    <row r="102" spans="2:4" x14ac:dyDescent="0.25">
      <c r="B102" s="118">
        <f t="shared" si="2"/>
        <v>43329</v>
      </c>
      <c r="C102" s="119">
        <f ca="1"/>
        <v>1.0189749799396575E-2</v>
      </c>
      <c r="D102" s="119">
        <f ca="1"/>
        <v>1.3356381359787992E-2</v>
      </c>
    </row>
    <row r="103" spans="2:4" x14ac:dyDescent="0.25">
      <c r="B103" s="118">
        <f t="shared" si="2"/>
        <v>43339</v>
      </c>
      <c r="C103" s="119">
        <f ca="1"/>
        <v>1.0210445901730036E-2</v>
      </c>
      <c r="D103" s="119">
        <f ca="1"/>
        <v>1.3422999540178743E-2</v>
      </c>
    </row>
    <row r="104" spans="2:4" x14ac:dyDescent="0.25">
      <c r="B104" s="118">
        <f t="shared" si="2"/>
        <v>43349</v>
      </c>
      <c r="C104" s="119">
        <f ca="1"/>
        <v>1.0226129786232274E-2</v>
      </c>
      <c r="D104" s="119">
        <f ca="1"/>
        <v>1.3489692970980289E-2</v>
      </c>
    </row>
    <row r="105" spans="2:4" x14ac:dyDescent="0.25">
      <c r="B105" s="118">
        <f t="shared" si="2"/>
        <v>43359</v>
      </c>
      <c r="C105" s="119">
        <f ca="1"/>
        <v>1.0245668117530027E-2</v>
      </c>
      <c r="D105" s="119">
        <f ca="1"/>
        <v>1.3556436097745714E-2</v>
      </c>
    </row>
    <row r="106" spans="2:4" x14ac:dyDescent="0.25">
      <c r="B106" s="117"/>
    </row>
    <row r="107" spans="2:4" x14ac:dyDescent="0.25">
      <c r="B107" s="117"/>
    </row>
    <row r="108" spans="2:4" x14ac:dyDescent="0.25">
      <c r="B108" s="117"/>
    </row>
    <row r="109" spans="2:4" x14ac:dyDescent="0.25">
      <c r="B109" s="117"/>
    </row>
    <row r="110" spans="2:4" x14ac:dyDescent="0.25">
      <c r="B110" s="117"/>
    </row>
    <row r="111" spans="2:4" x14ac:dyDescent="0.25">
      <c r="B111" s="117"/>
    </row>
    <row r="112" spans="2:4" x14ac:dyDescent="0.25">
      <c r="B112" s="117"/>
    </row>
    <row r="113" spans="2:2" x14ac:dyDescent="0.25">
      <c r="B113" s="117"/>
    </row>
    <row r="114" spans="2:2" x14ac:dyDescent="0.25">
      <c r="B114" s="117"/>
    </row>
    <row r="115" spans="2:2" x14ac:dyDescent="0.25">
      <c r="B115" s="117"/>
    </row>
    <row r="116" spans="2:2" x14ac:dyDescent="0.25">
      <c r="B116" s="117"/>
    </row>
    <row r="117" spans="2:2" x14ac:dyDescent="0.25">
      <c r="B117" s="117"/>
    </row>
    <row r="118" spans="2:2" x14ac:dyDescent="0.25">
      <c r="B118" s="117"/>
    </row>
    <row r="119" spans="2:2" x14ac:dyDescent="0.25">
      <c r="B119" s="117"/>
    </row>
    <row r="120" spans="2:2" x14ac:dyDescent="0.25">
      <c r="B120" s="117"/>
    </row>
    <row r="121" spans="2:2" x14ac:dyDescent="0.25">
      <c r="B121" s="117"/>
    </row>
    <row r="122" spans="2:2" x14ac:dyDescent="0.25">
      <c r="B122" s="117"/>
    </row>
    <row r="123" spans="2:2" x14ac:dyDescent="0.25">
      <c r="B123" s="117"/>
    </row>
    <row r="124" spans="2:2" x14ac:dyDescent="0.25">
      <c r="B124" s="117"/>
    </row>
    <row r="125" spans="2:2" x14ac:dyDescent="0.25">
      <c r="B125" s="117"/>
    </row>
    <row r="126" spans="2:2" x14ac:dyDescent="0.25">
      <c r="B126" s="117"/>
    </row>
    <row r="127" spans="2:2" x14ac:dyDescent="0.25">
      <c r="B127" s="117"/>
    </row>
    <row r="128" spans="2:2" x14ac:dyDescent="0.25">
      <c r="B128" s="117"/>
    </row>
    <row r="129" spans="2:2" x14ac:dyDescent="0.25">
      <c r="B129" s="117"/>
    </row>
    <row r="130" spans="2:2" x14ac:dyDescent="0.25">
      <c r="B130" s="117"/>
    </row>
    <row r="131" spans="2:2" x14ac:dyDescent="0.25">
      <c r="B131" s="117"/>
    </row>
    <row r="132" spans="2:2" x14ac:dyDescent="0.25">
      <c r="B132" s="117"/>
    </row>
    <row r="133" spans="2:2" x14ac:dyDescent="0.25">
      <c r="B133" s="117"/>
    </row>
    <row r="134" spans="2:2" x14ac:dyDescent="0.25">
      <c r="B134" s="117"/>
    </row>
    <row r="135" spans="2:2" x14ac:dyDescent="0.25">
      <c r="B135" s="117"/>
    </row>
    <row r="136" spans="2:2" x14ac:dyDescent="0.25">
      <c r="B136" s="117"/>
    </row>
    <row r="137" spans="2:2" x14ac:dyDescent="0.25">
      <c r="B137" s="117"/>
    </row>
    <row r="138" spans="2:2" x14ac:dyDescent="0.25">
      <c r="B138" s="117"/>
    </row>
    <row r="139" spans="2:2" x14ac:dyDescent="0.25">
      <c r="B139" s="117"/>
    </row>
    <row r="140" spans="2:2" x14ac:dyDescent="0.25">
      <c r="B140" s="117"/>
    </row>
    <row r="141" spans="2:2" x14ac:dyDescent="0.25">
      <c r="B141" s="117"/>
    </row>
    <row r="142" spans="2:2" x14ac:dyDescent="0.25">
      <c r="B142" s="117"/>
    </row>
    <row r="143" spans="2:2" x14ac:dyDescent="0.25">
      <c r="B143" s="117"/>
    </row>
    <row r="144" spans="2:2" x14ac:dyDescent="0.25">
      <c r="B144" s="117"/>
    </row>
    <row r="145" spans="2:2" x14ac:dyDescent="0.25">
      <c r="B145" s="117"/>
    </row>
    <row r="146" spans="2:2" x14ac:dyDescent="0.25">
      <c r="B146" s="117"/>
    </row>
    <row r="147" spans="2:2" x14ac:dyDescent="0.25">
      <c r="B147" s="117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28</vt:i4>
      </vt:variant>
    </vt:vector>
  </HeadingPairs>
  <TitlesOfParts>
    <vt:vector size="31" baseType="lpstr">
      <vt:lpstr>USD OIS</vt:lpstr>
      <vt:lpstr>USD SWAP 3ML</vt:lpstr>
      <vt:lpstr>USD Forwards</vt:lpstr>
      <vt:lpstr>COB</vt:lpstr>
      <vt:lpstr>'USD OIS'!CurveBuildProperties</vt:lpstr>
      <vt:lpstr>'USD SWAP 3ML'!CurveBuildProperties</vt:lpstr>
      <vt:lpstr>'USD OIS'!CurveCollection</vt:lpstr>
      <vt:lpstr>'USD SWAP 3ML'!CurveCollection</vt:lpstr>
      <vt:lpstr>'USD SWAP 3ML'!FRAConventions</vt:lpstr>
      <vt:lpstr>'USD SWAP 3ML'!FRAMarketData3M</vt:lpstr>
      <vt:lpstr>'USD SWAP 3ML'!FRAMarketData6M</vt:lpstr>
      <vt:lpstr>'USD SWAP 3ML'!FuturesConventions</vt:lpstr>
      <vt:lpstr>'USD SWAP 3ML'!FuturesMarketData</vt:lpstr>
      <vt:lpstr>'USD OIS'!IndexName</vt:lpstr>
      <vt:lpstr>'USD SWAP 3ML'!IndexName</vt:lpstr>
      <vt:lpstr>isUSD3MLLoaded</vt:lpstr>
      <vt:lpstr>isUSDOISLoaded</vt:lpstr>
      <vt:lpstr>'USD SWAP 3ML'!LiborConventions</vt:lpstr>
      <vt:lpstr>'USD SWAP 3ML'!LiborMarketData</vt:lpstr>
      <vt:lpstr>'USD OIS'!LiborSwap.Conventions</vt:lpstr>
      <vt:lpstr>'USD OIS'!LiborSwap.MarketData</vt:lpstr>
      <vt:lpstr>'USD SWAP 3ML'!MoneyMarketConventions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'USD OIS'!StaticDataTable</vt:lpstr>
      <vt:lpstr>'USD SWAP 3ML'!StaticDataTable</vt:lpstr>
      <vt:lpstr>'USD SWAP 3ML'!SwapConventions</vt:lpstr>
      <vt:lpstr>'USD SWAP 3ML'!SwapMarketData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2016-10-10T12:03:52Z</dcterms:modified>
</cp:coreProperties>
</file>